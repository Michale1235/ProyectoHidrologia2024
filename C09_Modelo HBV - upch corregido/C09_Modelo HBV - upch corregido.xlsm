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129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2024\PROYECTO_HIDROLOGIA2024\"/>
    </mc:Choice>
  </mc:AlternateContent>
  <xr:revisionPtr revIDLastSave="0" documentId="13_ncr:1_{F4E2DEB6-FE8B-4308-8E9D-BC6DC9359D4C}" xr6:coauthVersionLast="47" xr6:coauthVersionMax="47" xr10:uidLastSave="{00000000-0000-0000-0000-000000000000}"/>
  <bookViews>
    <workbookView xWindow="-120" yWindow="-120" windowWidth="20730" windowHeight="11040" activeTab="2" xr2:uid="{00000000-000D-0000-FFFF-FFFF00000000}"/>
  </bookViews>
  <sheets>
    <sheet name="Informe de sensibilidad 1" sheetId="3" r:id="rId1"/>
    <sheet name="Informe de límites 1" sheetId="4" r:id="rId2"/>
    <sheet name="HBV Modelo" sheetId="2" r:id="rId3"/>
  </sheets>
  <definedNames>
    <definedName name="solver_adj" localSheetId="2" hidden="1">'HBV Modelo'!$C$11:$C$13,'HBV Modelo'!$F$8:$F$13,'HBV Modelo'!$G$31,'HBV Modelo'!$K$31,'HBV Modelo'!$L$31</definedName>
    <definedName name="solver_cvg" localSheetId="2" hidden="1">0.0001</definedName>
    <definedName name="solver_drv" localSheetId="2" hidden="1">1</definedName>
    <definedName name="solver_eng" localSheetId="2" hidden="1">1</definedName>
    <definedName name="solver_est" localSheetId="2" hidden="1">1</definedName>
    <definedName name="solver_itr" localSheetId="2" hidden="1">100</definedName>
    <definedName name="solver_lhs1" localSheetId="2" hidden="1">'HBV Modelo'!$C$13</definedName>
    <definedName name="solver_lhs10" localSheetId="2" hidden="1">'HBV Modelo'!$F$9</definedName>
    <definedName name="solver_lhs11" localSheetId="2" hidden="1">'HBV Modelo'!$F$9</definedName>
    <definedName name="solver_lhs12" localSheetId="2" hidden="1">'HBV Modelo'!$K$31</definedName>
    <definedName name="solver_lhs13" localSheetId="2" hidden="1">'HBV Modelo'!$G$31</definedName>
    <definedName name="solver_lhs14" localSheetId="2" hidden="1">'HBV Modelo'!$C$12</definedName>
    <definedName name="solver_lhs15" localSheetId="2" hidden="1">'HBV Modelo'!$L$31</definedName>
    <definedName name="solver_lhs16" localSheetId="2" hidden="1">'HBV Modelo'!$C$13</definedName>
    <definedName name="solver_lhs17" localSheetId="2" hidden="1">'HBV Modelo'!$L$31</definedName>
    <definedName name="solver_lhs18" localSheetId="2" hidden="1">'HBV Modelo'!$L$31</definedName>
    <definedName name="solver_lhs2" localSheetId="2" hidden="1">'HBV Modelo'!$F$11</definedName>
    <definedName name="solver_lhs3" localSheetId="2" hidden="1">'HBV Modelo'!$F$10</definedName>
    <definedName name="solver_lhs4" localSheetId="2" hidden="1">'HBV Modelo'!$F$12</definedName>
    <definedName name="solver_lhs5" localSheetId="2" hidden="1">'HBV Modelo'!$F$12</definedName>
    <definedName name="solver_lhs6" localSheetId="2" hidden="1">'HBV Modelo'!$F$13</definedName>
    <definedName name="solver_lhs7" localSheetId="2" hidden="1">'HBV Modelo'!$F$13</definedName>
    <definedName name="solver_lhs8" localSheetId="2" hidden="1">'HBV Modelo'!$F$8</definedName>
    <definedName name="solver_lhs9" localSheetId="2" hidden="1">'HBV Modelo'!$F$8</definedName>
    <definedName name="solver_lin" localSheetId="2" hidden="1">2</definedName>
    <definedName name="solver_mip" localSheetId="2" hidden="1">2147483647</definedName>
    <definedName name="solver_mni" localSheetId="2" hidden="1">30</definedName>
    <definedName name="solver_mrt" localSheetId="2" hidden="1">"""""""""""""""""""""""""""""""""""""""""""""""""""""""""""""""""""""""""""""""""""""""""""""""""""""""""""""""""""""""""""""""0,075"""""""""""""""""""""""""""""""""""""""""""""""""""""""""""""""""""""""""""""""""""""""""""""""""""""""""""""""""""""""""""""""</definedName>
    <definedName name="solver_msl" localSheetId="2" hidden="1">2</definedName>
    <definedName name="solver_neg" localSheetId="2" hidden="1">2</definedName>
    <definedName name="solver_nod" localSheetId="2" hidden="1">2147483647</definedName>
    <definedName name="solver_num" localSheetId="2" hidden="1">16</definedName>
    <definedName name="solver_nwt" localSheetId="2" hidden="1">1</definedName>
    <definedName name="solver_opt" localSheetId="2" hidden="1">'HBV Modelo'!$F$27</definedName>
    <definedName name="solver_pre" localSheetId="2" hidden="1">0.000001</definedName>
    <definedName name="solver_rbv" localSheetId="2" hidden="1">1</definedName>
    <definedName name="solver_rel1" localSheetId="2" hidden="1">1</definedName>
    <definedName name="solver_rel10" localSheetId="2" hidden="1">3</definedName>
    <definedName name="solver_rel11" localSheetId="2" hidden="1">3</definedName>
    <definedName name="solver_rel12" localSheetId="2" hidden="1">3</definedName>
    <definedName name="solver_rel13" localSheetId="2" hidden="1">3</definedName>
    <definedName name="solver_rel14" localSheetId="2" hidden="1">3</definedName>
    <definedName name="solver_rel15" localSheetId="2" hidden="1">3</definedName>
    <definedName name="solver_rel16" localSheetId="2" hidden="1">3</definedName>
    <definedName name="solver_rel17" localSheetId="2" hidden="1">3</definedName>
    <definedName name="solver_rel18" localSheetId="2" hidden="1">3</definedName>
    <definedName name="solver_rel2" localSheetId="2" hidden="1">3</definedName>
    <definedName name="solver_rel3" localSheetId="2" hidden="1">3</definedName>
    <definedName name="solver_rel4" localSheetId="2" hidden="1">3</definedName>
    <definedName name="solver_rel5" localSheetId="2" hidden="1">3</definedName>
    <definedName name="solver_rel6" localSheetId="2" hidden="1">1</definedName>
    <definedName name="solver_rel7" localSheetId="2" hidden="1">1</definedName>
    <definedName name="solver_rel8" localSheetId="2" hidden="1">3</definedName>
    <definedName name="solver_rel9" localSheetId="2" hidden="1">3</definedName>
    <definedName name="solver_rhs1" localSheetId="2" hidden="1">1</definedName>
    <definedName name="solver_rhs10" localSheetId="2" hidden="1">0</definedName>
    <definedName name="solver_rhs11" localSheetId="2" hidden="1">2</definedName>
    <definedName name="solver_rhs12" localSheetId="2" hidden="1">0</definedName>
    <definedName name="solver_rhs13" localSheetId="2" hidden="1">0</definedName>
    <definedName name="solver_rhs14" localSheetId="2" hidden="1">0.1</definedName>
    <definedName name="solver_rhs15" localSheetId="2" hidden="1">0</definedName>
    <definedName name="solver_rhs16" localSheetId="2" hidden="1">0</definedName>
    <definedName name="solver_rhs17" localSheetId="2" hidden="1">0</definedName>
    <definedName name="solver_rhs18" localSheetId="2" hidden="1">0</definedName>
    <definedName name="solver_rhs2" localSheetId="2" hidden="1">0</definedName>
    <definedName name="solver_rhs3" localSheetId="2" hidden="1">'HBV Modelo'!$F$11</definedName>
    <definedName name="solver_rhs4" localSheetId="2" hidden="1">0</definedName>
    <definedName name="solver_rhs5" localSheetId="2" hidden="1">0</definedName>
    <definedName name="solver_rhs6" localSheetId="2" hidden="1">'HBV Modelo'!$C$11</definedName>
    <definedName name="solver_rhs7" localSheetId="2" hidden="1">'HBV Modelo'!$C$11</definedName>
    <definedName name="solver_rhs8" localSheetId="2" hidden="1">'HBV Modelo'!$F$10</definedName>
    <definedName name="solver_rhs9" localSheetId="2" hidden="1">'HBV Modelo'!$F$10</definedName>
    <definedName name="solver_rlx" localSheetId="2" hidden="1">1</definedName>
    <definedName name="solver_rsd" localSheetId="2" hidden="1">0</definedName>
    <definedName name="solver_scl" localSheetId="2" hidden="1">2</definedName>
    <definedName name="solver_sho" localSheetId="2" hidden="1">2</definedName>
    <definedName name="solver_sho" localSheetId="1" hidden="1">2</definedName>
    <definedName name="solver_ssz" localSheetId="2" hidden="1">100</definedName>
    <definedName name="solver_tim" localSheetId="2" hidden="1">100</definedName>
    <definedName name="solver_tol" localSheetId="2" hidden="1">5</definedName>
    <definedName name="solver_typ" localSheetId="2" hidden="1">1</definedName>
    <definedName name="solver_val" localSheetId="2" hidden="1">0</definedName>
    <definedName name="solver_ver" localSheetId="2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7" i="2" l="1"/>
  <c r="C16" i="2"/>
  <c r="M31" i="2" l="1"/>
  <c r="L32" i="2"/>
  <c r="F32" i="2"/>
  <c r="F17" i="2" l="1"/>
  <c r="H32" i="2"/>
  <c r="F20" i="2"/>
  <c r="B32" i="2"/>
  <c r="I32" i="2" s="1"/>
  <c r="J32" i="2" s="1"/>
  <c r="E32" i="2"/>
  <c r="E33" i="2" s="1"/>
  <c r="B33" i="2"/>
  <c r="B34" i="2"/>
  <c r="B35" i="2"/>
  <c r="B36" i="2"/>
  <c r="I36" i="2" s="1"/>
  <c r="B37" i="2"/>
  <c r="I37" i="2" s="1"/>
  <c r="B38" i="2"/>
  <c r="I38" i="2" s="1"/>
  <c r="B39" i="2"/>
  <c r="B40" i="2"/>
  <c r="I40" i="2" s="1"/>
  <c r="B41" i="2"/>
  <c r="B42" i="2"/>
  <c r="I42" i="2" s="1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I62" i="2" s="1"/>
  <c r="B63" i="2"/>
  <c r="B64" i="2"/>
  <c r="B65" i="2"/>
  <c r="B66" i="2"/>
  <c r="B67" i="2"/>
  <c r="B68" i="2"/>
  <c r="B69" i="2"/>
  <c r="B70" i="2"/>
  <c r="I70" i="2" s="1"/>
  <c r="B71" i="2"/>
  <c r="B72" i="2"/>
  <c r="B73" i="2"/>
  <c r="B74" i="2"/>
  <c r="B75" i="2"/>
  <c r="B76" i="2"/>
  <c r="B77" i="2"/>
  <c r="I77" i="2" s="1"/>
  <c r="B78" i="2"/>
  <c r="B79" i="2"/>
  <c r="B80" i="2"/>
  <c r="B81" i="2"/>
  <c r="B82" i="2"/>
  <c r="B83" i="2"/>
  <c r="B84" i="2"/>
  <c r="B85" i="2"/>
  <c r="I85" i="2" s="1"/>
  <c r="B86" i="2"/>
  <c r="I86" i="2" s="1"/>
  <c r="B87" i="2"/>
  <c r="B88" i="2"/>
  <c r="B89" i="2"/>
  <c r="B90" i="2"/>
  <c r="B91" i="2"/>
  <c r="C18" i="2"/>
  <c r="B92" i="2"/>
  <c r="I92" i="2" s="1"/>
  <c r="B93" i="2"/>
  <c r="B94" i="2"/>
  <c r="B95" i="2"/>
  <c r="B96" i="2"/>
  <c r="B97" i="2"/>
  <c r="B98" i="2"/>
  <c r="B99" i="2"/>
  <c r="B100" i="2"/>
  <c r="B101" i="2"/>
  <c r="I101" i="2" s="1"/>
  <c r="B102" i="2"/>
  <c r="B103" i="2"/>
  <c r="B104" i="2"/>
  <c r="B105" i="2"/>
  <c r="B106" i="2"/>
  <c r="B107" i="2"/>
  <c r="B108" i="2"/>
  <c r="B109" i="2"/>
  <c r="B110" i="2"/>
  <c r="I110" i="2" s="1"/>
  <c r="B111" i="2"/>
  <c r="B112" i="2"/>
  <c r="B113" i="2"/>
  <c r="B114" i="2"/>
  <c r="B115" i="2"/>
  <c r="I115" i="2" s="1"/>
  <c r="B116" i="2"/>
  <c r="B117" i="2"/>
  <c r="I117" i="2" s="1"/>
  <c r="B118" i="2"/>
  <c r="B119" i="2"/>
  <c r="B120" i="2"/>
  <c r="B121" i="2"/>
  <c r="B122" i="2"/>
  <c r="C19" i="2"/>
  <c r="B123" i="2"/>
  <c r="B124" i="2"/>
  <c r="B125" i="2"/>
  <c r="I125" i="2" s="1"/>
  <c r="B126" i="2"/>
  <c r="B127" i="2"/>
  <c r="B128" i="2"/>
  <c r="B129" i="2"/>
  <c r="B130" i="2"/>
  <c r="B131" i="2"/>
  <c r="B132" i="2"/>
  <c r="B133" i="2"/>
  <c r="B134" i="2"/>
  <c r="B135" i="2"/>
  <c r="B136" i="2"/>
  <c r="B137" i="2"/>
  <c r="B138" i="2"/>
  <c r="B139" i="2"/>
  <c r="I139" i="2" s="1"/>
  <c r="B140" i="2"/>
  <c r="I140" i="2" s="1"/>
  <c r="B141" i="2"/>
  <c r="B142" i="2"/>
  <c r="B143" i="2"/>
  <c r="B144" i="2"/>
  <c r="B145" i="2"/>
  <c r="B146" i="2"/>
  <c r="B147" i="2"/>
  <c r="B148" i="2"/>
  <c r="I148" i="2" s="1"/>
  <c r="B149" i="2"/>
  <c r="B150" i="2"/>
  <c r="B151" i="2"/>
  <c r="B152" i="2"/>
  <c r="C20" i="2"/>
  <c r="B153" i="2"/>
  <c r="B154" i="2"/>
  <c r="B155" i="2"/>
  <c r="I155" i="2" s="1"/>
  <c r="B156" i="2"/>
  <c r="B157" i="2"/>
  <c r="B158" i="2"/>
  <c r="B159" i="2"/>
  <c r="B160" i="2"/>
  <c r="B161" i="2"/>
  <c r="B162" i="2"/>
  <c r="B163" i="2"/>
  <c r="I163" i="2" s="1"/>
  <c r="B164" i="2"/>
  <c r="B165" i="2"/>
  <c r="B166" i="2"/>
  <c r="B167" i="2"/>
  <c r="B168" i="2"/>
  <c r="B169" i="2"/>
  <c r="B170" i="2"/>
  <c r="B171" i="2"/>
  <c r="I171" i="2" s="1"/>
  <c r="B172" i="2"/>
  <c r="B173" i="2"/>
  <c r="B174" i="2"/>
  <c r="B175" i="2"/>
  <c r="B176" i="2"/>
  <c r="B177" i="2"/>
  <c r="B178" i="2"/>
  <c r="B179" i="2"/>
  <c r="B180" i="2"/>
  <c r="B181" i="2"/>
  <c r="I181" i="2" s="1"/>
  <c r="B182" i="2"/>
  <c r="B183" i="2"/>
  <c r="C21" i="2"/>
  <c r="B184" i="2"/>
  <c r="B185" i="2"/>
  <c r="I185" i="2" s="1"/>
  <c r="B186" i="2"/>
  <c r="I186" i="2" s="1"/>
  <c r="B187" i="2"/>
  <c r="B188" i="2"/>
  <c r="B189" i="2"/>
  <c r="B190" i="2"/>
  <c r="B191" i="2"/>
  <c r="B192" i="2"/>
  <c r="I192" i="2" s="1"/>
  <c r="B193" i="2"/>
  <c r="B194" i="2"/>
  <c r="I194" i="2" s="1"/>
  <c r="B195" i="2"/>
  <c r="B196" i="2"/>
  <c r="B197" i="2"/>
  <c r="B198" i="2"/>
  <c r="B199" i="2"/>
  <c r="B200" i="2"/>
  <c r="B201" i="2"/>
  <c r="I201" i="2" s="1"/>
  <c r="B202" i="2"/>
  <c r="I202" i="2" s="1"/>
  <c r="B203" i="2"/>
  <c r="B204" i="2"/>
  <c r="B205" i="2"/>
  <c r="B206" i="2"/>
  <c r="B207" i="2"/>
  <c r="B208" i="2"/>
  <c r="I208" i="2" s="1"/>
  <c r="B209" i="2"/>
  <c r="I209" i="2" s="1"/>
  <c r="B210" i="2"/>
  <c r="I210" i="2" s="1"/>
  <c r="B211" i="2"/>
  <c r="B212" i="2"/>
  <c r="I212" i="2" s="1"/>
  <c r="B213" i="2"/>
  <c r="C22" i="2"/>
  <c r="I1150" i="2" s="1"/>
  <c r="B214" i="2"/>
  <c r="B215" i="2"/>
  <c r="B216" i="2"/>
  <c r="B217" i="2"/>
  <c r="I217" i="2" s="1"/>
  <c r="B218" i="2"/>
  <c r="B219" i="2"/>
  <c r="B220" i="2"/>
  <c r="B221" i="2"/>
  <c r="B222" i="2"/>
  <c r="B223" i="2"/>
  <c r="I223" i="2" s="1"/>
  <c r="B224" i="2"/>
  <c r="I224" i="2" s="1"/>
  <c r="B225" i="2"/>
  <c r="I225" i="2" s="1"/>
  <c r="B226" i="2"/>
  <c r="B227" i="2"/>
  <c r="B228" i="2"/>
  <c r="B229" i="2"/>
  <c r="I229" i="2" s="1"/>
  <c r="B230" i="2"/>
  <c r="B231" i="2"/>
  <c r="B232" i="2"/>
  <c r="B233" i="2"/>
  <c r="I233" i="2" s="1"/>
  <c r="B234" i="2"/>
  <c r="B235" i="2"/>
  <c r="B236" i="2"/>
  <c r="B237" i="2"/>
  <c r="B238" i="2"/>
  <c r="B239" i="2"/>
  <c r="I239" i="2" s="1"/>
  <c r="B240" i="2"/>
  <c r="B241" i="2"/>
  <c r="I241" i="2" s="1"/>
  <c r="B242" i="2"/>
  <c r="B243" i="2"/>
  <c r="B244" i="2"/>
  <c r="C23" i="2"/>
  <c r="I857" i="2" s="1"/>
  <c r="B245" i="2"/>
  <c r="B246" i="2"/>
  <c r="B247" i="2"/>
  <c r="B248" i="2"/>
  <c r="B249" i="2"/>
  <c r="B250" i="2"/>
  <c r="B251" i="2"/>
  <c r="B252" i="2"/>
  <c r="B253" i="2"/>
  <c r="B254" i="2"/>
  <c r="I254" i="2" s="1"/>
  <c r="B255" i="2"/>
  <c r="B256" i="2"/>
  <c r="B257" i="2"/>
  <c r="B258" i="2"/>
  <c r="B259" i="2"/>
  <c r="B260" i="2"/>
  <c r="B261" i="2"/>
  <c r="B262" i="2"/>
  <c r="B263" i="2"/>
  <c r="B264" i="2"/>
  <c r="I264" i="2" s="1"/>
  <c r="B265" i="2"/>
  <c r="B266" i="2"/>
  <c r="B267" i="2"/>
  <c r="B268" i="2"/>
  <c r="B269" i="2"/>
  <c r="I269" i="2" s="1"/>
  <c r="B270" i="2"/>
  <c r="I270" i="2" s="1"/>
  <c r="B271" i="2"/>
  <c r="B272" i="2"/>
  <c r="B273" i="2"/>
  <c r="B274" i="2"/>
  <c r="B275" i="2"/>
  <c r="I275" i="2" s="1"/>
  <c r="C24" i="2"/>
  <c r="I153" i="2" s="1"/>
  <c r="B276" i="2"/>
  <c r="I276" i="2" s="1"/>
  <c r="B277" i="2"/>
  <c r="B278" i="2"/>
  <c r="I278" i="2" s="1"/>
  <c r="B279" i="2"/>
  <c r="I279" i="2" s="1"/>
  <c r="B280" i="2"/>
  <c r="B281" i="2"/>
  <c r="B282" i="2"/>
  <c r="B283" i="2"/>
  <c r="B284" i="2"/>
  <c r="I284" i="2" s="1"/>
  <c r="B285" i="2"/>
  <c r="B286" i="2"/>
  <c r="I286" i="2" s="1"/>
  <c r="B287" i="2"/>
  <c r="B288" i="2"/>
  <c r="B289" i="2"/>
  <c r="B290" i="2"/>
  <c r="B291" i="2"/>
  <c r="B292" i="2"/>
  <c r="B293" i="2"/>
  <c r="B294" i="2"/>
  <c r="B295" i="2"/>
  <c r="I295" i="2" s="1"/>
  <c r="B296" i="2"/>
  <c r="B297" i="2"/>
  <c r="B298" i="2"/>
  <c r="B299" i="2"/>
  <c r="B300" i="2"/>
  <c r="I300" i="2" s="1"/>
  <c r="B301" i="2"/>
  <c r="I301" i="2" s="1"/>
  <c r="B302" i="2"/>
  <c r="B303" i="2"/>
  <c r="B304" i="2"/>
  <c r="B305" i="2"/>
  <c r="C25" i="2"/>
  <c r="B306" i="2"/>
  <c r="I306" i="2" s="1"/>
  <c r="B307" i="2"/>
  <c r="B308" i="2"/>
  <c r="B309" i="2"/>
  <c r="I309" i="2" s="1"/>
  <c r="B310" i="2"/>
  <c r="I310" i="2" s="1"/>
  <c r="B311" i="2"/>
  <c r="B312" i="2"/>
  <c r="B313" i="2"/>
  <c r="B314" i="2"/>
  <c r="B315" i="2"/>
  <c r="I315" i="2" s="1"/>
  <c r="B316" i="2"/>
  <c r="I316" i="2" s="1"/>
  <c r="B317" i="2"/>
  <c r="I317" i="2" s="1"/>
  <c r="B318" i="2"/>
  <c r="B319" i="2"/>
  <c r="I319" i="2" s="1"/>
  <c r="B320" i="2"/>
  <c r="B321" i="2"/>
  <c r="B322" i="2"/>
  <c r="B323" i="2"/>
  <c r="B324" i="2"/>
  <c r="B325" i="2"/>
  <c r="B326" i="2"/>
  <c r="I326" i="2" s="1"/>
  <c r="B327" i="2"/>
  <c r="B328" i="2"/>
  <c r="B329" i="2"/>
  <c r="B330" i="2"/>
  <c r="B331" i="2"/>
  <c r="I331" i="2" s="1"/>
  <c r="B332" i="2"/>
  <c r="I332" i="2" s="1"/>
  <c r="B333" i="2"/>
  <c r="I333" i="2" s="1"/>
  <c r="B334" i="2"/>
  <c r="I334" i="2" s="1"/>
  <c r="B335" i="2"/>
  <c r="B336" i="2"/>
  <c r="C26" i="2"/>
  <c r="B337" i="2"/>
  <c r="B338" i="2"/>
  <c r="B339" i="2"/>
  <c r="B340" i="2"/>
  <c r="I340" i="2" s="1"/>
  <c r="B341" i="2"/>
  <c r="B342" i="2"/>
  <c r="B343" i="2"/>
  <c r="B344" i="2"/>
  <c r="B345" i="2"/>
  <c r="B346" i="2"/>
  <c r="I346" i="2" s="1"/>
  <c r="B347" i="2"/>
  <c r="B348" i="2"/>
  <c r="B349" i="2"/>
  <c r="I349" i="2" s="1"/>
  <c r="B350" i="2"/>
  <c r="B351" i="2"/>
  <c r="B352" i="2"/>
  <c r="B353" i="2"/>
  <c r="B354" i="2"/>
  <c r="B355" i="2"/>
  <c r="B356" i="2"/>
  <c r="B357" i="2"/>
  <c r="B358" i="2"/>
  <c r="B359" i="2"/>
  <c r="B360" i="2"/>
  <c r="B361" i="2"/>
  <c r="B362" i="2"/>
  <c r="I362" i="2" s="1"/>
  <c r="B363" i="2"/>
  <c r="I363" i="2" s="1"/>
  <c r="B364" i="2"/>
  <c r="B365" i="2"/>
  <c r="I365" i="2" s="1"/>
  <c r="B366" i="2"/>
  <c r="C27" i="2"/>
  <c r="B367" i="2"/>
  <c r="B368" i="2"/>
  <c r="B369" i="2"/>
  <c r="B370" i="2"/>
  <c r="B371" i="2"/>
  <c r="I371" i="2" s="1"/>
  <c r="B372" i="2"/>
  <c r="B373" i="2"/>
  <c r="B374" i="2"/>
  <c r="B375" i="2"/>
  <c r="B376" i="2"/>
  <c r="B377" i="2"/>
  <c r="I377" i="2" s="1"/>
  <c r="B378" i="2"/>
  <c r="I378" i="2" s="1"/>
  <c r="B379" i="2"/>
  <c r="B380" i="2"/>
  <c r="I380" i="2" s="1"/>
  <c r="B381" i="2"/>
  <c r="B382" i="2"/>
  <c r="I382" i="2" s="1"/>
  <c r="B383" i="2"/>
  <c r="B384" i="2"/>
  <c r="B385" i="2"/>
  <c r="B386" i="2"/>
  <c r="B387" i="2"/>
  <c r="I387" i="2" s="1"/>
  <c r="B388" i="2"/>
  <c r="B389" i="2"/>
  <c r="B390" i="2"/>
  <c r="B391" i="2"/>
  <c r="B392" i="2"/>
  <c r="B393" i="2"/>
  <c r="I393" i="2" s="1"/>
  <c r="B394" i="2"/>
  <c r="I394" i="2" s="1"/>
  <c r="B395" i="2"/>
  <c r="B396" i="2"/>
  <c r="I396" i="2" s="1"/>
  <c r="B397" i="2"/>
  <c r="B398" i="2"/>
  <c r="B399" i="2"/>
  <c r="B400" i="2"/>
  <c r="B401" i="2"/>
  <c r="I401" i="2" s="1"/>
  <c r="B402" i="2"/>
  <c r="I402" i="2" s="1"/>
  <c r="B403" i="2"/>
  <c r="B404" i="2"/>
  <c r="B405" i="2"/>
  <c r="B406" i="2"/>
  <c r="B407" i="2"/>
  <c r="B408" i="2"/>
  <c r="I408" i="2" s="1"/>
  <c r="B409" i="2"/>
  <c r="I409" i="2" s="1"/>
  <c r="B410" i="2"/>
  <c r="I410" i="2" s="1"/>
  <c r="B411" i="2"/>
  <c r="B412" i="2"/>
  <c r="I412" i="2" s="1"/>
  <c r="B413" i="2"/>
  <c r="B414" i="2"/>
  <c r="I414" i="2" s="1"/>
  <c r="B415" i="2"/>
  <c r="B416" i="2"/>
  <c r="B417" i="2"/>
  <c r="I417" i="2" s="1"/>
  <c r="B418" i="2"/>
  <c r="B419" i="2"/>
  <c r="I419" i="2" s="1"/>
  <c r="B420" i="2"/>
  <c r="B421" i="2"/>
  <c r="B422" i="2"/>
  <c r="B423" i="2"/>
  <c r="B424" i="2"/>
  <c r="I424" i="2" s="1"/>
  <c r="B425" i="2"/>
  <c r="I425" i="2" s="1"/>
  <c r="B426" i="2"/>
  <c r="I426" i="2" s="1"/>
  <c r="B427" i="2"/>
  <c r="B428" i="2"/>
  <c r="I428" i="2" s="1"/>
  <c r="B429" i="2"/>
  <c r="B430" i="2"/>
  <c r="B431" i="2"/>
  <c r="B432" i="2"/>
  <c r="B433" i="2"/>
  <c r="B434" i="2"/>
  <c r="B435" i="2"/>
  <c r="B436" i="2"/>
  <c r="B437" i="2"/>
  <c r="B438" i="2"/>
  <c r="B439" i="2"/>
  <c r="B440" i="2"/>
  <c r="B441" i="2"/>
  <c r="B442" i="2"/>
  <c r="B443" i="2"/>
  <c r="B444" i="2"/>
  <c r="B445" i="2"/>
  <c r="B446" i="2"/>
  <c r="B447" i="2"/>
  <c r="B448" i="2"/>
  <c r="B449" i="2"/>
  <c r="I449" i="2" s="1"/>
  <c r="B450" i="2"/>
  <c r="B451" i="2"/>
  <c r="B452" i="2"/>
  <c r="B453" i="2"/>
  <c r="B454" i="2"/>
  <c r="B455" i="2"/>
  <c r="B456" i="2"/>
  <c r="B457" i="2"/>
  <c r="I457" i="2" s="1"/>
  <c r="B458" i="2"/>
  <c r="I458" i="2" s="1"/>
  <c r="B459" i="2"/>
  <c r="B460" i="2"/>
  <c r="I460" i="2" s="1"/>
  <c r="B461" i="2"/>
  <c r="B462" i="2"/>
  <c r="B463" i="2"/>
  <c r="B464" i="2"/>
  <c r="B465" i="2"/>
  <c r="B466" i="2"/>
  <c r="I466" i="2" s="1"/>
  <c r="B467" i="2"/>
  <c r="I467" i="2" s="1"/>
  <c r="B468" i="2"/>
  <c r="B469" i="2"/>
  <c r="B470" i="2"/>
  <c r="B471" i="2"/>
  <c r="B472" i="2"/>
  <c r="B473" i="2"/>
  <c r="I473" i="2" s="1"/>
  <c r="B474" i="2"/>
  <c r="I474" i="2" s="1"/>
  <c r="B475" i="2"/>
  <c r="B476" i="2"/>
  <c r="I476" i="2" s="1"/>
  <c r="B477" i="2"/>
  <c r="B478" i="2"/>
  <c r="B479" i="2"/>
  <c r="B480" i="2"/>
  <c r="B481" i="2"/>
  <c r="B482" i="2"/>
  <c r="B483" i="2"/>
  <c r="B484" i="2"/>
  <c r="B485" i="2"/>
  <c r="B486" i="2"/>
  <c r="B487" i="2"/>
  <c r="B488" i="2"/>
  <c r="B489" i="2"/>
  <c r="I489" i="2" s="1"/>
  <c r="B490" i="2"/>
  <c r="B491" i="2"/>
  <c r="B492" i="2"/>
  <c r="B493" i="2"/>
  <c r="B494" i="2"/>
  <c r="I494" i="2" s="1"/>
  <c r="B495" i="2"/>
  <c r="B496" i="2"/>
  <c r="B497" i="2"/>
  <c r="B498" i="2"/>
  <c r="B499" i="2"/>
  <c r="B500" i="2"/>
  <c r="B501" i="2"/>
  <c r="B502" i="2"/>
  <c r="B503" i="2"/>
  <c r="B504" i="2"/>
  <c r="B505" i="2"/>
  <c r="I505" i="2" s="1"/>
  <c r="B506" i="2"/>
  <c r="B507" i="2"/>
  <c r="B508" i="2"/>
  <c r="B509" i="2"/>
  <c r="B510" i="2"/>
  <c r="B511" i="2"/>
  <c r="B512" i="2"/>
  <c r="B513" i="2"/>
  <c r="B514" i="2"/>
  <c r="B515" i="2"/>
  <c r="B516" i="2"/>
  <c r="B517" i="2"/>
  <c r="B518" i="2"/>
  <c r="B519" i="2"/>
  <c r="B520" i="2"/>
  <c r="B521" i="2"/>
  <c r="I521" i="2" s="1"/>
  <c r="B522" i="2"/>
  <c r="B523" i="2"/>
  <c r="B524" i="2"/>
  <c r="I524" i="2" s="1"/>
  <c r="B525" i="2"/>
  <c r="B526" i="2"/>
  <c r="I526" i="2" s="1"/>
  <c r="B527" i="2"/>
  <c r="B528" i="2"/>
  <c r="I528" i="2" s="1"/>
  <c r="B529" i="2"/>
  <c r="B530" i="2"/>
  <c r="I530" i="2" s="1"/>
  <c r="B531" i="2"/>
  <c r="I531" i="2" s="1"/>
  <c r="B532" i="2"/>
  <c r="B533" i="2"/>
  <c r="B534" i="2"/>
  <c r="B535" i="2"/>
  <c r="B536" i="2"/>
  <c r="I536" i="2" s="1"/>
  <c r="B537" i="2"/>
  <c r="I537" i="2" s="1"/>
  <c r="B538" i="2"/>
  <c r="I538" i="2" s="1"/>
  <c r="B539" i="2"/>
  <c r="B540" i="2"/>
  <c r="I540" i="2" s="1"/>
  <c r="B541" i="2"/>
  <c r="B542" i="2"/>
  <c r="B543" i="2"/>
  <c r="B544" i="2"/>
  <c r="I544" i="2" s="1"/>
  <c r="B545" i="2"/>
  <c r="I545" i="2" s="1"/>
  <c r="B546" i="2"/>
  <c r="B547" i="2"/>
  <c r="B548" i="2"/>
  <c r="B549" i="2"/>
  <c r="B550" i="2"/>
  <c r="B551" i="2"/>
  <c r="B552" i="2"/>
  <c r="I552" i="2" s="1"/>
  <c r="B553" i="2"/>
  <c r="I553" i="2" s="1"/>
  <c r="B554" i="2"/>
  <c r="I554" i="2" s="1"/>
  <c r="B555" i="2"/>
  <c r="B556" i="2"/>
  <c r="I556" i="2" s="1"/>
  <c r="B557" i="2"/>
  <c r="I557" i="2" s="1"/>
  <c r="B558" i="2"/>
  <c r="I558" i="2" s="1"/>
  <c r="B559" i="2"/>
  <c r="B560" i="2"/>
  <c r="B561" i="2"/>
  <c r="I561" i="2" s="1"/>
  <c r="B562" i="2"/>
  <c r="I562" i="2" s="1"/>
  <c r="B563" i="2"/>
  <c r="I563" i="2" s="1"/>
  <c r="B564" i="2"/>
  <c r="B565" i="2"/>
  <c r="B566" i="2"/>
  <c r="B567" i="2"/>
  <c r="I567" i="2" s="1"/>
  <c r="B568" i="2"/>
  <c r="I568" i="2" s="1"/>
  <c r="B569" i="2"/>
  <c r="I569" i="2" s="1"/>
  <c r="B570" i="2"/>
  <c r="B571" i="2"/>
  <c r="I571" i="2" s="1"/>
  <c r="B572" i="2"/>
  <c r="B573" i="2"/>
  <c r="B574" i="2"/>
  <c r="B575" i="2"/>
  <c r="B576" i="2"/>
  <c r="B577" i="2"/>
  <c r="B578" i="2"/>
  <c r="B579" i="2"/>
  <c r="B580" i="2"/>
  <c r="B581" i="2"/>
  <c r="B582" i="2"/>
  <c r="B583" i="2"/>
  <c r="B584" i="2"/>
  <c r="B585" i="2"/>
  <c r="I585" i="2" s="1"/>
  <c r="B586" i="2"/>
  <c r="B587" i="2"/>
  <c r="B588" i="2"/>
  <c r="B589" i="2"/>
  <c r="B590" i="2"/>
  <c r="B591" i="2"/>
  <c r="B592" i="2"/>
  <c r="B593" i="2"/>
  <c r="B594" i="2"/>
  <c r="B595" i="2"/>
  <c r="B596" i="2"/>
  <c r="B597" i="2"/>
  <c r="B598" i="2"/>
  <c r="B599" i="2"/>
  <c r="B600" i="2"/>
  <c r="B601" i="2"/>
  <c r="I601" i="2" s="1"/>
  <c r="B602" i="2"/>
  <c r="B603" i="2"/>
  <c r="I603" i="2" s="1"/>
  <c r="B604" i="2"/>
  <c r="B605" i="2"/>
  <c r="B606" i="2"/>
  <c r="B607" i="2"/>
  <c r="B608" i="2"/>
  <c r="B609" i="2"/>
  <c r="B610" i="2"/>
  <c r="B611" i="2"/>
  <c r="B612" i="2"/>
  <c r="B613" i="2"/>
  <c r="B614" i="2"/>
  <c r="B615" i="2"/>
  <c r="B616" i="2"/>
  <c r="B617" i="2"/>
  <c r="B618" i="2"/>
  <c r="B619" i="2"/>
  <c r="B620" i="2"/>
  <c r="B621" i="2"/>
  <c r="B622" i="2"/>
  <c r="B623" i="2"/>
  <c r="B624" i="2"/>
  <c r="B625" i="2"/>
  <c r="B626" i="2"/>
  <c r="B627" i="2"/>
  <c r="B628" i="2"/>
  <c r="B629" i="2"/>
  <c r="B630" i="2"/>
  <c r="B631" i="2"/>
  <c r="B632" i="2"/>
  <c r="B633" i="2"/>
  <c r="B634" i="2"/>
  <c r="B635" i="2"/>
  <c r="B636" i="2"/>
  <c r="B637" i="2"/>
  <c r="B638" i="2"/>
  <c r="B639" i="2"/>
  <c r="B640" i="2"/>
  <c r="I640" i="2" s="1"/>
  <c r="B641" i="2"/>
  <c r="B642" i="2"/>
  <c r="B643" i="2"/>
  <c r="B644" i="2"/>
  <c r="B645" i="2"/>
  <c r="B646" i="2"/>
  <c r="B647" i="2"/>
  <c r="B648" i="2"/>
  <c r="B649" i="2"/>
  <c r="B650" i="2"/>
  <c r="B651" i="2"/>
  <c r="I651" i="2" s="1"/>
  <c r="B652" i="2"/>
  <c r="B653" i="2"/>
  <c r="I653" i="2" s="1"/>
  <c r="B654" i="2"/>
  <c r="I654" i="2" s="1"/>
  <c r="B655" i="2"/>
  <c r="B656" i="2"/>
  <c r="I656" i="2" s="1"/>
  <c r="B657" i="2"/>
  <c r="B658" i="2"/>
  <c r="B659" i="2"/>
  <c r="B660" i="2"/>
  <c r="B661" i="2"/>
  <c r="I661" i="2" s="1"/>
  <c r="B662" i="2"/>
  <c r="I662" i="2" s="1"/>
  <c r="B663" i="2"/>
  <c r="B664" i="2"/>
  <c r="B665" i="2"/>
  <c r="B666" i="2"/>
  <c r="B667" i="2"/>
  <c r="I667" i="2" s="1"/>
  <c r="B668" i="2"/>
  <c r="B669" i="2"/>
  <c r="B670" i="2"/>
  <c r="B671" i="2"/>
  <c r="I671" i="2" s="1"/>
  <c r="B672" i="2"/>
  <c r="I672" i="2" s="1"/>
  <c r="B673" i="2"/>
  <c r="B674" i="2"/>
  <c r="B675" i="2"/>
  <c r="B676" i="2"/>
  <c r="B677" i="2"/>
  <c r="B678" i="2"/>
  <c r="I678" i="2" s="1"/>
  <c r="B679" i="2"/>
  <c r="B680" i="2"/>
  <c r="B681" i="2"/>
  <c r="I681" i="2" s="1"/>
  <c r="B682" i="2"/>
  <c r="B683" i="2"/>
  <c r="I683" i="2" s="1"/>
  <c r="B684" i="2"/>
  <c r="B685" i="2"/>
  <c r="B686" i="2"/>
  <c r="B687" i="2"/>
  <c r="B688" i="2"/>
  <c r="I688" i="2" s="1"/>
  <c r="B689" i="2"/>
  <c r="B690" i="2"/>
  <c r="B691" i="2"/>
  <c r="B692" i="2"/>
  <c r="B693" i="2"/>
  <c r="B694" i="2"/>
  <c r="B695" i="2"/>
  <c r="B696" i="2"/>
  <c r="B697" i="2"/>
  <c r="B698" i="2"/>
  <c r="B699" i="2"/>
  <c r="I699" i="2" s="1"/>
  <c r="B700" i="2"/>
  <c r="B701" i="2"/>
  <c r="B702" i="2"/>
  <c r="B703" i="2"/>
  <c r="B704" i="2"/>
  <c r="B705" i="2"/>
  <c r="B706" i="2"/>
  <c r="B707" i="2"/>
  <c r="B708" i="2"/>
  <c r="B709" i="2"/>
  <c r="B710" i="2"/>
  <c r="B711" i="2"/>
  <c r="B712" i="2"/>
  <c r="B713" i="2"/>
  <c r="B714" i="2"/>
  <c r="B715" i="2"/>
  <c r="B716" i="2"/>
  <c r="B717" i="2"/>
  <c r="B718" i="2"/>
  <c r="B719" i="2"/>
  <c r="B720" i="2"/>
  <c r="B721" i="2"/>
  <c r="B722" i="2"/>
  <c r="B723" i="2"/>
  <c r="B724" i="2"/>
  <c r="B725" i="2"/>
  <c r="B726" i="2"/>
  <c r="B727" i="2"/>
  <c r="B728" i="2"/>
  <c r="B729" i="2"/>
  <c r="B730" i="2"/>
  <c r="B731" i="2"/>
  <c r="B732" i="2"/>
  <c r="B733" i="2"/>
  <c r="B734" i="2"/>
  <c r="I734" i="2" s="1"/>
  <c r="B735" i="2"/>
  <c r="B736" i="2"/>
  <c r="B737" i="2"/>
  <c r="B738" i="2"/>
  <c r="B739" i="2"/>
  <c r="B740" i="2"/>
  <c r="I740" i="2" s="1"/>
  <c r="B741" i="2"/>
  <c r="B742" i="2"/>
  <c r="I742" i="2" s="1"/>
  <c r="B743" i="2"/>
  <c r="B744" i="2"/>
  <c r="I744" i="2" s="1"/>
  <c r="B745" i="2"/>
  <c r="B746" i="2"/>
  <c r="I746" i="2" s="1"/>
  <c r="B747" i="2"/>
  <c r="B748" i="2"/>
  <c r="B749" i="2"/>
  <c r="I749" i="2" s="1"/>
  <c r="B750" i="2"/>
  <c r="I750" i="2" s="1"/>
  <c r="B751" i="2"/>
  <c r="B752" i="2"/>
  <c r="B753" i="2"/>
  <c r="B754" i="2"/>
  <c r="B755" i="2"/>
  <c r="B756" i="2"/>
  <c r="B757" i="2"/>
  <c r="B758" i="2"/>
  <c r="B759" i="2"/>
  <c r="B760" i="2"/>
  <c r="I760" i="2" s="1"/>
  <c r="B761" i="2"/>
  <c r="B762" i="2"/>
  <c r="I762" i="2" s="1"/>
  <c r="B763" i="2"/>
  <c r="B764" i="2"/>
  <c r="B765" i="2"/>
  <c r="B766" i="2"/>
  <c r="I766" i="2" s="1"/>
  <c r="B767" i="2"/>
  <c r="B768" i="2"/>
  <c r="B769" i="2"/>
  <c r="B770" i="2"/>
  <c r="B771" i="2"/>
  <c r="B772" i="2"/>
  <c r="I772" i="2" s="1"/>
  <c r="B773" i="2"/>
  <c r="B774" i="2"/>
  <c r="B775" i="2"/>
  <c r="B776" i="2"/>
  <c r="I776" i="2" s="1"/>
  <c r="B777" i="2"/>
  <c r="I777" i="2" s="1"/>
  <c r="B778" i="2"/>
  <c r="I778" i="2" s="1"/>
  <c r="B779" i="2"/>
  <c r="I779" i="2" s="1"/>
  <c r="B780" i="2"/>
  <c r="B781" i="2"/>
  <c r="I781" i="2" s="1"/>
  <c r="B782" i="2"/>
  <c r="I782" i="2" s="1"/>
  <c r="B783" i="2"/>
  <c r="I783" i="2" s="1"/>
  <c r="B784" i="2"/>
  <c r="B785" i="2"/>
  <c r="B786" i="2"/>
  <c r="B787" i="2"/>
  <c r="B788" i="2"/>
  <c r="I788" i="2" s="1"/>
  <c r="B789" i="2"/>
  <c r="B790" i="2"/>
  <c r="I790" i="2" s="1"/>
  <c r="B791" i="2"/>
  <c r="I791" i="2" s="1"/>
  <c r="B792" i="2"/>
  <c r="B793" i="2"/>
  <c r="B794" i="2"/>
  <c r="I794" i="2" s="1"/>
  <c r="B795" i="2"/>
  <c r="B796" i="2"/>
  <c r="B797" i="2"/>
  <c r="B798" i="2"/>
  <c r="B799" i="2"/>
  <c r="B800" i="2"/>
  <c r="B801" i="2"/>
  <c r="B802" i="2"/>
  <c r="B803" i="2"/>
  <c r="B804" i="2"/>
  <c r="B805" i="2"/>
  <c r="B806" i="2"/>
  <c r="B807" i="2"/>
  <c r="B808" i="2"/>
  <c r="I808" i="2" s="1"/>
  <c r="B809" i="2"/>
  <c r="B810" i="2"/>
  <c r="I810" i="2" s="1"/>
  <c r="B811" i="2"/>
  <c r="B812" i="2"/>
  <c r="B813" i="2"/>
  <c r="B814" i="2"/>
  <c r="B815" i="2"/>
  <c r="B816" i="2"/>
  <c r="B817" i="2"/>
  <c r="B818" i="2"/>
  <c r="B819" i="2"/>
  <c r="B820" i="2"/>
  <c r="I820" i="2" s="1"/>
  <c r="B821" i="2"/>
  <c r="B822" i="2"/>
  <c r="B823" i="2"/>
  <c r="B824" i="2"/>
  <c r="I824" i="2" s="1"/>
  <c r="B825" i="2"/>
  <c r="B826" i="2"/>
  <c r="I826" i="2" s="1"/>
  <c r="B827" i="2"/>
  <c r="B828" i="2"/>
  <c r="B829" i="2"/>
  <c r="B830" i="2"/>
  <c r="B831" i="2"/>
  <c r="B832" i="2"/>
  <c r="B833" i="2"/>
  <c r="B834" i="2"/>
  <c r="B835" i="2"/>
  <c r="B836" i="2"/>
  <c r="B837" i="2"/>
  <c r="B838" i="2"/>
  <c r="B839" i="2"/>
  <c r="B840" i="2"/>
  <c r="B841" i="2"/>
  <c r="B842" i="2"/>
  <c r="B843" i="2"/>
  <c r="B844" i="2"/>
  <c r="B845" i="2"/>
  <c r="B846" i="2"/>
  <c r="B847" i="2"/>
  <c r="B848" i="2"/>
  <c r="B849" i="2"/>
  <c r="B850" i="2"/>
  <c r="B851" i="2"/>
  <c r="B852" i="2"/>
  <c r="B853" i="2"/>
  <c r="B854" i="2"/>
  <c r="B855" i="2"/>
  <c r="B856" i="2"/>
  <c r="I856" i="2" s="1"/>
  <c r="B857" i="2"/>
  <c r="B858" i="2"/>
  <c r="B859" i="2"/>
  <c r="B860" i="2"/>
  <c r="I860" i="2" s="1"/>
  <c r="B861" i="2"/>
  <c r="B862" i="2"/>
  <c r="B863" i="2"/>
  <c r="B864" i="2"/>
  <c r="B865" i="2"/>
  <c r="B866" i="2"/>
  <c r="B867" i="2"/>
  <c r="B868" i="2"/>
  <c r="B869" i="2"/>
  <c r="B870" i="2"/>
  <c r="B871" i="2"/>
  <c r="B872" i="2"/>
  <c r="B873" i="2"/>
  <c r="B874" i="2"/>
  <c r="B875" i="2"/>
  <c r="I875" i="2" s="1"/>
  <c r="B876" i="2"/>
  <c r="B877" i="2"/>
  <c r="B878" i="2"/>
  <c r="B879" i="2"/>
  <c r="B880" i="2"/>
  <c r="B881" i="2"/>
  <c r="B882" i="2"/>
  <c r="B883" i="2"/>
  <c r="B884" i="2"/>
  <c r="B885" i="2"/>
  <c r="B886" i="2"/>
  <c r="B887" i="2"/>
  <c r="B888" i="2"/>
  <c r="I888" i="2" s="1"/>
  <c r="B889" i="2"/>
  <c r="B890" i="2"/>
  <c r="I890" i="2" s="1"/>
  <c r="B891" i="2"/>
  <c r="B892" i="2"/>
  <c r="I892" i="2" s="1"/>
  <c r="B893" i="2"/>
  <c r="I893" i="2" s="1"/>
  <c r="B894" i="2"/>
  <c r="I894" i="2" s="1"/>
  <c r="B895" i="2"/>
  <c r="I895" i="2" s="1"/>
  <c r="B896" i="2"/>
  <c r="B897" i="2"/>
  <c r="B898" i="2"/>
  <c r="B899" i="2"/>
  <c r="B900" i="2"/>
  <c r="B901" i="2"/>
  <c r="B902" i="2"/>
  <c r="I902" i="2" s="1"/>
  <c r="B903" i="2"/>
  <c r="B904" i="2"/>
  <c r="B905" i="2"/>
  <c r="I905" i="2" s="1"/>
  <c r="B906" i="2"/>
  <c r="I906" i="2" s="1"/>
  <c r="B907" i="2"/>
  <c r="I907" i="2" s="1"/>
  <c r="B908" i="2"/>
  <c r="B909" i="2"/>
  <c r="I909" i="2" s="1"/>
  <c r="B910" i="2"/>
  <c r="B911" i="2"/>
  <c r="I911" i="2" s="1"/>
  <c r="B912" i="2"/>
  <c r="B913" i="2"/>
  <c r="B914" i="2"/>
  <c r="I914" i="2" s="1"/>
  <c r="B915" i="2"/>
  <c r="I915" i="2"/>
  <c r="B916" i="2"/>
  <c r="I916" i="2" s="1"/>
  <c r="B917" i="2"/>
  <c r="B918" i="2"/>
  <c r="B919" i="2"/>
  <c r="I919" i="2" s="1"/>
  <c r="B920" i="2"/>
  <c r="B921" i="2"/>
  <c r="B922" i="2"/>
  <c r="B923" i="2"/>
  <c r="B924" i="2"/>
  <c r="I924" i="2" s="1"/>
  <c r="B925" i="2"/>
  <c r="I925" i="2" s="1"/>
  <c r="B926" i="2"/>
  <c r="I926" i="2" s="1"/>
  <c r="B927" i="2"/>
  <c r="B928" i="2"/>
  <c r="B929" i="2"/>
  <c r="I929" i="2" s="1"/>
  <c r="B930" i="2"/>
  <c r="B931" i="2"/>
  <c r="B932" i="2"/>
  <c r="B933" i="2"/>
  <c r="I933" i="2" s="1"/>
  <c r="B934" i="2"/>
  <c r="I934" i="2" s="1"/>
  <c r="B935" i="2"/>
  <c r="B936" i="2"/>
  <c r="I936" i="2" s="1"/>
  <c r="B937" i="2"/>
  <c r="I937" i="2" s="1"/>
  <c r="B938" i="2"/>
  <c r="I938" i="2" s="1"/>
  <c r="B939" i="2"/>
  <c r="I939" i="2" s="1"/>
  <c r="B940" i="2"/>
  <c r="I940" i="2" s="1"/>
  <c r="B941" i="2"/>
  <c r="B942" i="2"/>
  <c r="B943" i="2"/>
  <c r="B944" i="2"/>
  <c r="B945" i="2"/>
  <c r="I945" i="2" s="1"/>
  <c r="B946" i="2"/>
  <c r="B947" i="2"/>
  <c r="B948" i="2"/>
  <c r="B949" i="2"/>
  <c r="B950" i="2"/>
  <c r="B951" i="2"/>
  <c r="I951" i="2" s="1"/>
  <c r="B952" i="2"/>
  <c r="B953" i="2"/>
  <c r="I953" i="2" s="1"/>
  <c r="B954" i="2"/>
  <c r="B955" i="2"/>
  <c r="I955" i="2" s="1"/>
  <c r="B956" i="2"/>
  <c r="B957" i="2"/>
  <c r="B958" i="2"/>
  <c r="B959" i="2"/>
  <c r="I959" i="2" s="1"/>
  <c r="B960" i="2"/>
  <c r="I960" i="2" s="1"/>
  <c r="B961" i="2"/>
  <c r="I961" i="2" s="1"/>
  <c r="B962" i="2"/>
  <c r="B963" i="2"/>
  <c r="I963" i="2" s="1"/>
  <c r="B964" i="2"/>
  <c r="B965" i="2"/>
  <c r="I965" i="2" s="1"/>
  <c r="B966" i="2"/>
  <c r="B967" i="2"/>
  <c r="I967" i="2" s="1"/>
  <c r="B968" i="2"/>
  <c r="I968" i="2" s="1"/>
  <c r="B969" i="2"/>
  <c r="B970" i="2"/>
  <c r="I970" i="2" s="1"/>
  <c r="B971" i="2"/>
  <c r="B972" i="2"/>
  <c r="B973" i="2"/>
  <c r="B974" i="2"/>
  <c r="B975" i="2"/>
  <c r="B976" i="2"/>
  <c r="I976" i="2" s="1"/>
  <c r="B977" i="2"/>
  <c r="B978" i="2"/>
  <c r="B979" i="2"/>
  <c r="B980" i="2"/>
  <c r="B981" i="2"/>
  <c r="I981" i="2" s="1"/>
  <c r="B982" i="2"/>
  <c r="B983" i="2"/>
  <c r="B984" i="2"/>
  <c r="I984" i="2" s="1"/>
  <c r="B985" i="2"/>
  <c r="B986" i="2"/>
  <c r="B987" i="2"/>
  <c r="B988" i="2"/>
  <c r="B989" i="2"/>
  <c r="B990" i="2"/>
  <c r="B991" i="2"/>
  <c r="I991" i="2" s="1"/>
  <c r="B992" i="2"/>
  <c r="I992" i="2" s="1"/>
  <c r="B993" i="2"/>
  <c r="B994" i="2"/>
  <c r="B995" i="2"/>
  <c r="B996" i="2"/>
  <c r="I996" i="2" s="1"/>
  <c r="B997" i="2"/>
  <c r="B998" i="2"/>
  <c r="B999" i="2"/>
  <c r="B1000" i="2"/>
  <c r="I1000" i="2" s="1"/>
  <c r="B1001" i="2"/>
  <c r="B1002" i="2"/>
  <c r="B1003" i="2"/>
  <c r="B1004" i="2"/>
  <c r="B1005" i="2"/>
  <c r="B1006" i="2"/>
  <c r="B1007" i="2"/>
  <c r="I1007" i="2" s="1"/>
  <c r="B1008" i="2"/>
  <c r="I1008" i="2" s="1"/>
  <c r="B1009" i="2"/>
  <c r="B1010" i="2"/>
  <c r="B1011" i="2"/>
  <c r="B1012" i="2"/>
  <c r="I1012" i="2" s="1"/>
  <c r="B1013" i="2"/>
  <c r="I1013" i="2" s="1"/>
  <c r="B1014" i="2"/>
  <c r="I1014" i="2" s="1"/>
  <c r="B1015" i="2"/>
  <c r="B1016" i="2"/>
  <c r="I1016" i="2" s="1"/>
  <c r="B1017" i="2"/>
  <c r="I1017" i="2" s="1"/>
  <c r="B1018" i="2"/>
  <c r="B1019" i="2"/>
  <c r="B1020" i="2"/>
  <c r="B1021" i="2"/>
  <c r="B1022" i="2"/>
  <c r="I1022" i="2" s="1"/>
  <c r="B1023" i="2"/>
  <c r="I1023" i="2" s="1"/>
  <c r="B1024" i="2"/>
  <c r="I1024" i="2" s="1"/>
  <c r="B1025" i="2"/>
  <c r="B1026" i="2"/>
  <c r="I1026" i="2" s="1"/>
  <c r="B1027" i="2"/>
  <c r="I1027" i="2" s="1"/>
  <c r="B1028" i="2"/>
  <c r="I1028" i="2" s="1"/>
  <c r="B1029" i="2"/>
  <c r="I1029" i="2" s="1"/>
  <c r="B1030" i="2"/>
  <c r="I1030" i="2" s="1"/>
  <c r="B1031" i="2"/>
  <c r="I1031" i="2" s="1"/>
  <c r="B1032" i="2"/>
  <c r="I1032" i="2" s="1"/>
  <c r="B1033" i="2"/>
  <c r="B1034" i="2"/>
  <c r="B1035" i="2"/>
  <c r="B1036" i="2"/>
  <c r="B1037" i="2"/>
  <c r="B1038" i="2"/>
  <c r="I1038" i="2" s="1"/>
  <c r="B1039" i="2"/>
  <c r="I1039" i="2" s="1"/>
  <c r="B1040" i="2"/>
  <c r="I1040" i="2" s="1"/>
  <c r="B1041" i="2"/>
  <c r="B1042" i="2"/>
  <c r="I1042" i="2" s="1"/>
  <c r="B1043" i="2"/>
  <c r="B1044" i="2"/>
  <c r="I1044" i="2" s="1"/>
  <c r="B1045" i="2"/>
  <c r="B1046" i="2"/>
  <c r="I1046" i="2" s="1"/>
  <c r="B1047" i="2"/>
  <c r="I1047" i="2" s="1"/>
  <c r="B1048" i="2"/>
  <c r="I1048" i="2" s="1"/>
  <c r="B1049" i="2"/>
  <c r="B1050" i="2"/>
  <c r="B1051" i="2"/>
  <c r="B1052" i="2"/>
  <c r="B1053" i="2"/>
  <c r="I1053" i="2" s="1"/>
  <c r="B1054" i="2"/>
  <c r="I1054" i="2" s="1"/>
  <c r="B1055" i="2"/>
  <c r="B1056" i="2"/>
  <c r="I1056" i="2" s="1"/>
  <c r="B1057" i="2"/>
  <c r="I1057" i="2" s="1"/>
  <c r="B1058" i="2"/>
  <c r="I1058" i="2" s="1"/>
  <c r="B1059" i="2"/>
  <c r="B1060" i="2"/>
  <c r="B1061" i="2"/>
  <c r="I1061" i="2" s="1"/>
  <c r="B1062" i="2"/>
  <c r="I1062" i="2" s="1"/>
  <c r="B1063" i="2"/>
  <c r="I1063" i="2" s="1"/>
  <c r="B1064" i="2"/>
  <c r="I1064" i="2" s="1"/>
  <c r="B1065" i="2"/>
  <c r="B1066" i="2"/>
  <c r="B1067" i="2"/>
  <c r="B1068" i="2"/>
  <c r="B1069" i="2"/>
  <c r="I1069" i="2" s="1"/>
  <c r="B1070" i="2"/>
  <c r="B1071" i="2"/>
  <c r="B1072" i="2"/>
  <c r="B1073" i="2"/>
  <c r="B1074" i="2"/>
  <c r="I1074" i="2" s="1"/>
  <c r="B1075" i="2"/>
  <c r="B1076" i="2"/>
  <c r="B1077" i="2"/>
  <c r="I1077" i="2" s="1"/>
  <c r="B1078" i="2"/>
  <c r="B1079" i="2"/>
  <c r="B1080" i="2"/>
  <c r="B1081" i="2"/>
  <c r="B1082" i="2"/>
  <c r="B1083" i="2"/>
  <c r="B1084" i="2"/>
  <c r="B1085" i="2"/>
  <c r="I1085" i="2" s="1"/>
  <c r="B1086" i="2"/>
  <c r="B1087" i="2"/>
  <c r="B1088" i="2"/>
  <c r="I1088" i="2" s="1"/>
  <c r="B1089" i="2"/>
  <c r="B1090" i="2"/>
  <c r="I1090" i="2" s="1"/>
  <c r="B1091" i="2"/>
  <c r="B1092" i="2"/>
  <c r="B1093" i="2"/>
  <c r="I1093" i="2" s="1"/>
  <c r="B1094" i="2"/>
  <c r="B1095" i="2"/>
  <c r="B1096" i="2"/>
  <c r="B1097" i="2"/>
  <c r="B1098" i="2"/>
  <c r="B1099" i="2"/>
  <c r="B1100" i="2"/>
  <c r="I1100" i="2" s="1"/>
  <c r="B1101" i="2"/>
  <c r="I1101" i="2" s="1"/>
  <c r="B1102" i="2"/>
  <c r="B1103" i="2"/>
  <c r="B1104" i="2"/>
  <c r="I1104" i="2" s="1"/>
  <c r="B1105" i="2"/>
  <c r="I1105" i="2" s="1"/>
  <c r="B1106" i="2"/>
  <c r="B1107" i="2"/>
  <c r="I1107" i="2"/>
  <c r="B1108" i="2"/>
  <c r="I1108" i="2" s="1"/>
  <c r="B1109" i="2"/>
  <c r="I1109" i="2" s="1"/>
  <c r="B1110" i="2"/>
  <c r="I1110" i="2" s="1"/>
  <c r="B1111" i="2"/>
  <c r="I1111" i="2" s="1"/>
  <c r="B1112" i="2"/>
  <c r="B1113" i="2"/>
  <c r="I1113" i="2" s="1"/>
  <c r="B1114" i="2"/>
  <c r="I1114" i="2" s="1"/>
  <c r="B1115" i="2"/>
  <c r="I1115" i="2" s="1"/>
  <c r="B1116" i="2"/>
  <c r="I1116" i="2" s="1"/>
  <c r="B1117" i="2"/>
  <c r="B1118" i="2"/>
  <c r="B1119" i="2"/>
  <c r="B1120" i="2"/>
  <c r="B1121" i="2"/>
  <c r="B1122" i="2"/>
  <c r="I1122" i="2" s="1"/>
  <c r="B1123" i="2"/>
  <c r="I1123" i="2" s="1"/>
  <c r="B1124" i="2"/>
  <c r="B1125" i="2"/>
  <c r="B1126" i="2"/>
  <c r="B1127" i="2"/>
  <c r="B1128" i="2"/>
  <c r="B1129" i="2"/>
  <c r="B1130" i="2"/>
  <c r="I1130" i="2" s="1"/>
  <c r="B1131" i="2"/>
  <c r="I1131" i="2" s="1"/>
  <c r="B1132" i="2"/>
  <c r="B1133" i="2"/>
  <c r="B1134" i="2"/>
  <c r="B1135" i="2"/>
  <c r="B1136" i="2"/>
  <c r="I1136" i="2" s="1"/>
  <c r="B1137" i="2"/>
  <c r="I1137" i="2" s="1"/>
  <c r="B1138" i="2"/>
  <c r="I1138" i="2" s="1"/>
  <c r="B1139" i="2"/>
  <c r="I1139" i="2" s="1"/>
  <c r="B1140" i="2"/>
  <c r="I1140" i="2" s="1"/>
  <c r="B1141" i="2"/>
  <c r="I1141" i="2" s="1"/>
  <c r="B1142" i="2"/>
  <c r="B1143" i="2"/>
  <c r="I1143" i="2" s="1"/>
  <c r="B1144" i="2"/>
  <c r="B1145" i="2"/>
  <c r="I1145" i="2" s="1"/>
  <c r="B1146" i="2"/>
  <c r="I1146" i="2" s="1"/>
  <c r="B1147" i="2"/>
  <c r="I1147" i="2" s="1"/>
  <c r="B1148" i="2"/>
  <c r="B1149" i="2"/>
  <c r="B1150" i="2"/>
  <c r="B1151" i="2"/>
  <c r="I1151" i="2" s="1"/>
  <c r="B1152" i="2"/>
  <c r="B1153" i="2"/>
  <c r="B1154" i="2"/>
  <c r="I1154" i="2" s="1"/>
  <c r="B1155" i="2"/>
  <c r="B1156" i="2"/>
  <c r="B1157" i="2"/>
  <c r="B1158" i="2"/>
  <c r="B1159" i="2"/>
  <c r="B1160" i="2"/>
  <c r="B1161" i="2"/>
  <c r="B1162" i="2"/>
  <c r="I1162" i="2" s="1"/>
  <c r="B1163" i="2"/>
  <c r="B1164" i="2"/>
  <c r="B1165" i="2"/>
  <c r="B1166" i="2"/>
  <c r="B1167" i="2"/>
  <c r="B1168" i="2"/>
  <c r="B1169" i="2"/>
  <c r="B1170" i="2"/>
  <c r="B1171" i="2"/>
  <c r="B1172" i="2"/>
  <c r="B1173" i="2"/>
  <c r="B1174" i="2"/>
  <c r="B1175" i="2"/>
  <c r="B1176" i="2"/>
  <c r="B1177" i="2"/>
  <c r="B1178" i="2"/>
  <c r="I1178" i="2" s="1"/>
  <c r="B1179" i="2"/>
  <c r="B1180" i="2"/>
  <c r="B1181" i="2"/>
  <c r="B1182" i="2"/>
  <c r="B1183" i="2"/>
  <c r="B1184" i="2"/>
  <c r="B1185" i="2"/>
  <c r="B1186" i="2"/>
  <c r="B1187" i="2"/>
  <c r="B1188" i="2"/>
  <c r="B1189" i="2"/>
  <c r="B1190" i="2"/>
  <c r="B1191" i="2"/>
  <c r="B1192" i="2"/>
  <c r="B1193" i="2"/>
  <c r="B1194" i="2"/>
  <c r="I1194" i="2" s="1"/>
  <c r="B1195" i="2"/>
  <c r="B1196" i="2"/>
  <c r="B1197" i="2"/>
  <c r="B1198" i="2"/>
  <c r="I1198" i="2" s="1"/>
  <c r="B1199" i="2"/>
  <c r="B1200" i="2"/>
  <c r="B1201" i="2"/>
  <c r="B1202" i="2"/>
  <c r="B1203" i="2"/>
  <c r="B1204" i="2"/>
  <c r="B1205" i="2"/>
  <c r="B1206" i="2"/>
  <c r="B1207" i="2"/>
  <c r="B1208" i="2"/>
  <c r="B1209" i="2"/>
  <c r="B1210" i="2"/>
  <c r="B1211" i="2"/>
  <c r="B1212" i="2"/>
  <c r="B1213" i="2"/>
  <c r="B1214" i="2"/>
  <c r="I1214" i="2" s="1"/>
  <c r="B1215" i="2"/>
  <c r="B1216" i="2"/>
  <c r="B1217" i="2"/>
  <c r="B1218" i="2"/>
  <c r="B1219" i="2"/>
  <c r="B1220" i="2"/>
  <c r="B1221" i="2"/>
  <c r="B1222" i="2"/>
  <c r="B1223" i="2"/>
  <c r="B1224" i="2"/>
  <c r="B1225" i="2"/>
  <c r="B1226" i="2"/>
  <c r="B1227" i="2"/>
  <c r="B1228" i="2"/>
  <c r="B1229" i="2"/>
  <c r="B1230" i="2"/>
  <c r="B1231" i="2"/>
  <c r="I1231" i="2" s="1"/>
  <c r="B1232" i="2"/>
  <c r="B1233" i="2"/>
  <c r="B1234" i="2"/>
  <c r="I1234" i="2" s="1"/>
  <c r="B1235" i="2"/>
  <c r="B1236" i="2"/>
  <c r="B1237" i="2"/>
  <c r="B1238" i="2"/>
  <c r="B1239" i="2"/>
  <c r="B1240" i="2"/>
  <c r="B1241" i="2"/>
  <c r="B1242" i="2"/>
  <c r="I1242" i="2" s="1"/>
  <c r="B1243" i="2"/>
  <c r="I1243" i="2" s="1"/>
  <c r="B1244" i="2"/>
  <c r="B1245" i="2"/>
  <c r="I1245" i="2" s="1"/>
  <c r="B1246" i="2"/>
  <c r="I1246" i="2" s="1"/>
  <c r="B1247" i="2"/>
  <c r="B1248" i="2"/>
  <c r="I1248" i="2" s="1"/>
  <c r="B1249" i="2"/>
  <c r="I1249" i="2" s="1"/>
  <c r="B1250" i="2"/>
  <c r="I1250" i="2" s="1"/>
  <c r="B1251" i="2"/>
  <c r="I1251" i="2" s="1"/>
  <c r="B1252" i="2"/>
  <c r="I1252" i="2" s="1"/>
  <c r="B1253" i="2"/>
  <c r="I1253" i="2" s="1"/>
  <c r="B1254" i="2"/>
  <c r="B1255" i="2"/>
  <c r="B1256" i="2"/>
  <c r="B1257" i="2"/>
  <c r="B1258" i="2"/>
  <c r="I1258" i="2" s="1"/>
  <c r="B1259" i="2"/>
  <c r="I1259" i="2" s="1"/>
  <c r="B1260" i="2"/>
  <c r="B1261" i="2"/>
  <c r="I1261" i="2" s="1"/>
  <c r="B1262" i="2"/>
  <c r="I1262" i="2" s="1"/>
  <c r="B1263" i="2"/>
  <c r="I1263" i="2" s="1"/>
  <c r="B1264" i="2"/>
  <c r="B1265" i="2"/>
  <c r="I1265" i="2" s="1"/>
  <c r="B1266" i="2"/>
  <c r="I1266" i="2" s="1"/>
  <c r="B1267" i="2"/>
  <c r="I1267" i="2" s="1"/>
  <c r="B1268" i="2"/>
  <c r="I1268" i="2" s="1"/>
  <c r="B1269" i="2"/>
  <c r="B1270" i="2"/>
  <c r="I1270" i="2" s="1"/>
  <c r="B1271" i="2"/>
  <c r="B1272" i="2"/>
  <c r="B1273" i="2"/>
  <c r="I1273" i="2" s="1"/>
  <c r="B1274" i="2"/>
  <c r="I1274" i="2" s="1"/>
  <c r="B1275" i="2"/>
  <c r="I1275" i="2" s="1"/>
  <c r="B1276" i="2"/>
  <c r="B1277" i="2"/>
  <c r="B1278" i="2"/>
  <c r="I1278" i="2" s="1"/>
  <c r="B1279" i="2"/>
  <c r="B1280" i="2"/>
  <c r="I1280" i="2" s="1"/>
  <c r="B1281" i="2"/>
  <c r="I1281" i="2" s="1"/>
  <c r="B1282" i="2"/>
  <c r="I1282" i="2" s="1"/>
  <c r="B1283" i="2"/>
  <c r="I1283" i="2" s="1"/>
  <c r="B1284" i="2"/>
  <c r="I1284" i="2" s="1"/>
  <c r="B1285" i="2"/>
  <c r="B1286" i="2"/>
  <c r="B1287" i="2"/>
  <c r="B1288" i="2"/>
  <c r="I1288" i="2" s="1"/>
  <c r="B1289" i="2"/>
  <c r="I1289" i="2" s="1"/>
  <c r="B1290" i="2"/>
  <c r="I1290" i="2" s="1"/>
  <c r="B1291" i="2"/>
  <c r="I1291" i="2" s="1"/>
  <c r="B1292" i="2"/>
  <c r="I1292" i="2" s="1"/>
  <c r="B1293" i="2"/>
  <c r="I1293" i="2" s="1"/>
  <c r="B1294" i="2"/>
  <c r="I1294" i="2" s="1"/>
  <c r="B1295" i="2"/>
  <c r="B1296" i="2"/>
  <c r="B1297" i="2"/>
  <c r="I1297" i="2" s="1"/>
  <c r="B1298" i="2"/>
  <c r="B1299" i="2"/>
  <c r="I1299" i="2" s="1"/>
  <c r="B1300" i="2"/>
  <c r="B1301" i="2"/>
  <c r="B1302" i="2"/>
  <c r="I1302" i="2" s="1"/>
  <c r="B1303" i="2"/>
  <c r="B1304" i="2"/>
  <c r="B1305" i="2"/>
  <c r="I1305" i="2" s="1"/>
  <c r="B1306" i="2"/>
  <c r="I1306" i="2" s="1"/>
  <c r="B1307" i="2"/>
  <c r="I1307" i="2" s="1"/>
  <c r="B1308" i="2"/>
  <c r="B1309" i="2"/>
  <c r="I1309" i="2" s="1"/>
  <c r="B1310" i="2"/>
  <c r="B1311" i="2"/>
  <c r="I1311" i="2" s="1"/>
  <c r="B1312" i="2"/>
  <c r="I1312" i="2" s="1"/>
  <c r="B1313" i="2"/>
  <c r="I1313" i="2" s="1"/>
  <c r="B1314" i="2"/>
  <c r="B1315" i="2"/>
  <c r="B1316" i="2"/>
  <c r="B1317" i="2"/>
  <c r="B1318" i="2"/>
  <c r="I1318" i="2" s="1"/>
  <c r="B1319" i="2"/>
  <c r="I1319" i="2" s="1"/>
  <c r="B1320" i="2"/>
  <c r="I1320" i="2" s="1"/>
  <c r="B1321" i="2"/>
  <c r="I1321" i="2" s="1"/>
  <c r="B1322" i="2"/>
  <c r="I1322" i="2" s="1"/>
  <c r="B1323" i="2"/>
  <c r="I1323" i="2" s="1"/>
  <c r="B1324" i="2"/>
  <c r="I1324" i="2" s="1"/>
  <c r="B1325" i="2"/>
  <c r="B1326" i="2"/>
  <c r="I1326" i="2" s="1"/>
  <c r="B1327" i="2"/>
  <c r="I1327" i="2" s="1"/>
  <c r="B1328" i="2"/>
  <c r="I1328" i="2" s="1"/>
  <c r="B1329" i="2"/>
  <c r="I1329" i="2" s="1"/>
  <c r="B1330" i="2"/>
  <c r="B1331" i="2"/>
  <c r="B1332" i="2"/>
  <c r="B1333" i="2"/>
  <c r="B1334" i="2"/>
  <c r="I1334" i="2" s="1"/>
  <c r="B1335" i="2"/>
  <c r="B1336" i="2"/>
  <c r="B1337" i="2"/>
  <c r="I1337" i="2" s="1"/>
  <c r="B1338" i="2"/>
  <c r="I1338" i="2" s="1"/>
  <c r="B1339" i="2"/>
  <c r="B1340" i="2"/>
  <c r="B1341" i="2"/>
  <c r="I1341" i="2" s="1"/>
  <c r="B1342" i="2"/>
  <c r="B1343" i="2"/>
  <c r="B1344" i="2"/>
  <c r="I1344" i="2" s="1"/>
  <c r="B1345" i="2"/>
  <c r="B1346" i="2"/>
  <c r="B1347" i="2"/>
  <c r="I1347" i="2" s="1"/>
  <c r="B1348" i="2"/>
  <c r="B1349" i="2"/>
  <c r="I1349" i="2" s="1"/>
  <c r="B1350" i="2"/>
  <c r="I1350" i="2" s="1"/>
  <c r="B1351" i="2"/>
  <c r="B1352" i="2"/>
  <c r="B1353" i="2"/>
  <c r="B1354" i="2"/>
  <c r="B1355" i="2"/>
  <c r="I1355" i="2" s="1"/>
  <c r="B1356" i="2"/>
  <c r="B1357" i="2"/>
  <c r="I1357" i="2" s="1"/>
  <c r="B1358" i="2"/>
  <c r="I1358" i="2" s="1"/>
  <c r="B1359" i="2"/>
  <c r="I1359" i="2" s="1"/>
  <c r="B1360" i="2"/>
  <c r="I1360" i="2" s="1"/>
  <c r="B1361" i="2"/>
  <c r="B1362" i="2"/>
  <c r="B1363" i="2"/>
  <c r="I1363" i="2" s="1"/>
  <c r="B1364" i="2"/>
  <c r="B1365" i="2"/>
  <c r="B1366" i="2"/>
  <c r="B1367" i="2"/>
  <c r="B1368" i="2"/>
  <c r="B1369" i="2"/>
  <c r="I1369" i="2" s="1"/>
  <c r="B1370" i="2"/>
  <c r="I1370" i="2"/>
  <c r="B1371" i="2"/>
  <c r="I1371" i="2" s="1"/>
  <c r="B1372" i="2"/>
  <c r="I1372" i="2" s="1"/>
  <c r="B1373" i="2"/>
  <c r="I1373" i="2" s="1"/>
  <c r="B1374" i="2"/>
  <c r="I1374" i="2" s="1"/>
  <c r="B1375" i="2"/>
  <c r="I1375" i="2" s="1"/>
  <c r="B1376" i="2"/>
  <c r="B1377" i="2"/>
  <c r="B1378" i="2"/>
  <c r="B1379" i="2"/>
  <c r="B1380" i="2"/>
  <c r="I1380" i="2" s="1"/>
  <c r="B1381" i="2"/>
  <c r="B1382" i="2"/>
  <c r="B1383" i="2"/>
  <c r="B1384" i="2"/>
  <c r="I1384" i="2" s="1"/>
  <c r="B1385" i="2"/>
  <c r="B1386" i="2"/>
  <c r="I1386" i="2" s="1"/>
  <c r="B1387" i="2"/>
  <c r="B1388" i="2"/>
  <c r="I1388" i="2" s="1"/>
  <c r="B1389" i="2"/>
  <c r="I1389" i="2" s="1"/>
  <c r="B1390" i="2"/>
  <c r="I1390" i="2" s="1"/>
  <c r="B1391" i="2"/>
  <c r="I1391" i="2" s="1"/>
  <c r="B1392" i="2"/>
  <c r="B1393" i="2"/>
  <c r="B1394" i="2"/>
  <c r="B1395" i="2"/>
  <c r="I1395" i="2" s="1"/>
  <c r="B1396" i="2"/>
  <c r="I1396" i="2" s="1"/>
  <c r="B1397" i="2"/>
  <c r="B1398" i="2"/>
  <c r="I1398" i="2" s="1"/>
  <c r="B1399" i="2"/>
  <c r="B1400" i="2"/>
  <c r="I1400" i="2" s="1"/>
  <c r="B1401" i="2"/>
  <c r="I1401" i="2"/>
  <c r="B1402" i="2"/>
  <c r="B1403" i="2"/>
  <c r="B1404" i="2"/>
  <c r="I1404" i="2" s="1"/>
  <c r="B1405" i="2"/>
  <c r="I1405" i="2" s="1"/>
  <c r="B1406" i="2"/>
  <c r="B1407" i="2"/>
  <c r="B1408" i="2"/>
  <c r="B1409" i="2"/>
  <c r="I1409" i="2" s="1"/>
  <c r="B1410" i="2"/>
  <c r="I1410" i="2" s="1"/>
  <c r="B1411" i="2"/>
  <c r="B1412" i="2"/>
  <c r="I1412" i="2" s="1"/>
  <c r="B1413" i="2"/>
  <c r="B1414" i="2"/>
  <c r="B1415" i="2"/>
  <c r="I1415" i="2" s="1"/>
  <c r="B1416" i="2"/>
  <c r="I1416" i="2" s="1"/>
  <c r="B1417" i="2"/>
  <c r="I1417" i="2" s="1"/>
  <c r="B1418" i="2"/>
  <c r="B1419" i="2"/>
  <c r="I1419" i="2" s="1"/>
  <c r="B1420" i="2"/>
  <c r="B1421" i="2"/>
  <c r="I1421" i="2" s="1"/>
  <c r="B1422" i="2"/>
  <c r="B1423" i="2"/>
  <c r="F23" i="2"/>
  <c r="Q833" i="2" s="1"/>
  <c r="I756" i="2"/>
  <c r="I732" i="2"/>
  <c r="I281" i="2"/>
  <c r="I49" i="2"/>
  <c r="I946" i="2"/>
  <c r="I183" i="2"/>
  <c r="I518" i="2"/>
  <c r="I1296" i="2"/>
  <c r="I944" i="2"/>
  <c r="I921" i="2"/>
  <c r="I891" i="2"/>
  <c r="I573" i="2"/>
  <c r="I523" i="2"/>
  <c r="I188" i="2"/>
  <c r="I1304" i="2"/>
  <c r="I1060" i="2"/>
  <c r="I920" i="2"/>
  <c r="I695" i="2"/>
  <c r="I529" i="2"/>
  <c r="I954" i="2"/>
  <c r="I593" i="2"/>
  <c r="I964" i="2"/>
  <c r="I948" i="2"/>
  <c r="I579" i="2"/>
  <c r="I1385" i="2"/>
  <c r="I1006" i="2"/>
  <c r="I908" i="2"/>
  <c r="I534" i="2"/>
  <c r="I420" i="2"/>
  <c r="I784" i="2"/>
  <c r="I1124" i="2"/>
  <c r="I1098" i="2"/>
  <c r="I392" i="2"/>
  <c r="I761" i="2"/>
  <c r="I748" i="2"/>
  <c r="I731" i="2"/>
  <c r="I370" i="2"/>
  <c r="I739" i="2"/>
  <c r="I1119" i="2"/>
  <c r="I758" i="2"/>
  <c r="I1103" i="2"/>
  <c r="I737" i="2"/>
  <c r="I395" i="2"/>
  <c r="I389" i="2"/>
  <c r="I383" i="2"/>
  <c r="I759" i="2"/>
  <c r="I751" i="2"/>
  <c r="I747" i="2"/>
  <c r="I375" i="2"/>
  <c r="I753" i="2"/>
  <c r="I1117" i="2"/>
  <c r="I755" i="2"/>
  <c r="I733" i="2"/>
  <c r="I384" i="2"/>
  <c r="I374" i="2"/>
  <c r="I368" i="2"/>
  <c r="I305" i="2"/>
  <c r="I1406" i="2"/>
  <c r="I700" i="2"/>
  <c r="I675" i="2"/>
  <c r="I1411" i="2"/>
  <c r="I1052" i="2"/>
  <c r="I693" i="2"/>
  <c r="I1041" i="2"/>
  <c r="I1045" i="2"/>
  <c r="I686" i="2"/>
  <c r="I680" i="2"/>
  <c r="I1420" i="2"/>
  <c r="I1051" i="2"/>
  <c r="I692" i="2"/>
  <c r="I676" i="2"/>
  <c r="I1414" i="2"/>
  <c r="I1403" i="2"/>
  <c r="I691" i="2"/>
  <c r="I1408" i="2"/>
  <c r="I1066" i="2"/>
  <c r="I1037" i="2"/>
  <c r="I690" i="2"/>
  <c r="I684" i="2"/>
  <c r="I1397" i="2"/>
  <c r="I1377" i="2"/>
  <c r="I1011" i="2"/>
  <c r="I669" i="2"/>
  <c r="I663" i="2"/>
  <c r="I1010" i="2"/>
  <c r="I643" i="2"/>
  <c r="I290" i="2"/>
  <c r="I285" i="2"/>
  <c r="I1383" i="2"/>
  <c r="I668" i="2"/>
  <c r="I1382" i="2"/>
  <c r="I1025" i="2"/>
  <c r="I1009" i="2"/>
  <c r="I648" i="2"/>
  <c r="I289" i="2"/>
  <c r="I1387" i="2"/>
  <c r="I1381" i="2"/>
  <c r="I647" i="2"/>
  <c r="I294" i="2"/>
  <c r="I282" i="2"/>
  <c r="I1015" i="2"/>
  <c r="I1393" i="2"/>
  <c r="I666" i="2"/>
  <c r="I660" i="2"/>
  <c r="I652" i="2"/>
  <c r="I1021" i="2"/>
  <c r="I1020" i="2"/>
  <c r="I277" i="2"/>
  <c r="I303" i="2"/>
  <c r="I1399" i="2"/>
  <c r="I1379" i="2"/>
  <c r="I1033" i="2"/>
  <c r="I1018" i="2"/>
  <c r="I665" i="2"/>
  <c r="I659" i="2"/>
  <c r="I298" i="2"/>
  <c r="I292" i="2"/>
  <c r="I261" i="2"/>
  <c r="I231" i="2"/>
  <c r="I1314" i="2"/>
  <c r="I966" i="2"/>
  <c r="I949" i="2"/>
  <c r="I234" i="2"/>
  <c r="I1330" i="2"/>
  <c r="I240" i="2"/>
  <c r="I1336" i="2"/>
  <c r="I969" i="2"/>
  <c r="I947" i="2"/>
  <c r="I605" i="2"/>
  <c r="I1335" i="2"/>
  <c r="I962" i="2"/>
  <c r="I952" i="2"/>
  <c r="I583" i="2"/>
  <c r="I1308" i="2"/>
  <c r="I932" i="2"/>
  <c r="I572" i="2"/>
  <c r="I550" i="2"/>
  <c r="I200" i="2"/>
  <c r="I931" i="2"/>
  <c r="I566" i="2"/>
  <c r="I549" i="2"/>
  <c r="I199" i="2"/>
  <c r="I1295" i="2"/>
  <c r="I577" i="2"/>
  <c r="I565" i="2"/>
  <c r="I1300" i="2"/>
  <c r="I1286" i="2"/>
  <c r="I941" i="2"/>
  <c r="I935" i="2"/>
  <c r="I923" i="2"/>
  <c r="I1303" i="2"/>
  <c r="I555" i="2"/>
  <c r="I560" i="2"/>
  <c r="I205" i="2"/>
  <c r="I207" i="2"/>
  <c r="I917" i="2"/>
  <c r="I576" i="2"/>
  <c r="I559" i="2"/>
  <c r="I184" i="2"/>
  <c r="I1287" i="2"/>
  <c r="I942" i="2"/>
  <c r="I918" i="2"/>
  <c r="I1298" i="2"/>
  <c r="I1285" i="2"/>
  <c r="I1279" i="2"/>
  <c r="I922" i="2"/>
  <c r="I883" i="2"/>
  <c r="I522" i="2"/>
  <c r="I527" i="2"/>
  <c r="I1272" i="2"/>
  <c r="I913" i="2"/>
  <c r="I901" i="2"/>
  <c r="I887" i="2"/>
  <c r="I542" i="2"/>
  <c r="I889" i="2"/>
  <c r="I533" i="2"/>
  <c r="I1260" i="2"/>
  <c r="I912" i="2"/>
  <c r="I900" i="2"/>
  <c r="I547" i="2"/>
  <c r="I525" i="2"/>
  <c r="I180" i="2"/>
  <c r="I173" i="2"/>
  <c r="I543" i="2"/>
  <c r="I169" i="2"/>
  <c r="I1264" i="2"/>
  <c r="I1257" i="2"/>
  <c r="I899" i="2"/>
  <c r="I546" i="2"/>
  <c r="I541" i="2"/>
  <c r="I535" i="2"/>
  <c r="I520" i="2"/>
  <c r="I160" i="2"/>
  <c r="I896" i="2"/>
  <c r="I1277" i="2"/>
  <c r="I1269" i="2"/>
  <c r="I1256" i="2"/>
  <c r="I910" i="2"/>
  <c r="I904" i="2"/>
  <c r="I519" i="2"/>
  <c r="I138" i="2"/>
  <c r="I516" i="2"/>
  <c r="I129" i="2"/>
  <c r="I510" i="2"/>
  <c r="I495" i="2"/>
  <c r="I126" i="2"/>
  <c r="I127" i="2"/>
  <c r="I501" i="2"/>
  <c r="I487" i="2"/>
  <c r="I496" i="2"/>
  <c r="I497" i="2"/>
  <c r="I862" i="2"/>
  <c r="I1222" i="2"/>
  <c r="I131" i="2"/>
  <c r="I1218" i="2"/>
  <c r="I1244" i="2"/>
  <c r="I491" i="2"/>
  <c r="I122" i="2"/>
  <c r="I1241" i="2"/>
  <c r="I1228" i="2"/>
  <c r="I116" i="2"/>
  <c r="I109" i="2"/>
  <c r="I823" i="2"/>
  <c r="I121" i="2"/>
  <c r="I64" i="2"/>
  <c r="I811" i="2"/>
  <c r="I69" i="2"/>
  <c r="I60" i="2"/>
  <c r="I407" i="2"/>
  <c r="I48" i="2"/>
  <c r="I1134" i="2"/>
  <c r="I413" i="2"/>
  <c r="I46" i="2"/>
  <c r="I1133" i="2"/>
  <c r="I787" i="2"/>
  <c r="I768" i="2"/>
  <c r="I423" i="2"/>
  <c r="I418" i="2"/>
  <c r="I405" i="2"/>
  <c r="I399" i="2"/>
  <c r="I58" i="2"/>
  <c r="I34" i="2"/>
  <c r="I1148" i="2"/>
  <c r="I1135" i="2"/>
  <c r="I770" i="2"/>
  <c r="I53" i="2"/>
  <c r="I1152" i="2"/>
  <c r="I764" i="2"/>
  <c r="I406" i="2"/>
  <c r="I1132" i="2"/>
  <c r="I780" i="2"/>
  <c r="I774" i="2"/>
  <c r="I763" i="2"/>
  <c r="I411" i="2"/>
  <c r="I51" i="2"/>
  <c r="I44" i="2"/>
  <c r="I39" i="2"/>
  <c r="I33" i="2"/>
  <c r="I1129" i="2"/>
  <c r="I771" i="2"/>
  <c r="I1142" i="2"/>
  <c r="I789" i="2"/>
  <c r="I765" i="2"/>
  <c r="I59" i="2"/>
  <c r="I769" i="2"/>
  <c r="I400" i="2"/>
  <c r="I1157" i="2"/>
  <c r="I1144" i="2"/>
  <c r="I786" i="2"/>
  <c r="I767" i="2"/>
  <c r="I427" i="2"/>
  <c r="I422" i="2"/>
  <c r="I416" i="2"/>
  <c r="I404" i="2"/>
  <c r="I398" i="2"/>
  <c r="I57" i="2"/>
  <c r="I50" i="2"/>
  <c r="I43" i="2"/>
  <c r="I55" i="2"/>
  <c r="I41" i="2"/>
  <c r="I1153" i="2"/>
  <c r="I1128" i="2"/>
  <c r="I47" i="2"/>
  <c r="I775" i="2"/>
  <c r="I792" i="2"/>
  <c r="I785" i="2"/>
  <c r="I773" i="2"/>
  <c r="I421" i="2"/>
  <c r="I415" i="2"/>
  <c r="I403" i="2"/>
  <c r="I397" i="2"/>
  <c r="I61" i="2"/>
  <c r="I74" i="2"/>
  <c r="I96" i="2"/>
  <c r="I107" i="2"/>
  <c r="I471" i="2"/>
  <c r="I477" i="2"/>
  <c r="I485" i="2"/>
  <c r="I828" i="2"/>
  <c r="I838" i="2"/>
  <c r="I846" i="2"/>
  <c r="I104" i="2"/>
  <c r="I108" i="2"/>
  <c r="I462" i="2"/>
  <c r="I478" i="2"/>
  <c r="I822" i="2"/>
  <c r="I825" i="2"/>
  <c r="I840" i="2"/>
  <c r="I848" i="2"/>
  <c r="I118" i="2"/>
  <c r="I120" i="2"/>
  <c r="I836" i="2"/>
  <c r="I841" i="2"/>
  <c r="I845" i="2"/>
  <c r="I1213" i="2"/>
  <c r="I479" i="2"/>
  <c r="I834" i="2"/>
  <c r="I844" i="2"/>
  <c r="I1207" i="2"/>
  <c r="I454" i="2"/>
  <c r="I486" i="2"/>
  <c r="I432" i="2"/>
  <c r="I793" i="2"/>
  <c r="I815" i="2"/>
  <c r="I821" i="2"/>
  <c r="I67" i="2"/>
  <c r="I73" i="2"/>
  <c r="I87" i="2"/>
  <c r="I431" i="2"/>
  <c r="I816" i="2"/>
  <c r="I81" i="2"/>
  <c r="I798" i="2"/>
  <c r="I817" i="2"/>
  <c r="I433" i="2"/>
  <c r="I801" i="2"/>
  <c r="I448" i="2"/>
  <c r="I814" i="2"/>
  <c r="I1167" i="2"/>
  <c r="I809" i="2"/>
  <c r="I1166" i="2"/>
  <c r="I72" i="2"/>
  <c r="I66" i="2"/>
  <c r="I65" i="2"/>
  <c r="I833" i="2"/>
  <c r="I804" i="2"/>
  <c r="I1356" i="2"/>
  <c r="I800" i="2"/>
  <c r="I469" i="2"/>
  <c r="I252" i="2"/>
  <c r="I263" i="2"/>
  <c r="I978" i="2"/>
  <c r="I273" i="2"/>
  <c r="I1002" i="2"/>
  <c r="I267" i="2"/>
  <c r="I611" i="2"/>
  <c r="I1004" i="2"/>
  <c r="I249" i="2"/>
  <c r="I637" i="2"/>
  <c r="I1005" i="2"/>
  <c r="I1342" i="2"/>
  <c r="I639" i="2"/>
  <c r="I1340" i="2"/>
  <c r="I1346" i="2"/>
  <c r="I1352" i="2"/>
  <c r="I994" i="2"/>
  <c r="I612" i="2"/>
  <c r="I989" i="2"/>
  <c r="I997" i="2"/>
  <c r="I1345" i="2"/>
  <c r="I1361" i="2"/>
  <c r="I1367" i="2"/>
  <c r="I977" i="2"/>
  <c r="I1364" i="2"/>
  <c r="I105" i="2"/>
  <c r="I97" i="2"/>
  <c r="I831" i="2"/>
  <c r="I1210" i="2"/>
  <c r="I985" i="2"/>
  <c r="I799" i="2"/>
  <c r="I1215" i="2"/>
  <c r="I1202" i="2"/>
  <c r="I268" i="2"/>
  <c r="I245" i="2"/>
  <c r="I1201" i="2"/>
  <c r="I1351" i="2"/>
  <c r="I813" i="2"/>
  <c r="I1365" i="2"/>
  <c r="I1217" i="2"/>
  <c r="I483" i="2"/>
  <c r="I470" i="2"/>
  <c r="I435" i="2"/>
  <c r="I988" i="2"/>
  <c r="I852" i="2"/>
  <c r="I807" i="2"/>
  <c r="I803" i="2"/>
  <c r="I259" i="2"/>
  <c r="I1205" i="2"/>
  <c r="I1177" i="2"/>
  <c r="I827" i="2"/>
  <c r="I452" i="2"/>
  <c r="I1368" i="2"/>
  <c r="I1362" i="2"/>
  <c r="I1175" i="2"/>
  <c r="I1001" i="2"/>
  <c r="I995" i="2"/>
  <c r="I982" i="2"/>
  <c r="I832" i="2"/>
  <c r="I250" i="2"/>
  <c r="I83" i="2"/>
  <c r="I1343" i="2"/>
  <c r="I980" i="2"/>
  <c r="I805" i="2"/>
  <c r="I464" i="2"/>
  <c r="I459" i="2"/>
  <c r="I1353" i="2"/>
  <c r="I979" i="2"/>
  <c r="I847" i="2"/>
  <c r="I255" i="2"/>
  <c r="I95" i="2"/>
  <c r="I1366" i="2"/>
  <c r="I1181" i="2"/>
  <c r="I975" i="2"/>
  <c r="I795" i="2"/>
  <c r="I625" i="2"/>
  <c r="I484" i="2"/>
  <c r="I455" i="2"/>
  <c r="I439" i="2"/>
  <c r="I429" i="2"/>
  <c r="I103" i="2"/>
  <c r="I90" i="2"/>
  <c r="I1354" i="2"/>
  <c r="I1208" i="2"/>
  <c r="I1186" i="2"/>
  <c r="I993" i="2"/>
  <c r="I829" i="2"/>
  <c r="I806" i="2"/>
  <c r="I802" i="2"/>
  <c r="I447" i="2"/>
  <c r="I463" i="2"/>
  <c r="I112" i="2"/>
  <c r="I100" i="2"/>
  <c r="I94" i="2"/>
  <c r="I1206" i="2"/>
  <c r="I1184" i="2"/>
  <c r="I990" i="2"/>
  <c r="I849" i="2"/>
  <c r="I839" i="2"/>
  <c r="I797" i="2"/>
  <c r="I481" i="2"/>
  <c r="I453" i="2"/>
  <c r="I79" i="2"/>
  <c r="I999" i="2"/>
  <c r="I830" i="2"/>
  <c r="I482" i="2"/>
  <c r="I266" i="2"/>
  <c r="I260" i="2"/>
  <c r="I114" i="2"/>
  <c r="I93" i="2"/>
  <c r="I1196" i="2"/>
  <c r="I1003" i="2"/>
  <c r="I998" i="2"/>
  <c r="I983" i="2"/>
  <c r="I843" i="2"/>
  <c r="I835" i="2"/>
  <c r="I819" i="2"/>
  <c r="I616" i="2"/>
  <c r="I610" i="2"/>
  <c r="I472" i="2"/>
  <c r="I450" i="2"/>
  <c r="I318" i="2"/>
  <c r="I272" i="2"/>
  <c r="I248" i="2"/>
  <c r="I196" i="2"/>
  <c r="I189" i="2"/>
  <c r="I119" i="2"/>
  <c r="I987" i="2"/>
  <c r="I842" i="2"/>
  <c r="I818" i="2"/>
  <c r="I480" i="2"/>
  <c r="I461" i="2"/>
  <c r="I258" i="2"/>
  <c r="I246" i="2"/>
  <c r="I203" i="2"/>
  <c r="I111" i="2"/>
  <c r="I91" i="2"/>
  <c r="I78" i="2"/>
  <c r="I71" i="2"/>
  <c r="I1174" i="2"/>
  <c r="I1161" i="2"/>
  <c r="I986" i="2"/>
  <c r="I851" i="2"/>
  <c r="I812" i="2"/>
  <c r="I796" i="2"/>
  <c r="I465" i="2"/>
  <c r="I456" i="2"/>
  <c r="I442" i="2"/>
  <c r="I322" i="2"/>
  <c r="I257" i="2"/>
  <c r="I193" i="2"/>
  <c r="I35" i="2"/>
  <c r="I712" i="2"/>
  <c r="I336" i="2"/>
  <c r="I364" i="2"/>
  <c r="I338" i="2"/>
  <c r="I350" i="2"/>
  <c r="I354" i="2"/>
  <c r="I342" i="2"/>
  <c r="I722" i="2"/>
  <c r="I339" i="2"/>
  <c r="I343" i="2"/>
  <c r="I703" i="2"/>
  <c r="I1091" i="2"/>
  <c r="I1095" i="2"/>
  <c r="I337" i="2"/>
  <c r="I724" i="2"/>
  <c r="I707" i="2"/>
  <c r="I348" i="2"/>
  <c r="I1073" i="2"/>
  <c r="I726" i="2"/>
  <c r="I729" i="2"/>
  <c r="I1096" i="2"/>
  <c r="I708" i="2"/>
  <c r="I717" i="2"/>
  <c r="I720" i="2"/>
  <c r="I1084" i="2"/>
  <c r="I715" i="2"/>
  <c r="I1072" i="2"/>
  <c r="I1089" i="2"/>
  <c r="I1094" i="2"/>
  <c r="I705" i="2"/>
  <c r="I730" i="2"/>
  <c r="I1080" i="2"/>
  <c r="I721" i="2"/>
  <c r="I728" i="2"/>
  <c r="I1068" i="2"/>
  <c r="I1081" i="2"/>
  <c r="I725" i="2"/>
  <c r="I718" i="2"/>
  <c r="I1076" i="2"/>
  <c r="I1086" i="2"/>
  <c r="I1071" i="2"/>
  <c r="I1082" i="2"/>
  <c r="I1070" i="2"/>
  <c r="I701" i="2"/>
  <c r="I706" i="2"/>
  <c r="I1067" i="2"/>
  <c r="I356" i="2"/>
  <c r="I1078" i="2"/>
  <c r="I719" i="2"/>
  <c r="I711" i="2"/>
  <c r="I704" i="2"/>
  <c r="I1075" i="2"/>
  <c r="I351" i="2"/>
  <c r="I238" i="2"/>
  <c r="I243" i="2"/>
  <c r="I216" i="2"/>
  <c r="I221" i="2"/>
  <c r="I237" i="2"/>
  <c r="I586" i="2"/>
  <c r="I590" i="2"/>
  <c r="I599" i="2"/>
  <c r="I213" i="2"/>
  <c r="I595" i="2"/>
  <c r="I227" i="2"/>
  <c r="I232" i="2"/>
  <c r="I592" i="2"/>
  <c r="I608" i="2"/>
  <c r="I589" i="2"/>
  <c r="I1079" i="2"/>
  <c r="I344" i="2"/>
  <c r="I1092" i="2"/>
  <c r="I1083" i="2"/>
  <c r="I1087" i="2"/>
  <c r="I697" i="2"/>
  <c r="I600" i="2"/>
  <c r="I578" i="2"/>
  <c r="I444" i="2"/>
  <c r="I353" i="2"/>
  <c r="I335" i="2"/>
  <c r="I283" i="2"/>
  <c r="I287" i="2"/>
  <c r="I291" i="2"/>
  <c r="I304" i="2"/>
  <c r="I293" i="2"/>
  <c r="I302" i="2"/>
  <c r="I641" i="2"/>
  <c r="I655" i="2"/>
  <c r="I664" i="2"/>
  <c r="I219" i="2"/>
  <c r="I727" i="2"/>
  <c r="I710" i="2"/>
  <c r="I597" i="2"/>
  <c r="I587" i="2"/>
  <c r="I308" i="2"/>
  <c r="I312" i="2"/>
  <c r="I320" i="2"/>
  <c r="I324" i="2"/>
  <c r="I328" i="2"/>
  <c r="I307" i="2"/>
  <c r="I321" i="2"/>
  <c r="I330" i="2"/>
  <c r="I673" i="2"/>
  <c r="I222" i="2"/>
  <c r="I89" i="2"/>
  <c r="I437" i="2"/>
  <c r="I440" i="2"/>
  <c r="I443" i="2"/>
  <c r="I446" i="2"/>
  <c r="I75" i="2"/>
  <c r="I438" i="2"/>
  <c r="I441" i="2"/>
  <c r="I80" i="2"/>
  <c r="I714" i="2"/>
  <c r="I709" i="2"/>
  <c r="I694" i="2"/>
  <c r="I679" i="2"/>
  <c r="I580" i="2"/>
  <c r="I434" i="2"/>
  <c r="I288" i="2"/>
  <c r="I247" i="2"/>
  <c r="I256" i="2"/>
  <c r="I265" i="2"/>
  <c r="I609" i="2"/>
  <c r="I623" i="2"/>
  <c r="I632" i="2"/>
  <c r="I271" i="2"/>
  <c r="I251" i="2"/>
  <c r="I214" i="2"/>
  <c r="I723" i="2"/>
  <c r="I713" i="2"/>
  <c r="I698" i="2"/>
  <c r="I687" i="2"/>
  <c r="I677" i="2"/>
  <c r="I451" i="2"/>
  <c r="I436" i="2"/>
  <c r="I325" i="2"/>
  <c r="I314" i="2"/>
  <c r="I88" i="2"/>
  <c r="I82" i="2"/>
  <c r="I716" i="2"/>
  <c r="I682" i="2"/>
  <c r="I650" i="2"/>
  <c r="I618" i="2"/>
  <c r="I430" i="2"/>
  <c r="I345" i="2"/>
  <c r="I274" i="2"/>
  <c r="I206" i="2"/>
  <c r="I702" i="2"/>
  <c r="I670" i="2"/>
  <c r="I638" i="2"/>
  <c r="I606" i="2"/>
  <c r="I299" i="2"/>
  <c r="I262" i="2"/>
  <c r="I228" i="2"/>
  <c r="I154" i="2"/>
  <c r="I158" i="2"/>
  <c r="I162" i="2"/>
  <c r="I166" i="2"/>
  <c r="I170" i="2"/>
  <c r="I178" i="2"/>
  <c r="I182" i="2"/>
  <c r="I646" i="2"/>
  <c r="I614" i="2"/>
  <c r="I341" i="2"/>
  <c r="I211" i="2"/>
  <c r="I98" i="2"/>
  <c r="I102" i="2"/>
  <c r="I106" i="2"/>
  <c r="I113" i="2"/>
  <c r="I475" i="2"/>
  <c r="F33" i="2" l="1"/>
  <c r="I253" i="2"/>
  <c r="I198" i="2"/>
  <c r="I174" i="2"/>
  <c r="I596" i="2"/>
  <c r="I582" i="2"/>
  <c r="I352" i="2"/>
  <c r="I357" i="2"/>
  <c r="I613" i="2"/>
  <c r="I1199" i="2"/>
  <c r="I621" i="2"/>
  <c r="I1183" i="2"/>
  <c r="I615" i="2"/>
  <c r="I1191" i="2"/>
  <c r="I1173" i="2"/>
  <c r="I1200" i="2"/>
  <c r="I1159" i="2"/>
  <c r="I628" i="2"/>
  <c r="I1164" i="2"/>
  <c r="I1212" i="2"/>
  <c r="I1158" i="2"/>
  <c r="I855" i="2"/>
  <c r="I1236" i="2"/>
  <c r="I156" i="2"/>
  <c r="I157" i="2"/>
  <c r="I604" i="2"/>
  <c r="I1229" i="2"/>
  <c r="I1221" i="2"/>
  <c r="I1197" i="2"/>
  <c r="I1165" i="2"/>
  <c r="I1149" i="2"/>
  <c r="I950" i="2"/>
  <c r="I879" i="2"/>
  <c r="I863" i="2"/>
  <c r="I735" i="2"/>
  <c r="I575" i="2"/>
  <c r="I244" i="2"/>
  <c r="I361" i="2"/>
  <c r="I631" i="2"/>
  <c r="I634" i="2"/>
  <c r="I1188" i="2"/>
  <c r="I622" i="2"/>
  <c r="I636" i="2"/>
  <c r="I1209" i="2"/>
  <c r="I1189" i="2"/>
  <c r="I1160" i="2"/>
  <c r="I1185" i="2"/>
  <c r="I619" i="2"/>
  <c r="I1170" i="2"/>
  <c r="I1239" i="2"/>
  <c r="I1230" i="2"/>
  <c r="I179" i="2"/>
  <c r="I175" i="2"/>
  <c r="I161" i="2"/>
  <c r="I607" i="2"/>
  <c r="I1172" i="2"/>
  <c r="I1156" i="2"/>
  <c r="I574" i="2"/>
  <c r="I165" i="2"/>
  <c r="I150" i="2"/>
  <c r="I56" i="2"/>
  <c r="I360" i="2"/>
  <c r="I359" i="2"/>
  <c r="I358" i="2"/>
  <c r="I626" i="2"/>
  <c r="I1192" i="2"/>
  <c r="I635" i="2"/>
  <c r="I1180" i="2"/>
  <c r="I633" i="2"/>
  <c r="I1204" i="2"/>
  <c r="I1195" i="2"/>
  <c r="I617" i="2"/>
  <c r="I1169" i="2"/>
  <c r="I1193" i="2"/>
  <c r="I1216" i="2"/>
  <c r="I152" i="2"/>
  <c r="I886" i="2"/>
  <c r="I168" i="2"/>
  <c r="I176" i="2"/>
  <c r="I598" i="2"/>
  <c r="I649" i="2"/>
  <c r="I871" i="2"/>
  <c r="I1211" i="2"/>
  <c r="I1203" i="2"/>
  <c r="I1187" i="2"/>
  <c r="I1179" i="2"/>
  <c r="I1171" i="2"/>
  <c r="I1163" i="2"/>
  <c r="I1155" i="2"/>
  <c r="I877" i="2"/>
  <c r="I861" i="2"/>
  <c r="I837" i="2"/>
  <c r="I645" i="2"/>
  <c r="I629" i="2"/>
  <c r="I581" i="2"/>
  <c r="I381" i="2"/>
  <c r="I366" i="2"/>
  <c r="I242" i="2"/>
  <c r="I218" i="2"/>
  <c r="I187" i="2"/>
  <c r="I172" i="2"/>
  <c r="I141" i="2"/>
  <c r="I54" i="2"/>
  <c r="I45" i="2"/>
  <c r="I355" i="2"/>
  <c r="I624" i="2"/>
  <c r="I630" i="2"/>
  <c r="I1168" i="2"/>
  <c r="I1190" i="2"/>
  <c r="I627" i="2"/>
  <c r="I620" i="2"/>
  <c r="I1182" i="2"/>
  <c r="I1176" i="2"/>
  <c r="I850" i="2"/>
  <c r="I859" i="2"/>
  <c r="I853" i="2"/>
  <c r="I167" i="2"/>
  <c r="I644" i="2"/>
  <c r="I602" i="2"/>
  <c r="I347" i="2"/>
  <c r="I177" i="2"/>
  <c r="I99" i="2"/>
  <c r="I84" i="2"/>
  <c r="I76" i="2"/>
  <c r="I68" i="2"/>
  <c r="I52" i="2"/>
  <c r="Q1013" i="2"/>
  <c r="Q1191" i="2"/>
  <c r="Q153" i="2"/>
  <c r="Q1318" i="2"/>
  <c r="Q474" i="2"/>
  <c r="Q51" i="2"/>
  <c r="Q32" i="2"/>
  <c r="Q536" i="2"/>
  <c r="Q71" i="2"/>
  <c r="Q979" i="2"/>
  <c r="Q1036" i="2"/>
  <c r="Q844" i="2"/>
  <c r="Q74" i="2"/>
  <c r="Q1405" i="2"/>
  <c r="Q346" i="2"/>
  <c r="Q758" i="2"/>
  <c r="Q1319" i="2"/>
  <c r="Q862" i="2"/>
  <c r="Q1370" i="2"/>
  <c r="Q826" i="2"/>
  <c r="Q532" i="2"/>
  <c r="Q1356" i="2"/>
  <c r="Q891" i="2"/>
  <c r="Q265" i="2"/>
  <c r="Q1419" i="2"/>
  <c r="Q806" i="2"/>
  <c r="Q150" i="2"/>
  <c r="Q1079" i="2"/>
  <c r="Q350" i="2"/>
  <c r="Q1406" i="2"/>
  <c r="Q1211" i="2"/>
  <c r="Q604" i="2"/>
  <c r="Q1164" i="2"/>
  <c r="Q754" i="2"/>
  <c r="Q701" i="2"/>
  <c r="Q1272" i="2"/>
  <c r="Q564" i="2"/>
  <c r="Q1037" i="2"/>
  <c r="Q269" i="2"/>
  <c r="Q879" i="2"/>
  <c r="Q1355" i="2"/>
  <c r="Q1235" i="2"/>
  <c r="Q694" i="2"/>
  <c r="Q88" i="2"/>
  <c r="Q56" i="2"/>
  <c r="Q1062" i="2"/>
  <c r="Q598" i="2"/>
  <c r="Q612" i="2"/>
  <c r="Q400" i="2"/>
  <c r="Q1298" i="2"/>
  <c r="Q393" i="2"/>
  <c r="Q241" i="2"/>
  <c r="Q712" i="2"/>
  <c r="Q919" i="2"/>
  <c r="Q222" i="2"/>
  <c r="Q1150" i="2"/>
  <c r="Q1389" i="2"/>
  <c r="Q1095" i="2"/>
  <c r="Q1329" i="2"/>
  <c r="Q128" i="2"/>
  <c r="Q720" i="2"/>
  <c r="Q36" i="2"/>
  <c r="Q1265" i="2"/>
  <c r="Q1197" i="2"/>
  <c r="Q141" i="2"/>
  <c r="Q320" i="2"/>
  <c r="Q347" i="2"/>
  <c r="Q275" i="2"/>
  <c r="Q497" i="2"/>
  <c r="Q1185" i="2"/>
  <c r="Q526" i="2"/>
  <c r="Q762" i="2"/>
  <c r="Q986" i="2"/>
  <c r="Q1341" i="2"/>
  <c r="Q137" i="2"/>
  <c r="Q123" i="2"/>
  <c r="Q675" i="2"/>
  <c r="Q256" i="2"/>
  <c r="Q926" i="2"/>
  <c r="Q1275" i="2"/>
  <c r="Q1375" i="2"/>
  <c r="Q1234" i="2"/>
  <c r="Q810" i="2"/>
  <c r="Q558" i="2"/>
  <c r="Q1082" i="2"/>
  <c r="Q209" i="2"/>
  <c r="Q577" i="2"/>
  <c r="Q1223" i="2"/>
  <c r="Q1146" i="2"/>
  <c r="Q340" i="2"/>
  <c r="Q790" i="2"/>
  <c r="Q1354" i="2"/>
  <c r="Q1259" i="2"/>
  <c r="Q838" i="2"/>
  <c r="Q268" i="2"/>
  <c r="Q990" i="2"/>
  <c r="Q593" i="2"/>
  <c r="Q638" i="2"/>
  <c r="Q216" i="2"/>
  <c r="Q664" i="2"/>
  <c r="Q333" i="2"/>
  <c r="Q138" i="2"/>
  <c r="Q253" i="2"/>
  <c r="Q1358" i="2"/>
  <c r="Q665" i="2"/>
  <c r="Q1090" i="2"/>
  <c r="Q711" i="2"/>
  <c r="Q1362" i="2"/>
  <c r="Q700" i="2"/>
  <c r="Q218" i="2"/>
  <c r="Q94" i="2"/>
  <c r="Q354" i="2"/>
  <c r="Q435" i="2"/>
  <c r="Q978" i="2"/>
  <c r="Q1034" i="2"/>
  <c r="Q90" i="2"/>
  <c r="Q139" i="2"/>
  <c r="Q723" i="2"/>
  <c r="Q124" i="2"/>
  <c r="Q412" i="2"/>
  <c r="Q1258" i="2"/>
  <c r="Q1285" i="2"/>
  <c r="Q1286" i="2"/>
  <c r="Q1228" i="2"/>
  <c r="Q1051" i="2"/>
  <c r="Q725" i="2"/>
  <c r="Q298" i="2"/>
  <c r="Q430" i="2"/>
  <c r="Q817" i="2"/>
  <c r="Q619" i="2"/>
  <c r="Q561" i="2"/>
  <c r="Q1402" i="2"/>
  <c r="Q98" i="2"/>
  <c r="Q305" i="2"/>
  <c r="Q842" i="2"/>
  <c r="Q230" i="2"/>
  <c r="Q837" i="2"/>
  <c r="Q64" i="2"/>
  <c r="Q500" i="2"/>
  <c r="Q901" i="2"/>
  <c r="Q146" i="2"/>
  <c r="Q192" i="2"/>
  <c r="Q391" i="2"/>
  <c r="Q569" i="2"/>
  <c r="Q573" i="2"/>
  <c r="Q381" i="2"/>
  <c r="Q932" i="2"/>
  <c r="Q590" i="2"/>
  <c r="Q763" i="2"/>
  <c r="Q119" i="2"/>
  <c r="Q529" i="2"/>
  <c r="Q1422" i="2"/>
  <c r="Q427" i="2"/>
  <c r="Q120" i="2"/>
  <c r="Q420" i="2"/>
  <c r="Q1282" i="2"/>
  <c r="Q781" i="2"/>
  <c r="Q724" i="2"/>
  <c r="Q1030" i="2"/>
  <c r="Q859" i="2"/>
  <c r="Q741" i="2"/>
  <c r="Q72" i="2"/>
  <c r="Q76" i="2"/>
  <c r="Q1074" i="2"/>
  <c r="Q1166" i="2"/>
  <c r="Q882" i="2"/>
  <c r="Q1054" i="2"/>
  <c r="Q514" i="2"/>
  <c r="Q546" i="2"/>
  <c r="Q1127" i="2"/>
  <c r="Q251" i="2"/>
  <c r="Q1046" i="2"/>
  <c r="Q1171" i="2"/>
  <c r="Q667" i="2"/>
  <c r="Q99" i="2"/>
  <c r="Q84" i="2"/>
  <c r="Q1059" i="2"/>
  <c r="Q1218" i="2"/>
  <c r="Q918" i="2"/>
  <c r="Q928" i="2"/>
  <c r="Q147" i="2"/>
  <c r="Q994" i="2"/>
  <c r="Q614" i="2"/>
  <c r="Q678" i="2"/>
  <c r="Q896" i="2"/>
  <c r="Q881" i="2"/>
  <c r="Q1357" i="2"/>
  <c r="Q894" i="2"/>
  <c r="Q380" i="2"/>
  <c r="Q1327" i="2"/>
  <c r="Q1057" i="2"/>
  <c r="Q992" i="2"/>
  <c r="Q446" i="2"/>
  <c r="Q1336" i="2"/>
  <c r="Q539" i="2"/>
  <c r="Q208" i="2"/>
  <c r="Q814" i="2"/>
  <c r="Q1209" i="2"/>
  <c r="Q597" i="2"/>
  <c r="Q135" i="2"/>
  <c r="Q482" i="2"/>
  <c r="Q917" i="2"/>
  <c r="Q709" i="2"/>
  <c r="Q1413" i="2"/>
  <c r="Q337" i="2"/>
  <c r="Q651" i="2"/>
  <c r="Q518" i="2"/>
  <c r="Q1157" i="2"/>
  <c r="Q177" i="2"/>
  <c r="Q1334" i="2"/>
  <c r="Q118" i="2"/>
  <c r="Q610" i="2"/>
  <c r="Q1383" i="2"/>
  <c r="Q200" i="2"/>
  <c r="Q133" i="2"/>
  <c r="Q130" i="2"/>
  <c r="Q179" i="2"/>
  <c r="Q1186" i="2"/>
  <c r="Q689" i="2"/>
  <c r="Q1302" i="2"/>
  <c r="Q1342" i="2"/>
  <c r="Q890" i="2"/>
  <c r="Q1099" i="2"/>
  <c r="Q523" i="2"/>
  <c r="Q967" i="2"/>
  <c r="Q925" i="2"/>
  <c r="Q1361" i="2"/>
  <c r="Q629" i="2"/>
  <c r="Q1221" i="2"/>
  <c r="Q716" i="2"/>
  <c r="Q1094" i="2"/>
  <c r="Q1022" i="2"/>
  <c r="Q467" i="2"/>
  <c r="Q1067" i="2"/>
  <c r="Q459" i="2"/>
  <c r="Q1123" i="2"/>
  <c r="Q605" i="2"/>
  <c r="Q260" i="2"/>
  <c r="Q42" i="2"/>
  <c r="Q1226" i="2"/>
  <c r="Q299" i="2"/>
  <c r="Q1326" i="2"/>
  <c r="Q1378" i="2"/>
  <c r="Q949" i="2"/>
  <c r="Q1321" i="2"/>
  <c r="Q780" i="2"/>
  <c r="Q964" i="2"/>
  <c r="Q708" i="2"/>
  <c r="Q1147" i="2"/>
  <c r="Q1010" i="2"/>
  <c r="Q574" i="2"/>
  <c r="Q272" i="2"/>
  <c r="Q1376" i="2"/>
  <c r="Q233" i="2"/>
  <c r="Q1130" i="2"/>
  <c r="Q1399" i="2"/>
  <c r="Q1324" i="2"/>
  <c r="Q1199" i="2"/>
  <c r="Q274" i="2"/>
  <c r="Q248" i="2"/>
  <c r="Q626" i="2"/>
  <c r="Q33" i="2"/>
  <c r="Q332" i="2"/>
  <c r="Q432" i="2"/>
  <c r="Q226" i="2"/>
  <c r="Q55" i="2"/>
  <c r="Q197" i="2"/>
  <c r="Q81" i="2"/>
  <c r="Q1055" i="2"/>
  <c r="Q437" i="2"/>
  <c r="Q620" i="2"/>
  <c r="Q1190" i="2"/>
  <c r="Q229" i="2"/>
  <c r="Q194" i="2"/>
  <c r="Q1387" i="2"/>
  <c r="Q1202" i="2"/>
  <c r="Q1255" i="2"/>
  <c r="Q456" i="2"/>
  <c r="Q1299" i="2"/>
  <c r="Q721" i="2"/>
  <c r="Q244" i="2"/>
  <c r="Q512" i="2"/>
  <c r="Q273" i="2"/>
  <c r="Q1142" i="2"/>
  <c r="Q1198" i="2"/>
  <c r="Q531" i="2"/>
  <c r="Q971" i="2"/>
  <c r="Q267" i="2"/>
  <c r="Q839" i="2"/>
  <c r="Q1053" i="2"/>
  <c r="Q576" i="2"/>
  <c r="Q934" i="2"/>
  <c r="Q878" i="2"/>
  <c r="Q211" i="2"/>
  <c r="Q939" i="2"/>
  <c r="Q203" i="2"/>
  <c r="Q867" i="2"/>
  <c r="Q733" i="2"/>
  <c r="Q962" i="2"/>
  <c r="Q89" i="2"/>
  <c r="Q170" i="2"/>
  <c r="Q540" i="2"/>
  <c r="Q755" i="2"/>
  <c r="Q1407" i="2"/>
  <c r="Q673" i="2"/>
  <c r="Q300" i="2"/>
  <c r="Q897" i="2"/>
  <c r="Q823" i="2"/>
  <c r="Q732" i="2"/>
  <c r="Q1373" i="2"/>
  <c r="Q499" i="2"/>
  <c r="Q995" i="2"/>
  <c r="Q223" i="2"/>
  <c r="Q1132" i="2"/>
  <c r="Q765" i="2"/>
  <c r="Q1252" i="2"/>
  <c r="Q490" i="2"/>
  <c r="Q736" i="2"/>
  <c r="Q1269" i="2"/>
  <c r="Q325" i="2"/>
  <c r="Q562" i="2"/>
  <c r="Q470" i="2"/>
  <c r="Q1177" i="2"/>
  <c r="Q657" i="2"/>
  <c r="Q338" i="2"/>
  <c r="Q198" i="2"/>
  <c r="Q654" i="2"/>
  <c r="Q1151" i="2"/>
  <c r="Q1254" i="2"/>
  <c r="Q1374" i="2"/>
  <c r="Q163" i="2"/>
  <c r="Q774" i="2"/>
  <c r="Q802" i="2"/>
  <c r="Q507" i="2"/>
  <c r="Q902" i="2"/>
  <c r="Q571" i="2"/>
  <c r="Q369" i="2"/>
  <c r="Q1350" i="2"/>
  <c r="Q1390" i="2"/>
  <c r="Q954" i="2"/>
  <c r="Q1131" i="2"/>
  <c r="Q587" i="2"/>
  <c r="Q999" i="2"/>
  <c r="Q893" i="2"/>
  <c r="Q384" i="2"/>
  <c r="Q276" i="2"/>
  <c r="Q757" i="2"/>
  <c r="Q1393" i="2"/>
  <c r="Q1279" i="2"/>
  <c r="Q795" i="2"/>
  <c r="Q910" i="2"/>
  <c r="Q970" i="2"/>
  <c r="Q1309" i="2"/>
  <c r="Q1313" i="2"/>
  <c r="Q677" i="2"/>
  <c r="Q738" i="2"/>
  <c r="Q231" i="2"/>
  <c r="Q252" i="2"/>
  <c r="Q46" i="2"/>
  <c r="Q345" i="2"/>
  <c r="Q426" i="2"/>
  <c r="Q1245" i="2"/>
  <c r="Q1031" i="2"/>
  <c r="Q771" i="2"/>
  <c r="Q908" i="2"/>
  <c r="Q66" i="2"/>
  <c r="Q43" i="2"/>
  <c r="Q813" i="2"/>
  <c r="Q405" i="2"/>
  <c r="Q365" i="2"/>
  <c r="Q117" i="2"/>
  <c r="Q1261" i="2"/>
  <c r="Q941" i="2"/>
  <c r="Q1106" i="2"/>
  <c r="Q553" i="2"/>
  <c r="Q555" i="2"/>
  <c r="Q353" i="2"/>
  <c r="Q735" i="2"/>
  <c r="Q510" i="2"/>
  <c r="Q625" i="2"/>
  <c r="Q1411" i="2"/>
  <c r="Q1117" i="2"/>
  <c r="Q1189" i="2"/>
  <c r="Q1333" i="2"/>
  <c r="Q390" i="2"/>
  <c r="Q370" i="2"/>
  <c r="Q376" i="2"/>
  <c r="Q773" i="2"/>
  <c r="Q1369" i="2"/>
  <c r="Q401" i="2"/>
  <c r="Q496" i="2"/>
  <c r="Q469" i="2"/>
  <c r="Q419" i="2"/>
  <c r="Q418" i="2"/>
  <c r="Q1126" i="2"/>
  <c r="Q1246" i="2"/>
  <c r="Q116" i="2"/>
  <c r="Q578" i="2"/>
  <c r="Q1292" i="2"/>
  <c r="Q699" i="2"/>
  <c r="Q344" i="2"/>
  <c r="Q212" i="2"/>
  <c r="Q1174" i="2"/>
  <c r="Q1230" i="2"/>
  <c r="Q595" i="2"/>
  <c r="Q1003" i="2"/>
  <c r="Q331" i="2"/>
  <c r="Q871" i="2"/>
  <c r="Q1025" i="2"/>
  <c r="Q1093" i="2"/>
  <c r="Q1215" i="2"/>
  <c r="Q883" i="2"/>
  <c r="Q1122" i="2"/>
  <c r="Q715" i="2"/>
  <c r="Q155" i="2"/>
  <c r="Q386" i="2"/>
  <c r="Q93" i="2"/>
  <c r="Q174" i="2"/>
  <c r="Q1391" i="2"/>
  <c r="Q473" i="2"/>
  <c r="Q554" i="2"/>
  <c r="Q1101" i="2"/>
  <c r="Q1207" i="2"/>
  <c r="Q772" i="2"/>
  <c r="Q1242" i="2"/>
  <c r="Q950" i="2"/>
  <c r="Q815" i="2"/>
  <c r="Q445" i="2"/>
  <c r="Q799" i="2"/>
  <c r="Q1154" i="2"/>
  <c r="Q931" i="2"/>
  <c r="Q291" i="2"/>
  <c r="Q794" i="2"/>
  <c r="Q394" i="2"/>
  <c r="Q1111" i="2"/>
  <c r="Q684" i="2"/>
  <c r="Q909" i="2"/>
  <c r="Q436" i="2"/>
  <c r="Q311" i="2"/>
  <c r="Q1386" i="2"/>
  <c r="Q603" i="2"/>
  <c r="Q889" i="2"/>
  <c r="Q495" i="2"/>
  <c r="Q444" i="2"/>
  <c r="Q466" i="2"/>
  <c r="Q641" i="2"/>
  <c r="Q961" i="2"/>
  <c r="Q693" i="2"/>
  <c r="Q1193" i="2"/>
  <c r="Q261" i="2"/>
  <c r="Q145" i="2"/>
  <c r="Q819" i="2"/>
  <c r="Q560" i="2"/>
  <c r="Q162" i="2"/>
  <c r="Q379" i="2"/>
  <c r="Q998" i="2"/>
  <c r="Q1118" i="2"/>
  <c r="Q993" i="2"/>
  <c r="Q165" i="2"/>
  <c r="Q258" i="2"/>
  <c r="Q981" i="2"/>
  <c r="Q1049" i="2"/>
  <c r="Q1087" i="2"/>
  <c r="Q1014" i="2"/>
  <c r="Q1086" i="2"/>
  <c r="Q339" i="2"/>
  <c r="Q875" i="2"/>
  <c r="Q668" i="2"/>
  <c r="Q789" i="2"/>
  <c r="Q1349" i="2"/>
  <c r="Q866" i="2"/>
  <c r="Q805" i="2"/>
  <c r="Q782" i="2"/>
  <c r="Q1394" i="2"/>
  <c r="Q1351" i="2"/>
  <c r="Q264" i="2"/>
  <c r="Q315" i="2"/>
  <c r="Q34" i="2"/>
  <c r="Q1338" i="2"/>
  <c r="Q1330" i="2"/>
  <c r="Q221" i="2"/>
  <c r="Q302" i="2"/>
  <c r="Q1135" i="2"/>
  <c r="Q601" i="2"/>
  <c r="Q682" i="2"/>
  <c r="Q957" i="2"/>
  <c r="Q1415" i="2"/>
  <c r="Q1019" i="2"/>
  <c r="Q1222" i="2"/>
  <c r="Q1182" i="2"/>
  <c r="Q296" i="2"/>
  <c r="Q777" i="2"/>
  <c r="Q653" i="2"/>
  <c r="Q322" i="2"/>
  <c r="Q1102" i="2"/>
  <c r="Q729" i="2"/>
  <c r="Q804" i="2"/>
  <c r="Q1181" i="2"/>
  <c r="Q870" i="2"/>
  <c r="Q1141" i="2"/>
  <c r="Q1168" i="2"/>
  <c r="Q282" i="2"/>
  <c r="Q481" i="2"/>
  <c r="Q1291" i="2"/>
  <c r="Q616" i="2"/>
  <c r="Q649" i="2"/>
  <c r="Q1039" i="2"/>
  <c r="Q525" i="2"/>
  <c r="Q1283" i="2"/>
  <c r="Q465" i="2"/>
  <c r="Q922" i="2"/>
  <c r="Q600" i="2"/>
  <c r="Q846" i="2"/>
  <c r="Q392" i="2"/>
  <c r="Q217" i="2"/>
  <c r="Q349" i="2"/>
  <c r="Q1195" i="2"/>
  <c r="Q731" i="2"/>
  <c r="Q776" i="2"/>
  <c r="Q843" i="2"/>
  <c r="Q930" i="2"/>
  <c r="Q779" i="2"/>
  <c r="Q753" i="2"/>
  <c r="Q1109" i="2"/>
  <c r="Q1382" i="2"/>
  <c r="Q1029" i="2"/>
  <c r="Q1023" i="2"/>
  <c r="Q798" i="2"/>
  <c r="Q53" i="2"/>
  <c r="Q1041" i="2"/>
  <c r="Q663" i="2"/>
  <c r="Q485" i="2"/>
  <c r="Q1212" i="2"/>
  <c r="Q326" i="2"/>
  <c r="Q395" i="2"/>
  <c r="Q857" i="2"/>
  <c r="Q607" i="2"/>
  <c r="Q831" i="2"/>
  <c r="Q748" i="2"/>
  <c r="Q1027" i="2"/>
  <c r="Q448" i="2"/>
  <c r="Q635" i="2"/>
  <c r="Q1306" i="2"/>
  <c r="Q855" i="2"/>
  <c r="Q477" i="2"/>
  <c r="Q1310" i="2"/>
  <c r="Q768" i="2"/>
  <c r="Q1138" i="2"/>
  <c r="Q1113" i="2"/>
  <c r="Q1210" i="2"/>
  <c r="Q1241" i="2"/>
  <c r="Q428" i="2"/>
  <c r="Q948" i="2"/>
  <c r="Q796" i="2"/>
  <c r="Q840" i="2"/>
  <c r="Q324" i="2"/>
  <c r="Q582" i="2"/>
  <c r="Q743" i="2"/>
  <c r="Q958" i="2"/>
  <c r="Q730" i="2"/>
  <c r="Q606" i="2"/>
  <c r="Q690" i="2"/>
  <c r="Q615" i="2"/>
  <c r="Q1083" i="2"/>
  <c r="Q1287" i="2"/>
  <c r="Q877" i="2"/>
  <c r="Q602" i="2"/>
  <c r="Q521" i="2"/>
  <c r="Q1295" i="2"/>
  <c r="Q478" i="2"/>
  <c r="Q397" i="2"/>
  <c r="Q550" i="2"/>
  <c r="Q895" i="2"/>
  <c r="Q403" i="2"/>
  <c r="Q307" i="2"/>
  <c r="Q744" i="2"/>
  <c r="Q516" i="2"/>
  <c r="Q508" i="2"/>
  <c r="Q1323" i="2"/>
  <c r="Q1270" i="2"/>
  <c r="Q710" i="2"/>
  <c r="Q520" i="2"/>
  <c r="Q1227" i="2"/>
  <c r="Q966" i="2"/>
  <c r="Q69" i="2"/>
  <c r="Q86" i="2"/>
  <c r="Q946" i="2"/>
  <c r="Q942" i="2"/>
  <c r="Q1343" i="2"/>
  <c r="Q1119" i="2"/>
  <c r="Q915" i="2"/>
  <c r="Q404" i="2"/>
  <c r="Q262" i="2"/>
  <c r="Q1089" i="2"/>
  <c r="Q622" i="2"/>
  <c r="Q824" i="2"/>
  <c r="Q1214" i="2"/>
  <c r="Q336" i="2"/>
  <c r="Q62" i="2"/>
  <c r="Q1229" i="2"/>
  <c r="Q659" i="2"/>
  <c r="Q793" i="2"/>
  <c r="Q642" i="2"/>
  <c r="Q235" i="2"/>
  <c r="Q154" i="2"/>
  <c r="Q963" i="2"/>
  <c r="Q1380" i="2"/>
  <c r="Q645" i="2"/>
  <c r="Q87" i="2"/>
  <c r="Q809" i="2"/>
  <c r="Q188" i="2"/>
  <c r="Q1170" i="2"/>
  <c r="Q761" i="2"/>
  <c r="Q461" i="2"/>
  <c r="Q1248" i="2"/>
  <c r="Q820" i="2"/>
  <c r="Q396" i="2"/>
  <c r="Q873" i="2"/>
  <c r="Q213" i="2"/>
  <c r="Q1347" i="2"/>
  <c r="Q811" i="2"/>
  <c r="Q237" i="2"/>
  <c r="Q169" i="2"/>
  <c r="Q1175" i="2"/>
  <c r="Q1421" i="2"/>
  <c r="Q160" i="2"/>
  <c r="Q234" i="2"/>
  <c r="Q983" i="2"/>
  <c r="Q1158" i="2"/>
  <c r="Q187" i="2"/>
  <c r="Q1088" i="2"/>
  <c r="Q1352" i="2"/>
  <c r="Q851" i="2"/>
  <c r="Q764" i="2"/>
  <c r="Q284" i="2"/>
  <c r="Q1072" i="2"/>
  <c r="Q1320" i="2"/>
  <c r="Q705" i="2"/>
  <c r="Q97" i="2"/>
  <c r="Q215" i="2"/>
  <c r="Q421" i="2"/>
  <c r="Q630" i="2"/>
  <c r="Q1263" i="2"/>
  <c r="Q1337" i="2"/>
  <c r="Q1340" i="2"/>
  <c r="Q830" i="2"/>
  <c r="Q1266" i="2"/>
  <c r="Q613" i="2"/>
  <c r="Q785" i="2"/>
  <c r="Q935" i="2"/>
  <c r="Q585" i="2"/>
  <c r="Q286" i="2"/>
  <c r="Q1040" i="2"/>
  <c r="Q1124" i="2"/>
  <c r="Q1208" i="2"/>
  <c r="Q1398" i="2"/>
  <c r="Q903" i="2"/>
  <c r="Q41" i="2"/>
  <c r="Q541" i="2"/>
  <c r="Q937" i="2"/>
  <c r="Q1271" i="2"/>
  <c r="Q196" i="2"/>
  <c r="Q628" i="2"/>
  <c r="Q295" i="2"/>
  <c r="Q864" i="2"/>
  <c r="Q1247" i="2"/>
  <c r="Q277" i="2"/>
  <c r="Q157" i="2"/>
  <c r="Q943" i="2"/>
  <c r="Q232" i="2"/>
  <c r="Q1305" i="2"/>
  <c r="Q749" i="2"/>
  <c r="Q152" i="2"/>
  <c r="Q1403" i="2"/>
  <c r="Q829" i="2"/>
  <c r="Q570" i="2"/>
  <c r="Q151" i="2"/>
  <c r="Q1137" i="2"/>
  <c r="Q1069" i="2"/>
  <c r="Q734" i="2"/>
  <c r="Q433" i="2"/>
  <c r="Q618" i="2"/>
  <c r="Q687" i="2"/>
  <c r="Q511" i="2"/>
  <c r="Q164" i="2"/>
  <c r="Q122" i="2"/>
  <c r="Q303" i="2"/>
  <c r="Q447" i="2"/>
  <c r="Q704" i="2"/>
  <c r="Q185" i="2"/>
  <c r="Q1064" i="2"/>
  <c r="Q580" i="2"/>
  <c r="Q1346" i="2"/>
  <c r="Q515" i="2"/>
  <c r="Q589" i="2"/>
  <c r="Q880" i="2"/>
  <c r="Q1400" i="2"/>
  <c r="Q329" i="2"/>
  <c r="Q78" i="2"/>
  <c r="Q1066" i="2"/>
  <c r="Q912" i="2"/>
  <c r="Q996" i="2"/>
  <c r="Q1080" i="2"/>
  <c r="Q1294" i="2"/>
  <c r="Q644" i="2"/>
  <c r="Q77" i="2"/>
  <c r="Q37" i="2"/>
  <c r="Q808" i="2"/>
  <c r="Q847" i="2"/>
  <c r="Q1155" i="2"/>
  <c r="Q1276" i="2"/>
  <c r="Q655" i="2"/>
  <c r="Q1288" i="2"/>
  <c r="Q454" i="2"/>
  <c r="Q358" i="2"/>
  <c r="Q178" i="2"/>
  <c r="Q317" i="2"/>
  <c r="Q249" i="2"/>
  <c r="Q547" i="2"/>
  <c r="Q318" i="2"/>
  <c r="Q186" i="2"/>
  <c r="Q1114" i="2"/>
  <c r="Q1359" i="2"/>
  <c r="Q850" i="2"/>
  <c r="Q293" i="2"/>
  <c r="Q563" i="2"/>
  <c r="Q1414" i="2"/>
  <c r="Q1009" i="2"/>
  <c r="Q697" i="2"/>
  <c r="Q1116" i="2"/>
  <c r="Q191" i="2"/>
  <c r="Q592" i="2"/>
  <c r="Q144" i="2"/>
  <c r="Q681" i="2"/>
  <c r="Q646" i="2"/>
  <c r="Q1045" i="2"/>
  <c r="Q483" i="2"/>
  <c r="Q975" i="2"/>
  <c r="Q1328" i="2"/>
  <c r="Q240" i="2"/>
  <c r="Q884" i="2"/>
  <c r="Q1308" i="2"/>
  <c r="Q422" i="2"/>
  <c r="Q1297" i="2"/>
  <c r="Q637" i="2"/>
  <c r="Q488" i="2"/>
  <c r="Q73" i="2"/>
  <c r="Q557" i="2"/>
  <c r="Q892" i="2"/>
  <c r="Q751" i="2"/>
  <c r="Q868" i="2"/>
  <c r="Q952" i="2"/>
  <c r="Q1149" i="2"/>
  <c r="Q1231" i="2"/>
  <c r="Q476" i="2"/>
  <c r="Q959" i="2"/>
  <c r="Q1277" i="2"/>
  <c r="Q1026" i="2"/>
  <c r="Q455" i="2"/>
  <c r="Q1160" i="2"/>
  <c r="Q408" i="2"/>
  <c r="Q1100" i="2"/>
  <c r="Q519" i="2"/>
  <c r="Q669" i="2"/>
  <c r="Q441" i="2"/>
  <c r="Q1002" i="2"/>
  <c r="Q494" i="2"/>
  <c r="Q1134" i="2"/>
  <c r="Q887" i="2"/>
  <c r="Q1070" i="2"/>
  <c r="Q596" i="2"/>
  <c r="Q1325" i="2"/>
  <c r="Q1339" i="2"/>
  <c r="Q85" i="2"/>
  <c r="Q739" i="2"/>
  <c r="Q1038" i="2"/>
  <c r="Q107" i="2"/>
  <c r="Q288" i="2"/>
  <c r="Q388" i="2"/>
  <c r="Q1388" i="2"/>
  <c r="Q1300" i="2"/>
  <c r="Q752" i="2"/>
  <c r="Q670" i="2"/>
  <c r="Q374" i="2"/>
  <c r="Q1260" i="2"/>
  <c r="Q1108" i="2"/>
  <c r="Q224" i="2"/>
  <c r="Q108" i="2"/>
  <c r="Q1104" i="2"/>
  <c r="Q933" i="2"/>
  <c r="Q1201" i="2"/>
  <c r="Q263" i="2"/>
  <c r="Q1220" i="2"/>
  <c r="Q1001" i="2"/>
  <c r="Q1392" i="2"/>
  <c r="Q166" i="2"/>
  <c r="Q167" i="2"/>
  <c r="Q778" i="2"/>
  <c r="Q109" i="2"/>
  <c r="Q1244" i="2"/>
  <c r="Q239" i="2"/>
  <c r="Q407" i="2"/>
  <c r="Q1115" i="2"/>
  <c r="Q714" i="2"/>
  <c r="Q259" i="2"/>
  <c r="Q1178" i="2"/>
  <c r="Q362" i="2"/>
  <c r="Q206" i="2"/>
  <c r="Q1332" i="2"/>
  <c r="Q479" i="2"/>
  <c r="Q972" i="2"/>
  <c r="Q398" i="2"/>
  <c r="Q314" i="2"/>
  <c r="Q1179" i="2"/>
  <c r="Q1187" i="2"/>
  <c r="Q1167" i="2"/>
  <c r="Q1085" i="2"/>
  <c r="Q450" i="2"/>
  <c r="Q491" i="2"/>
  <c r="Q1420" i="2"/>
  <c r="Q489" i="2"/>
  <c r="Q83" i="2"/>
  <c r="Q1050" i="2"/>
  <c r="Q458" i="2"/>
  <c r="Q214" i="2"/>
  <c r="Q371" i="2"/>
  <c r="Q542" i="2"/>
  <c r="Q439" i="2"/>
  <c r="Q1073" i="2"/>
  <c r="Q1353" i="2"/>
  <c r="Q462" i="2"/>
  <c r="Q801" i="2"/>
  <c r="Q858" i="2"/>
  <c r="Q1315" i="2"/>
  <c r="Q1412" i="2"/>
  <c r="Q227" i="2"/>
  <c r="Q672" i="2"/>
  <c r="Q49" i="2"/>
  <c r="Q1273" i="2"/>
  <c r="Q969" i="2"/>
  <c r="Q719" i="2"/>
  <c r="Q63" i="2"/>
  <c r="Q1316" i="2"/>
  <c r="Q1205" i="2"/>
  <c r="Q1303" i="2"/>
  <c r="Q980" i="2"/>
  <c r="Q869" i="2"/>
  <c r="Q965" i="2"/>
  <c r="Q254" i="2"/>
  <c r="Q572" i="2"/>
  <c r="Q47" i="2"/>
  <c r="Q442" i="2"/>
  <c r="Q301" i="2"/>
  <c r="Q955" i="2"/>
  <c r="Q666" i="2"/>
  <c r="Q1423" i="2"/>
  <c r="Q59" i="2"/>
  <c r="Q988" i="2"/>
  <c r="Q399" i="2"/>
  <c r="Q372" i="2"/>
  <c r="Q1267" i="2"/>
  <c r="Q581" i="2"/>
  <c r="Q50" i="2"/>
  <c r="Q583" i="2"/>
  <c r="Q1322" i="2"/>
  <c r="Q44" i="2"/>
  <c r="Q57" i="2"/>
  <c r="Q140" i="2"/>
  <c r="Q361" i="2"/>
  <c r="Q1418" i="2"/>
  <c r="Q360" i="2"/>
  <c r="Q1163" i="2"/>
  <c r="Q1238" i="2"/>
  <c r="Q228" i="2"/>
  <c r="Q1239" i="2"/>
  <c r="Q913" i="2"/>
  <c r="Q845" i="2"/>
  <c r="Q740" i="2"/>
  <c r="Q1206" i="2"/>
  <c r="Q290" i="2"/>
  <c r="Q674" i="2"/>
  <c r="Q328" i="2"/>
  <c r="Q158" i="2"/>
  <c r="Q423" i="2"/>
  <c r="Q1176" i="2"/>
  <c r="Q1017" i="2"/>
  <c r="Q1183" i="2"/>
  <c r="Q680" i="2"/>
  <c r="Q685" i="2"/>
  <c r="Q143" i="2"/>
  <c r="Q984" i="2"/>
  <c r="Q696" i="2"/>
  <c r="Q1169" i="2"/>
  <c r="Q841" i="2"/>
  <c r="Q874" i="2"/>
  <c r="Q463" i="2"/>
  <c r="Q856" i="2"/>
  <c r="Q1075" i="2"/>
  <c r="Q1020" i="2"/>
  <c r="Q409" i="2"/>
  <c r="Q1035" i="2"/>
  <c r="Q1363" i="2"/>
  <c r="Q183" i="2"/>
  <c r="Q1018" i="2"/>
  <c r="Q1071" i="2"/>
  <c r="Q706" i="2"/>
  <c r="Q702" i="2"/>
  <c r="Q1251" i="2"/>
  <c r="Q173" i="2"/>
  <c r="Q872" i="2"/>
  <c r="Q920" i="2"/>
  <c r="Q1165" i="2"/>
  <c r="Q513" i="2"/>
  <c r="Q1256" i="2"/>
  <c r="Q594" i="2"/>
  <c r="Q1008" i="2"/>
  <c r="Q973" i="2"/>
  <c r="Q285" i="2"/>
  <c r="Q1161" i="2"/>
  <c r="Q1125" i="2"/>
  <c r="Q640" i="2"/>
  <c r="Q848" i="2"/>
  <c r="Q775" i="2"/>
  <c r="Q283" i="2"/>
  <c r="Q787" i="2"/>
  <c r="Q242" i="2"/>
  <c r="Q524" i="2"/>
  <c r="Q737" i="2"/>
  <c r="Q1144" i="2"/>
  <c r="Q1284" i="2"/>
  <c r="Q1408" i="2"/>
  <c r="Q1052" i="2"/>
  <c r="Q126" i="2"/>
  <c r="Q586" i="2"/>
  <c r="Q1366" i="2"/>
  <c r="Q1409" i="2"/>
  <c r="Q792" i="2"/>
  <c r="Q453" i="2"/>
  <c r="Q52" i="2"/>
  <c r="Q335" i="2"/>
  <c r="Q828" i="2"/>
  <c r="Q951" i="2"/>
  <c r="Q1043" i="2"/>
  <c r="Q982" i="2"/>
  <c r="Q1063" i="2"/>
  <c r="Q853" i="2"/>
  <c r="Q1278" i="2"/>
  <c r="Q1162" i="2"/>
  <c r="Q746" i="2"/>
  <c r="Q313" i="2"/>
  <c r="Q827" i="2"/>
  <c r="Q611" i="2"/>
  <c r="Q1081" i="2"/>
  <c r="Q39" i="2"/>
  <c r="Q648" i="2"/>
  <c r="Q745" i="2"/>
  <c r="Q411" i="2"/>
  <c r="Q413" i="2"/>
  <c r="Q323" i="2"/>
  <c r="Q1015" i="2"/>
  <c r="Q522" i="2"/>
  <c r="Q452" i="2"/>
  <c r="Q238" i="2"/>
  <c r="Q588" i="2"/>
  <c r="Q1180" i="2"/>
  <c r="Q245" i="2"/>
  <c r="Q1395" i="2"/>
  <c r="Q210" i="2"/>
  <c r="Q688" i="2"/>
  <c r="Q1416" i="2"/>
  <c r="Q1204" i="2"/>
  <c r="Q1311" i="2"/>
  <c r="Q945" i="2"/>
  <c r="Q1028" i="2"/>
  <c r="Q204" i="2"/>
  <c r="Q834" i="2"/>
  <c r="Q812" i="2"/>
  <c r="Q247" i="2"/>
  <c r="Q1004" i="2"/>
  <c r="Q854" i="2"/>
  <c r="Q498" i="2"/>
  <c r="Q471" i="2"/>
  <c r="Q321" i="2"/>
  <c r="Q180" i="2"/>
  <c r="Q460" i="2"/>
  <c r="Q385" i="2"/>
  <c r="Q1084" i="2"/>
  <c r="Q193" i="2"/>
  <c r="Q960" i="2"/>
  <c r="Q1192" i="2"/>
  <c r="Q885" i="2"/>
  <c r="Q1360" i="2"/>
  <c r="Q692" i="2"/>
  <c r="Q608" i="2"/>
  <c r="Q1012" i="2"/>
  <c r="Q1281" i="2"/>
  <c r="Q438" i="2"/>
  <c r="Q255" i="2"/>
  <c r="Q703" i="2"/>
  <c r="Q115" i="2"/>
  <c r="Q429" i="2"/>
  <c r="Q181" i="2"/>
  <c r="Q207" i="2"/>
  <c r="Q472" i="2"/>
  <c r="Q517" i="2"/>
  <c r="Q968" i="2"/>
  <c r="Q914" i="2"/>
  <c r="Q632" i="2"/>
  <c r="Q1173" i="2"/>
  <c r="Q383" i="2"/>
  <c r="Q1188" i="2"/>
  <c r="Q316" i="2"/>
  <c r="Q378" i="2"/>
  <c r="Q389" i="2"/>
  <c r="Q182" i="2"/>
  <c r="Q100" i="2"/>
  <c r="Q127" i="2"/>
  <c r="Q375" i="2"/>
  <c r="Q623" i="2"/>
  <c r="Q1091" i="2"/>
  <c r="Q484" i="2"/>
  <c r="Q342" i="2"/>
  <c r="Q171" i="2"/>
  <c r="Q132" i="2"/>
  <c r="Q1000" i="2"/>
  <c r="Q1140" i="2"/>
  <c r="Q1264" i="2"/>
  <c r="Q717" i="2"/>
  <c r="Q202" i="2"/>
  <c r="Q1006" i="2"/>
  <c r="Q96" i="2"/>
  <c r="Q1042" i="2"/>
  <c r="Q424" i="2"/>
  <c r="Q634" i="2"/>
  <c r="Q113" i="2"/>
  <c r="Q243" i="2"/>
  <c r="Q1133" i="2"/>
  <c r="Q58" i="2"/>
  <c r="Q1007" i="2"/>
  <c r="Q643" i="2"/>
  <c r="Q1021" i="2"/>
  <c r="Q822" i="2"/>
  <c r="Q650" i="2"/>
  <c r="Q292" i="2"/>
  <c r="Q142" i="2"/>
  <c r="Q835" i="2"/>
  <c r="Q468" i="2"/>
  <c r="Q1213" i="2"/>
  <c r="Q633" i="2"/>
  <c r="Q898" i="2"/>
  <c r="Q493" i="2"/>
  <c r="Q579" i="2"/>
  <c r="Q940" i="2"/>
  <c r="Q417" i="2"/>
  <c r="Q863" i="2"/>
  <c r="Q101" i="2"/>
  <c r="Q48" i="2"/>
  <c r="Q904" i="2"/>
  <c r="Q567" i="2"/>
  <c r="Q95" i="2"/>
  <c r="Q1243" i="2"/>
  <c r="Q556" i="2"/>
  <c r="Q797" i="2"/>
  <c r="Q195" i="2"/>
  <c r="Q679" i="2"/>
  <c r="Q1296" i="2"/>
  <c r="Q111" i="2"/>
  <c r="Q575" i="2"/>
  <c r="Q103" i="2"/>
  <c r="Q552" i="2"/>
  <c r="Q297" i="2"/>
  <c r="Q270" i="2"/>
  <c r="Q1078" i="2"/>
  <c r="Q636" i="2"/>
  <c r="Q505" i="2"/>
  <c r="Q156" i="2"/>
  <c r="Q451" i="2"/>
  <c r="Q1120" i="2"/>
  <c r="Q1076" i="2"/>
  <c r="Q1032" i="2"/>
  <c r="Q1153" i="2"/>
  <c r="Q131" i="2"/>
  <c r="Q278" i="2"/>
  <c r="Q220" i="2"/>
  <c r="Q106" i="2"/>
  <c r="Q1110" i="2"/>
  <c r="Q61" i="2"/>
  <c r="Q410" i="2"/>
  <c r="Q923" i="2"/>
  <c r="Q1367" i="2"/>
  <c r="Q683" i="2"/>
  <c r="Q475" i="2"/>
  <c r="Q40" i="2"/>
  <c r="Q584" i="2"/>
  <c r="Q987" i="2"/>
  <c r="Q1335" i="2"/>
  <c r="Q1274" i="2"/>
  <c r="Q304" i="2"/>
  <c r="Q487" i="2"/>
  <c r="Q281" i="2"/>
  <c r="Q1194" i="2"/>
  <c r="Q759" i="2"/>
  <c r="Q368" i="2"/>
  <c r="Q341" i="2"/>
  <c r="Q974" i="2"/>
  <c r="Q201" i="2"/>
  <c r="Q1232" i="2"/>
  <c r="Q727" i="2"/>
  <c r="Q402" i="2"/>
  <c r="Q728" i="2"/>
  <c r="Q310" i="2"/>
  <c r="Q414" i="2"/>
  <c r="Q1148" i="2"/>
  <c r="Q631" i="2"/>
  <c r="Q905" i="2"/>
  <c r="Q617" i="2"/>
  <c r="Q537" i="2"/>
  <c r="Q91" i="2"/>
  <c r="Q686" i="2"/>
  <c r="Q199" i="2"/>
  <c r="Q989" i="2"/>
  <c r="Q308" i="2"/>
  <c r="Q921" i="2"/>
  <c r="Q67" i="2"/>
  <c r="Q266" i="2"/>
  <c r="Q548" i="2"/>
  <c r="Q1262" i="2"/>
  <c r="Q75" i="2"/>
  <c r="Q1216" i="2"/>
  <c r="Q503" i="2"/>
  <c r="Q660" i="2"/>
  <c r="Q568" i="2"/>
  <c r="Q161" i="2"/>
  <c r="Q766" i="2"/>
  <c r="Q501" i="2"/>
  <c r="Q1312" i="2"/>
  <c r="Q656" i="2"/>
  <c r="Q382" i="2"/>
  <c r="Q1344" i="2"/>
  <c r="Q1240" i="2"/>
  <c r="Q624" i="2"/>
  <c r="Q652" i="2"/>
  <c r="Q168" i="2"/>
  <c r="Q852" i="2"/>
  <c r="Q907" i="2"/>
  <c r="Q1219" i="2"/>
  <c r="Q159" i="2"/>
  <c r="Q319" i="2"/>
  <c r="Q114" i="2"/>
  <c r="Q225" i="2"/>
  <c r="Q627" i="2"/>
  <c r="Q1379" i="2"/>
  <c r="Q1065" i="2"/>
  <c r="Q1098" i="2"/>
  <c r="Q1396" i="2"/>
  <c r="Q294" i="2"/>
  <c r="Q102" i="2"/>
  <c r="Q1139" i="2"/>
  <c r="Q1268" i="2"/>
  <c r="Q707" i="2"/>
  <c r="Q538" i="2"/>
  <c r="Q1217" i="2"/>
  <c r="Q591" i="2"/>
  <c r="Q1077" i="2"/>
  <c r="Q997" i="2"/>
  <c r="Q1105" i="2"/>
  <c r="Q1016" i="2"/>
  <c r="Q363" i="2"/>
  <c r="Q786" i="2"/>
  <c r="Q1365" i="2"/>
  <c r="Q306" i="2"/>
  <c r="Q129" i="2"/>
  <c r="Q906" i="2"/>
  <c r="Q565" i="2"/>
  <c r="Q38" i="2"/>
  <c r="Q1290" i="2"/>
  <c r="Q1364" i="2"/>
  <c r="Q176" i="2"/>
  <c r="Q647" i="2"/>
  <c r="Q1060" i="2"/>
  <c r="Q82" i="2"/>
  <c r="Q1301" i="2"/>
  <c r="Q257" i="2"/>
  <c r="Q1304" i="2"/>
  <c r="Q1345" i="2"/>
  <c r="Q92" i="2"/>
  <c r="Q1289" i="2"/>
  <c r="Q599" i="2"/>
  <c r="Q434" i="2"/>
  <c r="Q1107" i="2"/>
  <c r="Q911" i="2"/>
  <c r="Q544" i="2"/>
  <c r="Q54" i="2"/>
  <c r="Q530" i="2"/>
  <c r="Q1317" i="2"/>
  <c r="Q70" i="2"/>
  <c r="Q105" i="2"/>
  <c r="Q1280" i="2"/>
  <c r="Q691" i="2"/>
  <c r="Q1410" i="2"/>
  <c r="Q79" i="2"/>
  <c r="Q783" i="2"/>
  <c r="Q991" i="2"/>
  <c r="Q750" i="2"/>
  <c r="Q929" i="2"/>
  <c r="Q886" i="2"/>
  <c r="Q621" i="2"/>
  <c r="Q976" i="2"/>
  <c r="Q936" i="2"/>
  <c r="Q364" i="2"/>
  <c r="Q1331" i="2"/>
  <c r="Q1293" i="2"/>
  <c r="Q1172" i="2"/>
  <c r="Q1307" i="2"/>
  <c r="Q788" i="2"/>
  <c r="Q431" i="2"/>
  <c r="Q415" i="2"/>
  <c r="Q985" i="2"/>
  <c r="Q528" i="2"/>
  <c r="Q509" i="2"/>
  <c r="Q888" i="2"/>
  <c r="Q860" i="2"/>
  <c r="Q1156" i="2"/>
  <c r="Q1417" i="2"/>
  <c r="Q1381" i="2"/>
  <c r="Q698" i="2"/>
  <c r="Q1044" i="2"/>
  <c r="Q486" i="2"/>
  <c r="Q104" i="2"/>
  <c r="Q807" i="2"/>
  <c r="Q791" i="2"/>
  <c r="Q464" i="2"/>
  <c r="Q1397" i="2"/>
  <c r="Q35" i="2"/>
  <c r="Q639" i="2"/>
  <c r="Q425" i="2"/>
  <c r="Q726" i="2"/>
  <c r="Q355" i="2"/>
  <c r="Q953" i="2"/>
  <c r="Q449" i="2"/>
  <c r="Q65" i="2"/>
  <c r="Q1103" i="2"/>
  <c r="Q1024" i="2"/>
  <c r="Q1047" i="2"/>
  <c r="Q334" i="2"/>
  <c r="Q1068" i="2"/>
  <c r="Q271" i="2"/>
  <c r="Q1224" i="2"/>
  <c r="Q800" i="2"/>
  <c r="Q312" i="2"/>
  <c r="Q1203" i="2"/>
  <c r="Q1371" i="2"/>
  <c r="Q348" i="2"/>
  <c r="Q527" i="2"/>
  <c r="Q543" i="2"/>
  <c r="Q1377" i="2"/>
  <c r="Q927" i="2"/>
  <c r="Q121" i="2"/>
  <c r="Q279" i="2"/>
  <c r="Q1159" i="2"/>
  <c r="Q803" i="2"/>
  <c r="Q1250" i="2"/>
  <c r="Q1097" i="2"/>
  <c r="Q406" i="2"/>
  <c r="Q938" i="2"/>
  <c r="Q760" i="2"/>
  <c r="Q136" i="2"/>
  <c r="Q876" i="2"/>
  <c r="Q836" i="2"/>
  <c r="Q1129" i="2"/>
  <c r="Q662" i="2"/>
  <c r="Q742" i="2"/>
  <c r="Q713" i="2"/>
  <c r="Q551" i="2"/>
  <c r="Q695" i="2"/>
  <c r="Q356" i="2"/>
  <c r="Q327" i="2"/>
  <c r="Q175" i="2"/>
  <c r="Q825" i="2"/>
  <c r="Q977" i="2"/>
  <c r="Q352" i="2"/>
  <c r="Q1136" i="2"/>
  <c r="Q309" i="2"/>
  <c r="Q502" i="2"/>
  <c r="Q45" i="2"/>
  <c r="Q816" i="2"/>
  <c r="Q534" i="2"/>
  <c r="Q506" i="2"/>
  <c r="Q533" i="2"/>
  <c r="Q1061" i="2"/>
  <c r="Q440" i="2"/>
  <c r="Q1143" i="2"/>
  <c r="Q366" i="2"/>
  <c r="Q1196" i="2"/>
  <c r="Q367" i="2"/>
  <c r="Q205" i="2"/>
  <c r="Q956" i="2"/>
  <c r="Q1348" i="2"/>
  <c r="Q671" i="2"/>
  <c r="Q784" i="2"/>
  <c r="Q504" i="2"/>
  <c r="Q1005" i="2"/>
  <c r="Q1372" i="2"/>
  <c r="Q1236" i="2"/>
  <c r="Q865" i="2"/>
  <c r="Q849" i="2"/>
  <c r="Q1145" i="2"/>
  <c r="Q899" i="2"/>
  <c r="Q351" i="2"/>
  <c r="Q184" i="2"/>
  <c r="Q900" i="2"/>
  <c r="Q609" i="2"/>
  <c r="Q416" i="2"/>
  <c r="Q219" i="2"/>
  <c r="Q373" i="2"/>
  <c r="Q1033" i="2"/>
  <c r="Q1384" i="2"/>
  <c r="Q357" i="2"/>
  <c r="Q110" i="2"/>
  <c r="Q1184" i="2"/>
  <c r="Q1112" i="2"/>
  <c r="Q1314" i="2"/>
  <c r="Q359" i="2"/>
  <c r="Q246" i="2"/>
  <c r="Q457" i="2"/>
  <c r="Q559" i="2"/>
  <c r="Q549" i="2"/>
  <c r="Q80" i="2"/>
  <c r="Q722" i="2"/>
  <c r="Q1233" i="2"/>
  <c r="Q1225" i="2"/>
  <c r="Q1011" i="2"/>
  <c r="Q861" i="2"/>
  <c r="Q60" i="2"/>
  <c r="Q770" i="2"/>
  <c r="Q250" i="2"/>
  <c r="Q676" i="2"/>
  <c r="Q1092" i="2"/>
  <c r="Q287" i="2"/>
  <c r="Q68" i="2"/>
  <c r="Q661" i="2"/>
  <c r="Q1257" i="2"/>
  <c r="Q330" i="2"/>
  <c r="Q916" i="2"/>
  <c r="Q236" i="2"/>
  <c r="Q821" i="2"/>
  <c r="Q1237" i="2"/>
  <c r="Q924" i="2"/>
  <c r="Q112" i="2"/>
  <c r="Q377" i="2"/>
  <c r="Q1404" i="2"/>
  <c r="Q343" i="2"/>
  <c r="Q769" i="2"/>
  <c r="Q944" i="2"/>
  <c r="Q947" i="2"/>
  <c r="Q190" i="2"/>
  <c r="Q1200" i="2"/>
  <c r="Q1128" i="2"/>
  <c r="Q818" i="2"/>
  <c r="Q718" i="2"/>
  <c r="Q172" i="2"/>
  <c r="Q1152" i="2"/>
  <c r="Q1096" i="2"/>
  <c r="Q747" i="2"/>
  <c r="Q189" i="2"/>
  <c r="Q832" i="2"/>
  <c r="Q767" i="2"/>
  <c r="Q1249" i="2"/>
  <c r="Q280" i="2"/>
  <c r="Q545" i="2"/>
  <c r="Q1385" i="2"/>
  <c r="Q125" i="2"/>
  <c r="Q492" i="2"/>
  <c r="Q535" i="2"/>
  <c r="Q1121" i="2"/>
  <c r="Q756" i="2"/>
  <c r="Q1056" i="2"/>
  <c r="Q134" i="2"/>
  <c r="Q1368" i="2"/>
  <c r="Q149" i="2"/>
  <c r="I503" i="2"/>
  <c r="I376" i="2"/>
  <c r="I757" i="2"/>
  <c r="I741" i="2"/>
  <c r="I386" i="2"/>
  <c r="I385" i="2"/>
  <c r="I369" i="2"/>
  <c r="I230" i="2"/>
  <c r="I1331" i="2"/>
  <c r="I226" i="2"/>
  <c r="I1316" i="2"/>
  <c r="I220" i="2"/>
  <c r="I584" i="2"/>
  <c r="I957" i="2"/>
  <c r="I215" i="2"/>
  <c r="I971" i="2"/>
  <c r="I1332" i="2"/>
  <c r="I1317" i="2"/>
  <c r="I956" i="2"/>
  <c r="I974" i="2"/>
  <c r="I236" i="2"/>
  <c r="I1339" i="2"/>
  <c r="I1310" i="2"/>
  <c r="I1315" i="2"/>
  <c r="I588" i="2"/>
  <c r="I958" i="2"/>
  <c r="I973" i="2"/>
  <c r="I591" i="2"/>
  <c r="I1423" i="2"/>
  <c r="I1407" i="2"/>
  <c r="I1422" i="2"/>
  <c r="I313" i="2"/>
  <c r="I329" i="2"/>
  <c r="I1050" i="2"/>
  <c r="I1413" i="2"/>
  <c r="I685" i="2"/>
  <c r="I696" i="2"/>
  <c r="I1402" i="2"/>
  <c r="I1418" i="2"/>
  <c r="I1049" i="2"/>
  <c r="I323" i="2"/>
  <c r="I1065" i="2"/>
  <c r="I1059" i="2"/>
  <c r="I1043" i="2"/>
  <c r="I390" i="2"/>
  <c r="I752" i="2"/>
  <c r="I1097" i="2"/>
  <c r="I1126" i="2"/>
  <c r="I1102" i="2"/>
  <c r="I754" i="2"/>
  <c r="I738" i="2"/>
  <c r="I736" i="2"/>
  <c r="I391" i="2"/>
  <c r="I379" i="2"/>
  <c r="I1120" i="2"/>
  <c r="I388" i="2"/>
  <c r="I1127" i="2"/>
  <c r="I1106" i="2"/>
  <c r="I367" i="2"/>
  <c r="I1121" i="2"/>
  <c r="I1325" i="2"/>
  <c r="I1118" i="2"/>
  <c r="I745" i="2"/>
  <c r="I570" i="2"/>
  <c r="I197" i="2"/>
  <c r="I1392" i="2"/>
  <c r="I1276" i="2"/>
  <c r="I1055" i="2"/>
  <c r="I903" i="2"/>
  <c r="I743" i="2"/>
  <c r="I539" i="2"/>
  <c r="I928" i="2"/>
  <c r="I195" i="2"/>
  <c r="I943" i="2"/>
  <c r="I1376" i="2"/>
  <c r="I1240" i="2"/>
  <c r="I1348" i="2"/>
  <c r="I1333" i="2"/>
  <c r="I1301" i="2"/>
  <c r="I1112" i="2"/>
  <c r="I1099" i="2"/>
  <c r="I930" i="2"/>
  <c r="I551" i="2"/>
  <c r="I1394" i="2"/>
  <c r="I1378" i="2"/>
  <c r="I1255" i="2"/>
  <c r="I1036" i="2"/>
  <c r="I564" i="2"/>
  <c r="I159" i="2"/>
  <c r="Q658" i="2"/>
  <c r="Q1048" i="2"/>
  <c r="Q480" i="2"/>
  <c r="Q1253" i="2"/>
  <c r="Q1058" i="2"/>
  <c r="I1237" i="2"/>
  <c r="I190" i="2"/>
  <c r="I191" i="2"/>
  <c r="I297" i="2"/>
  <c r="I1254" i="2"/>
  <c r="I1238" i="2"/>
  <c r="I1035" i="2"/>
  <c r="I1019" i="2"/>
  <c r="I972" i="2"/>
  <c r="I897" i="2"/>
  <c r="I674" i="2"/>
  <c r="I658" i="2"/>
  <c r="I642" i="2"/>
  <c r="I594" i="2"/>
  <c r="I373" i="2"/>
  <c r="Q1401" i="2"/>
  <c r="Q566" i="2"/>
  <c r="Q443" i="2"/>
  <c r="Q148" i="2"/>
  <c r="Q387" i="2"/>
  <c r="Q289" i="2"/>
  <c r="I898" i="2"/>
  <c r="I1271" i="2"/>
  <c r="I532" i="2"/>
  <c r="I164" i="2"/>
  <c r="I548" i="2"/>
  <c r="I1034" i="2"/>
  <c r="I657" i="2"/>
  <c r="I1125" i="2"/>
  <c r="I927" i="2"/>
  <c r="I689" i="2"/>
  <c r="I372" i="2"/>
  <c r="I327" i="2"/>
  <c r="I311" i="2"/>
  <c r="I296" i="2"/>
  <c r="I280" i="2"/>
  <c r="I235" i="2"/>
  <c r="I204" i="2"/>
  <c r="I1227" i="2"/>
  <c r="I514" i="2"/>
  <c r="I506" i="2"/>
  <c r="I498" i="2"/>
  <c r="I490" i="2"/>
  <c r="I1225" i="2"/>
  <c r="I135" i="2"/>
  <c r="I868" i="2"/>
  <c r="I858" i="2"/>
  <c r="I128" i="2"/>
  <c r="I504" i="2"/>
  <c r="I1224" i="2"/>
  <c r="I515" i="2"/>
  <c r="I124" i="2"/>
  <c r="I878" i="2"/>
  <c r="I507" i="2"/>
  <c r="I511" i="2"/>
  <c r="I873" i="2"/>
  <c r="I1219" i="2"/>
  <c r="I147" i="2"/>
  <c r="I1226" i="2"/>
  <c r="I1247" i="2"/>
  <c r="I502" i="2"/>
  <c r="I143" i="2"/>
  <c r="I1235" i="2"/>
  <c r="I517" i="2"/>
  <c r="I146" i="2"/>
  <c r="I869" i="2"/>
  <c r="I137" i="2"/>
  <c r="I499" i="2"/>
  <c r="I130" i="2"/>
  <c r="I872" i="2"/>
  <c r="I865" i="2"/>
  <c r="I134" i="2"/>
  <c r="I151" i="2"/>
  <c r="I500" i="2"/>
  <c r="I882" i="2"/>
  <c r="I132" i="2"/>
  <c r="I512" i="2"/>
  <c r="I488" i="2"/>
  <c r="I854" i="2"/>
  <c r="I866" i="2"/>
  <c r="I880" i="2"/>
  <c r="I1232" i="2"/>
  <c r="I1233" i="2"/>
  <c r="I492" i="2"/>
  <c r="I513" i="2"/>
  <c r="I123" i="2"/>
  <c r="I508" i="2"/>
  <c r="I493" i="2"/>
  <c r="I142" i="2"/>
  <c r="I509" i="2"/>
  <c r="I876" i="2"/>
  <c r="I864" i="2"/>
  <c r="I870" i="2"/>
  <c r="I149" i="2"/>
  <c r="I145" i="2"/>
  <c r="I468" i="2"/>
  <c r="I63" i="2"/>
  <c r="I445" i="2"/>
  <c r="I867" i="2"/>
  <c r="I1223" i="2"/>
  <c r="I874" i="2"/>
  <c r="I144" i="2"/>
  <c r="I136" i="2"/>
  <c r="I881" i="2"/>
  <c r="I1220" i="2"/>
  <c r="I133" i="2"/>
  <c r="I885" i="2"/>
  <c r="I884" i="2"/>
  <c r="K32" i="2"/>
  <c r="M32" i="2" s="1"/>
  <c r="N32" i="2" s="1"/>
  <c r="G32" i="2"/>
  <c r="J33" i="2" s="1"/>
  <c r="E34" i="2"/>
  <c r="F34" i="2"/>
  <c r="F24" i="2" l="1"/>
  <c r="H33" i="2"/>
  <c r="G33" i="2" s="1"/>
  <c r="J34" i="2" s="1"/>
  <c r="L33" i="2"/>
  <c r="F35" i="2"/>
  <c r="E35" i="2"/>
  <c r="P32" i="2"/>
  <c r="K33" i="2" l="1"/>
  <c r="L34" i="2" s="1"/>
  <c r="H34" i="2"/>
  <c r="F36" i="2"/>
  <c r="E36" i="2"/>
  <c r="M33" i="2" l="1"/>
  <c r="N33" i="2" s="1"/>
  <c r="P33" i="2" s="1"/>
  <c r="K34" i="2"/>
  <c r="L35" i="2" s="1"/>
  <c r="G34" i="2"/>
  <c r="J35" i="2" s="1"/>
  <c r="E37" i="2"/>
  <c r="F37" i="2"/>
  <c r="M34" i="2" l="1"/>
  <c r="N34" i="2" s="1"/>
  <c r="P34" i="2" s="1"/>
  <c r="H35" i="2"/>
  <c r="K35" i="2" s="1"/>
  <c r="M35" i="2" s="1"/>
  <c r="N35" i="2" s="1"/>
  <c r="P35" i="2" s="1"/>
  <c r="F38" i="2"/>
  <c r="E38" i="2"/>
  <c r="G35" i="2" l="1"/>
  <c r="H36" i="2" s="1"/>
  <c r="K36" i="2" s="1"/>
  <c r="L36" i="2"/>
  <c r="F39" i="2"/>
  <c r="E39" i="2"/>
  <c r="J36" i="2" l="1"/>
  <c r="G36" i="2" s="1"/>
  <c r="H37" i="2" s="1"/>
  <c r="K37" i="2" s="1"/>
  <c r="M36" i="2"/>
  <c r="N36" i="2" s="1"/>
  <c r="P36" i="2" s="1"/>
  <c r="L37" i="2"/>
  <c r="F40" i="2"/>
  <c r="E40" i="2"/>
  <c r="J37" i="2" l="1"/>
  <c r="G37" i="2" s="1"/>
  <c r="J38" i="2" s="1"/>
  <c r="M37" i="2"/>
  <c r="N37" i="2" s="1"/>
  <c r="P37" i="2" s="1"/>
  <c r="L38" i="2"/>
  <c r="F41" i="2"/>
  <c r="E41" i="2"/>
  <c r="H38" i="2" l="1"/>
  <c r="K38" i="2" s="1"/>
  <c r="L39" i="2" s="1"/>
  <c r="E42" i="2"/>
  <c r="F42" i="2"/>
  <c r="G38" i="2" l="1"/>
  <c r="H39" i="2" s="1"/>
  <c r="K39" i="2" s="1"/>
  <c r="M39" i="2" s="1"/>
  <c r="N39" i="2" s="1"/>
  <c r="P39" i="2" s="1"/>
  <c r="M38" i="2"/>
  <c r="N38" i="2" s="1"/>
  <c r="P38" i="2" s="1"/>
  <c r="E43" i="2"/>
  <c r="F43" i="2"/>
  <c r="L40" i="2" l="1"/>
  <c r="J39" i="2"/>
  <c r="G39" i="2" s="1"/>
  <c r="H40" i="2" s="1"/>
  <c r="K40" i="2" s="1"/>
  <c r="F44" i="2"/>
  <c r="E44" i="2"/>
  <c r="M40" i="2" l="1"/>
  <c r="N40" i="2" s="1"/>
  <c r="P40" i="2" s="1"/>
  <c r="J40" i="2"/>
  <c r="G40" i="2" s="1"/>
  <c r="H41" i="2" s="1"/>
  <c r="K41" i="2" s="1"/>
  <c r="L41" i="2"/>
  <c r="E45" i="2"/>
  <c r="F45" i="2"/>
  <c r="J41" i="2" l="1"/>
  <c r="G41" i="2" s="1"/>
  <c r="J42" i="2" s="1"/>
  <c r="M41" i="2"/>
  <c r="N41" i="2" s="1"/>
  <c r="P41" i="2" s="1"/>
  <c r="L42" i="2"/>
  <c r="F46" i="2"/>
  <c r="E46" i="2"/>
  <c r="H42" i="2" l="1"/>
  <c r="K42" i="2" s="1"/>
  <c r="M42" i="2" s="1"/>
  <c r="N42" i="2" s="1"/>
  <c r="P42" i="2" s="1"/>
  <c r="E47" i="2"/>
  <c r="F47" i="2"/>
  <c r="G42" i="2" l="1"/>
  <c r="H43" i="2" s="1"/>
  <c r="K43" i="2" s="1"/>
  <c r="L43" i="2"/>
  <c r="F48" i="2"/>
  <c r="E48" i="2"/>
  <c r="M43" i="2" l="1"/>
  <c r="N43" i="2" s="1"/>
  <c r="P43" i="2" s="1"/>
  <c r="L44" i="2"/>
  <c r="J43" i="2"/>
  <c r="G43" i="2" s="1"/>
  <c r="J44" i="2" s="1"/>
  <c r="E49" i="2"/>
  <c r="F49" i="2"/>
  <c r="H44" i="2" l="1"/>
  <c r="G44" i="2" s="1"/>
  <c r="J45" i="2" s="1"/>
  <c r="F50" i="2"/>
  <c r="E50" i="2"/>
  <c r="K44" i="2" l="1"/>
  <c r="M44" i="2" s="1"/>
  <c r="N44" i="2" s="1"/>
  <c r="P44" i="2" s="1"/>
  <c r="H45" i="2"/>
  <c r="G45" i="2" s="1"/>
  <c r="J46" i="2" s="1"/>
  <c r="E51" i="2"/>
  <c r="F51" i="2"/>
  <c r="H46" i="2" l="1"/>
  <c r="G46" i="2" s="1"/>
  <c r="J47" i="2" s="1"/>
  <c r="L45" i="2"/>
  <c r="K45" i="2"/>
  <c r="E52" i="2"/>
  <c r="F52" i="2"/>
  <c r="H47" i="2" l="1"/>
  <c r="G47" i="2" s="1"/>
  <c r="J48" i="2" s="1"/>
  <c r="M45" i="2"/>
  <c r="N45" i="2" s="1"/>
  <c r="P45" i="2" s="1"/>
  <c r="L46" i="2"/>
  <c r="K46" i="2"/>
  <c r="E53" i="2"/>
  <c r="F53" i="2"/>
  <c r="H48" i="2" l="1"/>
  <c r="G48" i="2" s="1"/>
  <c r="H49" i="2" s="1"/>
  <c r="M46" i="2"/>
  <c r="N46" i="2" s="1"/>
  <c r="P46" i="2" s="1"/>
  <c r="K47" i="2"/>
  <c r="L47" i="2"/>
  <c r="F54" i="2"/>
  <c r="E54" i="2"/>
  <c r="J49" i="2" l="1"/>
  <c r="G49" i="2" s="1"/>
  <c r="J50" i="2" s="1"/>
  <c r="K48" i="2"/>
  <c r="K49" i="2" s="1"/>
  <c r="L48" i="2"/>
  <c r="M47" i="2"/>
  <c r="N47" i="2" s="1"/>
  <c r="P47" i="2" s="1"/>
  <c r="E55" i="2"/>
  <c r="F55" i="2"/>
  <c r="L49" i="2" l="1"/>
  <c r="M49" i="2" s="1"/>
  <c r="N49" i="2" s="1"/>
  <c r="P49" i="2" s="1"/>
  <c r="H50" i="2"/>
  <c r="G50" i="2" s="1"/>
  <c r="J51" i="2" s="1"/>
  <c r="M48" i="2"/>
  <c r="N48" i="2" s="1"/>
  <c r="P48" i="2" s="1"/>
  <c r="E56" i="2"/>
  <c r="F56" i="2"/>
  <c r="L50" i="2" l="1"/>
  <c r="K50" i="2"/>
  <c r="H51" i="2"/>
  <c r="G51" i="2" s="1"/>
  <c r="J52" i="2" s="1"/>
  <c r="E57" i="2"/>
  <c r="F57" i="2"/>
  <c r="K51" i="2" l="1"/>
  <c r="L51" i="2"/>
  <c r="H52" i="2"/>
  <c r="G52" i="2" s="1"/>
  <c r="J53" i="2" s="1"/>
  <c r="M50" i="2"/>
  <c r="N50" i="2" s="1"/>
  <c r="P50" i="2" s="1"/>
  <c r="F58" i="2"/>
  <c r="E58" i="2"/>
  <c r="L52" i="2" l="1"/>
  <c r="M51" i="2"/>
  <c r="N51" i="2" s="1"/>
  <c r="P51" i="2" s="1"/>
  <c r="K52" i="2"/>
  <c r="H53" i="2"/>
  <c r="G53" i="2" s="1"/>
  <c r="J54" i="2" s="1"/>
  <c r="E59" i="2"/>
  <c r="F59" i="2"/>
  <c r="H54" i="2" l="1"/>
  <c r="G54" i="2" s="1"/>
  <c r="J55" i="2" s="1"/>
  <c r="K53" i="2"/>
  <c r="L53" i="2"/>
  <c r="M52" i="2"/>
  <c r="N52" i="2" s="1"/>
  <c r="P52" i="2" s="1"/>
  <c r="F60" i="2"/>
  <c r="E60" i="2"/>
  <c r="K54" i="2" l="1"/>
  <c r="M53" i="2"/>
  <c r="N53" i="2" s="1"/>
  <c r="P53" i="2" s="1"/>
  <c r="H55" i="2"/>
  <c r="G55" i="2" s="1"/>
  <c r="H56" i="2" s="1"/>
  <c r="L54" i="2"/>
  <c r="F61" i="2"/>
  <c r="E61" i="2"/>
  <c r="K55" i="2" l="1"/>
  <c r="K56" i="2" s="1"/>
  <c r="J56" i="2"/>
  <c r="G56" i="2" s="1"/>
  <c r="J57" i="2" s="1"/>
  <c r="M54" i="2"/>
  <c r="N54" i="2" s="1"/>
  <c r="P54" i="2" s="1"/>
  <c r="L55" i="2"/>
  <c r="E62" i="2"/>
  <c r="F62" i="2"/>
  <c r="M55" i="2" l="1"/>
  <c r="N55" i="2" s="1"/>
  <c r="P55" i="2" s="1"/>
  <c r="L56" i="2"/>
  <c r="M56" i="2" s="1"/>
  <c r="N56" i="2" s="1"/>
  <c r="P56" i="2" s="1"/>
  <c r="H57" i="2"/>
  <c r="K57" i="2" s="1"/>
  <c r="F63" i="2"/>
  <c r="E63" i="2"/>
  <c r="L57" i="2" l="1"/>
  <c r="L58" i="2" s="1"/>
  <c r="G57" i="2"/>
  <c r="J58" i="2" s="1"/>
  <c r="F64" i="2"/>
  <c r="E64" i="2"/>
  <c r="M57" i="2" l="1"/>
  <c r="N57" i="2" s="1"/>
  <c r="P57" i="2" s="1"/>
  <c r="H58" i="2"/>
  <c r="G58" i="2" s="1"/>
  <c r="J59" i="2" s="1"/>
  <c r="E65" i="2"/>
  <c r="F65" i="2"/>
  <c r="H59" i="2" l="1"/>
  <c r="G59" i="2" s="1"/>
  <c r="J60" i="2" s="1"/>
  <c r="K58" i="2"/>
  <c r="L59" i="2" s="1"/>
  <c r="F66" i="2"/>
  <c r="E66" i="2"/>
  <c r="K59" i="2" l="1"/>
  <c r="H60" i="2"/>
  <c r="G60" i="2" s="1"/>
  <c r="H61" i="2" s="1"/>
  <c r="M58" i="2"/>
  <c r="N58" i="2" s="1"/>
  <c r="P58" i="2" s="1"/>
  <c r="E67" i="2"/>
  <c r="F67" i="2"/>
  <c r="J61" i="2" l="1"/>
  <c r="G61" i="2" s="1"/>
  <c r="H62" i="2" s="1"/>
  <c r="K60" i="2"/>
  <c r="K61" i="2" s="1"/>
  <c r="L60" i="2"/>
  <c r="M59" i="2"/>
  <c r="N59" i="2" s="1"/>
  <c r="P59" i="2" s="1"/>
  <c r="E68" i="2"/>
  <c r="F68" i="2"/>
  <c r="J62" i="2" l="1"/>
  <c r="G62" i="2" s="1"/>
  <c r="K62" i="2"/>
  <c r="M60" i="2"/>
  <c r="N60" i="2" s="1"/>
  <c r="P60" i="2" s="1"/>
  <c r="L61" i="2"/>
  <c r="M61" i="2" s="1"/>
  <c r="N61" i="2" s="1"/>
  <c r="P61" i="2" s="1"/>
  <c r="E69" i="2"/>
  <c r="F69" i="2"/>
  <c r="L62" i="2" l="1"/>
  <c r="H63" i="2"/>
  <c r="J63" i="2"/>
  <c r="F70" i="2"/>
  <c r="E70" i="2"/>
  <c r="L63" i="2" l="1"/>
  <c r="M62" i="2"/>
  <c r="N62" i="2" s="1"/>
  <c r="P62" i="2" s="1"/>
  <c r="G63" i="2"/>
  <c r="K63" i="2"/>
  <c r="F71" i="2"/>
  <c r="E71" i="2"/>
  <c r="M63" i="2" l="1"/>
  <c r="N63" i="2" s="1"/>
  <c r="P63" i="2" s="1"/>
  <c r="L64" i="2"/>
  <c r="J64" i="2"/>
  <c r="H64" i="2"/>
  <c r="K64" i="2" s="1"/>
  <c r="F72" i="2"/>
  <c r="E72" i="2"/>
  <c r="M64" i="2" l="1"/>
  <c r="N64" i="2" s="1"/>
  <c r="P64" i="2" s="1"/>
  <c r="G64" i="2"/>
  <c r="L65" i="2"/>
  <c r="F73" i="2"/>
  <c r="E73" i="2"/>
  <c r="J65" i="2" l="1"/>
  <c r="H65" i="2"/>
  <c r="K65" i="2" s="1"/>
  <c r="E74" i="2"/>
  <c r="F74" i="2"/>
  <c r="G65" i="2" l="1"/>
  <c r="M65" i="2"/>
  <c r="N65" i="2" s="1"/>
  <c r="P65" i="2" s="1"/>
  <c r="L66" i="2"/>
  <c r="F75" i="2"/>
  <c r="E75" i="2"/>
  <c r="H66" i="2" l="1"/>
  <c r="J66" i="2"/>
  <c r="E76" i="2"/>
  <c r="F76" i="2"/>
  <c r="G66" i="2" l="1"/>
  <c r="K66" i="2"/>
  <c r="F77" i="2"/>
  <c r="E77" i="2"/>
  <c r="J67" i="2" l="1"/>
  <c r="H67" i="2"/>
  <c r="M66" i="2"/>
  <c r="N66" i="2" s="1"/>
  <c r="P66" i="2" s="1"/>
  <c r="L67" i="2"/>
  <c r="F78" i="2"/>
  <c r="E78" i="2"/>
  <c r="G67" i="2" l="1"/>
  <c r="J68" i="2" s="1"/>
  <c r="K67" i="2"/>
  <c r="L68" i="2" s="1"/>
  <c r="F79" i="2"/>
  <c r="E79" i="2"/>
  <c r="H68" i="2" l="1"/>
  <c r="K68" i="2" s="1"/>
  <c r="L69" i="2" s="1"/>
  <c r="M67" i="2"/>
  <c r="N67" i="2" s="1"/>
  <c r="P67" i="2" s="1"/>
  <c r="E80" i="2"/>
  <c r="F80" i="2"/>
  <c r="M68" i="2" l="1"/>
  <c r="N68" i="2" s="1"/>
  <c r="P68" i="2" s="1"/>
  <c r="G68" i="2"/>
  <c r="E81" i="2"/>
  <c r="F81" i="2"/>
  <c r="J69" i="2" l="1"/>
  <c r="H69" i="2"/>
  <c r="F82" i="2"/>
  <c r="E82" i="2"/>
  <c r="K69" i="2" l="1"/>
  <c r="G69" i="2"/>
  <c r="F83" i="2"/>
  <c r="E83" i="2"/>
  <c r="M69" i="2" l="1"/>
  <c r="N69" i="2" s="1"/>
  <c r="P69" i="2" s="1"/>
  <c r="L70" i="2"/>
  <c r="J70" i="2"/>
  <c r="H70" i="2"/>
  <c r="K70" i="2" s="1"/>
  <c r="F84" i="2"/>
  <c r="E84" i="2"/>
  <c r="M70" i="2" l="1"/>
  <c r="N70" i="2" s="1"/>
  <c r="P70" i="2" s="1"/>
  <c r="G70" i="2"/>
  <c r="H71" i="2" s="1"/>
  <c r="K71" i="2" s="1"/>
  <c r="L71" i="2"/>
  <c r="F85" i="2"/>
  <c r="E85" i="2"/>
  <c r="J71" i="2" l="1"/>
  <c r="G71" i="2" s="1"/>
  <c r="L72" i="2"/>
  <c r="M71" i="2"/>
  <c r="N71" i="2" s="1"/>
  <c r="P71" i="2" s="1"/>
  <c r="F86" i="2"/>
  <c r="E86" i="2"/>
  <c r="H72" i="2" l="1"/>
  <c r="K72" i="2" s="1"/>
  <c r="M72" i="2" s="1"/>
  <c r="N72" i="2" s="1"/>
  <c r="P72" i="2" s="1"/>
  <c r="J72" i="2"/>
  <c r="E87" i="2"/>
  <c r="F87" i="2"/>
  <c r="L73" i="2" l="1"/>
  <c r="G72" i="2"/>
  <c r="F88" i="2"/>
  <c r="E88" i="2"/>
  <c r="H73" i="2" l="1"/>
  <c r="K73" i="2" s="1"/>
  <c r="J73" i="2"/>
  <c r="E89" i="2"/>
  <c r="F89" i="2"/>
  <c r="G73" i="2" l="1"/>
  <c r="H74" i="2" s="1"/>
  <c r="K74" i="2" s="1"/>
  <c r="M73" i="2"/>
  <c r="N73" i="2" s="1"/>
  <c r="P73" i="2" s="1"/>
  <c r="L74" i="2"/>
  <c r="E90" i="2"/>
  <c r="F90" i="2"/>
  <c r="L75" i="2" l="1"/>
  <c r="J74" i="2"/>
  <c r="G74" i="2" s="1"/>
  <c r="M74" i="2"/>
  <c r="N74" i="2" s="1"/>
  <c r="P74" i="2" s="1"/>
  <c r="F91" i="2"/>
  <c r="E91" i="2"/>
  <c r="J75" i="2" l="1"/>
  <c r="H75" i="2"/>
  <c r="E92" i="2"/>
  <c r="F92" i="2"/>
  <c r="G75" i="2" l="1"/>
  <c r="K75" i="2"/>
  <c r="F93" i="2"/>
  <c r="E93" i="2"/>
  <c r="M75" i="2" l="1"/>
  <c r="N75" i="2" s="1"/>
  <c r="P75" i="2" s="1"/>
  <c r="L76" i="2"/>
  <c r="H76" i="2"/>
  <c r="K76" i="2" s="1"/>
  <c r="J76" i="2"/>
  <c r="F94" i="2"/>
  <c r="E94" i="2"/>
  <c r="G76" i="2" l="1"/>
  <c r="J77" i="2" s="1"/>
  <c r="M76" i="2"/>
  <c r="N76" i="2" s="1"/>
  <c r="P76" i="2" s="1"/>
  <c r="L77" i="2"/>
  <c r="F95" i="2"/>
  <c r="E95" i="2"/>
  <c r="H77" i="2" l="1"/>
  <c r="K77" i="2" s="1"/>
  <c r="L78" i="2" s="1"/>
  <c r="F96" i="2"/>
  <c r="E96" i="2"/>
  <c r="M77" i="2" l="1"/>
  <c r="N77" i="2" s="1"/>
  <c r="P77" i="2" s="1"/>
  <c r="G77" i="2"/>
  <c r="J78" i="2" s="1"/>
  <c r="F97" i="2"/>
  <c r="E97" i="2"/>
  <c r="H78" i="2" l="1"/>
  <c r="K78" i="2" s="1"/>
  <c r="M78" i="2" s="1"/>
  <c r="N78" i="2" s="1"/>
  <c r="P78" i="2" s="1"/>
  <c r="F98" i="2"/>
  <c r="E98" i="2"/>
  <c r="G78" i="2" l="1"/>
  <c r="H79" i="2" s="1"/>
  <c r="K79" i="2" s="1"/>
  <c r="L79" i="2"/>
  <c r="F99" i="2"/>
  <c r="E99" i="2"/>
  <c r="J79" i="2" l="1"/>
  <c r="G79" i="2" s="1"/>
  <c r="J80" i="2" s="1"/>
  <c r="L80" i="2"/>
  <c r="M79" i="2"/>
  <c r="N79" i="2" s="1"/>
  <c r="P79" i="2" s="1"/>
  <c r="E100" i="2"/>
  <c r="F100" i="2"/>
  <c r="H80" i="2" l="1"/>
  <c r="K80" i="2" s="1"/>
  <c r="M80" i="2" s="1"/>
  <c r="N80" i="2" s="1"/>
  <c r="P80" i="2" s="1"/>
  <c r="E101" i="2"/>
  <c r="F101" i="2"/>
  <c r="L81" i="2" l="1"/>
  <c r="G80" i="2"/>
  <c r="H81" i="2" s="1"/>
  <c r="K81" i="2" s="1"/>
  <c r="E102" i="2"/>
  <c r="F102" i="2"/>
  <c r="J81" i="2" l="1"/>
  <c r="G81" i="2" s="1"/>
  <c r="L82" i="2"/>
  <c r="M81" i="2"/>
  <c r="N81" i="2" s="1"/>
  <c r="P81" i="2" s="1"/>
  <c r="E103" i="2"/>
  <c r="F103" i="2"/>
  <c r="J82" i="2" l="1"/>
  <c r="H82" i="2"/>
  <c r="E104" i="2"/>
  <c r="F104" i="2"/>
  <c r="K82" i="2" l="1"/>
  <c r="G82" i="2"/>
  <c r="F105" i="2"/>
  <c r="E105" i="2"/>
  <c r="H83" i="2" l="1"/>
  <c r="K83" i="2" s="1"/>
  <c r="J83" i="2"/>
  <c r="L83" i="2"/>
  <c r="M82" i="2"/>
  <c r="N82" i="2" s="1"/>
  <c r="P82" i="2" s="1"/>
  <c r="E106" i="2"/>
  <c r="F106" i="2"/>
  <c r="G83" i="2" l="1"/>
  <c r="H84" i="2" s="1"/>
  <c r="K84" i="2" s="1"/>
  <c r="M83" i="2"/>
  <c r="N83" i="2" s="1"/>
  <c r="P83" i="2" s="1"/>
  <c r="L84" i="2"/>
  <c r="F107" i="2"/>
  <c r="E107" i="2"/>
  <c r="M84" i="2" l="1"/>
  <c r="N84" i="2" s="1"/>
  <c r="P84" i="2" s="1"/>
  <c r="J84" i="2"/>
  <c r="G84" i="2" s="1"/>
  <c r="L85" i="2"/>
  <c r="E108" i="2"/>
  <c r="F108" i="2"/>
  <c r="J85" i="2" l="1"/>
  <c r="H85" i="2"/>
  <c r="K85" i="2" s="1"/>
  <c r="M85" i="2" s="1"/>
  <c r="N85" i="2" s="1"/>
  <c r="P85" i="2" s="1"/>
  <c r="E109" i="2"/>
  <c r="F109" i="2"/>
  <c r="G85" i="2" l="1"/>
  <c r="L86" i="2"/>
  <c r="E110" i="2"/>
  <c r="F110" i="2"/>
  <c r="H86" i="2" l="1"/>
  <c r="K86" i="2" s="1"/>
  <c r="J86" i="2"/>
  <c r="E111" i="2"/>
  <c r="F111" i="2"/>
  <c r="G86" i="2" l="1"/>
  <c r="H87" i="2" s="1"/>
  <c r="K87" i="2" s="1"/>
  <c r="L87" i="2"/>
  <c r="M86" i="2"/>
  <c r="N86" i="2" s="1"/>
  <c r="P86" i="2" s="1"/>
  <c r="E112" i="2"/>
  <c r="F112" i="2"/>
  <c r="J87" i="2" l="1"/>
  <c r="G87" i="2" s="1"/>
  <c r="J88" i="2" s="1"/>
  <c r="M87" i="2"/>
  <c r="N87" i="2" s="1"/>
  <c r="P87" i="2" s="1"/>
  <c r="L88" i="2"/>
  <c r="F113" i="2"/>
  <c r="E113" i="2"/>
  <c r="H88" i="2" l="1"/>
  <c r="G88" i="2" s="1"/>
  <c r="J89" i="2" s="1"/>
  <c r="E114" i="2"/>
  <c r="F114" i="2"/>
  <c r="K88" i="2" l="1"/>
  <c r="L89" i="2" s="1"/>
  <c r="H89" i="2"/>
  <c r="G89" i="2" s="1"/>
  <c r="F115" i="2"/>
  <c r="E115" i="2"/>
  <c r="M88" i="2" l="1"/>
  <c r="N88" i="2" s="1"/>
  <c r="P88" i="2" s="1"/>
  <c r="K89" i="2"/>
  <c r="L90" i="2" s="1"/>
  <c r="J90" i="2"/>
  <c r="H90" i="2"/>
  <c r="F116" i="2"/>
  <c r="E116" i="2"/>
  <c r="G90" i="2" l="1"/>
  <c r="J91" i="2" s="1"/>
  <c r="M89" i="2"/>
  <c r="N89" i="2" s="1"/>
  <c r="P89" i="2" s="1"/>
  <c r="K90" i="2"/>
  <c r="L91" i="2" s="1"/>
  <c r="F117" i="2"/>
  <c r="E117" i="2"/>
  <c r="H91" i="2" l="1"/>
  <c r="K91" i="2" s="1"/>
  <c r="M90" i="2"/>
  <c r="N90" i="2" s="1"/>
  <c r="P90" i="2" s="1"/>
  <c r="E118" i="2"/>
  <c r="F118" i="2"/>
  <c r="G91" i="2" l="1"/>
  <c r="M91" i="2"/>
  <c r="N91" i="2" s="1"/>
  <c r="P91" i="2" s="1"/>
  <c r="L92" i="2"/>
  <c r="E119" i="2"/>
  <c r="F119" i="2"/>
  <c r="H92" i="2" l="1"/>
  <c r="K92" i="2" s="1"/>
  <c r="J92" i="2"/>
  <c r="F120" i="2"/>
  <c r="E120" i="2"/>
  <c r="M92" i="2" l="1"/>
  <c r="N92" i="2" s="1"/>
  <c r="P92" i="2" s="1"/>
  <c r="L93" i="2"/>
  <c r="G92" i="2"/>
  <c r="E121" i="2"/>
  <c r="F121" i="2"/>
  <c r="H93" i="2" l="1"/>
  <c r="K93" i="2" s="1"/>
  <c r="J93" i="2"/>
  <c r="F122" i="2"/>
  <c r="E122" i="2"/>
  <c r="G93" i="2" l="1"/>
  <c r="J94" i="2" s="1"/>
  <c r="M93" i="2"/>
  <c r="N93" i="2" s="1"/>
  <c r="P93" i="2" s="1"/>
  <c r="L94" i="2"/>
  <c r="E123" i="2"/>
  <c r="F123" i="2"/>
  <c r="H94" i="2" l="1"/>
  <c r="F124" i="2"/>
  <c r="E124" i="2"/>
  <c r="G94" i="2" l="1"/>
  <c r="K94" i="2"/>
  <c r="F125" i="2"/>
  <c r="E125" i="2"/>
  <c r="L95" i="2" l="1"/>
  <c r="M94" i="2"/>
  <c r="N94" i="2" s="1"/>
  <c r="P94" i="2" s="1"/>
  <c r="H95" i="2"/>
  <c r="K95" i="2" s="1"/>
  <c r="J95" i="2"/>
  <c r="E126" i="2"/>
  <c r="F126" i="2"/>
  <c r="G95" i="2" l="1"/>
  <c r="H96" i="2" s="1"/>
  <c r="K96" i="2" s="1"/>
  <c r="L96" i="2"/>
  <c r="M95" i="2"/>
  <c r="N95" i="2" s="1"/>
  <c r="P95" i="2" s="1"/>
  <c r="E127" i="2"/>
  <c r="F127" i="2"/>
  <c r="J96" i="2" l="1"/>
  <c r="G96" i="2" s="1"/>
  <c r="L97" i="2"/>
  <c r="M96" i="2"/>
  <c r="N96" i="2" s="1"/>
  <c r="P96" i="2" s="1"/>
  <c r="E128" i="2"/>
  <c r="F128" i="2"/>
  <c r="H97" i="2" l="1"/>
  <c r="K97" i="2" s="1"/>
  <c r="J97" i="2"/>
  <c r="E129" i="2"/>
  <c r="F129" i="2"/>
  <c r="M97" i="2" l="1"/>
  <c r="N97" i="2" s="1"/>
  <c r="P97" i="2" s="1"/>
  <c r="L98" i="2"/>
  <c r="G97" i="2"/>
  <c r="F130" i="2"/>
  <c r="E130" i="2"/>
  <c r="J98" i="2" l="1"/>
  <c r="H98" i="2"/>
  <c r="E131" i="2"/>
  <c r="F131" i="2"/>
  <c r="G98" i="2" l="1"/>
  <c r="K98" i="2"/>
  <c r="F132" i="2"/>
  <c r="E132" i="2"/>
  <c r="J99" i="2" l="1"/>
  <c r="H99" i="2"/>
  <c r="K99" i="2" s="1"/>
  <c r="M98" i="2"/>
  <c r="N98" i="2" s="1"/>
  <c r="P98" i="2" s="1"/>
  <c r="L99" i="2"/>
  <c r="F133" i="2"/>
  <c r="E133" i="2"/>
  <c r="M99" i="2" l="1"/>
  <c r="N99" i="2" s="1"/>
  <c r="P99" i="2" s="1"/>
  <c r="L100" i="2"/>
  <c r="G99" i="2"/>
  <c r="F134" i="2"/>
  <c r="E134" i="2"/>
  <c r="J100" i="2" l="1"/>
  <c r="H100" i="2"/>
  <c r="K100" i="2" s="1"/>
  <c r="L101" i="2" s="1"/>
  <c r="E135" i="2"/>
  <c r="F135" i="2"/>
  <c r="G100" i="2" l="1"/>
  <c r="H101" i="2" s="1"/>
  <c r="K101" i="2" s="1"/>
  <c r="M100" i="2"/>
  <c r="N100" i="2" s="1"/>
  <c r="P100" i="2" s="1"/>
  <c r="F136" i="2"/>
  <c r="E136" i="2"/>
  <c r="J101" i="2" l="1"/>
  <c r="G101" i="2" s="1"/>
  <c r="L102" i="2"/>
  <c r="M101" i="2"/>
  <c r="N101" i="2" s="1"/>
  <c r="P101" i="2" s="1"/>
  <c r="F137" i="2"/>
  <c r="E137" i="2"/>
  <c r="H102" i="2" l="1"/>
  <c r="K102" i="2" s="1"/>
  <c r="M102" i="2" s="1"/>
  <c r="N102" i="2" s="1"/>
  <c r="P102" i="2" s="1"/>
  <c r="J102" i="2"/>
  <c r="F138" i="2"/>
  <c r="E138" i="2"/>
  <c r="G102" i="2" l="1"/>
  <c r="J103" i="2" s="1"/>
  <c r="L103" i="2"/>
  <c r="F139" i="2"/>
  <c r="E139" i="2"/>
  <c r="H103" i="2" l="1"/>
  <c r="K103" i="2" s="1"/>
  <c r="L104" i="2" s="1"/>
  <c r="F140" i="2"/>
  <c r="E140" i="2"/>
  <c r="M103" i="2" l="1"/>
  <c r="N103" i="2" s="1"/>
  <c r="P103" i="2" s="1"/>
  <c r="G103" i="2"/>
  <c r="F141" i="2"/>
  <c r="E141" i="2"/>
  <c r="H104" i="2" l="1"/>
  <c r="K104" i="2" s="1"/>
  <c r="J104" i="2"/>
  <c r="F142" i="2"/>
  <c r="E142" i="2"/>
  <c r="G104" i="2" l="1"/>
  <c r="H105" i="2" s="1"/>
  <c r="K105" i="2" s="1"/>
  <c r="M104" i="2"/>
  <c r="N104" i="2" s="1"/>
  <c r="P104" i="2" s="1"/>
  <c r="L105" i="2"/>
  <c r="E143" i="2"/>
  <c r="F143" i="2"/>
  <c r="M105" i="2" l="1"/>
  <c r="N105" i="2" s="1"/>
  <c r="P105" i="2" s="1"/>
  <c r="J105" i="2"/>
  <c r="G105" i="2" s="1"/>
  <c r="L106" i="2"/>
  <c r="F144" i="2"/>
  <c r="E144" i="2"/>
  <c r="H106" i="2" l="1"/>
  <c r="K106" i="2" s="1"/>
  <c r="M106" i="2" s="1"/>
  <c r="N106" i="2" s="1"/>
  <c r="P106" i="2" s="1"/>
  <c r="J106" i="2"/>
  <c r="F145" i="2"/>
  <c r="E145" i="2"/>
  <c r="G106" i="2" l="1"/>
  <c r="H107" i="2" s="1"/>
  <c r="K107" i="2" s="1"/>
  <c r="L107" i="2"/>
  <c r="E146" i="2"/>
  <c r="F146" i="2"/>
  <c r="M107" i="2" l="1"/>
  <c r="N107" i="2" s="1"/>
  <c r="P107" i="2" s="1"/>
  <c r="J107" i="2"/>
  <c r="G107" i="2" s="1"/>
  <c r="L108" i="2"/>
  <c r="F147" i="2"/>
  <c r="E147" i="2"/>
  <c r="J108" i="2" l="1"/>
  <c r="H108" i="2"/>
  <c r="K108" i="2" s="1"/>
  <c r="M108" i="2" s="1"/>
  <c r="N108" i="2" s="1"/>
  <c r="P108" i="2" s="1"/>
  <c r="F148" i="2"/>
  <c r="E148" i="2"/>
  <c r="G108" i="2" l="1"/>
  <c r="L109" i="2"/>
  <c r="F149" i="2"/>
  <c r="E149" i="2"/>
  <c r="J109" i="2" l="1"/>
  <c r="H109" i="2"/>
  <c r="K109" i="2" s="1"/>
  <c r="M109" i="2" s="1"/>
  <c r="N109" i="2" s="1"/>
  <c r="P109" i="2" s="1"/>
  <c r="E150" i="2"/>
  <c r="F150" i="2"/>
  <c r="L110" i="2" l="1"/>
  <c r="G109" i="2"/>
  <c r="E151" i="2"/>
  <c r="F151" i="2"/>
  <c r="H110" i="2" l="1"/>
  <c r="K110" i="2" s="1"/>
  <c r="M110" i="2" s="1"/>
  <c r="N110" i="2" s="1"/>
  <c r="P110" i="2" s="1"/>
  <c r="J110" i="2"/>
  <c r="F152" i="2"/>
  <c r="E152" i="2"/>
  <c r="L111" i="2" l="1"/>
  <c r="G110" i="2"/>
  <c r="E153" i="2"/>
  <c r="F153" i="2"/>
  <c r="J111" i="2" l="1"/>
  <c r="H111" i="2"/>
  <c r="K111" i="2" s="1"/>
  <c r="M111" i="2" s="1"/>
  <c r="N111" i="2" s="1"/>
  <c r="P111" i="2" s="1"/>
  <c r="F154" i="2"/>
  <c r="E154" i="2"/>
  <c r="G111" i="2" l="1"/>
  <c r="L112" i="2"/>
  <c r="F155" i="2"/>
  <c r="E155" i="2"/>
  <c r="J112" i="2" l="1"/>
  <c r="H112" i="2"/>
  <c r="K112" i="2" s="1"/>
  <c r="M112" i="2" s="1"/>
  <c r="N112" i="2" s="1"/>
  <c r="P112" i="2" s="1"/>
  <c r="E156" i="2"/>
  <c r="F156" i="2"/>
  <c r="G112" i="2" l="1"/>
  <c r="L113" i="2"/>
  <c r="E157" i="2"/>
  <c r="F157" i="2"/>
  <c r="H113" i="2" l="1"/>
  <c r="K113" i="2" s="1"/>
  <c r="M113" i="2" s="1"/>
  <c r="N113" i="2" s="1"/>
  <c r="P113" i="2" s="1"/>
  <c r="J113" i="2"/>
  <c r="E158" i="2"/>
  <c r="F158" i="2"/>
  <c r="G113" i="2" l="1"/>
  <c r="J114" i="2" s="1"/>
  <c r="L114" i="2"/>
  <c r="E159" i="2"/>
  <c r="F159" i="2"/>
  <c r="H114" i="2" l="1"/>
  <c r="K114" i="2" s="1"/>
  <c r="M114" i="2" s="1"/>
  <c r="N114" i="2" s="1"/>
  <c r="P114" i="2" s="1"/>
  <c r="E160" i="2"/>
  <c r="F160" i="2"/>
  <c r="G114" i="2" l="1"/>
  <c r="J115" i="2" s="1"/>
  <c r="L115" i="2"/>
  <c r="F161" i="2"/>
  <c r="E161" i="2"/>
  <c r="H115" i="2" l="1"/>
  <c r="K115" i="2" s="1"/>
  <c r="M115" i="2" s="1"/>
  <c r="N115" i="2" s="1"/>
  <c r="P115" i="2" s="1"/>
  <c r="F162" i="2"/>
  <c r="E162" i="2"/>
  <c r="G115" i="2" l="1"/>
  <c r="J116" i="2" s="1"/>
  <c r="L116" i="2"/>
  <c r="E163" i="2"/>
  <c r="F163" i="2"/>
  <c r="H116" i="2" l="1"/>
  <c r="K116" i="2" s="1"/>
  <c r="M116" i="2" s="1"/>
  <c r="N116" i="2" s="1"/>
  <c r="P116" i="2" s="1"/>
  <c r="E164" i="2"/>
  <c r="F164" i="2"/>
  <c r="G116" i="2" l="1"/>
  <c r="H117" i="2" s="1"/>
  <c r="K117" i="2" s="1"/>
  <c r="L117" i="2"/>
  <c r="E165" i="2"/>
  <c r="F165" i="2"/>
  <c r="J117" i="2" l="1"/>
  <c r="G117" i="2" s="1"/>
  <c r="J118" i="2" s="1"/>
  <c r="M117" i="2"/>
  <c r="N117" i="2" s="1"/>
  <c r="P117" i="2" s="1"/>
  <c r="L118" i="2"/>
  <c r="E166" i="2"/>
  <c r="F166" i="2"/>
  <c r="H118" i="2" l="1"/>
  <c r="G118" i="2" s="1"/>
  <c r="H119" i="2" s="1"/>
  <c r="E167" i="2"/>
  <c r="F167" i="2"/>
  <c r="J119" i="2" l="1"/>
  <c r="G119" i="2" s="1"/>
  <c r="J120" i="2" s="1"/>
  <c r="K118" i="2"/>
  <c r="L119" i="2" s="1"/>
  <c r="E168" i="2"/>
  <c r="F168" i="2"/>
  <c r="M118" i="2" l="1"/>
  <c r="N118" i="2" s="1"/>
  <c r="P118" i="2" s="1"/>
  <c r="K119" i="2"/>
  <c r="M119" i="2" s="1"/>
  <c r="N119" i="2" s="1"/>
  <c r="P119" i="2" s="1"/>
  <c r="H120" i="2"/>
  <c r="F169" i="2"/>
  <c r="E169" i="2"/>
  <c r="L120" i="2" l="1"/>
  <c r="K120" i="2"/>
  <c r="G120" i="2"/>
  <c r="J121" i="2" s="1"/>
  <c r="F170" i="2"/>
  <c r="E170" i="2"/>
  <c r="M120" i="2" l="1"/>
  <c r="N120" i="2" s="1"/>
  <c r="P120" i="2" s="1"/>
  <c r="L121" i="2"/>
  <c r="H121" i="2"/>
  <c r="G121" i="2" s="1"/>
  <c r="H122" i="2" s="1"/>
  <c r="F171" i="2"/>
  <c r="E171" i="2"/>
  <c r="K121" i="2" l="1"/>
  <c r="M121" i="2" s="1"/>
  <c r="N121" i="2" s="1"/>
  <c r="P121" i="2" s="1"/>
  <c r="J122" i="2"/>
  <c r="G122" i="2" s="1"/>
  <c r="H123" i="2" s="1"/>
  <c r="E172" i="2"/>
  <c r="F172" i="2"/>
  <c r="J123" i="2" l="1"/>
  <c r="G123" i="2" s="1"/>
  <c r="J124" i="2" s="1"/>
  <c r="L122" i="2"/>
  <c r="K122" i="2"/>
  <c r="K123" i="2" s="1"/>
  <c r="E173" i="2"/>
  <c r="F173" i="2"/>
  <c r="H124" i="2" l="1"/>
  <c r="K124" i="2" s="1"/>
  <c r="M122" i="2"/>
  <c r="N122" i="2" s="1"/>
  <c r="P122" i="2" s="1"/>
  <c r="L123" i="2"/>
  <c r="L124" i="2" s="1"/>
  <c r="F174" i="2"/>
  <c r="E174" i="2"/>
  <c r="M123" i="2" l="1"/>
  <c r="N123" i="2" s="1"/>
  <c r="P123" i="2" s="1"/>
  <c r="L125" i="2"/>
  <c r="G124" i="2"/>
  <c r="H125" i="2" s="1"/>
  <c r="M124" i="2"/>
  <c r="N124" i="2" s="1"/>
  <c r="P124" i="2" s="1"/>
  <c r="E175" i="2"/>
  <c r="F175" i="2"/>
  <c r="J125" i="2" l="1"/>
  <c r="G125" i="2" s="1"/>
  <c r="K125" i="2"/>
  <c r="F176" i="2"/>
  <c r="E176" i="2"/>
  <c r="J126" i="2" l="1"/>
  <c r="H126" i="2"/>
  <c r="K126" i="2" s="1"/>
  <c r="M125" i="2"/>
  <c r="N125" i="2" s="1"/>
  <c r="P125" i="2" s="1"/>
  <c r="L126" i="2"/>
  <c r="F177" i="2"/>
  <c r="E177" i="2"/>
  <c r="L127" i="2" l="1"/>
  <c r="G126" i="2"/>
  <c r="H127" i="2" s="1"/>
  <c r="K127" i="2" s="1"/>
  <c r="M126" i="2"/>
  <c r="N126" i="2" s="1"/>
  <c r="P126" i="2" s="1"/>
  <c r="F178" i="2"/>
  <c r="E178" i="2"/>
  <c r="J127" i="2" l="1"/>
  <c r="G127" i="2" s="1"/>
  <c r="M127" i="2"/>
  <c r="N127" i="2" s="1"/>
  <c r="P127" i="2" s="1"/>
  <c r="L128" i="2"/>
  <c r="E179" i="2"/>
  <c r="F179" i="2"/>
  <c r="H128" i="2" l="1"/>
  <c r="K128" i="2" s="1"/>
  <c r="J128" i="2"/>
  <c r="E180" i="2"/>
  <c r="F180" i="2"/>
  <c r="M128" i="2" l="1"/>
  <c r="N128" i="2" s="1"/>
  <c r="P128" i="2" s="1"/>
  <c r="L129" i="2"/>
  <c r="G128" i="2"/>
  <c r="E181" i="2"/>
  <c r="F181" i="2"/>
  <c r="J129" i="2" l="1"/>
  <c r="H129" i="2"/>
  <c r="K129" i="2" s="1"/>
  <c r="M129" i="2" s="1"/>
  <c r="N129" i="2" s="1"/>
  <c r="P129" i="2" s="1"/>
  <c r="F182" i="2"/>
  <c r="E182" i="2"/>
  <c r="G129" i="2" l="1"/>
  <c r="H130" i="2" s="1"/>
  <c r="K130" i="2" s="1"/>
  <c r="L130" i="2"/>
  <c r="E183" i="2"/>
  <c r="F183" i="2"/>
  <c r="J130" i="2" l="1"/>
  <c r="G130" i="2" s="1"/>
  <c r="M130" i="2"/>
  <c r="N130" i="2" s="1"/>
  <c r="P130" i="2" s="1"/>
  <c r="L131" i="2"/>
  <c r="E184" i="2"/>
  <c r="F184" i="2"/>
  <c r="H131" i="2" l="1"/>
  <c r="K131" i="2" s="1"/>
  <c r="M131" i="2" s="1"/>
  <c r="N131" i="2" s="1"/>
  <c r="P131" i="2" s="1"/>
  <c r="J131" i="2"/>
  <c r="E185" i="2"/>
  <c r="F185" i="2"/>
  <c r="G131" i="2" l="1"/>
  <c r="J132" i="2" s="1"/>
  <c r="L132" i="2"/>
  <c r="F186" i="2"/>
  <c r="E186" i="2"/>
  <c r="H132" i="2" l="1"/>
  <c r="K132" i="2" s="1"/>
  <c r="M132" i="2" s="1"/>
  <c r="N132" i="2" s="1"/>
  <c r="P132" i="2" s="1"/>
  <c r="E187" i="2"/>
  <c r="F187" i="2"/>
  <c r="G132" i="2" l="1"/>
  <c r="H133" i="2" s="1"/>
  <c r="K133" i="2" s="1"/>
  <c r="L133" i="2"/>
  <c r="E188" i="2"/>
  <c r="F188" i="2"/>
  <c r="M133" i="2" l="1"/>
  <c r="N133" i="2" s="1"/>
  <c r="P133" i="2" s="1"/>
  <c r="J133" i="2"/>
  <c r="G133" i="2" s="1"/>
  <c r="L134" i="2"/>
  <c r="F189" i="2"/>
  <c r="E189" i="2"/>
  <c r="J134" i="2" l="1"/>
  <c r="H134" i="2"/>
  <c r="K134" i="2" s="1"/>
  <c r="F190" i="2"/>
  <c r="E190" i="2"/>
  <c r="G134" i="2" l="1"/>
  <c r="J135" i="2" s="1"/>
  <c r="M134" i="2"/>
  <c r="N134" i="2" s="1"/>
  <c r="P134" i="2" s="1"/>
  <c r="L135" i="2"/>
  <c r="E191" i="2"/>
  <c r="F191" i="2"/>
  <c r="H135" i="2" l="1"/>
  <c r="K135" i="2" s="1"/>
  <c r="L136" i="2" s="1"/>
  <c r="F192" i="2"/>
  <c r="E192" i="2"/>
  <c r="M135" i="2" l="1"/>
  <c r="N135" i="2" s="1"/>
  <c r="P135" i="2" s="1"/>
  <c r="G135" i="2"/>
  <c r="H136" i="2" s="1"/>
  <c r="K136" i="2" s="1"/>
  <c r="M136" i="2" s="1"/>
  <c r="N136" i="2" s="1"/>
  <c r="P136" i="2" s="1"/>
  <c r="E193" i="2"/>
  <c r="F193" i="2"/>
  <c r="J136" i="2" l="1"/>
  <c r="G136" i="2" s="1"/>
  <c r="J137" i="2" s="1"/>
  <c r="L137" i="2"/>
  <c r="E194" i="2"/>
  <c r="F194" i="2"/>
  <c r="H137" i="2" l="1"/>
  <c r="K137" i="2" s="1"/>
  <c r="L138" i="2" s="1"/>
  <c r="E195" i="2"/>
  <c r="F195" i="2"/>
  <c r="G137" i="2" l="1"/>
  <c r="H138" i="2" s="1"/>
  <c r="K138" i="2" s="1"/>
  <c r="M138" i="2" s="1"/>
  <c r="N138" i="2" s="1"/>
  <c r="P138" i="2" s="1"/>
  <c r="M137" i="2"/>
  <c r="N137" i="2" s="1"/>
  <c r="P137" i="2" s="1"/>
  <c r="E196" i="2"/>
  <c r="F196" i="2"/>
  <c r="L139" i="2" l="1"/>
  <c r="J138" i="2"/>
  <c r="G138" i="2" s="1"/>
  <c r="H139" i="2" s="1"/>
  <c r="K139" i="2" s="1"/>
  <c r="E197" i="2"/>
  <c r="F197" i="2"/>
  <c r="M139" i="2" l="1"/>
  <c r="N139" i="2" s="1"/>
  <c r="P139" i="2" s="1"/>
  <c r="L140" i="2"/>
  <c r="J139" i="2"/>
  <c r="G139" i="2" s="1"/>
  <c r="J140" i="2" s="1"/>
  <c r="E198" i="2"/>
  <c r="F198" i="2"/>
  <c r="H140" i="2" l="1"/>
  <c r="K140" i="2" s="1"/>
  <c r="M140" i="2" s="1"/>
  <c r="N140" i="2" s="1"/>
  <c r="P140" i="2" s="1"/>
  <c r="E199" i="2"/>
  <c r="F199" i="2"/>
  <c r="G140" i="2" l="1"/>
  <c r="H141" i="2" s="1"/>
  <c r="K141" i="2" s="1"/>
  <c r="L141" i="2"/>
  <c r="E200" i="2"/>
  <c r="F200" i="2"/>
  <c r="J141" i="2" l="1"/>
  <c r="G141" i="2" s="1"/>
  <c r="M141" i="2"/>
  <c r="N141" i="2" s="1"/>
  <c r="P141" i="2" s="1"/>
  <c r="L142" i="2"/>
  <c r="E201" i="2"/>
  <c r="F201" i="2"/>
  <c r="H142" i="2" l="1"/>
  <c r="K142" i="2" s="1"/>
  <c r="M142" i="2" s="1"/>
  <c r="N142" i="2" s="1"/>
  <c r="P142" i="2" s="1"/>
  <c r="J142" i="2"/>
  <c r="E202" i="2"/>
  <c r="F202" i="2"/>
  <c r="G142" i="2" l="1"/>
  <c r="J143" i="2" s="1"/>
  <c r="L143" i="2"/>
  <c r="E203" i="2"/>
  <c r="F203" i="2"/>
  <c r="H143" i="2" l="1"/>
  <c r="K143" i="2" s="1"/>
  <c r="L144" i="2" s="1"/>
  <c r="E204" i="2"/>
  <c r="F204" i="2"/>
  <c r="M143" i="2" l="1"/>
  <c r="N143" i="2" s="1"/>
  <c r="P143" i="2" s="1"/>
  <c r="G143" i="2"/>
  <c r="H144" i="2" s="1"/>
  <c r="K144" i="2" s="1"/>
  <c r="M144" i="2" s="1"/>
  <c r="N144" i="2" s="1"/>
  <c r="P144" i="2" s="1"/>
  <c r="F205" i="2"/>
  <c r="E205" i="2"/>
  <c r="J144" i="2" l="1"/>
  <c r="G144" i="2" s="1"/>
  <c r="H145" i="2" s="1"/>
  <c r="K145" i="2" s="1"/>
  <c r="L145" i="2"/>
  <c r="E206" i="2"/>
  <c r="F206" i="2"/>
  <c r="J145" i="2" l="1"/>
  <c r="G145" i="2" s="1"/>
  <c r="M145" i="2"/>
  <c r="N145" i="2" s="1"/>
  <c r="P145" i="2" s="1"/>
  <c r="L146" i="2"/>
  <c r="E207" i="2"/>
  <c r="F207" i="2"/>
  <c r="J146" i="2" l="1"/>
  <c r="H146" i="2"/>
  <c r="F208" i="2"/>
  <c r="E208" i="2"/>
  <c r="G146" i="2" l="1"/>
  <c r="K146" i="2"/>
  <c r="E209" i="2"/>
  <c r="F209" i="2"/>
  <c r="M146" i="2" l="1"/>
  <c r="N146" i="2" s="1"/>
  <c r="P146" i="2" s="1"/>
  <c r="L147" i="2"/>
  <c r="J147" i="2"/>
  <c r="H147" i="2"/>
  <c r="K147" i="2" s="1"/>
  <c r="E210" i="2"/>
  <c r="F210" i="2"/>
  <c r="M147" i="2" l="1"/>
  <c r="N147" i="2" s="1"/>
  <c r="P147" i="2" s="1"/>
  <c r="G147" i="2"/>
  <c r="J148" i="2" s="1"/>
  <c r="L148" i="2"/>
  <c r="F211" i="2"/>
  <c r="E211" i="2"/>
  <c r="H148" i="2" l="1"/>
  <c r="K148" i="2" s="1"/>
  <c r="L149" i="2" s="1"/>
  <c r="F212" i="2"/>
  <c r="E212" i="2"/>
  <c r="G148" i="2" l="1"/>
  <c r="J149" i="2" s="1"/>
  <c r="M148" i="2"/>
  <c r="N148" i="2" s="1"/>
  <c r="P148" i="2" s="1"/>
  <c r="F213" i="2"/>
  <c r="E213" i="2"/>
  <c r="H149" i="2" l="1"/>
  <c r="K149" i="2" s="1"/>
  <c r="M149" i="2" s="1"/>
  <c r="N149" i="2" s="1"/>
  <c r="P149" i="2" s="1"/>
  <c r="F214" i="2"/>
  <c r="E214" i="2"/>
  <c r="G149" i="2" l="1"/>
  <c r="J150" i="2" s="1"/>
  <c r="L150" i="2"/>
  <c r="F215" i="2"/>
  <c r="E215" i="2"/>
  <c r="H150" i="2" l="1"/>
  <c r="K150" i="2" s="1"/>
  <c r="M150" i="2" s="1"/>
  <c r="N150" i="2" s="1"/>
  <c r="P150" i="2" s="1"/>
  <c r="E216" i="2"/>
  <c r="F216" i="2"/>
  <c r="L151" i="2" l="1"/>
  <c r="G150" i="2"/>
  <c r="J151" i="2" s="1"/>
  <c r="E217" i="2"/>
  <c r="F217" i="2"/>
  <c r="H151" i="2" l="1"/>
  <c r="K151" i="2" s="1"/>
  <c r="L152" i="2" s="1"/>
  <c r="F218" i="2"/>
  <c r="E218" i="2"/>
  <c r="M151" i="2" l="1"/>
  <c r="N151" i="2" s="1"/>
  <c r="P151" i="2" s="1"/>
  <c r="G151" i="2"/>
  <c r="J152" i="2" s="1"/>
  <c r="E219" i="2"/>
  <c r="F219" i="2"/>
  <c r="H152" i="2" l="1"/>
  <c r="K152" i="2" s="1"/>
  <c r="L153" i="2" s="1"/>
  <c r="F220" i="2"/>
  <c r="E220" i="2"/>
  <c r="G152" i="2" l="1"/>
  <c r="J153" i="2" s="1"/>
  <c r="M152" i="2"/>
  <c r="N152" i="2" s="1"/>
  <c r="P152" i="2" s="1"/>
  <c r="E221" i="2"/>
  <c r="F221" i="2"/>
  <c r="H153" i="2" l="1"/>
  <c r="G153" i="2" s="1"/>
  <c r="J154" i="2" s="1"/>
  <c r="E222" i="2"/>
  <c r="F222" i="2"/>
  <c r="K153" i="2" l="1"/>
  <c r="M153" i="2" s="1"/>
  <c r="N153" i="2" s="1"/>
  <c r="P153" i="2" s="1"/>
  <c r="H154" i="2"/>
  <c r="G154" i="2" s="1"/>
  <c r="J155" i="2" s="1"/>
  <c r="F223" i="2"/>
  <c r="E223" i="2"/>
  <c r="H155" i="2" l="1"/>
  <c r="G155" i="2" s="1"/>
  <c r="K154" i="2"/>
  <c r="L154" i="2"/>
  <c r="F224" i="2"/>
  <c r="E224" i="2"/>
  <c r="L155" i="2" l="1"/>
  <c r="M154" i="2"/>
  <c r="N154" i="2" s="1"/>
  <c r="P154" i="2" s="1"/>
  <c r="K155" i="2"/>
  <c r="J156" i="2"/>
  <c r="H156" i="2"/>
  <c r="F225" i="2"/>
  <c r="E225" i="2"/>
  <c r="L156" i="2" l="1"/>
  <c r="M155" i="2"/>
  <c r="N155" i="2" s="1"/>
  <c r="P155" i="2" s="1"/>
  <c r="K156" i="2"/>
  <c r="G156" i="2"/>
  <c r="F226" i="2"/>
  <c r="E226" i="2"/>
  <c r="M156" i="2" l="1"/>
  <c r="N156" i="2" s="1"/>
  <c r="P156" i="2" s="1"/>
  <c r="L157" i="2"/>
  <c r="J157" i="2"/>
  <c r="H157" i="2"/>
  <c r="K157" i="2" s="1"/>
  <c r="E227" i="2"/>
  <c r="F227" i="2"/>
  <c r="M157" i="2" l="1"/>
  <c r="N157" i="2" s="1"/>
  <c r="P157" i="2" s="1"/>
  <c r="G157" i="2"/>
  <c r="L158" i="2"/>
  <c r="F228" i="2"/>
  <c r="E228" i="2"/>
  <c r="J158" i="2" l="1"/>
  <c r="H158" i="2"/>
  <c r="K158" i="2" s="1"/>
  <c r="F229" i="2"/>
  <c r="E229" i="2"/>
  <c r="M158" i="2" l="1"/>
  <c r="N158" i="2" s="1"/>
  <c r="P158" i="2" s="1"/>
  <c r="L159" i="2"/>
  <c r="G158" i="2"/>
  <c r="F230" i="2"/>
  <c r="E230" i="2"/>
  <c r="J159" i="2" l="1"/>
  <c r="H159" i="2"/>
  <c r="K159" i="2" s="1"/>
  <c r="F231" i="2"/>
  <c r="E231" i="2"/>
  <c r="L160" i="2" l="1"/>
  <c r="M159" i="2"/>
  <c r="N159" i="2" s="1"/>
  <c r="P159" i="2" s="1"/>
  <c r="G159" i="2"/>
  <c r="E232" i="2"/>
  <c r="F232" i="2"/>
  <c r="J160" i="2" l="1"/>
  <c r="H160" i="2"/>
  <c r="K160" i="2" s="1"/>
  <c r="E233" i="2"/>
  <c r="F233" i="2"/>
  <c r="M160" i="2" l="1"/>
  <c r="N160" i="2" s="1"/>
  <c r="P160" i="2" s="1"/>
  <c r="L161" i="2"/>
  <c r="G160" i="2"/>
  <c r="F234" i="2"/>
  <c r="E234" i="2"/>
  <c r="J161" i="2" l="1"/>
  <c r="H161" i="2"/>
  <c r="K161" i="2" s="1"/>
  <c r="F235" i="2"/>
  <c r="E235" i="2"/>
  <c r="G161" i="2" l="1"/>
  <c r="M161" i="2"/>
  <c r="N161" i="2" s="1"/>
  <c r="P161" i="2" s="1"/>
  <c r="L162" i="2"/>
  <c r="E236" i="2"/>
  <c r="F236" i="2"/>
  <c r="H162" i="2" l="1"/>
  <c r="K162" i="2" s="1"/>
  <c r="M162" i="2" s="1"/>
  <c r="N162" i="2" s="1"/>
  <c r="P162" i="2" s="1"/>
  <c r="J162" i="2"/>
  <c r="E237" i="2"/>
  <c r="F237" i="2"/>
  <c r="G162" i="2" l="1"/>
  <c r="J163" i="2" s="1"/>
  <c r="L163" i="2"/>
  <c r="E238" i="2"/>
  <c r="F238" i="2"/>
  <c r="H163" i="2" l="1"/>
  <c r="K163" i="2" s="1"/>
  <c r="M163" i="2" s="1"/>
  <c r="N163" i="2" s="1"/>
  <c r="P163" i="2" s="1"/>
  <c r="E239" i="2"/>
  <c r="F239" i="2"/>
  <c r="G163" i="2" l="1"/>
  <c r="J164" i="2" s="1"/>
  <c r="L164" i="2"/>
  <c r="F240" i="2"/>
  <c r="E240" i="2"/>
  <c r="H164" i="2" l="1"/>
  <c r="K164" i="2" s="1"/>
  <c r="M164" i="2" s="1"/>
  <c r="N164" i="2" s="1"/>
  <c r="P164" i="2" s="1"/>
  <c r="F241" i="2"/>
  <c r="E241" i="2"/>
  <c r="L165" i="2" l="1"/>
  <c r="G164" i="2"/>
  <c r="J165" i="2" s="1"/>
  <c r="E242" i="2"/>
  <c r="F242" i="2"/>
  <c r="H165" i="2" l="1"/>
  <c r="K165" i="2" s="1"/>
  <c r="M165" i="2" s="1"/>
  <c r="N165" i="2" s="1"/>
  <c r="P165" i="2" s="1"/>
  <c r="F243" i="2"/>
  <c r="E243" i="2"/>
  <c r="G165" i="2" l="1"/>
  <c r="J166" i="2" s="1"/>
  <c r="L166" i="2"/>
  <c r="F244" i="2"/>
  <c r="E244" i="2"/>
  <c r="H166" i="2" l="1"/>
  <c r="K166" i="2" s="1"/>
  <c r="F245" i="2"/>
  <c r="E245" i="2"/>
  <c r="G166" i="2" l="1"/>
  <c r="M166" i="2"/>
  <c r="N166" i="2" s="1"/>
  <c r="P166" i="2" s="1"/>
  <c r="L167" i="2"/>
  <c r="F246" i="2"/>
  <c r="E246" i="2"/>
  <c r="H167" i="2" l="1"/>
  <c r="K167" i="2" s="1"/>
  <c r="M167" i="2" s="1"/>
  <c r="N167" i="2" s="1"/>
  <c r="P167" i="2" s="1"/>
  <c r="J167" i="2"/>
  <c r="F247" i="2"/>
  <c r="E247" i="2"/>
  <c r="L168" i="2" l="1"/>
  <c r="G167" i="2"/>
  <c r="F248" i="2"/>
  <c r="E248" i="2"/>
  <c r="J168" i="2" l="1"/>
  <c r="H168" i="2"/>
  <c r="F249" i="2"/>
  <c r="E249" i="2"/>
  <c r="G168" i="2" l="1"/>
  <c r="K168" i="2"/>
  <c r="F250" i="2"/>
  <c r="E250" i="2"/>
  <c r="M168" i="2" l="1"/>
  <c r="N168" i="2" s="1"/>
  <c r="P168" i="2" s="1"/>
  <c r="L169" i="2"/>
  <c r="H169" i="2"/>
  <c r="K169" i="2" s="1"/>
  <c r="J169" i="2"/>
  <c r="F251" i="2"/>
  <c r="E251" i="2"/>
  <c r="G169" i="2" l="1"/>
  <c r="J170" i="2" s="1"/>
  <c r="M169" i="2"/>
  <c r="N169" i="2" s="1"/>
  <c r="P169" i="2" s="1"/>
  <c r="L170" i="2"/>
  <c r="F252" i="2"/>
  <c r="E252" i="2"/>
  <c r="H170" i="2" l="1"/>
  <c r="K170" i="2" s="1"/>
  <c r="M170" i="2" s="1"/>
  <c r="N170" i="2" s="1"/>
  <c r="P170" i="2" s="1"/>
  <c r="E253" i="2"/>
  <c r="F253" i="2"/>
  <c r="L171" i="2" l="1"/>
  <c r="G170" i="2"/>
  <c r="J171" i="2" s="1"/>
  <c r="F254" i="2"/>
  <c r="E254" i="2"/>
  <c r="H171" i="2" l="1"/>
  <c r="K171" i="2" s="1"/>
  <c r="L172" i="2" s="1"/>
  <c r="E255" i="2"/>
  <c r="F255" i="2"/>
  <c r="G171" i="2" l="1"/>
  <c r="H172" i="2" s="1"/>
  <c r="K172" i="2" s="1"/>
  <c r="M172" i="2" s="1"/>
  <c r="N172" i="2" s="1"/>
  <c r="P172" i="2" s="1"/>
  <c r="M171" i="2"/>
  <c r="N171" i="2" s="1"/>
  <c r="P171" i="2" s="1"/>
  <c r="E256" i="2"/>
  <c r="F256" i="2"/>
  <c r="J172" i="2" l="1"/>
  <c r="G172" i="2" s="1"/>
  <c r="J173" i="2" s="1"/>
  <c r="L173" i="2"/>
  <c r="F257" i="2"/>
  <c r="E257" i="2"/>
  <c r="H173" i="2" l="1"/>
  <c r="K173" i="2" s="1"/>
  <c r="M173" i="2" s="1"/>
  <c r="N173" i="2" s="1"/>
  <c r="P173" i="2" s="1"/>
  <c r="E258" i="2"/>
  <c r="F258" i="2"/>
  <c r="G173" i="2" l="1"/>
  <c r="H174" i="2" s="1"/>
  <c r="K174" i="2" s="1"/>
  <c r="L174" i="2"/>
  <c r="E259" i="2"/>
  <c r="F259" i="2"/>
  <c r="M174" i="2" l="1"/>
  <c r="N174" i="2" s="1"/>
  <c r="P174" i="2" s="1"/>
  <c r="J174" i="2"/>
  <c r="G174" i="2" s="1"/>
  <c r="J175" i="2" s="1"/>
  <c r="L175" i="2"/>
  <c r="E260" i="2"/>
  <c r="F260" i="2"/>
  <c r="H175" i="2" l="1"/>
  <c r="K175" i="2" s="1"/>
  <c r="L176" i="2" s="1"/>
  <c r="F261" i="2"/>
  <c r="E261" i="2"/>
  <c r="G175" i="2" l="1"/>
  <c r="H176" i="2" s="1"/>
  <c r="M175" i="2"/>
  <c r="N175" i="2" s="1"/>
  <c r="P175" i="2" s="1"/>
  <c r="F262" i="2"/>
  <c r="E262" i="2"/>
  <c r="J176" i="2" l="1"/>
  <c r="G176" i="2" s="1"/>
  <c r="K176" i="2"/>
  <c r="E263" i="2"/>
  <c r="F263" i="2"/>
  <c r="H177" i="2" l="1"/>
  <c r="J177" i="2"/>
  <c r="L177" i="2"/>
  <c r="M176" i="2"/>
  <c r="N176" i="2" s="1"/>
  <c r="P176" i="2" s="1"/>
  <c r="F264" i="2"/>
  <c r="E264" i="2"/>
  <c r="G177" i="2" l="1"/>
  <c r="J178" i="2" s="1"/>
  <c r="K177" i="2"/>
  <c r="L178" i="2" s="1"/>
  <c r="F265" i="2"/>
  <c r="E265" i="2"/>
  <c r="H178" i="2" l="1"/>
  <c r="G178" i="2" s="1"/>
  <c r="J179" i="2" s="1"/>
  <c r="M177" i="2"/>
  <c r="N177" i="2" s="1"/>
  <c r="P177" i="2" s="1"/>
  <c r="E266" i="2"/>
  <c r="F266" i="2"/>
  <c r="K178" i="2" l="1"/>
  <c r="M178" i="2" s="1"/>
  <c r="N178" i="2" s="1"/>
  <c r="P178" i="2" s="1"/>
  <c r="H179" i="2"/>
  <c r="G179" i="2" s="1"/>
  <c r="E267" i="2"/>
  <c r="F267" i="2"/>
  <c r="L179" i="2" l="1"/>
  <c r="K179" i="2"/>
  <c r="H180" i="2"/>
  <c r="J180" i="2"/>
  <c r="E268" i="2"/>
  <c r="F268" i="2"/>
  <c r="G180" i="2" l="1"/>
  <c r="J181" i="2" s="1"/>
  <c r="K180" i="2"/>
  <c r="L180" i="2"/>
  <c r="M179" i="2"/>
  <c r="N179" i="2" s="1"/>
  <c r="P179" i="2" s="1"/>
  <c r="E269" i="2"/>
  <c r="F269" i="2"/>
  <c r="H181" i="2" l="1"/>
  <c r="G181" i="2" s="1"/>
  <c r="J182" i="2" s="1"/>
  <c r="L181" i="2"/>
  <c r="M180" i="2"/>
  <c r="N180" i="2" s="1"/>
  <c r="P180" i="2" s="1"/>
  <c r="F270" i="2"/>
  <c r="E270" i="2"/>
  <c r="H182" i="2" l="1"/>
  <c r="G182" i="2" s="1"/>
  <c r="H183" i="2" s="1"/>
  <c r="K181" i="2"/>
  <c r="M181" i="2" s="1"/>
  <c r="N181" i="2" s="1"/>
  <c r="P181" i="2" s="1"/>
  <c r="E271" i="2"/>
  <c r="F271" i="2"/>
  <c r="L182" i="2" l="1"/>
  <c r="J183" i="2"/>
  <c r="G183" i="2" s="1"/>
  <c r="H184" i="2" s="1"/>
  <c r="K182" i="2"/>
  <c r="K183" i="2" s="1"/>
  <c r="E272" i="2"/>
  <c r="F272" i="2"/>
  <c r="L183" i="2" l="1"/>
  <c r="M183" i="2" s="1"/>
  <c r="N183" i="2" s="1"/>
  <c r="P183" i="2" s="1"/>
  <c r="M182" i="2"/>
  <c r="N182" i="2" s="1"/>
  <c r="P182" i="2" s="1"/>
  <c r="K184" i="2"/>
  <c r="J184" i="2"/>
  <c r="G184" i="2" s="1"/>
  <c r="J185" i="2" s="1"/>
  <c r="F273" i="2"/>
  <c r="E273" i="2"/>
  <c r="L184" i="2" l="1"/>
  <c r="L185" i="2" s="1"/>
  <c r="H185" i="2"/>
  <c r="K185" i="2" s="1"/>
  <c r="F274" i="2"/>
  <c r="E274" i="2"/>
  <c r="L186" i="2" l="1"/>
  <c r="M184" i="2"/>
  <c r="N184" i="2" s="1"/>
  <c r="P184" i="2" s="1"/>
  <c r="M185" i="2"/>
  <c r="N185" i="2" s="1"/>
  <c r="P185" i="2" s="1"/>
  <c r="G185" i="2"/>
  <c r="H186" i="2" s="1"/>
  <c r="K186" i="2" s="1"/>
  <c r="E275" i="2"/>
  <c r="F275" i="2"/>
  <c r="J186" i="2" l="1"/>
  <c r="G186" i="2" s="1"/>
  <c r="J187" i="2" s="1"/>
  <c r="M186" i="2"/>
  <c r="N186" i="2" s="1"/>
  <c r="P186" i="2" s="1"/>
  <c r="L187" i="2"/>
  <c r="E276" i="2"/>
  <c r="F276" i="2"/>
  <c r="H187" i="2" l="1"/>
  <c r="G187" i="2" s="1"/>
  <c r="H188" i="2" s="1"/>
  <c r="E277" i="2"/>
  <c r="F277" i="2"/>
  <c r="K187" i="2" l="1"/>
  <c r="L188" i="2" s="1"/>
  <c r="J188" i="2"/>
  <c r="G188" i="2" s="1"/>
  <c r="J189" i="2" s="1"/>
  <c r="E278" i="2"/>
  <c r="F278" i="2"/>
  <c r="K188" i="2" l="1"/>
  <c r="M188" i="2" s="1"/>
  <c r="N188" i="2" s="1"/>
  <c r="P188" i="2" s="1"/>
  <c r="M187" i="2"/>
  <c r="N187" i="2" s="1"/>
  <c r="P187" i="2" s="1"/>
  <c r="H189" i="2"/>
  <c r="E279" i="2"/>
  <c r="F279" i="2"/>
  <c r="L189" i="2" l="1"/>
  <c r="K189" i="2"/>
  <c r="G189" i="2"/>
  <c r="J190" i="2" s="1"/>
  <c r="F280" i="2"/>
  <c r="E280" i="2"/>
  <c r="M189" i="2" l="1"/>
  <c r="N189" i="2" s="1"/>
  <c r="P189" i="2" s="1"/>
  <c r="L190" i="2"/>
  <c r="H190" i="2"/>
  <c r="K190" i="2" s="1"/>
  <c r="E281" i="2"/>
  <c r="F281" i="2"/>
  <c r="L191" i="2" l="1"/>
  <c r="G190" i="2"/>
  <c r="H191" i="2" s="1"/>
  <c r="K191" i="2" s="1"/>
  <c r="M190" i="2"/>
  <c r="N190" i="2" s="1"/>
  <c r="P190" i="2" s="1"/>
  <c r="E282" i="2"/>
  <c r="F282" i="2"/>
  <c r="J191" i="2" l="1"/>
  <c r="G191" i="2" s="1"/>
  <c r="M191" i="2"/>
  <c r="N191" i="2" s="1"/>
  <c r="P191" i="2" s="1"/>
  <c r="L192" i="2"/>
  <c r="F283" i="2"/>
  <c r="E283" i="2"/>
  <c r="J192" i="2" l="1"/>
  <c r="H192" i="2"/>
  <c r="E284" i="2"/>
  <c r="F284" i="2"/>
  <c r="G192" i="2" l="1"/>
  <c r="K192" i="2"/>
  <c r="E285" i="2"/>
  <c r="F285" i="2"/>
  <c r="M192" i="2" l="1"/>
  <c r="N192" i="2" s="1"/>
  <c r="P192" i="2" s="1"/>
  <c r="L193" i="2"/>
  <c r="H193" i="2"/>
  <c r="K193" i="2" s="1"/>
  <c r="J193" i="2"/>
  <c r="E286" i="2"/>
  <c r="F286" i="2"/>
  <c r="G193" i="2" l="1"/>
  <c r="H194" i="2" s="1"/>
  <c r="K194" i="2" s="1"/>
  <c r="L194" i="2"/>
  <c r="M193" i="2"/>
  <c r="N193" i="2" s="1"/>
  <c r="P193" i="2" s="1"/>
  <c r="F287" i="2"/>
  <c r="E287" i="2"/>
  <c r="J194" i="2" l="1"/>
  <c r="G194" i="2" s="1"/>
  <c r="M194" i="2"/>
  <c r="N194" i="2" s="1"/>
  <c r="P194" i="2" s="1"/>
  <c r="L195" i="2"/>
  <c r="E288" i="2"/>
  <c r="F288" i="2"/>
  <c r="J195" i="2" l="1"/>
  <c r="H195" i="2"/>
  <c r="K195" i="2" s="1"/>
  <c r="L196" i="2" s="1"/>
  <c r="E289" i="2"/>
  <c r="F289" i="2"/>
  <c r="G195" i="2" l="1"/>
  <c r="H196" i="2" s="1"/>
  <c r="K196" i="2" s="1"/>
  <c r="M195" i="2"/>
  <c r="N195" i="2" s="1"/>
  <c r="P195" i="2" s="1"/>
  <c r="F290" i="2"/>
  <c r="E290" i="2"/>
  <c r="J196" i="2" l="1"/>
  <c r="G196" i="2" s="1"/>
  <c r="M196" i="2"/>
  <c r="N196" i="2" s="1"/>
  <c r="P196" i="2" s="1"/>
  <c r="L197" i="2"/>
  <c r="E291" i="2"/>
  <c r="F291" i="2"/>
  <c r="J197" i="2" l="1"/>
  <c r="H197" i="2"/>
  <c r="K197" i="2" s="1"/>
  <c r="M197" i="2" s="1"/>
  <c r="N197" i="2" s="1"/>
  <c r="P197" i="2" s="1"/>
  <c r="E292" i="2"/>
  <c r="F292" i="2"/>
  <c r="G197" i="2" l="1"/>
  <c r="H198" i="2" s="1"/>
  <c r="K198" i="2" s="1"/>
  <c r="L198" i="2"/>
  <c r="F293" i="2"/>
  <c r="E293" i="2"/>
  <c r="J198" i="2" l="1"/>
  <c r="G198" i="2" s="1"/>
  <c r="M198" i="2"/>
  <c r="N198" i="2" s="1"/>
  <c r="P198" i="2" s="1"/>
  <c r="L199" i="2"/>
  <c r="E294" i="2"/>
  <c r="F294" i="2"/>
  <c r="H199" i="2" l="1"/>
  <c r="K199" i="2" s="1"/>
  <c r="J199" i="2"/>
  <c r="E295" i="2"/>
  <c r="F295" i="2"/>
  <c r="G199" i="2" l="1"/>
  <c r="J200" i="2" s="1"/>
  <c r="L200" i="2"/>
  <c r="M199" i="2"/>
  <c r="N199" i="2" s="1"/>
  <c r="P199" i="2" s="1"/>
  <c r="F296" i="2"/>
  <c r="E296" i="2"/>
  <c r="H200" i="2" l="1"/>
  <c r="F297" i="2"/>
  <c r="E297" i="2"/>
  <c r="G200" i="2" l="1"/>
  <c r="K200" i="2"/>
  <c r="E298" i="2"/>
  <c r="F298" i="2"/>
  <c r="H201" i="2" l="1"/>
  <c r="J201" i="2"/>
  <c r="M200" i="2"/>
  <c r="N200" i="2" s="1"/>
  <c r="P200" i="2" s="1"/>
  <c r="L201" i="2"/>
  <c r="F299" i="2"/>
  <c r="E299" i="2"/>
  <c r="G201" i="2" l="1"/>
  <c r="H202" i="2" s="1"/>
  <c r="K201" i="2"/>
  <c r="M201" i="2" s="1"/>
  <c r="N201" i="2" s="1"/>
  <c r="P201" i="2" s="1"/>
  <c r="E300" i="2"/>
  <c r="F300" i="2"/>
  <c r="J202" i="2" l="1"/>
  <c r="G202" i="2" s="1"/>
  <c r="L202" i="2"/>
  <c r="K202" i="2"/>
  <c r="F301" i="2"/>
  <c r="E301" i="2"/>
  <c r="H203" i="2" l="1"/>
  <c r="K203" i="2" s="1"/>
  <c r="J203" i="2"/>
  <c r="L203" i="2"/>
  <c r="M202" i="2"/>
  <c r="N202" i="2" s="1"/>
  <c r="P202" i="2" s="1"/>
  <c r="E302" i="2"/>
  <c r="F302" i="2"/>
  <c r="M203" i="2" l="1"/>
  <c r="N203" i="2" s="1"/>
  <c r="P203" i="2" s="1"/>
  <c r="G203" i="2"/>
  <c r="L204" i="2"/>
  <c r="E303" i="2"/>
  <c r="F303" i="2"/>
  <c r="H204" i="2" l="1"/>
  <c r="K204" i="2" s="1"/>
  <c r="J204" i="2"/>
  <c r="F304" i="2"/>
  <c r="E304" i="2"/>
  <c r="G204" i="2" l="1"/>
  <c r="J205" i="2" s="1"/>
  <c r="M204" i="2"/>
  <c r="N204" i="2" s="1"/>
  <c r="P204" i="2" s="1"/>
  <c r="L205" i="2"/>
  <c r="F305" i="2"/>
  <c r="E305" i="2"/>
  <c r="H205" i="2" l="1"/>
  <c r="K205" i="2" s="1"/>
  <c r="M205" i="2" s="1"/>
  <c r="N205" i="2" s="1"/>
  <c r="P205" i="2" s="1"/>
  <c r="E306" i="2"/>
  <c r="F306" i="2"/>
  <c r="G205" i="2" l="1"/>
  <c r="H206" i="2" s="1"/>
  <c r="K206" i="2" s="1"/>
  <c r="L206" i="2"/>
  <c r="F307" i="2"/>
  <c r="E307" i="2"/>
  <c r="J206" i="2" l="1"/>
  <c r="G206" i="2" s="1"/>
  <c r="J207" i="2" s="1"/>
  <c r="M206" i="2"/>
  <c r="N206" i="2" s="1"/>
  <c r="P206" i="2" s="1"/>
  <c r="L207" i="2"/>
  <c r="F308" i="2"/>
  <c r="E308" i="2"/>
  <c r="H207" i="2" l="1"/>
  <c r="K207" i="2" s="1"/>
  <c r="M207" i="2" s="1"/>
  <c r="N207" i="2" s="1"/>
  <c r="P207" i="2" s="1"/>
  <c r="F309" i="2"/>
  <c r="E309" i="2"/>
  <c r="L208" i="2" l="1"/>
  <c r="G207" i="2"/>
  <c r="E310" i="2"/>
  <c r="F310" i="2"/>
  <c r="H208" i="2" l="1"/>
  <c r="J208" i="2"/>
  <c r="E311" i="2"/>
  <c r="F311" i="2"/>
  <c r="K208" i="2" l="1"/>
  <c r="G208" i="2"/>
  <c r="E312" i="2"/>
  <c r="F312" i="2"/>
  <c r="M208" i="2" l="1"/>
  <c r="N208" i="2" s="1"/>
  <c r="P208" i="2" s="1"/>
  <c r="L209" i="2"/>
  <c r="H209" i="2"/>
  <c r="K209" i="2" s="1"/>
  <c r="J209" i="2"/>
  <c r="E313" i="2"/>
  <c r="F313" i="2"/>
  <c r="G209" i="2" l="1"/>
  <c r="J210" i="2" s="1"/>
  <c r="M209" i="2"/>
  <c r="N209" i="2" s="1"/>
  <c r="P209" i="2" s="1"/>
  <c r="L210" i="2"/>
  <c r="F314" i="2"/>
  <c r="E314" i="2"/>
  <c r="H210" i="2" l="1"/>
  <c r="E315" i="2"/>
  <c r="F315" i="2"/>
  <c r="G210" i="2" l="1"/>
  <c r="K210" i="2"/>
  <c r="F316" i="2"/>
  <c r="E316" i="2"/>
  <c r="H211" i="2" l="1"/>
  <c r="K211" i="2" s="1"/>
  <c r="J211" i="2"/>
  <c r="M210" i="2"/>
  <c r="N210" i="2" s="1"/>
  <c r="P210" i="2" s="1"/>
  <c r="L211" i="2"/>
  <c r="E317" i="2"/>
  <c r="F317" i="2"/>
  <c r="G211" i="2" l="1"/>
  <c r="H212" i="2" s="1"/>
  <c r="M211" i="2"/>
  <c r="N211" i="2" s="1"/>
  <c r="P211" i="2" s="1"/>
  <c r="L212" i="2"/>
  <c r="E318" i="2"/>
  <c r="F318" i="2"/>
  <c r="J212" i="2" l="1"/>
  <c r="G212" i="2" s="1"/>
  <c r="K212" i="2"/>
  <c r="M212" i="2" s="1"/>
  <c r="N212" i="2" s="1"/>
  <c r="P212" i="2" s="1"/>
  <c r="E319" i="2"/>
  <c r="F319" i="2"/>
  <c r="L213" i="2" l="1"/>
  <c r="J213" i="2"/>
  <c r="H213" i="2"/>
  <c r="F320" i="2"/>
  <c r="E320" i="2"/>
  <c r="K213" i="2" l="1"/>
  <c r="G213" i="2"/>
  <c r="E321" i="2"/>
  <c r="F321" i="2"/>
  <c r="M213" i="2" l="1"/>
  <c r="N213" i="2" s="1"/>
  <c r="P213" i="2" s="1"/>
  <c r="L214" i="2"/>
  <c r="H214" i="2"/>
  <c r="J214" i="2"/>
  <c r="F322" i="2"/>
  <c r="E322" i="2"/>
  <c r="K214" i="2" l="1"/>
  <c r="G214" i="2"/>
  <c r="E323" i="2"/>
  <c r="F323" i="2"/>
  <c r="H215" i="2" l="1"/>
  <c r="K215" i="2" s="1"/>
  <c r="J215" i="2"/>
  <c r="L215" i="2"/>
  <c r="M214" i="2"/>
  <c r="N214" i="2" s="1"/>
  <c r="P214" i="2" s="1"/>
  <c r="E324" i="2"/>
  <c r="F324" i="2"/>
  <c r="G215" i="2" l="1"/>
  <c r="J216" i="2" s="1"/>
  <c r="L216" i="2"/>
  <c r="M215" i="2"/>
  <c r="N215" i="2" s="1"/>
  <c r="P215" i="2" s="1"/>
  <c r="E325" i="2"/>
  <c r="F325" i="2"/>
  <c r="H216" i="2" l="1"/>
  <c r="K216" i="2" s="1"/>
  <c r="E326" i="2"/>
  <c r="F326" i="2"/>
  <c r="G216" i="2" l="1"/>
  <c r="J217" i="2" s="1"/>
  <c r="M216" i="2"/>
  <c r="N216" i="2" s="1"/>
  <c r="P216" i="2" s="1"/>
  <c r="L217" i="2"/>
  <c r="F327" i="2"/>
  <c r="E327" i="2"/>
  <c r="H217" i="2" l="1"/>
  <c r="K217" i="2" s="1"/>
  <c r="E328" i="2"/>
  <c r="F328" i="2"/>
  <c r="G217" i="2" l="1"/>
  <c r="J218" i="2" s="1"/>
  <c r="L218" i="2"/>
  <c r="M217" i="2"/>
  <c r="N217" i="2" s="1"/>
  <c r="P217" i="2" s="1"/>
  <c r="F329" i="2"/>
  <c r="E329" i="2"/>
  <c r="H218" i="2" l="1"/>
  <c r="K218" i="2" s="1"/>
  <c r="L219" i="2" s="1"/>
  <c r="E330" i="2"/>
  <c r="F330" i="2"/>
  <c r="M218" i="2" l="1"/>
  <c r="N218" i="2" s="1"/>
  <c r="P218" i="2" s="1"/>
  <c r="G218" i="2"/>
  <c r="E331" i="2"/>
  <c r="F331" i="2"/>
  <c r="J219" i="2" l="1"/>
  <c r="H219" i="2"/>
  <c r="E332" i="2"/>
  <c r="F332" i="2"/>
  <c r="K219" i="2" l="1"/>
  <c r="G219" i="2"/>
  <c r="E333" i="2"/>
  <c r="F333" i="2"/>
  <c r="M219" i="2" l="1"/>
  <c r="N219" i="2" s="1"/>
  <c r="P219" i="2" s="1"/>
  <c r="L220" i="2"/>
  <c r="J220" i="2"/>
  <c r="H220" i="2"/>
  <c r="K220" i="2" s="1"/>
  <c r="E334" i="2"/>
  <c r="F334" i="2"/>
  <c r="G220" i="2" l="1"/>
  <c r="J221" i="2" s="1"/>
  <c r="L221" i="2"/>
  <c r="M220" i="2"/>
  <c r="N220" i="2" s="1"/>
  <c r="P220" i="2" s="1"/>
  <c r="F335" i="2"/>
  <c r="E335" i="2"/>
  <c r="H221" i="2" l="1"/>
  <c r="K221" i="2" s="1"/>
  <c r="M221" i="2" s="1"/>
  <c r="N221" i="2" s="1"/>
  <c r="P221" i="2" s="1"/>
  <c r="F336" i="2"/>
  <c r="E336" i="2"/>
  <c r="G221" i="2" l="1"/>
  <c r="J222" i="2" s="1"/>
  <c r="L222" i="2"/>
  <c r="E337" i="2"/>
  <c r="F337" i="2"/>
  <c r="H222" i="2" l="1"/>
  <c r="K222" i="2" s="1"/>
  <c r="E338" i="2"/>
  <c r="F338" i="2"/>
  <c r="G222" i="2" l="1"/>
  <c r="H223" i="2" s="1"/>
  <c r="K223" i="2" s="1"/>
  <c r="M222" i="2"/>
  <c r="N222" i="2" s="1"/>
  <c r="P222" i="2" s="1"/>
  <c r="L223" i="2"/>
  <c r="E339" i="2"/>
  <c r="F339" i="2"/>
  <c r="J223" i="2" l="1"/>
  <c r="G223" i="2" s="1"/>
  <c r="H224" i="2" s="1"/>
  <c r="K224" i="2" s="1"/>
  <c r="M223" i="2"/>
  <c r="N223" i="2" s="1"/>
  <c r="P223" i="2" s="1"/>
  <c r="L224" i="2"/>
  <c r="E340" i="2"/>
  <c r="F340" i="2"/>
  <c r="J224" i="2" l="1"/>
  <c r="G224" i="2" s="1"/>
  <c r="M224" i="2"/>
  <c r="N224" i="2" s="1"/>
  <c r="P224" i="2" s="1"/>
  <c r="L225" i="2"/>
  <c r="E341" i="2"/>
  <c r="F341" i="2"/>
  <c r="H225" i="2" l="1"/>
  <c r="J225" i="2"/>
  <c r="F342" i="2"/>
  <c r="E342" i="2"/>
  <c r="K225" i="2" l="1"/>
  <c r="G225" i="2"/>
  <c r="E343" i="2"/>
  <c r="F343" i="2"/>
  <c r="M225" i="2" l="1"/>
  <c r="N225" i="2" s="1"/>
  <c r="P225" i="2" s="1"/>
  <c r="L226" i="2"/>
  <c r="J226" i="2"/>
  <c r="H226" i="2"/>
  <c r="F344" i="2"/>
  <c r="E344" i="2"/>
  <c r="G226" i="2" l="1"/>
  <c r="K226" i="2"/>
  <c r="F345" i="2"/>
  <c r="E345" i="2"/>
  <c r="M226" i="2" l="1"/>
  <c r="N226" i="2" s="1"/>
  <c r="P226" i="2" s="1"/>
  <c r="L227" i="2"/>
  <c r="H227" i="2"/>
  <c r="J227" i="2"/>
  <c r="F346" i="2"/>
  <c r="E346" i="2"/>
  <c r="K227" i="2" l="1"/>
  <c r="L228" i="2" s="1"/>
  <c r="G227" i="2"/>
  <c r="F347" i="2"/>
  <c r="E347" i="2"/>
  <c r="H228" i="2" l="1"/>
  <c r="K228" i="2" s="1"/>
  <c r="J228" i="2"/>
  <c r="M227" i="2"/>
  <c r="N227" i="2" s="1"/>
  <c r="P227" i="2" s="1"/>
  <c r="F348" i="2"/>
  <c r="E348" i="2"/>
  <c r="G228" i="2" l="1"/>
  <c r="J229" i="2" s="1"/>
  <c r="L229" i="2"/>
  <c r="M228" i="2"/>
  <c r="N228" i="2" s="1"/>
  <c r="P228" i="2" s="1"/>
  <c r="E349" i="2"/>
  <c r="F349" i="2"/>
  <c r="H229" i="2" l="1"/>
  <c r="K229" i="2" s="1"/>
  <c r="M229" i="2" s="1"/>
  <c r="N229" i="2" s="1"/>
  <c r="P229" i="2" s="1"/>
  <c r="E350" i="2"/>
  <c r="F350" i="2"/>
  <c r="G229" i="2" l="1"/>
  <c r="H230" i="2" s="1"/>
  <c r="K230" i="2" s="1"/>
  <c r="L230" i="2"/>
  <c r="E351" i="2"/>
  <c r="F351" i="2"/>
  <c r="J230" i="2" l="1"/>
  <c r="G230" i="2" s="1"/>
  <c r="J231" i="2" s="1"/>
  <c r="M230" i="2"/>
  <c r="N230" i="2" s="1"/>
  <c r="P230" i="2" s="1"/>
  <c r="L231" i="2"/>
  <c r="E352" i="2"/>
  <c r="F352" i="2"/>
  <c r="H231" i="2" l="1"/>
  <c r="K231" i="2" s="1"/>
  <c r="E353" i="2"/>
  <c r="F353" i="2"/>
  <c r="G231" i="2" l="1"/>
  <c r="H232" i="2" s="1"/>
  <c r="M231" i="2"/>
  <c r="N231" i="2" s="1"/>
  <c r="P231" i="2" s="1"/>
  <c r="L232" i="2"/>
  <c r="F354" i="2"/>
  <c r="E354" i="2"/>
  <c r="J232" i="2" l="1"/>
  <c r="G232" i="2" s="1"/>
  <c r="K232" i="2"/>
  <c r="E355" i="2"/>
  <c r="F355" i="2"/>
  <c r="J233" i="2" l="1"/>
  <c r="H233" i="2"/>
  <c r="K233" i="2" s="1"/>
  <c r="M232" i="2"/>
  <c r="N232" i="2" s="1"/>
  <c r="P232" i="2" s="1"/>
  <c r="L233" i="2"/>
  <c r="E356" i="2"/>
  <c r="F356" i="2"/>
  <c r="L234" i="2" l="1"/>
  <c r="G233" i="2"/>
  <c r="H234" i="2" s="1"/>
  <c r="M233" i="2"/>
  <c r="N233" i="2" s="1"/>
  <c r="P233" i="2" s="1"/>
  <c r="F357" i="2"/>
  <c r="E357" i="2"/>
  <c r="J234" i="2" l="1"/>
  <c r="G234" i="2" s="1"/>
  <c r="H235" i="2" s="1"/>
  <c r="K234" i="2"/>
  <c r="F358" i="2"/>
  <c r="E358" i="2"/>
  <c r="J235" i="2" l="1"/>
  <c r="G235" i="2" s="1"/>
  <c r="H236" i="2" s="1"/>
  <c r="K235" i="2"/>
  <c r="L235" i="2"/>
  <c r="M234" i="2"/>
  <c r="N234" i="2" s="1"/>
  <c r="P234" i="2" s="1"/>
  <c r="F359" i="2"/>
  <c r="E359" i="2"/>
  <c r="J236" i="2" l="1"/>
  <c r="G236" i="2" s="1"/>
  <c r="L236" i="2"/>
  <c r="M235" i="2"/>
  <c r="N235" i="2" s="1"/>
  <c r="P235" i="2" s="1"/>
  <c r="K236" i="2"/>
  <c r="F360" i="2"/>
  <c r="E360" i="2"/>
  <c r="H237" i="2" l="1"/>
  <c r="J237" i="2"/>
  <c r="L237" i="2"/>
  <c r="M236" i="2"/>
  <c r="N236" i="2" s="1"/>
  <c r="P236" i="2" s="1"/>
  <c r="F361" i="2"/>
  <c r="E361" i="2"/>
  <c r="G237" i="2" l="1"/>
  <c r="H238" i="2" s="1"/>
  <c r="K237" i="2"/>
  <c r="M237" i="2" s="1"/>
  <c r="N237" i="2" s="1"/>
  <c r="P237" i="2" s="1"/>
  <c r="F362" i="2"/>
  <c r="E362" i="2"/>
  <c r="J238" i="2" l="1"/>
  <c r="G238" i="2" s="1"/>
  <c r="K238" i="2"/>
  <c r="L238" i="2"/>
  <c r="E363" i="2"/>
  <c r="F363" i="2"/>
  <c r="H239" i="2" l="1"/>
  <c r="K239" i="2" s="1"/>
  <c r="J239" i="2"/>
  <c r="L239" i="2"/>
  <c r="M238" i="2"/>
  <c r="N238" i="2" s="1"/>
  <c r="P238" i="2" s="1"/>
  <c r="E364" i="2"/>
  <c r="F364" i="2"/>
  <c r="G239" i="2" l="1"/>
  <c r="J240" i="2" s="1"/>
  <c r="M239" i="2"/>
  <c r="N239" i="2" s="1"/>
  <c r="P239" i="2" s="1"/>
  <c r="L240" i="2"/>
  <c r="F365" i="2"/>
  <c r="E365" i="2"/>
  <c r="H240" i="2" l="1"/>
  <c r="K240" i="2" s="1"/>
  <c r="E366" i="2"/>
  <c r="F366" i="2"/>
  <c r="G240" i="2" l="1"/>
  <c r="J241" i="2" s="1"/>
  <c r="M240" i="2"/>
  <c r="N240" i="2" s="1"/>
  <c r="P240" i="2" s="1"/>
  <c r="L241" i="2"/>
  <c r="E367" i="2"/>
  <c r="F367" i="2"/>
  <c r="H241" i="2" l="1"/>
  <c r="K241" i="2" s="1"/>
  <c r="M241" i="2" s="1"/>
  <c r="N241" i="2" s="1"/>
  <c r="P241" i="2" s="1"/>
  <c r="F368" i="2"/>
  <c r="E368" i="2"/>
  <c r="G241" i="2" l="1"/>
  <c r="J242" i="2" s="1"/>
  <c r="L242" i="2"/>
  <c r="E369" i="2"/>
  <c r="F369" i="2"/>
  <c r="H242" i="2" l="1"/>
  <c r="K242" i="2" s="1"/>
  <c r="E370" i="2"/>
  <c r="F370" i="2"/>
  <c r="G242" i="2" l="1"/>
  <c r="H243" i="2" s="1"/>
  <c r="K243" i="2" s="1"/>
  <c r="L243" i="2"/>
  <c r="M242" i="2"/>
  <c r="N242" i="2" s="1"/>
  <c r="P242" i="2" s="1"/>
  <c r="E371" i="2"/>
  <c r="F371" i="2"/>
  <c r="J243" i="2" l="1"/>
  <c r="G243" i="2" s="1"/>
  <c r="J244" i="2" s="1"/>
  <c r="L244" i="2"/>
  <c r="M243" i="2"/>
  <c r="N243" i="2" s="1"/>
  <c r="P243" i="2" s="1"/>
  <c r="E372" i="2"/>
  <c r="F372" i="2"/>
  <c r="H244" i="2" l="1"/>
  <c r="E373" i="2"/>
  <c r="F373" i="2"/>
  <c r="G244" i="2" l="1"/>
  <c r="K244" i="2"/>
  <c r="E374" i="2"/>
  <c r="F374" i="2"/>
  <c r="M244" i="2" l="1"/>
  <c r="N244" i="2" s="1"/>
  <c r="P244" i="2" s="1"/>
  <c r="L245" i="2"/>
  <c r="J245" i="2"/>
  <c r="H245" i="2"/>
  <c r="E375" i="2"/>
  <c r="F375" i="2"/>
  <c r="G245" i="2" l="1"/>
  <c r="K245" i="2"/>
  <c r="F376" i="2"/>
  <c r="E376" i="2"/>
  <c r="H246" i="2" l="1"/>
  <c r="K246" i="2" s="1"/>
  <c r="J246" i="2"/>
  <c r="M245" i="2"/>
  <c r="N245" i="2" s="1"/>
  <c r="P245" i="2" s="1"/>
  <c r="L246" i="2"/>
  <c r="E377" i="2"/>
  <c r="F377" i="2"/>
  <c r="G246" i="2" l="1"/>
  <c r="L247" i="2"/>
  <c r="M246" i="2"/>
  <c r="N246" i="2" s="1"/>
  <c r="P246" i="2" s="1"/>
  <c r="E378" i="2"/>
  <c r="F378" i="2"/>
  <c r="H247" i="2" l="1"/>
  <c r="K247" i="2" s="1"/>
  <c r="L248" i="2" s="1"/>
  <c r="J247" i="2"/>
  <c r="E379" i="2"/>
  <c r="F379" i="2"/>
  <c r="G247" i="2" l="1"/>
  <c r="H248" i="2" s="1"/>
  <c r="K248" i="2" s="1"/>
  <c r="L249" i="2" s="1"/>
  <c r="M247" i="2"/>
  <c r="N247" i="2" s="1"/>
  <c r="P247" i="2" s="1"/>
  <c r="E380" i="2"/>
  <c r="F380" i="2"/>
  <c r="J248" i="2" l="1"/>
  <c r="G248" i="2" s="1"/>
  <c r="J249" i="2" s="1"/>
  <c r="M248" i="2"/>
  <c r="N248" i="2" s="1"/>
  <c r="P248" i="2" s="1"/>
  <c r="E381" i="2"/>
  <c r="F381" i="2"/>
  <c r="H249" i="2" l="1"/>
  <c r="K249" i="2" s="1"/>
  <c r="M249" i="2" s="1"/>
  <c r="N249" i="2" s="1"/>
  <c r="P249" i="2" s="1"/>
  <c r="E382" i="2"/>
  <c r="F382" i="2"/>
  <c r="G249" i="2" l="1"/>
  <c r="J250" i="2" s="1"/>
  <c r="L250" i="2"/>
  <c r="E383" i="2"/>
  <c r="F383" i="2"/>
  <c r="H250" i="2" l="1"/>
  <c r="K250" i="2" s="1"/>
  <c r="L251" i="2" s="1"/>
  <c r="E384" i="2"/>
  <c r="F384" i="2"/>
  <c r="M250" i="2" l="1"/>
  <c r="N250" i="2" s="1"/>
  <c r="P250" i="2" s="1"/>
  <c r="G250" i="2"/>
  <c r="J251" i="2" s="1"/>
  <c r="E385" i="2"/>
  <c r="F385" i="2"/>
  <c r="H251" i="2" l="1"/>
  <c r="G251" i="2" s="1"/>
  <c r="E386" i="2"/>
  <c r="F386" i="2"/>
  <c r="K251" i="2" l="1"/>
  <c r="M251" i="2" s="1"/>
  <c r="N251" i="2" s="1"/>
  <c r="P251" i="2" s="1"/>
  <c r="H252" i="2"/>
  <c r="J252" i="2"/>
  <c r="E387" i="2"/>
  <c r="F387" i="2"/>
  <c r="K252" i="2" l="1"/>
  <c r="L252" i="2"/>
  <c r="G252" i="2"/>
  <c r="H253" i="2" s="1"/>
  <c r="E388" i="2"/>
  <c r="F388" i="2"/>
  <c r="M252" i="2" l="1"/>
  <c r="N252" i="2" s="1"/>
  <c r="P252" i="2" s="1"/>
  <c r="L253" i="2"/>
  <c r="K253" i="2"/>
  <c r="J253" i="2"/>
  <c r="G253" i="2" s="1"/>
  <c r="E389" i="2"/>
  <c r="F389" i="2"/>
  <c r="M253" i="2" l="1"/>
  <c r="N253" i="2" s="1"/>
  <c r="P253" i="2" s="1"/>
  <c r="L254" i="2"/>
  <c r="J254" i="2"/>
  <c r="H254" i="2"/>
  <c r="K254" i="2" s="1"/>
  <c r="E390" i="2"/>
  <c r="F390" i="2"/>
  <c r="G254" i="2" l="1"/>
  <c r="M254" i="2"/>
  <c r="N254" i="2" s="1"/>
  <c r="P254" i="2" s="1"/>
  <c r="L255" i="2"/>
  <c r="E391" i="2"/>
  <c r="F391" i="2"/>
  <c r="J255" i="2" l="1"/>
  <c r="H255" i="2"/>
  <c r="K255" i="2" s="1"/>
  <c r="E392" i="2"/>
  <c r="F392" i="2"/>
  <c r="G255" i="2" l="1"/>
  <c r="H256" i="2" s="1"/>
  <c r="M255" i="2"/>
  <c r="N255" i="2" s="1"/>
  <c r="P255" i="2" s="1"/>
  <c r="L256" i="2"/>
  <c r="E393" i="2"/>
  <c r="F393" i="2"/>
  <c r="J256" i="2" l="1"/>
  <c r="G256" i="2" s="1"/>
  <c r="K256" i="2"/>
  <c r="M256" i="2" s="1"/>
  <c r="N256" i="2" s="1"/>
  <c r="P256" i="2" s="1"/>
  <c r="E394" i="2"/>
  <c r="F394" i="2"/>
  <c r="J257" i="2" l="1"/>
  <c r="H257" i="2"/>
  <c r="L257" i="2"/>
  <c r="F395" i="2"/>
  <c r="E395" i="2"/>
  <c r="K257" i="2" l="1"/>
  <c r="M257" i="2" s="1"/>
  <c r="N257" i="2" s="1"/>
  <c r="P257" i="2" s="1"/>
  <c r="G257" i="2"/>
  <c r="E396" i="2"/>
  <c r="F396" i="2"/>
  <c r="L258" i="2" l="1"/>
  <c r="J258" i="2"/>
  <c r="H258" i="2"/>
  <c r="F397" i="2"/>
  <c r="E397" i="2"/>
  <c r="K258" i="2" l="1"/>
  <c r="G258" i="2"/>
  <c r="E398" i="2"/>
  <c r="F398" i="2"/>
  <c r="J259" i="2" l="1"/>
  <c r="H259" i="2"/>
  <c r="K259" i="2" s="1"/>
  <c r="M258" i="2"/>
  <c r="N258" i="2" s="1"/>
  <c r="P258" i="2" s="1"/>
  <c r="L259" i="2"/>
  <c r="E399" i="2"/>
  <c r="F399" i="2"/>
  <c r="G259" i="2" l="1"/>
  <c r="H260" i="2" s="1"/>
  <c r="L260" i="2"/>
  <c r="M259" i="2"/>
  <c r="N259" i="2" s="1"/>
  <c r="P259" i="2" s="1"/>
  <c r="E400" i="2"/>
  <c r="F400" i="2"/>
  <c r="J260" i="2" l="1"/>
  <c r="G260" i="2" s="1"/>
  <c r="K260" i="2"/>
  <c r="E401" i="2"/>
  <c r="F401" i="2"/>
  <c r="J261" i="2" l="1"/>
  <c r="H261" i="2"/>
  <c r="K261" i="2" s="1"/>
  <c r="M260" i="2"/>
  <c r="N260" i="2" s="1"/>
  <c r="P260" i="2" s="1"/>
  <c r="L261" i="2"/>
  <c r="E402" i="2"/>
  <c r="F402" i="2"/>
  <c r="G261" i="2" l="1"/>
  <c r="J262" i="2" s="1"/>
  <c r="L262" i="2"/>
  <c r="M261" i="2"/>
  <c r="N261" i="2" s="1"/>
  <c r="P261" i="2" s="1"/>
  <c r="E403" i="2"/>
  <c r="F403" i="2"/>
  <c r="H262" i="2" l="1"/>
  <c r="G262" i="2" s="1"/>
  <c r="J263" i="2" s="1"/>
  <c r="E404" i="2"/>
  <c r="F404" i="2"/>
  <c r="K262" i="2" l="1"/>
  <c r="M262" i="2" s="1"/>
  <c r="N262" i="2" s="1"/>
  <c r="P262" i="2" s="1"/>
  <c r="H263" i="2"/>
  <c r="G263" i="2" s="1"/>
  <c r="E405" i="2"/>
  <c r="F405" i="2"/>
  <c r="L263" i="2" l="1"/>
  <c r="K263" i="2"/>
  <c r="J264" i="2"/>
  <c r="H264" i="2"/>
  <c r="E406" i="2"/>
  <c r="F406" i="2"/>
  <c r="K264" i="2" l="1"/>
  <c r="L264" i="2"/>
  <c r="M263" i="2"/>
  <c r="N263" i="2" s="1"/>
  <c r="P263" i="2" s="1"/>
  <c r="G264" i="2"/>
  <c r="J265" i="2" s="1"/>
  <c r="E407" i="2"/>
  <c r="F407" i="2"/>
  <c r="H265" i="2" l="1"/>
  <c r="G265" i="2" s="1"/>
  <c r="J266" i="2" s="1"/>
  <c r="L265" i="2"/>
  <c r="M264" i="2"/>
  <c r="N264" i="2" s="1"/>
  <c r="P264" i="2" s="1"/>
  <c r="E408" i="2"/>
  <c r="F408" i="2"/>
  <c r="K265" i="2" l="1"/>
  <c r="M265" i="2" s="1"/>
  <c r="N265" i="2" s="1"/>
  <c r="P265" i="2" s="1"/>
  <c r="H266" i="2"/>
  <c r="E409" i="2"/>
  <c r="F409" i="2"/>
  <c r="K266" i="2" l="1"/>
  <c r="L266" i="2"/>
  <c r="G266" i="2"/>
  <c r="E410" i="2"/>
  <c r="F410" i="2"/>
  <c r="M266" i="2" l="1"/>
  <c r="N266" i="2" s="1"/>
  <c r="P266" i="2" s="1"/>
  <c r="L267" i="2"/>
  <c r="J267" i="2"/>
  <c r="H267" i="2"/>
  <c r="E411" i="2"/>
  <c r="F411" i="2"/>
  <c r="G267" i="2" l="1"/>
  <c r="K267" i="2"/>
  <c r="E412" i="2"/>
  <c r="F412" i="2"/>
  <c r="H268" i="2" l="1"/>
  <c r="K268" i="2" s="1"/>
  <c r="J268" i="2"/>
  <c r="L268" i="2"/>
  <c r="M267" i="2"/>
  <c r="N267" i="2" s="1"/>
  <c r="P267" i="2" s="1"/>
  <c r="E413" i="2"/>
  <c r="F413" i="2"/>
  <c r="M268" i="2" l="1"/>
  <c r="N268" i="2" s="1"/>
  <c r="P268" i="2" s="1"/>
  <c r="G268" i="2"/>
  <c r="L269" i="2"/>
  <c r="E414" i="2"/>
  <c r="F414" i="2"/>
  <c r="J269" i="2" l="1"/>
  <c r="H269" i="2"/>
  <c r="K269" i="2" s="1"/>
  <c r="M269" i="2" s="1"/>
  <c r="N269" i="2" s="1"/>
  <c r="P269" i="2" s="1"/>
  <c r="E415" i="2"/>
  <c r="F415" i="2"/>
  <c r="G269" i="2" l="1"/>
  <c r="H270" i="2" s="1"/>
  <c r="K270" i="2" s="1"/>
  <c r="L270" i="2"/>
  <c r="E416" i="2"/>
  <c r="F416" i="2"/>
  <c r="M270" i="2" l="1"/>
  <c r="N270" i="2" s="1"/>
  <c r="P270" i="2" s="1"/>
  <c r="J270" i="2"/>
  <c r="G270" i="2" s="1"/>
  <c r="L271" i="2"/>
  <c r="E417" i="2"/>
  <c r="F417" i="2"/>
  <c r="J271" i="2" l="1"/>
  <c r="H271" i="2"/>
  <c r="K271" i="2" s="1"/>
  <c r="L272" i="2" s="1"/>
  <c r="E418" i="2"/>
  <c r="F418" i="2"/>
  <c r="G271" i="2" l="1"/>
  <c r="J272" i="2" s="1"/>
  <c r="M271" i="2"/>
  <c r="N271" i="2" s="1"/>
  <c r="P271" i="2" s="1"/>
  <c r="E419" i="2"/>
  <c r="F419" i="2"/>
  <c r="H272" i="2" l="1"/>
  <c r="K272" i="2" s="1"/>
  <c r="M272" i="2" s="1"/>
  <c r="N272" i="2" s="1"/>
  <c r="P272" i="2" s="1"/>
  <c r="E420" i="2"/>
  <c r="F420" i="2"/>
  <c r="G272" i="2" l="1"/>
  <c r="J273" i="2" s="1"/>
  <c r="L273" i="2"/>
  <c r="E421" i="2"/>
  <c r="F421" i="2"/>
  <c r="H273" i="2" l="1"/>
  <c r="K273" i="2" s="1"/>
  <c r="E422" i="2"/>
  <c r="F422" i="2"/>
  <c r="G273" i="2" l="1"/>
  <c r="H274" i="2" s="1"/>
  <c r="K274" i="2" s="1"/>
  <c r="L274" i="2"/>
  <c r="M273" i="2"/>
  <c r="N273" i="2" s="1"/>
  <c r="P273" i="2" s="1"/>
  <c r="E423" i="2"/>
  <c r="F423" i="2"/>
  <c r="J274" i="2" l="1"/>
  <c r="G274" i="2" s="1"/>
  <c r="M274" i="2"/>
  <c r="N274" i="2" s="1"/>
  <c r="P274" i="2" s="1"/>
  <c r="L275" i="2"/>
  <c r="E424" i="2"/>
  <c r="F424" i="2"/>
  <c r="J275" i="2" l="1"/>
  <c r="H275" i="2"/>
  <c r="E425" i="2"/>
  <c r="F425" i="2"/>
  <c r="G275" i="2" l="1"/>
  <c r="K275" i="2"/>
  <c r="E426" i="2"/>
  <c r="F426" i="2"/>
  <c r="J276" i="2" l="1"/>
  <c r="H276" i="2"/>
  <c r="L276" i="2"/>
  <c r="M275" i="2"/>
  <c r="N275" i="2" s="1"/>
  <c r="P275" i="2" s="1"/>
  <c r="E427" i="2"/>
  <c r="F427" i="2"/>
  <c r="G276" i="2" l="1"/>
  <c r="K276" i="2"/>
  <c r="E428" i="2"/>
  <c r="F428" i="2"/>
  <c r="L277" i="2" l="1"/>
  <c r="M276" i="2"/>
  <c r="N276" i="2" s="1"/>
  <c r="P276" i="2" s="1"/>
  <c r="J277" i="2"/>
  <c r="H277" i="2"/>
  <c r="E429" i="2"/>
  <c r="F429" i="2"/>
  <c r="G277" i="2" l="1"/>
  <c r="J278" i="2" s="1"/>
  <c r="K277" i="2"/>
  <c r="E430" i="2"/>
  <c r="F430" i="2"/>
  <c r="H278" i="2" l="1"/>
  <c r="G278" i="2" s="1"/>
  <c r="M277" i="2"/>
  <c r="N277" i="2" s="1"/>
  <c r="P277" i="2" s="1"/>
  <c r="L278" i="2"/>
  <c r="E431" i="2"/>
  <c r="F431" i="2"/>
  <c r="K278" i="2" l="1"/>
  <c r="L279" i="2" s="1"/>
  <c r="H279" i="2"/>
  <c r="J279" i="2"/>
  <c r="E432" i="2"/>
  <c r="F432" i="2"/>
  <c r="M278" i="2" l="1"/>
  <c r="N278" i="2" s="1"/>
  <c r="P278" i="2" s="1"/>
  <c r="K279" i="2"/>
  <c r="M279" i="2" s="1"/>
  <c r="N279" i="2" s="1"/>
  <c r="P279" i="2" s="1"/>
  <c r="G279" i="2"/>
  <c r="H280" i="2" s="1"/>
  <c r="E433" i="2"/>
  <c r="F433" i="2"/>
  <c r="L280" i="2" l="1"/>
  <c r="K280" i="2"/>
  <c r="J280" i="2"/>
  <c r="G280" i="2" s="1"/>
  <c r="J281" i="2" s="1"/>
  <c r="E434" i="2"/>
  <c r="F434" i="2"/>
  <c r="L281" i="2" l="1"/>
  <c r="M280" i="2"/>
  <c r="N280" i="2" s="1"/>
  <c r="P280" i="2" s="1"/>
  <c r="H281" i="2"/>
  <c r="K281" i="2" s="1"/>
  <c r="E435" i="2"/>
  <c r="F435" i="2"/>
  <c r="L282" i="2" l="1"/>
  <c r="M281" i="2"/>
  <c r="N281" i="2" s="1"/>
  <c r="P281" i="2" s="1"/>
  <c r="G281" i="2"/>
  <c r="E436" i="2"/>
  <c r="F436" i="2"/>
  <c r="J282" i="2" l="1"/>
  <c r="H282" i="2"/>
  <c r="E437" i="2"/>
  <c r="F437" i="2"/>
  <c r="K282" i="2" l="1"/>
  <c r="G282" i="2"/>
  <c r="E438" i="2"/>
  <c r="F438" i="2"/>
  <c r="J283" i="2" l="1"/>
  <c r="H283" i="2"/>
  <c r="K283" i="2" s="1"/>
  <c r="M282" i="2"/>
  <c r="N282" i="2" s="1"/>
  <c r="P282" i="2" s="1"/>
  <c r="L283" i="2"/>
  <c r="E439" i="2"/>
  <c r="F439" i="2"/>
  <c r="G283" i="2" l="1"/>
  <c r="H284" i="2" s="1"/>
  <c r="K284" i="2" s="1"/>
  <c r="L284" i="2"/>
  <c r="M283" i="2"/>
  <c r="N283" i="2" s="1"/>
  <c r="P283" i="2" s="1"/>
  <c r="E440" i="2"/>
  <c r="F440" i="2"/>
  <c r="J284" i="2" l="1"/>
  <c r="G284" i="2" s="1"/>
  <c r="M284" i="2"/>
  <c r="N284" i="2" s="1"/>
  <c r="P284" i="2" s="1"/>
  <c r="L285" i="2"/>
  <c r="E441" i="2"/>
  <c r="F441" i="2"/>
  <c r="H285" i="2" l="1"/>
  <c r="K285" i="2" s="1"/>
  <c r="J285" i="2"/>
  <c r="E442" i="2"/>
  <c r="F442" i="2"/>
  <c r="L286" i="2" l="1"/>
  <c r="M285" i="2"/>
  <c r="N285" i="2" s="1"/>
  <c r="P285" i="2" s="1"/>
  <c r="G285" i="2"/>
  <c r="E443" i="2"/>
  <c r="F443" i="2"/>
  <c r="J286" i="2" l="1"/>
  <c r="H286" i="2"/>
  <c r="K286" i="2" s="1"/>
  <c r="M286" i="2" s="1"/>
  <c r="N286" i="2" s="1"/>
  <c r="P286" i="2" s="1"/>
  <c r="E444" i="2"/>
  <c r="F444" i="2"/>
  <c r="G286" i="2" l="1"/>
  <c r="H287" i="2" s="1"/>
  <c r="K287" i="2" s="1"/>
  <c r="L287" i="2"/>
  <c r="E445" i="2"/>
  <c r="F445" i="2"/>
  <c r="J287" i="2" l="1"/>
  <c r="G287" i="2" s="1"/>
  <c r="M287" i="2"/>
  <c r="N287" i="2" s="1"/>
  <c r="P287" i="2" s="1"/>
  <c r="L288" i="2"/>
  <c r="E446" i="2"/>
  <c r="F446" i="2"/>
  <c r="H288" i="2" l="1"/>
  <c r="K288" i="2" s="1"/>
  <c r="M288" i="2" s="1"/>
  <c r="N288" i="2" s="1"/>
  <c r="P288" i="2" s="1"/>
  <c r="J288" i="2"/>
  <c r="E447" i="2"/>
  <c r="F447" i="2"/>
  <c r="L289" i="2" l="1"/>
  <c r="G288" i="2"/>
  <c r="E448" i="2"/>
  <c r="F448" i="2"/>
  <c r="H289" i="2" l="1"/>
  <c r="K289" i="2" s="1"/>
  <c r="J289" i="2"/>
  <c r="E449" i="2"/>
  <c r="F449" i="2"/>
  <c r="M289" i="2" l="1"/>
  <c r="N289" i="2" s="1"/>
  <c r="P289" i="2" s="1"/>
  <c r="L290" i="2"/>
  <c r="G289" i="2"/>
  <c r="E450" i="2"/>
  <c r="F450" i="2"/>
  <c r="J290" i="2" l="1"/>
  <c r="H290" i="2"/>
  <c r="K290" i="2" s="1"/>
  <c r="M290" i="2" s="1"/>
  <c r="N290" i="2" s="1"/>
  <c r="P290" i="2" s="1"/>
  <c r="E451" i="2"/>
  <c r="F451" i="2"/>
  <c r="L291" i="2" l="1"/>
  <c r="G290" i="2"/>
  <c r="J291" i="2" s="1"/>
  <c r="E452" i="2"/>
  <c r="F452" i="2"/>
  <c r="H291" i="2" l="1"/>
  <c r="K291" i="2" s="1"/>
  <c r="L292" i="2" s="1"/>
  <c r="E453" i="2"/>
  <c r="F453" i="2"/>
  <c r="G291" i="2" l="1"/>
  <c r="J292" i="2" s="1"/>
  <c r="M291" i="2"/>
  <c r="N291" i="2" s="1"/>
  <c r="P291" i="2" s="1"/>
  <c r="E454" i="2"/>
  <c r="F454" i="2"/>
  <c r="H292" i="2" l="1"/>
  <c r="K292" i="2" s="1"/>
  <c r="M292" i="2" s="1"/>
  <c r="N292" i="2" s="1"/>
  <c r="P292" i="2" s="1"/>
  <c r="E455" i="2"/>
  <c r="F455" i="2"/>
  <c r="G292" i="2" l="1"/>
  <c r="J293" i="2" s="1"/>
  <c r="L293" i="2"/>
  <c r="E456" i="2"/>
  <c r="F456" i="2"/>
  <c r="H293" i="2" l="1"/>
  <c r="K293" i="2" s="1"/>
  <c r="L294" i="2" s="1"/>
  <c r="E457" i="2"/>
  <c r="F457" i="2"/>
  <c r="M293" i="2" l="1"/>
  <c r="N293" i="2" s="1"/>
  <c r="P293" i="2" s="1"/>
  <c r="G293" i="2"/>
  <c r="H294" i="2" s="1"/>
  <c r="K294" i="2" s="1"/>
  <c r="E458" i="2"/>
  <c r="F458" i="2"/>
  <c r="J294" i="2" l="1"/>
  <c r="G294" i="2" s="1"/>
  <c r="H295" i="2" s="1"/>
  <c r="M294" i="2"/>
  <c r="N294" i="2" s="1"/>
  <c r="P294" i="2" s="1"/>
  <c r="L295" i="2"/>
  <c r="E459" i="2"/>
  <c r="F459" i="2"/>
  <c r="J295" i="2" l="1"/>
  <c r="G295" i="2" s="1"/>
  <c r="H296" i="2" s="1"/>
  <c r="K295" i="2"/>
  <c r="M295" i="2" s="1"/>
  <c r="N295" i="2" s="1"/>
  <c r="P295" i="2" s="1"/>
  <c r="E460" i="2"/>
  <c r="F460" i="2"/>
  <c r="J296" i="2" l="1"/>
  <c r="G296" i="2" s="1"/>
  <c r="J297" i="2" s="1"/>
  <c r="K296" i="2"/>
  <c r="L296" i="2"/>
  <c r="E461" i="2"/>
  <c r="F461" i="2"/>
  <c r="L297" i="2" l="1"/>
  <c r="M296" i="2"/>
  <c r="N296" i="2" s="1"/>
  <c r="P296" i="2" s="1"/>
  <c r="H297" i="2"/>
  <c r="G297" i="2" s="1"/>
  <c r="E462" i="2"/>
  <c r="F462" i="2"/>
  <c r="K297" i="2" l="1"/>
  <c r="L298" i="2" s="1"/>
  <c r="J298" i="2"/>
  <c r="H298" i="2"/>
  <c r="E463" i="2"/>
  <c r="F463" i="2"/>
  <c r="M297" i="2" l="1"/>
  <c r="N297" i="2" s="1"/>
  <c r="P297" i="2" s="1"/>
  <c r="G298" i="2"/>
  <c r="K298" i="2"/>
  <c r="E464" i="2"/>
  <c r="F464" i="2"/>
  <c r="M298" i="2" l="1"/>
  <c r="N298" i="2" s="1"/>
  <c r="P298" i="2" s="1"/>
  <c r="L299" i="2"/>
  <c r="H299" i="2"/>
  <c r="K299" i="2" s="1"/>
  <c r="J299" i="2"/>
  <c r="E465" i="2"/>
  <c r="F465" i="2"/>
  <c r="G299" i="2" l="1"/>
  <c r="H300" i="2" s="1"/>
  <c r="K300" i="2" s="1"/>
  <c r="M299" i="2"/>
  <c r="N299" i="2" s="1"/>
  <c r="P299" i="2" s="1"/>
  <c r="L300" i="2"/>
  <c r="E466" i="2"/>
  <c r="F466" i="2"/>
  <c r="M300" i="2" l="1"/>
  <c r="N300" i="2" s="1"/>
  <c r="P300" i="2" s="1"/>
  <c r="J300" i="2"/>
  <c r="G300" i="2" s="1"/>
  <c r="L301" i="2"/>
  <c r="E467" i="2"/>
  <c r="F467" i="2"/>
  <c r="J301" i="2" l="1"/>
  <c r="H301" i="2"/>
  <c r="K301" i="2" s="1"/>
  <c r="M301" i="2" s="1"/>
  <c r="N301" i="2" s="1"/>
  <c r="P301" i="2" s="1"/>
  <c r="E468" i="2"/>
  <c r="F468" i="2"/>
  <c r="G301" i="2" l="1"/>
  <c r="J302" i="2" s="1"/>
  <c r="L302" i="2"/>
  <c r="E469" i="2"/>
  <c r="F469" i="2"/>
  <c r="H302" i="2" l="1"/>
  <c r="G302" i="2" s="1"/>
  <c r="E470" i="2"/>
  <c r="F470" i="2"/>
  <c r="K302" i="2" l="1"/>
  <c r="H303" i="2"/>
  <c r="J303" i="2"/>
  <c r="E471" i="2"/>
  <c r="F471" i="2"/>
  <c r="G303" i="2" l="1"/>
  <c r="J304" i="2" s="1"/>
  <c r="K303" i="2"/>
  <c r="M302" i="2"/>
  <c r="N302" i="2" s="1"/>
  <c r="P302" i="2" s="1"/>
  <c r="L303" i="2"/>
  <c r="E472" i="2"/>
  <c r="F472" i="2"/>
  <c r="H304" i="2" l="1"/>
  <c r="K304" i="2" s="1"/>
  <c r="L304" i="2"/>
  <c r="M303" i="2"/>
  <c r="N303" i="2" s="1"/>
  <c r="P303" i="2" s="1"/>
  <c r="E473" i="2"/>
  <c r="F473" i="2"/>
  <c r="G304" i="2" l="1"/>
  <c r="H305" i="2" s="1"/>
  <c r="L305" i="2"/>
  <c r="M304" i="2"/>
  <c r="N304" i="2" s="1"/>
  <c r="P304" i="2" s="1"/>
  <c r="E474" i="2"/>
  <c r="F474" i="2"/>
  <c r="J305" i="2" l="1"/>
  <c r="G305" i="2" s="1"/>
  <c r="K305" i="2"/>
  <c r="E475" i="2"/>
  <c r="F475" i="2"/>
  <c r="H306" i="2" l="1"/>
  <c r="K306" i="2" s="1"/>
  <c r="J306" i="2"/>
  <c r="M305" i="2"/>
  <c r="N305" i="2" s="1"/>
  <c r="P305" i="2" s="1"/>
  <c r="L306" i="2"/>
  <c r="E476" i="2"/>
  <c r="F476" i="2"/>
  <c r="G306" i="2" l="1"/>
  <c r="H307" i="2" s="1"/>
  <c r="L307" i="2"/>
  <c r="M306" i="2"/>
  <c r="N306" i="2" s="1"/>
  <c r="P306" i="2" s="1"/>
  <c r="E477" i="2"/>
  <c r="F477" i="2"/>
  <c r="J307" i="2" l="1"/>
  <c r="G307" i="2" s="1"/>
  <c r="K307" i="2"/>
  <c r="E478" i="2"/>
  <c r="F478" i="2"/>
  <c r="H308" i="2" l="1"/>
  <c r="K308" i="2" s="1"/>
  <c r="J308" i="2"/>
  <c r="L308" i="2"/>
  <c r="M307" i="2"/>
  <c r="N307" i="2" s="1"/>
  <c r="P307" i="2" s="1"/>
  <c r="E479" i="2"/>
  <c r="F479" i="2"/>
  <c r="G308" i="2" l="1"/>
  <c r="H309" i="2" s="1"/>
  <c r="K309" i="2" s="1"/>
  <c r="L309" i="2"/>
  <c r="M308" i="2"/>
  <c r="N308" i="2" s="1"/>
  <c r="P308" i="2" s="1"/>
  <c r="E480" i="2"/>
  <c r="F480" i="2"/>
  <c r="J309" i="2" l="1"/>
  <c r="G309" i="2" s="1"/>
  <c r="J310" i="2" s="1"/>
  <c r="M309" i="2"/>
  <c r="N309" i="2" s="1"/>
  <c r="P309" i="2" s="1"/>
  <c r="L310" i="2"/>
  <c r="E481" i="2"/>
  <c r="F481" i="2"/>
  <c r="H310" i="2" l="1"/>
  <c r="K310" i="2" s="1"/>
  <c r="L311" i="2" s="1"/>
  <c r="E482" i="2"/>
  <c r="F482" i="2"/>
  <c r="G310" i="2" l="1"/>
  <c r="H311" i="2" s="1"/>
  <c r="K311" i="2" s="1"/>
  <c r="L312" i="2" s="1"/>
  <c r="M310" i="2"/>
  <c r="N310" i="2" s="1"/>
  <c r="P310" i="2" s="1"/>
  <c r="E483" i="2"/>
  <c r="F483" i="2"/>
  <c r="J311" i="2" l="1"/>
  <c r="G311" i="2" s="1"/>
  <c r="H312" i="2" s="1"/>
  <c r="K312" i="2" s="1"/>
  <c r="L313" i="2" s="1"/>
  <c r="M311" i="2"/>
  <c r="N311" i="2" s="1"/>
  <c r="P311" i="2" s="1"/>
  <c r="E484" i="2"/>
  <c r="F484" i="2"/>
  <c r="J312" i="2" l="1"/>
  <c r="G312" i="2" s="1"/>
  <c r="H313" i="2" s="1"/>
  <c r="K313" i="2" s="1"/>
  <c r="M313" i="2" s="1"/>
  <c r="N313" i="2" s="1"/>
  <c r="P313" i="2" s="1"/>
  <c r="M312" i="2"/>
  <c r="N312" i="2" s="1"/>
  <c r="P312" i="2" s="1"/>
  <c r="E485" i="2"/>
  <c r="F485" i="2"/>
  <c r="J313" i="2" l="1"/>
  <c r="G313" i="2" s="1"/>
  <c r="H314" i="2" s="1"/>
  <c r="K314" i="2" s="1"/>
  <c r="L314" i="2"/>
  <c r="E486" i="2"/>
  <c r="F486" i="2"/>
  <c r="L315" i="2" l="1"/>
  <c r="J314" i="2"/>
  <c r="G314" i="2" s="1"/>
  <c r="J315" i="2" s="1"/>
  <c r="M314" i="2"/>
  <c r="N314" i="2" s="1"/>
  <c r="P314" i="2" s="1"/>
  <c r="E487" i="2"/>
  <c r="F487" i="2"/>
  <c r="H315" i="2" l="1"/>
  <c r="K315" i="2" s="1"/>
  <c r="L316" i="2" s="1"/>
  <c r="E488" i="2"/>
  <c r="F488" i="2"/>
  <c r="M315" i="2" l="1"/>
  <c r="N315" i="2" s="1"/>
  <c r="P315" i="2" s="1"/>
  <c r="G315" i="2"/>
  <c r="E489" i="2"/>
  <c r="F489" i="2"/>
  <c r="H316" i="2" l="1"/>
  <c r="J316" i="2"/>
  <c r="E490" i="2"/>
  <c r="F490" i="2"/>
  <c r="K316" i="2" l="1"/>
  <c r="G316" i="2"/>
  <c r="E491" i="2"/>
  <c r="F491" i="2"/>
  <c r="H317" i="2" l="1"/>
  <c r="K317" i="2" s="1"/>
  <c r="J317" i="2"/>
  <c r="L317" i="2"/>
  <c r="M316" i="2"/>
  <c r="N316" i="2" s="1"/>
  <c r="P316" i="2" s="1"/>
  <c r="E492" i="2"/>
  <c r="F492" i="2"/>
  <c r="L318" i="2" l="1"/>
  <c r="G317" i="2"/>
  <c r="J318" i="2" s="1"/>
  <c r="M317" i="2"/>
  <c r="N317" i="2" s="1"/>
  <c r="P317" i="2" s="1"/>
  <c r="E493" i="2"/>
  <c r="F493" i="2"/>
  <c r="H318" i="2" l="1"/>
  <c r="K318" i="2" s="1"/>
  <c r="E494" i="2"/>
  <c r="F494" i="2"/>
  <c r="G318" i="2" l="1"/>
  <c r="J319" i="2" s="1"/>
  <c r="L319" i="2"/>
  <c r="M318" i="2"/>
  <c r="N318" i="2" s="1"/>
  <c r="P318" i="2" s="1"/>
  <c r="E495" i="2"/>
  <c r="F495" i="2"/>
  <c r="H319" i="2" l="1"/>
  <c r="K319" i="2" s="1"/>
  <c r="M319" i="2" s="1"/>
  <c r="N319" i="2" s="1"/>
  <c r="P319" i="2" s="1"/>
  <c r="E496" i="2"/>
  <c r="F496" i="2"/>
  <c r="L320" i="2" l="1"/>
  <c r="G319" i="2"/>
  <c r="J320" i="2" s="1"/>
  <c r="E497" i="2"/>
  <c r="F497" i="2"/>
  <c r="H320" i="2" l="1"/>
  <c r="K320" i="2" s="1"/>
  <c r="M320" i="2" s="1"/>
  <c r="N320" i="2" s="1"/>
  <c r="P320" i="2" s="1"/>
  <c r="E498" i="2"/>
  <c r="F498" i="2"/>
  <c r="L321" i="2" l="1"/>
  <c r="G320" i="2"/>
  <c r="H321" i="2" s="1"/>
  <c r="K321" i="2" s="1"/>
  <c r="E499" i="2"/>
  <c r="F499" i="2"/>
  <c r="M321" i="2" l="1"/>
  <c r="N321" i="2" s="1"/>
  <c r="P321" i="2" s="1"/>
  <c r="J321" i="2"/>
  <c r="G321" i="2" s="1"/>
  <c r="H322" i="2" s="1"/>
  <c r="K322" i="2" s="1"/>
  <c r="L322" i="2"/>
  <c r="E500" i="2"/>
  <c r="F500" i="2"/>
  <c r="L323" i="2" l="1"/>
  <c r="J322" i="2"/>
  <c r="G322" i="2" s="1"/>
  <c r="J323" i="2" s="1"/>
  <c r="M322" i="2"/>
  <c r="N322" i="2" s="1"/>
  <c r="P322" i="2" s="1"/>
  <c r="F501" i="2"/>
  <c r="E501" i="2"/>
  <c r="H323" i="2" l="1"/>
  <c r="K323" i="2" s="1"/>
  <c r="M323" i="2" s="1"/>
  <c r="N323" i="2" s="1"/>
  <c r="P323" i="2" s="1"/>
  <c r="E502" i="2"/>
  <c r="F502" i="2"/>
  <c r="G323" i="2" l="1"/>
  <c r="H324" i="2" s="1"/>
  <c r="L324" i="2"/>
  <c r="F503" i="2"/>
  <c r="E503" i="2"/>
  <c r="J324" i="2" l="1"/>
  <c r="G324" i="2" s="1"/>
  <c r="K324" i="2"/>
  <c r="E504" i="2"/>
  <c r="F504" i="2"/>
  <c r="M324" i="2" l="1"/>
  <c r="N324" i="2" s="1"/>
  <c r="P324" i="2" s="1"/>
  <c r="L325" i="2"/>
  <c r="H325" i="2"/>
  <c r="K325" i="2" s="1"/>
  <c r="J325" i="2"/>
  <c r="F505" i="2"/>
  <c r="E505" i="2"/>
  <c r="M325" i="2" l="1"/>
  <c r="N325" i="2" s="1"/>
  <c r="P325" i="2" s="1"/>
  <c r="G325" i="2"/>
  <c r="L326" i="2"/>
  <c r="F506" i="2"/>
  <c r="E506" i="2"/>
  <c r="H326" i="2" l="1"/>
  <c r="K326" i="2" s="1"/>
  <c r="J326" i="2"/>
  <c r="E507" i="2"/>
  <c r="F507" i="2"/>
  <c r="G326" i="2" l="1"/>
  <c r="J327" i="2" s="1"/>
  <c r="M326" i="2"/>
  <c r="N326" i="2" s="1"/>
  <c r="P326" i="2" s="1"/>
  <c r="L327" i="2"/>
  <c r="F508" i="2"/>
  <c r="E508" i="2"/>
  <c r="H327" i="2" l="1"/>
  <c r="G327" i="2" s="1"/>
  <c r="E509" i="2"/>
  <c r="F509" i="2"/>
  <c r="K327" i="2" l="1"/>
  <c r="M327" i="2" s="1"/>
  <c r="N327" i="2" s="1"/>
  <c r="P327" i="2" s="1"/>
  <c r="H328" i="2"/>
  <c r="J328" i="2"/>
  <c r="E510" i="2"/>
  <c r="F510" i="2"/>
  <c r="L328" i="2" l="1"/>
  <c r="K328" i="2"/>
  <c r="G328" i="2"/>
  <c r="H329" i="2" s="1"/>
  <c r="E511" i="2"/>
  <c r="F511" i="2"/>
  <c r="M328" i="2" l="1"/>
  <c r="N328" i="2" s="1"/>
  <c r="P328" i="2" s="1"/>
  <c r="L329" i="2"/>
  <c r="K329" i="2"/>
  <c r="J329" i="2"/>
  <c r="G329" i="2" s="1"/>
  <c r="J330" i="2" s="1"/>
  <c r="F512" i="2"/>
  <c r="E512" i="2"/>
  <c r="M329" i="2" l="1"/>
  <c r="N329" i="2" s="1"/>
  <c r="P329" i="2" s="1"/>
  <c r="L330" i="2"/>
  <c r="H330" i="2"/>
  <c r="K330" i="2" s="1"/>
  <c r="F513" i="2"/>
  <c r="E513" i="2"/>
  <c r="M330" i="2" l="1"/>
  <c r="N330" i="2" s="1"/>
  <c r="P330" i="2" s="1"/>
  <c r="L331" i="2"/>
  <c r="G330" i="2"/>
  <c r="E514" i="2"/>
  <c r="F514" i="2"/>
  <c r="J331" i="2" l="1"/>
  <c r="H331" i="2"/>
  <c r="F515" i="2"/>
  <c r="E515" i="2"/>
  <c r="G331" i="2" l="1"/>
  <c r="K331" i="2"/>
  <c r="E516" i="2"/>
  <c r="F516" i="2"/>
  <c r="M331" i="2" l="1"/>
  <c r="N331" i="2" s="1"/>
  <c r="P331" i="2" s="1"/>
  <c r="L332" i="2"/>
  <c r="H332" i="2"/>
  <c r="J332" i="2"/>
  <c r="F517" i="2"/>
  <c r="E517" i="2"/>
  <c r="K332" i="2" l="1"/>
  <c r="M332" i="2" s="1"/>
  <c r="N332" i="2" s="1"/>
  <c r="P332" i="2" s="1"/>
  <c r="G332" i="2"/>
  <c r="F518" i="2"/>
  <c r="E518" i="2"/>
  <c r="H333" i="2" l="1"/>
  <c r="K333" i="2" s="1"/>
  <c r="J333" i="2"/>
  <c r="L333" i="2"/>
  <c r="F519" i="2"/>
  <c r="E519" i="2"/>
  <c r="G333" i="2" l="1"/>
  <c r="H334" i="2" s="1"/>
  <c r="K334" i="2" s="1"/>
  <c r="L334" i="2"/>
  <c r="M333" i="2"/>
  <c r="N333" i="2" s="1"/>
  <c r="P333" i="2" s="1"/>
  <c r="F520" i="2"/>
  <c r="E520" i="2"/>
  <c r="M334" i="2" l="1"/>
  <c r="N334" i="2" s="1"/>
  <c r="P334" i="2" s="1"/>
  <c r="J334" i="2"/>
  <c r="G334" i="2" s="1"/>
  <c r="J335" i="2" s="1"/>
  <c r="L335" i="2"/>
  <c r="F521" i="2"/>
  <c r="E521" i="2"/>
  <c r="H335" i="2" l="1"/>
  <c r="K335" i="2" s="1"/>
  <c r="M335" i="2" s="1"/>
  <c r="N335" i="2" s="1"/>
  <c r="P335" i="2" s="1"/>
  <c r="E522" i="2"/>
  <c r="F522" i="2"/>
  <c r="G335" i="2" l="1"/>
  <c r="H336" i="2" s="1"/>
  <c r="L336" i="2"/>
  <c r="F523" i="2"/>
  <c r="E523" i="2"/>
  <c r="J336" i="2" l="1"/>
  <c r="G336" i="2" s="1"/>
  <c r="K336" i="2"/>
  <c r="M336" i="2" s="1"/>
  <c r="N336" i="2" s="1"/>
  <c r="P336" i="2" s="1"/>
  <c r="F524" i="2"/>
  <c r="E524" i="2"/>
  <c r="J337" i="2" l="1"/>
  <c r="H337" i="2"/>
  <c r="L337" i="2"/>
  <c r="E525" i="2"/>
  <c r="F525" i="2"/>
  <c r="K337" i="2" l="1"/>
  <c r="G337" i="2"/>
  <c r="F526" i="2"/>
  <c r="E526" i="2"/>
  <c r="H338" i="2" l="1"/>
  <c r="J338" i="2"/>
  <c r="L338" i="2"/>
  <c r="M337" i="2"/>
  <c r="N337" i="2" s="1"/>
  <c r="P337" i="2" s="1"/>
  <c r="F527" i="2"/>
  <c r="E527" i="2"/>
  <c r="K338" i="2" l="1"/>
  <c r="M338" i="2" s="1"/>
  <c r="N338" i="2" s="1"/>
  <c r="P338" i="2" s="1"/>
  <c r="G338" i="2"/>
  <c r="E528" i="2"/>
  <c r="F528" i="2"/>
  <c r="J339" i="2" l="1"/>
  <c r="H339" i="2"/>
  <c r="K339" i="2" s="1"/>
  <c r="L339" i="2"/>
  <c r="F529" i="2"/>
  <c r="E529" i="2"/>
  <c r="M339" i="2" l="1"/>
  <c r="N339" i="2" s="1"/>
  <c r="P339" i="2" s="1"/>
  <c r="L340" i="2"/>
  <c r="G339" i="2"/>
  <c r="E530" i="2"/>
  <c r="F530" i="2"/>
  <c r="J340" i="2" l="1"/>
  <c r="H340" i="2"/>
  <c r="K340" i="2" s="1"/>
  <c r="M340" i="2" s="1"/>
  <c r="N340" i="2" s="1"/>
  <c r="P340" i="2" s="1"/>
  <c r="E531" i="2"/>
  <c r="F531" i="2"/>
  <c r="L341" i="2" l="1"/>
  <c r="G340" i="2"/>
  <c r="E532" i="2"/>
  <c r="F532" i="2"/>
  <c r="J341" i="2" l="1"/>
  <c r="H341" i="2"/>
  <c r="K341" i="2" s="1"/>
  <c r="M341" i="2" s="1"/>
  <c r="N341" i="2" s="1"/>
  <c r="P341" i="2" s="1"/>
  <c r="E533" i="2"/>
  <c r="F533" i="2"/>
  <c r="G341" i="2" l="1"/>
  <c r="J342" i="2" s="1"/>
  <c r="L342" i="2"/>
  <c r="E534" i="2"/>
  <c r="F534" i="2"/>
  <c r="H342" i="2" l="1"/>
  <c r="K342" i="2" s="1"/>
  <c r="M342" i="2" s="1"/>
  <c r="N342" i="2" s="1"/>
  <c r="P342" i="2" s="1"/>
  <c r="F535" i="2"/>
  <c r="E535" i="2"/>
  <c r="G342" i="2" l="1"/>
  <c r="J343" i="2" s="1"/>
  <c r="L343" i="2"/>
  <c r="E536" i="2"/>
  <c r="F536" i="2"/>
  <c r="H343" i="2" l="1"/>
  <c r="K343" i="2" s="1"/>
  <c r="M343" i="2" s="1"/>
  <c r="N343" i="2" s="1"/>
  <c r="P343" i="2" s="1"/>
  <c r="E537" i="2"/>
  <c r="F537" i="2"/>
  <c r="L344" i="2" l="1"/>
  <c r="G343" i="2"/>
  <c r="H344" i="2" s="1"/>
  <c r="K344" i="2" s="1"/>
  <c r="E538" i="2"/>
  <c r="F538" i="2"/>
  <c r="M344" i="2" l="1"/>
  <c r="N344" i="2" s="1"/>
  <c r="P344" i="2" s="1"/>
  <c r="J344" i="2"/>
  <c r="G344" i="2" s="1"/>
  <c r="J345" i="2" s="1"/>
  <c r="L345" i="2"/>
  <c r="E539" i="2"/>
  <c r="F539" i="2"/>
  <c r="H345" i="2" l="1"/>
  <c r="K345" i="2" s="1"/>
  <c r="M345" i="2" s="1"/>
  <c r="N345" i="2" s="1"/>
  <c r="P345" i="2" s="1"/>
  <c r="F540" i="2"/>
  <c r="E540" i="2"/>
  <c r="G345" i="2" l="1"/>
  <c r="J346" i="2" s="1"/>
  <c r="L346" i="2"/>
  <c r="F541" i="2"/>
  <c r="E541" i="2"/>
  <c r="H346" i="2" l="1"/>
  <c r="K346" i="2" s="1"/>
  <c r="E542" i="2"/>
  <c r="F542" i="2"/>
  <c r="G346" i="2" l="1"/>
  <c r="H347" i="2" s="1"/>
  <c r="K347" i="2" s="1"/>
  <c r="M346" i="2"/>
  <c r="N346" i="2" s="1"/>
  <c r="P346" i="2" s="1"/>
  <c r="L347" i="2"/>
  <c r="E543" i="2"/>
  <c r="F543" i="2"/>
  <c r="J347" i="2" l="1"/>
  <c r="G347" i="2" s="1"/>
  <c r="J348" i="2" s="1"/>
  <c r="M347" i="2"/>
  <c r="N347" i="2" s="1"/>
  <c r="P347" i="2" s="1"/>
  <c r="L348" i="2"/>
  <c r="F544" i="2"/>
  <c r="E544" i="2"/>
  <c r="H348" i="2" l="1"/>
  <c r="G348" i="2" s="1"/>
  <c r="J349" i="2" s="1"/>
  <c r="F545" i="2"/>
  <c r="E545" i="2"/>
  <c r="K348" i="2" l="1"/>
  <c r="M348" i="2" s="1"/>
  <c r="N348" i="2" s="1"/>
  <c r="P348" i="2" s="1"/>
  <c r="H349" i="2"/>
  <c r="G349" i="2" s="1"/>
  <c r="J350" i="2" s="1"/>
  <c r="E546" i="2"/>
  <c r="F546" i="2"/>
  <c r="L349" i="2" l="1"/>
  <c r="K349" i="2"/>
  <c r="H350" i="2"/>
  <c r="G350" i="2" s="1"/>
  <c r="F547" i="2"/>
  <c r="E547" i="2"/>
  <c r="L350" i="2" l="1"/>
  <c r="K350" i="2"/>
  <c r="M349" i="2"/>
  <c r="N349" i="2" s="1"/>
  <c r="P349" i="2" s="1"/>
  <c r="J351" i="2"/>
  <c r="H351" i="2"/>
  <c r="F548" i="2"/>
  <c r="E548" i="2"/>
  <c r="L351" i="2" l="1"/>
  <c r="K351" i="2"/>
  <c r="M350" i="2"/>
  <c r="N350" i="2" s="1"/>
  <c r="P350" i="2" s="1"/>
  <c r="G351" i="2"/>
  <c r="F549" i="2"/>
  <c r="E549" i="2"/>
  <c r="M351" i="2" l="1"/>
  <c r="N351" i="2" s="1"/>
  <c r="P351" i="2" s="1"/>
  <c r="L352" i="2"/>
  <c r="H352" i="2"/>
  <c r="K352" i="2" s="1"/>
  <c r="J352" i="2"/>
  <c r="F550" i="2"/>
  <c r="E550" i="2"/>
  <c r="G352" i="2" l="1"/>
  <c r="H353" i="2" s="1"/>
  <c r="K353" i="2" s="1"/>
  <c r="M352" i="2"/>
  <c r="N352" i="2" s="1"/>
  <c r="P352" i="2" s="1"/>
  <c r="L353" i="2"/>
  <c r="F551" i="2"/>
  <c r="E551" i="2"/>
  <c r="J353" i="2" l="1"/>
  <c r="G353" i="2" s="1"/>
  <c r="J354" i="2" s="1"/>
  <c r="L354" i="2"/>
  <c r="M353" i="2"/>
  <c r="N353" i="2" s="1"/>
  <c r="P353" i="2" s="1"/>
  <c r="E552" i="2"/>
  <c r="F552" i="2"/>
  <c r="H354" i="2" l="1"/>
  <c r="G354" i="2" s="1"/>
  <c r="H355" i="2" s="1"/>
  <c r="E553" i="2"/>
  <c r="F553" i="2"/>
  <c r="K354" i="2" l="1"/>
  <c r="M354" i="2" s="1"/>
  <c r="N354" i="2" s="1"/>
  <c r="P354" i="2" s="1"/>
  <c r="J355" i="2"/>
  <c r="G355" i="2" s="1"/>
  <c r="J356" i="2" s="1"/>
  <c r="F554" i="2"/>
  <c r="E554" i="2"/>
  <c r="K355" i="2" l="1"/>
  <c r="L355" i="2"/>
  <c r="H356" i="2"/>
  <c r="E555" i="2"/>
  <c r="F555" i="2"/>
  <c r="K356" i="2" l="1"/>
  <c r="M355" i="2"/>
  <c r="N355" i="2" s="1"/>
  <c r="P355" i="2" s="1"/>
  <c r="L356" i="2"/>
  <c r="G356" i="2"/>
  <c r="J357" i="2" s="1"/>
  <c r="E556" i="2"/>
  <c r="F556" i="2"/>
  <c r="L357" i="2" l="1"/>
  <c r="M356" i="2"/>
  <c r="N356" i="2" s="1"/>
  <c r="P356" i="2" s="1"/>
  <c r="H357" i="2"/>
  <c r="K357" i="2" s="1"/>
  <c r="E557" i="2"/>
  <c r="F557" i="2"/>
  <c r="L358" i="2" l="1"/>
  <c r="M357" i="2"/>
  <c r="N357" i="2" s="1"/>
  <c r="P357" i="2" s="1"/>
  <c r="G357" i="2"/>
  <c r="H358" i="2" s="1"/>
  <c r="K358" i="2" s="1"/>
  <c r="F558" i="2"/>
  <c r="E558" i="2"/>
  <c r="M358" i="2" l="1"/>
  <c r="N358" i="2" s="1"/>
  <c r="P358" i="2" s="1"/>
  <c r="J358" i="2"/>
  <c r="G358" i="2" s="1"/>
  <c r="H359" i="2" s="1"/>
  <c r="K359" i="2" s="1"/>
  <c r="L359" i="2"/>
  <c r="E559" i="2"/>
  <c r="F559" i="2"/>
  <c r="J359" i="2" l="1"/>
  <c r="G359" i="2" s="1"/>
  <c r="J360" i="2" s="1"/>
  <c r="M359" i="2"/>
  <c r="N359" i="2" s="1"/>
  <c r="P359" i="2" s="1"/>
  <c r="L360" i="2"/>
  <c r="E560" i="2"/>
  <c r="F560" i="2"/>
  <c r="H360" i="2" l="1"/>
  <c r="K360" i="2" s="1"/>
  <c r="L361" i="2" s="1"/>
  <c r="E561" i="2"/>
  <c r="F561" i="2"/>
  <c r="G360" i="2" l="1"/>
  <c r="J361" i="2" s="1"/>
  <c r="M360" i="2"/>
  <c r="N360" i="2" s="1"/>
  <c r="P360" i="2" s="1"/>
  <c r="E562" i="2"/>
  <c r="F562" i="2"/>
  <c r="H361" i="2" l="1"/>
  <c r="K361" i="2" s="1"/>
  <c r="M361" i="2" s="1"/>
  <c r="N361" i="2" s="1"/>
  <c r="P361" i="2" s="1"/>
  <c r="F563" i="2"/>
  <c r="E563" i="2"/>
  <c r="G361" i="2" l="1"/>
  <c r="J362" i="2" s="1"/>
  <c r="L362" i="2"/>
  <c r="F564" i="2"/>
  <c r="E564" i="2"/>
  <c r="H362" i="2" l="1"/>
  <c r="K362" i="2" s="1"/>
  <c r="M362" i="2" s="1"/>
  <c r="N362" i="2" s="1"/>
  <c r="P362" i="2" s="1"/>
  <c r="F565" i="2"/>
  <c r="E565" i="2"/>
  <c r="L363" i="2" l="1"/>
  <c r="G362" i="2"/>
  <c r="H363" i="2" s="1"/>
  <c r="K363" i="2" s="1"/>
  <c r="E566" i="2"/>
  <c r="F566" i="2"/>
  <c r="M363" i="2" l="1"/>
  <c r="N363" i="2" s="1"/>
  <c r="P363" i="2" s="1"/>
  <c r="J363" i="2"/>
  <c r="G363" i="2" s="1"/>
  <c r="H364" i="2" s="1"/>
  <c r="K364" i="2" s="1"/>
  <c r="L364" i="2"/>
  <c r="F567" i="2"/>
  <c r="E567" i="2"/>
  <c r="J364" i="2" l="1"/>
  <c r="G364" i="2" s="1"/>
  <c r="H365" i="2" s="1"/>
  <c r="K365" i="2" s="1"/>
  <c r="L365" i="2"/>
  <c r="M364" i="2"/>
  <c r="N364" i="2" s="1"/>
  <c r="P364" i="2" s="1"/>
  <c r="F568" i="2"/>
  <c r="E568" i="2"/>
  <c r="J365" i="2" l="1"/>
  <c r="G365" i="2" s="1"/>
  <c r="H366" i="2" s="1"/>
  <c r="K366" i="2" s="1"/>
  <c r="M365" i="2"/>
  <c r="N365" i="2" s="1"/>
  <c r="P365" i="2" s="1"/>
  <c r="L366" i="2"/>
  <c r="F569" i="2"/>
  <c r="E569" i="2"/>
  <c r="J366" i="2" l="1"/>
  <c r="G366" i="2" s="1"/>
  <c r="H367" i="2" s="1"/>
  <c r="M366" i="2"/>
  <c r="N366" i="2" s="1"/>
  <c r="P366" i="2" s="1"/>
  <c r="L367" i="2"/>
  <c r="E570" i="2"/>
  <c r="F570" i="2"/>
  <c r="J367" i="2" l="1"/>
  <c r="G367" i="2" s="1"/>
  <c r="K367" i="2"/>
  <c r="E571" i="2"/>
  <c r="F571" i="2"/>
  <c r="M367" i="2" l="1"/>
  <c r="N367" i="2" s="1"/>
  <c r="P367" i="2" s="1"/>
  <c r="J368" i="2"/>
  <c r="H368" i="2"/>
  <c r="K368" i="2" s="1"/>
  <c r="L368" i="2"/>
  <c r="E572" i="2"/>
  <c r="F572" i="2"/>
  <c r="M368" i="2" l="1"/>
  <c r="N368" i="2" s="1"/>
  <c r="P368" i="2" s="1"/>
  <c r="G368" i="2"/>
  <c r="L369" i="2"/>
  <c r="E573" i="2"/>
  <c r="F573" i="2"/>
  <c r="J369" i="2" l="1"/>
  <c r="H369" i="2"/>
  <c r="K369" i="2" s="1"/>
  <c r="M369" i="2" s="1"/>
  <c r="N369" i="2" s="1"/>
  <c r="P369" i="2" s="1"/>
  <c r="F574" i="2"/>
  <c r="E574" i="2"/>
  <c r="G369" i="2" l="1"/>
  <c r="J370" i="2" s="1"/>
  <c r="L370" i="2"/>
  <c r="E575" i="2"/>
  <c r="F575" i="2"/>
  <c r="H370" i="2" l="1"/>
  <c r="K370" i="2" s="1"/>
  <c r="M370" i="2" s="1"/>
  <c r="N370" i="2" s="1"/>
  <c r="P370" i="2" s="1"/>
  <c r="E576" i="2"/>
  <c r="F576" i="2"/>
  <c r="L371" i="2" l="1"/>
  <c r="G370" i="2"/>
  <c r="H371" i="2" s="1"/>
  <c r="K371" i="2" s="1"/>
  <c r="F577" i="2"/>
  <c r="E577" i="2"/>
  <c r="J371" i="2" l="1"/>
  <c r="G371" i="2" s="1"/>
  <c r="H372" i="2" s="1"/>
  <c r="K372" i="2" s="1"/>
  <c r="L372" i="2"/>
  <c r="M371" i="2"/>
  <c r="N371" i="2" s="1"/>
  <c r="P371" i="2" s="1"/>
  <c r="F578" i="2"/>
  <c r="E578" i="2"/>
  <c r="J372" i="2" l="1"/>
  <c r="G372" i="2" s="1"/>
  <c r="H373" i="2" s="1"/>
  <c r="K373" i="2" s="1"/>
  <c r="L373" i="2"/>
  <c r="M372" i="2"/>
  <c r="N372" i="2" s="1"/>
  <c r="P372" i="2" s="1"/>
  <c r="E579" i="2"/>
  <c r="F579" i="2"/>
  <c r="J373" i="2" l="1"/>
  <c r="G373" i="2" s="1"/>
  <c r="H374" i="2" s="1"/>
  <c r="M373" i="2"/>
  <c r="N373" i="2" s="1"/>
  <c r="P373" i="2" s="1"/>
  <c r="L374" i="2"/>
  <c r="F580" i="2"/>
  <c r="E580" i="2"/>
  <c r="J374" i="2" l="1"/>
  <c r="G374" i="2" s="1"/>
  <c r="K374" i="2"/>
  <c r="M374" i="2" s="1"/>
  <c r="N374" i="2" s="1"/>
  <c r="P374" i="2" s="1"/>
  <c r="E581" i="2"/>
  <c r="F581" i="2"/>
  <c r="L375" i="2" l="1"/>
  <c r="J375" i="2"/>
  <c r="H375" i="2"/>
  <c r="F582" i="2"/>
  <c r="E582" i="2"/>
  <c r="G375" i="2" l="1"/>
  <c r="K375" i="2"/>
  <c r="E583" i="2"/>
  <c r="F583" i="2"/>
  <c r="M375" i="2" l="1"/>
  <c r="N375" i="2" s="1"/>
  <c r="P375" i="2" s="1"/>
  <c r="L376" i="2"/>
  <c r="J376" i="2"/>
  <c r="H376" i="2"/>
  <c r="F584" i="2"/>
  <c r="E584" i="2"/>
  <c r="K376" i="2" l="1"/>
  <c r="M376" i="2" s="1"/>
  <c r="N376" i="2" s="1"/>
  <c r="P376" i="2" s="1"/>
  <c r="G376" i="2"/>
  <c r="F585" i="2"/>
  <c r="E585" i="2"/>
  <c r="H377" i="2" l="1"/>
  <c r="J377" i="2"/>
  <c r="L377" i="2"/>
  <c r="F586" i="2"/>
  <c r="E586" i="2"/>
  <c r="K377" i="2" l="1"/>
  <c r="G377" i="2"/>
  <c r="F587" i="2"/>
  <c r="E587" i="2"/>
  <c r="H378" i="2" l="1"/>
  <c r="K378" i="2" s="1"/>
  <c r="J378" i="2"/>
  <c r="L378" i="2"/>
  <c r="M377" i="2"/>
  <c r="N377" i="2" s="1"/>
  <c r="P377" i="2" s="1"/>
  <c r="F588" i="2"/>
  <c r="E588" i="2"/>
  <c r="L379" i="2" l="1"/>
  <c r="G378" i="2"/>
  <c r="J379" i="2" s="1"/>
  <c r="M378" i="2"/>
  <c r="N378" i="2" s="1"/>
  <c r="P378" i="2" s="1"/>
  <c r="E589" i="2"/>
  <c r="F589" i="2"/>
  <c r="H379" i="2" l="1"/>
  <c r="K379" i="2" s="1"/>
  <c r="L380" i="2" s="1"/>
  <c r="E590" i="2"/>
  <c r="F590" i="2"/>
  <c r="G379" i="2" l="1"/>
  <c r="J380" i="2" s="1"/>
  <c r="M379" i="2"/>
  <c r="N379" i="2" s="1"/>
  <c r="P379" i="2" s="1"/>
  <c r="F591" i="2"/>
  <c r="E591" i="2"/>
  <c r="H380" i="2" l="1"/>
  <c r="K380" i="2" s="1"/>
  <c r="M380" i="2" s="1"/>
  <c r="N380" i="2" s="1"/>
  <c r="P380" i="2" s="1"/>
  <c r="E592" i="2"/>
  <c r="F592" i="2"/>
  <c r="G380" i="2" l="1"/>
  <c r="J381" i="2" s="1"/>
  <c r="L381" i="2"/>
  <c r="F593" i="2"/>
  <c r="E593" i="2"/>
  <c r="H381" i="2" l="1"/>
  <c r="K381" i="2" s="1"/>
  <c r="E594" i="2"/>
  <c r="F594" i="2"/>
  <c r="G381" i="2" l="1"/>
  <c r="H382" i="2" s="1"/>
  <c r="M381" i="2"/>
  <c r="N381" i="2" s="1"/>
  <c r="P381" i="2" s="1"/>
  <c r="L382" i="2"/>
  <c r="F595" i="2"/>
  <c r="E595" i="2"/>
  <c r="J382" i="2" l="1"/>
  <c r="G382" i="2" s="1"/>
  <c r="K382" i="2"/>
  <c r="E596" i="2"/>
  <c r="F596" i="2"/>
  <c r="M382" i="2" l="1"/>
  <c r="N382" i="2" s="1"/>
  <c r="P382" i="2" s="1"/>
  <c r="L383" i="2"/>
  <c r="J383" i="2"/>
  <c r="H383" i="2"/>
  <c r="K383" i="2" s="1"/>
  <c r="F597" i="2"/>
  <c r="E597" i="2"/>
  <c r="M383" i="2" l="1"/>
  <c r="N383" i="2" s="1"/>
  <c r="P383" i="2" s="1"/>
  <c r="G383" i="2"/>
  <c r="L384" i="2"/>
  <c r="E598" i="2"/>
  <c r="F598" i="2"/>
  <c r="H384" i="2" l="1"/>
  <c r="J384" i="2"/>
  <c r="F599" i="2"/>
  <c r="E599" i="2"/>
  <c r="G384" i="2" l="1"/>
  <c r="K384" i="2"/>
  <c r="E600" i="2"/>
  <c r="F600" i="2"/>
  <c r="J385" i="2" l="1"/>
  <c r="H385" i="2"/>
  <c r="K385" i="2" s="1"/>
  <c r="M384" i="2"/>
  <c r="N384" i="2" s="1"/>
  <c r="P384" i="2" s="1"/>
  <c r="L385" i="2"/>
  <c r="E601" i="2"/>
  <c r="F601" i="2"/>
  <c r="G385" i="2" l="1"/>
  <c r="J386" i="2" s="1"/>
  <c r="L386" i="2"/>
  <c r="M385" i="2"/>
  <c r="N385" i="2" s="1"/>
  <c r="P385" i="2" s="1"/>
  <c r="E602" i="2"/>
  <c r="F602" i="2"/>
  <c r="H386" i="2" l="1"/>
  <c r="K386" i="2" s="1"/>
  <c r="M386" i="2" s="1"/>
  <c r="N386" i="2" s="1"/>
  <c r="P386" i="2" s="1"/>
  <c r="E603" i="2"/>
  <c r="F603" i="2"/>
  <c r="L387" i="2" l="1"/>
  <c r="G386" i="2"/>
  <c r="E604" i="2"/>
  <c r="F604" i="2"/>
  <c r="J387" i="2" l="1"/>
  <c r="H387" i="2"/>
  <c r="F605" i="2"/>
  <c r="E605" i="2"/>
  <c r="K387" i="2" l="1"/>
  <c r="G387" i="2"/>
  <c r="F606" i="2"/>
  <c r="E606" i="2"/>
  <c r="M387" i="2" l="1"/>
  <c r="N387" i="2" s="1"/>
  <c r="P387" i="2" s="1"/>
  <c r="L388" i="2"/>
  <c r="J388" i="2"/>
  <c r="H388" i="2"/>
  <c r="K388" i="2" s="1"/>
  <c r="F607" i="2"/>
  <c r="E607" i="2"/>
  <c r="M388" i="2" l="1"/>
  <c r="N388" i="2" s="1"/>
  <c r="P388" i="2" s="1"/>
  <c r="G388" i="2"/>
  <c r="J389" i="2" s="1"/>
  <c r="L389" i="2"/>
  <c r="E608" i="2"/>
  <c r="F608" i="2"/>
  <c r="H389" i="2" l="1"/>
  <c r="K389" i="2" s="1"/>
  <c r="L390" i="2" s="1"/>
  <c r="E609" i="2"/>
  <c r="F609" i="2"/>
  <c r="M389" i="2" l="1"/>
  <c r="N389" i="2" s="1"/>
  <c r="P389" i="2" s="1"/>
  <c r="G389" i="2"/>
  <c r="H390" i="2" s="1"/>
  <c r="K390" i="2" s="1"/>
  <c r="E610" i="2"/>
  <c r="F610" i="2"/>
  <c r="J390" i="2" l="1"/>
  <c r="G390" i="2" s="1"/>
  <c r="M390" i="2"/>
  <c r="N390" i="2" s="1"/>
  <c r="P390" i="2" s="1"/>
  <c r="L391" i="2"/>
  <c r="F611" i="2"/>
  <c r="E611" i="2"/>
  <c r="H391" i="2" l="1"/>
  <c r="K391" i="2" s="1"/>
  <c r="M391" i="2" s="1"/>
  <c r="N391" i="2" s="1"/>
  <c r="P391" i="2" s="1"/>
  <c r="J391" i="2"/>
  <c r="E612" i="2"/>
  <c r="F612" i="2"/>
  <c r="G391" i="2" l="1"/>
  <c r="J392" i="2" s="1"/>
  <c r="L392" i="2"/>
  <c r="F613" i="2"/>
  <c r="E613" i="2"/>
  <c r="H392" i="2" l="1"/>
  <c r="K392" i="2" s="1"/>
  <c r="M392" i="2" s="1"/>
  <c r="N392" i="2" s="1"/>
  <c r="P392" i="2" s="1"/>
  <c r="F614" i="2"/>
  <c r="E614" i="2"/>
  <c r="G392" i="2" l="1"/>
  <c r="H393" i="2" s="1"/>
  <c r="K393" i="2" s="1"/>
  <c r="L393" i="2"/>
  <c r="E615" i="2"/>
  <c r="F615" i="2"/>
  <c r="J393" i="2" l="1"/>
  <c r="G393" i="2" s="1"/>
  <c r="H394" i="2" s="1"/>
  <c r="K394" i="2" s="1"/>
  <c r="M393" i="2"/>
  <c r="N393" i="2" s="1"/>
  <c r="P393" i="2" s="1"/>
  <c r="L394" i="2"/>
  <c r="E616" i="2"/>
  <c r="F616" i="2"/>
  <c r="J394" i="2" l="1"/>
  <c r="G394" i="2" s="1"/>
  <c r="H395" i="2" s="1"/>
  <c r="K395" i="2" s="1"/>
  <c r="L395" i="2"/>
  <c r="M394" i="2"/>
  <c r="N394" i="2" s="1"/>
  <c r="P394" i="2" s="1"/>
  <c r="E617" i="2"/>
  <c r="F617" i="2"/>
  <c r="J395" i="2" l="1"/>
  <c r="G395" i="2" s="1"/>
  <c r="H396" i="2" s="1"/>
  <c r="K396" i="2" s="1"/>
  <c r="M395" i="2"/>
  <c r="N395" i="2" s="1"/>
  <c r="P395" i="2" s="1"/>
  <c r="L396" i="2"/>
  <c r="F618" i="2"/>
  <c r="E618" i="2"/>
  <c r="J396" i="2" l="1"/>
  <c r="G396" i="2" s="1"/>
  <c r="H397" i="2" s="1"/>
  <c r="K397" i="2" s="1"/>
  <c r="M396" i="2"/>
  <c r="N396" i="2" s="1"/>
  <c r="P396" i="2" s="1"/>
  <c r="L397" i="2"/>
  <c r="E619" i="2"/>
  <c r="F619" i="2"/>
  <c r="M397" i="2" l="1"/>
  <c r="N397" i="2" s="1"/>
  <c r="P397" i="2" s="1"/>
  <c r="J397" i="2"/>
  <c r="G397" i="2" s="1"/>
  <c r="H398" i="2" s="1"/>
  <c r="K398" i="2" s="1"/>
  <c r="L398" i="2"/>
  <c r="F620" i="2"/>
  <c r="E620" i="2"/>
  <c r="J398" i="2" l="1"/>
  <c r="G398" i="2" s="1"/>
  <c r="M398" i="2"/>
  <c r="N398" i="2" s="1"/>
  <c r="P398" i="2" s="1"/>
  <c r="L399" i="2"/>
  <c r="F621" i="2"/>
  <c r="E621" i="2"/>
  <c r="J399" i="2" l="1"/>
  <c r="H399" i="2"/>
  <c r="K399" i="2" s="1"/>
  <c r="M399" i="2" s="1"/>
  <c r="N399" i="2" s="1"/>
  <c r="P399" i="2" s="1"/>
  <c r="F622" i="2"/>
  <c r="E622" i="2"/>
  <c r="G399" i="2" l="1"/>
  <c r="J400" i="2" s="1"/>
  <c r="L400" i="2"/>
  <c r="E623" i="2"/>
  <c r="F623" i="2"/>
  <c r="H400" i="2" l="1"/>
  <c r="K400" i="2" s="1"/>
  <c r="M400" i="2" s="1"/>
  <c r="N400" i="2" s="1"/>
  <c r="P400" i="2" s="1"/>
  <c r="E624" i="2"/>
  <c r="F624" i="2"/>
  <c r="G400" i="2" l="1"/>
  <c r="L401" i="2"/>
  <c r="E625" i="2"/>
  <c r="F625" i="2"/>
  <c r="H401" i="2" l="1"/>
  <c r="J401" i="2"/>
  <c r="F626" i="2"/>
  <c r="E626" i="2"/>
  <c r="K401" i="2" l="1"/>
  <c r="G401" i="2"/>
  <c r="F627" i="2"/>
  <c r="E627" i="2"/>
  <c r="H402" i="2" l="1"/>
  <c r="K402" i="2" s="1"/>
  <c r="J402" i="2"/>
  <c r="L402" i="2"/>
  <c r="M401" i="2"/>
  <c r="N401" i="2" s="1"/>
  <c r="P401" i="2" s="1"/>
  <c r="F628" i="2"/>
  <c r="E628" i="2"/>
  <c r="L403" i="2" l="1"/>
  <c r="G402" i="2"/>
  <c r="J403" i="2" s="1"/>
  <c r="M402" i="2"/>
  <c r="N402" i="2" s="1"/>
  <c r="P402" i="2" s="1"/>
  <c r="F629" i="2"/>
  <c r="E629" i="2"/>
  <c r="H403" i="2" l="1"/>
  <c r="K403" i="2" s="1"/>
  <c r="M403" i="2" s="1"/>
  <c r="N403" i="2" s="1"/>
  <c r="P403" i="2" s="1"/>
  <c r="F630" i="2"/>
  <c r="E630" i="2"/>
  <c r="G403" i="2" l="1"/>
  <c r="J404" i="2" s="1"/>
  <c r="L404" i="2"/>
  <c r="E631" i="2"/>
  <c r="F631" i="2"/>
  <c r="H404" i="2" l="1"/>
  <c r="K404" i="2" s="1"/>
  <c r="M404" i="2" s="1"/>
  <c r="N404" i="2" s="1"/>
  <c r="P404" i="2" s="1"/>
  <c r="F632" i="2"/>
  <c r="E632" i="2"/>
  <c r="G404" i="2" l="1"/>
  <c r="L405" i="2"/>
  <c r="E633" i="2"/>
  <c r="F633" i="2"/>
  <c r="H405" i="2" l="1"/>
  <c r="K405" i="2" s="1"/>
  <c r="J405" i="2"/>
  <c r="F634" i="2"/>
  <c r="E634" i="2"/>
  <c r="G405" i="2" l="1"/>
  <c r="J406" i="2" s="1"/>
  <c r="M405" i="2"/>
  <c r="N405" i="2" s="1"/>
  <c r="P405" i="2" s="1"/>
  <c r="L406" i="2"/>
  <c r="F635" i="2"/>
  <c r="E635" i="2"/>
  <c r="H406" i="2" l="1"/>
  <c r="E636" i="2"/>
  <c r="F636" i="2"/>
  <c r="G406" i="2" l="1"/>
  <c r="K406" i="2"/>
  <c r="F637" i="2"/>
  <c r="E637" i="2"/>
  <c r="M406" i="2" l="1"/>
  <c r="N406" i="2" s="1"/>
  <c r="P406" i="2" s="1"/>
  <c r="L407" i="2"/>
  <c r="J407" i="2"/>
  <c r="H407" i="2"/>
  <c r="K407" i="2" s="1"/>
  <c r="F638" i="2"/>
  <c r="E638" i="2"/>
  <c r="M407" i="2" l="1"/>
  <c r="N407" i="2" s="1"/>
  <c r="P407" i="2" s="1"/>
  <c r="G407" i="2"/>
  <c r="L408" i="2"/>
  <c r="F639" i="2"/>
  <c r="E639" i="2"/>
  <c r="H408" i="2" l="1"/>
  <c r="K408" i="2" s="1"/>
  <c r="M408" i="2" s="1"/>
  <c r="N408" i="2" s="1"/>
  <c r="P408" i="2" s="1"/>
  <c r="J408" i="2"/>
  <c r="F640" i="2"/>
  <c r="E640" i="2"/>
  <c r="G408" i="2" l="1"/>
  <c r="J409" i="2" s="1"/>
  <c r="L409" i="2"/>
  <c r="F641" i="2"/>
  <c r="E641" i="2"/>
  <c r="H409" i="2" l="1"/>
  <c r="K409" i="2" s="1"/>
  <c r="M409" i="2" s="1"/>
  <c r="N409" i="2" s="1"/>
  <c r="P409" i="2" s="1"/>
  <c r="F642" i="2"/>
  <c r="E642" i="2"/>
  <c r="G409" i="2" l="1"/>
  <c r="J410" i="2" s="1"/>
  <c r="L410" i="2"/>
  <c r="E643" i="2"/>
  <c r="F643" i="2"/>
  <c r="H410" i="2" l="1"/>
  <c r="K410" i="2" s="1"/>
  <c r="M410" i="2" s="1"/>
  <c r="N410" i="2" s="1"/>
  <c r="P410" i="2" s="1"/>
  <c r="E644" i="2"/>
  <c r="F644" i="2"/>
  <c r="L411" i="2" l="1"/>
  <c r="G410" i="2"/>
  <c r="H411" i="2" s="1"/>
  <c r="K411" i="2" s="1"/>
  <c r="F645" i="2"/>
  <c r="E645" i="2"/>
  <c r="M411" i="2" l="1"/>
  <c r="N411" i="2" s="1"/>
  <c r="P411" i="2" s="1"/>
  <c r="J411" i="2"/>
  <c r="G411" i="2" s="1"/>
  <c r="J412" i="2" s="1"/>
  <c r="L412" i="2"/>
  <c r="E646" i="2"/>
  <c r="F646" i="2"/>
  <c r="H412" i="2" l="1"/>
  <c r="K412" i="2" s="1"/>
  <c r="M412" i="2" s="1"/>
  <c r="N412" i="2" s="1"/>
  <c r="P412" i="2" s="1"/>
  <c r="F647" i="2"/>
  <c r="E647" i="2"/>
  <c r="G412" i="2" l="1"/>
  <c r="J413" i="2" s="1"/>
  <c r="L413" i="2"/>
  <c r="F648" i="2"/>
  <c r="E648" i="2"/>
  <c r="H413" i="2" l="1"/>
  <c r="K413" i="2" s="1"/>
  <c r="M413" i="2" s="1"/>
  <c r="N413" i="2" s="1"/>
  <c r="P413" i="2" s="1"/>
  <c r="F649" i="2"/>
  <c r="E649" i="2"/>
  <c r="L414" i="2" l="1"/>
  <c r="G413" i="2"/>
  <c r="H414" i="2" s="1"/>
  <c r="K414" i="2" s="1"/>
  <c r="E650" i="2"/>
  <c r="F650" i="2"/>
  <c r="M414" i="2" l="1"/>
  <c r="N414" i="2" s="1"/>
  <c r="P414" i="2" s="1"/>
  <c r="J414" i="2"/>
  <c r="G414" i="2" s="1"/>
  <c r="H415" i="2" s="1"/>
  <c r="K415" i="2" s="1"/>
  <c r="L415" i="2"/>
  <c r="E651" i="2"/>
  <c r="F651" i="2"/>
  <c r="J415" i="2" l="1"/>
  <c r="G415" i="2" s="1"/>
  <c r="M415" i="2"/>
  <c r="N415" i="2" s="1"/>
  <c r="P415" i="2" s="1"/>
  <c r="L416" i="2"/>
  <c r="F652" i="2"/>
  <c r="E652" i="2"/>
  <c r="J416" i="2" l="1"/>
  <c r="H416" i="2"/>
  <c r="K416" i="2" s="1"/>
  <c r="F653" i="2"/>
  <c r="E653" i="2"/>
  <c r="G416" i="2" l="1"/>
  <c r="H417" i="2" s="1"/>
  <c r="K417" i="2" s="1"/>
  <c r="M416" i="2"/>
  <c r="N416" i="2" s="1"/>
  <c r="P416" i="2" s="1"/>
  <c r="L417" i="2"/>
  <c r="F654" i="2"/>
  <c r="E654" i="2"/>
  <c r="M417" i="2" l="1"/>
  <c r="N417" i="2" s="1"/>
  <c r="P417" i="2" s="1"/>
  <c r="J417" i="2"/>
  <c r="G417" i="2" s="1"/>
  <c r="L418" i="2"/>
  <c r="E655" i="2"/>
  <c r="F655" i="2"/>
  <c r="H418" i="2" l="1"/>
  <c r="K418" i="2" s="1"/>
  <c r="M418" i="2" s="1"/>
  <c r="N418" i="2" s="1"/>
  <c r="P418" i="2" s="1"/>
  <c r="J418" i="2"/>
  <c r="E656" i="2"/>
  <c r="F656" i="2"/>
  <c r="G418" i="2" l="1"/>
  <c r="J419" i="2" s="1"/>
  <c r="L419" i="2"/>
  <c r="F657" i="2"/>
  <c r="E657" i="2"/>
  <c r="H419" i="2" l="1"/>
  <c r="K419" i="2" s="1"/>
  <c r="M419" i="2" s="1"/>
  <c r="N419" i="2" s="1"/>
  <c r="P419" i="2" s="1"/>
  <c r="F658" i="2"/>
  <c r="E658" i="2"/>
  <c r="L420" i="2" l="1"/>
  <c r="G419" i="2"/>
  <c r="J420" i="2" s="1"/>
  <c r="F659" i="2"/>
  <c r="E659" i="2"/>
  <c r="H420" i="2" l="1"/>
  <c r="K420" i="2" s="1"/>
  <c r="M420" i="2" s="1"/>
  <c r="N420" i="2" s="1"/>
  <c r="P420" i="2" s="1"/>
  <c r="E660" i="2"/>
  <c r="F660" i="2"/>
  <c r="G420" i="2" l="1"/>
  <c r="H421" i="2" s="1"/>
  <c r="K421" i="2" s="1"/>
  <c r="L421" i="2"/>
  <c r="F661" i="2"/>
  <c r="E661" i="2"/>
  <c r="M421" i="2" l="1"/>
  <c r="N421" i="2" s="1"/>
  <c r="P421" i="2" s="1"/>
  <c r="J421" i="2"/>
  <c r="G421" i="2" s="1"/>
  <c r="J422" i="2" s="1"/>
  <c r="L422" i="2"/>
  <c r="F662" i="2"/>
  <c r="E662" i="2"/>
  <c r="H422" i="2" l="1"/>
  <c r="K422" i="2" s="1"/>
  <c r="L423" i="2" s="1"/>
  <c r="E663" i="2"/>
  <c r="F663" i="2"/>
  <c r="G422" i="2" l="1"/>
  <c r="M422" i="2"/>
  <c r="N422" i="2" s="1"/>
  <c r="P422" i="2" s="1"/>
  <c r="F664" i="2"/>
  <c r="E664" i="2"/>
  <c r="H423" i="2" l="1"/>
  <c r="J423" i="2"/>
  <c r="E665" i="2"/>
  <c r="F665" i="2"/>
  <c r="K423" i="2" l="1"/>
  <c r="G423" i="2"/>
  <c r="E666" i="2"/>
  <c r="F666" i="2"/>
  <c r="J424" i="2" l="1"/>
  <c r="H424" i="2"/>
  <c r="M423" i="2"/>
  <c r="N423" i="2" s="1"/>
  <c r="P423" i="2" s="1"/>
  <c r="L424" i="2"/>
  <c r="E667" i="2"/>
  <c r="F667" i="2"/>
  <c r="K424" i="2" l="1"/>
  <c r="M424" i="2" s="1"/>
  <c r="N424" i="2" s="1"/>
  <c r="P424" i="2" s="1"/>
  <c r="G424" i="2"/>
  <c r="F668" i="2"/>
  <c r="E668" i="2"/>
  <c r="H425" i="2" l="1"/>
  <c r="J425" i="2"/>
  <c r="L425" i="2"/>
  <c r="F669" i="2"/>
  <c r="E669" i="2"/>
  <c r="K425" i="2" l="1"/>
  <c r="M425" i="2" s="1"/>
  <c r="N425" i="2" s="1"/>
  <c r="P425" i="2" s="1"/>
  <c r="G425" i="2"/>
  <c r="E670" i="2"/>
  <c r="F670" i="2"/>
  <c r="H426" i="2" l="1"/>
  <c r="K426" i="2" s="1"/>
  <c r="J426" i="2"/>
  <c r="L426" i="2"/>
  <c r="F671" i="2"/>
  <c r="E671" i="2"/>
  <c r="L427" i="2" l="1"/>
  <c r="G426" i="2"/>
  <c r="H427" i="2" s="1"/>
  <c r="M426" i="2"/>
  <c r="N426" i="2" s="1"/>
  <c r="P426" i="2" s="1"/>
  <c r="F672" i="2"/>
  <c r="E672" i="2"/>
  <c r="J427" i="2" l="1"/>
  <c r="G427" i="2" s="1"/>
  <c r="K427" i="2"/>
  <c r="F673" i="2"/>
  <c r="E673" i="2"/>
  <c r="J428" i="2" l="1"/>
  <c r="H428" i="2"/>
  <c r="L428" i="2"/>
  <c r="M427" i="2"/>
  <c r="N427" i="2" s="1"/>
  <c r="P427" i="2" s="1"/>
  <c r="F674" i="2"/>
  <c r="E674" i="2"/>
  <c r="K428" i="2" l="1"/>
  <c r="M428" i="2" s="1"/>
  <c r="N428" i="2" s="1"/>
  <c r="P428" i="2" s="1"/>
  <c r="G428" i="2"/>
  <c r="F675" i="2"/>
  <c r="E675" i="2"/>
  <c r="J429" i="2" l="1"/>
  <c r="H429" i="2"/>
  <c r="L429" i="2"/>
  <c r="F676" i="2"/>
  <c r="E676" i="2"/>
  <c r="K429" i="2" l="1"/>
  <c r="M429" i="2" s="1"/>
  <c r="N429" i="2" s="1"/>
  <c r="P429" i="2" s="1"/>
  <c r="G429" i="2"/>
  <c r="F677" i="2"/>
  <c r="E677" i="2"/>
  <c r="H430" i="2" l="1"/>
  <c r="J430" i="2"/>
  <c r="L430" i="2"/>
  <c r="E678" i="2"/>
  <c r="F678" i="2"/>
  <c r="K430" i="2" l="1"/>
  <c r="M430" i="2" s="1"/>
  <c r="N430" i="2" s="1"/>
  <c r="P430" i="2" s="1"/>
  <c r="G430" i="2"/>
  <c r="E679" i="2"/>
  <c r="F679" i="2"/>
  <c r="J431" i="2" l="1"/>
  <c r="H431" i="2"/>
  <c r="L431" i="2"/>
  <c r="F680" i="2"/>
  <c r="E680" i="2"/>
  <c r="K431" i="2" l="1"/>
  <c r="M431" i="2" s="1"/>
  <c r="N431" i="2" s="1"/>
  <c r="P431" i="2" s="1"/>
  <c r="G431" i="2"/>
  <c r="F681" i="2"/>
  <c r="E681" i="2"/>
  <c r="J432" i="2" l="1"/>
  <c r="H432" i="2"/>
  <c r="L432" i="2"/>
  <c r="F682" i="2"/>
  <c r="E682" i="2"/>
  <c r="G432" i="2" l="1"/>
  <c r="K432" i="2"/>
  <c r="M432" i="2" s="1"/>
  <c r="N432" i="2" s="1"/>
  <c r="P432" i="2" s="1"/>
  <c r="E683" i="2"/>
  <c r="F683" i="2"/>
  <c r="J433" i="2" l="1"/>
  <c r="H433" i="2"/>
  <c r="L433" i="2"/>
  <c r="F684" i="2"/>
  <c r="E684" i="2"/>
  <c r="G433" i="2" l="1"/>
  <c r="J434" i="2" s="1"/>
  <c r="K433" i="2"/>
  <c r="E685" i="2"/>
  <c r="F685" i="2"/>
  <c r="H434" i="2" l="1"/>
  <c r="G434" i="2" s="1"/>
  <c r="J435" i="2" s="1"/>
  <c r="M433" i="2"/>
  <c r="N433" i="2" s="1"/>
  <c r="P433" i="2" s="1"/>
  <c r="L434" i="2"/>
  <c r="E686" i="2"/>
  <c r="F686" i="2"/>
  <c r="K434" i="2" l="1"/>
  <c r="L435" i="2" s="1"/>
  <c r="H435" i="2"/>
  <c r="G435" i="2" s="1"/>
  <c r="E687" i="2"/>
  <c r="F687" i="2"/>
  <c r="M434" i="2" l="1"/>
  <c r="N434" i="2" s="1"/>
  <c r="P434" i="2" s="1"/>
  <c r="J436" i="2"/>
  <c r="H436" i="2"/>
  <c r="K435" i="2"/>
  <c r="L436" i="2" s="1"/>
  <c r="E688" i="2"/>
  <c r="F688" i="2"/>
  <c r="G436" i="2" l="1"/>
  <c r="J437" i="2" s="1"/>
  <c r="K436" i="2"/>
  <c r="M436" i="2" s="1"/>
  <c r="N436" i="2" s="1"/>
  <c r="P436" i="2" s="1"/>
  <c r="M435" i="2"/>
  <c r="N435" i="2" s="1"/>
  <c r="P435" i="2" s="1"/>
  <c r="E689" i="2"/>
  <c r="F689" i="2"/>
  <c r="H437" i="2" l="1"/>
  <c r="K437" i="2" s="1"/>
  <c r="L437" i="2"/>
  <c r="E690" i="2"/>
  <c r="F690" i="2"/>
  <c r="G437" i="2" l="1"/>
  <c r="H438" i="2" s="1"/>
  <c r="K438" i="2" s="1"/>
  <c r="L438" i="2"/>
  <c r="M437" i="2"/>
  <c r="N437" i="2" s="1"/>
  <c r="P437" i="2" s="1"/>
  <c r="F691" i="2"/>
  <c r="E691" i="2"/>
  <c r="J438" i="2" l="1"/>
  <c r="G438" i="2" s="1"/>
  <c r="H439" i="2" s="1"/>
  <c r="M438" i="2"/>
  <c r="N438" i="2" s="1"/>
  <c r="P438" i="2" s="1"/>
  <c r="L439" i="2"/>
  <c r="E692" i="2"/>
  <c r="F692" i="2"/>
  <c r="J439" i="2" l="1"/>
  <c r="G439" i="2" s="1"/>
  <c r="K439" i="2"/>
  <c r="E693" i="2"/>
  <c r="F693" i="2"/>
  <c r="J440" i="2" l="1"/>
  <c r="H440" i="2"/>
  <c r="M439" i="2"/>
  <c r="N439" i="2" s="1"/>
  <c r="P439" i="2" s="1"/>
  <c r="L440" i="2"/>
  <c r="E694" i="2"/>
  <c r="F694" i="2"/>
  <c r="G440" i="2" l="1"/>
  <c r="J441" i="2" s="1"/>
  <c r="K440" i="2"/>
  <c r="E695" i="2"/>
  <c r="F695" i="2"/>
  <c r="H441" i="2" l="1"/>
  <c r="G441" i="2" s="1"/>
  <c r="H442" i="2" s="1"/>
  <c r="L441" i="2"/>
  <c r="M440" i="2"/>
  <c r="N440" i="2" s="1"/>
  <c r="P440" i="2" s="1"/>
  <c r="F696" i="2"/>
  <c r="E696" i="2"/>
  <c r="K441" i="2" l="1"/>
  <c r="M441" i="2" s="1"/>
  <c r="N441" i="2" s="1"/>
  <c r="P441" i="2" s="1"/>
  <c r="J442" i="2"/>
  <c r="G442" i="2" s="1"/>
  <c r="J443" i="2" s="1"/>
  <c r="E697" i="2"/>
  <c r="F697" i="2"/>
  <c r="H443" i="2" l="1"/>
  <c r="G443" i="2" s="1"/>
  <c r="J444" i="2" s="1"/>
  <c r="L442" i="2"/>
  <c r="K442" i="2"/>
  <c r="F698" i="2"/>
  <c r="E698" i="2"/>
  <c r="H444" i="2" l="1"/>
  <c r="G444" i="2" s="1"/>
  <c r="J445" i="2" s="1"/>
  <c r="M442" i="2"/>
  <c r="N442" i="2" s="1"/>
  <c r="P442" i="2" s="1"/>
  <c r="K443" i="2"/>
  <c r="L443" i="2"/>
  <c r="E699" i="2"/>
  <c r="F699" i="2"/>
  <c r="K444" i="2" l="1"/>
  <c r="H445" i="2"/>
  <c r="G445" i="2" s="1"/>
  <c r="H446" i="2" s="1"/>
  <c r="L444" i="2"/>
  <c r="M443" i="2"/>
  <c r="N443" i="2" s="1"/>
  <c r="P443" i="2" s="1"/>
  <c r="F700" i="2"/>
  <c r="E700" i="2"/>
  <c r="M444" i="2" l="1"/>
  <c r="N444" i="2" s="1"/>
  <c r="P444" i="2" s="1"/>
  <c r="L445" i="2"/>
  <c r="K445" i="2"/>
  <c r="K446" i="2" s="1"/>
  <c r="J446" i="2"/>
  <c r="G446" i="2" s="1"/>
  <c r="H447" i="2" s="1"/>
  <c r="E701" i="2"/>
  <c r="F701" i="2"/>
  <c r="L446" i="2" l="1"/>
  <c r="L447" i="2" s="1"/>
  <c r="M445" i="2"/>
  <c r="N445" i="2" s="1"/>
  <c r="P445" i="2" s="1"/>
  <c r="J447" i="2"/>
  <c r="G447" i="2" s="1"/>
  <c r="K447" i="2"/>
  <c r="E702" i="2"/>
  <c r="F702" i="2"/>
  <c r="M446" i="2" l="1"/>
  <c r="N446" i="2" s="1"/>
  <c r="P446" i="2" s="1"/>
  <c r="M447" i="2"/>
  <c r="N447" i="2" s="1"/>
  <c r="P447" i="2" s="1"/>
  <c r="L448" i="2"/>
  <c r="H448" i="2"/>
  <c r="K448" i="2" s="1"/>
  <c r="J448" i="2"/>
  <c r="F703" i="2"/>
  <c r="E703" i="2"/>
  <c r="M448" i="2" l="1"/>
  <c r="N448" i="2" s="1"/>
  <c r="P448" i="2" s="1"/>
  <c r="G448" i="2"/>
  <c r="H449" i="2" s="1"/>
  <c r="K449" i="2" s="1"/>
  <c r="L449" i="2"/>
  <c r="E704" i="2"/>
  <c r="F704" i="2"/>
  <c r="J449" i="2" l="1"/>
  <c r="G449" i="2" s="1"/>
  <c r="M449" i="2"/>
  <c r="N449" i="2" s="1"/>
  <c r="P449" i="2" s="1"/>
  <c r="L450" i="2"/>
  <c r="F705" i="2"/>
  <c r="E705" i="2"/>
  <c r="J450" i="2" l="1"/>
  <c r="H450" i="2"/>
  <c r="F706" i="2"/>
  <c r="E706" i="2"/>
  <c r="G450" i="2" l="1"/>
  <c r="K450" i="2"/>
  <c r="F707" i="2"/>
  <c r="E707" i="2"/>
  <c r="M450" i="2" l="1"/>
  <c r="N450" i="2" s="1"/>
  <c r="P450" i="2" s="1"/>
  <c r="L451" i="2"/>
  <c r="H451" i="2"/>
  <c r="K451" i="2" s="1"/>
  <c r="J451" i="2"/>
  <c r="F708" i="2"/>
  <c r="E708" i="2"/>
  <c r="M451" i="2" l="1"/>
  <c r="N451" i="2" s="1"/>
  <c r="P451" i="2" s="1"/>
  <c r="G451" i="2"/>
  <c r="L452" i="2"/>
  <c r="F709" i="2"/>
  <c r="E709" i="2"/>
  <c r="H452" i="2" l="1"/>
  <c r="K452" i="2" s="1"/>
  <c r="L453" i="2" s="1"/>
  <c r="J452" i="2"/>
  <c r="F710" i="2"/>
  <c r="E710" i="2"/>
  <c r="G452" i="2" l="1"/>
  <c r="J453" i="2" s="1"/>
  <c r="M452" i="2"/>
  <c r="N452" i="2" s="1"/>
  <c r="P452" i="2" s="1"/>
  <c r="F711" i="2"/>
  <c r="E711" i="2"/>
  <c r="H453" i="2" l="1"/>
  <c r="G453" i="2" s="1"/>
  <c r="J454" i="2" s="1"/>
  <c r="E712" i="2"/>
  <c r="F712" i="2"/>
  <c r="K453" i="2" l="1"/>
  <c r="M453" i="2" s="1"/>
  <c r="N453" i="2" s="1"/>
  <c r="P453" i="2" s="1"/>
  <c r="H454" i="2"/>
  <c r="G454" i="2" s="1"/>
  <c r="E713" i="2"/>
  <c r="F713" i="2"/>
  <c r="K454" i="2" l="1"/>
  <c r="L454" i="2"/>
  <c r="J455" i="2"/>
  <c r="H455" i="2"/>
  <c r="F714" i="2"/>
  <c r="E714" i="2"/>
  <c r="M454" i="2" l="1"/>
  <c r="N454" i="2" s="1"/>
  <c r="P454" i="2" s="1"/>
  <c r="L455" i="2"/>
  <c r="G455" i="2"/>
  <c r="J456" i="2" s="1"/>
  <c r="K455" i="2"/>
  <c r="E715" i="2"/>
  <c r="F715" i="2"/>
  <c r="H456" i="2" l="1"/>
  <c r="G456" i="2" s="1"/>
  <c r="H457" i="2" s="1"/>
  <c r="M455" i="2"/>
  <c r="N455" i="2" s="1"/>
  <c r="P455" i="2" s="1"/>
  <c r="L456" i="2"/>
  <c r="F716" i="2"/>
  <c r="E716" i="2"/>
  <c r="K456" i="2" l="1"/>
  <c r="L457" i="2" s="1"/>
  <c r="J457" i="2"/>
  <c r="G457" i="2" s="1"/>
  <c r="J458" i="2" s="1"/>
  <c r="E717" i="2"/>
  <c r="F717" i="2"/>
  <c r="M456" i="2" l="1"/>
  <c r="N456" i="2" s="1"/>
  <c r="P456" i="2" s="1"/>
  <c r="K457" i="2"/>
  <c r="M457" i="2" s="1"/>
  <c r="N457" i="2" s="1"/>
  <c r="P457" i="2" s="1"/>
  <c r="H458" i="2"/>
  <c r="G458" i="2" s="1"/>
  <c r="J459" i="2" s="1"/>
  <c r="E718" i="2"/>
  <c r="F718" i="2"/>
  <c r="L458" i="2" l="1"/>
  <c r="K458" i="2"/>
  <c r="H459" i="2"/>
  <c r="G459" i="2" s="1"/>
  <c r="J460" i="2" s="1"/>
  <c r="F719" i="2"/>
  <c r="E719" i="2"/>
  <c r="L459" i="2" l="1"/>
  <c r="H460" i="2"/>
  <c r="G460" i="2" s="1"/>
  <c r="M458" i="2"/>
  <c r="N458" i="2" s="1"/>
  <c r="P458" i="2" s="1"/>
  <c r="K459" i="2"/>
  <c r="E720" i="2"/>
  <c r="F720" i="2"/>
  <c r="M459" i="2" l="1"/>
  <c r="N459" i="2" s="1"/>
  <c r="P459" i="2" s="1"/>
  <c r="K460" i="2"/>
  <c r="L460" i="2"/>
  <c r="J461" i="2"/>
  <c r="H461" i="2"/>
  <c r="E721" i="2"/>
  <c r="F721" i="2"/>
  <c r="L461" i="2" l="1"/>
  <c r="M460" i="2"/>
  <c r="N460" i="2" s="1"/>
  <c r="P460" i="2" s="1"/>
  <c r="K461" i="2"/>
  <c r="G461" i="2"/>
  <c r="F722" i="2"/>
  <c r="E722" i="2"/>
  <c r="H462" i="2" l="1"/>
  <c r="K462" i="2" s="1"/>
  <c r="J462" i="2"/>
  <c r="M461" i="2"/>
  <c r="N461" i="2" s="1"/>
  <c r="P461" i="2" s="1"/>
  <c r="L462" i="2"/>
  <c r="E723" i="2"/>
  <c r="F723" i="2"/>
  <c r="G462" i="2" l="1"/>
  <c r="J463" i="2" s="1"/>
  <c r="L463" i="2"/>
  <c r="M462" i="2"/>
  <c r="N462" i="2" s="1"/>
  <c r="P462" i="2" s="1"/>
  <c r="F724" i="2"/>
  <c r="E724" i="2"/>
  <c r="H463" i="2" l="1"/>
  <c r="K463" i="2" s="1"/>
  <c r="M463" i="2" s="1"/>
  <c r="N463" i="2" s="1"/>
  <c r="P463" i="2" s="1"/>
  <c r="E725" i="2"/>
  <c r="F725" i="2"/>
  <c r="L464" i="2" l="1"/>
  <c r="G463" i="2"/>
  <c r="F726" i="2"/>
  <c r="E726" i="2"/>
  <c r="H464" i="2" l="1"/>
  <c r="K464" i="2" s="1"/>
  <c r="M464" i="2" s="1"/>
  <c r="N464" i="2" s="1"/>
  <c r="P464" i="2" s="1"/>
  <c r="J464" i="2"/>
  <c r="F727" i="2"/>
  <c r="E727" i="2"/>
  <c r="G464" i="2" l="1"/>
  <c r="J465" i="2" s="1"/>
  <c r="L465" i="2"/>
  <c r="E728" i="2"/>
  <c r="F728" i="2"/>
  <c r="H465" i="2" l="1"/>
  <c r="K465" i="2" s="1"/>
  <c r="L466" i="2" s="1"/>
  <c r="E729" i="2"/>
  <c r="F729" i="2"/>
  <c r="M465" i="2" l="1"/>
  <c r="N465" i="2" s="1"/>
  <c r="P465" i="2" s="1"/>
  <c r="G465" i="2"/>
  <c r="H466" i="2" s="1"/>
  <c r="K466" i="2" s="1"/>
  <c r="M466" i="2" s="1"/>
  <c r="N466" i="2" s="1"/>
  <c r="P466" i="2" s="1"/>
  <c r="F730" i="2"/>
  <c r="E730" i="2"/>
  <c r="J466" i="2" l="1"/>
  <c r="G466" i="2" s="1"/>
  <c r="J467" i="2" s="1"/>
  <c r="L467" i="2"/>
  <c r="E731" i="2"/>
  <c r="F731" i="2"/>
  <c r="H467" i="2" l="1"/>
  <c r="G467" i="2" s="1"/>
  <c r="H468" i="2" s="1"/>
  <c r="F732" i="2"/>
  <c r="E732" i="2"/>
  <c r="J468" i="2" l="1"/>
  <c r="G468" i="2" s="1"/>
  <c r="K467" i="2"/>
  <c r="M467" i="2" s="1"/>
  <c r="N467" i="2" s="1"/>
  <c r="P467" i="2" s="1"/>
  <c r="E733" i="2"/>
  <c r="F733" i="2"/>
  <c r="K468" i="2" l="1"/>
  <c r="L468" i="2"/>
  <c r="J469" i="2"/>
  <c r="H469" i="2"/>
  <c r="F734" i="2"/>
  <c r="E734" i="2"/>
  <c r="L469" i="2" l="1"/>
  <c r="M468" i="2"/>
  <c r="N468" i="2" s="1"/>
  <c r="P468" i="2" s="1"/>
  <c r="K469" i="2"/>
  <c r="G469" i="2"/>
  <c r="F735" i="2"/>
  <c r="E735" i="2"/>
  <c r="M469" i="2" l="1"/>
  <c r="N469" i="2" s="1"/>
  <c r="P469" i="2" s="1"/>
  <c r="L470" i="2"/>
  <c r="J470" i="2"/>
  <c r="H470" i="2"/>
  <c r="E736" i="2"/>
  <c r="F736" i="2"/>
  <c r="K470" i="2" l="1"/>
  <c r="M470" i="2" s="1"/>
  <c r="N470" i="2" s="1"/>
  <c r="P470" i="2" s="1"/>
  <c r="G470" i="2"/>
  <c r="E737" i="2"/>
  <c r="F737" i="2"/>
  <c r="L471" i="2" l="1"/>
  <c r="J471" i="2"/>
  <c r="H471" i="2"/>
  <c r="F738" i="2"/>
  <c r="E738" i="2"/>
  <c r="G471" i="2" l="1"/>
  <c r="J472" i="2" s="1"/>
  <c r="K471" i="2"/>
  <c r="F739" i="2"/>
  <c r="E739" i="2"/>
  <c r="H472" i="2" l="1"/>
  <c r="G472" i="2" s="1"/>
  <c r="H473" i="2" s="1"/>
  <c r="M471" i="2"/>
  <c r="N471" i="2" s="1"/>
  <c r="P471" i="2" s="1"/>
  <c r="L472" i="2"/>
  <c r="F740" i="2"/>
  <c r="E740" i="2"/>
  <c r="K472" i="2" l="1"/>
  <c r="M472" i="2" s="1"/>
  <c r="N472" i="2" s="1"/>
  <c r="P472" i="2" s="1"/>
  <c r="J473" i="2"/>
  <c r="G473" i="2" s="1"/>
  <c r="H474" i="2" s="1"/>
  <c r="E741" i="2"/>
  <c r="F741" i="2"/>
  <c r="L473" i="2" l="1"/>
  <c r="K473" i="2"/>
  <c r="J474" i="2"/>
  <c r="G474" i="2" s="1"/>
  <c r="H475" i="2" s="1"/>
  <c r="E742" i="2"/>
  <c r="F742" i="2"/>
  <c r="M473" i="2" l="1"/>
  <c r="N473" i="2" s="1"/>
  <c r="P473" i="2" s="1"/>
  <c r="K474" i="2"/>
  <c r="K475" i="2" s="1"/>
  <c r="L474" i="2"/>
  <c r="J475" i="2"/>
  <c r="G475" i="2" s="1"/>
  <c r="H476" i="2" s="1"/>
  <c r="F743" i="2"/>
  <c r="E743" i="2"/>
  <c r="M474" i="2" l="1"/>
  <c r="N474" i="2" s="1"/>
  <c r="P474" i="2" s="1"/>
  <c r="L475" i="2"/>
  <c r="M475" i="2" s="1"/>
  <c r="N475" i="2" s="1"/>
  <c r="P475" i="2" s="1"/>
  <c r="K476" i="2"/>
  <c r="J476" i="2"/>
  <c r="G476" i="2" s="1"/>
  <c r="H477" i="2" s="1"/>
  <c r="E744" i="2"/>
  <c r="F744" i="2"/>
  <c r="L476" i="2" l="1"/>
  <c r="L477" i="2" s="1"/>
  <c r="K477" i="2"/>
  <c r="J477" i="2"/>
  <c r="G477" i="2" s="1"/>
  <c r="F745" i="2"/>
  <c r="E745" i="2"/>
  <c r="M476" i="2" l="1"/>
  <c r="N476" i="2" s="1"/>
  <c r="P476" i="2" s="1"/>
  <c r="L478" i="2"/>
  <c r="M477" i="2"/>
  <c r="N477" i="2" s="1"/>
  <c r="P477" i="2" s="1"/>
  <c r="J478" i="2"/>
  <c r="H478" i="2"/>
  <c r="K478" i="2" s="1"/>
  <c r="F746" i="2"/>
  <c r="E746" i="2"/>
  <c r="L479" i="2" l="1"/>
  <c r="G478" i="2"/>
  <c r="M478" i="2"/>
  <c r="N478" i="2" s="1"/>
  <c r="P478" i="2" s="1"/>
  <c r="E747" i="2"/>
  <c r="F747" i="2"/>
  <c r="J479" i="2" l="1"/>
  <c r="H479" i="2"/>
  <c r="F748" i="2"/>
  <c r="E748" i="2"/>
  <c r="K479" i="2" l="1"/>
  <c r="G479" i="2"/>
  <c r="E749" i="2"/>
  <c r="F749" i="2"/>
  <c r="H480" i="2" l="1"/>
  <c r="K480" i="2" s="1"/>
  <c r="J480" i="2"/>
  <c r="M479" i="2"/>
  <c r="N479" i="2" s="1"/>
  <c r="P479" i="2" s="1"/>
  <c r="L480" i="2"/>
  <c r="F750" i="2"/>
  <c r="E750" i="2"/>
  <c r="G480" i="2" l="1"/>
  <c r="J481" i="2" s="1"/>
  <c r="L481" i="2"/>
  <c r="M480" i="2"/>
  <c r="N480" i="2" s="1"/>
  <c r="P480" i="2" s="1"/>
  <c r="E751" i="2"/>
  <c r="F751" i="2"/>
  <c r="H481" i="2" l="1"/>
  <c r="K481" i="2" s="1"/>
  <c r="M481" i="2" s="1"/>
  <c r="N481" i="2" s="1"/>
  <c r="P481" i="2" s="1"/>
  <c r="E752" i="2"/>
  <c r="F752" i="2"/>
  <c r="G481" i="2" l="1"/>
  <c r="J482" i="2" s="1"/>
  <c r="L482" i="2"/>
  <c r="E753" i="2"/>
  <c r="F753" i="2"/>
  <c r="H482" i="2" l="1"/>
  <c r="K482" i="2" s="1"/>
  <c r="M482" i="2" s="1"/>
  <c r="N482" i="2" s="1"/>
  <c r="P482" i="2" s="1"/>
  <c r="F754" i="2"/>
  <c r="E754" i="2"/>
  <c r="G482" i="2" l="1"/>
  <c r="J483" i="2" s="1"/>
  <c r="L483" i="2"/>
  <c r="E755" i="2"/>
  <c r="F755" i="2"/>
  <c r="H483" i="2" l="1"/>
  <c r="K483" i="2" s="1"/>
  <c r="L484" i="2" s="1"/>
  <c r="F756" i="2"/>
  <c r="E756" i="2"/>
  <c r="G483" i="2" l="1"/>
  <c r="J484" i="2" s="1"/>
  <c r="M483" i="2"/>
  <c r="N483" i="2" s="1"/>
  <c r="P483" i="2" s="1"/>
  <c r="E757" i="2"/>
  <c r="F757" i="2"/>
  <c r="H484" i="2" l="1"/>
  <c r="K484" i="2" s="1"/>
  <c r="M484" i="2" s="1"/>
  <c r="N484" i="2" s="1"/>
  <c r="P484" i="2" s="1"/>
  <c r="F758" i="2"/>
  <c r="E758" i="2"/>
  <c r="G484" i="2" l="1"/>
  <c r="J485" i="2" s="1"/>
  <c r="L485" i="2"/>
  <c r="F759" i="2"/>
  <c r="E759" i="2"/>
  <c r="H485" i="2" l="1"/>
  <c r="K485" i="2" s="1"/>
  <c r="M485" i="2" s="1"/>
  <c r="N485" i="2" s="1"/>
  <c r="P485" i="2" s="1"/>
  <c r="E760" i="2"/>
  <c r="F760" i="2"/>
  <c r="G485" i="2" l="1"/>
  <c r="H486" i="2" s="1"/>
  <c r="K486" i="2" s="1"/>
  <c r="L486" i="2"/>
  <c r="E761" i="2"/>
  <c r="F761" i="2"/>
  <c r="J486" i="2" l="1"/>
  <c r="G486" i="2" s="1"/>
  <c r="J487" i="2" s="1"/>
  <c r="M486" i="2"/>
  <c r="N486" i="2" s="1"/>
  <c r="P486" i="2" s="1"/>
  <c r="L487" i="2"/>
  <c r="E762" i="2"/>
  <c r="F762" i="2"/>
  <c r="H487" i="2" l="1"/>
  <c r="K487" i="2" s="1"/>
  <c r="L488" i="2" s="1"/>
  <c r="E763" i="2"/>
  <c r="F763" i="2"/>
  <c r="G487" i="2" l="1"/>
  <c r="J488" i="2" s="1"/>
  <c r="M487" i="2"/>
  <c r="N487" i="2" s="1"/>
  <c r="P487" i="2" s="1"/>
  <c r="F764" i="2"/>
  <c r="E764" i="2"/>
  <c r="H488" i="2" l="1"/>
  <c r="K488" i="2" s="1"/>
  <c r="M488" i="2" s="1"/>
  <c r="N488" i="2" s="1"/>
  <c r="P488" i="2" s="1"/>
  <c r="E765" i="2"/>
  <c r="F765" i="2"/>
  <c r="L489" i="2" l="1"/>
  <c r="G488" i="2"/>
  <c r="H489" i="2" s="1"/>
  <c r="K489" i="2" s="1"/>
  <c r="F766" i="2"/>
  <c r="E766" i="2"/>
  <c r="L490" i="2" l="1"/>
  <c r="J489" i="2"/>
  <c r="G489" i="2" s="1"/>
  <c r="H490" i="2" s="1"/>
  <c r="K490" i="2" s="1"/>
  <c r="M489" i="2"/>
  <c r="N489" i="2" s="1"/>
  <c r="P489" i="2" s="1"/>
  <c r="F767" i="2"/>
  <c r="E767" i="2"/>
  <c r="L491" i="2" l="1"/>
  <c r="J490" i="2"/>
  <c r="G490" i="2" s="1"/>
  <c r="J491" i="2" s="1"/>
  <c r="M490" i="2"/>
  <c r="N490" i="2" s="1"/>
  <c r="P490" i="2" s="1"/>
  <c r="E768" i="2"/>
  <c r="F768" i="2"/>
  <c r="H491" i="2" l="1"/>
  <c r="G491" i="2" s="1"/>
  <c r="H492" i="2" s="1"/>
  <c r="E769" i="2"/>
  <c r="F769" i="2"/>
  <c r="J492" i="2" l="1"/>
  <c r="G492" i="2" s="1"/>
  <c r="H493" i="2" s="1"/>
  <c r="K491" i="2"/>
  <c r="M491" i="2" s="1"/>
  <c r="N491" i="2" s="1"/>
  <c r="P491" i="2" s="1"/>
  <c r="F770" i="2"/>
  <c r="E770" i="2"/>
  <c r="L492" i="2" l="1"/>
  <c r="K492" i="2"/>
  <c r="K493" i="2" s="1"/>
  <c r="J493" i="2"/>
  <c r="G493" i="2" s="1"/>
  <c r="E771" i="2"/>
  <c r="F771" i="2"/>
  <c r="M492" i="2" l="1"/>
  <c r="N492" i="2" s="1"/>
  <c r="P492" i="2" s="1"/>
  <c r="L493" i="2"/>
  <c r="M493" i="2" s="1"/>
  <c r="N493" i="2" s="1"/>
  <c r="P493" i="2" s="1"/>
  <c r="J494" i="2"/>
  <c r="H494" i="2"/>
  <c r="K494" i="2" s="1"/>
  <c r="F772" i="2"/>
  <c r="E772" i="2"/>
  <c r="L494" i="2" l="1"/>
  <c r="L495" i="2" s="1"/>
  <c r="G494" i="2"/>
  <c r="H495" i="2" s="1"/>
  <c r="K495" i="2" s="1"/>
  <c r="E773" i="2"/>
  <c r="F773" i="2"/>
  <c r="M494" i="2" l="1"/>
  <c r="N494" i="2" s="1"/>
  <c r="P494" i="2" s="1"/>
  <c r="J495" i="2"/>
  <c r="G495" i="2" s="1"/>
  <c r="J496" i="2" s="1"/>
  <c r="M495" i="2"/>
  <c r="N495" i="2" s="1"/>
  <c r="P495" i="2" s="1"/>
  <c r="L496" i="2"/>
  <c r="F774" i="2"/>
  <c r="E774" i="2"/>
  <c r="H496" i="2" l="1"/>
  <c r="K496" i="2" s="1"/>
  <c r="M496" i="2" s="1"/>
  <c r="N496" i="2" s="1"/>
  <c r="P496" i="2" s="1"/>
  <c r="F775" i="2"/>
  <c r="E775" i="2"/>
  <c r="L497" i="2" l="1"/>
  <c r="G496" i="2"/>
  <c r="J497" i="2" s="1"/>
  <c r="E776" i="2"/>
  <c r="F776" i="2"/>
  <c r="H497" i="2" l="1"/>
  <c r="G497" i="2" s="1"/>
  <c r="J498" i="2" s="1"/>
  <c r="E777" i="2"/>
  <c r="F777" i="2"/>
  <c r="K497" i="2" l="1"/>
  <c r="L498" i="2" s="1"/>
  <c r="H498" i="2"/>
  <c r="G498" i="2" s="1"/>
  <c r="J499" i="2" s="1"/>
  <c r="F778" i="2"/>
  <c r="E778" i="2"/>
  <c r="K498" i="2" l="1"/>
  <c r="M498" i="2" s="1"/>
  <c r="N498" i="2" s="1"/>
  <c r="P498" i="2" s="1"/>
  <c r="M497" i="2"/>
  <c r="N497" i="2" s="1"/>
  <c r="P497" i="2" s="1"/>
  <c r="H499" i="2"/>
  <c r="G499" i="2" s="1"/>
  <c r="E779" i="2"/>
  <c r="F779" i="2"/>
  <c r="L499" i="2" l="1"/>
  <c r="K499" i="2"/>
  <c r="H500" i="2"/>
  <c r="J500" i="2"/>
  <c r="F780" i="2"/>
  <c r="E780" i="2"/>
  <c r="L500" i="2" l="1"/>
  <c r="G500" i="2"/>
  <c r="H501" i="2" s="1"/>
  <c r="M499" i="2"/>
  <c r="N499" i="2" s="1"/>
  <c r="P499" i="2" s="1"/>
  <c r="K500" i="2"/>
  <c r="E781" i="2"/>
  <c r="F781" i="2"/>
  <c r="M500" i="2" l="1"/>
  <c r="N500" i="2" s="1"/>
  <c r="P500" i="2" s="1"/>
  <c r="J501" i="2"/>
  <c r="G501" i="2" s="1"/>
  <c r="H502" i="2" s="1"/>
  <c r="L501" i="2"/>
  <c r="K501" i="2"/>
  <c r="F782" i="2"/>
  <c r="E782" i="2"/>
  <c r="J502" i="2" l="1"/>
  <c r="G502" i="2" s="1"/>
  <c r="H503" i="2" s="1"/>
  <c r="M501" i="2"/>
  <c r="N501" i="2" s="1"/>
  <c r="P501" i="2" s="1"/>
  <c r="L502" i="2"/>
  <c r="K502" i="2"/>
  <c r="F783" i="2"/>
  <c r="E783" i="2"/>
  <c r="K503" i="2" l="1"/>
  <c r="J503" i="2"/>
  <c r="G503" i="2" s="1"/>
  <c r="H504" i="2" s="1"/>
  <c r="L503" i="2"/>
  <c r="M502" i="2"/>
  <c r="N502" i="2" s="1"/>
  <c r="P502" i="2" s="1"/>
  <c r="E784" i="2"/>
  <c r="F784" i="2"/>
  <c r="J504" i="2" l="1"/>
  <c r="G504" i="2" s="1"/>
  <c r="L504" i="2"/>
  <c r="M503" i="2"/>
  <c r="N503" i="2" s="1"/>
  <c r="P503" i="2" s="1"/>
  <c r="K504" i="2"/>
  <c r="E785" i="2"/>
  <c r="F785" i="2"/>
  <c r="L505" i="2" l="1"/>
  <c r="H505" i="2"/>
  <c r="K505" i="2" s="1"/>
  <c r="J505" i="2"/>
  <c r="M504" i="2"/>
  <c r="N504" i="2" s="1"/>
  <c r="P504" i="2" s="1"/>
  <c r="F786" i="2"/>
  <c r="E786" i="2"/>
  <c r="L506" i="2" l="1"/>
  <c r="G505" i="2"/>
  <c r="M505" i="2"/>
  <c r="N505" i="2" s="1"/>
  <c r="P505" i="2" s="1"/>
  <c r="E787" i="2"/>
  <c r="F787" i="2"/>
  <c r="J506" i="2" l="1"/>
  <c r="H506" i="2"/>
  <c r="F788" i="2"/>
  <c r="E788" i="2"/>
  <c r="G506" i="2" l="1"/>
  <c r="K506" i="2"/>
  <c r="E789" i="2"/>
  <c r="F789" i="2"/>
  <c r="M506" i="2" l="1"/>
  <c r="N506" i="2" s="1"/>
  <c r="P506" i="2" s="1"/>
  <c r="L507" i="2"/>
  <c r="J507" i="2"/>
  <c r="H507" i="2"/>
  <c r="F790" i="2"/>
  <c r="E790" i="2"/>
  <c r="K507" i="2" l="1"/>
  <c r="G507" i="2"/>
  <c r="F791" i="2"/>
  <c r="E791" i="2"/>
  <c r="J508" i="2" l="1"/>
  <c r="H508" i="2"/>
  <c r="L508" i="2"/>
  <c r="M507" i="2"/>
  <c r="N507" i="2" s="1"/>
  <c r="P507" i="2" s="1"/>
  <c r="E792" i="2"/>
  <c r="F792" i="2"/>
  <c r="K508" i="2" l="1"/>
  <c r="G508" i="2"/>
  <c r="E793" i="2"/>
  <c r="F793" i="2"/>
  <c r="J509" i="2" l="1"/>
  <c r="H509" i="2"/>
  <c r="K509" i="2" s="1"/>
  <c r="L509" i="2"/>
  <c r="M508" i="2"/>
  <c r="N508" i="2" s="1"/>
  <c r="P508" i="2" s="1"/>
  <c r="F794" i="2"/>
  <c r="E794" i="2"/>
  <c r="G509" i="2" l="1"/>
  <c r="J510" i="2" s="1"/>
  <c r="M509" i="2"/>
  <c r="N509" i="2" s="1"/>
  <c r="P509" i="2" s="1"/>
  <c r="L510" i="2"/>
  <c r="E795" i="2"/>
  <c r="F795" i="2"/>
  <c r="H510" i="2" l="1"/>
  <c r="G510" i="2" s="1"/>
  <c r="H511" i="2" s="1"/>
  <c r="F796" i="2"/>
  <c r="E796" i="2"/>
  <c r="K510" i="2" l="1"/>
  <c r="M510" i="2" s="1"/>
  <c r="N510" i="2" s="1"/>
  <c r="P510" i="2" s="1"/>
  <c r="J511" i="2"/>
  <c r="G511" i="2" s="1"/>
  <c r="E797" i="2"/>
  <c r="F797" i="2"/>
  <c r="K511" i="2" l="1"/>
  <c r="L511" i="2"/>
  <c r="H512" i="2"/>
  <c r="J512" i="2"/>
  <c r="F798" i="2"/>
  <c r="E798" i="2"/>
  <c r="M511" i="2" l="1"/>
  <c r="N511" i="2" s="1"/>
  <c r="P511" i="2" s="1"/>
  <c r="L512" i="2"/>
  <c r="K512" i="2"/>
  <c r="G512" i="2"/>
  <c r="F799" i="2"/>
  <c r="E799" i="2"/>
  <c r="M512" i="2" l="1"/>
  <c r="N512" i="2" s="1"/>
  <c r="P512" i="2" s="1"/>
  <c r="J513" i="2"/>
  <c r="H513" i="2"/>
  <c r="L513" i="2"/>
  <c r="E800" i="2"/>
  <c r="F800" i="2"/>
  <c r="K513" i="2" l="1"/>
  <c r="M513" i="2" s="1"/>
  <c r="N513" i="2" s="1"/>
  <c r="P513" i="2" s="1"/>
  <c r="G513" i="2"/>
  <c r="E801" i="2"/>
  <c r="F801" i="2"/>
  <c r="H514" i="2" l="1"/>
  <c r="K514" i="2" s="1"/>
  <c r="J514" i="2"/>
  <c r="L514" i="2"/>
  <c r="F802" i="2"/>
  <c r="E802" i="2"/>
  <c r="G514" i="2" l="1"/>
  <c r="J515" i="2" s="1"/>
  <c r="L515" i="2"/>
  <c r="M514" i="2"/>
  <c r="N514" i="2" s="1"/>
  <c r="P514" i="2" s="1"/>
  <c r="E803" i="2"/>
  <c r="F803" i="2"/>
  <c r="H515" i="2" l="1"/>
  <c r="K515" i="2" s="1"/>
  <c r="M515" i="2" s="1"/>
  <c r="N515" i="2" s="1"/>
  <c r="P515" i="2" s="1"/>
  <c r="F804" i="2"/>
  <c r="E804" i="2"/>
  <c r="G515" i="2" l="1"/>
  <c r="J516" i="2" s="1"/>
  <c r="L516" i="2"/>
  <c r="E805" i="2"/>
  <c r="F805" i="2"/>
  <c r="H516" i="2" l="1"/>
  <c r="K516" i="2" s="1"/>
  <c r="F806" i="2"/>
  <c r="E806" i="2"/>
  <c r="G516" i="2" l="1"/>
  <c r="H517" i="2" s="1"/>
  <c r="K517" i="2" s="1"/>
  <c r="M516" i="2"/>
  <c r="N516" i="2" s="1"/>
  <c r="P516" i="2" s="1"/>
  <c r="L517" i="2"/>
  <c r="F807" i="2"/>
  <c r="E807" i="2"/>
  <c r="J517" i="2" l="1"/>
  <c r="G517" i="2" s="1"/>
  <c r="H518" i="2" s="1"/>
  <c r="L518" i="2"/>
  <c r="M517" i="2"/>
  <c r="N517" i="2" s="1"/>
  <c r="P517" i="2" s="1"/>
  <c r="E808" i="2"/>
  <c r="F808" i="2"/>
  <c r="J518" i="2" l="1"/>
  <c r="G518" i="2" s="1"/>
  <c r="K518" i="2"/>
  <c r="E809" i="2"/>
  <c r="F809" i="2"/>
  <c r="J519" i="2" l="1"/>
  <c r="H519" i="2"/>
  <c r="M518" i="2"/>
  <c r="N518" i="2" s="1"/>
  <c r="P518" i="2" s="1"/>
  <c r="L519" i="2"/>
  <c r="F810" i="2"/>
  <c r="E810" i="2"/>
  <c r="K519" i="2" l="1"/>
  <c r="M519" i="2" s="1"/>
  <c r="N519" i="2" s="1"/>
  <c r="P519" i="2" s="1"/>
  <c r="G519" i="2"/>
  <c r="E811" i="2"/>
  <c r="F811" i="2"/>
  <c r="H520" i="2" l="1"/>
  <c r="K520" i="2" s="1"/>
  <c r="J520" i="2"/>
  <c r="L520" i="2"/>
  <c r="F812" i="2"/>
  <c r="E812" i="2"/>
  <c r="G520" i="2" l="1"/>
  <c r="J521" i="2" s="1"/>
  <c r="L521" i="2"/>
  <c r="M520" i="2"/>
  <c r="N520" i="2" s="1"/>
  <c r="P520" i="2" s="1"/>
  <c r="E813" i="2"/>
  <c r="F813" i="2"/>
  <c r="H521" i="2" l="1"/>
  <c r="K521" i="2" s="1"/>
  <c r="M521" i="2" s="1"/>
  <c r="N521" i="2" s="1"/>
  <c r="P521" i="2" s="1"/>
  <c r="F814" i="2"/>
  <c r="E814" i="2"/>
  <c r="G521" i="2" l="1"/>
  <c r="J522" i="2" s="1"/>
  <c r="L522" i="2"/>
  <c r="F815" i="2"/>
  <c r="E815" i="2"/>
  <c r="H522" i="2" l="1"/>
  <c r="K522" i="2" s="1"/>
  <c r="E816" i="2"/>
  <c r="F816" i="2"/>
  <c r="G522" i="2" l="1"/>
  <c r="J523" i="2" s="1"/>
  <c r="M522" i="2"/>
  <c r="N522" i="2" s="1"/>
  <c r="P522" i="2" s="1"/>
  <c r="L523" i="2"/>
  <c r="E817" i="2"/>
  <c r="F817" i="2"/>
  <c r="H523" i="2" l="1"/>
  <c r="K523" i="2" s="1"/>
  <c r="F818" i="2"/>
  <c r="E818" i="2"/>
  <c r="G523" i="2" l="1"/>
  <c r="J524" i="2" s="1"/>
  <c r="L524" i="2"/>
  <c r="M523" i="2"/>
  <c r="N523" i="2" s="1"/>
  <c r="P523" i="2" s="1"/>
  <c r="E819" i="2"/>
  <c r="F819" i="2"/>
  <c r="H524" i="2" l="1"/>
  <c r="K524" i="2" s="1"/>
  <c r="F820" i="2"/>
  <c r="E820" i="2"/>
  <c r="G524" i="2" l="1"/>
  <c r="J525" i="2" s="1"/>
  <c r="L525" i="2"/>
  <c r="M524" i="2"/>
  <c r="N524" i="2" s="1"/>
  <c r="P524" i="2" s="1"/>
  <c r="E821" i="2"/>
  <c r="F821" i="2"/>
  <c r="H525" i="2" l="1"/>
  <c r="G525" i="2" s="1"/>
  <c r="F822" i="2"/>
  <c r="E822" i="2"/>
  <c r="K525" i="2" l="1"/>
  <c r="M525" i="2" s="1"/>
  <c r="N525" i="2" s="1"/>
  <c r="P525" i="2" s="1"/>
  <c r="H526" i="2"/>
  <c r="J526" i="2"/>
  <c r="F823" i="2"/>
  <c r="E823" i="2"/>
  <c r="K526" i="2" l="1"/>
  <c r="L526" i="2"/>
  <c r="G526" i="2"/>
  <c r="J527" i="2" s="1"/>
  <c r="E824" i="2"/>
  <c r="F824" i="2"/>
  <c r="L527" i="2" l="1"/>
  <c r="M526" i="2"/>
  <c r="N526" i="2" s="1"/>
  <c r="P526" i="2" s="1"/>
  <c r="H527" i="2"/>
  <c r="K527" i="2" s="1"/>
  <c r="E825" i="2"/>
  <c r="F825" i="2"/>
  <c r="M527" i="2" l="1"/>
  <c r="N527" i="2" s="1"/>
  <c r="P527" i="2" s="1"/>
  <c r="G527" i="2"/>
  <c r="J528" i="2" s="1"/>
  <c r="L528" i="2"/>
  <c r="F826" i="2"/>
  <c r="E826" i="2"/>
  <c r="H528" i="2" l="1"/>
  <c r="G528" i="2" s="1"/>
  <c r="E827" i="2"/>
  <c r="F827" i="2"/>
  <c r="K528" i="2" l="1"/>
  <c r="M528" i="2" s="1"/>
  <c r="N528" i="2" s="1"/>
  <c r="P528" i="2" s="1"/>
  <c r="J529" i="2"/>
  <c r="H529" i="2"/>
  <c r="F828" i="2"/>
  <c r="E828" i="2"/>
  <c r="L529" i="2" l="1"/>
  <c r="K529" i="2"/>
  <c r="G529" i="2"/>
  <c r="E829" i="2"/>
  <c r="F829" i="2"/>
  <c r="M529" i="2" l="1"/>
  <c r="N529" i="2" s="1"/>
  <c r="P529" i="2" s="1"/>
  <c r="H530" i="2"/>
  <c r="K530" i="2" s="1"/>
  <c r="J530" i="2"/>
  <c r="L530" i="2"/>
  <c r="F830" i="2"/>
  <c r="E830" i="2"/>
  <c r="G530" i="2" l="1"/>
  <c r="J531" i="2" s="1"/>
  <c r="L531" i="2"/>
  <c r="M530" i="2"/>
  <c r="N530" i="2" s="1"/>
  <c r="P530" i="2" s="1"/>
  <c r="F831" i="2"/>
  <c r="E831" i="2"/>
  <c r="H531" i="2" l="1"/>
  <c r="K531" i="2" s="1"/>
  <c r="M531" i="2" s="1"/>
  <c r="N531" i="2" s="1"/>
  <c r="P531" i="2" s="1"/>
  <c r="F832" i="2"/>
  <c r="E832" i="2"/>
  <c r="L532" i="2" l="1"/>
  <c r="G531" i="2"/>
  <c r="J532" i="2" s="1"/>
  <c r="E833" i="2"/>
  <c r="F833" i="2"/>
  <c r="H532" i="2" l="1"/>
  <c r="G532" i="2" s="1"/>
  <c r="H533" i="2" s="1"/>
  <c r="F834" i="2"/>
  <c r="E834" i="2"/>
  <c r="K532" i="2" l="1"/>
  <c r="M532" i="2" s="1"/>
  <c r="N532" i="2" s="1"/>
  <c r="P532" i="2" s="1"/>
  <c r="J533" i="2"/>
  <c r="G533" i="2" s="1"/>
  <c r="H534" i="2" s="1"/>
  <c r="E835" i="2"/>
  <c r="F835" i="2"/>
  <c r="K533" i="2" l="1"/>
  <c r="K534" i="2" s="1"/>
  <c r="L533" i="2"/>
  <c r="J534" i="2"/>
  <c r="G534" i="2" s="1"/>
  <c r="J535" i="2" s="1"/>
  <c r="F836" i="2"/>
  <c r="E836" i="2"/>
  <c r="L534" i="2" l="1"/>
  <c r="M534" i="2" s="1"/>
  <c r="N534" i="2" s="1"/>
  <c r="P534" i="2" s="1"/>
  <c r="M533" i="2"/>
  <c r="N533" i="2" s="1"/>
  <c r="P533" i="2" s="1"/>
  <c r="H535" i="2"/>
  <c r="G535" i="2" s="1"/>
  <c r="J536" i="2" s="1"/>
  <c r="E837" i="2"/>
  <c r="F837" i="2"/>
  <c r="L535" i="2" l="1"/>
  <c r="K535" i="2"/>
  <c r="H536" i="2"/>
  <c r="G536" i="2" s="1"/>
  <c r="H537" i="2" s="1"/>
  <c r="F838" i="2"/>
  <c r="E838" i="2"/>
  <c r="M535" i="2" l="1"/>
  <c r="N535" i="2" s="1"/>
  <c r="P535" i="2" s="1"/>
  <c r="L536" i="2"/>
  <c r="K536" i="2"/>
  <c r="J537" i="2"/>
  <c r="G537" i="2" s="1"/>
  <c r="J538" i="2" s="1"/>
  <c r="F839" i="2"/>
  <c r="E839" i="2"/>
  <c r="M536" i="2" l="1"/>
  <c r="N536" i="2" s="1"/>
  <c r="P536" i="2" s="1"/>
  <c r="H538" i="2"/>
  <c r="G538" i="2" s="1"/>
  <c r="L537" i="2"/>
  <c r="K537" i="2"/>
  <c r="E840" i="2"/>
  <c r="F840" i="2"/>
  <c r="K538" i="2" l="1"/>
  <c r="L538" i="2"/>
  <c r="M537" i="2"/>
  <c r="N537" i="2" s="1"/>
  <c r="P537" i="2" s="1"/>
  <c r="J539" i="2"/>
  <c r="H539" i="2"/>
  <c r="E841" i="2"/>
  <c r="F841" i="2"/>
  <c r="K539" i="2" l="1"/>
  <c r="M538" i="2"/>
  <c r="N538" i="2" s="1"/>
  <c r="P538" i="2" s="1"/>
  <c r="L539" i="2"/>
  <c r="G539" i="2"/>
  <c r="F842" i="2"/>
  <c r="E842" i="2"/>
  <c r="M539" i="2" l="1"/>
  <c r="N539" i="2" s="1"/>
  <c r="P539" i="2" s="1"/>
  <c r="L540" i="2"/>
  <c r="J540" i="2"/>
  <c r="H540" i="2"/>
  <c r="K540" i="2" s="1"/>
  <c r="F843" i="2"/>
  <c r="E843" i="2"/>
  <c r="G540" i="2" l="1"/>
  <c r="J541" i="2" s="1"/>
  <c r="M540" i="2"/>
  <c r="N540" i="2" s="1"/>
  <c r="P540" i="2" s="1"/>
  <c r="L541" i="2"/>
  <c r="F844" i="2"/>
  <c r="E844" i="2"/>
  <c r="H541" i="2" l="1"/>
  <c r="K541" i="2" s="1"/>
  <c r="M541" i="2" s="1"/>
  <c r="N541" i="2" s="1"/>
  <c r="P541" i="2" s="1"/>
  <c r="E845" i="2"/>
  <c r="F845" i="2"/>
  <c r="L542" i="2" l="1"/>
  <c r="G541" i="2"/>
  <c r="F846" i="2"/>
  <c r="E846" i="2"/>
  <c r="H542" i="2" l="1"/>
  <c r="J542" i="2"/>
  <c r="F847" i="2"/>
  <c r="E847" i="2"/>
  <c r="K542" i="2" l="1"/>
  <c r="G542" i="2"/>
  <c r="E848" i="2"/>
  <c r="F848" i="2"/>
  <c r="H543" i="2" l="1"/>
  <c r="K543" i="2" s="1"/>
  <c r="J543" i="2"/>
  <c r="M542" i="2"/>
  <c r="N542" i="2" s="1"/>
  <c r="P542" i="2" s="1"/>
  <c r="L543" i="2"/>
  <c r="E849" i="2"/>
  <c r="F849" i="2"/>
  <c r="G543" i="2" l="1"/>
  <c r="J544" i="2" s="1"/>
  <c r="L544" i="2"/>
  <c r="M543" i="2"/>
  <c r="N543" i="2" s="1"/>
  <c r="P543" i="2" s="1"/>
  <c r="F850" i="2"/>
  <c r="E850" i="2"/>
  <c r="H544" i="2" l="1"/>
  <c r="K544" i="2" s="1"/>
  <c r="E851" i="2"/>
  <c r="F851" i="2"/>
  <c r="G544" i="2" l="1"/>
  <c r="J545" i="2" s="1"/>
  <c r="L545" i="2"/>
  <c r="M544" i="2"/>
  <c r="N544" i="2" s="1"/>
  <c r="P544" i="2" s="1"/>
  <c r="F852" i="2"/>
  <c r="E852" i="2"/>
  <c r="H545" i="2" l="1"/>
  <c r="G545" i="2" s="1"/>
  <c r="J546" i="2" s="1"/>
  <c r="E853" i="2"/>
  <c r="F853" i="2"/>
  <c r="K545" i="2" l="1"/>
  <c r="L546" i="2" s="1"/>
  <c r="H546" i="2"/>
  <c r="G546" i="2" s="1"/>
  <c r="F854" i="2"/>
  <c r="E854" i="2"/>
  <c r="M545" i="2" l="1"/>
  <c r="N545" i="2" s="1"/>
  <c r="P545" i="2" s="1"/>
  <c r="K546" i="2"/>
  <c r="L547" i="2" s="1"/>
  <c r="J547" i="2"/>
  <c r="H547" i="2"/>
  <c r="F855" i="2"/>
  <c r="E855" i="2"/>
  <c r="K547" i="2" l="1"/>
  <c r="M547" i="2" s="1"/>
  <c r="N547" i="2" s="1"/>
  <c r="P547" i="2" s="1"/>
  <c r="M546" i="2"/>
  <c r="N546" i="2" s="1"/>
  <c r="P546" i="2" s="1"/>
  <c r="G547" i="2"/>
  <c r="H548" i="2" s="1"/>
  <c r="E856" i="2"/>
  <c r="F856" i="2"/>
  <c r="L548" i="2" l="1"/>
  <c r="K548" i="2"/>
  <c r="J548" i="2"/>
  <c r="G548" i="2" s="1"/>
  <c r="E857" i="2"/>
  <c r="F857" i="2"/>
  <c r="L549" i="2" l="1"/>
  <c r="M548" i="2"/>
  <c r="N548" i="2" s="1"/>
  <c r="P548" i="2" s="1"/>
  <c r="J549" i="2"/>
  <c r="H549" i="2"/>
  <c r="K549" i="2" s="1"/>
  <c r="F858" i="2"/>
  <c r="E858" i="2"/>
  <c r="G549" i="2" l="1"/>
  <c r="H550" i="2" s="1"/>
  <c r="K550" i="2" s="1"/>
  <c r="M549" i="2"/>
  <c r="N549" i="2" s="1"/>
  <c r="P549" i="2" s="1"/>
  <c r="L550" i="2"/>
  <c r="E859" i="2"/>
  <c r="F859" i="2"/>
  <c r="J550" i="2" l="1"/>
  <c r="G550" i="2" s="1"/>
  <c r="M550" i="2"/>
  <c r="N550" i="2" s="1"/>
  <c r="P550" i="2" s="1"/>
  <c r="L551" i="2"/>
  <c r="F860" i="2"/>
  <c r="E860" i="2"/>
  <c r="J551" i="2" l="1"/>
  <c r="H551" i="2"/>
  <c r="K551" i="2" s="1"/>
  <c r="M551" i="2" s="1"/>
  <c r="N551" i="2" s="1"/>
  <c r="P551" i="2" s="1"/>
  <c r="E861" i="2"/>
  <c r="F861" i="2"/>
  <c r="G551" i="2" l="1"/>
  <c r="J552" i="2" s="1"/>
  <c r="L552" i="2"/>
  <c r="F862" i="2"/>
  <c r="E862" i="2"/>
  <c r="H552" i="2" l="1"/>
  <c r="K552" i="2" s="1"/>
  <c r="L553" i="2" s="1"/>
  <c r="F863" i="2"/>
  <c r="E863" i="2"/>
  <c r="G552" i="2" l="1"/>
  <c r="H553" i="2" s="1"/>
  <c r="K553" i="2" s="1"/>
  <c r="M552" i="2"/>
  <c r="N552" i="2" s="1"/>
  <c r="P552" i="2" s="1"/>
  <c r="F864" i="2"/>
  <c r="E864" i="2"/>
  <c r="J553" i="2" l="1"/>
  <c r="G553" i="2" s="1"/>
  <c r="J554" i="2" s="1"/>
  <c r="M553" i="2"/>
  <c r="N553" i="2" s="1"/>
  <c r="P553" i="2" s="1"/>
  <c r="L554" i="2"/>
  <c r="E865" i="2"/>
  <c r="F865" i="2"/>
  <c r="H554" i="2" l="1"/>
  <c r="K554" i="2" s="1"/>
  <c r="L555" i="2" s="1"/>
  <c r="F866" i="2"/>
  <c r="E866" i="2"/>
  <c r="G554" i="2" l="1"/>
  <c r="J555" i="2" s="1"/>
  <c r="M554" i="2"/>
  <c r="N554" i="2" s="1"/>
  <c r="P554" i="2" s="1"/>
  <c r="E867" i="2"/>
  <c r="F867" i="2"/>
  <c r="H555" i="2" l="1"/>
  <c r="K555" i="2" s="1"/>
  <c r="M555" i="2" s="1"/>
  <c r="N555" i="2" s="1"/>
  <c r="P555" i="2" s="1"/>
  <c r="F868" i="2"/>
  <c r="E868" i="2"/>
  <c r="G555" i="2" l="1"/>
  <c r="J556" i="2" s="1"/>
  <c r="L556" i="2"/>
  <c r="E869" i="2"/>
  <c r="F869" i="2"/>
  <c r="H556" i="2" l="1"/>
  <c r="K556" i="2" s="1"/>
  <c r="M556" i="2" s="1"/>
  <c r="N556" i="2" s="1"/>
  <c r="P556" i="2" s="1"/>
  <c r="F870" i="2"/>
  <c r="E870" i="2"/>
  <c r="G556" i="2" l="1"/>
  <c r="H557" i="2" s="1"/>
  <c r="K557" i="2" s="1"/>
  <c r="L557" i="2"/>
  <c r="F871" i="2"/>
  <c r="E871" i="2"/>
  <c r="J557" i="2" l="1"/>
  <c r="G557" i="2" s="1"/>
  <c r="J558" i="2" s="1"/>
  <c r="L558" i="2"/>
  <c r="M557" i="2"/>
  <c r="N557" i="2" s="1"/>
  <c r="P557" i="2" s="1"/>
  <c r="E872" i="2"/>
  <c r="F872" i="2"/>
  <c r="H558" i="2" l="1"/>
  <c r="G558" i="2" s="1"/>
  <c r="E873" i="2"/>
  <c r="F873" i="2"/>
  <c r="K558" i="2" l="1"/>
  <c r="M558" i="2" s="1"/>
  <c r="N558" i="2" s="1"/>
  <c r="P558" i="2" s="1"/>
  <c r="J559" i="2"/>
  <c r="H559" i="2"/>
  <c r="F874" i="2"/>
  <c r="E874" i="2"/>
  <c r="G559" i="2" l="1"/>
  <c r="H560" i="2" s="1"/>
  <c r="K559" i="2"/>
  <c r="L559" i="2"/>
  <c r="F875" i="2"/>
  <c r="E875" i="2"/>
  <c r="J560" i="2" l="1"/>
  <c r="G560" i="2" s="1"/>
  <c r="K560" i="2"/>
  <c r="M559" i="2"/>
  <c r="N559" i="2" s="1"/>
  <c r="P559" i="2" s="1"/>
  <c r="L560" i="2"/>
  <c r="F876" i="2"/>
  <c r="E876" i="2"/>
  <c r="L561" i="2" l="1"/>
  <c r="M560" i="2"/>
  <c r="N560" i="2" s="1"/>
  <c r="P560" i="2" s="1"/>
  <c r="J561" i="2"/>
  <c r="H561" i="2"/>
  <c r="K561" i="2" s="1"/>
  <c r="E877" i="2"/>
  <c r="F877" i="2"/>
  <c r="M561" i="2" l="1"/>
  <c r="N561" i="2" s="1"/>
  <c r="P561" i="2" s="1"/>
  <c r="G561" i="2"/>
  <c r="H562" i="2" s="1"/>
  <c r="K562" i="2" s="1"/>
  <c r="L562" i="2"/>
  <c r="F878" i="2"/>
  <c r="E878" i="2"/>
  <c r="J562" i="2" l="1"/>
  <c r="G562" i="2" s="1"/>
  <c r="J563" i="2" s="1"/>
  <c r="L563" i="2"/>
  <c r="M562" i="2"/>
  <c r="N562" i="2" s="1"/>
  <c r="P562" i="2" s="1"/>
  <c r="F879" i="2"/>
  <c r="E879" i="2"/>
  <c r="H563" i="2" l="1"/>
  <c r="K563" i="2" s="1"/>
  <c r="M563" i="2" s="1"/>
  <c r="N563" i="2" s="1"/>
  <c r="P563" i="2" s="1"/>
  <c r="E880" i="2"/>
  <c r="F880" i="2"/>
  <c r="G563" i="2" l="1"/>
  <c r="J564" i="2" s="1"/>
  <c r="L564" i="2"/>
  <c r="E881" i="2"/>
  <c r="F881" i="2"/>
  <c r="H564" i="2" l="1"/>
  <c r="K564" i="2" s="1"/>
  <c r="L565" i="2" s="1"/>
  <c r="F882" i="2"/>
  <c r="E882" i="2"/>
  <c r="G564" i="2" l="1"/>
  <c r="M564" i="2"/>
  <c r="N564" i="2" s="1"/>
  <c r="P564" i="2" s="1"/>
  <c r="E883" i="2"/>
  <c r="F883" i="2"/>
  <c r="J565" i="2" l="1"/>
  <c r="H565" i="2"/>
  <c r="F884" i="2"/>
  <c r="E884" i="2"/>
  <c r="K565" i="2" l="1"/>
  <c r="G565" i="2"/>
  <c r="E885" i="2"/>
  <c r="F885" i="2"/>
  <c r="H566" i="2" l="1"/>
  <c r="J566" i="2"/>
  <c r="L566" i="2"/>
  <c r="M565" i="2"/>
  <c r="N565" i="2" s="1"/>
  <c r="P565" i="2" s="1"/>
  <c r="F886" i="2"/>
  <c r="E886" i="2"/>
  <c r="K566" i="2" l="1"/>
  <c r="M566" i="2" s="1"/>
  <c r="N566" i="2" s="1"/>
  <c r="P566" i="2" s="1"/>
  <c r="G566" i="2"/>
  <c r="F887" i="2"/>
  <c r="E887" i="2"/>
  <c r="H567" i="2" l="1"/>
  <c r="J567" i="2"/>
  <c r="L567" i="2"/>
  <c r="E888" i="2"/>
  <c r="F888" i="2"/>
  <c r="K567" i="2" l="1"/>
  <c r="M567" i="2" s="1"/>
  <c r="N567" i="2" s="1"/>
  <c r="P567" i="2" s="1"/>
  <c r="G567" i="2"/>
  <c r="E889" i="2"/>
  <c r="F889" i="2"/>
  <c r="H568" i="2" l="1"/>
  <c r="K568" i="2" s="1"/>
  <c r="J568" i="2"/>
  <c r="L568" i="2"/>
  <c r="F890" i="2"/>
  <c r="E890" i="2"/>
  <c r="G568" i="2" l="1"/>
  <c r="J569" i="2" s="1"/>
  <c r="L569" i="2"/>
  <c r="M568" i="2"/>
  <c r="N568" i="2" s="1"/>
  <c r="P568" i="2" s="1"/>
  <c r="E891" i="2"/>
  <c r="F891" i="2"/>
  <c r="H569" i="2" l="1"/>
  <c r="K569" i="2" s="1"/>
  <c r="M569" i="2" s="1"/>
  <c r="N569" i="2" s="1"/>
  <c r="P569" i="2" s="1"/>
  <c r="F892" i="2"/>
  <c r="E892" i="2"/>
  <c r="L570" i="2" l="1"/>
  <c r="G569" i="2"/>
  <c r="J570" i="2" s="1"/>
  <c r="E893" i="2"/>
  <c r="F893" i="2"/>
  <c r="H570" i="2" l="1"/>
  <c r="K570" i="2" s="1"/>
  <c r="M570" i="2" s="1"/>
  <c r="N570" i="2" s="1"/>
  <c r="P570" i="2" s="1"/>
  <c r="F894" i="2"/>
  <c r="E894" i="2"/>
  <c r="G570" i="2" l="1"/>
  <c r="H571" i="2" s="1"/>
  <c r="K571" i="2" s="1"/>
  <c r="L571" i="2"/>
  <c r="F895" i="2"/>
  <c r="E895" i="2"/>
  <c r="J571" i="2" l="1"/>
  <c r="G571" i="2" s="1"/>
  <c r="H572" i="2" s="1"/>
  <c r="M571" i="2"/>
  <c r="N571" i="2" s="1"/>
  <c r="P571" i="2" s="1"/>
  <c r="L572" i="2"/>
  <c r="F896" i="2"/>
  <c r="E896" i="2"/>
  <c r="J572" i="2" l="1"/>
  <c r="G572" i="2" s="1"/>
  <c r="K572" i="2"/>
  <c r="M572" i="2" s="1"/>
  <c r="N572" i="2" s="1"/>
  <c r="P572" i="2" s="1"/>
  <c r="E897" i="2"/>
  <c r="F897" i="2"/>
  <c r="H573" i="2" l="1"/>
  <c r="K573" i="2" s="1"/>
  <c r="J573" i="2"/>
  <c r="L573" i="2"/>
  <c r="F898" i="2"/>
  <c r="E898" i="2"/>
  <c r="G573" i="2" l="1"/>
  <c r="J574" i="2" s="1"/>
  <c r="L574" i="2"/>
  <c r="M573" i="2"/>
  <c r="N573" i="2" s="1"/>
  <c r="P573" i="2" s="1"/>
  <c r="E899" i="2"/>
  <c r="F899" i="2"/>
  <c r="H574" i="2" l="1"/>
  <c r="K574" i="2" s="1"/>
  <c r="F900" i="2"/>
  <c r="E900" i="2"/>
  <c r="G574" i="2" l="1"/>
  <c r="J575" i="2" s="1"/>
  <c r="M574" i="2"/>
  <c r="N574" i="2" s="1"/>
  <c r="P574" i="2" s="1"/>
  <c r="L575" i="2"/>
  <c r="E901" i="2"/>
  <c r="F901" i="2"/>
  <c r="H575" i="2" l="1"/>
  <c r="K575" i="2" s="1"/>
  <c r="L576" i="2" s="1"/>
  <c r="F902" i="2"/>
  <c r="E902" i="2"/>
  <c r="G575" i="2" l="1"/>
  <c r="H576" i="2" s="1"/>
  <c r="K576" i="2" s="1"/>
  <c r="M575" i="2"/>
  <c r="N575" i="2" s="1"/>
  <c r="P575" i="2" s="1"/>
  <c r="F903" i="2"/>
  <c r="E903" i="2"/>
  <c r="J576" i="2" l="1"/>
  <c r="G576" i="2" s="1"/>
  <c r="J577" i="2" s="1"/>
  <c r="M576" i="2"/>
  <c r="N576" i="2" s="1"/>
  <c r="P576" i="2" s="1"/>
  <c r="L577" i="2"/>
  <c r="E904" i="2"/>
  <c r="F904" i="2"/>
  <c r="H577" i="2" l="1"/>
  <c r="G577" i="2" s="1"/>
  <c r="E905" i="2"/>
  <c r="F905" i="2"/>
  <c r="H578" i="2" l="1"/>
  <c r="J578" i="2"/>
  <c r="K577" i="2"/>
  <c r="L578" i="2" s="1"/>
  <c r="F906" i="2"/>
  <c r="E906" i="2"/>
  <c r="M577" i="2" l="1"/>
  <c r="N577" i="2" s="1"/>
  <c r="P577" i="2" s="1"/>
  <c r="K578" i="2"/>
  <c r="G578" i="2"/>
  <c r="F907" i="2"/>
  <c r="E907" i="2"/>
  <c r="H579" i="2" l="1"/>
  <c r="K579" i="2" s="1"/>
  <c r="J579" i="2"/>
  <c r="M578" i="2"/>
  <c r="N578" i="2" s="1"/>
  <c r="P578" i="2" s="1"/>
  <c r="L579" i="2"/>
  <c r="F908" i="2"/>
  <c r="E908" i="2"/>
  <c r="L580" i="2" l="1"/>
  <c r="M579" i="2"/>
  <c r="N579" i="2" s="1"/>
  <c r="P579" i="2" s="1"/>
  <c r="G579" i="2"/>
  <c r="J580" i="2" s="1"/>
  <c r="E909" i="2"/>
  <c r="F909" i="2"/>
  <c r="H580" i="2" l="1"/>
  <c r="G580" i="2" s="1"/>
  <c r="F910" i="2"/>
  <c r="E910" i="2"/>
  <c r="K580" i="2" l="1"/>
  <c r="M580" i="2" s="1"/>
  <c r="N580" i="2" s="1"/>
  <c r="P580" i="2" s="1"/>
  <c r="H581" i="2"/>
  <c r="J581" i="2"/>
  <c r="F911" i="2"/>
  <c r="E911" i="2"/>
  <c r="G581" i="2" l="1"/>
  <c r="H582" i="2" s="1"/>
  <c r="K581" i="2"/>
  <c r="L581" i="2"/>
  <c r="E912" i="2"/>
  <c r="F912" i="2"/>
  <c r="J582" i="2" l="1"/>
  <c r="G582" i="2" s="1"/>
  <c r="J583" i="2" s="1"/>
  <c r="K582" i="2"/>
  <c r="M581" i="2"/>
  <c r="N581" i="2" s="1"/>
  <c r="P581" i="2" s="1"/>
  <c r="L582" i="2"/>
  <c r="E913" i="2"/>
  <c r="F913" i="2"/>
  <c r="H583" i="2" l="1"/>
  <c r="G583" i="2" s="1"/>
  <c r="M582" i="2"/>
  <c r="N582" i="2" s="1"/>
  <c r="P582" i="2" s="1"/>
  <c r="L583" i="2"/>
  <c r="F914" i="2"/>
  <c r="E914" i="2"/>
  <c r="K583" i="2" l="1"/>
  <c r="M583" i="2" s="1"/>
  <c r="N583" i="2" s="1"/>
  <c r="P583" i="2" s="1"/>
  <c r="J584" i="2"/>
  <c r="H584" i="2"/>
  <c r="E915" i="2"/>
  <c r="F915" i="2"/>
  <c r="K584" i="2" l="1"/>
  <c r="L584" i="2"/>
  <c r="G584" i="2"/>
  <c r="J585" i="2" s="1"/>
  <c r="F916" i="2"/>
  <c r="E916" i="2"/>
  <c r="M584" i="2" l="1"/>
  <c r="N584" i="2" s="1"/>
  <c r="P584" i="2" s="1"/>
  <c r="L585" i="2"/>
  <c r="H585" i="2"/>
  <c r="K585" i="2" s="1"/>
  <c r="E917" i="2"/>
  <c r="F917" i="2"/>
  <c r="L586" i="2" l="1"/>
  <c r="G585" i="2"/>
  <c r="M585" i="2"/>
  <c r="N585" i="2" s="1"/>
  <c r="P585" i="2" s="1"/>
  <c r="F918" i="2"/>
  <c r="E918" i="2"/>
  <c r="H586" i="2" l="1"/>
  <c r="K586" i="2" s="1"/>
  <c r="J586" i="2"/>
  <c r="F919" i="2"/>
  <c r="E919" i="2"/>
  <c r="G586" i="2" l="1"/>
  <c r="M586" i="2"/>
  <c r="N586" i="2" s="1"/>
  <c r="P586" i="2" s="1"/>
  <c r="L587" i="2"/>
  <c r="E920" i="2"/>
  <c r="F920" i="2"/>
  <c r="J587" i="2" l="1"/>
  <c r="H587" i="2"/>
  <c r="K587" i="2" s="1"/>
  <c r="M587" i="2" s="1"/>
  <c r="N587" i="2" s="1"/>
  <c r="P587" i="2" s="1"/>
  <c r="E921" i="2"/>
  <c r="F921" i="2"/>
  <c r="G587" i="2" l="1"/>
  <c r="H588" i="2" s="1"/>
  <c r="K588" i="2" s="1"/>
  <c r="L588" i="2"/>
  <c r="F922" i="2"/>
  <c r="E922" i="2"/>
  <c r="J588" i="2" l="1"/>
  <c r="G588" i="2" s="1"/>
  <c r="M588" i="2"/>
  <c r="N588" i="2" s="1"/>
  <c r="P588" i="2" s="1"/>
  <c r="L589" i="2"/>
  <c r="E923" i="2"/>
  <c r="F923" i="2"/>
  <c r="J589" i="2" l="1"/>
  <c r="H589" i="2"/>
  <c r="K589" i="2" s="1"/>
  <c r="M589" i="2" s="1"/>
  <c r="N589" i="2" s="1"/>
  <c r="P589" i="2" s="1"/>
  <c r="F924" i="2"/>
  <c r="E924" i="2"/>
  <c r="G589" i="2" l="1"/>
  <c r="J590" i="2" s="1"/>
  <c r="L590" i="2"/>
  <c r="E925" i="2"/>
  <c r="F925" i="2"/>
  <c r="H590" i="2" l="1"/>
  <c r="G590" i="2" s="1"/>
  <c r="J591" i="2" s="1"/>
  <c r="F926" i="2"/>
  <c r="E926" i="2"/>
  <c r="K590" i="2" l="1"/>
  <c r="M590" i="2" s="1"/>
  <c r="N590" i="2" s="1"/>
  <c r="P590" i="2" s="1"/>
  <c r="H591" i="2"/>
  <c r="G591" i="2" s="1"/>
  <c r="F927" i="2"/>
  <c r="E927" i="2"/>
  <c r="L591" i="2" l="1"/>
  <c r="J592" i="2"/>
  <c r="H592" i="2"/>
  <c r="K591" i="2"/>
  <c r="F928" i="2"/>
  <c r="E928" i="2"/>
  <c r="M591" i="2" l="1"/>
  <c r="N591" i="2" s="1"/>
  <c r="P591" i="2" s="1"/>
  <c r="G592" i="2"/>
  <c r="J593" i="2" s="1"/>
  <c r="K592" i="2"/>
  <c r="L592" i="2"/>
  <c r="E929" i="2"/>
  <c r="F929" i="2"/>
  <c r="H593" i="2" l="1"/>
  <c r="G593" i="2" s="1"/>
  <c r="J594" i="2" s="1"/>
  <c r="M592" i="2"/>
  <c r="N592" i="2" s="1"/>
  <c r="P592" i="2" s="1"/>
  <c r="L593" i="2"/>
  <c r="F930" i="2"/>
  <c r="E930" i="2"/>
  <c r="H594" i="2" l="1"/>
  <c r="G594" i="2" s="1"/>
  <c r="H595" i="2" s="1"/>
  <c r="K593" i="2"/>
  <c r="L594" i="2" s="1"/>
  <c r="E931" i="2"/>
  <c r="F931" i="2"/>
  <c r="M593" i="2" l="1"/>
  <c r="N593" i="2" s="1"/>
  <c r="P593" i="2" s="1"/>
  <c r="K594" i="2"/>
  <c r="M594" i="2" s="1"/>
  <c r="N594" i="2" s="1"/>
  <c r="P594" i="2" s="1"/>
  <c r="J595" i="2"/>
  <c r="G595" i="2" s="1"/>
  <c r="H596" i="2" s="1"/>
  <c r="F932" i="2"/>
  <c r="E932" i="2"/>
  <c r="J596" i="2" l="1"/>
  <c r="G596" i="2" s="1"/>
  <c r="J597" i="2" s="1"/>
  <c r="K595" i="2"/>
  <c r="L595" i="2"/>
  <c r="E933" i="2"/>
  <c r="F933" i="2"/>
  <c r="H597" i="2" l="1"/>
  <c r="G597" i="2" s="1"/>
  <c r="L596" i="2"/>
  <c r="M595" i="2"/>
  <c r="N595" i="2" s="1"/>
  <c r="P595" i="2" s="1"/>
  <c r="K596" i="2"/>
  <c r="F934" i="2"/>
  <c r="E934" i="2"/>
  <c r="M596" i="2" l="1"/>
  <c r="N596" i="2" s="1"/>
  <c r="P596" i="2" s="1"/>
  <c r="L597" i="2"/>
  <c r="K597" i="2"/>
  <c r="J598" i="2"/>
  <c r="H598" i="2"/>
  <c r="F935" i="2"/>
  <c r="E935" i="2"/>
  <c r="L598" i="2" l="1"/>
  <c r="M597" i="2"/>
  <c r="N597" i="2" s="1"/>
  <c r="P597" i="2" s="1"/>
  <c r="G598" i="2"/>
  <c r="K598" i="2"/>
  <c r="E936" i="2"/>
  <c r="F936" i="2"/>
  <c r="L599" i="2" l="1"/>
  <c r="M598" i="2"/>
  <c r="N598" i="2" s="1"/>
  <c r="P598" i="2" s="1"/>
  <c r="J599" i="2"/>
  <c r="H599" i="2"/>
  <c r="K599" i="2" s="1"/>
  <c r="E937" i="2"/>
  <c r="F937" i="2"/>
  <c r="M599" i="2" l="1"/>
  <c r="N599" i="2" s="1"/>
  <c r="P599" i="2" s="1"/>
  <c r="G599" i="2"/>
  <c r="J600" i="2" s="1"/>
  <c r="L600" i="2"/>
  <c r="F938" i="2"/>
  <c r="E938" i="2"/>
  <c r="H600" i="2" l="1"/>
  <c r="K600" i="2" s="1"/>
  <c r="M600" i="2" s="1"/>
  <c r="N600" i="2" s="1"/>
  <c r="P600" i="2" s="1"/>
  <c r="F939" i="2"/>
  <c r="E939" i="2"/>
  <c r="G600" i="2" l="1"/>
  <c r="J601" i="2" s="1"/>
  <c r="L601" i="2"/>
  <c r="F940" i="2"/>
  <c r="E940" i="2"/>
  <c r="H601" i="2" l="1"/>
  <c r="K601" i="2" s="1"/>
  <c r="M601" i="2" s="1"/>
  <c r="N601" i="2" s="1"/>
  <c r="P601" i="2" s="1"/>
  <c r="E941" i="2"/>
  <c r="F941" i="2"/>
  <c r="G601" i="2" l="1"/>
  <c r="H602" i="2" s="1"/>
  <c r="K602" i="2" s="1"/>
  <c r="L602" i="2"/>
  <c r="F942" i="2"/>
  <c r="E942" i="2"/>
  <c r="J602" i="2" l="1"/>
  <c r="G602" i="2" s="1"/>
  <c r="J603" i="2" s="1"/>
  <c r="L603" i="2"/>
  <c r="M602" i="2"/>
  <c r="N602" i="2" s="1"/>
  <c r="P602" i="2" s="1"/>
  <c r="F943" i="2"/>
  <c r="E943" i="2"/>
  <c r="H603" i="2" l="1"/>
  <c r="K603" i="2" s="1"/>
  <c r="E944" i="2"/>
  <c r="F944" i="2"/>
  <c r="G603" i="2" l="1"/>
  <c r="J604" i="2" s="1"/>
  <c r="M603" i="2"/>
  <c r="N603" i="2" s="1"/>
  <c r="P603" i="2" s="1"/>
  <c r="L604" i="2"/>
  <c r="E945" i="2"/>
  <c r="F945" i="2"/>
  <c r="H604" i="2" l="1"/>
  <c r="K604" i="2" s="1"/>
  <c r="M604" i="2" s="1"/>
  <c r="N604" i="2" s="1"/>
  <c r="P604" i="2" s="1"/>
  <c r="F946" i="2"/>
  <c r="E946" i="2"/>
  <c r="G604" i="2" l="1"/>
  <c r="J605" i="2" s="1"/>
  <c r="L605" i="2"/>
  <c r="E947" i="2"/>
  <c r="F947" i="2"/>
  <c r="H605" i="2" l="1"/>
  <c r="K605" i="2" s="1"/>
  <c r="L606" i="2" s="1"/>
  <c r="F948" i="2"/>
  <c r="E948" i="2"/>
  <c r="G605" i="2" l="1"/>
  <c r="J606" i="2" s="1"/>
  <c r="M605" i="2"/>
  <c r="N605" i="2" s="1"/>
  <c r="P605" i="2" s="1"/>
  <c r="E949" i="2"/>
  <c r="F949" i="2"/>
  <c r="H606" i="2" l="1"/>
  <c r="G606" i="2" s="1"/>
  <c r="H607" i="2" s="1"/>
  <c r="F950" i="2"/>
  <c r="E950" i="2"/>
  <c r="K606" i="2" l="1"/>
  <c r="M606" i="2" s="1"/>
  <c r="N606" i="2" s="1"/>
  <c r="P606" i="2" s="1"/>
  <c r="J607" i="2"/>
  <c r="G607" i="2" s="1"/>
  <c r="J608" i="2" s="1"/>
  <c r="F951" i="2"/>
  <c r="E951" i="2"/>
  <c r="L607" i="2" l="1"/>
  <c r="K607" i="2"/>
  <c r="H608" i="2"/>
  <c r="G608" i="2" s="1"/>
  <c r="H609" i="2" s="1"/>
  <c r="E952" i="2"/>
  <c r="F952" i="2"/>
  <c r="M607" i="2" l="1"/>
  <c r="N607" i="2" s="1"/>
  <c r="P607" i="2" s="1"/>
  <c r="L608" i="2"/>
  <c r="J609" i="2"/>
  <c r="G609" i="2" s="1"/>
  <c r="K608" i="2"/>
  <c r="K609" i="2" s="1"/>
  <c r="E953" i="2"/>
  <c r="F953" i="2"/>
  <c r="M608" i="2" l="1"/>
  <c r="N608" i="2" s="1"/>
  <c r="P608" i="2" s="1"/>
  <c r="L609" i="2"/>
  <c r="L610" i="2" s="1"/>
  <c r="J610" i="2"/>
  <c r="H610" i="2"/>
  <c r="F954" i="2"/>
  <c r="E954" i="2"/>
  <c r="M609" i="2" l="1"/>
  <c r="N609" i="2" s="1"/>
  <c r="P609" i="2" s="1"/>
  <c r="G610" i="2"/>
  <c r="K610" i="2"/>
  <c r="E955" i="2"/>
  <c r="F955" i="2"/>
  <c r="M610" i="2" l="1"/>
  <c r="N610" i="2" s="1"/>
  <c r="P610" i="2" s="1"/>
  <c r="L611" i="2"/>
  <c r="H611" i="2"/>
  <c r="K611" i="2" s="1"/>
  <c r="J611" i="2"/>
  <c r="F956" i="2"/>
  <c r="E956" i="2"/>
  <c r="G611" i="2" l="1"/>
  <c r="H612" i="2" s="1"/>
  <c r="K612" i="2" s="1"/>
  <c r="M611" i="2"/>
  <c r="N611" i="2" s="1"/>
  <c r="P611" i="2" s="1"/>
  <c r="L612" i="2"/>
  <c r="E957" i="2"/>
  <c r="F957" i="2"/>
  <c r="J612" i="2" l="1"/>
  <c r="G612" i="2" s="1"/>
  <c r="J613" i="2" s="1"/>
  <c r="M612" i="2"/>
  <c r="N612" i="2" s="1"/>
  <c r="P612" i="2" s="1"/>
  <c r="L613" i="2"/>
  <c r="F958" i="2"/>
  <c r="E958" i="2"/>
  <c r="H613" i="2" l="1"/>
  <c r="K613" i="2" s="1"/>
  <c r="L614" i="2" s="1"/>
  <c r="F959" i="2"/>
  <c r="E959" i="2"/>
  <c r="M613" i="2" l="1"/>
  <c r="N613" i="2" s="1"/>
  <c r="P613" i="2" s="1"/>
  <c r="G613" i="2"/>
  <c r="H614" i="2" s="1"/>
  <c r="K614" i="2" s="1"/>
  <c r="M614" i="2" s="1"/>
  <c r="N614" i="2" s="1"/>
  <c r="P614" i="2" s="1"/>
  <c r="F960" i="2"/>
  <c r="E960" i="2"/>
  <c r="L615" i="2" l="1"/>
  <c r="J614" i="2"/>
  <c r="G614" i="2" s="1"/>
  <c r="H615" i="2" s="1"/>
  <c r="K615" i="2" s="1"/>
  <c r="E961" i="2"/>
  <c r="F961" i="2"/>
  <c r="M615" i="2" l="1"/>
  <c r="N615" i="2" s="1"/>
  <c r="P615" i="2" s="1"/>
  <c r="J615" i="2"/>
  <c r="G615" i="2" s="1"/>
  <c r="L616" i="2"/>
  <c r="F962" i="2"/>
  <c r="E962" i="2"/>
  <c r="J616" i="2" l="1"/>
  <c r="H616" i="2"/>
  <c r="K616" i="2" s="1"/>
  <c r="M616" i="2" s="1"/>
  <c r="N616" i="2" s="1"/>
  <c r="P616" i="2" s="1"/>
  <c r="E963" i="2"/>
  <c r="F963" i="2"/>
  <c r="L617" i="2" l="1"/>
  <c r="G616" i="2"/>
  <c r="F964" i="2"/>
  <c r="E964" i="2"/>
  <c r="H617" i="2" l="1"/>
  <c r="K617" i="2" s="1"/>
  <c r="M617" i="2" s="1"/>
  <c r="N617" i="2" s="1"/>
  <c r="P617" i="2" s="1"/>
  <c r="J617" i="2"/>
  <c r="E965" i="2"/>
  <c r="F965" i="2"/>
  <c r="L618" i="2" l="1"/>
  <c r="G617" i="2"/>
  <c r="F966" i="2"/>
  <c r="E966" i="2"/>
  <c r="J618" i="2" l="1"/>
  <c r="H618" i="2"/>
  <c r="K618" i="2" s="1"/>
  <c r="M618" i="2" s="1"/>
  <c r="N618" i="2" s="1"/>
  <c r="P618" i="2" s="1"/>
  <c r="F967" i="2"/>
  <c r="E967" i="2"/>
  <c r="G618" i="2" l="1"/>
  <c r="J619" i="2" s="1"/>
  <c r="L619" i="2"/>
  <c r="F968" i="2"/>
  <c r="E968" i="2"/>
  <c r="H619" i="2" l="1"/>
  <c r="K619" i="2" s="1"/>
  <c r="M619" i="2" s="1"/>
  <c r="N619" i="2" s="1"/>
  <c r="P619" i="2" s="1"/>
  <c r="E969" i="2"/>
  <c r="F969" i="2"/>
  <c r="G619" i="2" l="1"/>
  <c r="H620" i="2" s="1"/>
  <c r="K620" i="2" s="1"/>
  <c r="L620" i="2"/>
  <c r="E970" i="2"/>
  <c r="F970" i="2"/>
  <c r="M620" i="2" l="1"/>
  <c r="N620" i="2" s="1"/>
  <c r="P620" i="2" s="1"/>
  <c r="J620" i="2"/>
  <c r="G620" i="2" s="1"/>
  <c r="J621" i="2" s="1"/>
  <c r="L621" i="2"/>
  <c r="F971" i="2"/>
  <c r="E971" i="2"/>
  <c r="H621" i="2" l="1"/>
  <c r="K621" i="2" s="1"/>
  <c r="L622" i="2" s="1"/>
  <c r="E972" i="2"/>
  <c r="F972" i="2"/>
  <c r="G621" i="2" l="1"/>
  <c r="J622" i="2" s="1"/>
  <c r="M621" i="2"/>
  <c r="N621" i="2" s="1"/>
  <c r="P621" i="2" s="1"/>
  <c r="E973" i="2"/>
  <c r="F973" i="2"/>
  <c r="H622" i="2" l="1"/>
  <c r="K622" i="2" s="1"/>
  <c r="M622" i="2" s="1"/>
  <c r="N622" i="2" s="1"/>
  <c r="P622" i="2" s="1"/>
  <c r="F974" i="2"/>
  <c r="E974" i="2"/>
  <c r="G622" i="2" l="1"/>
  <c r="J623" i="2" s="1"/>
  <c r="L623" i="2"/>
  <c r="F975" i="2"/>
  <c r="E975" i="2"/>
  <c r="H623" i="2" l="1"/>
  <c r="K623" i="2" s="1"/>
  <c r="M623" i="2" s="1"/>
  <c r="N623" i="2" s="1"/>
  <c r="P623" i="2" s="1"/>
  <c r="E976" i="2"/>
  <c r="F976" i="2"/>
  <c r="G623" i="2" l="1"/>
  <c r="H624" i="2" s="1"/>
  <c r="K624" i="2" s="1"/>
  <c r="L624" i="2"/>
  <c r="F977" i="2"/>
  <c r="E977" i="2"/>
  <c r="M624" i="2" l="1"/>
  <c r="N624" i="2" s="1"/>
  <c r="P624" i="2" s="1"/>
  <c r="J624" i="2"/>
  <c r="G624" i="2" s="1"/>
  <c r="H625" i="2" s="1"/>
  <c r="K625" i="2" s="1"/>
  <c r="L625" i="2"/>
  <c r="E978" i="2"/>
  <c r="F978" i="2"/>
  <c r="J625" i="2" l="1"/>
  <c r="G625" i="2" s="1"/>
  <c r="H626" i="2" s="1"/>
  <c r="L626" i="2"/>
  <c r="M625" i="2"/>
  <c r="N625" i="2" s="1"/>
  <c r="P625" i="2" s="1"/>
  <c r="E979" i="2"/>
  <c r="F979" i="2"/>
  <c r="J626" i="2" l="1"/>
  <c r="G626" i="2" s="1"/>
  <c r="K626" i="2"/>
  <c r="F980" i="2"/>
  <c r="E980" i="2"/>
  <c r="J627" i="2" l="1"/>
  <c r="H627" i="2"/>
  <c r="K627" i="2" s="1"/>
  <c r="M626" i="2"/>
  <c r="N626" i="2" s="1"/>
  <c r="P626" i="2" s="1"/>
  <c r="L627" i="2"/>
  <c r="E981" i="2"/>
  <c r="F981" i="2"/>
  <c r="L628" i="2" l="1"/>
  <c r="G627" i="2"/>
  <c r="J628" i="2" s="1"/>
  <c r="M627" i="2"/>
  <c r="N627" i="2" s="1"/>
  <c r="P627" i="2" s="1"/>
  <c r="E982" i="2"/>
  <c r="F982" i="2"/>
  <c r="H628" i="2" l="1"/>
  <c r="K628" i="2" s="1"/>
  <c r="F983" i="2"/>
  <c r="E983" i="2"/>
  <c r="G628" i="2" l="1"/>
  <c r="H629" i="2" s="1"/>
  <c r="K629" i="2" s="1"/>
  <c r="L629" i="2"/>
  <c r="M628" i="2"/>
  <c r="N628" i="2" s="1"/>
  <c r="P628" i="2" s="1"/>
  <c r="F984" i="2"/>
  <c r="E984" i="2"/>
  <c r="J629" i="2" l="1"/>
  <c r="G629" i="2" s="1"/>
  <c r="M629" i="2"/>
  <c r="N629" i="2" s="1"/>
  <c r="P629" i="2" s="1"/>
  <c r="L630" i="2"/>
  <c r="E985" i="2"/>
  <c r="F985" i="2"/>
  <c r="J630" i="2" l="1"/>
  <c r="H630" i="2"/>
  <c r="K630" i="2" s="1"/>
  <c r="E986" i="2"/>
  <c r="F986" i="2"/>
  <c r="M630" i="2" l="1"/>
  <c r="N630" i="2" s="1"/>
  <c r="P630" i="2" s="1"/>
  <c r="L631" i="2"/>
  <c r="G630" i="2"/>
  <c r="F987" i="2"/>
  <c r="E987" i="2"/>
  <c r="H631" i="2" l="1"/>
  <c r="K631" i="2" s="1"/>
  <c r="M631" i="2" s="1"/>
  <c r="N631" i="2" s="1"/>
  <c r="P631" i="2" s="1"/>
  <c r="J631" i="2"/>
  <c r="E988" i="2"/>
  <c r="F988" i="2"/>
  <c r="G631" i="2" l="1"/>
  <c r="J632" i="2" s="1"/>
  <c r="L632" i="2"/>
  <c r="F989" i="2"/>
  <c r="E989" i="2"/>
  <c r="H632" i="2" l="1"/>
  <c r="K632" i="2" s="1"/>
  <c r="M632" i="2" s="1"/>
  <c r="N632" i="2" s="1"/>
  <c r="P632" i="2" s="1"/>
  <c r="F990" i="2"/>
  <c r="E990" i="2"/>
  <c r="L633" i="2" l="1"/>
  <c r="G632" i="2"/>
  <c r="J633" i="2" s="1"/>
  <c r="F991" i="2"/>
  <c r="E991" i="2"/>
  <c r="H633" i="2" l="1"/>
  <c r="G633" i="2" s="1"/>
  <c r="H634" i="2" s="1"/>
  <c r="E992" i="2"/>
  <c r="F992" i="2"/>
  <c r="J634" i="2" l="1"/>
  <c r="G634" i="2" s="1"/>
  <c r="J635" i="2" s="1"/>
  <c r="K633" i="2"/>
  <c r="L634" i="2" s="1"/>
  <c r="F993" i="2"/>
  <c r="E993" i="2"/>
  <c r="K634" i="2" l="1"/>
  <c r="M634" i="2" s="1"/>
  <c r="N634" i="2" s="1"/>
  <c r="P634" i="2" s="1"/>
  <c r="M633" i="2"/>
  <c r="N633" i="2" s="1"/>
  <c r="P633" i="2" s="1"/>
  <c r="H635" i="2"/>
  <c r="G635" i="2" s="1"/>
  <c r="H636" i="2" s="1"/>
  <c r="E994" i="2"/>
  <c r="F994" i="2"/>
  <c r="L635" i="2" l="1"/>
  <c r="J636" i="2"/>
  <c r="G636" i="2" s="1"/>
  <c r="H637" i="2" s="1"/>
  <c r="K635" i="2"/>
  <c r="F995" i="2"/>
  <c r="E995" i="2"/>
  <c r="M635" i="2" l="1"/>
  <c r="N635" i="2" s="1"/>
  <c r="P635" i="2" s="1"/>
  <c r="L636" i="2"/>
  <c r="K636" i="2"/>
  <c r="J637" i="2"/>
  <c r="G637" i="2" s="1"/>
  <c r="E996" i="2"/>
  <c r="F996" i="2"/>
  <c r="M636" i="2" l="1"/>
  <c r="N636" i="2" s="1"/>
  <c r="P636" i="2" s="1"/>
  <c r="K637" i="2"/>
  <c r="L637" i="2"/>
  <c r="J638" i="2"/>
  <c r="H638" i="2"/>
  <c r="E997" i="2"/>
  <c r="F997" i="2"/>
  <c r="M637" i="2" l="1"/>
  <c r="N637" i="2" s="1"/>
  <c r="P637" i="2" s="1"/>
  <c r="K638" i="2"/>
  <c r="L638" i="2"/>
  <c r="G638" i="2"/>
  <c r="H639" i="2" s="1"/>
  <c r="E998" i="2"/>
  <c r="F998" i="2"/>
  <c r="J639" i="2" l="1"/>
  <c r="G639" i="2" s="1"/>
  <c r="K639" i="2"/>
  <c r="M638" i="2"/>
  <c r="N638" i="2" s="1"/>
  <c r="P638" i="2" s="1"/>
  <c r="L639" i="2"/>
  <c r="F999" i="2"/>
  <c r="E999" i="2"/>
  <c r="M639" i="2" l="1"/>
  <c r="N639" i="2" s="1"/>
  <c r="P639" i="2" s="1"/>
  <c r="H640" i="2"/>
  <c r="K640" i="2" s="1"/>
  <c r="J640" i="2"/>
  <c r="L640" i="2"/>
  <c r="E1000" i="2"/>
  <c r="F1000" i="2"/>
  <c r="G640" i="2" l="1"/>
  <c r="J641" i="2" s="1"/>
  <c r="M640" i="2"/>
  <c r="N640" i="2" s="1"/>
  <c r="P640" i="2" s="1"/>
  <c r="L641" i="2"/>
  <c r="E1001" i="2"/>
  <c r="F1001" i="2"/>
  <c r="H641" i="2" l="1"/>
  <c r="K641" i="2" s="1"/>
  <c r="M641" i="2" s="1"/>
  <c r="N641" i="2" s="1"/>
  <c r="P641" i="2" s="1"/>
  <c r="F1002" i="2"/>
  <c r="E1002" i="2"/>
  <c r="L642" i="2" l="1"/>
  <c r="G641" i="2"/>
  <c r="H642" i="2" s="1"/>
  <c r="K642" i="2" s="1"/>
  <c r="F1003" i="2"/>
  <c r="E1003" i="2"/>
  <c r="M642" i="2" l="1"/>
  <c r="N642" i="2" s="1"/>
  <c r="P642" i="2" s="1"/>
  <c r="L643" i="2"/>
  <c r="J642" i="2"/>
  <c r="G642" i="2" s="1"/>
  <c r="J643" i="2" s="1"/>
  <c r="E1004" i="2"/>
  <c r="F1004" i="2"/>
  <c r="H643" i="2" l="1"/>
  <c r="K643" i="2" s="1"/>
  <c r="M643" i="2" s="1"/>
  <c r="N643" i="2" s="1"/>
  <c r="P643" i="2" s="1"/>
  <c r="E1005" i="2"/>
  <c r="F1005" i="2"/>
  <c r="G643" i="2" l="1"/>
  <c r="H644" i="2" s="1"/>
  <c r="K644" i="2" s="1"/>
  <c r="L644" i="2"/>
  <c r="F1006" i="2"/>
  <c r="E1006" i="2"/>
  <c r="J644" i="2" l="1"/>
  <c r="G644" i="2" s="1"/>
  <c r="J645" i="2" s="1"/>
  <c r="L645" i="2"/>
  <c r="M644" i="2"/>
  <c r="N644" i="2" s="1"/>
  <c r="P644" i="2" s="1"/>
  <c r="F1007" i="2"/>
  <c r="E1007" i="2"/>
  <c r="H645" i="2" l="1"/>
  <c r="K645" i="2" s="1"/>
  <c r="M645" i="2" s="1"/>
  <c r="N645" i="2" s="1"/>
  <c r="P645" i="2" s="1"/>
  <c r="E1008" i="2"/>
  <c r="F1008" i="2"/>
  <c r="L646" i="2" l="1"/>
  <c r="G645" i="2"/>
  <c r="J646" i="2" s="1"/>
  <c r="E1009" i="2"/>
  <c r="F1009" i="2"/>
  <c r="H646" i="2" l="1"/>
  <c r="K646" i="2" s="1"/>
  <c r="M646" i="2" s="1"/>
  <c r="N646" i="2" s="1"/>
  <c r="P646" i="2" s="1"/>
  <c r="F1010" i="2"/>
  <c r="E1010" i="2"/>
  <c r="G646" i="2" l="1"/>
  <c r="J647" i="2" s="1"/>
  <c r="L647" i="2"/>
  <c r="E1011" i="2"/>
  <c r="F1011" i="2"/>
  <c r="H647" i="2" l="1"/>
  <c r="K647" i="2" s="1"/>
  <c r="M647" i="2" s="1"/>
  <c r="N647" i="2" s="1"/>
  <c r="P647" i="2" s="1"/>
  <c r="F1012" i="2"/>
  <c r="E1012" i="2"/>
  <c r="G647" i="2" l="1"/>
  <c r="L648" i="2"/>
  <c r="F1013" i="2"/>
  <c r="E1013" i="2"/>
  <c r="H648" i="2" l="1"/>
  <c r="J648" i="2"/>
  <c r="F1014" i="2"/>
  <c r="E1014" i="2"/>
  <c r="K648" i="2" l="1"/>
  <c r="G648" i="2"/>
  <c r="F1015" i="2"/>
  <c r="E1015" i="2"/>
  <c r="J649" i="2" l="1"/>
  <c r="H649" i="2"/>
  <c r="K649" i="2" s="1"/>
  <c r="L649" i="2"/>
  <c r="M648" i="2"/>
  <c r="N648" i="2" s="1"/>
  <c r="P648" i="2" s="1"/>
  <c r="F1016" i="2"/>
  <c r="E1016" i="2"/>
  <c r="M649" i="2" l="1"/>
  <c r="N649" i="2" s="1"/>
  <c r="P649" i="2" s="1"/>
  <c r="L650" i="2"/>
  <c r="G649" i="2"/>
  <c r="E1017" i="2"/>
  <c r="F1017" i="2"/>
  <c r="J650" i="2" l="1"/>
  <c r="H650" i="2"/>
  <c r="F1018" i="2"/>
  <c r="E1018" i="2"/>
  <c r="K650" i="2" l="1"/>
  <c r="G650" i="2"/>
  <c r="E1019" i="2"/>
  <c r="F1019" i="2"/>
  <c r="J651" i="2" l="1"/>
  <c r="H651" i="2"/>
  <c r="M650" i="2"/>
  <c r="N650" i="2" s="1"/>
  <c r="P650" i="2" s="1"/>
  <c r="L651" i="2"/>
  <c r="E1020" i="2"/>
  <c r="F1020" i="2"/>
  <c r="K651" i="2" l="1"/>
  <c r="M651" i="2" s="1"/>
  <c r="N651" i="2" s="1"/>
  <c r="P651" i="2" s="1"/>
  <c r="G651" i="2"/>
  <c r="E1021" i="2"/>
  <c r="F1021" i="2"/>
  <c r="J652" i="2" l="1"/>
  <c r="H652" i="2"/>
  <c r="L652" i="2"/>
  <c r="E1022" i="2"/>
  <c r="F1022" i="2"/>
  <c r="K652" i="2" l="1"/>
  <c r="M652" i="2" s="1"/>
  <c r="N652" i="2" s="1"/>
  <c r="P652" i="2" s="1"/>
  <c r="G652" i="2"/>
  <c r="E1023" i="2"/>
  <c r="F1023" i="2"/>
  <c r="J653" i="2" l="1"/>
  <c r="H653" i="2"/>
  <c r="K653" i="2" s="1"/>
  <c r="L653" i="2"/>
  <c r="E1024" i="2"/>
  <c r="F1024" i="2"/>
  <c r="G653" i="2" l="1"/>
  <c r="L654" i="2"/>
  <c r="M653" i="2"/>
  <c r="N653" i="2" s="1"/>
  <c r="P653" i="2" s="1"/>
  <c r="F1025" i="2"/>
  <c r="E1025" i="2"/>
  <c r="J654" i="2" l="1"/>
  <c r="H654" i="2"/>
  <c r="F1026" i="2"/>
  <c r="E1026" i="2"/>
  <c r="K654" i="2" l="1"/>
  <c r="G654" i="2"/>
  <c r="E1027" i="2"/>
  <c r="F1027" i="2"/>
  <c r="J655" i="2" l="1"/>
  <c r="H655" i="2"/>
  <c r="L655" i="2"/>
  <c r="M654" i="2"/>
  <c r="N654" i="2" s="1"/>
  <c r="P654" i="2" s="1"/>
  <c r="F1028" i="2"/>
  <c r="E1028" i="2"/>
  <c r="K655" i="2" l="1"/>
  <c r="G655" i="2"/>
  <c r="E1029" i="2"/>
  <c r="F1029" i="2"/>
  <c r="J656" i="2" l="1"/>
  <c r="H656" i="2"/>
  <c r="L656" i="2"/>
  <c r="M655" i="2"/>
  <c r="N655" i="2" s="1"/>
  <c r="P655" i="2" s="1"/>
  <c r="E1030" i="2"/>
  <c r="F1030" i="2"/>
  <c r="K656" i="2" l="1"/>
  <c r="M656" i="2" s="1"/>
  <c r="N656" i="2" s="1"/>
  <c r="P656" i="2" s="1"/>
  <c r="G656" i="2"/>
  <c r="F1031" i="2"/>
  <c r="E1031" i="2"/>
  <c r="J657" i="2" l="1"/>
  <c r="H657" i="2"/>
  <c r="L657" i="2"/>
  <c r="E1032" i="2"/>
  <c r="F1032" i="2"/>
  <c r="K657" i="2" l="1"/>
  <c r="M657" i="2" s="1"/>
  <c r="N657" i="2" s="1"/>
  <c r="P657" i="2" s="1"/>
  <c r="G657" i="2"/>
  <c r="F1033" i="2"/>
  <c r="E1033" i="2"/>
  <c r="L658" i="2" l="1"/>
  <c r="H658" i="2"/>
  <c r="K658" i="2" s="1"/>
  <c r="J658" i="2"/>
  <c r="E1034" i="2"/>
  <c r="F1034" i="2"/>
  <c r="G658" i="2" l="1"/>
  <c r="H659" i="2" s="1"/>
  <c r="M658" i="2"/>
  <c r="N658" i="2" s="1"/>
  <c r="P658" i="2" s="1"/>
  <c r="L659" i="2"/>
  <c r="E1035" i="2"/>
  <c r="F1035" i="2"/>
  <c r="J659" i="2" l="1"/>
  <c r="G659" i="2" s="1"/>
  <c r="K659" i="2"/>
  <c r="M659" i="2" s="1"/>
  <c r="N659" i="2" s="1"/>
  <c r="P659" i="2" s="1"/>
  <c r="E1036" i="2"/>
  <c r="F1036" i="2"/>
  <c r="L660" i="2" l="1"/>
  <c r="H660" i="2"/>
  <c r="K660" i="2" s="1"/>
  <c r="J660" i="2"/>
  <c r="E1037" i="2"/>
  <c r="F1037" i="2"/>
  <c r="M660" i="2" l="1"/>
  <c r="N660" i="2" s="1"/>
  <c r="P660" i="2" s="1"/>
  <c r="G660" i="2"/>
  <c r="J661" i="2" s="1"/>
  <c r="L661" i="2"/>
  <c r="F1038" i="2"/>
  <c r="E1038" i="2"/>
  <c r="H661" i="2" l="1"/>
  <c r="K661" i="2" s="1"/>
  <c r="M661" i="2" s="1"/>
  <c r="N661" i="2" s="1"/>
  <c r="P661" i="2" s="1"/>
  <c r="E1039" i="2"/>
  <c r="F1039" i="2"/>
  <c r="G661" i="2" l="1"/>
  <c r="J662" i="2" s="1"/>
  <c r="L662" i="2"/>
  <c r="F1040" i="2"/>
  <c r="E1040" i="2"/>
  <c r="H662" i="2" l="1"/>
  <c r="K662" i="2" s="1"/>
  <c r="F1041" i="2"/>
  <c r="E1041" i="2"/>
  <c r="G662" i="2" l="1"/>
  <c r="J663" i="2" s="1"/>
  <c r="M662" i="2"/>
  <c r="N662" i="2" s="1"/>
  <c r="P662" i="2" s="1"/>
  <c r="L663" i="2"/>
  <c r="E1042" i="2"/>
  <c r="F1042" i="2"/>
  <c r="H663" i="2" l="1"/>
  <c r="K663" i="2" s="1"/>
  <c r="F1043" i="2"/>
  <c r="E1043" i="2"/>
  <c r="G663" i="2" l="1"/>
  <c r="H664" i="2" s="1"/>
  <c r="M663" i="2"/>
  <c r="N663" i="2" s="1"/>
  <c r="P663" i="2" s="1"/>
  <c r="L664" i="2"/>
  <c r="F1044" i="2"/>
  <c r="E1044" i="2"/>
  <c r="J664" i="2" l="1"/>
  <c r="G664" i="2" s="1"/>
  <c r="K664" i="2"/>
  <c r="E1045" i="2"/>
  <c r="F1045" i="2"/>
  <c r="J665" i="2" l="1"/>
  <c r="H665" i="2"/>
  <c r="M664" i="2"/>
  <c r="N664" i="2" s="1"/>
  <c r="P664" i="2" s="1"/>
  <c r="L665" i="2"/>
  <c r="E1046" i="2"/>
  <c r="F1046" i="2"/>
  <c r="K665" i="2" l="1"/>
  <c r="G665" i="2"/>
  <c r="F1047" i="2"/>
  <c r="E1047" i="2"/>
  <c r="J666" i="2" l="1"/>
  <c r="H666" i="2"/>
  <c r="M665" i="2"/>
  <c r="N665" i="2" s="1"/>
  <c r="P665" i="2" s="1"/>
  <c r="L666" i="2"/>
  <c r="E1048" i="2"/>
  <c r="F1048" i="2"/>
  <c r="K666" i="2" l="1"/>
  <c r="G666" i="2"/>
  <c r="F1049" i="2"/>
  <c r="E1049" i="2"/>
  <c r="H667" i="2" l="1"/>
  <c r="K667" i="2" s="1"/>
  <c r="J667" i="2"/>
  <c r="M666" i="2"/>
  <c r="N666" i="2" s="1"/>
  <c r="P666" i="2" s="1"/>
  <c r="L667" i="2"/>
  <c r="E1050" i="2"/>
  <c r="F1050" i="2"/>
  <c r="L668" i="2" l="1"/>
  <c r="G667" i="2"/>
  <c r="J668" i="2" s="1"/>
  <c r="M667" i="2"/>
  <c r="N667" i="2" s="1"/>
  <c r="P667" i="2" s="1"/>
  <c r="F1051" i="2"/>
  <c r="E1051" i="2"/>
  <c r="H668" i="2" l="1"/>
  <c r="K668" i="2" s="1"/>
  <c r="L669" i="2" s="1"/>
  <c r="E1052" i="2"/>
  <c r="F1052" i="2"/>
  <c r="G668" i="2" l="1"/>
  <c r="J669" i="2" s="1"/>
  <c r="M668" i="2"/>
  <c r="N668" i="2" s="1"/>
  <c r="P668" i="2" s="1"/>
  <c r="E1053" i="2"/>
  <c r="F1053" i="2"/>
  <c r="H669" i="2" l="1"/>
  <c r="K669" i="2" s="1"/>
  <c r="M669" i="2" s="1"/>
  <c r="N669" i="2" s="1"/>
  <c r="P669" i="2" s="1"/>
  <c r="E1054" i="2"/>
  <c r="F1054" i="2"/>
  <c r="G669" i="2" l="1"/>
  <c r="H670" i="2" s="1"/>
  <c r="K670" i="2" s="1"/>
  <c r="L670" i="2"/>
  <c r="F1055" i="2"/>
  <c r="E1055" i="2"/>
  <c r="L671" i="2" l="1"/>
  <c r="M670" i="2"/>
  <c r="N670" i="2" s="1"/>
  <c r="P670" i="2" s="1"/>
  <c r="J670" i="2"/>
  <c r="G670" i="2" s="1"/>
  <c r="H671" i="2" s="1"/>
  <c r="K671" i="2" s="1"/>
  <c r="E1056" i="2"/>
  <c r="F1056" i="2"/>
  <c r="M671" i="2" l="1"/>
  <c r="N671" i="2" s="1"/>
  <c r="P671" i="2" s="1"/>
  <c r="J671" i="2"/>
  <c r="G671" i="2" s="1"/>
  <c r="H672" i="2" s="1"/>
  <c r="K672" i="2" s="1"/>
  <c r="L672" i="2"/>
  <c r="F1057" i="2"/>
  <c r="E1057" i="2"/>
  <c r="J672" i="2" l="1"/>
  <c r="G672" i="2" s="1"/>
  <c r="H673" i="2" s="1"/>
  <c r="K673" i="2" s="1"/>
  <c r="M672" i="2"/>
  <c r="N672" i="2" s="1"/>
  <c r="P672" i="2" s="1"/>
  <c r="L673" i="2"/>
  <c r="E1058" i="2"/>
  <c r="F1058" i="2"/>
  <c r="J673" i="2" l="1"/>
  <c r="G673" i="2" s="1"/>
  <c r="H674" i="2" s="1"/>
  <c r="K674" i="2" s="1"/>
  <c r="M673" i="2"/>
  <c r="N673" i="2" s="1"/>
  <c r="P673" i="2" s="1"/>
  <c r="L674" i="2"/>
  <c r="E1059" i="2"/>
  <c r="F1059" i="2"/>
  <c r="J674" i="2" l="1"/>
  <c r="G674" i="2" s="1"/>
  <c r="J675" i="2" s="1"/>
  <c r="M674" i="2"/>
  <c r="N674" i="2" s="1"/>
  <c r="P674" i="2" s="1"/>
  <c r="L675" i="2"/>
  <c r="E1060" i="2"/>
  <c r="F1060" i="2"/>
  <c r="H675" i="2" l="1"/>
  <c r="K675" i="2" s="1"/>
  <c r="L676" i="2" s="1"/>
  <c r="F1061" i="2"/>
  <c r="E1061" i="2"/>
  <c r="G675" i="2" l="1"/>
  <c r="H676" i="2" s="1"/>
  <c r="K676" i="2" s="1"/>
  <c r="M675" i="2"/>
  <c r="N675" i="2" s="1"/>
  <c r="P675" i="2" s="1"/>
  <c r="E1062" i="2"/>
  <c r="F1062" i="2"/>
  <c r="J676" i="2" l="1"/>
  <c r="G676" i="2" s="1"/>
  <c r="H677" i="2" s="1"/>
  <c r="M676" i="2"/>
  <c r="N676" i="2" s="1"/>
  <c r="P676" i="2" s="1"/>
  <c r="L677" i="2"/>
  <c r="E1063" i="2"/>
  <c r="F1063" i="2"/>
  <c r="J677" i="2" l="1"/>
  <c r="G677" i="2" s="1"/>
  <c r="K677" i="2"/>
  <c r="E1064" i="2"/>
  <c r="F1064" i="2"/>
  <c r="H678" i="2" l="1"/>
  <c r="K678" i="2" s="1"/>
  <c r="J678" i="2"/>
  <c r="M677" i="2"/>
  <c r="N677" i="2" s="1"/>
  <c r="P677" i="2" s="1"/>
  <c r="L678" i="2"/>
  <c r="E1065" i="2"/>
  <c r="F1065" i="2"/>
  <c r="G678" i="2" l="1"/>
  <c r="J679" i="2" s="1"/>
  <c r="M678" i="2"/>
  <c r="N678" i="2" s="1"/>
  <c r="P678" i="2" s="1"/>
  <c r="L679" i="2"/>
  <c r="E1066" i="2"/>
  <c r="F1066" i="2"/>
  <c r="H679" i="2" l="1"/>
  <c r="G679" i="2" s="1"/>
  <c r="J680" i="2" s="1"/>
  <c r="F1067" i="2"/>
  <c r="E1067" i="2"/>
  <c r="K679" i="2" l="1"/>
  <c r="L680" i="2" s="1"/>
  <c r="H680" i="2"/>
  <c r="G680" i="2" s="1"/>
  <c r="J681" i="2" s="1"/>
  <c r="F1068" i="2"/>
  <c r="E1068" i="2"/>
  <c r="H681" i="2" l="1"/>
  <c r="G681" i="2" s="1"/>
  <c r="M679" i="2"/>
  <c r="N679" i="2" s="1"/>
  <c r="P679" i="2" s="1"/>
  <c r="K680" i="2"/>
  <c r="E1069" i="2"/>
  <c r="F1069" i="2"/>
  <c r="K681" i="2" l="1"/>
  <c r="J682" i="2"/>
  <c r="H682" i="2"/>
  <c r="M680" i="2"/>
  <c r="N680" i="2" s="1"/>
  <c r="P680" i="2" s="1"/>
  <c r="L681" i="2"/>
  <c r="E1070" i="2"/>
  <c r="F1070" i="2"/>
  <c r="K682" i="2" l="1"/>
  <c r="G682" i="2"/>
  <c r="J683" i="2" s="1"/>
  <c r="L682" i="2"/>
  <c r="M681" i="2"/>
  <c r="N681" i="2" s="1"/>
  <c r="P681" i="2" s="1"/>
  <c r="F1071" i="2"/>
  <c r="E1071" i="2"/>
  <c r="M682" i="2" l="1"/>
  <c r="N682" i="2" s="1"/>
  <c r="P682" i="2" s="1"/>
  <c r="H683" i="2"/>
  <c r="K683" i="2" s="1"/>
  <c r="L683" i="2"/>
  <c r="E1072" i="2"/>
  <c r="F1072" i="2"/>
  <c r="G683" i="2" l="1"/>
  <c r="H684" i="2" s="1"/>
  <c r="K684" i="2" s="1"/>
  <c r="L684" i="2"/>
  <c r="M683" i="2"/>
  <c r="N683" i="2" s="1"/>
  <c r="P683" i="2" s="1"/>
  <c r="E1073" i="2"/>
  <c r="F1073" i="2"/>
  <c r="J684" i="2" l="1"/>
  <c r="G684" i="2" s="1"/>
  <c r="J685" i="2" s="1"/>
  <c r="M684" i="2"/>
  <c r="N684" i="2" s="1"/>
  <c r="P684" i="2" s="1"/>
  <c r="L685" i="2"/>
  <c r="F1074" i="2"/>
  <c r="E1074" i="2"/>
  <c r="H685" i="2" l="1"/>
  <c r="K685" i="2" s="1"/>
  <c r="L686" i="2" s="1"/>
  <c r="E1075" i="2"/>
  <c r="F1075" i="2"/>
  <c r="G685" i="2" l="1"/>
  <c r="H686" i="2" s="1"/>
  <c r="K686" i="2" s="1"/>
  <c r="M685" i="2"/>
  <c r="N685" i="2" s="1"/>
  <c r="P685" i="2" s="1"/>
  <c r="E1076" i="2"/>
  <c r="F1076" i="2"/>
  <c r="J686" i="2" l="1"/>
  <c r="G686" i="2" s="1"/>
  <c r="J687" i="2" s="1"/>
  <c r="M686" i="2"/>
  <c r="N686" i="2" s="1"/>
  <c r="P686" i="2" s="1"/>
  <c r="L687" i="2"/>
  <c r="E1077" i="2"/>
  <c r="F1077" i="2"/>
  <c r="H687" i="2" l="1"/>
  <c r="K687" i="2" s="1"/>
  <c r="F1078" i="2"/>
  <c r="E1078" i="2"/>
  <c r="G687" i="2" l="1"/>
  <c r="H688" i="2" s="1"/>
  <c r="L688" i="2"/>
  <c r="M687" i="2"/>
  <c r="N687" i="2" s="1"/>
  <c r="P687" i="2" s="1"/>
  <c r="E1079" i="2"/>
  <c r="F1079" i="2"/>
  <c r="J688" i="2" l="1"/>
  <c r="G688" i="2" s="1"/>
  <c r="K688" i="2"/>
  <c r="F1080" i="2"/>
  <c r="E1080" i="2"/>
  <c r="J689" i="2" l="1"/>
  <c r="H689" i="2"/>
  <c r="L689" i="2"/>
  <c r="M688" i="2"/>
  <c r="N688" i="2" s="1"/>
  <c r="P688" i="2" s="1"/>
  <c r="E1081" i="2"/>
  <c r="F1081" i="2"/>
  <c r="K689" i="2" l="1"/>
  <c r="G689" i="2"/>
  <c r="F1082" i="2"/>
  <c r="E1082" i="2"/>
  <c r="H690" i="2" l="1"/>
  <c r="J690" i="2"/>
  <c r="M689" i="2"/>
  <c r="N689" i="2" s="1"/>
  <c r="P689" i="2" s="1"/>
  <c r="L690" i="2"/>
  <c r="F1083" i="2"/>
  <c r="E1083" i="2"/>
  <c r="K690" i="2" l="1"/>
  <c r="M690" i="2" s="1"/>
  <c r="N690" i="2" s="1"/>
  <c r="P690" i="2" s="1"/>
  <c r="G690" i="2"/>
  <c r="F1084" i="2"/>
  <c r="E1084" i="2"/>
  <c r="J691" i="2" l="1"/>
  <c r="H691" i="2"/>
  <c r="L691" i="2"/>
  <c r="F1085" i="2"/>
  <c r="E1085" i="2"/>
  <c r="K691" i="2" l="1"/>
  <c r="G691" i="2"/>
  <c r="E1086" i="2"/>
  <c r="F1086" i="2"/>
  <c r="J692" i="2" l="1"/>
  <c r="H692" i="2"/>
  <c r="L692" i="2"/>
  <c r="M691" i="2"/>
  <c r="N691" i="2" s="1"/>
  <c r="P691" i="2" s="1"/>
  <c r="F1087" i="2"/>
  <c r="E1087" i="2"/>
  <c r="G692" i="2" l="1"/>
  <c r="K692" i="2"/>
  <c r="F1088" i="2"/>
  <c r="E1088" i="2"/>
  <c r="M692" i="2" l="1"/>
  <c r="N692" i="2" s="1"/>
  <c r="P692" i="2" s="1"/>
  <c r="L693" i="2"/>
  <c r="J693" i="2"/>
  <c r="H693" i="2"/>
  <c r="K693" i="2" s="1"/>
  <c r="F1089" i="2"/>
  <c r="E1089" i="2"/>
  <c r="M693" i="2" l="1"/>
  <c r="N693" i="2" s="1"/>
  <c r="P693" i="2" s="1"/>
  <c r="G693" i="2"/>
  <c r="J694" i="2" s="1"/>
  <c r="L694" i="2"/>
  <c r="E1090" i="2"/>
  <c r="F1090" i="2"/>
  <c r="H694" i="2" l="1"/>
  <c r="K694" i="2" s="1"/>
  <c r="M694" i="2" s="1"/>
  <c r="N694" i="2" s="1"/>
  <c r="P694" i="2" s="1"/>
  <c r="F1091" i="2"/>
  <c r="E1091" i="2"/>
  <c r="G694" i="2" l="1"/>
  <c r="J695" i="2" s="1"/>
  <c r="L695" i="2"/>
  <c r="E1092" i="2"/>
  <c r="F1092" i="2"/>
  <c r="H695" i="2" l="1"/>
  <c r="K695" i="2" s="1"/>
  <c r="F1093" i="2"/>
  <c r="E1093" i="2"/>
  <c r="G695" i="2" l="1"/>
  <c r="J696" i="2" s="1"/>
  <c r="M695" i="2"/>
  <c r="N695" i="2" s="1"/>
  <c r="P695" i="2" s="1"/>
  <c r="L696" i="2"/>
  <c r="E1094" i="2"/>
  <c r="F1094" i="2"/>
  <c r="H696" i="2" l="1"/>
  <c r="K696" i="2" s="1"/>
  <c r="M696" i="2" s="1"/>
  <c r="N696" i="2" s="1"/>
  <c r="P696" i="2" s="1"/>
  <c r="F1095" i="2"/>
  <c r="E1095" i="2"/>
  <c r="G696" i="2" l="1"/>
  <c r="H697" i="2" s="1"/>
  <c r="L697" i="2"/>
  <c r="F1096" i="2"/>
  <c r="E1096" i="2"/>
  <c r="J697" i="2" l="1"/>
  <c r="G697" i="2" s="1"/>
  <c r="K697" i="2"/>
  <c r="M697" i="2" s="1"/>
  <c r="N697" i="2" s="1"/>
  <c r="P697" i="2" s="1"/>
  <c r="E1097" i="2"/>
  <c r="F1097" i="2"/>
  <c r="H698" i="2" l="1"/>
  <c r="K698" i="2" s="1"/>
  <c r="J698" i="2"/>
  <c r="L698" i="2"/>
  <c r="F1098" i="2"/>
  <c r="E1098" i="2"/>
  <c r="G698" i="2" l="1"/>
  <c r="H699" i="2" s="1"/>
  <c r="K699" i="2" s="1"/>
  <c r="M698" i="2"/>
  <c r="N698" i="2" s="1"/>
  <c r="P698" i="2" s="1"/>
  <c r="L699" i="2"/>
  <c r="E1099" i="2"/>
  <c r="F1099" i="2"/>
  <c r="M699" i="2" l="1"/>
  <c r="N699" i="2" s="1"/>
  <c r="P699" i="2" s="1"/>
  <c r="J699" i="2"/>
  <c r="G699" i="2" s="1"/>
  <c r="L700" i="2"/>
  <c r="E1100" i="2"/>
  <c r="F1100" i="2"/>
  <c r="H700" i="2" l="1"/>
  <c r="J700" i="2"/>
  <c r="F1101" i="2"/>
  <c r="E1101" i="2"/>
  <c r="K700" i="2" l="1"/>
  <c r="G700" i="2"/>
  <c r="E1102" i="2"/>
  <c r="F1102" i="2"/>
  <c r="J701" i="2" l="1"/>
  <c r="H701" i="2"/>
  <c r="M700" i="2"/>
  <c r="N700" i="2" s="1"/>
  <c r="P700" i="2" s="1"/>
  <c r="L701" i="2"/>
  <c r="F1103" i="2"/>
  <c r="E1103" i="2"/>
  <c r="G701" i="2" l="1"/>
  <c r="K701" i="2"/>
  <c r="F1104" i="2"/>
  <c r="E1104" i="2"/>
  <c r="M701" i="2" l="1"/>
  <c r="N701" i="2" s="1"/>
  <c r="P701" i="2" s="1"/>
  <c r="J702" i="2"/>
  <c r="H702" i="2"/>
  <c r="L702" i="2"/>
  <c r="F1105" i="2"/>
  <c r="E1105" i="2"/>
  <c r="G702" i="2" l="1"/>
  <c r="J703" i="2" s="1"/>
  <c r="K702" i="2"/>
  <c r="E1106" i="2"/>
  <c r="F1106" i="2"/>
  <c r="H703" i="2" l="1"/>
  <c r="G703" i="2" s="1"/>
  <c r="H704" i="2" s="1"/>
  <c r="M702" i="2"/>
  <c r="N702" i="2" s="1"/>
  <c r="P702" i="2" s="1"/>
  <c r="L703" i="2"/>
  <c r="F1107" i="2"/>
  <c r="E1107" i="2"/>
  <c r="K703" i="2" l="1"/>
  <c r="K704" i="2" s="1"/>
  <c r="J704" i="2"/>
  <c r="G704" i="2" s="1"/>
  <c r="H705" i="2" s="1"/>
  <c r="E1108" i="2"/>
  <c r="F1108" i="2"/>
  <c r="J705" i="2" l="1"/>
  <c r="G705" i="2" s="1"/>
  <c r="J706" i="2" s="1"/>
  <c r="L704" i="2"/>
  <c r="L705" i="2" s="1"/>
  <c r="M703" i="2"/>
  <c r="N703" i="2" s="1"/>
  <c r="P703" i="2" s="1"/>
  <c r="K705" i="2"/>
  <c r="F1109" i="2"/>
  <c r="E1109" i="2"/>
  <c r="M705" i="2" l="1"/>
  <c r="N705" i="2" s="1"/>
  <c r="P705" i="2" s="1"/>
  <c r="M704" i="2"/>
  <c r="N704" i="2" s="1"/>
  <c r="P704" i="2" s="1"/>
  <c r="L706" i="2"/>
  <c r="H706" i="2"/>
  <c r="K706" i="2" s="1"/>
  <c r="E1110" i="2"/>
  <c r="F1110" i="2"/>
  <c r="M706" i="2" l="1"/>
  <c r="N706" i="2" s="1"/>
  <c r="P706" i="2" s="1"/>
  <c r="L707" i="2"/>
  <c r="G706" i="2"/>
  <c r="F1111" i="2"/>
  <c r="E1111" i="2"/>
  <c r="J707" i="2" l="1"/>
  <c r="H707" i="2"/>
  <c r="E1112" i="2"/>
  <c r="F1112" i="2"/>
  <c r="K707" i="2" l="1"/>
  <c r="G707" i="2"/>
  <c r="E1113" i="2"/>
  <c r="F1113" i="2"/>
  <c r="J708" i="2" l="1"/>
  <c r="H708" i="2"/>
  <c r="L708" i="2"/>
  <c r="M707" i="2"/>
  <c r="N707" i="2" s="1"/>
  <c r="P707" i="2" s="1"/>
  <c r="E1114" i="2"/>
  <c r="F1114" i="2"/>
  <c r="G708" i="2" l="1"/>
  <c r="H709" i="2" s="1"/>
  <c r="K708" i="2"/>
  <c r="M708" i="2" s="1"/>
  <c r="N708" i="2" s="1"/>
  <c r="P708" i="2" s="1"/>
  <c r="F1115" i="2"/>
  <c r="E1115" i="2"/>
  <c r="J709" i="2" l="1"/>
  <c r="G709" i="2" s="1"/>
  <c r="K709" i="2"/>
  <c r="L709" i="2"/>
  <c r="F1116" i="2"/>
  <c r="E1116" i="2"/>
  <c r="H710" i="2" l="1"/>
  <c r="K710" i="2" s="1"/>
  <c r="J710" i="2"/>
  <c r="M709" i="2"/>
  <c r="N709" i="2" s="1"/>
  <c r="P709" i="2" s="1"/>
  <c r="L710" i="2"/>
  <c r="E1117" i="2"/>
  <c r="F1117" i="2"/>
  <c r="G710" i="2" l="1"/>
  <c r="M710" i="2"/>
  <c r="N710" i="2" s="1"/>
  <c r="P710" i="2" s="1"/>
  <c r="L711" i="2"/>
  <c r="E1118" i="2"/>
  <c r="F1118" i="2"/>
  <c r="H711" i="2" l="1"/>
  <c r="K711" i="2" s="1"/>
  <c r="M711" i="2" s="1"/>
  <c r="N711" i="2" s="1"/>
  <c r="P711" i="2" s="1"/>
  <c r="J711" i="2"/>
  <c r="F1119" i="2"/>
  <c r="E1119" i="2"/>
  <c r="L712" i="2" l="1"/>
  <c r="G711" i="2"/>
  <c r="F1120" i="2"/>
  <c r="E1120" i="2"/>
  <c r="H712" i="2" l="1"/>
  <c r="K712" i="2" s="1"/>
  <c r="M712" i="2" s="1"/>
  <c r="N712" i="2" s="1"/>
  <c r="P712" i="2" s="1"/>
  <c r="J712" i="2"/>
  <c r="E1121" i="2"/>
  <c r="F1121" i="2"/>
  <c r="G712" i="2" l="1"/>
  <c r="J713" i="2" s="1"/>
  <c r="L713" i="2"/>
  <c r="E1122" i="2"/>
  <c r="F1122" i="2"/>
  <c r="H713" i="2" l="1"/>
  <c r="K713" i="2" s="1"/>
  <c r="L714" i="2" s="1"/>
  <c r="F1123" i="2"/>
  <c r="E1123" i="2"/>
  <c r="G713" i="2" l="1"/>
  <c r="J714" i="2" s="1"/>
  <c r="M713" i="2"/>
  <c r="N713" i="2" s="1"/>
  <c r="P713" i="2" s="1"/>
  <c r="E1124" i="2"/>
  <c r="F1124" i="2"/>
  <c r="H714" i="2" l="1"/>
  <c r="K714" i="2" s="1"/>
  <c r="M714" i="2" s="1"/>
  <c r="N714" i="2" s="1"/>
  <c r="P714" i="2" s="1"/>
  <c r="F1125" i="2"/>
  <c r="E1125" i="2"/>
  <c r="G714" i="2" l="1"/>
  <c r="J715" i="2" s="1"/>
  <c r="L715" i="2"/>
  <c r="E1126" i="2"/>
  <c r="F1126" i="2"/>
  <c r="H715" i="2" l="1"/>
  <c r="K715" i="2" s="1"/>
  <c r="L716" i="2" s="1"/>
  <c r="F1127" i="2"/>
  <c r="E1127" i="2"/>
  <c r="G715" i="2" l="1"/>
  <c r="J716" i="2" s="1"/>
  <c r="M715" i="2"/>
  <c r="N715" i="2" s="1"/>
  <c r="P715" i="2" s="1"/>
  <c r="E1128" i="2"/>
  <c r="F1128" i="2"/>
  <c r="H716" i="2" l="1"/>
  <c r="K716" i="2" s="1"/>
  <c r="E1129" i="2"/>
  <c r="F1129" i="2"/>
  <c r="G716" i="2" l="1"/>
  <c r="H717" i="2" s="1"/>
  <c r="M716" i="2"/>
  <c r="N716" i="2" s="1"/>
  <c r="P716" i="2" s="1"/>
  <c r="L717" i="2"/>
  <c r="F1130" i="2"/>
  <c r="E1130" i="2"/>
  <c r="J717" i="2" l="1"/>
  <c r="G717" i="2" s="1"/>
  <c r="K717" i="2"/>
  <c r="M717" i="2" s="1"/>
  <c r="N717" i="2" s="1"/>
  <c r="P717" i="2" s="1"/>
  <c r="E1131" i="2"/>
  <c r="F1131" i="2"/>
  <c r="L718" i="2" l="1"/>
  <c r="H718" i="2"/>
  <c r="K718" i="2" s="1"/>
  <c r="J718" i="2"/>
  <c r="E1132" i="2"/>
  <c r="F1132" i="2"/>
  <c r="M718" i="2" l="1"/>
  <c r="N718" i="2" s="1"/>
  <c r="P718" i="2" s="1"/>
  <c r="G718" i="2"/>
  <c r="H719" i="2" s="1"/>
  <c r="K719" i="2" s="1"/>
  <c r="L719" i="2"/>
  <c r="E1133" i="2"/>
  <c r="F1133" i="2"/>
  <c r="J719" i="2" l="1"/>
  <c r="G719" i="2" s="1"/>
  <c r="H720" i="2" s="1"/>
  <c r="K720" i="2" s="1"/>
  <c r="L720" i="2"/>
  <c r="M719" i="2"/>
  <c r="N719" i="2" s="1"/>
  <c r="P719" i="2" s="1"/>
  <c r="F1134" i="2"/>
  <c r="E1134" i="2"/>
  <c r="J720" i="2" l="1"/>
  <c r="G720" i="2" s="1"/>
  <c r="M720" i="2"/>
  <c r="N720" i="2" s="1"/>
  <c r="P720" i="2" s="1"/>
  <c r="L721" i="2"/>
  <c r="F1135" i="2"/>
  <c r="E1135" i="2"/>
  <c r="H721" i="2" l="1"/>
  <c r="K721" i="2" s="1"/>
  <c r="L722" i="2" s="1"/>
  <c r="J721" i="2"/>
  <c r="E1136" i="2"/>
  <c r="F1136" i="2"/>
  <c r="M721" i="2" l="1"/>
  <c r="N721" i="2" s="1"/>
  <c r="P721" i="2" s="1"/>
  <c r="G721" i="2"/>
  <c r="E1137" i="2"/>
  <c r="F1137" i="2"/>
  <c r="H722" i="2" l="1"/>
  <c r="K722" i="2" s="1"/>
  <c r="J722" i="2"/>
  <c r="F1138" i="2"/>
  <c r="E1138" i="2"/>
  <c r="G722" i="2" l="1"/>
  <c r="J723" i="2" s="1"/>
  <c r="M722" i="2"/>
  <c r="N722" i="2" s="1"/>
  <c r="P722" i="2" s="1"/>
  <c r="L723" i="2"/>
  <c r="E1139" i="2"/>
  <c r="F1139" i="2"/>
  <c r="H723" i="2" l="1"/>
  <c r="K723" i="2" s="1"/>
  <c r="M723" i="2" s="1"/>
  <c r="N723" i="2" s="1"/>
  <c r="P723" i="2" s="1"/>
  <c r="E1140" i="2"/>
  <c r="F1140" i="2"/>
  <c r="L724" i="2" l="1"/>
  <c r="G723" i="2"/>
  <c r="H724" i="2" s="1"/>
  <c r="K724" i="2" s="1"/>
  <c r="E1141" i="2"/>
  <c r="F1141" i="2"/>
  <c r="M724" i="2" l="1"/>
  <c r="N724" i="2" s="1"/>
  <c r="P724" i="2" s="1"/>
  <c r="J724" i="2"/>
  <c r="G724" i="2" s="1"/>
  <c r="H725" i="2" s="1"/>
  <c r="K725" i="2" s="1"/>
  <c r="L725" i="2"/>
  <c r="F1142" i="2"/>
  <c r="E1142" i="2"/>
  <c r="M725" i="2" l="1"/>
  <c r="N725" i="2" s="1"/>
  <c r="P725" i="2" s="1"/>
  <c r="J725" i="2"/>
  <c r="G725" i="2" s="1"/>
  <c r="L726" i="2"/>
  <c r="F1143" i="2"/>
  <c r="E1143" i="2"/>
  <c r="H726" i="2" l="1"/>
  <c r="K726" i="2" s="1"/>
  <c r="J726" i="2"/>
  <c r="E1144" i="2"/>
  <c r="F1144" i="2"/>
  <c r="G726" i="2" l="1"/>
  <c r="J727" i="2" s="1"/>
  <c r="L727" i="2"/>
  <c r="M726" i="2"/>
  <c r="N726" i="2" s="1"/>
  <c r="P726" i="2" s="1"/>
  <c r="E1145" i="2"/>
  <c r="F1145" i="2"/>
  <c r="H727" i="2" l="1"/>
  <c r="K727" i="2" s="1"/>
  <c r="L728" i="2" s="1"/>
  <c r="F1146" i="2"/>
  <c r="E1146" i="2"/>
  <c r="M727" i="2" l="1"/>
  <c r="N727" i="2" s="1"/>
  <c r="P727" i="2" s="1"/>
  <c r="G727" i="2"/>
  <c r="F1147" i="2"/>
  <c r="E1147" i="2"/>
  <c r="J728" i="2" l="1"/>
  <c r="H728" i="2"/>
  <c r="E1148" i="2"/>
  <c r="F1148" i="2"/>
  <c r="K728" i="2" l="1"/>
  <c r="G728" i="2"/>
  <c r="E1149" i="2"/>
  <c r="F1149" i="2"/>
  <c r="H729" i="2" l="1"/>
  <c r="K729" i="2" s="1"/>
  <c r="J729" i="2"/>
  <c r="M728" i="2"/>
  <c r="N728" i="2" s="1"/>
  <c r="P728" i="2" s="1"/>
  <c r="L729" i="2"/>
  <c r="F1150" i="2"/>
  <c r="E1150" i="2"/>
  <c r="G729" i="2" l="1"/>
  <c r="H730" i="2" s="1"/>
  <c r="K730" i="2" s="1"/>
  <c r="L730" i="2"/>
  <c r="M729" i="2"/>
  <c r="N729" i="2" s="1"/>
  <c r="P729" i="2" s="1"/>
  <c r="F1151" i="2"/>
  <c r="E1151" i="2"/>
  <c r="M730" i="2" l="1"/>
  <c r="N730" i="2" s="1"/>
  <c r="P730" i="2" s="1"/>
  <c r="J730" i="2"/>
  <c r="G730" i="2" s="1"/>
  <c r="H731" i="2" s="1"/>
  <c r="K731" i="2" s="1"/>
  <c r="L731" i="2"/>
  <c r="E1152" i="2"/>
  <c r="F1152" i="2"/>
  <c r="L732" i="2" l="1"/>
  <c r="J731" i="2"/>
  <c r="G731" i="2" s="1"/>
  <c r="H732" i="2" s="1"/>
  <c r="K732" i="2" s="1"/>
  <c r="M731" i="2"/>
  <c r="N731" i="2" s="1"/>
  <c r="P731" i="2" s="1"/>
  <c r="E1153" i="2"/>
  <c r="F1153" i="2"/>
  <c r="M732" i="2" l="1"/>
  <c r="N732" i="2" s="1"/>
  <c r="P732" i="2" s="1"/>
  <c r="J732" i="2"/>
  <c r="G732" i="2" s="1"/>
  <c r="H733" i="2" s="1"/>
  <c r="K733" i="2" s="1"/>
  <c r="L733" i="2"/>
  <c r="F1154" i="2"/>
  <c r="E1154" i="2"/>
  <c r="L734" i="2" l="1"/>
  <c r="J733" i="2"/>
  <c r="G733" i="2" s="1"/>
  <c r="J734" i="2" s="1"/>
  <c r="M733" i="2"/>
  <c r="N733" i="2" s="1"/>
  <c r="P733" i="2" s="1"/>
  <c r="E1155" i="2"/>
  <c r="F1155" i="2"/>
  <c r="H734" i="2" l="1"/>
  <c r="K734" i="2" s="1"/>
  <c r="M734" i="2" s="1"/>
  <c r="N734" i="2" s="1"/>
  <c r="P734" i="2" s="1"/>
  <c r="E1156" i="2"/>
  <c r="F1156" i="2"/>
  <c r="G734" i="2" l="1"/>
  <c r="H735" i="2" s="1"/>
  <c r="K735" i="2" s="1"/>
  <c r="L735" i="2"/>
  <c r="E1157" i="2"/>
  <c r="F1157" i="2"/>
  <c r="J735" i="2" l="1"/>
  <c r="G735" i="2" s="1"/>
  <c r="J736" i="2" s="1"/>
  <c r="M735" i="2"/>
  <c r="N735" i="2" s="1"/>
  <c r="P735" i="2" s="1"/>
  <c r="L736" i="2"/>
  <c r="F1158" i="2"/>
  <c r="E1158" i="2"/>
  <c r="H736" i="2" l="1"/>
  <c r="K736" i="2" s="1"/>
  <c r="M736" i="2" s="1"/>
  <c r="N736" i="2" s="1"/>
  <c r="P736" i="2" s="1"/>
  <c r="F1159" i="2"/>
  <c r="E1159" i="2"/>
  <c r="G736" i="2" l="1"/>
  <c r="H737" i="2" s="1"/>
  <c r="L737" i="2"/>
  <c r="E1160" i="2"/>
  <c r="F1160" i="2"/>
  <c r="J737" i="2" l="1"/>
  <c r="G737" i="2" s="1"/>
  <c r="K737" i="2"/>
  <c r="F1161" i="2"/>
  <c r="E1161" i="2"/>
  <c r="H738" i="2" l="1"/>
  <c r="K738" i="2" s="1"/>
  <c r="J738" i="2"/>
  <c r="L738" i="2"/>
  <c r="M737" i="2"/>
  <c r="N737" i="2" s="1"/>
  <c r="P737" i="2" s="1"/>
  <c r="F1162" i="2"/>
  <c r="E1162" i="2"/>
  <c r="G738" i="2" l="1"/>
  <c r="J739" i="2" s="1"/>
  <c r="L739" i="2"/>
  <c r="M738" i="2"/>
  <c r="N738" i="2" s="1"/>
  <c r="P738" i="2" s="1"/>
  <c r="E1163" i="2"/>
  <c r="F1163" i="2"/>
  <c r="H739" i="2" l="1"/>
  <c r="K739" i="2" s="1"/>
  <c r="L740" i="2" s="1"/>
  <c r="E1164" i="2"/>
  <c r="F1164" i="2"/>
  <c r="M739" i="2" l="1"/>
  <c r="N739" i="2" s="1"/>
  <c r="P739" i="2" s="1"/>
  <c r="G739" i="2"/>
  <c r="J740" i="2" s="1"/>
  <c r="E1165" i="2"/>
  <c r="F1165" i="2"/>
  <c r="H740" i="2" l="1"/>
  <c r="K740" i="2" s="1"/>
  <c r="M740" i="2" s="1"/>
  <c r="N740" i="2" s="1"/>
  <c r="P740" i="2" s="1"/>
  <c r="F1166" i="2"/>
  <c r="E1166" i="2"/>
  <c r="G740" i="2" l="1"/>
  <c r="H741" i="2" s="1"/>
  <c r="K741" i="2" s="1"/>
  <c r="L741" i="2"/>
  <c r="F1167" i="2"/>
  <c r="E1167" i="2"/>
  <c r="J741" i="2" l="1"/>
  <c r="G741" i="2" s="1"/>
  <c r="H742" i="2" s="1"/>
  <c r="L742" i="2"/>
  <c r="M741" i="2"/>
  <c r="N741" i="2" s="1"/>
  <c r="P741" i="2" s="1"/>
  <c r="E1168" i="2"/>
  <c r="F1168" i="2"/>
  <c r="J742" i="2" l="1"/>
  <c r="G742" i="2" s="1"/>
  <c r="H743" i="2" s="1"/>
  <c r="K742" i="2"/>
  <c r="L743" i="2" s="1"/>
  <c r="E1169" i="2"/>
  <c r="F1169" i="2"/>
  <c r="J743" i="2" l="1"/>
  <c r="G743" i="2" s="1"/>
  <c r="H744" i="2" s="1"/>
  <c r="K743" i="2"/>
  <c r="M743" i="2" s="1"/>
  <c r="N743" i="2" s="1"/>
  <c r="P743" i="2" s="1"/>
  <c r="M742" i="2"/>
  <c r="N742" i="2" s="1"/>
  <c r="P742" i="2" s="1"/>
  <c r="F1170" i="2"/>
  <c r="E1170" i="2"/>
  <c r="J744" i="2" l="1"/>
  <c r="G744" i="2" s="1"/>
  <c r="H745" i="2" s="1"/>
  <c r="K744" i="2"/>
  <c r="L744" i="2"/>
  <c r="E1171" i="2"/>
  <c r="F1171" i="2"/>
  <c r="J745" i="2" l="1"/>
  <c r="G745" i="2" s="1"/>
  <c r="J746" i="2" s="1"/>
  <c r="L745" i="2"/>
  <c r="K745" i="2"/>
  <c r="M744" i="2"/>
  <c r="N744" i="2" s="1"/>
  <c r="P744" i="2" s="1"/>
  <c r="E1172" i="2"/>
  <c r="F1172" i="2"/>
  <c r="M745" i="2" l="1"/>
  <c r="N745" i="2" s="1"/>
  <c r="P745" i="2" s="1"/>
  <c r="L746" i="2"/>
  <c r="H746" i="2"/>
  <c r="E1173" i="2"/>
  <c r="F1173" i="2"/>
  <c r="K746" i="2" l="1"/>
  <c r="G746" i="2"/>
  <c r="F1174" i="2"/>
  <c r="E1174" i="2"/>
  <c r="J747" i="2" l="1"/>
  <c r="H747" i="2"/>
  <c r="L747" i="2"/>
  <c r="M746" i="2"/>
  <c r="N746" i="2" s="1"/>
  <c r="P746" i="2" s="1"/>
  <c r="F1175" i="2"/>
  <c r="E1175" i="2"/>
  <c r="K747" i="2" l="1"/>
  <c r="M747" i="2" s="1"/>
  <c r="N747" i="2" s="1"/>
  <c r="P747" i="2" s="1"/>
  <c r="G747" i="2"/>
  <c r="E1176" i="2"/>
  <c r="F1176" i="2"/>
  <c r="J748" i="2" l="1"/>
  <c r="H748" i="2"/>
  <c r="L748" i="2"/>
  <c r="E1177" i="2"/>
  <c r="F1177" i="2"/>
  <c r="K748" i="2" l="1"/>
  <c r="G748" i="2"/>
  <c r="F1178" i="2"/>
  <c r="E1178" i="2"/>
  <c r="H749" i="2" l="1"/>
  <c r="K749" i="2" s="1"/>
  <c r="J749" i="2"/>
  <c r="L749" i="2"/>
  <c r="M748" i="2"/>
  <c r="N748" i="2" s="1"/>
  <c r="P748" i="2" s="1"/>
  <c r="E1179" i="2"/>
  <c r="F1179" i="2"/>
  <c r="G749" i="2" l="1"/>
  <c r="J750" i="2" s="1"/>
  <c r="L750" i="2"/>
  <c r="M749" i="2"/>
  <c r="N749" i="2" s="1"/>
  <c r="P749" i="2" s="1"/>
  <c r="E1180" i="2"/>
  <c r="F1180" i="2"/>
  <c r="H750" i="2" l="1"/>
  <c r="K750" i="2" s="1"/>
  <c r="M750" i="2" s="1"/>
  <c r="N750" i="2" s="1"/>
  <c r="P750" i="2" s="1"/>
  <c r="E1181" i="2"/>
  <c r="F1181" i="2"/>
  <c r="G750" i="2" l="1"/>
  <c r="J751" i="2" s="1"/>
  <c r="L751" i="2"/>
  <c r="F1182" i="2"/>
  <c r="E1182" i="2"/>
  <c r="H751" i="2" l="1"/>
  <c r="K751" i="2" s="1"/>
  <c r="M751" i="2" s="1"/>
  <c r="N751" i="2" s="1"/>
  <c r="P751" i="2" s="1"/>
  <c r="F1183" i="2"/>
  <c r="E1183" i="2"/>
  <c r="G751" i="2" l="1"/>
  <c r="H752" i="2" s="1"/>
  <c r="K752" i="2" s="1"/>
  <c r="L752" i="2"/>
  <c r="E1184" i="2"/>
  <c r="F1184" i="2"/>
  <c r="M752" i="2" l="1"/>
  <c r="N752" i="2" s="1"/>
  <c r="P752" i="2" s="1"/>
  <c r="J752" i="2"/>
  <c r="G752" i="2" s="1"/>
  <c r="H753" i="2" s="1"/>
  <c r="K753" i="2" s="1"/>
  <c r="L753" i="2"/>
  <c r="E1185" i="2"/>
  <c r="F1185" i="2"/>
  <c r="J753" i="2" l="1"/>
  <c r="G753" i="2" s="1"/>
  <c r="H754" i="2" s="1"/>
  <c r="K754" i="2" s="1"/>
  <c r="L754" i="2"/>
  <c r="M753" i="2"/>
  <c r="N753" i="2" s="1"/>
  <c r="P753" i="2" s="1"/>
  <c r="F1186" i="2"/>
  <c r="E1186" i="2"/>
  <c r="J754" i="2" l="1"/>
  <c r="G754" i="2" s="1"/>
  <c r="J755" i="2" s="1"/>
  <c r="M754" i="2"/>
  <c r="N754" i="2" s="1"/>
  <c r="P754" i="2" s="1"/>
  <c r="L755" i="2"/>
  <c r="E1187" i="2"/>
  <c r="F1187" i="2"/>
  <c r="H755" i="2" l="1"/>
  <c r="G755" i="2" s="1"/>
  <c r="J756" i="2" s="1"/>
  <c r="E1188" i="2"/>
  <c r="F1188" i="2"/>
  <c r="H756" i="2" l="1"/>
  <c r="G756" i="2" s="1"/>
  <c r="H757" i="2" s="1"/>
  <c r="K755" i="2"/>
  <c r="L756" i="2" s="1"/>
  <c r="E1189" i="2"/>
  <c r="F1189" i="2"/>
  <c r="M755" i="2" l="1"/>
  <c r="N755" i="2" s="1"/>
  <c r="P755" i="2" s="1"/>
  <c r="K756" i="2"/>
  <c r="M756" i="2" s="1"/>
  <c r="N756" i="2" s="1"/>
  <c r="P756" i="2" s="1"/>
  <c r="J757" i="2"/>
  <c r="G757" i="2" s="1"/>
  <c r="H758" i="2" s="1"/>
  <c r="F1190" i="2"/>
  <c r="E1190" i="2"/>
  <c r="K757" i="2" l="1"/>
  <c r="L757" i="2"/>
  <c r="J758" i="2"/>
  <c r="G758" i="2" s="1"/>
  <c r="J759" i="2" s="1"/>
  <c r="F1191" i="2"/>
  <c r="E1191" i="2"/>
  <c r="L758" i="2" l="1"/>
  <c r="K758" i="2"/>
  <c r="M757" i="2"/>
  <c r="N757" i="2" s="1"/>
  <c r="P757" i="2" s="1"/>
  <c r="H759" i="2"/>
  <c r="E1192" i="2"/>
  <c r="F1192" i="2"/>
  <c r="M758" i="2" l="1"/>
  <c r="N758" i="2" s="1"/>
  <c r="P758" i="2" s="1"/>
  <c r="K759" i="2"/>
  <c r="L759" i="2"/>
  <c r="G759" i="2"/>
  <c r="J760" i="2" s="1"/>
  <c r="E1193" i="2"/>
  <c r="F1193" i="2"/>
  <c r="H760" i="2" l="1"/>
  <c r="K760" i="2" s="1"/>
  <c r="M759" i="2"/>
  <c r="N759" i="2" s="1"/>
  <c r="P759" i="2" s="1"/>
  <c r="L760" i="2"/>
  <c r="F1194" i="2"/>
  <c r="E1194" i="2"/>
  <c r="G760" i="2" l="1"/>
  <c r="H761" i="2" s="1"/>
  <c r="K761" i="2" s="1"/>
  <c r="M760" i="2"/>
  <c r="N760" i="2" s="1"/>
  <c r="P760" i="2" s="1"/>
  <c r="L761" i="2"/>
  <c r="E1195" i="2"/>
  <c r="F1195" i="2"/>
  <c r="J761" i="2" l="1"/>
  <c r="G761" i="2" s="1"/>
  <c r="H762" i="2" s="1"/>
  <c r="K762" i="2" s="1"/>
  <c r="L762" i="2"/>
  <c r="M761" i="2"/>
  <c r="N761" i="2" s="1"/>
  <c r="P761" i="2" s="1"/>
  <c r="E1196" i="2"/>
  <c r="F1196" i="2"/>
  <c r="J762" i="2" l="1"/>
  <c r="G762" i="2" s="1"/>
  <c r="J763" i="2" s="1"/>
  <c r="M762" i="2"/>
  <c r="N762" i="2" s="1"/>
  <c r="P762" i="2" s="1"/>
  <c r="L763" i="2"/>
  <c r="E1197" i="2"/>
  <c r="F1197" i="2"/>
  <c r="H763" i="2" l="1"/>
  <c r="K763" i="2" s="1"/>
  <c r="M763" i="2" s="1"/>
  <c r="N763" i="2" s="1"/>
  <c r="P763" i="2" s="1"/>
  <c r="F1198" i="2"/>
  <c r="E1198" i="2"/>
  <c r="G763" i="2" l="1"/>
  <c r="L764" i="2"/>
  <c r="F1199" i="2"/>
  <c r="E1199" i="2"/>
  <c r="H764" i="2" l="1"/>
  <c r="K764" i="2" s="1"/>
  <c r="M764" i="2" s="1"/>
  <c r="N764" i="2" s="1"/>
  <c r="P764" i="2" s="1"/>
  <c r="J764" i="2"/>
  <c r="E1200" i="2"/>
  <c r="F1200" i="2"/>
  <c r="G764" i="2" l="1"/>
  <c r="J765" i="2" s="1"/>
  <c r="L765" i="2"/>
  <c r="E1201" i="2"/>
  <c r="F1201" i="2"/>
  <c r="H765" i="2" l="1"/>
  <c r="G765" i="2" s="1"/>
  <c r="J766" i="2" s="1"/>
  <c r="F1202" i="2"/>
  <c r="E1202" i="2"/>
  <c r="K765" i="2" l="1"/>
  <c r="M765" i="2" s="1"/>
  <c r="N765" i="2" s="1"/>
  <c r="P765" i="2" s="1"/>
  <c r="H766" i="2"/>
  <c r="G766" i="2" s="1"/>
  <c r="E1203" i="2"/>
  <c r="F1203" i="2"/>
  <c r="L766" i="2" l="1"/>
  <c r="K766" i="2"/>
  <c r="H767" i="2"/>
  <c r="J767" i="2"/>
  <c r="E1204" i="2"/>
  <c r="F1204" i="2"/>
  <c r="M766" i="2" l="1"/>
  <c r="N766" i="2" s="1"/>
  <c r="P766" i="2" s="1"/>
  <c r="L767" i="2"/>
  <c r="K767" i="2"/>
  <c r="G767" i="2"/>
  <c r="E1205" i="2"/>
  <c r="F1205" i="2"/>
  <c r="M767" i="2" l="1"/>
  <c r="N767" i="2" s="1"/>
  <c r="P767" i="2" s="1"/>
  <c r="L768" i="2"/>
  <c r="H768" i="2"/>
  <c r="J768" i="2"/>
  <c r="F1206" i="2"/>
  <c r="E1206" i="2"/>
  <c r="K768" i="2" l="1"/>
  <c r="G768" i="2"/>
  <c r="F1207" i="2"/>
  <c r="E1207" i="2"/>
  <c r="J769" i="2" l="1"/>
  <c r="H769" i="2"/>
  <c r="M768" i="2"/>
  <c r="N768" i="2" s="1"/>
  <c r="P768" i="2" s="1"/>
  <c r="L769" i="2"/>
  <c r="E1208" i="2"/>
  <c r="F1208" i="2"/>
  <c r="G769" i="2" l="1"/>
  <c r="K769" i="2"/>
  <c r="E1209" i="2"/>
  <c r="F1209" i="2"/>
  <c r="M769" i="2" l="1"/>
  <c r="N769" i="2" s="1"/>
  <c r="P769" i="2" s="1"/>
  <c r="J770" i="2"/>
  <c r="H770" i="2"/>
  <c r="K770" i="2" s="1"/>
  <c r="L770" i="2"/>
  <c r="F1210" i="2"/>
  <c r="E1210" i="2"/>
  <c r="M770" i="2" l="1"/>
  <c r="N770" i="2" s="1"/>
  <c r="P770" i="2" s="1"/>
  <c r="L771" i="2"/>
  <c r="G770" i="2"/>
  <c r="F1211" i="2"/>
  <c r="E1211" i="2"/>
  <c r="J771" i="2" l="1"/>
  <c r="H771" i="2"/>
  <c r="E1212" i="2"/>
  <c r="F1212" i="2"/>
  <c r="G771" i="2" l="1"/>
  <c r="K771" i="2"/>
  <c r="E1213" i="2"/>
  <c r="F1213" i="2"/>
  <c r="M771" i="2" l="1"/>
  <c r="N771" i="2" s="1"/>
  <c r="P771" i="2" s="1"/>
  <c r="L772" i="2"/>
  <c r="H772" i="2"/>
  <c r="K772" i="2" s="1"/>
  <c r="J772" i="2"/>
  <c r="F1214" i="2"/>
  <c r="E1214" i="2"/>
  <c r="M772" i="2" l="1"/>
  <c r="N772" i="2" s="1"/>
  <c r="P772" i="2" s="1"/>
  <c r="G772" i="2"/>
  <c r="L773" i="2"/>
  <c r="F1215" i="2"/>
  <c r="E1215" i="2"/>
  <c r="J773" i="2" l="1"/>
  <c r="H773" i="2"/>
  <c r="E1216" i="2"/>
  <c r="F1216" i="2"/>
  <c r="G773" i="2" l="1"/>
  <c r="K773" i="2"/>
  <c r="E1217" i="2"/>
  <c r="F1217" i="2"/>
  <c r="M773" i="2" l="1"/>
  <c r="N773" i="2" s="1"/>
  <c r="P773" i="2" s="1"/>
  <c r="L774" i="2"/>
  <c r="J774" i="2"/>
  <c r="H774" i="2"/>
  <c r="K774" i="2" s="1"/>
  <c r="F1218" i="2"/>
  <c r="E1218" i="2"/>
  <c r="M774" i="2" l="1"/>
  <c r="N774" i="2" s="1"/>
  <c r="P774" i="2" s="1"/>
  <c r="G774" i="2"/>
  <c r="L775" i="2"/>
  <c r="E1219" i="2"/>
  <c r="F1219" i="2"/>
  <c r="H775" i="2" l="1"/>
  <c r="K775" i="2" s="1"/>
  <c r="J775" i="2"/>
  <c r="E1220" i="2"/>
  <c r="F1220" i="2"/>
  <c r="G775" i="2" l="1"/>
  <c r="H776" i="2" s="1"/>
  <c r="K776" i="2" s="1"/>
  <c r="M775" i="2"/>
  <c r="N775" i="2" s="1"/>
  <c r="P775" i="2" s="1"/>
  <c r="L776" i="2"/>
  <c r="E1221" i="2"/>
  <c r="F1221" i="2"/>
  <c r="J776" i="2" l="1"/>
  <c r="G776" i="2" s="1"/>
  <c r="H777" i="2" s="1"/>
  <c r="K777" i="2" s="1"/>
  <c r="L777" i="2"/>
  <c r="M776" i="2"/>
  <c r="N776" i="2" s="1"/>
  <c r="P776" i="2" s="1"/>
  <c r="F1222" i="2"/>
  <c r="E1222" i="2"/>
  <c r="J777" i="2" l="1"/>
  <c r="G777" i="2" s="1"/>
  <c r="M777" i="2"/>
  <c r="N777" i="2" s="1"/>
  <c r="P777" i="2" s="1"/>
  <c r="L778" i="2"/>
  <c r="F1223" i="2"/>
  <c r="E1223" i="2"/>
  <c r="J778" i="2" l="1"/>
  <c r="H778" i="2"/>
  <c r="K778" i="2" s="1"/>
  <c r="M778" i="2" s="1"/>
  <c r="N778" i="2" s="1"/>
  <c r="P778" i="2" s="1"/>
  <c r="E1224" i="2"/>
  <c r="F1224" i="2"/>
  <c r="G778" i="2" l="1"/>
  <c r="H779" i="2" s="1"/>
  <c r="K779" i="2" s="1"/>
  <c r="L779" i="2"/>
  <c r="F1225" i="2"/>
  <c r="E1225" i="2"/>
  <c r="J779" i="2" l="1"/>
  <c r="G779" i="2" s="1"/>
  <c r="J780" i="2" s="1"/>
  <c r="L780" i="2"/>
  <c r="M779" i="2"/>
  <c r="N779" i="2" s="1"/>
  <c r="P779" i="2" s="1"/>
  <c r="F1226" i="2"/>
  <c r="E1226" i="2"/>
  <c r="H780" i="2" l="1"/>
  <c r="K780" i="2" s="1"/>
  <c r="L781" i="2" s="1"/>
  <c r="E1227" i="2"/>
  <c r="F1227" i="2"/>
  <c r="G780" i="2" l="1"/>
  <c r="H781" i="2" s="1"/>
  <c r="K781" i="2" s="1"/>
  <c r="M780" i="2"/>
  <c r="N780" i="2" s="1"/>
  <c r="P780" i="2" s="1"/>
  <c r="E1228" i="2"/>
  <c r="F1228" i="2"/>
  <c r="J781" i="2" l="1"/>
  <c r="G781" i="2" s="1"/>
  <c r="H782" i="2" s="1"/>
  <c r="K782" i="2" s="1"/>
  <c r="L782" i="2"/>
  <c r="M781" i="2"/>
  <c r="N781" i="2" s="1"/>
  <c r="P781" i="2" s="1"/>
  <c r="E1229" i="2"/>
  <c r="F1229" i="2"/>
  <c r="M782" i="2" l="1"/>
  <c r="N782" i="2" s="1"/>
  <c r="P782" i="2" s="1"/>
  <c r="J782" i="2"/>
  <c r="G782" i="2" s="1"/>
  <c r="H783" i="2" s="1"/>
  <c r="K783" i="2" s="1"/>
  <c r="L783" i="2"/>
  <c r="F1230" i="2"/>
  <c r="E1230" i="2"/>
  <c r="L784" i="2" l="1"/>
  <c r="J783" i="2"/>
  <c r="G783" i="2" s="1"/>
  <c r="J784" i="2" s="1"/>
  <c r="M783" i="2"/>
  <c r="N783" i="2" s="1"/>
  <c r="P783" i="2" s="1"/>
  <c r="F1231" i="2"/>
  <c r="E1231" i="2"/>
  <c r="H784" i="2" l="1"/>
  <c r="K784" i="2" s="1"/>
  <c r="M784" i="2" s="1"/>
  <c r="N784" i="2" s="1"/>
  <c r="P784" i="2" s="1"/>
  <c r="E1232" i="2"/>
  <c r="F1232" i="2"/>
  <c r="G784" i="2" l="1"/>
  <c r="H785" i="2" s="1"/>
  <c r="K785" i="2" s="1"/>
  <c r="L785" i="2"/>
  <c r="E1233" i="2"/>
  <c r="F1233" i="2"/>
  <c r="J785" i="2" l="1"/>
  <c r="G785" i="2" s="1"/>
  <c r="M785" i="2"/>
  <c r="N785" i="2" s="1"/>
  <c r="P785" i="2" s="1"/>
  <c r="L786" i="2"/>
  <c r="F1234" i="2"/>
  <c r="E1234" i="2"/>
  <c r="J786" i="2" l="1"/>
  <c r="H786" i="2"/>
  <c r="E1235" i="2"/>
  <c r="F1235" i="2"/>
  <c r="G786" i="2" l="1"/>
  <c r="K786" i="2"/>
  <c r="E1236" i="2"/>
  <c r="F1236" i="2"/>
  <c r="M786" i="2" l="1"/>
  <c r="N786" i="2" s="1"/>
  <c r="P786" i="2" s="1"/>
  <c r="L787" i="2"/>
  <c r="H787" i="2"/>
  <c r="K787" i="2" s="1"/>
  <c r="J787" i="2"/>
  <c r="E1237" i="2"/>
  <c r="F1237" i="2"/>
  <c r="M787" i="2" l="1"/>
  <c r="N787" i="2" s="1"/>
  <c r="P787" i="2" s="1"/>
  <c r="G787" i="2"/>
  <c r="L788" i="2"/>
  <c r="F1238" i="2"/>
  <c r="E1238" i="2"/>
  <c r="J788" i="2" l="1"/>
  <c r="H788" i="2"/>
  <c r="K788" i="2" s="1"/>
  <c r="M788" i="2" s="1"/>
  <c r="N788" i="2" s="1"/>
  <c r="P788" i="2" s="1"/>
  <c r="F1239" i="2"/>
  <c r="E1239" i="2"/>
  <c r="L789" i="2" l="1"/>
  <c r="G788" i="2"/>
  <c r="E1240" i="2"/>
  <c r="F1240" i="2"/>
  <c r="J789" i="2" l="1"/>
  <c r="H789" i="2"/>
  <c r="K789" i="2" s="1"/>
  <c r="M789" i="2" s="1"/>
  <c r="N789" i="2" s="1"/>
  <c r="P789" i="2" s="1"/>
  <c r="E1241" i="2"/>
  <c r="F1241" i="2"/>
  <c r="L790" i="2" l="1"/>
  <c r="G789" i="2"/>
  <c r="F1242" i="2"/>
  <c r="E1242" i="2"/>
  <c r="J790" i="2" l="1"/>
  <c r="H790" i="2"/>
  <c r="K790" i="2" s="1"/>
  <c r="E1243" i="2"/>
  <c r="F1243" i="2"/>
  <c r="M790" i="2" l="1"/>
  <c r="N790" i="2" s="1"/>
  <c r="P790" i="2" s="1"/>
  <c r="L791" i="2"/>
  <c r="G790" i="2"/>
  <c r="E1244" i="2"/>
  <c r="F1244" i="2"/>
  <c r="H791" i="2" l="1"/>
  <c r="K791" i="2" s="1"/>
  <c r="M791" i="2" s="1"/>
  <c r="N791" i="2" s="1"/>
  <c r="P791" i="2" s="1"/>
  <c r="J791" i="2"/>
  <c r="E1245" i="2"/>
  <c r="F1245" i="2"/>
  <c r="G791" i="2" l="1"/>
  <c r="H792" i="2" s="1"/>
  <c r="K792" i="2" s="1"/>
  <c r="L792" i="2"/>
  <c r="F1246" i="2"/>
  <c r="E1246" i="2"/>
  <c r="J792" i="2" l="1"/>
  <c r="G792" i="2" s="1"/>
  <c r="L793" i="2"/>
  <c r="M792" i="2"/>
  <c r="N792" i="2" s="1"/>
  <c r="P792" i="2" s="1"/>
  <c r="F1247" i="2"/>
  <c r="E1247" i="2"/>
  <c r="H793" i="2" l="1"/>
  <c r="K793" i="2" s="1"/>
  <c r="M793" i="2" s="1"/>
  <c r="N793" i="2" s="1"/>
  <c r="P793" i="2" s="1"/>
  <c r="J793" i="2"/>
  <c r="E1248" i="2"/>
  <c r="F1248" i="2"/>
  <c r="G793" i="2" l="1"/>
  <c r="J794" i="2" s="1"/>
  <c r="L794" i="2"/>
  <c r="E1249" i="2"/>
  <c r="F1249" i="2"/>
  <c r="H794" i="2" l="1"/>
  <c r="K794" i="2" s="1"/>
  <c r="M794" i="2" s="1"/>
  <c r="N794" i="2" s="1"/>
  <c r="P794" i="2" s="1"/>
  <c r="F1250" i="2"/>
  <c r="E1250" i="2"/>
  <c r="L795" i="2" l="1"/>
  <c r="G794" i="2"/>
  <c r="H795" i="2" s="1"/>
  <c r="K795" i="2" s="1"/>
  <c r="E1251" i="2"/>
  <c r="F1251" i="2"/>
  <c r="M795" i="2" l="1"/>
  <c r="N795" i="2" s="1"/>
  <c r="P795" i="2" s="1"/>
  <c r="J795" i="2"/>
  <c r="G795" i="2" s="1"/>
  <c r="J796" i="2" s="1"/>
  <c r="L796" i="2"/>
  <c r="E1252" i="2"/>
  <c r="F1252" i="2"/>
  <c r="H796" i="2" l="1"/>
  <c r="K796" i="2" s="1"/>
  <c r="L797" i="2" s="1"/>
  <c r="E1253" i="2"/>
  <c r="F1253" i="2"/>
  <c r="G796" i="2" l="1"/>
  <c r="H797" i="2" s="1"/>
  <c r="K797" i="2" s="1"/>
  <c r="M797" i="2" s="1"/>
  <c r="N797" i="2" s="1"/>
  <c r="P797" i="2" s="1"/>
  <c r="M796" i="2"/>
  <c r="N796" i="2" s="1"/>
  <c r="P796" i="2" s="1"/>
  <c r="F1254" i="2"/>
  <c r="E1254" i="2"/>
  <c r="J797" i="2" l="1"/>
  <c r="G797" i="2" s="1"/>
  <c r="J798" i="2" s="1"/>
  <c r="L798" i="2"/>
  <c r="F1255" i="2"/>
  <c r="E1255" i="2"/>
  <c r="H798" i="2" l="1"/>
  <c r="G798" i="2" s="1"/>
  <c r="E1256" i="2"/>
  <c r="F1256" i="2"/>
  <c r="K798" i="2" l="1"/>
  <c r="M798" i="2" s="1"/>
  <c r="N798" i="2" s="1"/>
  <c r="P798" i="2" s="1"/>
  <c r="J799" i="2"/>
  <c r="H799" i="2"/>
  <c r="E1257" i="2"/>
  <c r="F1257" i="2"/>
  <c r="L799" i="2" l="1"/>
  <c r="K799" i="2"/>
  <c r="G799" i="2"/>
  <c r="F1258" i="2"/>
  <c r="E1258" i="2"/>
  <c r="H800" i="2" l="1"/>
  <c r="K800" i="2" s="1"/>
  <c r="J800" i="2"/>
  <c r="M799" i="2"/>
  <c r="N799" i="2" s="1"/>
  <c r="P799" i="2" s="1"/>
  <c r="L800" i="2"/>
  <c r="E1259" i="2"/>
  <c r="F1259" i="2"/>
  <c r="G800" i="2" l="1"/>
  <c r="J801" i="2" s="1"/>
  <c r="L801" i="2"/>
  <c r="M800" i="2"/>
  <c r="N800" i="2" s="1"/>
  <c r="P800" i="2" s="1"/>
  <c r="E1260" i="2"/>
  <c r="F1260" i="2"/>
  <c r="H801" i="2" l="1"/>
  <c r="G801" i="2" s="1"/>
  <c r="E1261" i="2"/>
  <c r="F1261" i="2"/>
  <c r="K801" i="2" l="1"/>
  <c r="M801" i="2" s="1"/>
  <c r="N801" i="2" s="1"/>
  <c r="P801" i="2" s="1"/>
  <c r="J802" i="2"/>
  <c r="H802" i="2"/>
  <c r="F1262" i="2"/>
  <c r="E1262" i="2"/>
  <c r="K802" i="2" l="1"/>
  <c r="L802" i="2"/>
  <c r="G802" i="2"/>
  <c r="H803" i="2" s="1"/>
  <c r="F1263" i="2"/>
  <c r="E1263" i="2"/>
  <c r="M802" i="2" l="1"/>
  <c r="N802" i="2" s="1"/>
  <c r="P802" i="2" s="1"/>
  <c r="L803" i="2"/>
  <c r="K803" i="2"/>
  <c r="J803" i="2"/>
  <c r="G803" i="2" s="1"/>
  <c r="H804" i="2" s="1"/>
  <c r="E1264" i="2"/>
  <c r="F1264" i="2"/>
  <c r="M803" i="2" l="1"/>
  <c r="N803" i="2" s="1"/>
  <c r="P803" i="2" s="1"/>
  <c r="K804" i="2"/>
  <c r="L804" i="2"/>
  <c r="J804" i="2"/>
  <c r="G804" i="2" s="1"/>
  <c r="H805" i="2" s="1"/>
  <c r="E1265" i="2"/>
  <c r="F1265" i="2"/>
  <c r="K805" i="2" l="1"/>
  <c r="L805" i="2"/>
  <c r="M804" i="2"/>
  <c r="N804" i="2" s="1"/>
  <c r="P804" i="2" s="1"/>
  <c r="J805" i="2"/>
  <c r="G805" i="2" s="1"/>
  <c r="H806" i="2" s="1"/>
  <c r="F1266" i="2"/>
  <c r="E1266" i="2"/>
  <c r="M805" i="2" l="1"/>
  <c r="N805" i="2" s="1"/>
  <c r="P805" i="2" s="1"/>
  <c r="K806" i="2"/>
  <c r="L806" i="2"/>
  <c r="J806" i="2"/>
  <c r="G806" i="2" s="1"/>
  <c r="E1267" i="2"/>
  <c r="F1267" i="2"/>
  <c r="L807" i="2" l="1"/>
  <c r="M806" i="2"/>
  <c r="N806" i="2" s="1"/>
  <c r="P806" i="2" s="1"/>
  <c r="J807" i="2"/>
  <c r="H807" i="2"/>
  <c r="K807" i="2" s="1"/>
  <c r="E1268" i="2"/>
  <c r="F1268" i="2"/>
  <c r="L808" i="2" l="1"/>
  <c r="G807" i="2"/>
  <c r="H808" i="2" s="1"/>
  <c r="K808" i="2" s="1"/>
  <c r="M807" i="2"/>
  <c r="N807" i="2" s="1"/>
  <c r="P807" i="2" s="1"/>
  <c r="E1269" i="2"/>
  <c r="F1269" i="2"/>
  <c r="J808" i="2" l="1"/>
  <c r="G808" i="2" s="1"/>
  <c r="H809" i="2" s="1"/>
  <c r="K809" i="2" s="1"/>
  <c r="M808" i="2"/>
  <c r="N808" i="2" s="1"/>
  <c r="P808" i="2" s="1"/>
  <c r="L809" i="2"/>
  <c r="F1270" i="2"/>
  <c r="E1270" i="2"/>
  <c r="J809" i="2" l="1"/>
  <c r="G809" i="2" s="1"/>
  <c r="J810" i="2" s="1"/>
  <c r="M809" i="2"/>
  <c r="N809" i="2" s="1"/>
  <c r="P809" i="2" s="1"/>
  <c r="L810" i="2"/>
  <c r="F1271" i="2"/>
  <c r="E1271" i="2"/>
  <c r="H810" i="2" l="1"/>
  <c r="K810" i="2" s="1"/>
  <c r="M810" i="2" s="1"/>
  <c r="N810" i="2" s="1"/>
  <c r="P810" i="2" s="1"/>
  <c r="E1272" i="2"/>
  <c r="F1272" i="2"/>
  <c r="L811" i="2" l="1"/>
  <c r="G810" i="2"/>
  <c r="E1273" i="2"/>
  <c r="F1273" i="2"/>
  <c r="J811" i="2" l="1"/>
  <c r="H811" i="2"/>
  <c r="F1274" i="2"/>
  <c r="E1274" i="2"/>
  <c r="K811" i="2" l="1"/>
  <c r="G811" i="2"/>
  <c r="F1275" i="2"/>
  <c r="E1275" i="2"/>
  <c r="M811" i="2" l="1"/>
  <c r="N811" i="2" s="1"/>
  <c r="P811" i="2" s="1"/>
  <c r="L812" i="2"/>
  <c r="H812" i="2"/>
  <c r="K812" i="2" s="1"/>
  <c r="J812" i="2"/>
  <c r="E1276" i="2"/>
  <c r="F1276" i="2"/>
  <c r="G812" i="2" l="1"/>
  <c r="J813" i="2" s="1"/>
  <c r="M812" i="2"/>
  <c r="N812" i="2" s="1"/>
  <c r="P812" i="2" s="1"/>
  <c r="L813" i="2"/>
  <c r="E1277" i="2"/>
  <c r="F1277" i="2"/>
  <c r="H813" i="2" l="1"/>
  <c r="K813" i="2" s="1"/>
  <c r="M813" i="2" s="1"/>
  <c r="N813" i="2" s="1"/>
  <c r="P813" i="2" s="1"/>
  <c r="F1278" i="2"/>
  <c r="E1278" i="2"/>
  <c r="L814" i="2" l="1"/>
  <c r="G813" i="2"/>
  <c r="H814" i="2" s="1"/>
  <c r="F1279" i="2"/>
  <c r="E1279" i="2"/>
  <c r="J814" i="2" l="1"/>
  <c r="G814" i="2" s="1"/>
  <c r="K814" i="2"/>
  <c r="E1280" i="2"/>
  <c r="F1280" i="2"/>
  <c r="J815" i="2" l="1"/>
  <c r="H815" i="2"/>
  <c r="M814" i="2"/>
  <c r="N814" i="2" s="1"/>
  <c r="P814" i="2" s="1"/>
  <c r="L815" i="2"/>
  <c r="E1281" i="2"/>
  <c r="F1281" i="2"/>
  <c r="K815" i="2" l="1"/>
  <c r="M815" i="2" s="1"/>
  <c r="N815" i="2" s="1"/>
  <c r="P815" i="2" s="1"/>
  <c r="G815" i="2"/>
  <c r="F1282" i="2"/>
  <c r="E1282" i="2"/>
  <c r="H816" i="2" l="1"/>
  <c r="J816" i="2"/>
  <c r="L816" i="2"/>
  <c r="E1283" i="2"/>
  <c r="F1283" i="2"/>
  <c r="K816" i="2" l="1"/>
  <c r="M816" i="2" s="1"/>
  <c r="N816" i="2" s="1"/>
  <c r="P816" i="2" s="1"/>
  <c r="G816" i="2"/>
  <c r="E1284" i="2"/>
  <c r="F1284" i="2"/>
  <c r="J817" i="2" l="1"/>
  <c r="H817" i="2"/>
  <c r="L817" i="2"/>
  <c r="E1285" i="2"/>
  <c r="F1285" i="2"/>
  <c r="K817" i="2" l="1"/>
  <c r="M817" i="2" s="1"/>
  <c r="N817" i="2" s="1"/>
  <c r="P817" i="2" s="1"/>
  <c r="G817" i="2"/>
  <c r="F1286" i="2"/>
  <c r="E1286" i="2"/>
  <c r="L818" i="2" l="1"/>
  <c r="H818" i="2"/>
  <c r="J818" i="2"/>
  <c r="F1287" i="2"/>
  <c r="E1287" i="2"/>
  <c r="K818" i="2" l="1"/>
  <c r="G818" i="2"/>
  <c r="E1288" i="2"/>
  <c r="F1288" i="2"/>
  <c r="J819" i="2" l="1"/>
  <c r="H819" i="2"/>
  <c r="M818" i="2"/>
  <c r="N818" i="2" s="1"/>
  <c r="P818" i="2" s="1"/>
  <c r="L819" i="2"/>
  <c r="F1289" i="2"/>
  <c r="E1289" i="2"/>
  <c r="K819" i="2" l="1"/>
  <c r="M819" i="2" s="1"/>
  <c r="N819" i="2" s="1"/>
  <c r="P819" i="2" s="1"/>
  <c r="G819" i="2"/>
  <c r="F1290" i="2"/>
  <c r="E1290" i="2"/>
  <c r="H820" i="2" l="1"/>
  <c r="K820" i="2" s="1"/>
  <c r="J820" i="2"/>
  <c r="L820" i="2"/>
  <c r="E1291" i="2"/>
  <c r="F1291" i="2"/>
  <c r="G820" i="2" l="1"/>
  <c r="J821" i="2" s="1"/>
  <c r="L821" i="2"/>
  <c r="M820" i="2"/>
  <c r="N820" i="2" s="1"/>
  <c r="P820" i="2" s="1"/>
  <c r="E1292" i="2"/>
  <c r="F1292" i="2"/>
  <c r="H821" i="2" l="1"/>
  <c r="K821" i="2" s="1"/>
  <c r="M821" i="2" s="1"/>
  <c r="N821" i="2" s="1"/>
  <c r="P821" i="2" s="1"/>
  <c r="E1293" i="2"/>
  <c r="F1293" i="2"/>
  <c r="G821" i="2" l="1"/>
  <c r="J822" i="2" s="1"/>
  <c r="L822" i="2"/>
  <c r="F1294" i="2"/>
  <c r="E1294" i="2"/>
  <c r="H822" i="2" l="1"/>
  <c r="K822" i="2" s="1"/>
  <c r="L823" i="2" s="1"/>
  <c r="F1295" i="2"/>
  <c r="E1295" i="2"/>
  <c r="M822" i="2" l="1"/>
  <c r="N822" i="2" s="1"/>
  <c r="P822" i="2" s="1"/>
  <c r="G822" i="2"/>
  <c r="J823" i="2" s="1"/>
  <c r="E1296" i="2"/>
  <c r="F1296" i="2"/>
  <c r="H823" i="2" l="1"/>
  <c r="G823" i="2" s="1"/>
  <c r="E1297" i="2"/>
  <c r="F1297" i="2"/>
  <c r="J824" i="2" l="1"/>
  <c r="H824" i="2"/>
  <c r="K823" i="2"/>
  <c r="M823" i="2" s="1"/>
  <c r="N823" i="2" s="1"/>
  <c r="P823" i="2" s="1"/>
  <c r="F1298" i="2"/>
  <c r="E1298" i="2"/>
  <c r="G824" i="2" l="1"/>
  <c r="H825" i="2" s="1"/>
  <c r="L824" i="2"/>
  <c r="K824" i="2"/>
  <c r="E1299" i="2"/>
  <c r="F1299" i="2"/>
  <c r="K825" i="2" l="1"/>
  <c r="J825" i="2"/>
  <c r="G825" i="2" s="1"/>
  <c r="J826" i="2" s="1"/>
  <c r="L825" i="2"/>
  <c r="M824" i="2"/>
  <c r="N824" i="2" s="1"/>
  <c r="P824" i="2" s="1"/>
  <c r="E1300" i="2"/>
  <c r="F1300" i="2"/>
  <c r="M825" i="2" l="1"/>
  <c r="N825" i="2" s="1"/>
  <c r="P825" i="2" s="1"/>
  <c r="H826" i="2"/>
  <c r="G826" i="2" s="1"/>
  <c r="J827" i="2" s="1"/>
  <c r="L826" i="2"/>
  <c r="E1301" i="2"/>
  <c r="F1301" i="2"/>
  <c r="K826" i="2" l="1"/>
  <c r="L827" i="2" s="1"/>
  <c r="H827" i="2"/>
  <c r="F1302" i="2"/>
  <c r="E1302" i="2"/>
  <c r="M826" i="2" l="1"/>
  <c r="N826" i="2" s="1"/>
  <c r="P826" i="2" s="1"/>
  <c r="K827" i="2"/>
  <c r="M827" i="2" s="1"/>
  <c r="N827" i="2" s="1"/>
  <c r="P827" i="2" s="1"/>
  <c r="G827" i="2"/>
  <c r="J828" i="2" s="1"/>
  <c r="F1303" i="2"/>
  <c r="E1303" i="2"/>
  <c r="L828" i="2" l="1"/>
  <c r="H828" i="2"/>
  <c r="K828" i="2" s="1"/>
  <c r="E1304" i="2"/>
  <c r="F1304" i="2"/>
  <c r="M828" i="2" l="1"/>
  <c r="N828" i="2" s="1"/>
  <c r="P828" i="2" s="1"/>
  <c r="L829" i="2"/>
  <c r="G828" i="2"/>
  <c r="E1305" i="2"/>
  <c r="F1305" i="2"/>
  <c r="J829" i="2" l="1"/>
  <c r="H829" i="2"/>
  <c r="F1306" i="2"/>
  <c r="E1306" i="2"/>
  <c r="K829" i="2" l="1"/>
  <c r="G829" i="2"/>
  <c r="E1307" i="2"/>
  <c r="F1307" i="2"/>
  <c r="H830" i="2" l="1"/>
  <c r="K830" i="2" s="1"/>
  <c r="J830" i="2"/>
  <c r="L830" i="2"/>
  <c r="M829" i="2"/>
  <c r="N829" i="2" s="1"/>
  <c r="P829" i="2" s="1"/>
  <c r="E1308" i="2"/>
  <c r="F1308" i="2"/>
  <c r="M830" i="2" l="1"/>
  <c r="N830" i="2" s="1"/>
  <c r="P830" i="2" s="1"/>
  <c r="L831" i="2"/>
  <c r="G830" i="2"/>
  <c r="E1309" i="2"/>
  <c r="F1309" i="2"/>
  <c r="J831" i="2" l="1"/>
  <c r="H831" i="2"/>
  <c r="K831" i="2" s="1"/>
  <c r="M831" i="2" s="1"/>
  <c r="N831" i="2" s="1"/>
  <c r="P831" i="2" s="1"/>
  <c r="F1310" i="2"/>
  <c r="E1310" i="2"/>
  <c r="L832" i="2" l="1"/>
  <c r="G831" i="2"/>
  <c r="F1311" i="2"/>
  <c r="E1311" i="2"/>
  <c r="J832" i="2" l="1"/>
  <c r="H832" i="2"/>
  <c r="K832" i="2" s="1"/>
  <c r="E1312" i="2"/>
  <c r="F1312" i="2"/>
  <c r="G832" i="2" l="1"/>
  <c r="M832" i="2"/>
  <c r="N832" i="2" s="1"/>
  <c r="P832" i="2" s="1"/>
  <c r="L833" i="2"/>
  <c r="E1313" i="2"/>
  <c r="F1313" i="2"/>
  <c r="J833" i="2" l="1"/>
  <c r="H833" i="2"/>
  <c r="F1314" i="2"/>
  <c r="E1314" i="2"/>
  <c r="G833" i="2" l="1"/>
  <c r="K833" i="2"/>
  <c r="E1315" i="2"/>
  <c r="F1315" i="2"/>
  <c r="M833" i="2" l="1"/>
  <c r="N833" i="2" s="1"/>
  <c r="P833" i="2" s="1"/>
  <c r="L834" i="2"/>
  <c r="J834" i="2"/>
  <c r="H834" i="2"/>
  <c r="K834" i="2" s="1"/>
  <c r="E1316" i="2"/>
  <c r="F1316" i="2"/>
  <c r="M834" i="2" l="1"/>
  <c r="N834" i="2" s="1"/>
  <c r="P834" i="2" s="1"/>
  <c r="G834" i="2"/>
  <c r="J835" i="2" s="1"/>
  <c r="L835" i="2"/>
  <c r="E1317" i="2"/>
  <c r="F1317" i="2"/>
  <c r="H835" i="2" l="1"/>
  <c r="K835" i="2" s="1"/>
  <c r="M835" i="2" s="1"/>
  <c r="N835" i="2" s="1"/>
  <c r="P835" i="2" s="1"/>
  <c r="F1318" i="2"/>
  <c r="E1318" i="2"/>
  <c r="L836" i="2" l="1"/>
  <c r="G835" i="2"/>
  <c r="F1319" i="2"/>
  <c r="E1319" i="2"/>
  <c r="J836" i="2" l="1"/>
  <c r="H836" i="2"/>
  <c r="E1320" i="2"/>
  <c r="F1320" i="2"/>
  <c r="K836" i="2" l="1"/>
  <c r="G836" i="2"/>
  <c r="E1321" i="2"/>
  <c r="F1321" i="2"/>
  <c r="H837" i="2" l="1"/>
  <c r="J837" i="2"/>
  <c r="M836" i="2"/>
  <c r="N836" i="2" s="1"/>
  <c r="P836" i="2" s="1"/>
  <c r="L837" i="2"/>
  <c r="F1322" i="2"/>
  <c r="E1322" i="2"/>
  <c r="G837" i="2" l="1"/>
  <c r="K837" i="2"/>
  <c r="M837" i="2" s="1"/>
  <c r="N837" i="2" s="1"/>
  <c r="P837" i="2" s="1"/>
  <c r="E1323" i="2"/>
  <c r="F1323" i="2"/>
  <c r="H838" i="2" l="1"/>
  <c r="K838" i="2" s="1"/>
  <c r="J838" i="2"/>
  <c r="L838" i="2"/>
  <c r="E1324" i="2"/>
  <c r="F1324" i="2"/>
  <c r="L839" i="2" l="1"/>
  <c r="G838" i="2"/>
  <c r="H839" i="2" s="1"/>
  <c r="K839" i="2" s="1"/>
  <c r="M838" i="2"/>
  <c r="N838" i="2" s="1"/>
  <c r="P838" i="2" s="1"/>
  <c r="E1325" i="2"/>
  <c r="F1325" i="2"/>
  <c r="J839" i="2" l="1"/>
  <c r="G839" i="2" s="1"/>
  <c r="H840" i="2" s="1"/>
  <c r="K840" i="2" s="1"/>
  <c r="M839" i="2"/>
  <c r="N839" i="2" s="1"/>
  <c r="P839" i="2" s="1"/>
  <c r="L840" i="2"/>
  <c r="F1326" i="2"/>
  <c r="E1326" i="2"/>
  <c r="J840" i="2" l="1"/>
  <c r="G840" i="2" s="1"/>
  <c r="J841" i="2" s="1"/>
  <c r="M840" i="2"/>
  <c r="N840" i="2" s="1"/>
  <c r="P840" i="2" s="1"/>
  <c r="L841" i="2"/>
  <c r="F1327" i="2"/>
  <c r="E1327" i="2"/>
  <c r="H841" i="2" l="1"/>
  <c r="G841" i="2" s="1"/>
  <c r="E1328" i="2"/>
  <c r="F1328" i="2"/>
  <c r="K841" i="2" l="1"/>
  <c r="M841" i="2" s="1"/>
  <c r="N841" i="2" s="1"/>
  <c r="P841" i="2" s="1"/>
  <c r="J842" i="2"/>
  <c r="H842" i="2"/>
  <c r="E1329" i="2"/>
  <c r="F1329" i="2"/>
  <c r="L842" i="2" l="1"/>
  <c r="G842" i="2"/>
  <c r="J843" i="2" s="1"/>
  <c r="K842" i="2"/>
  <c r="F1330" i="2"/>
  <c r="E1330" i="2"/>
  <c r="M842" i="2" l="1"/>
  <c r="N842" i="2" s="1"/>
  <c r="P842" i="2" s="1"/>
  <c r="H843" i="2"/>
  <c r="G843" i="2" s="1"/>
  <c r="J844" i="2" s="1"/>
  <c r="L843" i="2"/>
  <c r="E1331" i="2"/>
  <c r="F1331" i="2"/>
  <c r="H844" i="2" l="1"/>
  <c r="G844" i="2" s="1"/>
  <c r="K843" i="2"/>
  <c r="E1332" i="2"/>
  <c r="F1332" i="2"/>
  <c r="K844" i="2" l="1"/>
  <c r="M843" i="2"/>
  <c r="N843" i="2" s="1"/>
  <c r="P843" i="2" s="1"/>
  <c r="L844" i="2"/>
  <c r="H845" i="2"/>
  <c r="J845" i="2"/>
  <c r="E1333" i="2"/>
  <c r="F1333" i="2"/>
  <c r="L845" i="2" l="1"/>
  <c r="M844" i="2"/>
  <c r="N844" i="2" s="1"/>
  <c r="P844" i="2" s="1"/>
  <c r="K845" i="2"/>
  <c r="G845" i="2"/>
  <c r="H846" i="2" s="1"/>
  <c r="F1334" i="2"/>
  <c r="E1334" i="2"/>
  <c r="M845" i="2" l="1"/>
  <c r="N845" i="2" s="1"/>
  <c r="P845" i="2" s="1"/>
  <c r="L846" i="2"/>
  <c r="K846" i="2"/>
  <c r="J846" i="2"/>
  <c r="G846" i="2" s="1"/>
  <c r="F1335" i="2"/>
  <c r="E1335" i="2"/>
  <c r="M846" i="2" l="1"/>
  <c r="N846" i="2" s="1"/>
  <c r="P846" i="2" s="1"/>
  <c r="L847" i="2"/>
  <c r="H847" i="2"/>
  <c r="K847" i="2" s="1"/>
  <c r="J847" i="2"/>
  <c r="E1336" i="2"/>
  <c r="F1336" i="2"/>
  <c r="L848" i="2" l="1"/>
  <c r="M847" i="2"/>
  <c r="N847" i="2" s="1"/>
  <c r="P847" i="2" s="1"/>
  <c r="G847" i="2"/>
  <c r="H848" i="2" s="1"/>
  <c r="K848" i="2" s="1"/>
  <c r="E1337" i="2"/>
  <c r="F1337" i="2"/>
  <c r="J848" i="2" l="1"/>
  <c r="G848" i="2" s="1"/>
  <c r="J849" i="2" s="1"/>
  <c r="L849" i="2"/>
  <c r="M848" i="2"/>
  <c r="N848" i="2" s="1"/>
  <c r="P848" i="2" s="1"/>
  <c r="F1338" i="2"/>
  <c r="E1338" i="2"/>
  <c r="H849" i="2" l="1"/>
  <c r="K849" i="2" s="1"/>
  <c r="M849" i="2" s="1"/>
  <c r="N849" i="2" s="1"/>
  <c r="P849" i="2" s="1"/>
  <c r="F1339" i="2"/>
  <c r="E1339" i="2"/>
  <c r="G849" i="2" l="1"/>
  <c r="J850" i="2" s="1"/>
  <c r="L850" i="2"/>
  <c r="E1340" i="2"/>
  <c r="F1340" i="2"/>
  <c r="H850" i="2" l="1"/>
  <c r="K850" i="2" s="1"/>
  <c r="M850" i="2" s="1"/>
  <c r="N850" i="2" s="1"/>
  <c r="P850" i="2" s="1"/>
  <c r="E1341" i="2"/>
  <c r="F1341" i="2"/>
  <c r="L851" i="2" l="1"/>
  <c r="G850" i="2"/>
  <c r="J851" i="2" s="1"/>
  <c r="F1342" i="2"/>
  <c r="E1342" i="2"/>
  <c r="H851" i="2" l="1"/>
  <c r="K851" i="2" s="1"/>
  <c r="L852" i="2" s="1"/>
  <c r="F1343" i="2"/>
  <c r="E1343" i="2"/>
  <c r="M851" i="2" l="1"/>
  <c r="N851" i="2" s="1"/>
  <c r="P851" i="2" s="1"/>
  <c r="G851" i="2"/>
  <c r="E1344" i="2"/>
  <c r="F1344" i="2"/>
  <c r="H852" i="2" l="1"/>
  <c r="K852" i="2" s="1"/>
  <c r="J852" i="2"/>
  <c r="E1345" i="2"/>
  <c r="F1345" i="2"/>
  <c r="G852" i="2" l="1"/>
  <c r="J853" i="2" s="1"/>
  <c r="M852" i="2"/>
  <c r="N852" i="2" s="1"/>
  <c r="P852" i="2" s="1"/>
  <c r="L853" i="2"/>
  <c r="F1346" i="2"/>
  <c r="E1346" i="2"/>
  <c r="H853" i="2" l="1"/>
  <c r="K853" i="2" s="1"/>
  <c r="M853" i="2" s="1"/>
  <c r="N853" i="2" s="1"/>
  <c r="P853" i="2" s="1"/>
  <c r="E1347" i="2"/>
  <c r="F1347" i="2"/>
  <c r="G853" i="2" l="1"/>
  <c r="J854" i="2" s="1"/>
  <c r="L854" i="2"/>
  <c r="E1348" i="2"/>
  <c r="F1348" i="2"/>
  <c r="H854" i="2" l="1"/>
  <c r="G854" i="2" s="1"/>
  <c r="J855" i="2" s="1"/>
  <c r="E1349" i="2"/>
  <c r="F1349" i="2"/>
  <c r="K854" i="2" l="1"/>
  <c r="L855" i="2" s="1"/>
  <c r="H855" i="2"/>
  <c r="G855" i="2" s="1"/>
  <c r="F1350" i="2"/>
  <c r="E1350" i="2"/>
  <c r="M854" i="2" l="1"/>
  <c r="N854" i="2" s="1"/>
  <c r="P854" i="2" s="1"/>
  <c r="J856" i="2"/>
  <c r="H856" i="2"/>
  <c r="K855" i="2"/>
  <c r="M855" i="2" s="1"/>
  <c r="N855" i="2" s="1"/>
  <c r="P855" i="2" s="1"/>
  <c r="F1351" i="2"/>
  <c r="E1351" i="2"/>
  <c r="K856" i="2" l="1"/>
  <c r="G856" i="2"/>
  <c r="J857" i="2" s="1"/>
  <c r="L856" i="2"/>
  <c r="E1352" i="2"/>
  <c r="F1352" i="2"/>
  <c r="H857" i="2" l="1"/>
  <c r="K857" i="2" s="1"/>
  <c r="M856" i="2"/>
  <c r="N856" i="2" s="1"/>
  <c r="P856" i="2" s="1"/>
  <c r="L857" i="2"/>
  <c r="F1353" i="2"/>
  <c r="E1353" i="2"/>
  <c r="G857" i="2" l="1"/>
  <c r="J858" i="2" s="1"/>
  <c r="M857" i="2"/>
  <c r="N857" i="2" s="1"/>
  <c r="P857" i="2" s="1"/>
  <c r="L858" i="2"/>
  <c r="F1354" i="2"/>
  <c r="E1354" i="2"/>
  <c r="H858" i="2" l="1"/>
  <c r="G858" i="2" s="1"/>
  <c r="J859" i="2" s="1"/>
  <c r="E1355" i="2"/>
  <c r="F1355" i="2"/>
  <c r="K858" i="2" l="1"/>
  <c r="M858" i="2" s="1"/>
  <c r="N858" i="2" s="1"/>
  <c r="P858" i="2" s="1"/>
  <c r="H859" i="2"/>
  <c r="G859" i="2" s="1"/>
  <c r="H860" i="2" s="1"/>
  <c r="E1356" i="2"/>
  <c r="F1356" i="2"/>
  <c r="L859" i="2" l="1"/>
  <c r="J860" i="2"/>
  <c r="G860" i="2" s="1"/>
  <c r="K859" i="2"/>
  <c r="E1357" i="2"/>
  <c r="F1357" i="2"/>
  <c r="M859" i="2" l="1"/>
  <c r="N859" i="2" s="1"/>
  <c r="P859" i="2" s="1"/>
  <c r="K860" i="2"/>
  <c r="L860" i="2"/>
  <c r="J861" i="2"/>
  <c r="H861" i="2"/>
  <c r="F1358" i="2"/>
  <c r="E1358" i="2"/>
  <c r="K861" i="2" l="1"/>
  <c r="M860" i="2"/>
  <c r="N860" i="2" s="1"/>
  <c r="P860" i="2" s="1"/>
  <c r="L861" i="2"/>
  <c r="G861" i="2"/>
  <c r="J862" i="2" s="1"/>
  <c r="F1359" i="2"/>
  <c r="E1359" i="2"/>
  <c r="M861" i="2" l="1"/>
  <c r="N861" i="2" s="1"/>
  <c r="P861" i="2" s="1"/>
  <c r="L862" i="2"/>
  <c r="H862" i="2"/>
  <c r="K862" i="2" s="1"/>
  <c r="E1360" i="2"/>
  <c r="F1360" i="2"/>
  <c r="M862" i="2" l="1"/>
  <c r="N862" i="2" s="1"/>
  <c r="P862" i="2" s="1"/>
  <c r="G862" i="2"/>
  <c r="H863" i="2" s="1"/>
  <c r="K863" i="2" s="1"/>
  <c r="L863" i="2"/>
  <c r="E1361" i="2"/>
  <c r="F1361" i="2"/>
  <c r="J863" i="2" l="1"/>
  <c r="G863" i="2" s="1"/>
  <c r="J864" i="2" s="1"/>
  <c r="M863" i="2"/>
  <c r="N863" i="2" s="1"/>
  <c r="P863" i="2" s="1"/>
  <c r="L864" i="2"/>
  <c r="F1362" i="2"/>
  <c r="E1362" i="2"/>
  <c r="H864" i="2" l="1"/>
  <c r="K864" i="2" s="1"/>
  <c r="L865" i="2" s="1"/>
  <c r="E1363" i="2"/>
  <c r="F1363" i="2"/>
  <c r="G864" i="2" l="1"/>
  <c r="J865" i="2" s="1"/>
  <c r="M864" i="2"/>
  <c r="N864" i="2" s="1"/>
  <c r="P864" i="2" s="1"/>
  <c r="E1364" i="2"/>
  <c r="F1364" i="2"/>
  <c r="H865" i="2" l="1"/>
  <c r="K865" i="2" s="1"/>
  <c r="M865" i="2" s="1"/>
  <c r="N865" i="2" s="1"/>
  <c r="P865" i="2" s="1"/>
  <c r="E1365" i="2"/>
  <c r="F1365" i="2"/>
  <c r="G865" i="2" l="1"/>
  <c r="J866" i="2" s="1"/>
  <c r="L866" i="2"/>
  <c r="F1366" i="2"/>
  <c r="E1366" i="2"/>
  <c r="H866" i="2" l="1"/>
  <c r="K866" i="2" s="1"/>
  <c r="M866" i="2" s="1"/>
  <c r="N866" i="2" s="1"/>
  <c r="P866" i="2" s="1"/>
  <c r="F1367" i="2"/>
  <c r="E1367" i="2"/>
  <c r="L867" i="2" l="1"/>
  <c r="G866" i="2"/>
  <c r="H867" i="2" s="1"/>
  <c r="K867" i="2" s="1"/>
  <c r="E1368" i="2"/>
  <c r="F1368" i="2"/>
  <c r="M867" i="2" l="1"/>
  <c r="N867" i="2" s="1"/>
  <c r="P867" i="2" s="1"/>
  <c r="J867" i="2"/>
  <c r="G867" i="2" s="1"/>
  <c r="J868" i="2" s="1"/>
  <c r="L868" i="2"/>
  <c r="E1369" i="2"/>
  <c r="F1369" i="2"/>
  <c r="H868" i="2" l="1"/>
  <c r="K868" i="2" s="1"/>
  <c r="M868" i="2" s="1"/>
  <c r="N868" i="2" s="1"/>
  <c r="P868" i="2" s="1"/>
  <c r="F1370" i="2"/>
  <c r="E1370" i="2"/>
  <c r="G868" i="2" l="1"/>
  <c r="H869" i="2" s="1"/>
  <c r="K869" i="2" s="1"/>
  <c r="L869" i="2"/>
  <c r="E1371" i="2"/>
  <c r="F1371" i="2"/>
  <c r="L870" i="2" l="1"/>
  <c r="J869" i="2"/>
  <c r="G869" i="2" s="1"/>
  <c r="M869" i="2"/>
  <c r="N869" i="2" s="1"/>
  <c r="P869" i="2" s="1"/>
  <c r="E1372" i="2"/>
  <c r="F1372" i="2"/>
  <c r="H870" i="2" l="1"/>
  <c r="K870" i="2" s="1"/>
  <c r="J870" i="2"/>
  <c r="E1373" i="2"/>
  <c r="F1373" i="2"/>
  <c r="G870" i="2" l="1"/>
  <c r="J871" i="2" s="1"/>
  <c r="M870" i="2"/>
  <c r="N870" i="2" s="1"/>
  <c r="P870" i="2" s="1"/>
  <c r="L871" i="2"/>
  <c r="F1374" i="2"/>
  <c r="E1374" i="2"/>
  <c r="H871" i="2" l="1"/>
  <c r="K871" i="2" s="1"/>
  <c r="M871" i="2" s="1"/>
  <c r="N871" i="2" s="1"/>
  <c r="P871" i="2" s="1"/>
  <c r="F1375" i="2"/>
  <c r="E1375" i="2"/>
  <c r="G871" i="2" l="1"/>
  <c r="H872" i="2" s="1"/>
  <c r="K872" i="2" s="1"/>
  <c r="L872" i="2"/>
  <c r="E1376" i="2"/>
  <c r="F1376" i="2"/>
  <c r="M872" i="2" l="1"/>
  <c r="N872" i="2" s="1"/>
  <c r="P872" i="2" s="1"/>
  <c r="J872" i="2"/>
  <c r="G872" i="2" s="1"/>
  <c r="H873" i="2" s="1"/>
  <c r="K873" i="2" s="1"/>
  <c r="L873" i="2"/>
  <c r="E1377" i="2"/>
  <c r="F1377" i="2"/>
  <c r="M873" i="2" l="1"/>
  <c r="N873" i="2" s="1"/>
  <c r="P873" i="2" s="1"/>
  <c r="J873" i="2"/>
  <c r="G873" i="2" s="1"/>
  <c r="L874" i="2"/>
  <c r="F1378" i="2"/>
  <c r="E1378" i="2"/>
  <c r="J874" i="2" l="1"/>
  <c r="H874" i="2"/>
  <c r="K874" i="2" s="1"/>
  <c r="E1379" i="2"/>
  <c r="F1379" i="2"/>
  <c r="M874" i="2" l="1"/>
  <c r="N874" i="2" s="1"/>
  <c r="P874" i="2" s="1"/>
  <c r="G874" i="2"/>
  <c r="L875" i="2"/>
  <c r="E1380" i="2"/>
  <c r="F1380" i="2"/>
  <c r="H875" i="2" l="1"/>
  <c r="K875" i="2" s="1"/>
  <c r="J875" i="2"/>
  <c r="E1381" i="2"/>
  <c r="F1381" i="2"/>
  <c r="G875" i="2" l="1"/>
  <c r="J876" i="2" s="1"/>
  <c r="L876" i="2"/>
  <c r="M875" i="2"/>
  <c r="N875" i="2" s="1"/>
  <c r="P875" i="2" s="1"/>
  <c r="F1382" i="2"/>
  <c r="E1382" i="2"/>
  <c r="H876" i="2" l="1"/>
  <c r="K876" i="2" s="1"/>
  <c r="M876" i="2" s="1"/>
  <c r="N876" i="2" s="1"/>
  <c r="P876" i="2" s="1"/>
  <c r="F1383" i="2"/>
  <c r="E1383" i="2"/>
  <c r="G876" i="2" l="1"/>
  <c r="J877" i="2" s="1"/>
  <c r="L877" i="2"/>
  <c r="E1384" i="2"/>
  <c r="F1384" i="2"/>
  <c r="H877" i="2" l="1"/>
  <c r="G877" i="2" s="1"/>
  <c r="E1385" i="2"/>
  <c r="F1385" i="2"/>
  <c r="K877" i="2" l="1"/>
  <c r="M877" i="2" s="1"/>
  <c r="N877" i="2" s="1"/>
  <c r="P877" i="2" s="1"/>
  <c r="J878" i="2"/>
  <c r="H878" i="2"/>
  <c r="F1386" i="2"/>
  <c r="E1386" i="2"/>
  <c r="L878" i="2" l="1"/>
  <c r="G878" i="2"/>
  <c r="K878" i="2"/>
  <c r="E1387" i="2"/>
  <c r="F1387" i="2"/>
  <c r="L879" i="2" l="1"/>
  <c r="M878" i="2"/>
  <c r="N878" i="2" s="1"/>
  <c r="P878" i="2" s="1"/>
  <c r="J879" i="2"/>
  <c r="H879" i="2"/>
  <c r="K879" i="2" s="1"/>
  <c r="E1388" i="2"/>
  <c r="F1388" i="2"/>
  <c r="G879" i="2" l="1"/>
  <c r="H880" i="2" s="1"/>
  <c r="K880" i="2" s="1"/>
  <c r="M879" i="2"/>
  <c r="N879" i="2" s="1"/>
  <c r="P879" i="2" s="1"/>
  <c r="L880" i="2"/>
  <c r="E1389" i="2"/>
  <c r="F1389" i="2"/>
  <c r="J880" i="2" l="1"/>
  <c r="G880" i="2" s="1"/>
  <c r="J881" i="2" s="1"/>
  <c r="M880" i="2"/>
  <c r="N880" i="2" s="1"/>
  <c r="P880" i="2" s="1"/>
  <c r="L881" i="2"/>
  <c r="F1390" i="2"/>
  <c r="E1390" i="2"/>
  <c r="H881" i="2" l="1"/>
  <c r="K881" i="2" s="1"/>
  <c r="L882" i="2" s="1"/>
  <c r="F1391" i="2"/>
  <c r="E1391" i="2"/>
  <c r="M881" i="2" l="1"/>
  <c r="N881" i="2" s="1"/>
  <c r="P881" i="2" s="1"/>
  <c r="G881" i="2"/>
  <c r="H882" i="2" s="1"/>
  <c r="K882" i="2" s="1"/>
  <c r="M882" i="2" s="1"/>
  <c r="N882" i="2" s="1"/>
  <c r="P882" i="2" s="1"/>
  <c r="E1392" i="2"/>
  <c r="F1392" i="2"/>
  <c r="L883" i="2" l="1"/>
  <c r="J882" i="2"/>
  <c r="G882" i="2" s="1"/>
  <c r="J883" i="2" s="1"/>
  <c r="E1393" i="2"/>
  <c r="F1393" i="2"/>
  <c r="H883" i="2" l="1"/>
  <c r="G883" i="2" s="1"/>
  <c r="F1394" i="2"/>
  <c r="E1394" i="2"/>
  <c r="K883" i="2" l="1"/>
  <c r="M883" i="2" s="1"/>
  <c r="N883" i="2" s="1"/>
  <c r="P883" i="2" s="1"/>
  <c r="H884" i="2"/>
  <c r="J884" i="2"/>
  <c r="E1395" i="2"/>
  <c r="F1395" i="2"/>
  <c r="G884" i="2" l="1"/>
  <c r="H885" i="2" s="1"/>
  <c r="K884" i="2"/>
  <c r="L884" i="2"/>
  <c r="E1396" i="2"/>
  <c r="F1396" i="2"/>
  <c r="J885" i="2" l="1"/>
  <c r="G885" i="2" s="1"/>
  <c r="J886" i="2" s="1"/>
  <c r="M884" i="2"/>
  <c r="N884" i="2" s="1"/>
  <c r="P884" i="2" s="1"/>
  <c r="L885" i="2"/>
  <c r="K885" i="2"/>
  <c r="E1397" i="2"/>
  <c r="F1397" i="2"/>
  <c r="M885" i="2" l="1"/>
  <c r="N885" i="2" s="1"/>
  <c r="P885" i="2" s="1"/>
  <c r="L886" i="2"/>
  <c r="H886" i="2"/>
  <c r="K886" i="2" s="1"/>
  <c r="F1398" i="2"/>
  <c r="E1398" i="2"/>
  <c r="L887" i="2" l="1"/>
  <c r="G886" i="2"/>
  <c r="J887" i="2" s="1"/>
  <c r="M886" i="2"/>
  <c r="N886" i="2" s="1"/>
  <c r="P886" i="2" s="1"/>
  <c r="F1399" i="2"/>
  <c r="E1399" i="2"/>
  <c r="H887" i="2" l="1"/>
  <c r="K887" i="2" s="1"/>
  <c r="M887" i="2" s="1"/>
  <c r="N887" i="2" s="1"/>
  <c r="P887" i="2" s="1"/>
  <c r="E1400" i="2"/>
  <c r="F1400" i="2"/>
  <c r="G887" i="2" l="1"/>
  <c r="J888" i="2" s="1"/>
  <c r="L888" i="2"/>
  <c r="E1401" i="2"/>
  <c r="F1401" i="2"/>
  <c r="H888" i="2" l="1"/>
  <c r="K888" i="2" s="1"/>
  <c r="F1402" i="2"/>
  <c r="E1402" i="2"/>
  <c r="G888" i="2" l="1"/>
  <c r="J889" i="2" s="1"/>
  <c r="M888" i="2"/>
  <c r="N888" i="2" s="1"/>
  <c r="P888" i="2" s="1"/>
  <c r="L889" i="2"/>
  <c r="F1403" i="2"/>
  <c r="E1403" i="2"/>
  <c r="H889" i="2" l="1"/>
  <c r="K889" i="2" s="1"/>
  <c r="M889" i="2" s="1"/>
  <c r="N889" i="2" s="1"/>
  <c r="P889" i="2" s="1"/>
  <c r="E1404" i="2"/>
  <c r="F1404" i="2"/>
  <c r="G889" i="2" l="1"/>
  <c r="J890" i="2" s="1"/>
  <c r="L890" i="2"/>
  <c r="E1405" i="2"/>
  <c r="F1405" i="2"/>
  <c r="H890" i="2" l="1"/>
  <c r="K890" i="2" s="1"/>
  <c r="M890" i="2" s="1"/>
  <c r="N890" i="2" s="1"/>
  <c r="P890" i="2" s="1"/>
  <c r="F1406" i="2"/>
  <c r="E1406" i="2"/>
  <c r="G890" i="2" l="1"/>
  <c r="H891" i="2" s="1"/>
  <c r="K891" i="2" s="1"/>
  <c r="L891" i="2"/>
  <c r="F1407" i="2"/>
  <c r="E1407" i="2"/>
  <c r="M891" i="2" l="1"/>
  <c r="N891" i="2" s="1"/>
  <c r="P891" i="2" s="1"/>
  <c r="J891" i="2"/>
  <c r="G891" i="2" s="1"/>
  <c r="J892" i="2" s="1"/>
  <c r="L892" i="2"/>
  <c r="E1408" i="2"/>
  <c r="F1408" i="2"/>
  <c r="H892" i="2" l="1"/>
  <c r="K892" i="2" s="1"/>
  <c r="M892" i="2" s="1"/>
  <c r="N892" i="2" s="1"/>
  <c r="P892" i="2" s="1"/>
  <c r="E1409" i="2"/>
  <c r="F1409" i="2"/>
  <c r="L893" i="2" l="1"/>
  <c r="G892" i="2"/>
  <c r="H893" i="2" s="1"/>
  <c r="K893" i="2" s="1"/>
  <c r="F1410" i="2"/>
  <c r="E1410" i="2"/>
  <c r="M893" i="2" l="1"/>
  <c r="N893" i="2" s="1"/>
  <c r="P893" i="2" s="1"/>
  <c r="J893" i="2"/>
  <c r="G893" i="2" s="1"/>
  <c r="L894" i="2"/>
  <c r="E1411" i="2"/>
  <c r="F1411" i="2"/>
  <c r="H894" i="2" l="1"/>
  <c r="K894" i="2" s="1"/>
  <c r="M894" i="2" s="1"/>
  <c r="N894" i="2" s="1"/>
  <c r="P894" i="2" s="1"/>
  <c r="J894" i="2"/>
  <c r="F1412" i="2"/>
  <c r="E1412" i="2"/>
  <c r="G894" i="2" l="1"/>
  <c r="J895" i="2" s="1"/>
  <c r="L895" i="2"/>
  <c r="E1413" i="2"/>
  <c r="F1413" i="2"/>
  <c r="H895" i="2" l="1"/>
  <c r="K895" i="2" s="1"/>
  <c r="L896" i="2" s="1"/>
  <c r="E1414" i="2"/>
  <c r="F1414" i="2"/>
  <c r="G895" i="2" l="1"/>
  <c r="H896" i="2" s="1"/>
  <c r="M895" i="2"/>
  <c r="N895" i="2" s="1"/>
  <c r="P895" i="2" s="1"/>
  <c r="E1415" i="2"/>
  <c r="F1415" i="2"/>
  <c r="J896" i="2" l="1"/>
  <c r="G896" i="2" s="1"/>
  <c r="K896" i="2"/>
  <c r="E1416" i="2"/>
  <c r="F1416" i="2"/>
  <c r="H897" i="2" l="1"/>
  <c r="K897" i="2" s="1"/>
  <c r="J897" i="2"/>
  <c r="L897" i="2"/>
  <c r="M896" i="2"/>
  <c r="N896" i="2" s="1"/>
  <c r="P896" i="2" s="1"/>
  <c r="F1417" i="2"/>
  <c r="E1417" i="2"/>
  <c r="M897" i="2" l="1"/>
  <c r="N897" i="2" s="1"/>
  <c r="P897" i="2" s="1"/>
  <c r="L898" i="2"/>
  <c r="G897" i="2"/>
  <c r="E1418" i="2"/>
  <c r="F1418" i="2"/>
  <c r="J898" i="2" l="1"/>
  <c r="H898" i="2"/>
  <c r="K898" i="2" s="1"/>
  <c r="M898" i="2" s="1"/>
  <c r="N898" i="2" s="1"/>
  <c r="P898" i="2" s="1"/>
  <c r="F1419" i="2"/>
  <c r="E1419" i="2"/>
  <c r="G898" i="2" l="1"/>
  <c r="J899" i="2" s="1"/>
  <c r="L899" i="2"/>
  <c r="E1420" i="2"/>
  <c r="F1420" i="2"/>
  <c r="H899" i="2" l="1"/>
  <c r="K899" i="2" s="1"/>
  <c r="M899" i="2" s="1"/>
  <c r="N899" i="2" s="1"/>
  <c r="P899" i="2" s="1"/>
  <c r="E1421" i="2"/>
  <c r="F1421" i="2"/>
  <c r="G899" i="2" l="1"/>
  <c r="H900" i="2" s="1"/>
  <c r="K900" i="2" s="1"/>
  <c r="L900" i="2"/>
  <c r="F1422" i="2"/>
  <c r="E1422" i="2"/>
  <c r="J900" i="2" l="1"/>
  <c r="G900" i="2" s="1"/>
  <c r="J901" i="2" s="1"/>
  <c r="M900" i="2"/>
  <c r="N900" i="2" s="1"/>
  <c r="P900" i="2" s="1"/>
  <c r="L901" i="2"/>
  <c r="E1423" i="2"/>
  <c r="F1423" i="2"/>
  <c r="H901" i="2" l="1"/>
  <c r="K901" i="2" s="1"/>
  <c r="M901" i="2" s="1"/>
  <c r="N901" i="2" s="1"/>
  <c r="P901" i="2" s="1"/>
  <c r="G901" i="2" l="1"/>
  <c r="J902" i="2" s="1"/>
  <c r="L902" i="2"/>
  <c r="H902" i="2" l="1"/>
  <c r="K902" i="2" s="1"/>
  <c r="M902" i="2" s="1"/>
  <c r="N902" i="2" s="1"/>
  <c r="P902" i="2" s="1"/>
  <c r="G902" i="2" l="1"/>
  <c r="H903" i="2" s="1"/>
  <c r="K903" i="2" s="1"/>
  <c r="L903" i="2"/>
  <c r="J903" i="2" l="1"/>
  <c r="G903" i="2" s="1"/>
  <c r="J904" i="2" s="1"/>
  <c r="L904" i="2"/>
  <c r="M903" i="2"/>
  <c r="N903" i="2" s="1"/>
  <c r="P903" i="2" s="1"/>
  <c r="H904" i="2" l="1"/>
  <c r="G904" i="2" s="1"/>
  <c r="J905" i="2" s="1"/>
  <c r="H905" i="2" l="1"/>
  <c r="G905" i="2" s="1"/>
  <c r="J906" i="2" s="1"/>
  <c r="K904" i="2"/>
  <c r="M904" i="2" s="1"/>
  <c r="N904" i="2" s="1"/>
  <c r="P904" i="2" s="1"/>
  <c r="L905" i="2" l="1"/>
  <c r="K905" i="2"/>
  <c r="H906" i="2"/>
  <c r="G906" i="2" s="1"/>
  <c r="H907" i="2" s="1"/>
  <c r="M905" i="2" l="1"/>
  <c r="N905" i="2" s="1"/>
  <c r="P905" i="2" s="1"/>
  <c r="L906" i="2"/>
  <c r="K906" i="2"/>
  <c r="J907" i="2"/>
  <c r="G907" i="2" s="1"/>
  <c r="M906" i="2" l="1"/>
  <c r="N906" i="2" s="1"/>
  <c r="P906" i="2" s="1"/>
  <c r="L907" i="2"/>
  <c r="K907" i="2"/>
  <c r="H908" i="2"/>
  <c r="J908" i="2"/>
  <c r="M907" i="2" l="1"/>
  <c r="N907" i="2" s="1"/>
  <c r="P907" i="2" s="1"/>
  <c r="L908" i="2"/>
  <c r="K908" i="2"/>
  <c r="G908" i="2"/>
  <c r="H909" i="2" s="1"/>
  <c r="M908" i="2" l="1"/>
  <c r="N908" i="2" s="1"/>
  <c r="P908" i="2" s="1"/>
  <c r="L909" i="2"/>
  <c r="K909" i="2"/>
  <c r="J909" i="2"/>
  <c r="G909" i="2" s="1"/>
  <c r="H910" i="2" s="1"/>
  <c r="M909" i="2" l="1"/>
  <c r="N909" i="2" s="1"/>
  <c r="P909" i="2" s="1"/>
  <c r="L910" i="2"/>
  <c r="K910" i="2"/>
  <c r="J910" i="2"/>
  <c r="G910" i="2" s="1"/>
  <c r="H911" i="2" s="1"/>
  <c r="M910" i="2" l="1"/>
  <c r="N910" i="2" s="1"/>
  <c r="P910" i="2" s="1"/>
  <c r="L911" i="2"/>
  <c r="J911" i="2"/>
  <c r="G911" i="2" s="1"/>
  <c r="K911" i="2"/>
  <c r="M911" i="2" l="1"/>
  <c r="N911" i="2" s="1"/>
  <c r="P911" i="2" s="1"/>
  <c r="L912" i="2"/>
  <c r="J912" i="2"/>
  <c r="H912" i="2"/>
  <c r="K912" i="2" l="1"/>
  <c r="M912" i="2" s="1"/>
  <c r="N912" i="2" s="1"/>
  <c r="P912" i="2" s="1"/>
  <c r="G912" i="2"/>
  <c r="L913" i="2" l="1"/>
  <c r="J913" i="2"/>
  <c r="H913" i="2"/>
  <c r="K913" i="2" s="1"/>
  <c r="M913" i="2" l="1"/>
  <c r="N913" i="2" s="1"/>
  <c r="P913" i="2" s="1"/>
  <c r="G913" i="2"/>
  <c r="J914" i="2" s="1"/>
  <c r="L914" i="2"/>
  <c r="H914" i="2" l="1"/>
  <c r="K914" i="2" s="1"/>
  <c r="L915" i="2" s="1"/>
  <c r="M914" i="2" l="1"/>
  <c r="N914" i="2" s="1"/>
  <c r="P914" i="2" s="1"/>
  <c r="G914" i="2"/>
  <c r="J915" i="2" s="1"/>
  <c r="H915" i="2" l="1"/>
  <c r="K915" i="2" s="1"/>
  <c r="M915" i="2" s="1"/>
  <c r="N915" i="2" s="1"/>
  <c r="P915" i="2" s="1"/>
  <c r="G915" i="2" l="1"/>
  <c r="J916" i="2" s="1"/>
  <c r="L916" i="2"/>
  <c r="H916" i="2" l="1"/>
  <c r="K916" i="2" s="1"/>
  <c r="L917" i="2" s="1"/>
  <c r="M916" i="2" l="1"/>
  <c r="N916" i="2" s="1"/>
  <c r="P916" i="2" s="1"/>
  <c r="G916" i="2"/>
  <c r="J917" i="2" l="1"/>
  <c r="H917" i="2"/>
  <c r="G917" i="2" l="1"/>
  <c r="K917" i="2"/>
  <c r="H918" i="2" l="1"/>
  <c r="J918" i="2"/>
  <c r="M917" i="2"/>
  <c r="N917" i="2" s="1"/>
  <c r="P917" i="2" s="1"/>
  <c r="L918" i="2"/>
  <c r="G918" i="2" l="1"/>
  <c r="J919" i="2" s="1"/>
  <c r="K918" i="2"/>
  <c r="H919" i="2" l="1"/>
  <c r="G919" i="2" s="1"/>
  <c r="J920" i="2" s="1"/>
  <c r="M918" i="2"/>
  <c r="N918" i="2" s="1"/>
  <c r="P918" i="2" s="1"/>
  <c r="L919" i="2"/>
  <c r="K919" i="2" l="1"/>
  <c r="L920" i="2" s="1"/>
  <c r="H920" i="2"/>
  <c r="G920" i="2" s="1"/>
  <c r="H921" i="2" s="1"/>
  <c r="K920" i="2" l="1"/>
  <c r="M920" i="2" s="1"/>
  <c r="N920" i="2" s="1"/>
  <c r="P920" i="2" s="1"/>
  <c r="M919" i="2"/>
  <c r="N919" i="2" s="1"/>
  <c r="P919" i="2" s="1"/>
  <c r="J921" i="2"/>
  <c r="G921" i="2" s="1"/>
  <c r="J922" i="2" s="1"/>
  <c r="K921" i="2" l="1"/>
  <c r="L921" i="2"/>
  <c r="H922" i="2"/>
  <c r="G922" i="2" s="1"/>
  <c r="H923" i="2" s="1"/>
  <c r="L922" i="2" l="1"/>
  <c r="K922" i="2"/>
  <c r="K923" i="2" s="1"/>
  <c r="M921" i="2"/>
  <c r="N921" i="2" s="1"/>
  <c r="P921" i="2" s="1"/>
  <c r="J923" i="2"/>
  <c r="G923" i="2" s="1"/>
  <c r="M922" i="2" l="1"/>
  <c r="N922" i="2" s="1"/>
  <c r="P922" i="2" s="1"/>
  <c r="L923" i="2"/>
  <c r="M923" i="2" s="1"/>
  <c r="N923" i="2" s="1"/>
  <c r="P923" i="2" s="1"/>
  <c r="J924" i="2"/>
  <c r="H924" i="2"/>
  <c r="K924" i="2" s="1"/>
  <c r="L924" i="2" l="1"/>
  <c r="M924" i="2" s="1"/>
  <c r="N924" i="2" s="1"/>
  <c r="P924" i="2" s="1"/>
  <c r="G924" i="2"/>
  <c r="L925" i="2" l="1"/>
  <c r="J925" i="2"/>
  <c r="H925" i="2"/>
  <c r="G925" i="2" l="1"/>
  <c r="K925" i="2"/>
  <c r="M925" i="2" l="1"/>
  <c r="N925" i="2" s="1"/>
  <c r="P925" i="2" s="1"/>
  <c r="L926" i="2"/>
  <c r="H926" i="2"/>
  <c r="J926" i="2"/>
  <c r="G926" i="2" l="1"/>
  <c r="K926" i="2"/>
  <c r="M926" i="2" l="1"/>
  <c r="N926" i="2" s="1"/>
  <c r="P926" i="2" s="1"/>
  <c r="L927" i="2"/>
  <c r="H927" i="2"/>
  <c r="J927" i="2"/>
  <c r="K927" i="2" l="1"/>
  <c r="L928" i="2" s="1"/>
  <c r="G927" i="2"/>
  <c r="J928" i="2" l="1"/>
  <c r="H928" i="2"/>
  <c r="K928" i="2" s="1"/>
  <c r="M928" i="2" s="1"/>
  <c r="N928" i="2" s="1"/>
  <c r="P928" i="2" s="1"/>
  <c r="M927" i="2"/>
  <c r="N927" i="2" s="1"/>
  <c r="P927" i="2" s="1"/>
  <c r="G928" i="2" l="1"/>
  <c r="J929" i="2" s="1"/>
  <c r="L929" i="2"/>
  <c r="H929" i="2" l="1"/>
  <c r="G929" i="2" s="1"/>
  <c r="K929" i="2" l="1"/>
  <c r="M929" i="2" s="1"/>
  <c r="N929" i="2" s="1"/>
  <c r="P929" i="2" s="1"/>
  <c r="J930" i="2"/>
  <c r="H930" i="2"/>
  <c r="L930" i="2" l="1"/>
  <c r="K930" i="2"/>
  <c r="G930" i="2"/>
  <c r="M930" i="2" l="1"/>
  <c r="N930" i="2" s="1"/>
  <c r="P930" i="2" s="1"/>
  <c r="H931" i="2"/>
  <c r="J931" i="2"/>
  <c r="L931" i="2"/>
  <c r="K931" i="2" l="1"/>
  <c r="M931" i="2" s="1"/>
  <c r="N931" i="2" s="1"/>
  <c r="P931" i="2" s="1"/>
  <c r="G931" i="2"/>
  <c r="J932" i="2" l="1"/>
  <c r="H932" i="2"/>
  <c r="L932" i="2"/>
  <c r="K932" i="2" l="1"/>
  <c r="M932" i="2" s="1"/>
  <c r="N932" i="2" s="1"/>
  <c r="P932" i="2" s="1"/>
  <c r="G932" i="2"/>
  <c r="J933" i="2" l="1"/>
  <c r="H933" i="2"/>
  <c r="L933" i="2"/>
  <c r="K933" i="2" l="1"/>
  <c r="M933" i="2" s="1"/>
  <c r="N933" i="2" s="1"/>
  <c r="P933" i="2" s="1"/>
  <c r="G933" i="2"/>
  <c r="J934" i="2" l="1"/>
  <c r="H934" i="2"/>
  <c r="L934" i="2"/>
  <c r="G934" i="2" l="1"/>
  <c r="J935" i="2" s="1"/>
  <c r="K934" i="2"/>
  <c r="H935" i="2" l="1"/>
  <c r="G935" i="2" s="1"/>
  <c r="J936" i="2" s="1"/>
  <c r="L935" i="2"/>
  <c r="M934" i="2"/>
  <c r="N934" i="2" s="1"/>
  <c r="P934" i="2" s="1"/>
  <c r="H936" i="2" l="1"/>
  <c r="G936" i="2" s="1"/>
  <c r="J937" i="2" s="1"/>
  <c r="K935" i="2"/>
  <c r="K936" i="2" l="1"/>
  <c r="L936" i="2"/>
  <c r="M935" i="2"/>
  <c r="N935" i="2" s="1"/>
  <c r="P935" i="2" s="1"/>
  <c r="H937" i="2"/>
  <c r="G937" i="2" s="1"/>
  <c r="J938" i="2" s="1"/>
  <c r="L937" i="2" l="1"/>
  <c r="K937" i="2"/>
  <c r="M936" i="2"/>
  <c r="N936" i="2" s="1"/>
  <c r="P936" i="2" s="1"/>
  <c r="H938" i="2"/>
  <c r="M937" i="2" l="1"/>
  <c r="N937" i="2" s="1"/>
  <c r="P937" i="2" s="1"/>
  <c r="L938" i="2"/>
  <c r="K938" i="2"/>
  <c r="G938" i="2"/>
  <c r="H939" i="2" s="1"/>
  <c r="L939" i="2" l="1"/>
  <c r="M938" i="2"/>
  <c r="N938" i="2" s="1"/>
  <c r="P938" i="2" s="1"/>
  <c r="J939" i="2"/>
  <c r="G939" i="2" s="1"/>
  <c r="J940" i="2" s="1"/>
  <c r="K939" i="2"/>
  <c r="H940" i="2" l="1"/>
  <c r="G940" i="2" s="1"/>
  <c r="M939" i="2"/>
  <c r="N939" i="2" s="1"/>
  <c r="P939" i="2" s="1"/>
  <c r="L940" i="2"/>
  <c r="H941" i="2" l="1"/>
  <c r="J941" i="2"/>
  <c r="K940" i="2"/>
  <c r="L941" i="2" s="1"/>
  <c r="M940" i="2" l="1"/>
  <c r="N940" i="2" s="1"/>
  <c r="P940" i="2" s="1"/>
  <c r="G941" i="2"/>
  <c r="H942" i="2" s="1"/>
  <c r="K941" i="2"/>
  <c r="L942" i="2" s="1"/>
  <c r="J942" i="2" l="1"/>
  <c r="G942" i="2" s="1"/>
  <c r="H943" i="2" s="1"/>
  <c r="M941" i="2"/>
  <c r="N941" i="2" s="1"/>
  <c r="P941" i="2" s="1"/>
  <c r="K942" i="2"/>
  <c r="M942" i="2" s="1"/>
  <c r="N942" i="2" s="1"/>
  <c r="P942" i="2" s="1"/>
  <c r="L943" i="2" l="1"/>
  <c r="K943" i="2"/>
  <c r="J943" i="2"/>
  <c r="G943" i="2" s="1"/>
  <c r="H944" i="2" s="1"/>
  <c r="L944" i="2" l="1"/>
  <c r="M943" i="2"/>
  <c r="N943" i="2" s="1"/>
  <c r="P943" i="2" s="1"/>
  <c r="J944" i="2"/>
  <c r="G944" i="2" s="1"/>
  <c r="K944" i="2"/>
  <c r="M944" i="2" l="1"/>
  <c r="N944" i="2" s="1"/>
  <c r="P944" i="2" s="1"/>
  <c r="L945" i="2"/>
  <c r="J945" i="2"/>
  <c r="H945" i="2"/>
  <c r="G945" i="2" l="1"/>
  <c r="J946" i="2" s="1"/>
  <c r="K945" i="2"/>
  <c r="L946" i="2" s="1"/>
  <c r="H946" i="2" l="1"/>
  <c r="K946" i="2" s="1"/>
  <c r="M946" i="2" s="1"/>
  <c r="N946" i="2" s="1"/>
  <c r="P946" i="2" s="1"/>
  <c r="M945" i="2"/>
  <c r="N945" i="2" s="1"/>
  <c r="P945" i="2" s="1"/>
  <c r="G946" i="2" l="1"/>
  <c r="H947" i="2" s="1"/>
  <c r="K947" i="2" s="1"/>
  <c r="L947" i="2"/>
  <c r="J947" i="2" l="1"/>
  <c r="G947" i="2" s="1"/>
  <c r="J948" i="2" s="1"/>
  <c r="M947" i="2"/>
  <c r="N947" i="2" s="1"/>
  <c r="P947" i="2" s="1"/>
  <c r="L948" i="2"/>
  <c r="H948" i="2" l="1"/>
  <c r="K948" i="2" s="1"/>
  <c r="L949" i="2" s="1"/>
  <c r="G948" i="2" l="1"/>
  <c r="H949" i="2" s="1"/>
  <c r="K949" i="2" s="1"/>
  <c r="M949" i="2" s="1"/>
  <c r="N949" i="2" s="1"/>
  <c r="P949" i="2" s="1"/>
  <c r="M948" i="2"/>
  <c r="N948" i="2" s="1"/>
  <c r="P948" i="2" s="1"/>
  <c r="J949" i="2" l="1"/>
  <c r="G949" i="2" s="1"/>
  <c r="H950" i="2" s="1"/>
  <c r="K950" i="2" s="1"/>
  <c r="L950" i="2"/>
  <c r="J950" i="2" l="1"/>
  <c r="G950" i="2" s="1"/>
  <c r="J951" i="2" s="1"/>
  <c r="L951" i="2"/>
  <c r="M950" i="2"/>
  <c r="N950" i="2" s="1"/>
  <c r="P950" i="2" s="1"/>
  <c r="H951" i="2" l="1"/>
  <c r="G951" i="2" s="1"/>
  <c r="H952" i="2" s="1"/>
  <c r="K951" i="2" l="1"/>
  <c r="K952" i="2" s="1"/>
  <c r="J952" i="2"/>
  <c r="G952" i="2" s="1"/>
  <c r="H953" i="2" s="1"/>
  <c r="M951" i="2" l="1"/>
  <c r="N951" i="2" s="1"/>
  <c r="P951" i="2" s="1"/>
  <c r="L952" i="2"/>
  <c r="L953" i="2" s="1"/>
  <c r="K953" i="2"/>
  <c r="J953" i="2"/>
  <c r="G953" i="2" s="1"/>
  <c r="H954" i="2" s="1"/>
  <c r="M952" i="2" l="1"/>
  <c r="N952" i="2" s="1"/>
  <c r="P952" i="2" s="1"/>
  <c r="K954" i="2"/>
  <c r="M953" i="2"/>
  <c r="N953" i="2" s="1"/>
  <c r="P953" i="2" s="1"/>
  <c r="L954" i="2"/>
  <c r="J954" i="2"/>
  <c r="G954" i="2" s="1"/>
  <c r="M954" i="2" l="1"/>
  <c r="N954" i="2" s="1"/>
  <c r="P954" i="2" s="1"/>
  <c r="L955" i="2"/>
  <c r="J955" i="2"/>
  <c r="H955" i="2"/>
  <c r="K955" i="2" s="1"/>
  <c r="M955" i="2" l="1"/>
  <c r="N955" i="2" s="1"/>
  <c r="P955" i="2" s="1"/>
  <c r="G955" i="2"/>
  <c r="J956" i="2" s="1"/>
  <c r="L956" i="2"/>
  <c r="H956" i="2" l="1"/>
  <c r="K956" i="2" s="1"/>
  <c r="L957" i="2" s="1"/>
  <c r="M956" i="2" l="1"/>
  <c r="N956" i="2" s="1"/>
  <c r="P956" i="2" s="1"/>
  <c r="G956" i="2"/>
  <c r="J957" i="2" s="1"/>
  <c r="H957" i="2" l="1"/>
  <c r="K957" i="2" s="1"/>
  <c r="M957" i="2" s="1"/>
  <c r="N957" i="2" s="1"/>
  <c r="P957" i="2" s="1"/>
  <c r="G957" i="2" l="1"/>
  <c r="J958" i="2" s="1"/>
  <c r="L958" i="2"/>
  <c r="H958" i="2" l="1"/>
  <c r="K958" i="2" s="1"/>
  <c r="G958" i="2" l="1"/>
  <c r="H959" i="2" s="1"/>
  <c r="M958" i="2"/>
  <c r="N958" i="2" s="1"/>
  <c r="P958" i="2" s="1"/>
  <c r="L959" i="2"/>
  <c r="J959" i="2" l="1"/>
  <c r="G959" i="2" s="1"/>
  <c r="K959" i="2"/>
  <c r="M959" i="2" s="1"/>
  <c r="N959" i="2" s="1"/>
  <c r="P959" i="2" s="1"/>
  <c r="J960" i="2" l="1"/>
  <c r="H960" i="2"/>
  <c r="K960" i="2" s="1"/>
  <c r="L960" i="2"/>
  <c r="M960" i="2" l="1"/>
  <c r="N960" i="2" s="1"/>
  <c r="P960" i="2" s="1"/>
  <c r="L961" i="2"/>
  <c r="G960" i="2"/>
  <c r="J961" i="2" s="1"/>
  <c r="H961" i="2" l="1"/>
  <c r="K961" i="2" s="1"/>
  <c r="M961" i="2" s="1"/>
  <c r="N961" i="2" s="1"/>
  <c r="P961" i="2" s="1"/>
  <c r="L962" i="2" l="1"/>
  <c r="G961" i="2"/>
  <c r="J962" i="2" l="1"/>
  <c r="H962" i="2"/>
  <c r="K962" i="2" s="1"/>
  <c r="G962" i="2" l="1"/>
  <c r="H963" i="2" s="1"/>
  <c r="L963" i="2"/>
  <c r="M962" i="2"/>
  <c r="N962" i="2" s="1"/>
  <c r="P962" i="2" s="1"/>
  <c r="J963" i="2" l="1"/>
  <c r="G963" i="2" s="1"/>
  <c r="J964" i="2" s="1"/>
  <c r="K963" i="2"/>
  <c r="H964" i="2" l="1"/>
  <c r="G964" i="2" s="1"/>
  <c r="M963" i="2"/>
  <c r="N963" i="2" s="1"/>
  <c r="P963" i="2" s="1"/>
  <c r="L964" i="2"/>
  <c r="K964" i="2" l="1"/>
  <c r="M964" i="2" s="1"/>
  <c r="N964" i="2" s="1"/>
  <c r="P964" i="2" s="1"/>
  <c r="J965" i="2"/>
  <c r="H965" i="2"/>
  <c r="L965" i="2" l="1"/>
  <c r="K965" i="2"/>
  <c r="G965" i="2"/>
  <c r="L966" i="2" l="1"/>
  <c r="M965" i="2"/>
  <c r="N965" i="2" s="1"/>
  <c r="P965" i="2" s="1"/>
  <c r="J966" i="2"/>
  <c r="H966" i="2"/>
  <c r="K966" i="2" l="1"/>
  <c r="G966" i="2"/>
  <c r="H967" i="2" l="1"/>
  <c r="K967" i="2" s="1"/>
  <c r="J967" i="2"/>
  <c r="M966" i="2"/>
  <c r="N966" i="2" s="1"/>
  <c r="P966" i="2" s="1"/>
  <c r="L967" i="2"/>
  <c r="G967" i="2" l="1"/>
  <c r="H968" i="2" s="1"/>
  <c r="K968" i="2" s="1"/>
  <c r="L968" i="2"/>
  <c r="M967" i="2"/>
  <c r="N967" i="2" s="1"/>
  <c r="P967" i="2" s="1"/>
  <c r="J968" i="2" l="1"/>
  <c r="G968" i="2" s="1"/>
  <c r="J969" i="2" s="1"/>
  <c r="M968" i="2"/>
  <c r="N968" i="2" s="1"/>
  <c r="P968" i="2" s="1"/>
  <c r="L969" i="2"/>
  <c r="H969" i="2" l="1"/>
  <c r="G969" i="2" s="1"/>
  <c r="K969" i="2" l="1"/>
  <c r="L970" i="2" s="1"/>
  <c r="H970" i="2"/>
  <c r="J970" i="2"/>
  <c r="G970" i="2" l="1"/>
  <c r="J971" i="2" s="1"/>
  <c r="K970" i="2"/>
  <c r="L971" i="2" s="1"/>
  <c r="M969" i="2"/>
  <c r="N969" i="2" s="1"/>
  <c r="P969" i="2" s="1"/>
  <c r="H971" i="2" l="1"/>
  <c r="G971" i="2" s="1"/>
  <c r="J972" i="2" s="1"/>
  <c r="M970" i="2"/>
  <c r="N970" i="2" s="1"/>
  <c r="P970" i="2" s="1"/>
  <c r="K971" i="2" l="1"/>
  <c r="M971" i="2" s="1"/>
  <c r="N971" i="2" s="1"/>
  <c r="P971" i="2" s="1"/>
  <c r="H972" i="2"/>
  <c r="G972" i="2" s="1"/>
  <c r="H973" i="2" s="1"/>
  <c r="L972" i="2" l="1"/>
  <c r="K972" i="2"/>
  <c r="J973" i="2"/>
  <c r="G973" i="2" s="1"/>
  <c r="M972" i="2" l="1"/>
  <c r="N972" i="2" s="1"/>
  <c r="P972" i="2" s="1"/>
  <c r="K973" i="2"/>
  <c r="L973" i="2"/>
  <c r="J974" i="2"/>
  <c r="H974" i="2"/>
  <c r="L974" i="2" l="1"/>
  <c r="M973" i="2"/>
  <c r="N973" i="2" s="1"/>
  <c r="P973" i="2" s="1"/>
  <c r="G974" i="2"/>
  <c r="K974" i="2"/>
  <c r="M974" i="2" l="1"/>
  <c r="N974" i="2" s="1"/>
  <c r="P974" i="2" s="1"/>
  <c r="L975" i="2"/>
  <c r="J975" i="2"/>
  <c r="H975" i="2"/>
  <c r="G975" i="2" l="1"/>
  <c r="H976" i="2" s="1"/>
  <c r="K975" i="2"/>
  <c r="L976" i="2" s="1"/>
  <c r="J976" i="2" l="1"/>
  <c r="G976" i="2" s="1"/>
  <c r="J977" i="2" s="1"/>
  <c r="M975" i="2"/>
  <c r="N975" i="2" s="1"/>
  <c r="P975" i="2" s="1"/>
  <c r="K976" i="2"/>
  <c r="H977" i="2" l="1"/>
  <c r="G977" i="2" s="1"/>
  <c r="J978" i="2" s="1"/>
  <c r="M976" i="2"/>
  <c r="N976" i="2" s="1"/>
  <c r="P976" i="2" s="1"/>
  <c r="L977" i="2"/>
  <c r="K977" i="2" l="1"/>
  <c r="L978" i="2" s="1"/>
  <c r="H978" i="2"/>
  <c r="G978" i="2" s="1"/>
  <c r="J979" i="2" s="1"/>
  <c r="M977" i="2" l="1"/>
  <c r="N977" i="2" s="1"/>
  <c r="P977" i="2" s="1"/>
  <c r="K978" i="2"/>
  <c r="M978" i="2" s="1"/>
  <c r="N978" i="2" s="1"/>
  <c r="P978" i="2" s="1"/>
  <c r="H979" i="2"/>
  <c r="G979" i="2" s="1"/>
  <c r="H980" i="2" s="1"/>
  <c r="L979" i="2" l="1"/>
  <c r="K979" i="2"/>
  <c r="J980" i="2"/>
  <c r="G980" i="2" s="1"/>
  <c r="J981" i="2" s="1"/>
  <c r="L980" i="2" l="1"/>
  <c r="M979" i="2"/>
  <c r="N979" i="2" s="1"/>
  <c r="P979" i="2" s="1"/>
  <c r="K980" i="2"/>
  <c r="H981" i="2"/>
  <c r="M980" i="2" l="1"/>
  <c r="N980" i="2" s="1"/>
  <c r="P980" i="2" s="1"/>
  <c r="K981" i="2"/>
  <c r="L981" i="2"/>
  <c r="G981" i="2"/>
  <c r="H982" i="2" s="1"/>
  <c r="L982" i="2" l="1"/>
  <c r="K982" i="2"/>
  <c r="M981" i="2"/>
  <c r="N981" i="2" s="1"/>
  <c r="P981" i="2" s="1"/>
  <c r="J982" i="2"/>
  <c r="G982" i="2" s="1"/>
  <c r="M982" i="2" l="1"/>
  <c r="N982" i="2" s="1"/>
  <c r="P982" i="2" s="1"/>
  <c r="L983" i="2"/>
  <c r="J983" i="2"/>
  <c r="H983" i="2"/>
  <c r="K983" i="2" s="1"/>
  <c r="M983" i="2" l="1"/>
  <c r="N983" i="2" s="1"/>
  <c r="P983" i="2" s="1"/>
  <c r="G983" i="2"/>
  <c r="J984" i="2" s="1"/>
  <c r="L984" i="2"/>
  <c r="H984" i="2" l="1"/>
  <c r="K984" i="2" s="1"/>
  <c r="M984" i="2" s="1"/>
  <c r="N984" i="2" s="1"/>
  <c r="P984" i="2" s="1"/>
  <c r="L985" i="2" l="1"/>
  <c r="G984" i="2"/>
  <c r="H985" i="2" s="1"/>
  <c r="K985" i="2" s="1"/>
  <c r="M985" i="2" l="1"/>
  <c r="N985" i="2" s="1"/>
  <c r="P985" i="2" s="1"/>
  <c r="J985" i="2"/>
  <c r="G985" i="2" s="1"/>
  <c r="H986" i="2" s="1"/>
  <c r="K986" i="2" s="1"/>
  <c r="L986" i="2"/>
  <c r="J986" i="2" l="1"/>
  <c r="G986" i="2" s="1"/>
  <c r="J987" i="2" s="1"/>
  <c r="L987" i="2"/>
  <c r="M986" i="2"/>
  <c r="N986" i="2" s="1"/>
  <c r="P986" i="2" s="1"/>
  <c r="H987" i="2" l="1"/>
  <c r="K987" i="2" s="1"/>
  <c r="M987" i="2" s="1"/>
  <c r="N987" i="2" s="1"/>
  <c r="P987" i="2" s="1"/>
  <c r="G987" i="2" l="1"/>
  <c r="H988" i="2" s="1"/>
  <c r="K988" i="2" s="1"/>
  <c r="L988" i="2"/>
  <c r="L989" i="2" l="1"/>
  <c r="J988" i="2"/>
  <c r="G988" i="2" s="1"/>
  <c r="J989" i="2" s="1"/>
  <c r="M988" i="2"/>
  <c r="N988" i="2" s="1"/>
  <c r="P988" i="2" s="1"/>
  <c r="H989" i="2" l="1"/>
  <c r="K989" i="2" s="1"/>
  <c r="L990" i="2" s="1"/>
  <c r="G989" i="2" l="1"/>
  <c r="H990" i="2" s="1"/>
  <c r="M989" i="2"/>
  <c r="N989" i="2" s="1"/>
  <c r="P989" i="2" s="1"/>
  <c r="J990" i="2" l="1"/>
  <c r="G990" i="2" s="1"/>
  <c r="K990" i="2"/>
  <c r="H991" i="2" l="1"/>
  <c r="K991" i="2" s="1"/>
  <c r="J991" i="2"/>
  <c r="M990" i="2"/>
  <c r="N990" i="2" s="1"/>
  <c r="P990" i="2" s="1"/>
  <c r="L991" i="2"/>
  <c r="G991" i="2" l="1"/>
  <c r="J992" i="2" s="1"/>
  <c r="L992" i="2"/>
  <c r="M991" i="2"/>
  <c r="N991" i="2" s="1"/>
  <c r="P991" i="2" s="1"/>
  <c r="H992" i="2" l="1"/>
  <c r="K992" i="2" s="1"/>
  <c r="G992" i="2" l="1"/>
  <c r="H993" i="2" s="1"/>
  <c r="K993" i="2" s="1"/>
  <c r="L993" i="2"/>
  <c r="M992" i="2"/>
  <c r="N992" i="2" s="1"/>
  <c r="P992" i="2" s="1"/>
  <c r="L994" i="2" l="1"/>
  <c r="J993" i="2"/>
  <c r="G993" i="2" s="1"/>
  <c r="J994" i="2" s="1"/>
  <c r="M993" i="2"/>
  <c r="N993" i="2" s="1"/>
  <c r="P993" i="2" s="1"/>
  <c r="H994" i="2" l="1"/>
  <c r="K994" i="2" s="1"/>
  <c r="G994" i="2" l="1"/>
  <c r="J995" i="2" s="1"/>
  <c r="L995" i="2"/>
  <c r="M994" i="2"/>
  <c r="N994" i="2" s="1"/>
  <c r="P994" i="2" s="1"/>
  <c r="H995" i="2" l="1"/>
  <c r="G995" i="2" s="1"/>
  <c r="H996" i="2" s="1"/>
  <c r="K995" i="2" l="1"/>
  <c r="L996" i="2" s="1"/>
  <c r="J996" i="2"/>
  <c r="G996" i="2" s="1"/>
  <c r="J997" i="2" s="1"/>
  <c r="K996" i="2" l="1"/>
  <c r="M996" i="2" s="1"/>
  <c r="N996" i="2" s="1"/>
  <c r="P996" i="2" s="1"/>
  <c r="M995" i="2"/>
  <c r="N995" i="2" s="1"/>
  <c r="P995" i="2" s="1"/>
  <c r="H997" i="2"/>
  <c r="G997" i="2" s="1"/>
  <c r="J998" i="2" s="1"/>
  <c r="L997" i="2" l="1"/>
  <c r="K997" i="2"/>
  <c r="H998" i="2"/>
  <c r="G998" i="2" s="1"/>
  <c r="K998" i="2" l="1"/>
  <c r="M997" i="2"/>
  <c r="N997" i="2" s="1"/>
  <c r="P997" i="2" s="1"/>
  <c r="L998" i="2"/>
  <c r="H999" i="2"/>
  <c r="J999" i="2"/>
  <c r="L999" i="2" l="1"/>
  <c r="M998" i="2"/>
  <c r="N998" i="2" s="1"/>
  <c r="P998" i="2" s="1"/>
  <c r="K999" i="2"/>
  <c r="G999" i="2"/>
  <c r="J1000" i="2" s="1"/>
  <c r="M999" i="2" l="1"/>
  <c r="N999" i="2" s="1"/>
  <c r="P999" i="2" s="1"/>
  <c r="L1000" i="2"/>
  <c r="H1000" i="2"/>
  <c r="G1000" i="2" s="1"/>
  <c r="H1001" i="2" s="1"/>
  <c r="K1000" i="2" l="1"/>
  <c r="M1000" i="2" s="1"/>
  <c r="N1000" i="2" s="1"/>
  <c r="P1000" i="2" s="1"/>
  <c r="J1001" i="2"/>
  <c r="G1001" i="2" s="1"/>
  <c r="J1002" i="2" s="1"/>
  <c r="H1002" i="2" l="1"/>
  <c r="G1002" i="2" s="1"/>
  <c r="H1003" i="2" s="1"/>
  <c r="K1001" i="2"/>
  <c r="L1001" i="2"/>
  <c r="L1002" i="2" l="1"/>
  <c r="K1002" i="2"/>
  <c r="M1001" i="2"/>
  <c r="N1001" i="2" s="1"/>
  <c r="P1001" i="2" s="1"/>
  <c r="J1003" i="2"/>
  <c r="G1003" i="2" s="1"/>
  <c r="L1003" i="2" l="1"/>
  <c r="K1003" i="2"/>
  <c r="M1002" i="2"/>
  <c r="N1002" i="2" s="1"/>
  <c r="P1002" i="2" s="1"/>
  <c r="H1004" i="2"/>
  <c r="J1004" i="2"/>
  <c r="L1004" i="2" l="1"/>
  <c r="M1003" i="2"/>
  <c r="N1003" i="2" s="1"/>
  <c r="P1003" i="2" s="1"/>
  <c r="K1004" i="2"/>
  <c r="G1004" i="2"/>
  <c r="M1004" i="2" l="1"/>
  <c r="N1004" i="2" s="1"/>
  <c r="P1004" i="2" s="1"/>
  <c r="L1005" i="2"/>
  <c r="J1005" i="2"/>
  <c r="H1005" i="2"/>
  <c r="K1005" i="2" l="1"/>
  <c r="G1005" i="2"/>
  <c r="J1006" i="2" l="1"/>
  <c r="H1006" i="2"/>
  <c r="K1006" i="2" s="1"/>
  <c r="M1005" i="2"/>
  <c r="N1005" i="2" s="1"/>
  <c r="P1005" i="2" s="1"/>
  <c r="L1006" i="2"/>
  <c r="M1006" i="2" l="1"/>
  <c r="N1006" i="2" s="1"/>
  <c r="P1006" i="2" s="1"/>
  <c r="L1007" i="2"/>
  <c r="G1006" i="2"/>
  <c r="J1007" i="2" l="1"/>
  <c r="H1007" i="2"/>
  <c r="K1007" i="2" l="1"/>
  <c r="G1007" i="2"/>
  <c r="H1008" i="2" l="1"/>
  <c r="K1008" i="2" s="1"/>
  <c r="J1008" i="2"/>
  <c r="M1007" i="2"/>
  <c r="N1007" i="2" s="1"/>
  <c r="P1007" i="2" s="1"/>
  <c r="L1008" i="2"/>
  <c r="M1008" i="2" l="1"/>
  <c r="N1008" i="2" s="1"/>
  <c r="P1008" i="2" s="1"/>
  <c r="L1009" i="2"/>
  <c r="G1008" i="2"/>
  <c r="J1009" i="2" l="1"/>
  <c r="H1009" i="2"/>
  <c r="G1009" i="2" l="1"/>
  <c r="K1009" i="2"/>
  <c r="M1009" i="2" l="1"/>
  <c r="N1009" i="2" s="1"/>
  <c r="P1009" i="2" s="1"/>
  <c r="L1010" i="2"/>
  <c r="H1010" i="2"/>
  <c r="J1010" i="2"/>
  <c r="G1010" i="2" l="1"/>
  <c r="K1010" i="2"/>
  <c r="L1011" i="2" l="1"/>
  <c r="M1010" i="2"/>
  <c r="N1010" i="2" s="1"/>
  <c r="P1010" i="2" s="1"/>
  <c r="H1011" i="2"/>
  <c r="K1011" i="2" s="1"/>
  <c r="J1011" i="2"/>
  <c r="G1011" i="2" l="1"/>
  <c r="H1012" i="2" s="1"/>
  <c r="K1012" i="2" s="1"/>
  <c r="M1011" i="2"/>
  <c r="N1011" i="2" s="1"/>
  <c r="P1011" i="2" s="1"/>
  <c r="L1012" i="2"/>
  <c r="J1012" i="2" l="1"/>
  <c r="G1012" i="2" s="1"/>
  <c r="J1013" i="2" s="1"/>
  <c r="M1012" i="2"/>
  <c r="N1012" i="2" s="1"/>
  <c r="P1012" i="2" s="1"/>
  <c r="L1013" i="2"/>
  <c r="H1013" i="2" l="1"/>
  <c r="K1013" i="2" s="1"/>
  <c r="M1013" i="2" s="1"/>
  <c r="N1013" i="2" s="1"/>
  <c r="P1013" i="2" s="1"/>
  <c r="L1014" i="2" l="1"/>
  <c r="G1013" i="2"/>
  <c r="J1014" i="2" l="1"/>
  <c r="H1014" i="2"/>
  <c r="G1014" i="2" l="1"/>
  <c r="K1014" i="2"/>
  <c r="L1015" i="2" l="1"/>
  <c r="M1014" i="2"/>
  <c r="N1014" i="2" s="1"/>
  <c r="P1014" i="2" s="1"/>
  <c r="H1015" i="2"/>
  <c r="K1015" i="2" s="1"/>
  <c r="J1015" i="2"/>
  <c r="G1015" i="2" l="1"/>
  <c r="J1016" i="2" s="1"/>
  <c r="M1015" i="2"/>
  <c r="N1015" i="2" s="1"/>
  <c r="P1015" i="2" s="1"/>
  <c r="L1016" i="2"/>
  <c r="H1016" i="2" l="1"/>
  <c r="K1016" i="2" s="1"/>
  <c r="L1017" i="2" s="1"/>
  <c r="M1016" i="2" l="1"/>
  <c r="N1016" i="2" s="1"/>
  <c r="P1016" i="2" s="1"/>
  <c r="G1016" i="2"/>
  <c r="J1017" i="2" s="1"/>
  <c r="H1017" i="2" l="1"/>
  <c r="K1017" i="2" s="1"/>
  <c r="M1017" i="2" s="1"/>
  <c r="N1017" i="2" s="1"/>
  <c r="P1017" i="2" s="1"/>
  <c r="G1017" i="2" l="1"/>
  <c r="H1018" i="2" s="1"/>
  <c r="L1018" i="2"/>
  <c r="J1018" i="2" l="1"/>
  <c r="G1018" i="2" s="1"/>
  <c r="K1018" i="2"/>
  <c r="M1018" i="2" l="1"/>
  <c r="N1018" i="2" s="1"/>
  <c r="P1018" i="2" s="1"/>
  <c r="L1019" i="2"/>
  <c r="J1019" i="2"/>
  <c r="H1019" i="2"/>
  <c r="K1019" i="2" l="1"/>
  <c r="L1020" i="2" s="1"/>
  <c r="G1019" i="2"/>
  <c r="J1020" i="2" l="1"/>
  <c r="H1020" i="2"/>
  <c r="M1019" i="2"/>
  <c r="N1019" i="2" s="1"/>
  <c r="P1019" i="2" s="1"/>
  <c r="G1020" i="2" l="1"/>
  <c r="J1021" i="2" s="1"/>
  <c r="K1020" i="2"/>
  <c r="M1020" i="2" s="1"/>
  <c r="N1020" i="2" s="1"/>
  <c r="P1020" i="2" s="1"/>
  <c r="H1021" i="2" l="1"/>
  <c r="G1021" i="2" s="1"/>
  <c r="L1021" i="2"/>
  <c r="K1021" i="2" l="1"/>
  <c r="J1022" i="2"/>
  <c r="H1022" i="2"/>
  <c r="G1022" i="2" l="1"/>
  <c r="H1023" i="2" s="1"/>
  <c r="K1022" i="2"/>
  <c r="L1022" i="2"/>
  <c r="M1021" i="2"/>
  <c r="N1021" i="2" s="1"/>
  <c r="P1021" i="2" s="1"/>
  <c r="J1023" i="2" l="1"/>
  <c r="G1023" i="2" s="1"/>
  <c r="J1024" i="2" s="1"/>
  <c r="K1023" i="2"/>
  <c r="L1023" i="2"/>
  <c r="M1022" i="2"/>
  <c r="N1022" i="2" s="1"/>
  <c r="P1022" i="2" s="1"/>
  <c r="L1024" i="2" l="1"/>
  <c r="M1023" i="2"/>
  <c r="N1023" i="2" s="1"/>
  <c r="P1023" i="2" s="1"/>
  <c r="H1024" i="2"/>
  <c r="G1024" i="2" s="1"/>
  <c r="H1025" i="2" s="1"/>
  <c r="K1024" i="2" l="1"/>
  <c r="M1024" i="2" s="1"/>
  <c r="N1024" i="2" s="1"/>
  <c r="P1024" i="2" s="1"/>
  <c r="J1025" i="2"/>
  <c r="G1025" i="2" s="1"/>
  <c r="J1026" i="2" s="1"/>
  <c r="H1026" i="2" l="1"/>
  <c r="G1026" i="2" s="1"/>
  <c r="L1025" i="2"/>
  <c r="K1025" i="2"/>
  <c r="J1027" i="2" l="1"/>
  <c r="H1027" i="2"/>
  <c r="K1026" i="2"/>
  <c r="L1026" i="2"/>
  <c r="M1025" i="2"/>
  <c r="N1025" i="2" s="1"/>
  <c r="P1025" i="2" s="1"/>
  <c r="K1027" i="2" l="1"/>
  <c r="G1027" i="2"/>
  <c r="J1028" i="2" s="1"/>
  <c r="M1026" i="2"/>
  <c r="N1026" i="2" s="1"/>
  <c r="P1026" i="2" s="1"/>
  <c r="L1027" i="2"/>
  <c r="L1028" i="2" l="1"/>
  <c r="H1028" i="2"/>
  <c r="K1028" i="2" s="1"/>
  <c r="M1027" i="2"/>
  <c r="N1027" i="2" s="1"/>
  <c r="P1027" i="2" s="1"/>
  <c r="M1028" i="2" l="1"/>
  <c r="N1028" i="2" s="1"/>
  <c r="P1028" i="2" s="1"/>
  <c r="G1028" i="2"/>
  <c r="H1029" i="2" s="1"/>
  <c r="K1029" i="2" s="1"/>
  <c r="L1029" i="2"/>
  <c r="J1029" i="2" l="1"/>
  <c r="G1029" i="2" s="1"/>
  <c r="H1030" i="2" s="1"/>
  <c r="K1030" i="2" s="1"/>
  <c r="M1029" i="2"/>
  <c r="N1029" i="2" s="1"/>
  <c r="P1029" i="2" s="1"/>
  <c r="L1030" i="2"/>
  <c r="J1030" i="2" l="1"/>
  <c r="G1030" i="2" s="1"/>
  <c r="J1031" i="2" s="1"/>
  <c r="M1030" i="2"/>
  <c r="N1030" i="2" s="1"/>
  <c r="P1030" i="2" s="1"/>
  <c r="L1031" i="2"/>
  <c r="H1031" i="2" l="1"/>
  <c r="K1031" i="2" s="1"/>
  <c r="L1032" i="2" s="1"/>
  <c r="M1031" i="2" l="1"/>
  <c r="N1031" i="2" s="1"/>
  <c r="P1031" i="2" s="1"/>
  <c r="G1031" i="2"/>
  <c r="J1032" i="2" s="1"/>
  <c r="H1032" i="2" l="1"/>
  <c r="K1032" i="2" s="1"/>
  <c r="M1032" i="2" s="1"/>
  <c r="N1032" i="2" s="1"/>
  <c r="P1032" i="2" s="1"/>
  <c r="G1032" i="2" l="1"/>
  <c r="J1033" i="2" s="1"/>
  <c r="L1033" i="2"/>
  <c r="H1033" i="2" l="1"/>
  <c r="G1033" i="2" s="1"/>
  <c r="K1033" i="2" l="1"/>
  <c r="M1033" i="2" s="1"/>
  <c r="N1033" i="2" s="1"/>
  <c r="P1033" i="2" s="1"/>
  <c r="J1034" i="2"/>
  <c r="H1034" i="2"/>
  <c r="L1034" i="2" l="1"/>
  <c r="G1034" i="2"/>
  <c r="H1035" i="2" s="1"/>
  <c r="K1034" i="2"/>
  <c r="J1035" i="2" l="1"/>
  <c r="G1035" i="2" s="1"/>
  <c r="K1035" i="2"/>
  <c r="M1034" i="2"/>
  <c r="N1034" i="2" s="1"/>
  <c r="P1034" i="2" s="1"/>
  <c r="L1035" i="2"/>
  <c r="H1036" i="2" l="1"/>
  <c r="K1036" i="2" s="1"/>
  <c r="J1036" i="2"/>
  <c r="L1036" i="2"/>
  <c r="M1035" i="2"/>
  <c r="N1035" i="2" s="1"/>
  <c r="P1035" i="2" s="1"/>
  <c r="M1036" i="2" l="1"/>
  <c r="N1036" i="2" s="1"/>
  <c r="P1036" i="2" s="1"/>
  <c r="G1036" i="2"/>
  <c r="J1037" i="2" s="1"/>
  <c r="L1037" i="2"/>
  <c r="H1037" i="2" l="1"/>
  <c r="G1037" i="2" s="1"/>
  <c r="H1038" i="2" s="1"/>
  <c r="J1038" i="2" l="1"/>
  <c r="G1038" i="2" s="1"/>
  <c r="J1039" i="2" s="1"/>
  <c r="K1037" i="2"/>
  <c r="M1037" i="2" s="1"/>
  <c r="N1037" i="2" s="1"/>
  <c r="P1037" i="2" s="1"/>
  <c r="H1039" i="2" l="1"/>
  <c r="G1039" i="2" s="1"/>
  <c r="H1040" i="2" s="1"/>
  <c r="L1038" i="2"/>
  <c r="K1038" i="2"/>
  <c r="M1038" i="2" l="1"/>
  <c r="N1038" i="2" s="1"/>
  <c r="P1038" i="2" s="1"/>
  <c r="J1040" i="2"/>
  <c r="G1040" i="2" s="1"/>
  <c r="K1039" i="2"/>
  <c r="L1039" i="2"/>
  <c r="M1039" i="2" l="1"/>
  <c r="N1039" i="2" s="1"/>
  <c r="P1039" i="2" s="1"/>
  <c r="K1040" i="2"/>
  <c r="L1040" i="2"/>
  <c r="J1041" i="2"/>
  <c r="H1041" i="2"/>
  <c r="M1040" i="2" l="1"/>
  <c r="N1040" i="2" s="1"/>
  <c r="P1040" i="2" s="1"/>
  <c r="L1041" i="2"/>
  <c r="K1041" i="2"/>
  <c r="G1041" i="2"/>
  <c r="H1042" i="2" l="1"/>
  <c r="K1042" i="2" s="1"/>
  <c r="J1042" i="2"/>
  <c r="L1042" i="2"/>
  <c r="M1041" i="2"/>
  <c r="N1041" i="2" s="1"/>
  <c r="P1041" i="2" s="1"/>
  <c r="M1042" i="2" l="1"/>
  <c r="N1042" i="2" s="1"/>
  <c r="P1042" i="2" s="1"/>
  <c r="L1043" i="2"/>
  <c r="G1042" i="2"/>
  <c r="J1043" i="2" l="1"/>
  <c r="H1043" i="2"/>
  <c r="K1043" i="2" s="1"/>
  <c r="M1043" i="2" s="1"/>
  <c r="N1043" i="2" s="1"/>
  <c r="P1043" i="2" s="1"/>
  <c r="L1044" i="2" l="1"/>
  <c r="G1043" i="2"/>
  <c r="H1044" i="2" l="1"/>
  <c r="K1044" i="2" s="1"/>
  <c r="M1044" i="2" s="1"/>
  <c r="N1044" i="2" s="1"/>
  <c r="P1044" i="2" s="1"/>
  <c r="J1044" i="2"/>
  <c r="L1045" i="2" l="1"/>
  <c r="G1044" i="2"/>
  <c r="J1045" i="2" l="1"/>
  <c r="H1045" i="2"/>
  <c r="K1045" i="2" s="1"/>
  <c r="L1046" i="2" l="1"/>
  <c r="M1045" i="2"/>
  <c r="N1045" i="2" s="1"/>
  <c r="P1045" i="2" s="1"/>
  <c r="G1045" i="2"/>
  <c r="J1046" i="2" l="1"/>
  <c r="H1046" i="2"/>
  <c r="K1046" i="2" s="1"/>
  <c r="M1046" i="2" s="1"/>
  <c r="N1046" i="2" s="1"/>
  <c r="P1046" i="2" s="1"/>
  <c r="L1047" i="2" l="1"/>
  <c r="G1046" i="2"/>
  <c r="H1047" i="2" l="1"/>
  <c r="K1047" i="2" s="1"/>
  <c r="J1047" i="2"/>
  <c r="G1047" i="2" l="1"/>
  <c r="H1048" i="2" s="1"/>
  <c r="K1048" i="2" s="1"/>
  <c r="M1047" i="2"/>
  <c r="N1047" i="2" s="1"/>
  <c r="P1047" i="2" s="1"/>
  <c r="L1048" i="2"/>
  <c r="J1048" i="2" l="1"/>
  <c r="G1048" i="2" s="1"/>
  <c r="H1049" i="2" s="1"/>
  <c r="K1049" i="2" s="1"/>
  <c r="L1049" i="2"/>
  <c r="M1048" i="2"/>
  <c r="N1048" i="2" s="1"/>
  <c r="P1048" i="2" s="1"/>
  <c r="M1049" i="2" l="1"/>
  <c r="N1049" i="2" s="1"/>
  <c r="P1049" i="2" s="1"/>
  <c r="J1049" i="2"/>
  <c r="G1049" i="2" s="1"/>
  <c r="L1050" i="2"/>
  <c r="J1050" i="2" l="1"/>
  <c r="H1050" i="2"/>
  <c r="K1050" i="2" s="1"/>
  <c r="M1050" i="2" s="1"/>
  <c r="N1050" i="2" s="1"/>
  <c r="P1050" i="2" s="1"/>
  <c r="G1050" i="2" l="1"/>
  <c r="L1051" i="2"/>
  <c r="J1051" i="2" l="1"/>
  <c r="H1051" i="2"/>
  <c r="K1051" i="2" s="1"/>
  <c r="M1051" i="2" s="1"/>
  <c r="N1051" i="2" s="1"/>
  <c r="P1051" i="2" s="1"/>
  <c r="G1051" i="2" l="1"/>
  <c r="L1052" i="2"/>
  <c r="J1052" i="2" l="1"/>
  <c r="H1052" i="2"/>
  <c r="K1052" i="2" s="1"/>
  <c r="M1052" i="2" s="1"/>
  <c r="N1052" i="2" s="1"/>
  <c r="P1052" i="2" s="1"/>
  <c r="G1052" i="2" l="1"/>
  <c r="L1053" i="2"/>
  <c r="J1053" i="2" l="1"/>
  <c r="H1053" i="2"/>
  <c r="K1053" i="2" s="1"/>
  <c r="L1054" i="2" l="1"/>
  <c r="M1053" i="2"/>
  <c r="N1053" i="2" s="1"/>
  <c r="P1053" i="2" s="1"/>
  <c r="G1053" i="2"/>
  <c r="J1054" i="2" l="1"/>
  <c r="H1054" i="2"/>
  <c r="K1054" i="2" s="1"/>
  <c r="L1055" i="2" s="1"/>
  <c r="M1054" i="2" l="1"/>
  <c r="N1054" i="2" s="1"/>
  <c r="P1054" i="2" s="1"/>
  <c r="G1054" i="2"/>
  <c r="H1055" i="2" l="1"/>
  <c r="K1055" i="2" s="1"/>
  <c r="J1055" i="2"/>
  <c r="G1055" i="2" l="1"/>
  <c r="H1056" i="2" s="1"/>
  <c r="K1056" i="2" s="1"/>
  <c r="M1055" i="2"/>
  <c r="N1055" i="2" s="1"/>
  <c r="P1055" i="2" s="1"/>
  <c r="L1056" i="2"/>
  <c r="J1056" i="2" l="1"/>
  <c r="G1056" i="2" s="1"/>
  <c r="J1057" i="2" s="1"/>
  <c r="M1056" i="2"/>
  <c r="N1056" i="2" s="1"/>
  <c r="P1056" i="2" s="1"/>
  <c r="L1057" i="2"/>
  <c r="H1057" i="2" l="1"/>
  <c r="G1057" i="2" s="1"/>
  <c r="J1058" i="2" s="1"/>
  <c r="K1057" i="2" l="1"/>
  <c r="L1058" i="2" s="1"/>
  <c r="H1058" i="2"/>
  <c r="G1058" i="2" s="1"/>
  <c r="J1059" i="2" s="1"/>
  <c r="M1057" i="2" l="1"/>
  <c r="N1057" i="2" s="1"/>
  <c r="P1057" i="2" s="1"/>
  <c r="K1058" i="2"/>
  <c r="L1059" i="2" s="1"/>
  <c r="H1059" i="2"/>
  <c r="M1058" i="2" l="1"/>
  <c r="N1058" i="2" s="1"/>
  <c r="P1058" i="2" s="1"/>
  <c r="K1059" i="2"/>
  <c r="L1060" i="2" s="1"/>
  <c r="G1059" i="2"/>
  <c r="J1060" i="2" s="1"/>
  <c r="M1059" i="2" l="1"/>
  <c r="N1059" i="2" s="1"/>
  <c r="P1059" i="2" s="1"/>
  <c r="H1060" i="2"/>
  <c r="G1060" i="2" s="1"/>
  <c r="H1061" i="2" s="1"/>
  <c r="K1060" i="2" l="1"/>
  <c r="M1060" i="2" s="1"/>
  <c r="N1060" i="2" s="1"/>
  <c r="P1060" i="2" s="1"/>
  <c r="J1061" i="2"/>
  <c r="G1061" i="2" s="1"/>
  <c r="J1062" i="2" s="1"/>
  <c r="K1061" i="2" l="1"/>
  <c r="L1061" i="2"/>
  <c r="H1062" i="2"/>
  <c r="K1062" i="2" l="1"/>
  <c r="L1062" i="2"/>
  <c r="M1061" i="2"/>
  <c r="N1061" i="2" s="1"/>
  <c r="P1061" i="2" s="1"/>
  <c r="G1062" i="2"/>
  <c r="J1063" i="2" s="1"/>
  <c r="H1063" i="2" l="1"/>
  <c r="K1063" i="2" s="1"/>
  <c r="L1063" i="2"/>
  <c r="M1062" i="2"/>
  <c r="N1062" i="2" s="1"/>
  <c r="P1062" i="2" s="1"/>
  <c r="M1063" i="2" l="1"/>
  <c r="N1063" i="2" s="1"/>
  <c r="P1063" i="2" s="1"/>
  <c r="L1064" i="2"/>
  <c r="G1063" i="2"/>
  <c r="J1064" i="2" s="1"/>
  <c r="H1064" i="2" l="1"/>
  <c r="K1064" i="2" s="1"/>
  <c r="M1064" i="2" s="1"/>
  <c r="N1064" i="2" s="1"/>
  <c r="P1064" i="2" s="1"/>
  <c r="L1065" i="2" l="1"/>
  <c r="G1064" i="2"/>
  <c r="J1065" i="2" s="1"/>
  <c r="H1065" i="2" l="1"/>
  <c r="K1065" i="2" s="1"/>
  <c r="M1065" i="2" s="1"/>
  <c r="N1065" i="2" s="1"/>
  <c r="P1065" i="2" s="1"/>
  <c r="G1065" i="2" l="1"/>
  <c r="J1066" i="2" s="1"/>
  <c r="L1066" i="2"/>
  <c r="H1066" i="2" l="1"/>
  <c r="K1066" i="2" s="1"/>
  <c r="M1066" i="2" s="1"/>
  <c r="N1066" i="2" s="1"/>
  <c r="P1066" i="2" s="1"/>
  <c r="G1066" i="2" l="1"/>
  <c r="L1067" i="2"/>
  <c r="H1067" i="2" l="1"/>
  <c r="J1067" i="2"/>
  <c r="K1067" i="2" l="1"/>
  <c r="G1067" i="2"/>
  <c r="J1068" i="2" l="1"/>
  <c r="H1068" i="2"/>
  <c r="M1067" i="2"/>
  <c r="N1067" i="2" s="1"/>
  <c r="P1067" i="2" s="1"/>
  <c r="L1068" i="2"/>
  <c r="K1068" i="2" l="1"/>
  <c r="M1068" i="2" s="1"/>
  <c r="N1068" i="2" s="1"/>
  <c r="P1068" i="2" s="1"/>
  <c r="G1068" i="2"/>
  <c r="L1069" i="2" l="1"/>
  <c r="H1069" i="2"/>
  <c r="K1069" i="2" s="1"/>
  <c r="J1069" i="2"/>
  <c r="G1069" i="2" l="1"/>
  <c r="J1070" i="2" s="1"/>
  <c r="L1070" i="2"/>
  <c r="M1069" i="2"/>
  <c r="N1069" i="2" s="1"/>
  <c r="P1069" i="2" s="1"/>
  <c r="H1070" i="2" l="1"/>
  <c r="K1070" i="2" s="1"/>
  <c r="G1070" i="2" l="1"/>
  <c r="H1071" i="2" s="1"/>
  <c r="K1071" i="2" s="1"/>
  <c r="M1070" i="2"/>
  <c r="N1070" i="2" s="1"/>
  <c r="P1070" i="2" s="1"/>
  <c r="L1071" i="2"/>
  <c r="J1071" i="2" l="1"/>
  <c r="G1071" i="2" s="1"/>
  <c r="J1072" i="2" s="1"/>
  <c r="L1072" i="2"/>
  <c r="M1071" i="2"/>
  <c r="N1071" i="2" s="1"/>
  <c r="P1071" i="2" s="1"/>
  <c r="H1072" i="2" l="1"/>
  <c r="K1072" i="2" s="1"/>
  <c r="G1072" i="2" l="1"/>
  <c r="H1073" i="2" s="1"/>
  <c r="K1073" i="2" s="1"/>
  <c r="L1073" i="2"/>
  <c r="M1072" i="2"/>
  <c r="N1072" i="2" s="1"/>
  <c r="P1072" i="2" s="1"/>
  <c r="J1073" i="2" l="1"/>
  <c r="G1073" i="2" s="1"/>
  <c r="H1074" i="2" s="1"/>
  <c r="K1074" i="2" s="1"/>
  <c r="L1074" i="2"/>
  <c r="M1073" i="2"/>
  <c r="N1073" i="2" s="1"/>
  <c r="P1073" i="2" s="1"/>
  <c r="M1074" i="2" l="1"/>
  <c r="N1074" i="2" s="1"/>
  <c r="P1074" i="2" s="1"/>
  <c r="J1074" i="2"/>
  <c r="G1074" i="2" s="1"/>
  <c r="J1075" i="2" s="1"/>
  <c r="L1075" i="2"/>
  <c r="H1075" i="2" l="1"/>
  <c r="K1075" i="2" s="1"/>
  <c r="L1076" i="2" s="1"/>
  <c r="M1075" i="2" l="1"/>
  <c r="N1075" i="2" s="1"/>
  <c r="P1075" i="2" s="1"/>
  <c r="G1075" i="2"/>
  <c r="J1076" i="2" l="1"/>
  <c r="H1076" i="2"/>
  <c r="G1076" i="2" l="1"/>
  <c r="K1076" i="2"/>
  <c r="H1077" i="2" l="1"/>
  <c r="K1077" i="2" s="1"/>
  <c r="J1077" i="2"/>
  <c r="L1077" i="2"/>
  <c r="M1076" i="2"/>
  <c r="N1076" i="2" s="1"/>
  <c r="P1076" i="2" s="1"/>
  <c r="M1077" i="2" l="1"/>
  <c r="N1077" i="2" s="1"/>
  <c r="P1077" i="2" s="1"/>
  <c r="L1078" i="2"/>
  <c r="G1077" i="2"/>
  <c r="J1078" i="2" l="1"/>
  <c r="H1078" i="2"/>
  <c r="K1078" i="2" s="1"/>
  <c r="M1078" i="2" s="1"/>
  <c r="N1078" i="2" s="1"/>
  <c r="P1078" i="2" s="1"/>
  <c r="G1078" i="2" l="1"/>
  <c r="J1079" i="2" s="1"/>
  <c r="L1079" i="2"/>
  <c r="H1079" i="2" l="1"/>
  <c r="K1079" i="2" s="1"/>
  <c r="L1080" i="2" s="1"/>
  <c r="G1079" i="2" l="1"/>
  <c r="H1080" i="2" s="1"/>
  <c r="K1080" i="2" s="1"/>
  <c r="L1081" i="2" s="1"/>
  <c r="M1079" i="2"/>
  <c r="N1079" i="2" s="1"/>
  <c r="P1079" i="2" s="1"/>
  <c r="J1080" i="2" l="1"/>
  <c r="G1080" i="2" s="1"/>
  <c r="H1081" i="2" s="1"/>
  <c r="K1081" i="2" s="1"/>
  <c r="M1081" i="2" s="1"/>
  <c r="N1081" i="2" s="1"/>
  <c r="P1081" i="2" s="1"/>
  <c r="M1080" i="2"/>
  <c r="N1080" i="2" s="1"/>
  <c r="P1080" i="2" s="1"/>
  <c r="J1081" i="2" l="1"/>
  <c r="G1081" i="2" s="1"/>
  <c r="J1082" i="2" s="1"/>
  <c r="L1082" i="2"/>
  <c r="H1082" i="2" l="1"/>
  <c r="K1082" i="2" s="1"/>
  <c r="L1083" i="2" s="1"/>
  <c r="G1082" i="2" l="1"/>
  <c r="J1083" i="2" s="1"/>
  <c r="M1082" i="2"/>
  <c r="N1082" i="2" s="1"/>
  <c r="P1082" i="2" s="1"/>
  <c r="H1083" i="2" l="1"/>
  <c r="K1083" i="2" s="1"/>
  <c r="G1083" i="2" l="1"/>
  <c r="H1084" i="2" s="1"/>
  <c r="K1084" i="2" s="1"/>
  <c r="M1083" i="2"/>
  <c r="N1083" i="2" s="1"/>
  <c r="P1083" i="2" s="1"/>
  <c r="L1084" i="2"/>
  <c r="M1084" i="2" l="1"/>
  <c r="N1084" i="2" s="1"/>
  <c r="P1084" i="2" s="1"/>
  <c r="J1084" i="2"/>
  <c r="G1084" i="2" s="1"/>
  <c r="H1085" i="2" s="1"/>
  <c r="K1085" i="2" s="1"/>
  <c r="L1085" i="2"/>
  <c r="J1085" i="2" l="1"/>
  <c r="G1085" i="2" s="1"/>
  <c r="M1085" i="2"/>
  <c r="N1085" i="2" s="1"/>
  <c r="P1085" i="2" s="1"/>
  <c r="L1086" i="2"/>
  <c r="J1086" i="2" l="1"/>
  <c r="H1086" i="2"/>
  <c r="K1086" i="2" s="1"/>
  <c r="G1086" i="2" l="1"/>
  <c r="M1086" i="2"/>
  <c r="N1086" i="2" s="1"/>
  <c r="P1086" i="2" s="1"/>
  <c r="L1087" i="2"/>
  <c r="J1087" i="2" l="1"/>
  <c r="H1087" i="2"/>
  <c r="K1087" i="2" l="1"/>
  <c r="G1087" i="2"/>
  <c r="J1088" i="2" l="1"/>
  <c r="H1088" i="2"/>
  <c r="M1087" i="2"/>
  <c r="N1087" i="2" s="1"/>
  <c r="P1087" i="2" s="1"/>
  <c r="L1088" i="2"/>
  <c r="G1088" i="2" l="1"/>
  <c r="J1089" i="2" s="1"/>
  <c r="K1088" i="2"/>
  <c r="M1088" i="2" s="1"/>
  <c r="N1088" i="2" s="1"/>
  <c r="P1088" i="2" s="1"/>
  <c r="H1089" i="2" l="1"/>
  <c r="G1089" i="2" s="1"/>
  <c r="H1090" i="2" s="1"/>
  <c r="L1089" i="2"/>
  <c r="K1089" i="2" l="1"/>
  <c r="K1090" i="2" s="1"/>
  <c r="J1090" i="2"/>
  <c r="G1090" i="2" s="1"/>
  <c r="M1089" i="2" l="1"/>
  <c r="N1089" i="2" s="1"/>
  <c r="P1089" i="2" s="1"/>
  <c r="L1090" i="2"/>
  <c r="M1090" i="2" s="1"/>
  <c r="N1090" i="2" s="1"/>
  <c r="P1090" i="2" s="1"/>
  <c r="H1091" i="2"/>
  <c r="K1091" i="2" s="1"/>
  <c r="J1091" i="2"/>
  <c r="L1091" i="2" l="1"/>
  <c r="M1091" i="2" s="1"/>
  <c r="N1091" i="2" s="1"/>
  <c r="P1091" i="2" s="1"/>
  <c r="G1091" i="2"/>
  <c r="L1092" i="2" l="1"/>
  <c r="J1092" i="2"/>
  <c r="H1092" i="2"/>
  <c r="K1092" i="2" s="1"/>
  <c r="G1092" i="2" l="1"/>
  <c r="J1093" i="2" s="1"/>
  <c r="L1093" i="2"/>
  <c r="M1092" i="2"/>
  <c r="N1092" i="2" s="1"/>
  <c r="P1092" i="2" s="1"/>
  <c r="H1093" i="2" l="1"/>
  <c r="K1093" i="2" s="1"/>
  <c r="M1093" i="2" s="1"/>
  <c r="N1093" i="2" s="1"/>
  <c r="P1093" i="2" s="1"/>
  <c r="G1093" i="2" l="1"/>
  <c r="J1094" i="2" s="1"/>
  <c r="L1094" i="2"/>
  <c r="H1094" i="2" l="1"/>
  <c r="K1094" i="2" s="1"/>
  <c r="M1094" i="2" s="1"/>
  <c r="N1094" i="2" s="1"/>
  <c r="P1094" i="2" s="1"/>
  <c r="G1094" i="2" l="1"/>
  <c r="L1095" i="2"/>
  <c r="H1095" i="2" l="1"/>
  <c r="J1095" i="2"/>
  <c r="K1095" i="2" l="1"/>
  <c r="G1095" i="2"/>
  <c r="H1096" i="2" l="1"/>
  <c r="K1096" i="2" s="1"/>
  <c r="J1096" i="2"/>
  <c r="M1095" i="2"/>
  <c r="N1095" i="2" s="1"/>
  <c r="P1095" i="2" s="1"/>
  <c r="L1096" i="2"/>
  <c r="M1096" i="2" l="1"/>
  <c r="N1096" i="2" s="1"/>
  <c r="P1096" i="2" s="1"/>
  <c r="L1097" i="2"/>
  <c r="G1096" i="2"/>
  <c r="H1097" i="2" l="1"/>
  <c r="K1097" i="2" s="1"/>
  <c r="L1098" i="2" s="1"/>
  <c r="J1097" i="2"/>
  <c r="G1097" i="2" l="1"/>
  <c r="J1098" i="2" s="1"/>
  <c r="M1097" i="2"/>
  <c r="N1097" i="2" s="1"/>
  <c r="P1097" i="2" s="1"/>
  <c r="H1098" i="2" l="1"/>
  <c r="K1098" i="2" s="1"/>
  <c r="M1098" i="2" s="1"/>
  <c r="N1098" i="2" s="1"/>
  <c r="P1098" i="2" s="1"/>
  <c r="L1099" i="2" l="1"/>
  <c r="G1098" i="2"/>
  <c r="H1099" i="2" s="1"/>
  <c r="K1099" i="2" s="1"/>
  <c r="M1099" i="2" l="1"/>
  <c r="N1099" i="2" s="1"/>
  <c r="P1099" i="2" s="1"/>
  <c r="J1099" i="2"/>
  <c r="G1099" i="2" s="1"/>
  <c r="J1100" i="2" s="1"/>
  <c r="L1100" i="2"/>
  <c r="H1100" i="2" l="1"/>
  <c r="K1100" i="2" s="1"/>
  <c r="G1100" i="2" l="1"/>
  <c r="J1101" i="2" s="1"/>
  <c r="L1101" i="2"/>
  <c r="M1100" i="2"/>
  <c r="N1100" i="2" s="1"/>
  <c r="P1100" i="2" s="1"/>
  <c r="H1101" i="2" l="1"/>
  <c r="K1101" i="2" s="1"/>
  <c r="G1101" i="2" l="1"/>
  <c r="H1102" i="2" s="1"/>
  <c r="K1102" i="2" s="1"/>
  <c r="L1102" i="2"/>
  <c r="M1101" i="2"/>
  <c r="N1101" i="2" s="1"/>
  <c r="P1101" i="2" s="1"/>
  <c r="J1102" i="2" l="1"/>
  <c r="G1102" i="2" s="1"/>
  <c r="J1103" i="2" s="1"/>
  <c r="L1103" i="2"/>
  <c r="M1102" i="2"/>
  <c r="N1102" i="2" s="1"/>
  <c r="P1102" i="2" s="1"/>
  <c r="H1103" i="2" l="1"/>
  <c r="K1103" i="2" s="1"/>
  <c r="G1103" i="2" l="1"/>
  <c r="J1104" i="2" s="1"/>
  <c r="M1103" i="2"/>
  <c r="N1103" i="2" s="1"/>
  <c r="P1103" i="2" s="1"/>
  <c r="L1104" i="2"/>
  <c r="H1104" i="2" l="1"/>
  <c r="K1104" i="2" s="1"/>
  <c r="L1105" i="2" s="1"/>
  <c r="G1104" i="2" l="1"/>
  <c r="H1105" i="2" s="1"/>
  <c r="K1105" i="2" s="1"/>
  <c r="M1104" i="2"/>
  <c r="N1104" i="2" s="1"/>
  <c r="P1104" i="2" s="1"/>
  <c r="J1105" i="2" l="1"/>
  <c r="G1105" i="2" s="1"/>
  <c r="H1106" i="2" s="1"/>
  <c r="K1106" i="2" s="1"/>
  <c r="M1105" i="2"/>
  <c r="N1105" i="2" s="1"/>
  <c r="P1105" i="2" s="1"/>
  <c r="L1106" i="2"/>
  <c r="J1106" i="2" l="1"/>
  <c r="G1106" i="2" s="1"/>
  <c r="H1107" i="2" s="1"/>
  <c r="K1107" i="2" s="1"/>
  <c r="L1107" i="2"/>
  <c r="M1106" i="2"/>
  <c r="N1106" i="2" s="1"/>
  <c r="P1106" i="2" s="1"/>
  <c r="M1107" i="2" l="1"/>
  <c r="N1107" i="2" s="1"/>
  <c r="P1107" i="2" s="1"/>
  <c r="J1107" i="2"/>
  <c r="G1107" i="2" s="1"/>
  <c r="L1108" i="2"/>
  <c r="H1108" i="2" l="1"/>
  <c r="K1108" i="2" s="1"/>
  <c r="L1109" i="2" s="1"/>
  <c r="J1108" i="2"/>
  <c r="G1108" i="2" l="1"/>
  <c r="M1108" i="2"/>
  <c r="N1108" i="2" s="1"/>
  <c r="P1108" i="2" s="1"/>
  <c r="H1109" i="2" l="1"/>
  <c r="J1109" i="2"/>
  <c r="K1109" i="2" l="1"/>
  <c r="G1109" i="2"/>
  <c r="J1110" i="2" l="1"/>
  <c r="H1110" i="2"/>
  <c r="L1110" i="2"/>
  <c r="M1109" i="2"/>
  <c r="N1109" i="2" s="1"/>
  <c r="P1109" i="2" s="1"/>
  <c r="G1110" i="2" l="1"/>
  <c r="K1110" i="2"/>
  <c r="H1111" i="2" l="1"/>
  <c r="J1111" i="2"/>
  <c r="M1110" i="2"/>
  <c r="N1110" i="2" s="1"/>
  <c r="P1110" i="2" s="1"/>
  <c r="L1111" i="2"/>
  <c r="G1111" i="2" l="1"/>
  <c r="J1112" i="2" s="1"/>
  <c r="K1111" i="2"/>
  <c r="M1111" i="2" s="1"/>
  <c r="N1111" i="2" s="1"/>
  <c r="P1111" i="2" s="1"/>
  <c r="H1112" i="2" l="1"/>
  <c r="K1112" i="2" s="1"/>
  <c r="L1112" i="2"/>
  <c r="G1112" i="2" l="1"/>
  <c r="J1113" i="2" s="1"/>
  <c r="M1112" i="2"/>
  <c r="N1112" i="2" s="1"/>
  <c r="P1112" i="2" s="1"/>
  <c r="L1113" i="2"/>
  <c r="H1113" i="2" l="1"/>
  <c r="K1113" i="2" s="1"/>
  <c r="M1113" i="2" s="1"/>
  <c r="N1113" i="2" s="1"/>
  <c r="P1113" i="2" s="1"/>
  <c r="G1113" i="2" l="1"/>
  <c r="J1114" i="2" s="1"/>
  <c r="L1114" i="2"/>
  <c r="H1114" i="2" l="1"/>
  <c r="K1114" i="2" s="1"/>
  <c r="L1115" i="2" s="1"/>
  <c r="M1114" i="2" l="1"/>
  <c r="N1114" i="2" s="1"/>
  <c r="P1114" i="2" s="1"/>
  <c r="G1114" i="2"/>
  <c r="J1115" i="2" s="1"/>
  <c r="H1115" i="2" l="1"/>
  <c r="K1115" i="2" s="1"/>
  <c r="M1115" i="2" s="1"/>
  <c r="N1115" i="2" s="1"/>
  <c r="P1115" i="2" s="1"/>
  <c r="L1116" i="2" l="1"/>
  <c r="G1115" i="2"/>
  <c r="H1116" i="2" s="1"/>
  <c r="K1116" i="2" s="1"/>
  <c r="L1117" i="2" l="1"/>
  <c r="J1116" i="2"/>
  <c r="G1116" i="2" s="1"/>
  <c r="H1117" i="2" s="1"/>
  <c r="K1117" i="2" s="1"/>
  <c r="M1116" i="2"/>
  <c r="N1116" i="2" s="1"/>
  <c r="P1116" i="2" s="1"/>
  <c r="J1117" i="2" l="1"/>
  <c r="G1117" i="2" s="1"/>
  <c r="M1117" i="2"/>
  <c r="N1117" i="2" s="1"/>
  <c r="P1117" i="2" s="1"/>
  <c r="L1118" i="2"/>
  <c r="J1118" i="2" l="1"/>
  <c r="H1118" i="2"/>
  <c r="K1118" i="2" s="1"/>
  <c r="M1118" i="2" l="1"/>
  <c r="N1118" i="2" s="1"/>
  <c r="P1118" i="2" s="1"/>
  <c r="L1119" i="2"/>
  <c r="G1118" i="2"/>
  <c r="J1119" i="2" l="1"/>
  <c r="H1119" i="2"/>
  <c r="K1119" i="2" s="1"/>
  <c r="M1119" i="2" s="1"/>
  <c r="N1119" i="2" s="1"/>
  <c r="P1119" i="2" s="1"/>
  <c r="G1119" i="2" l="1"/>
  <c r="L1120" i="2"/>
  <c r="H1120" i="2" l="1"/>
  <c r="K1120" i="2" s="1"/>
  <c r="M1120" i="2" s="1"/>
  <c r="N1120" i="2" s="1"/>
  <c r="P1120" i="2" s="1"/>
  <c r="J1120" i="2"/>
  <c r="G1120" i="2" l="1"/>
  <c r="L1121" i="2"/>
  <c r="H1121" i="2" l="1"/>
  <c r="K1121" i="2" s="1"/>
  <c r="M1121" i="2" s="1"/>
  <c r="N1121" i="2" s="1"/>
  <c r="P1121" i="2" s="1"/>
  <c r="J1121" i="2"/>
  <c r="G1121" i="2" l="1"/>
  <c r="H1122" i="2" s="1"/>
  <c r="K1122" i="2" s="1"/>
  <c r="L1122" i="2"/>
  <c r="J1122" i="2" l="1"/>
  <c r="G1122" i="2" s="1"/>
  <c r="M1122" i="2"/>
  <c r="N1122" i="2" s="1"/>
  <c r="P1122" i="2" s="1"/>
  <c r="L1123" i="2"/>
  <c r="J1123" i="2" l="1"/>
  <c r="H1123" i="2"/>
  <c r="K1123" i="2" s="1"/>
  <c r="L1124" i="2" s="1"/>
  <c r="M1123" i="2" l="1"/>
  <c r="N1123" i="2" s="1"/>
  <c r="P1123" i="2" s="1"/>
  <c r="G1123" i="2"/>
  <c r="J1124" i="2" l="1"/>
  <c r="H1124" i="2"/>
  <c r="G1124" i="2" l="1"/>
  <c r="K1124" i="2"/>
  <c r="M1124" i="2" l="1"/>
  <c r="N1124" i="2" s="1"/>
  <c r="P1124" i="2" s="1"/>
  <c r="L1125" i="2"/>
  <c r="J1125" i="2"/>
  <c r="H1125" i="2"/>
  <c r="K1125" i="2" s="1"/>
  <c r="M1125" i="2" l="1"/>
  <c r="N1125" i="2" s="1"/>
  <c r="P1125" i="2" s="1"/>
  <c r="G1125" i="2"/>
  <c r="L1126" i="2"/>
  <c r="H1126" i="2" l="1"/>
  <c r="K1126" i="2" s="1"/>
  <c r="J1126" i="2"/>
  <c r="M1126" i="2" l="1"/>
  <c r="N1126" i="2" s="1"/>
  <c r="P1126" i="2" s="1"/>
  <c r="L1127" i="2"/>
  <c r="G1126" i="2"/>
  <c r="J1127" i="2" l="1"/>
  <c r="H1127" i="2"/>
  <c r="K1127" i="2" s="1"/>
  <c r="L1128" i="2" s="1"/>
  <c r="G1127" i="2" l="1"/>
  <c r="J1128" i="2" s="1"/>
  <c r="M1127" i="2"/>
  <c r="N1127" i="2" s="1"/>
  <c r="P1127" i="2" s="1"/>
  <c r="H1128" i="2" l="1"/>
  <c r="K1128" i="2" s="1"/>
  <c r="M1128" i="2" s="1"/>
  <c r="N1128" i="2" s="1"/>
  <c r="P1128" i="2" s="1"/>
  <c r="G1128" i="2" l="1"/>
  <c r="H1129" i="2" s="1"/>
  <c r="K1129" i="2" s="1"/>
  <c r="L1129" i="2"/>
  <c r="L1130" i="2" l="1"/>
  <c r="J1129" i="2"/>
  <c r="G1129" i="2" s="1"/>
  <c r="J1130" i="2" s="1"/>
  <c r="M1129" i="2"/>
  <c r="N1129" i="2" s="1"/>
  <c r="P1129" i="2" s="1"/>
  <c r="H1130" i="2" l="1"/>
  <c r="K1130" i="2" s="1"/>
  <c r="M1130" i="2" s="1"/>
  <c r="N1130" i="2" s="1"/>
  <c r="P1130" i="2" s="1"/>
  <c r="L1131" i="2" l="1"/>
  <c r="G1130" i="2"/>
  <c r="J1131" i="2" s="1"/>
  <c r="H1131" i="2" l="1"/>
  <c r="K1131" i="2" s="1"/>
  <c r="L1132" i="2" s="1"/>
  <c r="G1131" i="2" l="1"/>
  <c r="J1132" i="2" s="1"/>
  <c r="M1131" i="2"/>
  <c r="N1131" i="2" s="1"/>
  <c r="P1131" i="2" s="1"/>
  <c r="H1132" i="2" l="1"/>
  <c r="K1132" i="2" s="1"/>
  <c r="L1133" i="2" s="1"/>
  <c r="G1132" i="2" l="1"/>
  <c r="J1133" i="2" s="1"/>
  <c r="M1132" i="2"/>
  <c r="N1132" i="2" s="1"/>
  <c r="P1132" i="2" s="1"/>
  <c r="H1133" i="2" l="1"/>
  <c r="K1133" i="2" s="1"/>
  <c r="L1134" i="2" s="1"/>
  <c r="M1133" i="2" l="1"/>
  <c r="N1133" i="2" s="1"/>
  <c r="P1133" i="2" s="1"/>
  <c r="G1133" i="2"/>
  <c r="H1134" i="2" s="1"/>
  <c r="K1134" i="2" s="1"/>
  <c r="M1134" i="2" s="1"/>
  <c r="N1134" i="2" s="1"/>
  <c r="P1134" i="2" s="1"/>
  <c r="J1134" i="2" l="1"/>
  <c r="G1134" i="2" s="1"/>
  <c r="J1135" i="2" s="1"/>
  <c r="L1135" i="2"/>
  <c r="H1135" i="2" l="1"/>
  <c r="K1135" i="2" s="1"/>
  <c r="M1135" i="2" s="1"/>
  <c r="N1135" i="2" s="1"/>
  <c r="P1135" i="2" s="1"/>
  <c r="G1135" i="2" l="1"/>
  <c r="H1136" i="2" s="1"/>
  <c r="L1136" i="2"/>
  <c r="J1136" i="2" l="1"/>
  <c r="G1136" i="2" s="1"/>
  <c r="K1136" i="2"/>
  <c r="M1136" i="2" l="1"/>
  <c r="N1136" i="2" s="1"/>
  <c r="P1136" i="2" s="1"/>
  <c r="L1137" i="2"/>
  <c r="H1137" i="2"/>
  <c r="K1137" i="2" s="1"/>
  <c r="J1137" i="2"/>
  <c r="G1137" i="2" l="1"/>
  <c r="J1138" i="2" s="1"/>
  <c r="M1137" i="2"/>
  <c r="N1137" i="2" s="1"/>
  <c r="P1137" i="2" s="1"/>
  <c r="L1138" i="2"/>
  <c r="H1138" i="2" l="1"/>
  <c r="G1138" i="2" s="1"/>
  <c r="J1139" i="2" s="1"/>
  <c r="K1138" i="2" l="1"/>
  <c r="M1138" i="2" s="1"/>
  <c r="N1138" i="2" s="1"/>
  <c r="P1138" i="2" s="1"/>
  <c r="H1139" i="2"/>
  <c r="G1139" i="2" s="1"/>
  <c r="J1140" i="2" s="1"/>
  <c r="L1139" i="2" l="1"/>
  <c r="H1140" i="2"/>
  <c r="G1140" i="2" s="1"/>
  <c r="K1139" i="2"/>
  <c r="M1139" i="2" l="1"/>
  <c r="N1139" i="2" s="1"/>
  <c r="P1139" i="2" s="1"/>
  <c r="H1141" i="2"/>
  <c r="J1141" i="2"/>
  <c r="L1140" i="2"/>
  <c r="K1140" i="2"/>
  <c r="L1141" i="2" l="1"/>
  <c r="G1141" i="2"/>
  <c r="J1142" i="2" s="1"/>
  <c r="K1141" i="2"/>
  <c r="M1140" i="2"/>
  <c r="N1140" i="2" s="1"/>
  <c r="P1140" i="2" s="1"/>
  <c r="M1141" i="2" l="1"/>
  <c r="N1141" i="2" s="1"/>
  <c r="P1141" i="2" s="1"/>
  <c r="H1142" i="2"/>
  <c r="K1142" i="2" s="1"/>
  <c r="L1142" i="2"/>
  <c r="G1142" i="2" l="1"/>
  <c r="J1143" i="2" s="1"/>
  <c r="L1143" i="2"/>
  <c r="M1142" i="2"/>
  <c r="N1142" i="2" s="1"/>
  <c r="P1142" i="2" s="1"/>
  <c r="H1143" i="2" l="1"/>
  <c r="K1143" i="2" s="1"/>
  <c r="M1143" i="2" s="1"/>
  <c r="N1143" i="2" s="1"/>
  <c r="P1143" i="2" s="1"/>
  <c r="G1143" i="2" l="1"/>
  <c r="J1144" i="2" s="1"/>
  <c r="L1144" i="2"/>
  <c r="H1144" i="2" l="1"/>
  <c r="K1144" i="2" s="1"/>
  <c r="M1144" i="2" s="1"/>
  <c r="N1144" i="2" s="1"/>
  <c r="P1144" i="2" s="1"/>
  <c r="L1145" i="2" l="1"/>
  <c r="G1144" i="2"/>
  <c r="H1145" i="2" s="1"/>
  <c r="K1145" i="2" s="1"/>
  <c r="L1146" i="2" l="1"/>
  <c r="J1145" i="2"/>
  <c r="G1145" i="2" s="1"/>
  <c r="H1146" i="2" s="1"/>
  <c r="K1146" i="2" s="1"/>
  <c r="M1145" i="2"/>
  <c r="N1145" i="2" s="1"/>
  <c r="P1145" i="2" s="1"/>
  <c r="L1147" i="2" l="1"/>
  <c r="J1146" i="2"/>
  <c r="G1146" i="2" s="1"/>
  <c r="H1147" i="2" s="1"/>
  <c r="K1147" i="2" s="1"/>
  <c r="M1146" i="2"/>
  <c r="N1146" i="2" s="1"/>
  <c r="P1146" i="2" s="1"/>
  <c r="M1147" i="2" l="1"/>
  <c r="N1147" i="2" s="1"/>
  <c r="P1147" i="2" s="1"/>
  <c r="J1147" i="2"/>
  <c r="G1147" i="2" s="1"/>
  <c r="J1148" i="2" s="1"/>
  <c r="L1148" i="2"/>
  <c r="H1148" i="2" l="1"/>
  <c r="K1148" i="2" s="1"/>
  <c r="M1148" i="2" s="1"/>
  <c r="N1148" i="2" s="1"/>
  <c r="P1148" i="2" s="1"/>
  <c r="G1148" i="2" l="1"/>
  <c r="J1149" i="2" s="1"/>
  <c r="L1149" i="2"/>
  <c r="H1149" i="2" l="1"/>
  <c r="K1149" i="2" s="1"/>
  <c r="M1149" i="2" s="1"/>
  <c r="N1149" i="2" s="1"/>
  <c r="P1149" i="2" s="1"/>
  <c r="L1150" i="2" l="1"/>
  <c r="G1149" i="2"/>
  <c r="J1150" i="2" s="1"/>
  <c r="H1150" i="2" l="1"/>
  <c r="K1150" i="2" s="1"/>
  <c r="L1151" i="2" s="1"/>
  <c r="G1150" i="2" l="1"/>
  <c r="H1151" i="2" s="1"/>
  <c r="K1151" i="2" s="1"/>
  <c r="M1150" i="2"/>
  <c r="N1150" i="2" s="1"/>
  <c r="P1150" i="2" s="1"/>
  <c r="J1151" i="2" l="1"/>
  <c r="G1151" i="2" s="1"/>
  <c r="J1152" i="2" s="1"/>
  <c r="M1151" i="2"/>
  <c r="N1151" i="2" s="1"/>
  <c r="P1151" i="2" s="1"/>
  <c r="L1152" i="2"/>
  <c r="H1152" i="2" l="1"/>
  <c r="K1152" i="2" s="1"/>
  <c r="L1153" i="2" s="1"/>
  <c r="G1152" i="2" l="1"/>
  <c r="H1153" i="2" s="1"/>
  <c r="K1153" i="2" s="1"/>
  <c r="M1152" i="2"/>
  <c r="N1152" i="2" s="1"/>
  <c r="P1152" i="2" s="1"/>
  <c r="M1153" i="2" l="1"/>
  <c r="N1153" i="2" s="1"/>
  <c r="P1153" i="2" s="1"/>
  <c r="L1154" i="2"/>
  <c r="J1153" i="2"/>
  <c r="G1153" i="2" s="1"/>
  <c r="H1154" i="2" s="1"/>
  <c r="K1154" i="2" s="1"/>
  <c r="M1154" i="2" l="1"/>
  <c r="N1154" i="2" s="1"/>
  <c r="P1154" i="2" s="1"/>
  <c r="L1155" i="2"/>
  <c r="J1154" i="2"/>
  <c r="G1154" i="2" s="1"/>
  <c r="J1155" i="2" s="1"/>
  <c r="H1155" i="2" l="1"/>
  <c r="K1155" i="2" s="1"/>
  <c r="M1155" i="2" s="1"/>
  <c r="N1155" i="2" s="1"/>
  <c r="P1155" i="2" s="1"/>
  <c r="L1156" i="2" l="1"/>
  <c r="G1155" i="2"/>
  <c r="J1156" i="2" s="1"/>
  <c r="H1156" i="2" l="1"/>
  <c r="K1156" i="2" s="1"/>
  <c r="M1156" i="2" s="1"/>
  <c r="N1156" i="2" s="1"/>
  <c r="P1156" i="2" s="1"/>
  <c r="G1156" i="2" l="1"/>
  <c r="J1157" i="2" s="1"/>
  <c r="L1157" i="2"/>
  <c r="H1157" i="2" l="1"/>
  <c r="K1157" i="2" s="1"/>
  <c r="L1158" i="2" s="1"/>
  <c r="M1157" i="2" l="1"/>
  <c r="N1157" i="2" s="1"/>
  <c r="P1157" i="2" s="1"/>
  <c r="G1157" i="2"/>
  <c r="J1158" i="2" s="1"/>
  <c r="H1158" i="2" l="1"/>
  <c r="K1158" i="2" s="1"/>
  <c r="M1158" i="2" s="1"/>
  <c r="N1158" i="2" s="1"/>
  <c r="P1158" i="2" s="1"/>
  <c r="G1158" i="2" l="1"/>
  <c r="H1159" i="2" s="1"/>
  <c r="K1159" i="2" s="1"/>
  <c r="L1159" i="2"/>
  <c r="M1159" i="2" l="1"/>
  <c r="N1159" i="2" s="1"/>
  <c r="P1159" i="2" s="1"/>
  <c r="J1159" i="2"/>
  <c r="G1159" i="2" s="1"/>
  <c r="J1160" i="2" s="1"/>
  <c r="L1160" i="2"/>
  <c r="H1160" i="2" l="1"/>
  <c r="K1160" i="2" s="1"/>
  <c r="L1161" i="2" s="1"/>
  <c r="M1160" i="2" l="1"/>
  <c r="N1160" i="2" s="1"/>
  <c r="P1160" i="2" s="1"/>
  <c r="G1160" i="2"/>
  <c r="H1161" i="2" s="1"/>
  <c r="K1161" i="2" s="1"/>
  <c r="J1161" i="2" l="1"/>
  <c r="G1161" i="2" s="1"/>
  <c r="H1162" i="2" s="1"/>
  <c r="K1162" i="2" s="1"/>
  <c r="M1161" i="2"/>
  <c r="N1161" i="2" s="1"/>
  <c r="P1161" i="2" s="1"/>
  <c r="L1162" i="2"/>
  <c r="J1162" i="2" l="1"/>
  <c r="G1162" i="2" s="1"/>
  <c r="J1163" i="2" s="1"/>
  <c r="M1162" i="2"/>
  <c r="N1162" i="2" s="1"/>
  <c r="P1162" i="2" s="1"/>
  <c r="L1163" i="2"/>
  <c r="H1163" i="2" l="1"/>
  <c r="K1163" i="2" s="1"/>
  <c r="M1163" i="2" s="1"/>
  <c r="N1163" i="2" s="1"/>
  <c r="P1163" i="2" s="1"/>
  <c r="G1163" i="2" l="1"/>
  <c r="J1164" i="2" s="1"/>
  <c r="L1164" i="2"/>
  <c r="H1164" i="2" l="1"/>
  <c r="K1164" i="2" s="1"/>
  <c r="M1164" i="2" s="1"/>
  <c r="N1164" i="2" s="1"/>
  <c r="P1164" i="2" s="1"/>
  <c r="G1164" i="2" l="1"/>
  <c r="J1165" i="2" s="1"/>
  <c r="L1165" i="2"/>
  <c r="H1165" i="2" l="1"/>
  <c r="K1165" i="2" s="1"/>
  <c r="M1165" i="2" s="1"/>
  <c r="N1165" i="2" s="1"/>
  <c r="P1165" i="2" s="1"/>
  <c r="L1166" i="2" l="1"/>
  <c r="G1165" i="2"/>
  <c r="J1166" i="2" s="1"/>
  <c r="H1166" i="2" l="1"/>
  <c r="K1166" i="2" s="1"/>
  <c r="M1166" i="2" s="1"/>
  <c r="N1166" i="2" s="1"/>
  <c r="P1166" i="2" s="1"/>
  <c r="G1166" i="2" l="1"/>
  <c r="J1167" i="2" s="1"/>
  <c r="L1167" i="2"/>
  <c r="H1167" i="2" l="1"/>
  <c r="G1167" i="2" s="1"/>
  <c r="K1167" i="2" l="1"/>
  <c r="M1167" i="2" s="1"/>
  <c r="N1167" i="2" s="1"/>
  <c r="P1167" i="2" s="1"/>
  <c r="J1168" i="2"/>
  <c r="H1168" i="2"/>
  <c r="K1168" i="2" l="1"/>
  <c r="L1168" i="2"/>
  <c r="G1168" i="2"/>
  <c r="J1169" i="2" s="1"/>
  <c r="M1168" i="2" l="1"/>
  <c r="N1168" i="2" s="1"/>
  <c r="P1168" i="2" s="1"/>
  <c r="L1169" i="2"/>
  <c r="H1169" i="2"/>
  <c r="K1169" i="2" s="1"/>
  <c r="M1169" i="2" l="1"/>
  <c r="N1169" i="2" s="1"/>
  <c r="P1169" i="2" s="1"/>
  <c r="L1170" i="2"/>
  <c r="G1169" i="2"/>
  <c r="J1170" i="2" s="1"/>
  <c r="H1170" i="2" l="1"/>
  <c r="K1170" i="2" s="1"/>
  <c r="M1170" i="2" s="1"/>
  <c r="N1170" i="2" s="1"/>
  <c r="P1170" i="2" s="1"/>
  <c r="G1170" i="2" l="1"/>
  <c r="H1171" i="2" s="1"/>
  <c r="K1171" i="2" s="1"/>
  <c r="L1171" i="2"/>
  <c r="J1171" i="2" l="1"/>
  <c r="G1171" i="2" s="1"/>
  <c r="H1172" i="2" s="1"/>
  <c r="K1172" i="2" s="1"/>
  <c r="M1171" i="2"/>
  <c r="N1171" i="2" s="1"/>
  <c r="P1171" i="2" s="1"/>
  <c r="L1172" i="2"/>
  <c r="J1172" i="2" l="1"/>
  <c r="G1172" i="2" s="1"/>
  <c r="H1173" i="2" s="1"/>
  <c r="K1173" i="2" s="1"/>
  <c r="M1172" i="2"/>
  <c r="N1172" i="2" s="1"/>
  <c r="P1172" i="2" s="1"/>
  <c r="L1173" i="2"/>
  <c r="M1173" i="2" l="1"/>
  <c r="N1173" i="2" s="1"/>
  <c r="P1173" i="2" s="1"/>
  <c r="J1173" i="2"/>
  <c r="G1173" i="2" s="1"/>
  <c r="L1174" i="2"/>
  <c r="J1174" i="2" l="1"/>
  <c r="H1174" i="2"/>
  <c r="K1174" i="2" s="1"/>
  <c r="G1174" i="2" l="1"/>
  <c r="L1175" i="2"/>
  <c r="M1174" i="2"/>
  <c r="N1174" i="2" s="1"/>
  <c r="P1174" i="2" s="1"/>
  <c r="J1175" i="2" l="1"/>
  <c r="H1175" i="2"/>
  <c r="K1175" i="2" s="1"/>
  <c r="G1175" i="2" l="1"/>
  <c r="M1175" i="2"/>
  <c r="N1175" i="2" s="1"/>
  <c r="P1175" i="2" s="1"/>
  <c r="L1176" i="2"/>
  <c r="H1176" i="2" l="1"/>
  <c r="K1176" i="2" s="1"/>
  <c r="L1177" i="2" s="1"/>
  <c r="J1176" i="2"/>
  <c r="G1176" i="2" l="1"/>
  <c r="J1177" i="2" s="1"/>
  <c r="M1176" i="2"/>
  <c r="N1176" i="2" s="1"/>
  <c r="P1176" i="2" s="1"/>
  <c r="H1177" i="2" l="1"/>
  <c r="K1177" i="2" s="1"/>
  <c r="M1177" i="2" s="1"/>
  <c r="N1177" i="2" s="1"/>
  <c r="P1177" i="2" s="1"/>
  <c r="G1177" i="2" l="1"/>
  <c r="H1178" i="2" s="1"/>
  <c r="K1178" i="2" s="1"/>
  <c r="L1178" i="2"/>
  <c r="M1178" i="2" l="1"/>
  <c r="N1178" i="2" s="1"/>
  <c r="P1178" i="2" s="1"/>
  <c r="J1178" i="2"/>
  <c r="G1178" i="2" s="1"/>
  <c r="L1179" i="2"/>
  <c r="H1179" i="2" l="1"/>
  <c r="K1179" i="2" s="1"/>
  <c r="M1179" i="2" s="1"/>
  <c r="N1179" i="2" s="1"/>
  <c r="P1179" i="2" s="1"/>
  <c r="J1179" i="2"/>
  <c r="G1179" i="2" l="1"/>
  <c r="J1180" i="2" s="1"/>
  <c r="L1180" i="2"/>
  <c r="H1180" i="2" l="1"/>
  <c r="K1180" i="2" s="1"/>
  <c r="L1181" i="2" s="1"/>
  <c r="G1180" i="2" l="1"/>
  <c r="H1181" i="2" s="1"/>
  <c r="K1181" i="2" s="1"/>
  <c r="M1181" i="2" s="1"/>
  <c r="N1181" i="2" s="1"/>
  <c r="P1181" i="2" s="1"/>
  <c r="M1180" i="2"/>
  <c r="N1180" i="2" s="1"/>
  <c r="P1180" i="2" s="1"/>
  <c r="J1181" i="2" l="1"/>
  <c r="G1181" i="2" s="1"/>
  <c r="L1182" i="2"/>
  <c r="J1182" i="2" l="1"/>
  <c r="H1182" i="2"/>
  <c r="K1182" i="2" s="1"/>
  <c r="M1182" i="2" s="1"/>
  <c r="N1182" i="2" s="1"/>
  <c r="P1182" i="2" s="1"/>
  <c r="L1183" i="2" l="1"/>
  <c r="G1182" i="2"/>
  <c r="H1183" i="2" l="1"/>
  <c r="K1183" i="2" s="1"/>
  <c r="J1183" i="2"/>
  <c r="G1183" i="2" l="1"/>
  <c r="H1184" i="2" s="1"/>
  <c r="K1184" i="2" s="1"/>
  <c r="M1183" i="2"/>
  <c r="N1183" i="2" s="1"/>
  <c r="P1183" i="2" s="1"/>
  <c r="L1184" i="2"/>
  <c r="J1184" i="2" l="1"/>
  <c r="G1184" i="2" s="1"/>
  <c r="H1185" i="2" s="1"/>
  <c r="M1184" i="2"/>
  <c r="N1184" i="2" s="1"/>
  <c r="P1184" i="2" s="1"/>
  <c r="L1185" i="2"/>
  <c r="J1185" i="2" l="1"/>
  <c r="G1185" i="2" s="1"/>
  <c r="K1185" i="2"/>
  <c r="M1185" i="2" s="1"/>
  <c r="N1185" i="2" s="1"/>
  <c r="P1185" i="2" s="1"/>
  <c r="L1186" i="2" l="1"/>
  <c r="H1186" i="2"/>
  <c r="K1186" i="2" s="1"/>
  <c r="J1186" i="2"/>
  <c r="M1186" i="2" l="1"/>
  <c r="N1186" i="2" s="1"/>
  <c r="P1186" i="2" s="1"/>
  <c r="G1186" i="2"/>
  <c r="H1187" i="2" s="1"/>
  <c r="K1187" i="2" s="1"/>
  <c r="L1187" i="2"/>
  <c r="J1187" i="2" l="1"/>
  <c r="G1187" i="2" s="1"/>
  <c r="L1188" i="2"/>
  <c r="M1187" i="2"/>
  <c r="N1187" i="2" s="1"/>
  <c r="P1187" i="2" s="1"/>
  <c r="H1188" i="2" l="1"/>
  <c r="K1188" i="2" s="1"/>
  <c r="M1188" i="2" s="1"/>
  <c r="N1188" i="2" s="1"/>
  <c r="P1188" i="2" s="1"/>
  <c r="J1188" i="2"/>
  <c r="G1188" i="2" l="1"/>
  <c r="H1189" i="2" s="1"/>
  <c r="L1189" i="2"/>
  <c r="J1189" i="2" l="1"/>
  <c r="G1189" i="2" s="1"/>
  <c r="K1189" i="2"/>
  <c r="M1189" i="2" l="1"/>
  <c r="N1189" i="2" s="1"/>
  <c r="P1189" i="2" s="1"/>
  <c r="L1190" i="2"/>
  <c r="H1190" i="2"/>
  <c r="K1190" i="2" s="1"/>
  <c r="J1190" i="2"/>
  <c r="G1190" i="2" l="1"/>
  <c r="J1191" i="2" s="1"/>
  <c r="M1190" i="2"/>
  <c r="N1190" i="2" s="1"/>
  <c r="P1190" i="2" s="1"/>
  <c r="L1191" i="2"/>
  <c r="H1191" i="2" l="1"/>
  <c r="G1191" i="2" s="1"/>
  <c r="J1192" i="2" s="1"/>
  <c r="K1191" i="2" l="1"/>
  <c r="L1192" i="2" s="1"/>
  <c r="H1192" i="2"/>
  <c r="G1192" i="2" s="1"/>
  <c r="M1191" i="2" l="1"/>
  <c r="N1191" i="2" s="1"/>
  <c r="P1191" i="2" s="1"/>
  <c r="K1192" i="2"/>
  <c r="M1192" i="2" s="1"/>
  <c r="N1192" i="2" s="1"/>
  <c r="P1192" i="2" s="1"/>
  <c r="J1193" i="2"/>
  <c r="H1193" i="2"/>
  <c r="L1193" i="2" l="1"/>
  <c r="K1193" i="2"/>
  <c r="G1193" i="2"/>
  <c r="J1194" i="2" s="1"/>
  <c r="M1193" i="2" l="1"/>
  <c r="N1193" i="2" s="1"/>
  <c r="P1193" i="2" s="1"/>
  <c r="H1194" i="2"/>
  <c r="K1194" i="2" s="1"/>
  <c r="L1194" i="2"/>
  <c r="L1195" i="2" l="1"/>
  <c r="G1194" i="2"/>
  <c r="H1195" i="2" s="1"/>
  <c r="K1195" i="2" s="1"/>
  <c r="M1194" i="2"/>
  <c r="N1194" i="2" s="1"/>
  <c r="P1194" i="2" s="1"/>
  <c r="M1195" i="2" l="1"/>
  <c r="N1195" i="2" s="1"/>
  <c r="P1195" i="2" s="1"/>
  <c r="J1195" i="2"/>
  <c r="G1195" i="2" s="1"/>
  <c r="H1196" i="2" s="1"/>
  <c r="K1196" i="2" s="1"/>
  <c r="L1196" i="2"/>
  <c r="J1196" i="2" l="1"/>
  <c r="G1196" i="2" s="1"/>
  <c r="H1197" i="2" s="1"/>
  <c r="K1197" i="2" s="1"/>
  <c r="L1197" i="2"/>
  <c r="M1196" i="2"/>
  <c r="N1196" i="2" s="1"/>
  <c r="P1196" i="2" s="1"/>
  <c r="M1197" i="2" l="1"/>
  <c r="N1197" i="2" s="1"/>
  <c r="P1197" i="2" s="1"/>
  <c r="L1198" i="2"/>
  <c r="J1197" i="2"/>
  <c r="G1197" i="2" s="1"/>
  <c r="H1198" i="2" s="1"/>
  <c r="K1198" i="2" s="1"/>
  <c r="J1198" i="2" l="1"/>
  <c r="G1198" i="2" s="1"/>
  <c r="H1199" i="2" s="1"/>
  <c r="K1199" i="2" s="1"/>
  <c r="M1198" i="2"/>
  <c r="N1198" i="2" s="1"/>
  <c r="P1198" i="2" s="1"/>
  <c r="L1199" i="2"/>
  <c r="L1200" i="2" l="1"/>
  <c r="J1199" i="2"/>
  <c r="G1199" i="2" s="1"/>
  <c r="M1199" i="2"/>
  <c r="N1199" i="2" s="1"/>
  <c r="P1199" i="2" s="1"/>
  <c r="H1200" i="2" l="1"/>
  <c r="K1200" i="2" s="1"/>
  <c r="J1200" i="2"/>
  <c r="G1200" i="2" l="1"/>
  <c r="J1201" i="2" s="1"/>
  <c r="M1200" i="2"/>
  <c r="N1200" i="2" s="1"/>
  <c r="P1200" i="2" s="1"/>
  <c r="L1201" i="2"/>
  <c r="H1201" i="2" l="1"/>
  <c r="K1201" i="2" s="1"/>
  <c r="M1201" i="2" s="1"/>
  <c r="N1201" i="2" s="1"/>
  <c r="P1201" i="2" s="1"/>
  <c r="G1201" i="2" l="1"/>
  <c r="H1202" i="2" s="1"/>
  <c r="K1202" i="2" s="1"/>
  <c r="L1202" i="2"/>
  <c r="J1202" i="2" l="1"/>
  <c r="G1202" i="2" s="1"/>
  <c r="J1203" i="2" s="1"/>
  <c r="M1202" i="2"/>
  <c r="N1202" i="2" s="1"/>
  <c r="P1202" i="2" s="1"/>
  <c r="L1203" i="2"/>
  <c r="H1203" i="2" l="1"/>
  <c r="K1203" i="2" s="1"/>
  <c r="L1204" i="2" s="1"/>
  <c r="G1203" i="2" l="1"/>
  <c r="H1204" i="2" s="1"/>
  <c r="M1203" i="2"/>
  <c r="N1203" i="2" s="1"/>
  <c r="P1203" i="2" s="1"/>
  <c r="J1204" i="2" l="1"/>
  <c r="G1204" i="2" s="1"/>
  <c r="K1204" i="2"/>
  <c r="M1204" i="2" l="1"/>
  <c r="N1204" i="2" s="1"/>
  <c r="P1204" i="2" s="1"/>
  <c r="L1205" i="2"/>
  <c r="H1205" i="2"/>
  <c r="K1205" i="2" s="1"/>
  <c r="J1205" i="2"/>
  <c r="M1205" i="2" l="1"/>
  <c r="N1205" i="2" s="1"/>
  <c r="P1205" i="2" s="1"/>
  <c r="G1205" i="2"/>
  <c r="J1206" i="2" s="1"/>
  <c r="L1206" i="2"/>
  <c r="H1206" i="2" l="1"/>
  <c r="K1206" i="2" s="1"/>
  <c r="M1206" i="2" s="1"/>
  <c r="N1206" i="2" s="1"/>
  <c r="P1206" i="2" s="1"/>
  <c r="L1207" i="2" l="1"/>
  <c r="G1206" i="2"/>
  <c r="J1207" i="2" l="1"/>
  <c r="H1207" i="2"/>
  <c r="K1207" i="2" l="1"/>
  <c r="G1207" i="2"/>
  <c r="H1208" i="2" l="1"/>
  <c r="K1208" i="2" s="1"/>
  <c r="J1208" i="2"/>
  <c r="M1207" i="2"/>
  <c r="N1207" i="2" s="1"/>
  <c r="P1207" i="2" s="1"/>
  <c r="L1208" i="2"/>
  <c r="G1208" i="2" l="1"/>
  <c r="H1209" i="2" s="1"/>
  <c r="K1209" i="2" s="1"/>
  <c r="L1209" i="2"/>
  <c r="M1208" i="2"/>
  <c r="N1208" i="2" s="1"/>
  <c r="P1208" i="2" s="1"/>
  <c r="J1209" i="2" l="1"/>
  <c r="G1209" i="2" s="1"/>
  <c r="H1210" i="2" s="1"/>
  <c r="K1210" i="2" s="1"/>
  <c r="M1209" i="2"/>
  <c r="N1209" i="2" s="1"/>
  <c r="P1209" i="2" s="1"/>
  <c r="L1210" i="2"/>
  <c r="J1210" i="2" l="1"/>
  <c r="G1210" i="2" s="1"/>
  <c r="H1211" i="2" s="1"/>
  <c r="K1211" i="2" s="1"/>
  <c r="M1210" i="2"/>
  <c r="N1210" i="2" s="1"/>
  <c r="P1210" i="2" s="1"/>
  <c r="L1211" i="2"/>
  <c r="J1211" i="2" l="1"/>
  <c r="G1211" i="2" s="1"/>
  <c r="J1212" i="2" s="1"/>
  <c r="L1212" i="2"/>
  <c r="M1211" i="2"/>
  <c r="N1211" i="2" s="1"/>
  <c r="P1211" i="2" s="1"/>
  <c r="H1212" i="2" l="1"/>
  <c r="G1212" i="2" s="1"/>
  <c r="J1213" i="2" s="1"/>
  <c r="K1212" i="2" l="1"/>
  <c r="M1212" i="2" s="1"/>
  <c r="N1212" i="2" s="1"/>
  <c r="P1212" i="2" s="1"/>
  <c r="H1213" i="2"/>
  <c r="G1213" i="2" s="1"/>
  <c r="L1213" i="2" l="1"/>
  <c r="H1214" i="2"/>
  <c r="J1214" i="2"/>
  <c r="K1213" i="2"/>
  <c r="M1213" i="2" l="1"/>
  <c r="N1213" i="2" s="1"/>
  <c r="P1213" i="2" s="1"/>
  <c r="G1214" i="2"/>
  <c r="J1215" i="2" s="1"/>
  <c r="K1214" i="2"/>
  <c r="L1214" i="2"/>
  <c r="H1215" i="2" l="1"/>
  <c r="G1215" i="2" s="1"/>
  <c r="M1214" i="2"/>
  <c r="N1214" i="2" s="1"/>
  <c r="P1214" i="2" s="1"/>
  <c r="L1215" i="2"/>
  <c r="K1215" i="2" l="1"/>
  <c r="M1215" i="2" s="1"/>
  <c r="N1215" i="2" s="1"/>
  <c r="P1215" i="2" s="1"/>
  <c r="H1216" i="2"/>
  <c r="J1216" i="2"/>
  <c r="L1216" i="2" l="1"/>
  <c r="K1216" i="2"/>
  <c r="G1216" i="2"/>
  <c r="H1217" i="2" s="1"/>
  <c r="M1216" i="2" l="1"/>
  <c r="N1216" i="2" s="1"/>
  <c r="P1216" i="2" s="1"/>
  <c r="L1217" i="2"/>
  <c r="K1217" i="2"/>
  <c r="J1217" i="2"/>
  <c r="G1217" i="2" s="1"/>
  <c r="L1218" i="2" l="1"/>
  <c r="M1217" i="2"/>
  <c r="N1217" i="2" s="1"/>
  <c r="P1217" i="2" s="1"/>
  <c r="H1218" i="2"/>
  <c r="K1218" i="2" s="1"/>
  <c r="J1218" i="2"/>
  <c r="G1218" i="2" l="1"/>
  <c r="J1219" i="2" s="1"/>
  <c r="L1219" i="2"/>
  <c r="M1218" i="2"/>
  <c r="N1218" i="2" s="1"/>
  <c r="P1218" i="2" s="1"/>
  <c r="H1219" i="2" l="1"/>
  <c r="K1219" i="2" s="1"/>
  <c r="M1219" i="2" s="1"/>
  <c r="N1219" i="2" s="1"/>
  <c r="P1219" i="2" s="1"/>
  <c r="G1219" i="2" l="1"/>
  <c r="H1220" i="2" s="1"/>
  <c r="L1220" i="2"/>
  <c r="J1220" i="2" l="1"/>
  <c r="G1220" i="2" s="1"/>
  <c r="K1220" i="2"/>
  <c r="H1221" i="2" l="1"/>
  <c r="K1221" i="2" s="1"/>
  <c r="J1221" i="2"/>
  <c r="L1221" i="2"/>
  <c r="M1220" i="2"/>
  <c r="N1220" i="2" s="1"/>
  <c r="P1220" i="2" s="1"/>
  <c r="M1221" i="2" l="1"/>
  <c r="N1221" i="2" s="1"/>
  <c r="P1221" i="2" s="1"/>
  <c r="G1221" i="2"/>
  <c r="H1222" i="2" s="1"/>
  <c r="K1222" i="2" s="1"/>
  <c r="L1222" i="2"/>
  <c r="J1222" i="2" l="1"/>
  <c r="G1222" i="2" s="1"/>
  <c r="M1222" i="2"/>
  <c r="N1222" i="2" s="1"/>
  <c r="P1222" i="2" s="1"/>
  <c r="L1223" i="2"/>
  <c r="J1223" i="2" l="1"/>
  <c r="H1223" i="2"/>
  <c r="K1223" i="2" s="1"/>
  <c r="L1224" i="2" s="1"/>
  <c r="G1223" i="2" l="1"/>
  <c r="J1224" i="2" s="1"/>
  <c r="M1223" i="2"/>
  <c r="N1223" i="2" s="1"/>
  <c r="P1223" i="2" s="1"/>
  <c r="H1224" i="2" l="1"/>
  <c r="G1224" i="2" s="1"/>
  <c r="J1225" i="2" l="1"/>
  <c r="H1225" i="2"/>
  <c r="K1224" i="2"/>
  <c r="L1225" i="2" s="1"/>
  <c r="G1225" i="2" l="1"/>
  <c r="H1226" i="2" s="1"/>
  <c r="M1224" i="2"/>
  <c r="N1224" i="2" s="1"/>
  <c r="P1224" i="2" s="1"/>
  <c r="K1225" i="2"/>
  <c r="M1225" i="2" s="1"/>
  <c r="N1225" i="2" s="1"/>
  <c r="P1225" i="2" s="1"/>
  <c r="J1226" i="2" l="1"/>
  <c r="G1226" i="2" s="1"/>
  <c r="J1227" i="2" s="1"/>
  <c r="K1226" i="2"/>
  <c r="L1226" i="2"/>
  <c r="L1227" i="2" l="1"/>
  <c r="M1226" i="2"/>
  <c r="N1226" i="2" s="1"/>
  <c r="P1226" i="2" s="1"/>
  <c r="H1227" i="2"/>
  <c r="K1227" i="2" s="1"/>
  <c r="L1228" i="2" l="1"/>
  <c r="M1227" i="2"/>
  <c r="N1227" i="2" s="1"/>
  <c r="P1227" i="2" s="1"/>
  <c r="G1227" i="2"/>
  <c r="J1228" i="2" l="1"/>
  <c r="H1228" i="2"/>
  <c r="K1228" i="2" s="1"/>
  <c r="G1228" i="2" l="1"/>
  <c r="J1229" i="2" s="1"/>
  <c r="M1228" i="2"/>
  <c r="N1228" i="2" s="1"/>
  <c r="P1228" i="2" s="1"/>
  <c r="L1229" i="2"/>
  <c r="H1229" i="2" l="1"/>
  <c r="K1229" i="2" s="1"/>
  <c r="L1230" i="2" s="1"/>
  <c r="M1229" i="2" l="1"/>
  <c r="N1229" i="2" s="1"/>
  <c r="P1229" i="2" s="1"/>
  <c r="G1229" i="2"/>
  <c r="H1230" i="2" l="1"/>
  <c r="J1230" i="2"/>
  <c r="K1230" i="2" l="1"/>
  <c r="G1230" i="2"/>
  <c r="M1230" i="2" l="1"/>
  <c r="N1230" i="2" s="1"/>
  <c r="P1230" i="2" s="1"/>
  <c r="L1231" i="2"/>
  <c r="H1231" i="2"/>
  <c r="K1231" i="2" s="1"/>
  <c r="J1231" i="2"/>
  <c r="G1231" i="2" l="1"/>
  <c r="H1232" i="2" s="1"/>
  <c r="K1232" i="2" s="1"/>
  <c r="L1232" i="2"/>
  <c r="M1231" i="2"/>
  <c r="N1231" i="2" s="1"/>
  <c r="P1231" i="2" s="1"/>
  <c r="J1232" i="2" l="1"/>
  <c r="G1232" i="2" s="1"/>
  <c r="J1233" i="2" s="1"/>
  <c r="M1232" i="2"/>
  <c r="N1232" i="2" s="1"/>
  <c r="P1232" i="2" s="1"/>
  <c r="L1233" i="2"/>
  <c r="H1233" i="2" l="1"/>
  <c r="K1233" i="2" s="1"/>
  <c r="M1233" i="2" s="1"/>
  <c r="N1233" i="2" s="1"/>
  <c r="P1233" i="2" s="1"/>
  <c r="G1233" i="2" l="1"/>
  <c r="H1234" i="2" s="1"/>
  <c r="K1234" i="2" s="1"/>
  <c r="L1234" i="2"/>
  <c r="J1234" i="2" l="1"/>
  <c r="G1234" i="2" s="1"/>
  <c r="J1235" i="2" s="1"/>
  <c r="M1234" i="2"/>
  <c r="N1234" i="2" s="1"/>
  <c r="P1234" i="2" s="1"/>
  <c r="L1235" i="2"/>
  <c r="H1235" i="2" l="1"/>
  <c r="K1235" i="2" s="1"/>
  <c r="M1235" i="2" s="1"/>
  <c r="N1235" i="2" s="1"/>
  <c r="P1235" i="2" s="1"/>
  <c r="G1235" i="2" l="1"/>
  <c r="J1236" i="2" s="1"/>
  <c r="L1236" i="2"/>
  <c r="H1236" i="2" l="1"/>
  <c r="K1236" i="2" s="1"/>
  <c r="L1237" i="2" s="1"/>
  <c r="M1236" i="2" l="1"/>
  <c r="N1236" i="2" s="1"/>
  <c r="P1236" i="2" s="1"/>
  <c r="G1236" i="2"/>
  <c r="J1237" i="2" s="1"/>
  <c r="H1237" i="2" l="1"/>
  <c r="K1237" i="2" s="1"/>
  <c r="M1237" i="2" s="1"/>
  <c r="N1237" i="2" s="1"/>
  <c r="P1237" i="2" s="1"/>
  <c r="G1237" i="2" l="1"/>
  <c r="H1238" i="2" s="1"/>
  <c r="K1238" i="2" s="1"/>
  <c r="L1238" i="2"/>
  <c r="J1238" i="2" l="1"/>
  <c r="G1238" i="2" s="1"/>
  <c r="J1239" i="2" s="1"/>
  <c r="L1239" i="2"/>
  <c r="M1238" i="2"/>
  <c r="N1238" i="2" s="1"/>
  <c r="P1238" i="2" s="1"/>
  <c r="H1239" i="2" l="1"/>
  <c r="K1239" i="2" s="1"/>
  <c r="L1240" i="2" s="1"/>
  <c r="M1239" i="2" l="1"/>
  <c r="N1239" i="2" s="1"/>
  <c r="P1239" i="2" s="1"/>
  <c r="G1239" i="2"/>
  <c r="H1240" i="2" s="1"/>
  <c r="K1240" i="2" s="1"/>
  <c r="J1240" i="2" l="1"/>
  <c r="G1240" i="2" s="1"/>
  <c r="H1241" i="2" s="1"/>
  <c r="K1241" i="2" s="1"/>
  <c r="L1241" i="2"/>
  <c r="M1240" i="2"/>
  <c r="N1240" i="2" s="1"/>
  <c r="P1240" i="2" s="1"/>
  <c r="J1241" i="2" l="1"/>
  <c r="G1241" i="2" s="1"/>
  <c r="J1242" i="2" s="1"/>
  <c r="M1241" i="2"/>
  <c r="N1241" i="2" s="1"/>
  <c r="P1241" i="2" s="1"/>
  <c r="L1242" i="2"/>
  <c r="H1242" i="2" l="1"/>
  <c r="K1242" i="2" s="1"/>
  <c r="M1242" i="2" s="1"/>
  <c r="N1242" i="2" s="1"/>
  <c r="P1242" i="2" s="1"/>
  <c r="L1243" i="2" l="1"/>
  <c r="G1242" i="2"/>
  <c r="J1243" i="2" s="1"/>
  <c r="H1243" i="2" l="1"/>
  <c r="K1243" i="2" s="1"/>
  <c r="M1243" i="2" s="1"/>
  <c r="N1243" i="2" s="1"/>
  <c r="P1243" i="2" s="1"/>
  <c r="G1243" i="2" l="1"/>
  <c r="J1244" i="2" s="1"/>
  <c r="L1244" i="2"/>
  <c r="H1244" i="2" l="1"/>
  <c r="K1244" i="2" s="1"/>
  <c r="M1244" i="2" s="1"/>
  <c r="N1244" i="2" s="1"/>
  <c r="P1244" i="2" s="1"/>
  <c r="G1244" i="2" l="1"/>
  <c r="H1245" i="2" s="1"/>
  <c r="K1245" i="2" s="1"/>
  <c r="L1245" i="2"/>
  <c r="M1245" i="2" l="1"/>
  <c r="N1245" i="2" s="1"/>
  <c r="P1245" i="2" s="1"/>
  <c r="J1245" i="2"/>
  <c r="G1245" i="2" s="1"/>
  <c r="H1246" i="2" s="1"/>
  <c r="K1246" i="2" s="1"/>
  <c r="L1246" i="2"/>
  <c r="J1246" i="2" l="1"/>
  <c r="G1246" i="2" s="1"/>
  <c r="M1246" i="2"/>
  <c r="N1246" i="2" s="1"/>
  <c r="P1246" i="2" s="1"/>
  <c r="L1247" i="2"/>
  <c r="J1247" i="2" l="1"/>
  <c r="H1247" i="2"/>
  <c r="K1247" i="2" s="1"/>
  <c r="G1247" i="2" l="1"/>
  <c r="J1248" i="2" s="1"/>
  <c r="L1248" i="2"/>
  <c r="M1247" i="2"/>
  <c r="N1247" i="2" s="1"/>
  <c r="P1247" i="2" s="1"/>
  <c r="H1248" i="2" l="1"/>
  <c r="K1248" i="2" s="1"/>
  <c r="L1249" i="2" s="1"/>
  <c r="M1248" i="2" l="1"/>
  <c r="N1248" i="2" s="1"/>
  <c r="P1248" i="2" s="1"/>
  <c r="G1248" i="2"/>
  <c r="H1249" i="2" l="1"/>
  <c r="K1249" i="2" s="1"/>
  <c r="J1249" i="2"/>
  <c r="G1249" i="2" l="1"/>
  <c r="J1250" i="2" s="1"/>
  <c r="M1249" i="2"/>
  <c r="N1249" i="2" s="1"/>
  <c r="P1249" i="2" s="1"/>
  <c r="L1250" i="2"/>
  <c r="H1250" i="2" l="1"/>
  <c r="K1250" i="2" s="1"/>
  <c r="L1251" i="2" s="1"/>
  <c r="G1250" i="2" l="1"/>
  <c r="J1251" i="2" s="1"/>
  <c r="M1250" i="2"/>
  <c r="N1250" i="2" s="1"/>
  <c r="P1250" i="2" s="1"/>
  <c r="H1251" i="2" l="1"/>
  <c r="K1251" i="2" s="1"/>
  <c r="L1252" i="2" s="1"/>
  <c r="M1251" i="2" l="1"/>
  <c r="N1251" i="2" s="1"/>
  <c r="P1251" i="2" s="1"/>
  <c r="G1251" i="2"/>
  <c r="H1252" i="2" s="1"/>
  <c r="K1252" i="2" s="1"/>
  <c r="L1253" i="2" s="1"/>
  <c r="M1252" i="2" l="1"/>
  <c r="N1252" i="2" s="1"/>
  <c r="P1252" i="2" s="1"/>
  <c r="J1252" i="2"/>
  <c r="G1252" i="2" s="1"/>
  <c r="J1253" i="2" s="1"/>
  <c r="H1253" i="2" l="1"/>
  <c r="K1253" i="2" s="1"/>
  <c r="M1253" i="2" s="1"/>
  <c r="N1253" i="2" s="1"/>
  <c r="P1253" i="2" s="1"/>
  <c r="G1253" i="2" l="1"/>
  <c r="H1254" i="2" s="1"/>
  <c r="K1254" i="2" s="1"/>
  <c r="L1254" i="2"/>
  <c r="J1254" i="2" l="1"/>
  <c r="G1254" i="2" s="1"/>
  <c r="J1255" i="2" s="1"/>
  <c r="M1254" i="2"/>
  <c r="N1254" i="2" s="1"/>
  <c r="P1254" i="2" s="1"/>
  <c r="L1255" i="2"/>
  <c r="H1255" i="2" l="1"/>
  <c r="K1255" i="2" s="1"/>
  <c r="L1256" i="2" s="1"/>
  <c r="M1255" i="2" l="1"/>
  <c r="N1255" i="2" s="1"/>
  <c r="P1255" i="2" s="1"/>
  <c r="G1255" i="2"/>
  <c r="J1256" i="2" l="1"/>
  <c r="H1256" i="2"/>
  <c r="K1256" i="2" l="1"/>
  <c r="G1256" i="2"/>
  <c r="J1257" i="2" l="1"/>
  <c r="H1257" i="2"/>
  <c r="M1256" i="2"/>
  <c r="N1256" i="2" s="1"/>
  <c r="P1256" i="2" s="1"/>
  <c r="L1257" i="2"/>
  <c r="K1257" i="2" l="1"/>
  <c r="G1257" i="2"/>
  <c r="H1258" i="2" l="1"/>
  <c r="J1258" i="2"/>
  <c r="M1257" i="2"/>
  <c r="N1257" i="2" s="1"/>
  <c r="P1257" i="2" s="1"/>
  <c r="L1258" i="2"/>
  <c r="K1258" i="2" l="1"/>
  <c r="M1258" i="2" s="1"/>
  <c r="N1258" i="2" s="1"/>
  <c r="P1258" i="2" s="1"/>
  <c r="G1258" i="2"/>
  <c r="H1259" i="2" l="1"/>
  <c r="J1259" i="2"/>
  <c r="L1259" i="2"/>
  <c r="K1259" i="2" l="1"/>
  <c r="M1259" i="2" s="1"/>
  <c r="N1259" i="2" s="1"/>
  <c r="P1259" i="2" s="1"/>
  <c r="G1259" i="2"/>
  <c r="J1260" i="2" l="1"/>
  <c r="H1260" i="2"/>
  <c r="L1260" i="2"/>
  <c r="K1260" i="2" l="1"/>
  <c r="M1260" i="2" s="1"/>
  <c r="N1260" i="2" s="1"/>
  <c r="P1260" i="2" s="1"/>
  <c r="G1260" i="2"/>
  <c r="L1261" i="2" l="1"/>
  <c r="J1261" i="2"/>
  <c r="H1261" i="2"/>
  <c r="K1261" i="2" s="1"/>
  <c r="M1261" i="2" l="1"/>
  <c r="N1261" i="2" s="1"/>
  <c r="P1261" i="2" s="1"/>
  <c r="G1261" i="2"/>
  <c r="L1262" i="2"/>
  <c r="J1262" i="2" l="1"/>
  <c r="H1262" i="2"/>
  <c r="K1262" i="2" s="1"/>
  <c r="M1262" i="2" s="1"/>
  <c r="N1262" i="2" s="1"/>
  <c r="P1262" i="2" s="1"/>
  <c r="G1262" i="2" l="1"/>
  <c r="H1263" i="2" s="1"/>
  <c r="L1263" i="2"/>
  <c r="J1263" i="2" l="1"/>
  <c r="G1263" i="2" s="1"/>
  <c r="K1263" i="2"/>
  <c r="M1263" i="2" l="1"/>
  <c r="N1263" i="2" s="1"/>
  <c r="P1263" i="2" s="1"/>
  <c r="L1264" i="2"/>
  <c r="J1264" i="2"/>
  <c r="H1264" i="2"/>
  <c r="G1264" i="2" l="1"/>
  <c r="J1265" i="2" s="1"/>
  <c r="K1264" i="2"/>
  <c r="H1265" i="2" l="1"/>
  <c r="G1265" i="2" s="1"/>
  <c r="J1266" i="2" s="1"/>
  <c r="M1264" i="2"/>
  <c r="N1264" i="2" s="1"/>
  <c r="P1264" i="2" s="1"/>
  <c r="L1265" i="2"/>
  <c r="H1266" i="2" l="1"/>
  <c r="K1265" i="2"/>
  <c r="M1265" i="2" s="1"/>
  <c r="N1265" i="2" s="1"/>
  <c r="P1265" i="2" s="1"/>
  <c r="L1266" i="2" l="1"/>
  <c r="K1266" i="2"/>
  <c r="G1266" i="2"/>
  <c r="J1267" i="2" s="1"/>
  <c r="M1266" i="2" l="1"/>
  <c r="N1266" i="2" s="1"/>
  <c r="P1266" i="2" s="1"/>
  <c r="H1267" i="2"/>
  <c r="K1267" i="2" s="1"/>
  <c r="L1267" i="2"/>
  <c r="G1267" i="2" l="1"/>
  <c r="H1268" i="2" s="1"/>
  <c r="K1268" i="2" s="1"/>
  <c r="L1268" i="2"/>
  <c r="M1267" i="2"/>
  <c r="N1267" i="2" s="1"/>
  <c r="P1267" i="2" s="1"/>
  <c r="J1268" i="2" l="1"/>
  <c r="G1268" i="2" s="1"/>
  <c r="J1269" i="2" s="1"/>
  <c r="M1268" i="2"/>
  <c r="N1268" i="2" s="1"/>
  <c r="P1268" i="2" s="1"/>
  <c r="L1269" i="2"/>
  <c r="H1269" i="2" l="1"/>
  <c r="K1269" i="2" s="1"/>
  <c r="M1269" i="2" s="1"/>
  <c r="N1269" i="2" s="1"/>
  <c r="P1269" i="2" s="1"/>
  <c r="G1269" i="2" l="1"/>
  <c r="J1270" i="2" s="1"/>
  <c r="L1270" i="2"/>
  <c r="H1270" i="2" l="1"/>
  <c r="K1270" i="2" s="1"/>
  <c r="M1270" i="2" s="1"/>
  <c r="N1270" i="2" s="1"/>
  <c r="P1270" i="2" s="1"/>
  <c r="L1271" i="2" l="1"/>
  <c r="G1270" i="2"/>
  <c r="H1271" i="2" s="1"/>
  <c r="K1271" i="2" s="1"/>
  <c r="L1272" i="2" l="1"/>
  <c r="J1271" i="2"/>
  <c r="G1271" i="2" s="1"/>
  <c r="J1272" i="2" s="1"/>
  <c r="M1271" i="2"/>
  <c r="N1271" i="2" s="1"/>
  <c r="P1271" i="2" s="1"/>
  <c r="H1272" i="2" l="1"/>
  <c r="G1272" i="2" s="1"/>
  <c r="J1273" i="2" s="1"/>
  <c r="K1272" i="2" l="1"/>
  <c r="L1273" i="2" s="1"/>
  <c r="H1273" i="2"/>
  <c r="G1273" i="2" s="1"/>
  <c r="J1274" i="2" s="1"/>
  <c r="K1273" i="2" l="1"/>
  <c r="M1273" i="2" s="1"/>
  <c r="N1273" i="2" s="1"/>
  <c r="P1273" i="2" s="1"/>
  <c r="M1272" i="2"/>
  <c r="N1272" i="2" s="1"/>
  <c r="P1272" i="2" s="1"/>
  <c r="H1274" i="2"/>
  <c r="G1274" i="2" s="1"/>
  <c r="H1275" i="2" s="1"/>
  <c r="L1274" i="2" l="1"/>
  <c r="K1274" i="2"/>
  <c r="J1275" i="2"/>
  <c r="G1275" i="2" s="1"/>
  <c r="H1276" i="2" s="1"/>
  <c r="M1274" i="2" l="1"/>
  <c r="N1274" i="2" s="1"/>
  <c r="P1274" i="2" s="1"/>
  <c r="K1275" i="2"/>
  <c r="K1276" i="2" s="1"/>
  <c r="L1275" i="2"/>
  <c r="J1276" i="2"/>
  <c r="G1276" i="2" s="1"/>
  <c r="J1277" i="2" s="1"/>
  <c r="M1275" i="2" l="1"/>
  <c r="N1275" i="2" s="1"/>
  <c r="P1275" i="2" s="1"/>
  <c r="L1276" i="2"/>
  <c r="L1277" i="2" s="1"/>
  <c r="H1277" i="2"/>
  <c r="K1277" i="2" s="1"/>
  <c r="M1276" i="2" l="1"/>
  <c r="N1276" i="2" s="1"/>
  <c r="P1276" i="2" s="1"/>
  <c r="G1277" i="2"/>
  <c r="H1278" i="2" s="1"/>
  <c r="L1278" i="2"/>
  <c r="M1277" i="2"/>
  <c r="N1277" i="2" s="1"/>
  <c r="P1277" i="2" s="1"/>
  <c r="J1278" i="2" l="1"/>
  <c r="G1278" i="2" s="1"/>
  <c r="K1278" i="2"/>
  <c r="L1279" i="2" l="1"/>
  <c r="M1278" i="2"/>
  <c r="N1278" i="2" s="1"/>
  <c r="P1278" i="2" s="1"/>
  <c r="H1279" i="2"/>
  <c r="K1279" i="2" s="1"/>
  <c r="J1279" i="2"/>
  <c r="M1279" i="2" l="1"/>
  <c r="N1279" i="2" s="1"/>
  <c r="P1279" i="2" s="1"/>
  <c r="G1279" i="2"/>
  <c r="L1280" i="2"/>
  <c r="J1280" i="2" l="1"/>
  <c r="H1280" i="2"/>
  <c r="G1280" i="2" l="1"/>
  <c r="K1280" i="2"/>
  <c r="H1281" i="2" l="1"/>
  <c r="J1281" i="2"/>
  <c r="M1280" i="2"/>
  <c r="N1280" i="2" s="1"/>
  <c r="P1280" i="2" s="1"/>
  <c r="L1281" i="2"/>
  <c r="G1281" i="2" l="1"/>
  <c r="J1282" i="2" s="1"/>
  <c r="K1281" i="2"/>
  <c r="H1282" i="2" l="1"/>
  <c r="G1282" i="2" s="1"/>
  <c r="J1283" i="2" s="1"/>
  <c r="M1281" i="2"/>
  <c r="N1281" i="2" s="1"/>
  <c r="P1281" i="2" s="1"/>
  <c r="L1282" i="2"/>
  <c r="K1282" i="2" l="1"/>
  <c r="L1283" i="2" s="1"/>
  <c r="H1283" i="2"/>
  <c r="G1283" i="2" s="1"/>
  <c r="M1282" i="2" l="1"/>
  <c r="N1282" i="2" s="1"/>
  <c r="P1282" i="2" s="1"/>
  <c r="K1283" i="2"/>
  <c r="M1283" i="2" s="1"/>
  <c r="N1283" i="2" s="1"/>
  <c r="P1283" i="2" s="1"/>
  <c r="H1284" i="2"/>
  <c r="J1284" i="2"/>
  <c r="G1284" i="2" l="1"/>
  <c r="H1285" i="2" s="1"/>
  <c r="L1284" i="2"/>
  <c r="K1284" i="2"/>
  <c r="L1285" i="2" l="1"/>
  <c r="J1285" i="2"/>
  <c r="G1285" i="2" s="1"/>
  <c r="M1284" i="2"/>
  <c r="N1284" i="2" s="1"/>
  <c r="P1284" i="2" s="1"/>
  <c r="K1285" i="2"/>
  <c r="L1286" i="2" l="1"/>
  <c r="M1285" i="2"/>
  <c r="N1285" i="2" s="1"/>
  <c r="P1285" i="2" s="1"/>
  <c r="J1286" i="2"/>
  <c r="H1286" i="2"/>
  <c r="K1286" i="2" s="1"/>
  <c r="M1286" i="2" l="1"/>
  <c r="N1286" i="2" s="1"/>
  <c r="P1286" i="2" s="1"/>
  <c r="G1286" i="2"/>
  <c r="J1287" i="2" s="1"/>
  <c r="L1287" i="2"/>
  <c r="H1287" i="2" l="1"/>
  <c r="G1287" i="2" s="1"/>
  <c r="K1287" i="2" l="1"/>
  <c r="M1287" i="2" s="1"/>
  <c r="N1287" i="2" s="1"/>
  <c r="P1287" i="2" s="1"/>
  <c r="J1288" i="2"/>
  <c r="H1288" i="2"/>
  <c r="L1288" i="2" l="1"/>
  <c r="K1288" i="2"/>
  <c r="G1288" i="2"/>
  <c r="M1288" i="2" l="1"/>
  <c r="N1288" i="2" s="1"/>
  <c r="P1288" i="2" s="1"/>
  <c r="L1289" i="2"/>
  <c r="J1289" i="2"/>
  <c r="H1289" i="2"/>
  <c r="K1289" i="2" s="1"/>
  <c r="M1289" i="2" l="1"/>
  <c r="N1289" i="2" s="1"/>
  <c r="P1289" i="2" s="1"/>
  <c r="G1289" i="2"/>
  <c r="J1290" i="2" s="1"/>
  <c r="L1290" i="2"/>
  <c r="H1290" i="2" l="1"/>
  <c r="K1290" i="2" s="1"/>
  <c r="L1291" i="2" s="1"/>
  <c r="M1290" i="2" l="1"/>
  <c r="N1290" i="2" s="1"/>
  <c r="P1290" i="2" s="1"/>
  <c r="G1290" i="2"/>
  <c r="J1291" i="2" l="1"/>
  <c r="H1291" i="2"/>
  <c r="K1291" i="2" l="1"/>
  <c r="G1291" i="2"/>
  <c r="H1292" i="2" l="1"/>
  <c r="K1292" i="2" s="1"/>
  <c r="J1292" i="2"/>
  <c r="M1291" i="2"/>
  <c r="N1291" i="2" s="1"/>
  <c r="P1291" i="2" s="1"/>
  <c r="L1292" i="2"/>
  <c r="M1292" i="2" l="1"/>
  <c r="N1292" i="2" s="1"/>
  <c r="P1292" i="2" s="1"/>
  <c r="G1292" i="2"/>
  <c r="J1293" i="2" s="1"/>
  <c r="L1293" i="2"/>
  <c r="H1293" i="2" l="1"/>
  <c r="G1293" i="2" s="1"/>
  <c r="K1293" i="2" l="1"/>
  <c r="L1294" i="2" s="1"/>
  <c r="J1294" i="2"/>
  <c r="H1294" i="2"/>
  <c r="G1294" i="2" l="1"/>
  <c r="J1295" i="2" s="1"/>
  <c r="M1293" i="2"/>
  <c r="N1293" i="2" s="1"/>
  <c r="P1293" i="2" s="1"/>
  <c r="K1294" i="2"/>
  <c r="L1295" i="2" s="1"/>
  <c r="H1295" i="2" l="1"/>
  <c r="G1295" i="2" s="1"/>
  <c r="M1294" i="2"/>
  <c r="N1294" i="2" s="1"/>
  <c r="P1294" i="2" s="1"/>
  <c r="J1296" i="2" l="1"/>
  <c r="H1296" i="2"/>
  <c r="K1295" i="2"/>
  <c r="M1295" i="2" s="1"/>
  <c r="N1295" i="2" s="1"/>
  <c r="P1295" i="2" s="1"/>
  <c r="L1296" i="2" l="1"/>
  <c r="K1296" i="2"/>
  <c r="G1296" i="2"/>
  <c r="H1297" i="2" s="1"/>
  <c r="J1297" i="2" l="1"/>
  <c r="G1297" i="2" s="1"/>
  <c r="H1298" i="2" s="1"/>
  <c r="L1297" i="2"/>
  <c r="M1296" i="2"/>
  <c r="N1296" i="2" s="1"/>
  <c r="P1296" i="2" s="1"/>
  <c r="K1297" i="2"/>
  <c r="M1297" i="2" l="1"/>
  <c r="N1297" i="2" s="1"/>
  <c r="P1297" i="2" s="1"/>
  <c r="J1298" i="2"/>
  <c r="G1298" i="2" s="1"/>
  <c r="L1298" i="2"/>
  <c r="K1298" i="2"/>
  <c r="M1298" i="2" l="1"/>
  <c r="N1298" i="2" s="1"/>
  <c r="P1298" i="2" s="1"/>
  <c r="J1299" i="2"/>
  <c r="H1299" i="2"/>
  <c r="K1299" i="2" s="1"/>
  <c r="L1299" i="2"/>
  <c r="G1299" i="2" l="1"/>
  <c r="H1300" i="2" s="1"/>
  <c r="K1300" i="2" s="1"/>
  <c r="M1299" i="2"/>
  <c r="N1299" i="2" s="1"/>
  <c r="P1299" i="2" s="1"/>
  <c r="L1300" i="2"/>
  <c r="M1300" i="2" l="1"/>
  <c r="N1300" i="2" s="1"/>
  <c r="P1300" i="2" s="1"/>
  <c r="J1300" i="2"/>
  <c r="G1300" i="2" s="1"/>
  <c r="J1301" i="2" s="1"/>
  <c r="L1301" i="2"/>
  <c r="H1301" i="2" l="1"/>
  <c r="K1301" i="2" s="1"/>
  <c r="M1301" i="2" s="1"/>
  <c r="N1301" i="2" s="1"/>
  <c r="P1301" i="2" s="1"/>
  <c r="G1301" i="2" l="1"/>
  <c r="J1302" i="2" s="1"/>
  <c r="L1302" i="2"/>
  <c r="H1302" i="2" l="1"/>
  <c r="K1302" i="2" s="1"/>
  <c r="G1302" i="2" l="1"/>
  <c r="J1303" i="2" s="1"/>
  <c r="M1302" i="2"/>
  <c r="N1302" i="2" s="1"/>
  <c r="P1302" i="2" s="1"/>
  <c r="L1303" i="2"/>
  <c r="H1303" i="2" l="1"/>
  <c r="K1303" i="2" s="1"/>
  <c r="M1303" i="2" s="1"/>
  <c r="N1303" i="2" s="1"/>
  <c r="P1303" i="2" s="1"/>
  <c r="L1304" i="2" l="1"/>
  <c r="G1303" i="2"/>
  <c r="J1304" i="2" s="1"/>
  <c r="H1304" i="2" l="1"/>
  <c r="K1304" i="2" s="1"/>
  <c r="L1305" i="2" s="1"/>
  <c r="G1304" i="2" l="1"/>
  <c r="H1305" i="2" s="1"/>
  <c r="K1305" i="2" s="1"/>
  <c r="M1304" i="2"/>
  <c r="N1304" i="2" s="1"/>
  <c r="P1304" i="2" s="1"/>
  <c r="J1305" i="2" l="1"/>
  <c r="G1305" i="2" s="1"/>
  <c r="H1306" i="2" s="1"/>
  <c r="K1306" i="2" s="1"/>
  <c r="M1305" i="2"/>
  <c r="N1305" i="2" s="1"/>
  <c r="P1305" i="2" s="1"/>
  <c r="L1306" i="2"/>
  <c r="J1306" i="2" l="1"/>
  <c r="G1306" i="2" s="1"/>
  <c r="H1307" i="2" s="1"/>
  <c r="K1307" i="2" s="1"/>
  <c r="L1307" i="2"/>
  <c r="M1306" i="2"/>
  <c r="N1306" i="2" s="1"/>
  <c r="P1306" i="2" s="1"/>
  <c r="M1307" i="2" l="1"/>
  <c r="N1307" i="2" s="1"/>
  <c r="P1307" i="2" s="1"/>
  <c r="J1307" i="2"/>
  <c r="G1307" i="2" s="1"/>
  <c r="J1308" i="2" s="1"/>
  <c r="L1308" i="2"/>
  <c r="H1308" i="2" l="1"/>
  <c r="K1308" i="2" s="1"/>
  <c r="M1308" i="2" s="1"/>
  <c r="N1308" i="2" s="1"/>
  <c r="P1308" i="2" s="1"/>
  <c r="G1308" i="2" l="1"/>
  <c r="J1309" i="2" s="1"/>
  <c r="L1309" i="2"/>
  <c r="H1309" i="2" l="1"/>
  <c r="K1309" i="2" s="1"/>
  <c r="L1310" i="2" s="1"/>
  <c r="M1309" i="2" l="1"/>
  <c r="N1309" i="2" s="1"/>
  <c r="P1309" i="2" s="1"/>
  <c r="G1309" i="2"/>
  <c r="H1310" i="2" l="1"/>
  <c r="K1310" i="2" s="1"/>
  <c r="J1310" i="2"/>
  <c r="L1311" i="2" l="1"/>
  <c r="M1310" i="2"/>
  <c r="N1310" i="2" s="1"/>
  <c r="P1310" i="2" s="1"/>
  <c r="G1310" i="2"/>
  <c r="H1311" i="2" l="1"/>
  <c r="K1311" i="2" s="1"/>
  <c r="L1312" i="2" s="1"/>
  <c r="J1311" i="2"/>
  <c r="M1311" i="2" l="1"/>
  <c r="N1311" i="2" s="1"/>
  <c r="P1311" i="2" s="1"/>
  <c r="G1311" i="2"/>
  <c r="H1312" i="2" l="1"/>
  <c r="K1312" i="2" s="1"/>
  <c r="J1312" i="2"/>
  <c r="L1313" i="2" l="1"/>
  <c r="M1312" i="2"/>
  <c r="N1312" i="2" s="1"/>
  <c r="P1312" i="2" s="1"/>
  <c r="G1312" i="2"/>
  <c r="H1313" i="2" l="1"/>
  <c r="K1313" i="2" s="1"/>
  <c r="M1313" i="2" s="1"/>
  <c r="N1313" i="2" s="1"/>
  <c r="P1313" i="2" s="1"/>
  <c r="J1313" i="2"/>
  <c r="L1314" i="2" l="1"/>
  <c r="G1313" i="2"/>
  <c r="H1314" i="2" l="1"/>
  <c r="K1314" i="2" s="1"/>
  <c r="J1314" i="2"/>
  <c r="L1315" i="2" l="1"/>
  <c r="M1314" i="2"/>
  <c r="N1314" i="2" s="1"/>
  <c r="P1314" i="2" s="1"/>
  <c r="G1314" i="2"/>
  <c r="H1315" i="2" l="1"/>
  <c r="K1315" i="2" s="1"/>
  <c r="M1315" i="2" s="1"/>
  <c r="N1315" i="2" s="1"/>
  <c r="P1315" i="2" s="1"/>
  <c r="J1315" i="2"/>
  <c r="G1315" i="2" l="1"/>
  <c r="J1316" i="2" s="1"/>
  <c r="L1316" i="2"/>
  <c r="H1316" i="2" l="1"/>
  <c r="K1316" i="2" s="1"/>
  <c r="M1316" i="2" s="1"/>
  <c r="N1316" i="2" s="1"/>
  <c r="P1316" i="2" s="1"/>
  <c r="G1316" i="2" l="1"/>
  <c r="J1317" i="2" s="1"/>
  <c r="L1317" i="2"/>
  <c r="H1317" i="2" l="1"/>
  <c r="K1317" i="2" s="1"/>
  <c r="M1317" i="2" s="1"/>
  <c r="N1317" i="2" s="1"/>
  <c r="P1317" i="2" s="1"/>
  <c r="L1318" i="2" l="1"/>
  <c r="G1317" i="2"/>
  <c r="J1318" i="2" s="1"/>
  <c r="H1318" i="2" l="1"/>
  <c r="K1318" i="2" s="1"/>
  <c r="L1319" i="2" s="1"/>
  <c r="G1318" i="2" l="1"/>
  <c r="H1319" i="2" s="1"/>
  <c r="K1319" i="2" s="1"/>
  <c r="L1320" i="2" s="1"/>
  <c r="M1318" i="2"/>
  <c r="N1318" i="2" s="1"/>
  <c r="P1318" i="2" s="1"/>
  <c r="J1319" i="2" l="1"/>
  <c r="G1319" i="2" s="1"/>
  <c r="H1320" i="2" s="1"/>
  <c r="K1320" i="2" s="1"/>
  <c r="M1320" i="2" s="1"/>
  <c r="N1320" i="2" s="1"/>
  <c r="P1320" i="2" s="1"/>
  <c r="M1319" i="2"/>
  <c r="N1319" i="2" s="1"/>
  <c r="P1319" i="2" s="1"/>
  <c r="J1320" i="2" l="1"/>
  <c r="G1320" i="2" s="1"/>
  <c r="H1321" i="2" s="1"/>
  <c r="K1321" i="2" s="1"/>
  <c r="L1321" i="2"/>
  <c r="J1321" i="2" l="1"/>
  <c r="G1321" i="2" s="1"/>
  <c r="H1322" i="2" s="1"/>
  <c r="K1322" i="2" s="1"/>
  <c r="L1322" i="2"/>
  <c r="M1321" i="2"/>
  <c r="N1321" i="2" s="1"/>
  <c r="P1321" i="2" s="1"/>
  <c r="M1322" i="2" l="1"/>
  <c r="N1322" i="2" s="1"/>
  <c r="P1322" i="2" s="1"/>
  <c r="J1322" i="2"/>
  <c r="G1322" i="2" s="1"/>
  <c r="H1323" i="2" s="1"/>
  <c r="K1323" i="2" s="1"/>
  <c r="L1323" i="2"/>
  <c r="M1323" i="2" l="1"/>
  <c r="N1323" i="2" s="1"/>
  <c r="P1323" i="2" s="1"/>
  <c r="J1323" i="2"/>
  <c r="G1323" i="2" s="1"/>
  <c r="H1324" i="2" s="1"/>
  <c r="K1324" i="2" s="1"/>
  <c r="L1324" i="2"/>
  <c r="M1324" i="2" l="1"/>
  <c r="N1324" i="2" s="1"/>
  <c r="P1324" i="2" s="1"/>
  <c r="J1324" i="2"/>
  <c r="G1324" i="2" s="1"/>
  <c r="H1325" i="2" s="1"/>
  <c r="K1325" i="2" s="1"/>
  <c r="L1325" i="2"/>
  <c r="M1325" i="2" l="1"/>
  <c r="N1325" i="2" s="1"/>
  <c r="P1325" i="2" s="1"/>
  <c r="J1325" i="2"/>
  <c r="G1325" i="2" s="1"/>
  <c r="J1326" i="2" s="1"/>
  <c r="L1326" i="2"/>
  <c r="H1326" i="2" l="1"/>
  <c r="K1326" i="2" s="1"/>
  <c r="M1326" i="2" s="1"/>
  <c r="N1326" i="2" s="1"/>
  <c r="P1326" i="2" s="1"/>
  <c r="G1326" i="2" l="1"/>
  <c r="J1327" i="2" s="1"/>
  <c r="L1327" i="2"/>
  <c r="H1327" i="2" l="1"/>
  <c r="K1327" i="2" s="1"/>
  <c r="M1327" i="2" s="1"/>
  <c r="N1327" i="2" s="1"/>
  <c r="P1327" i="2" s="1"/>
  <c r="G1327" i="2" l="1"/>
  <c r="J1328" i="2" s="1"/>
  <c r="L1328" i="2"/>
  <c r="H1328" i="2" l="1"/>
  <c r="K1328" i="2" s="1"/>
  <c r="L1329" i="2" s="1"/>
  <c r="G1328" i="2" l="1"/>
  <c r="H1329" i="2" s="1"/>
  <c r="K1329" i="2" s="1"/>
  <c r="L1330" i="2" s="1"/>
  <c r="M1328" i="2"/>
  <c r="N1328" i="2" s="1"/>
  <c r="P1328" i="2" s="1"/>
  <c r="M1329" i="2" l="1"/>
  <c r="N1329" i="2" s="1"/>
  <c r="P1329" i="2" s="1"/>
  <c r="J1329" i="2"/>
  <c r="G1329" i="2" s="1"/>
  <c r="H1330" i="2" s="1"/>
  <c r="K1330" i="2" s="1"/>
  <c r="J1330" i="2" l="1"/>
  <c r="G1330" i="2" s="1"/>
  <c r="L1331" i="2"/>
  <c r="M1330" i="2"/>
  <c r="N1330" i="2" s="1"/>
  <c r="P1330" i="2" s="1"/>
  <c r="J1331" i="2" l="1"/>
  <c r="H1331" i="2"/>
  <c r="K1331" i="2" s="1"/>
  <c r="M1331" i="2" s="1"/>
  <c r="N1331" i="2" s="1"/>
  <c r="P1331" i="2" s="1"/>
  <c r="G1331" i="2" l="1"/>
  <c r="J1332" i="2" s="1"/>
  <c r="L1332" i="2"/>
  <c r="H1332" i="2" l="1"/>
  <c r="G1332" i="2" s="1"/>
  <c r="K1332" i="2" l="1"/>
  <c r="L1333" i="2" s="1"/>
  <c r="J1333" i="2"/>
  <c r="H1333" i="2"/>
  <c r="M1332" i="2" l="1"/>
  <c r="N1332" i="2" s="1"/>
  <c r="P1332" i="2" s="1"/>
  <c r="K1333" i="2"/>
  <c r="L1334" i="2" s="1"/>
  <c r="G1333" i="2"/>
  <c r="J1334" i="2" s="1"/>
  <c r="M1333" i="2" l="1"/>
  <c r="N1333" i="2" s="1"/>
  <c r="P1333" i="2" s="1"/>
  <c r="H1334" i="2"/>
  <c r="K1334" i="2" s="1"/>
  <c r="M1334" i="2" s="1"/>
  <c r="N1334" i="2" s="1"/>
  <c r="P1334" i="2" s="1"/>
  <c r="G1334" i="2" l="1"/>
  <c r="J1335" i="2" s="1"/>
  <c r="L1335" i="2"/>
  <c r="H1335" i="2" l="1"/>
  <c r="G1335" i="2" s="1"/>
  <c r="H1336" i="2" s="1"/>
  <c r="J1336" i="2" l="1"/>
  <c r="G1336" i="2" s="1"/>
  <c r="H1337" i="2" s="1"/>
  <c r="K1335" i="2"/>
  <c r="M1335" i="2" s="1"/>
  <c r="N1335" i="2" s="1"/>
  <c r="P1335" i="2" s="1"/>
  <c r="J1337" i="2" l="1"/>
  <c r="G1337" i="2" s="1"/>
  <c r="H1338" i="2" s="1"/>
  <c r="K1336" i="2"/>
  <c r="K1337" i="2" s="1"/>
  <c r="L1336" i="2"/>
  <c r="J1338" i="2" l="1"/>
  <c r="G1338" i="2" s="1"/>
  <c r="H1339" i="2" s="1"/>
  <c r="L1337" i="2"/>
  <c r="L1338" i="2" s="1"/>
  <c r="M1336" i="2"/>
  <c r="N1336" i="2" s="1"/>
  <c r="P1336" i="2" s="1"/>
  <c r="K1338" i="2"/>
  <c r="J1339" i="2" l="1"/>
  <c r="G1339" i="2" s="1"/>
  <c r="M1337" i="2"/>
  <c r="N1337" i="2" s="1"/>
  <c r="P1337" i="2" s="1"/>
  <c r="M1338" i="2"/>
  <c r="N1338" i="2" s="1"/>
  <c r="P1338" i="2" s="1"/>
  <c r="L1339" i="2"/>
  <c r="K1339" i="2"/>
  <c r="J1340" i="2" l="1"/>
  <c r="H1340" i="2"/>
  <c r="K1340" i="2" s="1"/>
  <c r="L1340" i="2"/>
  <c r="M1339" i="2"/>
  <c r="N1339" i="2" s="1"/>
  <c r="P1339" i="2" s="1"/>
  <c r="M1340" i="2" l="1"/>
  <c r="N1340" i="2" s="1"/>
  <c r="P1340" i="2" s="1"/>
  <c r="L1341" i="2"/>
  <c r="G1340" i="2"/>
  <c r="H1341" i="2" l="1"/>
  <c r="K1341" i="2" s="1"/>
  <c r="J1341" i="2"/>
  <c r="G1341" i="2" l="1"/>
  <c r="H1342" i="2" s="1"/>
  <c r="K1342" i="2" s="1"/>
  <c r="M1341" i="2"/>
  <c r="N1341" i="2" s="1"/>
  <c r="P1341" i="2" s="1"/>
  <c r="L1342" i="2"/>
  <c r="J1342" i="2" l="1"/>
  <c r="G1342" i="2" s="1"/>
  <c r="H1343" i="2" s="1"/>
  <c r="K1343" i="2" s="1"/>
  <c r="L1343" i="2"/>
  <c r="M1342" i="2"/>
  <c r="N1342" i="2" s="1"/>
  <c r="P1342" i="2" s="1"/>
  <c r="L1344" i="2" l="1"/>
  <c r="J1343" i="2"/>
  <c r="G1343" i="2" s="1"/>
  <c r="M1343" i="2"/>
  <c r="N1343" i="2" s="1"/>
  <c r="P1343" i="2" s="1"/>
  <c r="J1344" i="2" l="1"/>
  <c r="H1344" i="2"/>
  <c r="K1344" i="2" s="1"/>
  <c r="G1344" i="2" l="1"/>
  <c r="H1345" i="2" s="1"/>
  <c r="K1345" i="2" s="1"/>
  <c r="M1344" i="2"/>
  <c r="N1344" i="2" s="1"/>
  <c r="P1344" i="2" s="1"/>
  <c r="L1345" i="2"/>
  <c r="J1345" i="2" l="1"/>
  <c r="G1345" i="2" s="1"/>
  <c r="H1346" i="2" s="1"/>
  <c r="L1346" i="2"/>
  <c r="M1345" i="2"/>
  <c r="N1345" i="2" s="1"/>
  <c r="P1345" i="2" s="1"/>
  <c r="J1346" i="2" l="1"/>
  <c r="G1346" i="2" s="1"/>
  <c r="K1346" i="2"/>
  <c r="J1347" i="2" l="1"/>
  <c r="H1347" i="2"/>
  <c r="L1347" i="2"/>
  <c r="M1346" i="2"/>
  <c r="N1346" i="2" s="1"/>
  <c r="P1346" i="2" s="1"/>
  <c r="K1347" i="2" l="1"/>
  <c r="M1347" i="2" s="1"/>
  <c r="N1347" i="2" s="1"/>
  <c r="P1347" i="2" s="1"/>
  <c r="G1347" i="2"/>
  <c r="H1348" i="2" l="1"/>
  <c r="K1348" i="2" s="1"/>
  <c r="J1348" i="2"/>
  <c r="L1348" i="2"/>
  <c r="G1348" i="2" l="1"/>
  <c r="H1349" i="2" s="1"/>
  <c r="L1349" i="2"/>
  <c r="M1348" i="2"/>
  <c r="N1348" i="2" s="1"/>
  <c r="P1348" i="2" s="1"/>
  <c r="J1349" i="2" l="1"/>
  <c r="G1349" i="2" s="1"/>
  <c r="K1349" i="2"/>
  <c r="H1350" i="2" l="1"/>
  <c r="K1350" i="2" s="1"/>
  <c r="J1350" i="2"/>
  <c r="M1349" i="2"/>
  <c r="N1349" i="2" s="1"/>
  <c r="P1349" i="2" s="1"/>
  <c r="L1350" i="2"/>
  <c r="L1351" i="2" l="1"/>
  <c r="M1350" i="2"/>
  <c r="N1350" i="2" s="1"/>
  <c r="P1350" i="2" s="1"/>
  <c r="G1350" i="2"/>
  <c r="H1351" i="2" l="1"/>
  <c r="K1351" i="2" s="1"/>
  <c r="L1352" i="2" s="1"/>
  <c r="J1351" i="2"/>
  <c r="G1351" i="2" l="1"/>
  <c r="H1352" i="2" s="1"/>
  <c r="K1352" i="2" s="1"/>
  <c r="M1351" i="2"/>
  <c r="N1351" i="2" s="1"/>
  <c r="P1351" i="2" s="1"/>
  <c r="J1352" i="2" l="1"/>
  <c r="G1352" i="2" s="1"/>
  <c r="M1352" i="2"/>
  <c r="N1352" i="2" s="1"/>
  <c r="P1352" i="2" s="1"/>
  <c r="L1353" i="2"/>
  <c r="H1353" i="2" l="1"/>
  <c r="K1353" i="2" s="1"/>
  <c r="M1353" i="2" s="1"/>
  <c r="N1353" i="2" s="1"/>
  <c r="P1353" i="2" s="1"/>
  <c r="J1353" i="2"/>
  <c r="L1354" i="2" l="1"/>
  <c r="G1353" i="2"/>
  <c r="H1354" i="2" l="1"/>
  <c r="J1354" i="2"/>
  <c r="G1354" i="2" l="1"/>
  <c r="K1354" i="2"/>
  <c r="M1354" i="2" l="1"/>
  <c r="N1354" i="2" s="1"/>
  <c r="P1354" i="2" s="1"/>
  <c r="L1355" i="2"/>
  <c r="H1355" i="2"/>
  <c r="J1355" i="2"/>
  <c r="G1355" i="2" l="1"/>
  <c r="H1356" i="2" s="1"/>
  <c r="K1355" i="2"/>
  <c r="M1355" i="2" s="1"/>
  <c r="N1355" i="2" s="1"/>
  <c r="P1355" i="2" s="1"/>
  <c r="J1356" i="2" l="1"/>
  <c r="G1356" i="2" s="1"/>
  <c r="L1356" i="2"/>
  <c r="K1356" i="2"/>
  <c r="M1356" i="2" l="1"/>
  <c r="N1356" i="2" s="1"/>
  <c r="P1356" i="2" s="1"/>
  <c r="J1357" i="2"/>
  <c r="H1357" i="2"/>
  <c r="K1357" i="2" s="1"/>
  <c r="L1357" i="2"/>
  <c r="G1357" i="2" l="1"/>
  <c r="H1358" i="2" s="1"/>
  <c r="K1358" i="2" s="1"/>
  <c r="L1358" i="2"/>
  <c r="M1357" i="2"/>
  <c r="N1357" i="2" s="1"/>
  <c r="P1357" i="2" s="1"/>
  <c r="J1358" i="2" l="1"/>
  <c r="G1358" i="2" s="1"/>
  <c r="M1358" i="2"/>
  <c r="N1358" i="2" s="1"/>
  <c r="P1358" i="2" s="1"/>
  <c r="L1359" i="2"/>
  <c r="J1359" i="2" l="1"/>
  <c r="H1359" i="2"/>
  <c r="K1359" i="2" s="1"/>
  <c r="M1359" i="2" l="1"/>
  <c r="N1359" i="2" s="1"/>
  <c r="P1359" i="2" s="1"/>
  <c r="G1359" i="2"/>
  <c r="L1360" i="2"/>
  <c r="H1360" i="2" l="1"/>
  <c r="K1360" i="2" s="1"/>
  <c r="M1360" i="2" s="1"/>
  <c r="N1360" i="2" s="1"/>
  <c r="P1360" i="2" s="1"/>
  <c r="J1360" i="2"/>
  <c r="G1360" i="2" l="1"/>
  <c r="J1361" i="2" s="1"/>
  <c r="L1361" i="2"/>
  <c r="H1361" i="2" l="1"/>
  <c r="K1361" i="2" s="1"/>
  <c r="M1361" i="2" s="1"/>
  <c r="N1361" i="2" s="1"/>
  <c r="P1361" i="2" s="1"/>
  <c r="L1362" i="2" l="1"/>
  <c r="G1361" i="2"/>
  <c r="J1362" i="2" s="1"/>
  <c r="H1362" i="2" l="1"/>
  <c r="K1362" i="2" s="1"/>
  <c r="M1362" i="2" s="1"/>
  <c r="N1362" i="2" s="1"/>
  <c r="P1362" i="2" s="1"/>
  <c r="G1362" i="2" l="1"/>
  <c r="J1363" i="2" s="1"/>
  <c r="L1363" i="2"/>
  <c r="H1363" i="2" l="1"/>
  <c r="K1363" i="2" s="1"/>
  <c r="M1363" i="2" s="1"/>
  <c r="N1363" i="2" s="1"/>
  <c r="P1363" i="2" s="1"/>
  <c r="L1364" i="2" l="1"/>
  <c r="G1363" i="2"/>
  <c r="J1364" i="2" s="1"/>
  <c r="H1364" i="2" l="1"/>
  <c r="K1364" i="2" s="1"/>
  <c r="L1365" i="2" s="1"/>
  <c r="M1364" i="2" l="1"/>
  <c r="N1364" i="2" s="1"/>
  <c r="P1364" i="2" s="1"/>
  <c r="G1364" i="2"/>
  <c r="H1365" i="2" s="1"/>
  <c r="K1365" i="2" s="1"/>
  <c r="M1365" i="2" s="1"/>
  <c r="N1365" i="2" s="1"/>
  <c r="P1365" i="2" s="1"/>
  <c r="J1365" i="2" l="1"/>
  <c r="G1365" i="2" s="1"/>
  <c r="H1366" i="2" s="1"/>
  <c r="K1366" i="2" s="1"/>
  <c r="L1366" i="2"/>
  <c r="J1366" i="2" l="1"/>
  <c r="G1366" i="2" s="1"/>
  <c r="H1367" i="2" s="1"/>
  <c r="K1367" i="2" s="1"/>
  <c r="M1366" i="2"/>
  <c r="N1366" i="2" s="1"/>
  <c r="P1366" i="2" s="1"/>
  <c r="L1367" i="2"/>
  <c r="J1367" i="2" l="1"/>
  <c r="G1367" i="2" s="1"/>
  <c r="J1368" i="2" s="1"/>
  <c r="L1368" i="2"/>
  <c r="M1367" i="2"/>
  <c r="N1367" i="2" s="1"/>
  <c r="P1367" i="2" s="1"/>
  <c r="H1368" i="2" l="1"/>
  <c r="K1368" i="2" s="1"/>
  <c r="M1368" i="2" s="1"/>
  <c r="N1368" i="2" s="1"/>
  <c r="P1368" i="2" s="1"/>
  <c r="L1369" i="2" l="1"/>
  <c r="G1368" i="2"/>
  <c r="H1369" i="2" l="1"/>
  <c r="J1369" i="2"/>
  <c r="G1369" i="2" l="1"/>
  <c r="K1369" i="2"/>
  <c r="M1369" i="2" l="1"/>
  <c r="N1369" i="2" s="1"/>
  <c r="P1369" i="2" s="1"/>
  <c r="L1370" i="2"/>
  <c r="J1370" i="2"/>
  <c r="H1370" i="2"/>
  <c r="K1370" i="2" s="1"/>
  <c r="L1371" i="2" l="1"/>
  <c r="M1370" i="2"/>
  <c r="N1370" i="2" s="1"/>
  <c r="P1370" i="2" s="1"/>
  <c r="G1370" i="2"/>
  <c r="J1371" i="2" l="1"/>
  <c r="H1371" i="2"/>
  <c r="K1371" i="2" s="1"/>
  <c r="M1371" i="2" s="1"/>
  <c r="N1371" i="2" s="1"/>
  <c r="P1371" i="2" s="1"/>
  <c r="G1371" i="2" l="1"/>
  <c r="J1372" i="2" s="1"/>
  <c r="L1372" i="2"/>
  <c r="H1372" i="2" l="1"/>
  <c r="K1372" i="2" s="1"/>
  <c r="M1372" i="2" s="1"/>
  <c r="N1372" i="2" s="1"/>
  <c r="P1372" i="2" s="1"/>
  <c r="G1372" i="2" l="1"/>
  <c r="H1373" i="2" s="1"/>
  <c r="K1373" i="2" s="1"/>
  <c r="L1373" i="2"/>
  <c r="M1373" i="2" l="1"/>
  <c r="N1373" i="2" s="1"/>
  <c r="P1373" i="2" s="1"/>
  <c r="J1373" i="2"/>
  <c r="G1373" i="2" s="1"/>
  <c r="J1374" i="2" s="1"/>
  <c r="L1374" i="2"/>
  <c r="H1374" i="2" l="1"/>
  <c r="K1374" i="2" s="1"/>
  <c r="M1374" i="2" s="1"/>
  <c r="N1374" i="2" s="1"/>
  <c r="P1374" i="2" s="1"/>
  <c r="L1375" i="2" l="1"/>
  <c r="G1374" i="2"/>
  <c r="H1375" i="2" s="1"/>
  <c r="K1375" i="2" s="1"/>
  <c r="J1375" i="2" l="1"/>
  <c r="G1375" i="2" s="1"/>
  <c r="J1376" i="2" s="1"/>
  <c r="M1375" i="2"/>
  <c r="N1375" i="2" s="1"/>
  <c r="P1375" i="2" s="1"/>
  <c r="L1376" i="2"/>
  <c r="H1376" i="2" l="1"/>
  <c r="K1376" i="2" s="1"/>
  <c r="L1377" i="2" s="1"/>
  <c r="G1376" i="2" l="1"/>
  <c r="J1377" i="2" s="1"/>
  <c r="M1376" i="2"/>
  <c r="N1376" i="2" s="1"/>
  <c r="P1376" i="2" s="1"/>
  <c r="H1377" i="2" l="1"/>
  <c r="K1377" i="2" s="1"/>
  <c r="L1378" i="2" s="1"/>
  <c r="G1377" i="2" l="1"/>
  <c r="H1378" i="2" s="1"/>
  <c r="K1378" i="2" s="1"/>
  <c r="L1379" i="2" s="1"/>
  <c r="M1377" i="2"/>
  <c r="N1377" i="2" s="1"/>
  <c r="P1377" i="2" s="1"/>
  <c r="J1378" i="2" l="1"/>
  <c r="G1378" i="2" s="1"/>
  <c r="H1379" i="2" s="1"/>
  <c r="K1379" i="2" s="1"/>
  <c r="M1378" i="2"/>
  <c r="N1378" i="2" s="1"/>
  <c r="P1378" i="2" s="1"/>
  <c r="J1379" i="2" l="1"/>
  <c r="G1379" i="2" s="1"/>
  <c r="J1380" i="2" s="1"/>
  <c r="M1379" i="2"/>
  <c r="N1379" i="2" s="1"/>
  <c r="P1379" i="2" s="1"/>
  <c r="L1380" i="2"/>
  <c r="H1380" i="2" l="1"/>
  <c r="K1380" i="2" s="1"/>
  <c r="M1380" i="2" s="1"/>
  <c r="N1380" i="2" s="1"/>
  <c r="P1380" i="2" s="1"/>
  <c r="G1380" i="2" l="1"/>
  <c r="J1381" i="2" s="1"/>
  <c r="L1381" i="2"/>
  <c r="H1381" i="2" l="1"/>
  <c r="K1381" i="2" s="1"/>
  <c r="M1381" i="2" s="1"/>
  <c r="N1381" i="2" s="1"/>
  <c r="P1381" i="2" s="1"/>
  <c r="G1381" i="2" l="1"/>
  <c r="H1382" i="2" s="1"/>
  <c r="K1382" i="2" s="1"/>
  <c r="L1382" i="2"/>
  <c r="J1382" i="2" l="1"/>
  <c r="G1382" i="2" s="1"/>
  <c r="J1383" i="2" s="1"/>
  <c r="M1382" i="2"/>
  <c r="N1382" i="2" s="1"/>
  <c r="P1382" i="2" s="1"/>
  <c r="L1383" i="2"/>
  <c r="H1383" i="2" l="1"/>
  <c r="K1383" i="2" s="1"/>
  <c r="M1383" i="2" s="1"/>
  <c r="N1383" i="2" s="1"/>
  <c r="P1383" i="2" s="1"/>
  <c r="L1384" i="2" l="1"/>
  <c r="G1383" i="2"/>
  <c r="J1384" i="2" s="1"/>
  <c r="H1384" i="2" l="1"/>
  <c r="K1384" i="2" s="1"/>
  <c r="L1385" i="2" s="1"/>
  <c r="G1384" i="2" l="1"/>
  <c r="H1385" i="2" s="1"/>
  <c r="K1385" i="2" s="1"/>
  <c r="M1385" i="2" s="1"/>
  <c r="N1385" i="2" s="1"/>
  <c r="P1385" i="2" s="1"/>
  <c r="M1384" i="2"/>
  <c r="N1384" i="2" s="1"/>
  <c r="P1384" i="2" s="1"/>
  <c r="J1385" i="2" l="1"/>
  <c r="G1385" i="2" s="1"/>
  <c r="H1386" i="2" s="1"/>
  <c r="L1386" i="2"/>
  <c r="J1386" i="2" l="1"/>
  <c r="G1386" i="2" s="1"/>
  <c r="K1386" i="2"/>
  <c r="L1387" i="2" s="1"/>
  <c r="J1387" i="2" l="1"/>
  <c r="H1387" i="2"/>
  <c r="K1387" i="2" s="1"/>
  <c r="M1387" i="2" s="1"/>
  <c r="N1387" i="2" s="1"/>
  <c r="P1387" i="2" s="1"/>
  <c r="M1386" i="2"/>
  <c r="N1386" i="2" s="1"/>
  <c r="P1386" i="2" s="1"/>
  <c r="L1388" i="2" l="1"/>
  <c r="G1387" i="2"/>
  <c r="J1388" i="2" l="1"/>
  <c r="H1388" i="2"/>
  <c r="K1388" i="2" l="1"/>
  <c r="G1388" i="2"/>
  <c r="J1389" i="2" l="1"/>
  <c r="H1389" i="2"/>
  <c r="M1388" i="2"/>
  <c r="N1388" i="2" s="1"/>
  <c r="P1388" i="2" s="1"/>
  <c r="L1389" i="2"/>
  <c r="K1389" i="2" l="1"/>
  <c r="M1389" i="2" s="1"/>
  <c r="N1389" i="2" s="1"/>
  <c r="P1389" i="2" s="1"/>
  <c r="G1389" i="2"/>
  <c r="J1390" i="2" l="1"/>
  <c r="H1390" i="2"/>
  <c r="K1390" i="2" s="1"/>
  <c r="L1390" i="2"/>
  <c r="M1390" i="2" l="1"/>
  <c r="N1390" i="2" s="1"/>
  <c r="P1390" i="2" s="1"/>
  <c r="G1390" i="2"/>
  <c r="L1391" i="2"/>
  <c r="J1391" i="2" l="1"/>
  <c r="H1391" i="2"/>
  <c r="K1391" i="2" l="1"/>
  <c r="G1391" i="2"/>
  <c r="H1392" i="2" l="1"/>
  <c r="J1392" i="2"/>
  <c r="L1392" i="2"/>
  <c r="M1391" i="2"/>
  <c r="N1391" i="2" s="1"/>
  <c r="P1391" i="2" s="1"/>
  <c r="K1392" i="2" l="1"/>
  <c r="G1392" i="2"/>
  <c r="J1393" i="2" l="1"/>
  <c r="H1393" i="2"/>
  <c r="M1392" i="2"/>
  <c r="N1392" i="2" s="1"/>
  <c r="P1392" i="2" s="1"/>
  <c r="L1393" i="2"/>
  <c r="K1393" i="2" l="1"/>
  <c r="M1393" i="2" s="1"/>
  <c r="N1393" i="2" s="1"/>
  <c r="P1393" i="2" s="1"/>
  <c r="G1393" i="2"/>
  <c r="H1394" i="2" l="1"/>
  <c r="K1394" i="2" s="1"/>
  <c r="J1394" i="2"/>
  <c r="L1394" i="2"/>
  <c r="G1394" i="2" l="1"/>
  <c r="H1395" i="2" s="1"/>
  <c r="K1395" i="2" s="1"/>
  <c r="L1395" i="2"/>
  <c r="M1394" i="2"/>
  <c r="N1394" i="2" s="1"/>
  <c r="P1394" i="2" s="1"/>
  <c r="J1395" i="2" l="1"/>
  <c r="G1395" i="2" s="1"/>
  <c r="H1396" i="2" s="1"/>
  <c r="K1396" i="2" s="1"/>
  <c r="L1396" i="2"/>
  <c r="M1395" i="2"/>
  <c r="N1395" i="2" s="1"/>
  <c r="P1395" i="2" s="1"/>
  <c r="J1396" i="2" l="1"/>
  <c r="G1396" i="2" s="1"/>
  <c r="L1397" i="2"/>
  <c r="M1396" i="2"/>
  <c r="N1396" i="2" s="1"/>
  <c r="P1396" i="2" s="1"/>
  <c r="H1397" i="2" l="1"/>
  <c r="K1397" i="2" s="1"/>
  <c r="M1397" i="2" s="1"/>
  <c r="N1397" i="2" s="1"/>
  <c r="P1397" i="2" s="1"/>
  <c r="J1397" i="2"/>
  <c r="L1398" i="2" l="1"/>
  <c r="G1397" i="2"/>
  <c r="J1398" i="2" l="1"/>
  <c r="H1398" i="2"/>
  <c r="K1398" i="2" l="1"/>
  <c r="G1398" i="2"/>
  <c r="M1398" i="2" l="1"/>
  <c r="N1398" i="2" s="1"/>
  <c r="P1398" i="2" s="1"/>
  <c r="L1399" i="2"/>
  <c r="J1399" i="2"/>
  <c r="H1399" i="2"/>
  <c r="K1399" i="2" l="1"/>
  <c r="M1399" i="2" s="1"/>
  <c r="N1399" i="2" s="1"/>
  <c r="P1399" i="2" s="1"/>
  <c r="G1399" i="2"/>
  <c r="L1400" i="2" l="1"/>
  <c r="J1400" i="2"/>
  <c r="H1400" i="2"/>
  <c r="K1400" i="2" l="1"/>
  <c r="G1400" i="2"/>
  <c r="J1401" i="2" l="1"/>
  <c r="H1401" i="2"/>
  <c r="K1401" i="2" s="1"/>
  <c r="M1400" i="2"/>
  <c r="N1400" i="2" s="1"/>
  <c r="P1400" i="2" s="1"/>
  <c r="L1401" i="2"/>
  <c r="M1401" i="2" l="1"/>
  <c r="N1401" i="2" s="1"/>
  <c r="P1401" i="2" s="1"/>
  <c r="L1402" i="2"/>
  <c r="G1401" i="2"/>
  <c r="H1402" i="2" l="1"/>
  <c r="K1402" i="2" s="1"/>
  <c r="M1402" i="2" s="1"/>
  <c r="N1402" i="2" s="1"/>
  <c r="P1402" i="2" s="1"/>
  <c r="J1402" i="2"/>
  <c r="G1402" i="2" l="1"/>
  <c r="J1403" i="2" s="1"/>
  <c r="L1403" i="2"/>
  <c r="H1403" i="2" l="1"/>
  <c r="K1403" i="2" s="1"/>
  <c r="M1403" i="2" s="1"/>
  <c r="N1403" i="2" s="1"/>
  <c r="P1403" i="2" s="1"/>
  <c r="G1403" i="2" l="1"/>
  <c r="H1404" i="2" s="1"/>
  <c r="K1404" i="2" s="1"/>
  <c r="L1404" i="2"/>
  <c r="J1404" i="2" l="1"/>
  <c r="G1404" i="2" s="1"/>
  <c r="H1405" i="2" s="1"/>
  <c r="K1405" i="2" s="1"/>
  <c r="M1404" i="2"/>
  <c r="N1404" i="2" s="1"/>
  <c r="P1404" i="2" s="1"/>
  <c r="L1405" i="2"/>
  <c r="J1405" i="2" l="1"/>
  <c r="G1405" i="2" s="1"/>
  <c r="M1405" i="2"/>
  <c r="N1405" i="2" s="1"/>
  <c r="P1405" i="2" s="1"/>
  <c r="L1406" i="2"/>
  <c r="J1406" i="2" l="1"/>
  <c r="H1406" i="2"/>
  <c r="K1406" i="2" s="1"/>
  <c r="M1406" i="2" s="1"/>
  <c r="N1406" i="2" s="1"/>
  <c r="P1406" i="2" s="1"/>
  <c r="L1407" i="2" l="1"/>
  <c r="G1406" i="2"/>
  <c r="H1407" i="2" l="1"/>
  <c r="K1407" i="2" s="1"/>
  <c r="M1407" i="2" s="1"/>
  <c r="N1407" i="2" s="1"/>
  <c r="P1407" i="2" s="1"/>
  <c r="J1407" i="2"/>
  <c r="G1407" i="2" l="1"/>
  <c r="H1408" i="2" s="1"/>
  <c r="K1408" i="2" s="1"/>
  <c r="L1408" i="2"/>
  <c r="J1408" i="2" l="1"/>
  <c r="G1408" i="2" s="1"/>
  <c r="L1409" i="2"/>
  <c r="M1408" i="2"/>
  <c r="N1408" i="2" s="1"/>
  <c r="P1408" i="2" s="1"/>
  <c r="H1409" i="2" l="1"/>
  <c r="K1409" i="2" s="1"/>
  <c r="M1409" i="2" s="1"/>
  <c r="N1409" i="2" s="1"/>
  <c r="P1409" i="2" s="1"/>
  <c r="J1409" i="2"/>
  <c r="G1409" i="2" l="1"/>
  <c r="H1410" i="2" s="1"/>
  <c r="K1410" i="2" s="1"/>
  <c r="L1410" i="2"/>
  <c r="M1410" i="2" l="1"/>
  <c r="N1410" i="2" s="1"/>
  <c r="P1410" i="2" s="1"/>
  <c r="J1410" i="2"/>
  <c r="G1410" i="2" s="1"/>
  <c r="L1411" i="2"/>
  <c r="J1411" i="2" l="1"/>
  <c r="H1411" i="2"/>
  <c r="K1411" i="2" s="1"/>
  <c r="M1411" i="2" s="1"/>
  <c r="N1411" i="2" s="1"/>
  <c r="P1411" i="2" s="1"/>
  <c r="G1411" i="2" l="1"/>
  <c r="L1412" i="2"/>
  <c r="H1412" i="2" l="1"/>
  <c r="K1412" i="2" s="1"/>
  <c r="J1412" i="2"/>
  <c r="G1412" i="2" l="1"/>
  <c r="J1413" i="2" s="1"/>
  <c r="L1413" i="2"/>
  <c r="M1412" i="2"/>
  <c r="N1412" i="2" s="1"/>
  <c r="P1412" i="2" s="1"/>
  <c r="H1413" i="2" l="1"/>
  <c r="K1413" i="2" s="1"/>
  <c r="M1413" i="2" s="1"/>
  <c r="N1413" i="2" s="1"/>
  <c r="P1413" i="2" s="1"/>
  <c r="L1414" i="2" l="1"/>
  <c r="G1413" i="2"/>
  <c r="H1414" i="2" s="1"/>
  <c r="K1414" i="2" s="1"/>
  <c r="M1414" i="2" l="1"/>
  <c r="N1414" i="2" s="1"/>
  <c r="P1414" i="2" s="1"/>
  <c r="J1414" i="2"/>
  <c r="G1414" i="2" s="1"/>
  <c r="J1415" i="2" s="1"/>
  <c r="L1415" i="2"/>
  <c r="H1415" i="2" l="1"/>
  <c r="G1415" i="2" s="1"/>
  <c r="H1416" i="2" s="1"/>
  <c r="J1416" i="2" l="1"/>
  <c r="G1416" i="2" s="1"/>
  <c r="K1415" i="2"/>
  <c r="L1416" i="2" s="1"/>
  <c r="J1417" i="2" l="1"/>
  <c r="H1417" i="2"/>
  <c r="M1415" i="2"/>
  <c r="N1415" i="2" s="1"/>
  <c r="P1415" i="2" s="1"/>
  <c r="K1416" i="2"/>
  <c r="L1417" i="2" s="1"/>
  <c r="G1417" i="2" l="1"/>
  <c r="H1418" i="2" s="1"/>
  <c r="K1417" i="2"/>
  <c r="M1417" i="2" s="1"/>
  <c r="N1417" i="2" s="1"/>
  <c r="P1417" i="2" s="1"/>
  <c r="M1416" i="2"/>
  <c r="N1416" i="2" s="1"/>
  <c r="P1416" i="2" s="1"/>
  <c r="J1418" i="2" l="1"/>
  <c r="G1418" i="2" s="1"/>
  <c r="K1418" i="2"/>
  <c r="L1418" i="2"/>
  <c r="M1418" i="2" l="1"/>
  <c r="N1418" i="2" s="1"/>
  <c r="P1418" i="2" s="1"/>
  <c r="L1419" i="2"/>
  <c r="J1419" i="2"/>
  <c r="H1419" i="2"/>
  <c r="G1419" i="2" l="1"/>
  <c r="J1420" i="2" s="1"/>
  <c r="K1419" i="2"/>
  <c r="H1420" i="2" l="1"/>
  <c r="G1420" i="2" s="1"/>
  <c r="H1421" i="2" s="1"/>
  <c r="M1419" i="2"/>
  <c r="N1419" i="2" s="1"/>
  <c r="P1419" i="2" s="1"/>
  <c r="L1420" i="2"/>
  <c r="K1420" i="2" l="1"/>
  <c r="L1421" i="2" s="1"/>
  <c r="J1421" i="2"/>
  <c r="G1421" i="2" s="1"/>
  <c r="H1422" i="2" s="1"/>
  <c r="M1420" i="2" l="1"/>
  <c r="N1420" i="2" s="1"/>
  <c r="P1420" i="2" s="1"/>
  <c r="K1421" i="2"/>
  <c r="M1421" i="2" s="1"/>
  <c r="N1421" i="2" s="1"/>
  <c r="P1421" i="2" s="1"/>
  <c r="J1422" i="2"/>
  <c r="G1422" i="2" s="1"/>
  <c r="L1422" i="2" l="1"/>
  <c r="K1422" i="2"/>
  <c r="H1423" i="2"/>
  <c r="J1423" i="2"/>
  <c r="K1423" i="2" l="1"/>
  <c r="L1423" i="2"/>
  <c r="M1422" i="2"/>
  <c r="N1422" i="2" s="1"/>
  <c r="P1422" i="2" s="1"/>
  <c r="G1423" i="2"/>
  <c r="M1423" i="2" l="1"/>
  <c r="N1423" i="2" s="1"/>
  <c r="P1423" i="2" s="1"/>
  <c r="F16" i="2" l="1"/>
  <c r="F18" i="2" s="1"/>
  <c r="F22" i="2" l="1"/>
  <c r="F27" i="2" s="1"/>
  <c r="F19" i="2"/>
  <c r="F21" i="2" s="1"/>
  <c r="F26" i="2"/>
</calcChain>
</file>

<file path=xl/sharedStrings.xml><?xml version="1.0" encoding="utf-8"?>
<sst xmlns="http://schemas.openxmlformats.org/spreadsheetml/2006/main" count="1552" uniqueCount="1481">
  <si>
    <r>
      <t xml:space="preserve">Versión simplificada del Modelo Hidrológico HBV </t>
    </r>
    <r>
      <rPr>
        <sz val="12"/>
        <rFont val="Times New Roman"/>
        <family val="1"/>
      </rPr>
      <t xml:space="preserve">                                                                                                                                                            Mayo 2010                                                                                                                                                                                UC Irvine (adaptado Uniandes, 2011)</t>
    </r>
  </si>
  <si>
    <t>DATOS DE ENTRADA</t>
  </si>
  <si>
    <r>
      <t>Área de la cuenca (Km</t>
    </r>
    <r>
      <rPr>
        <b/>
        <vertAlign val="superscript"/>
        <sz val="12"/>
        <rFont val="Times New Roman"/>
        <family val="1"/>
      </rPr>
      <t>2</t>
    </r>
    <r>
      <rPr>
        <b/>
        <sz val="12"/>
        <rFont val="Times New Roman"/>
        <family val="1"/>
      </rPr>
      <t>)</t>
    </r>
  </si>
  <si>
    <r>
      <t>K</t>
    </r>
    <r>
      <rPr>
        <b/>
        <vertAlign val="subscript"/>
        <sz val="12"/>
        <rFont val="Times New Roman"/>
        <family val="1"/>
      </rPr>
      <t>0</t>
    </r>
    <r>
      <rPr>
        <b/>
        <sz val="12"/>
        <rFont val="Times New Roman"/>
        <family val="1"/>
      </rPr>
      <t xml:space="preserve"> (Cte Alm. subsuperf., día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>)</t>
    </r>
  </si>
  <si>
    <r>
      <t>T</t>
    </r>
    <r>
      <rPr>
        <b/>
        <vertAlign val="subscript"/>
        <sz val="12"/>
        <rFont val="Times New Roman"/>
        <family val="1"/>
      </rPr>
      <t>t</t>
    </r>
    <r>
      <rPr>
        <b/>
        <sz val="12"/>
        <rFont val="Times New Roman"/>
        <family val="1"/>
      </rPr>
      <t xml:space="preserve"> (Temp. umbral nieve, °C)</t>
    </r>
  </si>
  <si>
    <r>
      <t>L</t>
    </r>
    <r>
      <rPr>
        <b/>
        <vertAlign val="subscript"/>
        <sz val="12"/>
        <rFont val="Times New Roman"/>
        <family val="1"/>
      </rPr>
      <t>1</t>
    </r>
    <r>
      <rPr>
        <b/>
        <sz val="12"/>
        <rFont val="Times New Roman"/>
        <family val="1"/>
      </rPr>
      <t xml:space="preserve"> (Prof. Umbral flujo subsup., mm)</t>
    </r>
  </si>
  <si>
    <r>
      <t>DD (factor de temp. diaria, mm°C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>dia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>)</t>
    </r>
  </si>
  <si>
    <r>
      <t>K</t>
    </r>
    <r>
      <rPr>
        <b/>
        <vertAlign val="subscript"/>
        <sz val="12"/>
        <rFont val="Times New Roman"/>
        <family val="1"/>
      </rPr>
      <t>1</t>
    </r>
    <r>
      <rPr>
        <b/>
        <sz val="12"/>
        <rFont val="Times New Roman"/>
        <family val="1"/>
      </rPr>
      <t xml:space="preserve"> (Cte Alm. Interflow, día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>)</t>
    </r>
  </si>
  <si>
    <t>FC (Capacidad de campo, mm)</t>
  </si>
  <si>
    <r>
      <t>K</t>
    </r>
    <r>
      <rPr>
        <b/>
        <vertAlign val="subscript"/>
        <sz val="12"/>
        <rFont val="Times New Roman"/>
        <family val="1"/>
      </rPr>
      <t>2</t>
    </r>
    <r>
      <rPr>
        <b/>
        <sz val="12"/>
        <rFont val="Times New Roman"/>
        <family val="1"/>
      </rPr>
      <t xml:space="preserve"> (Cte Alm. flujo base, día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>)</t>
    </r>
  </si>
  <si>
    <t>BETA (exponente función Prec. Efectiva, adim)</t>
  </si>
  <si>
    <r>
      <t>K</t>
    </r>
    <r>
      <rPr>
        <b/>
        <vertAlign val="subscript"/>
        <sz val="12"/>
        <rFont val="Times New Roman"/>
        <family val="1"/>
      </rPr>
      <t>perc</t>
    </r>
    <r>
      <rPr>
        <b/>
        <sz val="12"/>
        <rFont val="Times New Roman"/>
        <family val="1"/>
      </rPr>
      <t xml:space="preserve"> (día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>)</t>
    </r>
  </si>
  <si>
    <r>
      <t>C (Parámetro de modelo evapotr., °C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>)</t>
    </r>
  </si>
  <si>
    <t>PWP (punto march. perm., mm)</t>
  </si>
  <si>
    <t>Tprom Mensual (°C)</t>
  </si>
  <si>
    <t>ETP mensual (mm)</t>
  </si>
  <si>
    <t>ETP diaria (mm/día)</t>
  </si>
  <si>
    <t>Desempeño del Modelo</t>
  </si>
  <si>
    <t>ETa Total (mm/periodo)</t>
  </si>
  <si>
    <t>Prec. Total (mm/periodo)</t>
  </si>
  <si>
    <t>Esc. Total (mm/periodo)</t>
  </si>
  <si>
    <t>Esc. Simulada (mm/periodo)</t>
  </si>
  <si>
    <t>Esc. Observada (mm/periodo)</t>
  </si>
  <si>
    <t>Error (%)</t>
  </si>
  <si>
    <t>Suma diferencias cuadradas</t>
  </si>
  <si>
    <r>
      <t>Promedio Q</t>
    </r>
    <r>
      <rPr>
        <b/>
        <vertAlign val="subscript"/>
        <sz val="12"/>
        <rFont val="Times New Roman"/>
        <family val="1"/>
      </rPr>
      <t>observado</t>
    </r>
    <r>
      <rPr>
        <b/>
        <sz val="12"/>
        <rFont val="Times New Roman"/>
        <family val="1"/>
      </rPr>
      <t xml:space="preserve"> (m</t>
    </r>
    <r>
      <rPr>
        <b/>
        <vertAlign val="superscript"/>
        <sz val="12"/>
        <rFont val="Times New Roman"/>
        <family val="1"/>
      </rPr>
      <t>3</t>
    </r>
    <r>
      <rPr>
        <b/>
        <sz val="12"/>
        <rFont val="Times New Roman"/>
        <family val="1"/>
      </rPr>
      <t>/s)</t>
    </r>
  </si>
  <si>
    <r>
      <t>(Q-Q</t>
    </r>
    <r>
      <rPr>
        <b/>
        <vertAlign val="subscript"/>
        <sz val="12"/>
        <rFont val="Times New Roman"/>
        <family val="1"/>
      </rPr>
      <t>m</t>
    </r>
    <r>
      <rPr>
        <b/>
        <sz val="12"/>
        <rFont val="Times New Roman"/>
        <family val="1"/>
      </rPr>
      <t>)</t>
    </r>
    <r>
      <rPr>
        <b/>
        <vertAlign val="superscript"/>
        <sz val="12"/>
        <rFont val="Times New Roman"/>
        <family val="1"/>
      </rPr>
      <t>2</t>
    </r>
  </si>
  <si>
    <t>Correlación</t>
  </si>
  <si>
    <t>Coeficiente Nash Sutcliff</t>
  </si>
  <si>
    <t>Fecha</t>
  </si>
  <si>
    <t>Mes</t>
  </si>
  <si>
    <t>Temp.             (°C)</t>
  </si>
  <si>
    <t>Prec.  (mm/día)</t>
  </si>
  <si>
    <t>Nieve                                       (mm/día)</t>
  </si>
  <si>
    <t>Agua Líquida   (mm/día)</t>
  </si>
  <si>
    <t>Humedad del Suelo (mm)</t>
  </si>
  <si>
    <r>
      <t>P</t>
    </r>
    <r>
      <rPr>
        <b/>
        <vertAlign val="subscript"/>
        <sz val="12"/>
        <rFont val="Times New Roman"/>
        <family val="1"/>
      </rPr>
      <t>efectiva</t>
    </r>
    <r>
      <rPr>
        <b/>
        <sz val="12"/>
        <rFont val="Times New Roman"/>
        <family val="1"/>
      </rPr>
      <t xml:space="preserve">          (mm/día)</t>
    </r>
  </si>
  <si>
    <t>ETP  (mm/día)</t>
  </si>
  <si>
    <r>
      <t>ET</t>
    </r>
    <r>
      <rPr>
        <b/>
        <vertAlign val="subscript"/>
        <sz val="12"/>
        <rFont val="Times New Roman"/>
        <family val="1"/>
      </rPr>
      <t>a</t>
    </r>
    <r>
      <rPr>
        <b/>
        <sz val="12"/>
        <rFont val="Times New Roman"/>
        <family val="1"/>
      </rPr>
      <t xml:space="preserve">  (mm/día)</t>
    </r>
  </si>
  <si>
    <r>
      <t>S</t>
    </r>
    <r>
      <rPr>
        <b/>
        <vertAlign val="subscript"/>
        <sz val="12"/>
        <rFont val="Times New Roman"/>
        <family val="1"/>
      </rPr>
      <t>1</t>
    </r>
    <r>
      <rPr>
        <b/>
        <sz val="12"/>
        <rFont val="Times New Roman"/>
        <family val="1"/>
      </rPr>
      <t xml:space="preserve">           (mm)</t>
    </r>
  </si>
  <si>
    <r>
      <t>S</t>
    </r>
    <r>
      <rPr>
        <b/>
        <vertAlign val="subscript"/>
        <sz val="12"/>
        <rFont val="Times New Roman"/>
        <family val="1"/>
      </rPr>
      <t>2</t>
    </r>
    <r>
      <rPr>
        <b/>
        <sz val="12"/>
        <rFont val="Times New Roman"/>
        <family val="1"/>
      </rPr>
      <t xml:space="preserve">                      (mm)</t>
    </r>
  </si>
  <si>
    <r>
      <t xml:space="preserve"> Q (Q</t>
    </r>
    <r>
      <rPr>
        <b/>
        <vertAlign val="subscript"/>
        <sz val="12"/>
        <rFont val="Times New Roman"/>
        <family val="1"/>
      </rPr>
      <t>t</t>
    </r>
    <r>
      <rPr>
        <b/>
        <sz val="12"/>
        <rFont val="Times New Roman"/>
        <family val="1"/>
      </rPr>
      <t>)  Total      (mm/día)</t>
    </r>
  </si>
  <si>
    <r>
      <t>Q (m</t>
    </r>
    <r>
      <rPr>
        <b/>
        <vertAlign val="superscript"/>
        <sz val="12"/>
        <rFont val="Times New Roman"/>
        <family val="1"/>
      </rPr>
      <t>3</t>
    </r>
    <r>
      <rPr>
        <b/>
        <sz val="12"/>
        <rFont val="Times New Roman"/>
        <family val="1"/>
      </rPr>
      <t>/s) Simulado</t>
    </r>
  </si>
  <si>
    <r>
      <t>Q (m</t>
    </r>
    <r>
      <rPr>
        <b/>
        <vertAlign val="superscript"/>
        <sz val="12"/>
        <rFont val="Times New Roman"/>
        <family val="1"/>
      </rPr>
      <t>3</t>
    </r>
    <r>
      <rPr>
        <b/>
        <sz val="12"/>
        <rFont val="Times New Roman"/>
        <family val="1"/>
      </rPr>
      <t>/s) Observado</t>
    </r>
  </si>
  <si>
    <r>
      <t>(Q-QT)</t>
    </r>
    <r>
      <rPr>
        <b/>
        <vertAlign val="superscript"/>
        <sz val="12"/>
        <rFont val="Times New Roman"/>
        <family val="1"/>
      </rPr>
      <t>2</t>
    </r>
  </si>
  <si>
    <r>
      <t>(Q-Qm)</t>
    </r>
    <r>
      <rPr>
        <b/>
        <vertAlign val="superscript"/>
        <sz val="12"/>
        <rFont val="Times New Roman"/>
        <family val="1"/>
      </rPr>
      <t>2</t>
    </r>
  </si>
  <si>
    <t>Microsoft Excel 16.0 Informe de sensibilidad</t>
  </si>
  <si>
    <t>Hoja de cálculo: [C09_Modelo HBV - upch v1 (1).xlsm]HBV Modelo</t>
  </si>
  <si>
    <t>Informe creado: 25/11/2024 15:21:12</t>
  </si>
  <si>
    <t>Celdas de variables</t>
  </si>
  <si>
    <t>Celda</t>
  </si>
  <si>
    <t>Nombre</t>
  </si>
  <si>
    <t>Final</t>
  </si>
  <si>
    <t>Valor</t>
  </si>
  <si>
    <t>Reducido</t>
  </si>
  <si>
    <t>Degradado</t>
  </si>
  <si>
    <t>Restricciones</t>
  </si>
  <si>
    <t>Lagrange</t>
  </si>
  <si>
    <t>Multiplicador</t>
  </si>
  <si>
    <t>$C$11</t>
  </si>
  <si>
    <t>$C$12</t>
  </si>
  <si>
    <t>$C$13</t>
  </si>
  <si>
    <t>C (Parámetro de modelo evapotr., °C-1)</t>
  </si>
  <si>
    <t>$F$8</t>
  </si>
  <si>
    <t>K0 (Cte Alm. subsuperf., día-1)</t>
  </si>
  <si>
    <t>$F$9</t>
  </si>
  <si>
    <t>L1 (Prof. Umbral flujo subsup., mm)</t>
  </si>
  <si>
    <t>$F$10</t>
  </si>
  <si>
    <t>K1 (Cte Alm. Interflow, día-1)</t>
  </si>
  <si>
    <t>$F$11</t>
  </si>
  <si>
    <t>K2 (Cte Alm. flujo base, día-1)</t>
  </si>
  <si>
    <t>$F$12</t>
  </si>
  <si>
    <t>Kperc (día-1)</t>
  </si>
  <si>
    <t>$F$13</t>
  </si>
  <si>
    <t>$G$31</t>
  </si>
  <si>
    <t>$K$31</t>
  </si>
  <si>
    <t>S1           (mm)</t>
  </si>
  <si>
    <t>$L$31</t>
  </si>
  <si>
    <t>S2                      (mm)</t>
  </si>
  <si>
    <t>Microsoft Excel 16.0 Informe de límites</t>
  </si>
  <si>
    <t>Informe creado: 25/11/2024 15:21:13</t>
  </si>
  <si>
    <t>Objetivo</t>
  </si>
  <si>
    <t>Variable</t>
  </si>
  <si>
    <t>Inferior</t>
  </si>
  <si>
    <t>Límite</t>
  </si>
  <si>
    <t>Resultado</t>
  </si>
  <si>
    <t>Superior</t>
  </si>
  <si>
    <t>$F$27</t>
  </si>
  <si>
    <t>#N/D</t>
  </si>
  <si>
    <t>17/02/2019</t>
  </si>
  <si>
    <t>18/02/2019</t>
  </si>
  <si>
    <t>19/02/2019</t>
  </si>
  <si>
    <t>20/02/2019</t>
  </si>
  <si>
    <t>21/02/2019</t>
  </si>
  <si>
    <t>22/02/2019</t>
  </si>
  <si>
    <t>23/02/2019</t>
  </si>
  <si>
    <t>24/02/2019</t>
  </si>
  <si>
    <t>25/02/2019</t>
  </si>
  <si>
    <t>26/02/2019</t>
  </si>
  <si>
    <t>27/02/2019</t>
  </si>
  <si>
    <t>28/02/2019</t>
  </si>
  <si>
    <t>01/03/2019</t>
  </si>
  <si>
    <t>02/03/2019</t>
  </si>
  <si>
    <t>03/03/2019</t>
  </si>
  <si>
    <t>04/03/2019</t>
  </si>
  <si>
    <t>05/03/2019</t>
  </si>
  <si>
    <t>06/03/2019</t>
  </si>
  <si>
    <t>07/03/2019</t>
  </si>
  <si>
    <t>08/03/2019</t>
  </si>
  <si>
    <t>09/03/2019</t>
  </si>
  <si>
    <t>10/03/2019</t>
  </si>
  <si>
    <t>11/03/2019</t>
  </si>
  <si>
    <t>12/03/2019</t>
  </si>
  <si>
    <t>13/03/2019</t>
  </si>
  <si>
    <t>14/03/2019</t>
  </si>
  <si>
    <t>15/03/2019</t>
  </si>
  <si>
    <t>16/03/2019</t>
  </si>
  <si>
    <t>17/03/2019</t>
  </si>
  <si>
    <t>18/03/2019</t>
  </si>
  <si>
    <t>19/03/2019</t>
  </si>
  <si>
    <t>20/03/2019</t>
  </si>
  <si>
    <t>21/03/2019</t>
  </si>
  <si>
    <t>22/03/2019</t>
  </si>
  <si>
    <t>23/03/2019</t>
  </si>
  <si>
    <t>24/03/2019</t>
  </si>
  <si>
    <t>25/03/2019</t>
  </si>
  <si>
    <t>26/03/2019</t>
  </si>
  <si>
    <t>27/03/2019</t>
  </si>
  <si>
    <t>28/03/2019</t>
  </si>
  <si>
    <t>29/03/2019</t>
  </si>
  <si>
    <t>30/03/2019</t>
  </si>
  <si>
    <t>31/03/2019</t>
  </si>
  <si>
    <t>01/04/2019</t>
  </si>
  <si>
    <t>02/04/2019</t>
  </si>
  <si>
    <t>03/04/2019</t>
  </si>
  <si>
    <t>04/04/2019</t>
  </si>
  <si>
    <t>05/04/2019</t>
  </si>
  <si>
    <t>06/04/2019</t>
  </si>
  <si>
    <t>07/04/2019</t>
  </si>
  <si>
    <t>08/04/2019</t>
  </si>
  <si>
    <t>09/04/2019</t>
  </si>
  <si>
    <t>10/04/2019</t>
  </si>
  <si>
    <t>11/04/2019</t>
  </si>
  <si>
    <t>12/04/2019</t>
  </si>
  <si>
    <t>13/04/2019</t>
  </si>
  <si>
    <t>14/04/2019</t>
  </si>
  <si>
    <t>15/04/2019</t>
  </si>
  <si>
    <t>16/04/2019</t>
  </si>
  <si>
    <t>17/04/2019</t>
  </si>
  <si>
    <t>18/04/2019</t>
  </si>
  <si>
    <t>19/04/2019</t>
  </si>
  <si>
    <t>20/04/2019</t>
  </si>
  <si>
    <t>21/04/2019</t>
  </si>
  <si>
    <t>22/04/2019</t>
  </si>
  <si>
    <t>23/04/2019</t>
  </si>
  <si>
    <t>24/04/2019</t>
  </si>
  <si>
    <t>25/04/2019</t>
  </si>
  <si>
    <t>26/04/2019</t>
  </si>
  <si>
    <t>27/04/2019</t>
  </si>
  <si>
    <t>28/04/2019</t>
  </si>
  <si>
    <t>29/04/2019</t>
  </si>
  <si>
    <t>30/04/2019</t>
  </si>
  <si>
    <t>01/05/2019</t>
  </si>
  <si>
    <t>02/05/2019</t>
  </si>
  <si>
    <t>03/05/2019</t>
  </si>
  <si>
    <t>04/05/2019</t>
  </si>
  <si>
    <t>05/05/2019</t>
  </si>
  <si>
    <t>06/05/2019</t>
  </si>
  <si>
    <t>07/05/2019</t>
  </si>
  <si>
    <t>08/05/2019</t>
  </si>
  <si>
    <t>09/05/2019</t>
  </si>
  <si>
    <t>10/05/2019</t>
  </si>
  <si>
    <t>11/05/2019</t>
  </si>
  <si>
    <t>12/05/2019</t>
  </si>
  <si>
    <t>13/05/2019</t>
  </si>
  <si>
    <t>14/05/2019</t>
  </si>
  <si>
    <t>15/05/2019</t>
  </si>
  <si>
    <t>16/05/2019</t>
  </si>
  <si>
    <t>17/05/2019</t>
  </si>
  <si>
    <t>18/05/2019</t>
  </si>
  <si>
    <t>19/05/2019</t>
  </si>
  <si>
    <t>20/05/2019</t>
  </si>
  <si>
    <t>21/05/2019</t>
  </si>
  <si>
    <t>22/05/2019</t>
  </si>
  <si>
    <t>23/05/2019</t>
  </si>
  <si>
    <t>24/05/2019</t>
  </si>
  <si>
    <t>25/05/2019</t>
  </si>
  <si>
    <t>26/05/2019</t>
  </si>
  <si>
    <t>27/05/2019</t>
  </si>
  <si>
    <t>28/05/2019</t>
  </si>
  <si>
    <t>14/08/2019</t>
  </si>
  <si>
    <t>15/08/2019</t>
  </si>
  <si>
    <t>16/08/2019</t>
  </si>
  <si>
    <t>17/08/2019</t>
  </si>
  <si>
    <t>18/08/2019</t>
  </si>
  <si>
    <t>19/08/2019</t>
  </si>
  <si>
    <t>20/08/2019</t>
  </si>
  <si>
    <t>21/08/2019</t>
  </si>
  <si>
    <t>22/08/2019</t>
  </si>
  <si>
    <t>23/08/2019</t>
  </si>
  <si>
    <t>24/08/2019</t>
  </si>
  <si>
    <t>25/08/2019</t>
  </si>
  <si>
    <t>26/08/2019</t>
  </si>
  <si>
    <t>27/08/2019</t>
  </si>
  <si>
    <t>28/08/2019</t>
  </si>
  <si>
    <t>29/08/2019</t>
  </si>
  <si>
    <t>30/08/2019</t>
  </si>
  <si>
    <t>31/08/2019</t>
  </si>
  <si>
    <t>01/09/2019</t>
  </si>
  <si>
    <t>02/09/2019</t>
  </si>
  <si>
    <t>03/09/2019</t>
  </si>
  <si>
    <t>04/09/2019</t>
  </si>
  <si>
    <t>05/09/2019</t>
  </si>
  <si>
    <t>06/09/2019</t>
  </si>
  <si>
    <t>07/09/2019</t>
  </si>
  <si>
    <t>08/09/2019</t>
  </si>
  <si>
    <t>09/09/2019</t>
  </si>
  <si>
    <t>10/09/2019</t>
  </si>
  <si>
    <t>11/09/2019</t>
  </si>
  <si>
    <t>12/09/2019</t>
  </si>
  <si>
    <t>13/09/2019</t>
  </si>
  <si>
    <t>14/09/2019</t>
  </si>
  <si>
    <t>15/09/2019</t>
  </si>
  <si>
    <t>16/09/2019</t>
  </si>
  <si>
    <t>17/09/2019</t>
  </si>
  <si>
    <t>18/09/2019</t>
  </si>
  <si>
    <t>19/09/2019</t>
  </si>
  <si>
    <t>20/09/2019</t>
  </si>
  <si>
    <t>21/09/2019</t>
  </si>
  <si>
    <t>22/09/2019</t>
  </si>
  <si>
    <t>23/09/2019</t>
  </si>
  <si>
    <t>24/09/2019</t>
  </si>
  <si>
    <t>25/09/2019</t>
  </si>
  <si>
    <t>26/09/2019</t>
  </si>
  <si>
    <t>27/09/2019</t>
  </si>
  <si>
    <t>28/09/2019</t>
  </si>
  <si>
    <t>29/09/2019</t>
  </si>
  <si>
    <t>30/09/2019</t>
  </si>
  <si>
    <t>01/10/2019</t>
  </si>
  <si>
    <t>02/10/2019</t>
  </si>
  <si>
    <t>03/10/2019</t>
  </si>
  <si>
    <t>04/10/2019</t>
  </si>
  <si>
    <t>05/10/2019</t>
  </si>
  <si>
    <t>06/10/2019</t>
  </si>
  <si>
    <t>07/10/2019</t>
  </si>
  <si>
    <t>08/10/2019</t>
  </si>
  <si>
    <t>09/10/2019</t>
  </si>
  <si>
    <t>10/10/2019</t>
  </si>
  <si>
    <t>11/10/2019</t>
  </si>
  <si>
    <t>12/10/2019</t>
  </si>
  <si>
    <t>13/10/2019</t>
  </si>
  <si>
    <t>14/10/2019</t>
  </si>
  <si>
    <t>15/10/2019</t>
  </si>
  <si>
    <t>16/10/2019</t>
  </si>
  <si>
    <t>17/10/2019</t>
  </si>
  <si>
    <t>18/10/2019</t>
  </si>
  <si>
    <t>19/10/2019</t>
  </si>
  <si>
    <t>20/10/2019</t>
  </si>
  <si>
    <t>21/10/2019</t>
  </si>
  <si>
    <t>22/10/2019</t>
  </si>
  <si>
    <t>23/10/2019</t>
  </si>
  <si>
    <t>24/10/2019</t>
  </si>
  <si>
    <t>25/10/2019</t>
  </si>
  <si>
    <t>26/10/2019</t>
  </si>
  <si>
    <t>27/10/2019</t>
  </si>
  <si>
    <t>28/10/2019</t>
  </si>
  <si>
    <t>29/10/2019</t>
  </si>
  <si>
    <t>30/10/2019</t>
  </si>
  <si>
    <t>31/10/2019</t>
  </si>
  <si>
    <t>01/11/2019</t>
  </si>
  <si>
    <t>02/11/2019</t>
  </si>
  <si>
    <t>03/11/2019</t>
  </si>
  <si>
    <t>04/11/2019</t>
  </si>
  <si>
    <t>05/11/2019</t>
  </si>
  <si>
    <t>06/11/2019</t>
  </si>
  <si>
    <t>07/11/2019</t>
  </si>
  <si>
    <t>08/11/2019</t>
  </si>
  <si>
    <t>09/11/2019</t>
  </si>
  <si>
    <t>10/11/2019</t>
  </si>
  <si>
    <t>11/11/2019</t>
  </si>
  <si>
    <t>12/11/2019</t>
  </si>
  <si>
    <t>13/11/2019</t>
  </si>
  <si>
    <t>14/11/2019</t>
  </si>
  <si>
    <t>15/11/2019</t>
  </si>
  <si>
    <t>16/11/2019</t>
  </si>
  <si>
    <t>17/11/2019</t>
  </si>
  <si>
    <t>18/11/2019</t>
  </si>
  <si>
    <t>19/11/2019</t>
  </si>
  <si>
    <t>20/11/2019</t>
  </si>
  <si>
    <t>21/11/2019</t>
  </si>
  <si>
    <t>22/11/2019</t>
  </si>
  <si>
    <t>23/11/2019</t>
  </si>
  <si>
    <t>24/11/2019</t>
  </si>
  <si>
    <t>25/11/2019</t>
  </si>
  <si>
    <t>26/11/2019</t>
  </si>
  <si>
    <t>27/11/2019</t>
  </si>
  <si>
    <t>28/11/2019</t>
  </si>
  <si>
    <t>29/11/2019</t>
  </si>
  <si>
    <t>30/11/2019</t>
  </si>
  <si>
    <t>01/12/2019</t>
  </si>
  <si>
    <t>02/12/2019</t>
  </si>
  <si>
    <t>03/12/2019</t>
  </si>
  <si>
    <t>04/12/2019</t>
  </si>
  <si>
    <t>05/12/2019</t>
  </si>
  <si>
    <t>06/12/2019</t>
  </si>
  <si>
    <t>07/12/2019</t>
  </si>
  <si>
    <t>08/12/2019</t>
  </si>
  <si>
    <t>09/12/2019</t>
  </si>
  <si>
    <t>10/12/2019</t>
  </si>
  <si>
    <t>11/12/2019</t>
  </si>
  <si>
    <t>12/12/2019</t>
  </si>
  <si>
    <t>13/12/2019</t>
  </si>
  <si>
    <t>14/12/2019</t>
  </si>
  <si>
    <t>15/12/2019</t>
  </si>
  <si>
    <t>16/12/2019</t>
  </si>
  <si>
    <t>17/12/2019</t>
  </si>
  <si>
    <t>18/12/2019</t>
  </si>
  <si>
    <t>19/12/2019</t>
  </si>
  <si>
    <t>20/12/2019</t>
  </si>
  <si>
    <t>21/12/2019</t>
  </si>
  <si>
    <t>22/12/2019</t>
  </si>
  <si>
    <t>23/12/2019</t>
  </si>
  <si>
    <t>24/12/2019</t>
  </si>
  <si>
    <t>25/12/2019</t>
  </si>
  <si>
    <t>26/12/2019</t>
  </si>
  <si>
    <t>27/12/2019</t>
  </si>
  <si>
    <t>28/12/2019</t>
  </si>
  <si>
    <t>29/12/2019</t>
  </si>
  <si>
    <t>30/12/2019</t>
  </si>
  <si>
    <t>31/12/2019</t>
  </si>
  <si>
    <t>01/01/2020</t>
  </si>
  <si>
    <t>02/01/2020</t>
  </si>
  <si>
    <t>03/01/2020</t>
  </si>
  <si>
    <t>04/01/2020</t>
  </si>
  <si>
    <t>05/01/2020</t>
  </si>
  <si>
    <t>06/01/2020</t>
  </si>
  <si>
    <t>07/01/2020</t>
  </si>
  <si>
    <t>08/01/2020</t>
  </si>
  <si>
    <t>09/01/2020</t>
  </si>
  <si>
    <t>10/01/2020</t>
  </si>
  <si>
    <t>11/01/2020</t>
  </si>
  <si>
    <t>12/01/2020</t>
  </si>
  <si>
    <t>13/01/2020</t>
  </si>
  <si>
    <t>14/01/2020</t>
  </si>
  <si>
    <t>15/01/2020</t>
  </si>
  <si>
    <t>16/01/2020</t>
  </si>
  <si>
    <t>17/01/2020</t>
  </si>
  <si>
    <t>18/01/2020</t>
  </si>
  <si>
    <t>19/01/2020</t>
  </si>
  <si>
    <t>20/01/2020</t>
  </si>
  <si>
    <t>21/01/2020</t>
  </si>
  <si>
    <t>22/01/2020</t>
  </si>
  <si>
    <t>23/01/2020</t>
  </si>
  <si>
    <t>24/01/2020</t>
  </si>
  <si>
    <t>25/01/2020</t>
  </si>
  <si>
    <t>26/01/2020</t>
  </si>
  <si>
    <t>27/01/2020</t>
  </si>
  <si>
    <t>28/01/2020</t>
  </si>
  <si>
    <t>29/01/2020</t>
  </si>
  <si>
    <t>30/01/2020</t>
  </si>
  <si>
    <t>31/01/2020</t>
  </si>
  <si>
    <t>01/02/2020</t>
  </si>
  <si>
    <t>02/02/2020</t>
  </si>
  <si>
    <t>03/02/2020</t>
  </si>
  <si>
    <t>04/02/2020</t>
  </si>
  <si>
    <t>05/02/2020</t>
  </si>
  <si>
    <t>06/02/2020</t>
  </si>
  <si>
    <t>07/02/2020</t>
  </si>
  <si>
    <t>08/02/2020</t>
  </si>
  <si>
    <t>09/02/2020</t>
  </si>
  <si>
    <t>10/02/2020</t>
  </si>
  <si>
    <t>11/02/2020</t>
  </si>
  <si>
    <t>12/02/2020</t>
  </si>
  <si>
    <t>13/02/2020</t>
  </si>
  <si>
    <t>14/02/2020</t>
  </si>
  <si>
    <t>15/02/2020</t>
  </si>
  <si>
    <t>16/02/2020</t>
  </si>
  <si>
    <t>17/02/2020</t>
  </si>
  <si>
    <t>18/02/2020</t>
  </si>
  <si>
    <t>19/02/2020</t>
  </si>
  <si>
    <t>20/02/2020</t>
  </si>
  <si>
    <t>21/02/2020</t>
  </si>
  <si>
    <t>22/02/2020</t>
  </si>
  <si>
    <t>23/02/2020</t>
  </si>
  <si>
    <t>24/02/2020</t>
  </si>
  <si>
    <t>25/02/2020</t>
  </si>
  <si>
    <t>26/02/2020</t>
  </si>
  <si>
    <t>27/02/2020</t>
  </si>
  <si>
    <t>29/02/2020</t>
  </si>
  <si>
    <t>01/03/2020</t>
  </si>
  <si>
    <t>02/03/2020</t>
  </si>
  <si>
    <t>03/03/2020</t>
  </si>
  <si>
    <t>04/03/2020</t>
  </si>
  <si>
    <t>05/03/2020</t>
  </si>
  <si>
    <t>06/03/2020</t>
  </si>
  <si>
    <t>07/03/2020</t>
  </si>
  <si>
    <t>08/03/2020</t>
  </si>
  <si>
    <t>09/03/2020</t>
  </si>
  <si>
    <t>10/03/2020</t>
  </si>
  <si>
    <t>11/03/2020</t>
  </si>
  <si>
    <t>12/03/2020</t>
  </si>
  <si>
    <t>13/03/2020</t>
  </si>
  <si>
    <t>14/03/2020</t>
  </si>
  <si>
    <t>15/03/2020</t>
  </si>
  <si>
    <t>15/09/2020</t>
  </si>
  <si>
    <t>16/09/2020</t>
  </si>
  <si>
    <t>17/09/2020</t>
  </si>
  <si>
    <t>18/09/2020</t>
  </si>
  <si>
    <t>19/09/2020</t>
  </si>
  <si>
    <t>20/09/2020</t>
  </si>
  <si>
    <t>21/09/2020</t>
  </si>
  <si>
    <t>22/09/2020</t>
  </si>
  <si>
    <t>23/09/2020</t>
  </si>
  <si>
    <t>24/09/2020</t>
  </si>
  <si>
    <t>25/09/2020</t>
  </si>
  <si>
    <t>26/09/2020</t>
  </si>
  <si>
    <t>27/09/2020</t>
  </si>
  <si>
    <t>28/09/2020</t>
  </si>
  <si>
    <t>29/09/2020</t>
  </si>
  <si>
    <t>30/09/2020</t>
  </si>
  <si>
    <t>01/12/2020</t>
  </si>
  <si>
    <t>02/12/2020</t>
  </si>
  <si>
    <t>03/12/2020</t>
  </si>
  <si>
    <t>04/12/2020</t>
  </si>
  <si>
    <t>05/12/2020</t>
  </si>
  <si>
    <t>06/12/2020</t>
  </si>
  <si>
    <t>07/12/2020</t>
  </si>
  <si>
    <t>08/12/2020</t>
  </si>
  <si>
    <t>09/12/2020</t>
  </si>
  <si>
    <t>10/12/2020</t>
  </si>
  <si>
    <t>11/12/2020</t>
  </si>
  <si>
    <t>12/12/2020</t>
  </si>
  <si>
    <t>13/12/2020</t>
  </si>
  <si>
    <t>14/12/2020</t>
  </si>
  <si>
    <t>15/12/2020</t>
  </si>
  <si>
    <t>16/12/2020</t>
  </si>
  <si>
    <t>17/12/2020</t>
  </si>
  <si>
    <t>18/12/2020</t>
  </si>
  <si>
    <t>19/12/2020</t>
  </si>
  <si>
    <t>20/12/2020</t>
  </si>
  <si>
    <t>21/12/2020</t>
  </si>
  <si>
    <t>22/12/2020</t>
  </si>
  <si>
    <t>23/12/2020</t>
  </si>
  <si>
    <t>24/12/2020</t>
  </si>
  <si>
    <t>25/12/2020</t>
  </si>
  <si>
    <t>26/12/2020</t>
  </si>
  <si>
    <t>27/12/2020</t>
  </si>
  <si>
    <t>28/12/2020</t>
  </si>
  <si>
    <t>29/12/2020</t>
  </si>
  <si>
    <t>30/12/2020</t>
  </si>
  <si>
    <t>31/12/2020</t>
  </si>
  <si>
    <t>01/01/2021</t>
  </si>
  <si>
    <t>02/01/2021</t>
  </si>
  <si>
    <t>03/01/2021</t>
  </si>
  <si>
    <t>04/01/2021</t>
  </si>
  <si>
    <t>05/01/2021</t>
  </si>
  <si>
    <t>06/01/2021</t>
  </si>
  <si>
    <t>07/01/2021</t>
  </si>
  <si>
    <t>08/01/2021</t>
  </si>
  <si>
    <t>09/01/2021</t>
  </si>
  <si>
    <t>10/01/2021</t>
  </si>
  <si>
    <t>11/01/2021</t>
  </si>
  <si>
    <t>12/01/2021</t>
  </si>
  <si>
    <t>13/01/2021</t>
  </si>
  <si>
    <t>14/01/2021</t>
  </si>
  <si>
    <t>15/01/2021</t>
  </si>
  <si>
    <t>16/01/2021</t>
  </si>
  <si>
    <t>17/01/2021</t>
  </si>
  <si>
    <t>18/01/2021</t>
  </si>
  <si>
    <t>19/01/2021</t>
  </si>
  <si>
    <t>20/01/2021</t>
  </si>
  <si>
    <t>21/01/2021</t>
  </si>
  <si>
    <t>22/01/2021</t>
  </si>
  <si>
    <t>23/01/2021</t>
  </si>
  <si>
    <t>24/01/2021</t>
  </si>
  <si>
    <t>25/01/2021</t>
  </si>
  <si>
    <t>26/01/2021</t>
  </si>
  <si>
    <t>27/01/2021</t>
  </si>
  <si>
    <t>28/01/2021</t>
  </si>
  <si>
    <t>29/01/2021</t>
  </si>
  <si>
    <t>30/01/2021</t>
  </si>
  <si>
    <t>31/01/2021</t>
  </si>
  <si>
    <t>01/02/2021</t>
  </si>
  <si>
    <t>02/02/2021</t>
  </si>
  <si>
    <t>03/02/2021</t>
  </si>
  <si>
    <t>04/02/2021</t>
  </si>
  <si>
    <t>05/02/2021</t>
  </si>
  <si>
    <t>06/02/2021</t>
  </si>
  <si>
    <t>07/02/2021</t>
  </si>
  <si>
    <t>08/02/2021</t>
  </si>
  <si>
    <t>09/02/2021</t>
  </si>
  <si>
    <t>10/02/2021</t>
  </si>
  <si>
    <t>11/02/2021</t>
  </si>
  <si>
    <t>12/02/2021</t>
  </si>
  <si>
    <t>13/02/2021</t>
  </si>
  <si>
    <t>14/02/2021</t>
  </si>
  <si>
    <t>15/02/2021</t>
  </si>
  <si>
    <t>16/02/2021</t>
  </si>
  <si>
    <t>17/02/2021</t>
  </si>
  <si>
    <t>18/02/2021</t>
  </si>
  <si>
    <t>19/02/2021</t>
  </si>
  <si>
    <t>20/02/2021</t>
  </si>
  <si>
    <t>21/02/2021</t>
  </si>
  <si>
    <t>22/02/2021</t>
  </si>
  <si>
    <t>23/02/2021</t>
  </si>
  <si>
    <t>24/02/2021</t>
  </si>
  <si>
    <t>25/02/2021</t>
  </si>
  <si>
    <t>26/02/2021</t>
  </si>
  <si>
    <t>27/02/2021</t>
  </si>
  <si>
    <t>28/02/2021</t>
  </si>
  <si>
    <t>01/03/2021</t>
  </si>
  <si>
    <t>02/03/2021</t>
  </si>
  <si>
    <t>03/03/2021</t>
  </si>
  <si>
    <t>04/03/2021</t>
  </si>
  <si>
    <t>05/03/2021</t>
  </si>
  <si>
    <t>06/03/2021</t>
  </si>
  <si>
    <t>07/03/2021</t>
  </si>
  <si>
    <t>08/03/2021</t>
  </si>
  <si>
    <t>09/03/2021</t>
  </si>
  <si>
    <t>10/03/2021</t>
  </si>
  <si>
    <t>11/03/2021</t>
  </si>
  <si>
    <t>12/03/2021</t>
  </si>
  <si>
    <t>13/03/2021</t>
  </si>
  <si>
    <t>14/03/2021</t>
  </si>
  <si>
    <t>15/03/2021</t>
  </si>
  <si>
    <t>16/03/2021</t>
  </si>
  <si>
    <t>17/03/2021</t>
  </si>
  <si>
    <t>18/03/2021</t>
  </si>
  <si>
    <t>19/03/2021</t>
  </si>
  <si>
    <t>20/03/2021</t>
  </si>
  <si>
    <t>21/03/2021</t>
  </si>
  <si>
    <t>22/03/2021</t>
  </si>
  <si>
    <t>23/03/2021</t>
  </si>
  <si>
    <t>24/03/2021</t>
  </si>
  <si>
    <t>25/03/2021</t>
  </si>
  <si>
    <t>26/03/2021</t>
  </si>
  <si>
    <t>27/03/2021</t>
  </si>
  <si>
    <t>28/03/2021</t>
  </si>
  <si>
    <t>29/03/2021</t>
  </si>
  <si>
    <t>30/03/2021</t>
  </si>
  <si>
    <t>31/03/2021</t>
  </si>
  <si>
    <t>01/04/2021</t>
  </si>
  <si>
    <t>02/04/2021</t>
  </si>
  <si>
    <t>03/04/2021</t>
  </si>
  <si>
    <t>04/04/2021</t>
  </si>
  <si>
    <t>05/04/2021</t>
  </si>
  <si>
    <t>06/04/2021</t>
  </si>
  <si>
    <t>07/04/2021</t>
  </si>
  <si>
    <t>08/04/2021</t>
  </si>
  <si>
    <t>09/04/2021</t>
  </si>
  <si>
    <t>10/04/2021</t>
  </si>
  <si>
    <t>11/04/2021</t>
  </si>
  <si>
    <t>12/04/2021</t>
  </si>
  <si>
    <t>13/04/2021</t>
  </si>
  <si>
    <t>14/04/2021</t>
  </si>
  <si>
    <t>15/04/2021</t>
  </si>
  <si>
    <t>16/04/2021</t>
  </si>
  <si>
    <t>17/04/2021</t>
  </si>
  <si>
    <t>18/04/2021</t>
  </si>
  <si>
    <t>19/04/2021</t>
  </si>
  <si>
    <t>20/04/2021</t>
  </si>
  <si>
    <t>21/04/2021</t>
  </si>
  <si>
    <t>22/04/2021</t>
  </si>
  <si>
    <t>23/04/2021</t>
  </si>
  <si>
    <t>24/04/2021</t>
  </si>
  <si>
    <t>25/04/2021</t>
  </si>
  <si>
    <t>26/04/2021</t>
  </si>
  <si>
    <t>27/04/2021</t>
  </si>
  <si>
    <t>28/04/2021</t>
  </si>
  <si>
    <t>29/04/2021</t>
  </si>
  <si>
    <t>30/04/2021</t>
  </si>
  <si>
    <t>01/05/2021</t>
  </si>
  <si>
    <t>02/05/2021</t>
  </si>
  <si>
    <t>03/05/2021</t>
  </si>
  <si>
    <t>04/05/2021</t>
  </si>
  <si>
    <t>05/05/2021</t>
  </si>
  <si>
    <t>06/05/2021</t>
  </si>
  <si>
    <t>07/05/2021</t>
  </si>
  <si>
    <t>08/05/2021</t>
  </si>
  <si>
    <t>09/05/2021</t>
  </si>
  <si>
    <t>10/05/2021</t>
  </si>
  <si>
    <t>11/05/2021</t>
  </si>
  <si>
    <t>12/05/2021</t>
  </si>
  <si>
    <t>13/05/2021</t>
  </si>
  <si>
    <t>14/05/2021</t>
  </si>
  <si>
    <t>15/05/2021</t>
  </si>
  <si>
    <t>16/05/2021</t>
  </si>
  <si>
    <t>17/05/2021</t>
  </si>
  <si>
    <t>18/05/2021</t>
  </si>
  <si>
    <t>19/05/2021</t>
  </si>
  <si>
    <t>20/05/2021</t>
  </si>
  <si>
    <t>21/05/2021</t>
  </si>
  <si>
    <t>22/05/2021</t>
  </si>
  <si>
    <t>23/05/2021</t>
  </si>
  <si>
    <t>24/05/2021</t>
  </si>
  <si>
    <t>25/05/2021</t>
  </si>
  <si>
    <t>26/05/2021</t>
  </si>
  <si>
    <t>27/05/2021</t>
  </si>
  <si>
    <t>28/05/2021</t>
  </si>
  <si>
    <t>29/05/2021</t>
  </si>
  <si>
    <t>30/05/2021</t>
  </si>
  <si>
    <t>31/05/2021</t>
  </si>
  <si>
    <t>01/06/2021</t>
  </si>
  <si>
    <t>02/06/2021</t>
  </si>
  <si>
    <t>03/06/2021</t>
  </si>
  <si>
    <t>04/06/2021</t>
  </si>
  <si>
    <t>05/06/2021</t>
  </si>
  <si>
    <t>06/06/2021</t>
  </si>
  <si>
    <t>07/06/2021</t>
  </si>
  <si>
    <t>08/06/2021</t>
  </si>
  <si>
    <t>09/06/2021</t>
  </si>
  <si>
    <t>10/06/2021</t>
  </si>
  <si>
    <t>11/06/2021</t>
  </si>
  <si>
    <t>12/06/2021</t>
  </si>
  <si>
    <t>13/06/2021</t>
  </si>
  <si>
    <t>14/06/2021</t>
  </si>
  <si>
    <t>15/06/2021</t>
  </si>
  <si>
    <t>16/06/2021</t>
  </si>
  <si>
    <t>17/06/2021</t>
  </si>
  <si>
    <t>18/06/2021</t>
  </si>
  <si>
    <t>19/06/2021</t>
  </si>
  <si>
    <t>20/06/2021</t>
  </si>
  <si>
    <t>21/06/2021</t>
  </si>
  <si>
    <t>25/06/2021</t>
  </si>
  <si>
    <t>27/06/2021</t>
  </si>
  <si>
    <t>03/07/2021</t>
  </si>
  <si>
    <t>04/07/2021</t>
  </si>
  <si>
    <t>05/07/2021</t>
  </si>
  <si>
    <t>06/07/2021</t>
  </si>
  <si>
    <t>07/07/2021</t>
  </si>
  <si>
    <t>08/07/2021</t>
  </si>
  <si>
    <t>09/07/2021</t>
  </si>
  <si>
    <t>10/07/2021</t>
  </si>
  <si>
    <t>11/07/2021</t>
  </si>
  <si>
    <t>12/07/2021</t>
  </si>
  <si>
    <t>13/07/2021</t>
  </si>
  <si>
    <t>14/07/2021</t>
  </si>
  <si>
    <t>15/07/2021</t>
  </si>
  <si>
    <t>16/07/2021</t>
  </si>
  <si>
    <t>17/07/2021</t>
  </si>
  <si>
    <t>18/07/2021</t>
  </si>
  <si>
    <t>19/07/2021</t>
  </si>
  <si>
    <t>20/07/2021</t>
  </si>
  <si>
    <t>21/07/2021</t>
  </si>
  <si>
    <t>22/07/2021</t>
  </si>
  <si>
    <t>23/07/2021</t>
  </si>
  <si>
    <t>24/07/2021</t>
  </si>
  <si>
    <t>25/07/2021</t>
  </si>
  <si>
    <t>26/07/2021</t>
  </si>
  <si>
    <t>27/07/2021</t>
  </si>
  <si>
    <t>28/07/2021</t>
  </si>
  <si>
    <t>29/07/2021</t>
  </si>
  <si>
    <t>30/07/2021</t>
  </si>
  <si>
    <t>31/07/2021</t>
  </si>
  <si>
    <t>01/08/2021</t>
  </si>
  <si>
    <t>02/08/2021</t>
  </si>
  <si>
    <t>03/08/2021</t>
  </si>
  <si>
    <t>04/08/2021</t>
  </si>
  <si>
    <t>05/08/2021</t>
  </si>
  <si>
    <t>06/08/2021</t>
  </si>
  <si>
    <t>07/08/2021</t>
  </si>
  <si>
    <t>08/08/2021</t>
  </si>
  <si>
    <t>09/08/2021</t>
  </si>
  <si>
    <t>10/08/2021</t>
  </si>
  <si>
    <t>11/08/2021</t>
  </si>
  <si>
    <t>12/08/2021</t>
  </si>
  <si>
    <t>13/08/2021</t>
  </si>
  <si>
    <t>14/08/2021</t>
  </si>
  <si>
    <t>15/08/2021</t>
  </si>
  <si>
    <t>16/08/2021</t>
  </si>
  <si>
    <t>17/08/2021</t>
  </si>
  <si>
    <t>18/08/2021</t>
  </si>
  <si>
    <t>19/08/2021</t>
  </si>
  <si>
    <t>20/08/2021</t>
  </si>
  <si>
    <t>21/08/2021</t>
  </si>
  <si>
    <t>22/08/2021</t>
  </si>
  <si>
    <t>23/08/2021</t>
  </si>
  <si>
    <t>24/08/2021</t>
  </si>
  <si>
    <t>25/08/2021</t>
  </si>
  <si>
    <t>26/08/2021</t>
  </si>
  <si>
    <t>27/08/2021</t>
  </si>
  <si>
    <t>28/08/2021</t>
  </si>
  <si>
    <t>29/08/2021</t>
  </si>
  <si>
    <t>30/08/2021</t>
  </si>
  <si>
    <t>31/08/2021</t>
  </si>
  <si>
    <t>01/09/2021</t>
  </si>
  <si>
    <t>02/09/2021</t>
  </si>
  <si>
    <t>03/09/2021</t>
  </si>
  <si>
    <t>04/09/2021</t>
  </si>
  <si>
    <t>05/09/2021</t>
  </si>
  <si>
    <t>06/09/2021</t>
  </si>
  <si>
    <t>07/09/2021</t>
  </si>
  <si>
    <t>08/09/2021</t>
  </si>
  <si>
    <t>09/09/2021</t>
  </si>
  <si>
    <t>10/09/2021</t>
  </si>
  <si>
    <t>11/09/2021</t>
  </si>
  <si>
    <t>12/09/2021</t>
  </si>
  <si>
    <t>13/09/2021</t>
  </si>
  <si>
    <t>14/09/2021</t>
  </si>
  <si>
    <t>15/09/2021</t>
  </si>
  <si>
    <t>16/09/2021</t>
  </si>
  <si>
    <t>17/09/2021</t>
  </si>
  <si>
    <t>18/09/2021</t>
  </si>
  <si>
    <t>24/09/2021</t>
  </si>
  <si>
    <t>25/09/2021</t>
  </si>
  <si>
    <t>26/09/2021</t>
  </si>
  <si>
    <t>27/09/2021</t>
  </si>
  <si>
    <t>28/09/2021</t>
  </si>
  <si>
    <t>29/09/2021</t>
  </si>
  <si>
    <t>30/09/2021</t>
  </si>
  <si>
    <t>01/10/2021</t>
  </si>
  <si>
    <t>02/10/2021</t>
  </si>
  <si>
    <t>03/10/2021</t>
  </si>
  <si>
    <t>04/10/2021</t>
  </si>
  <si>
    <t>05/10/2021</t>
  </si>
  <si>
    <t>06/10/2021</t>
  </si>
  <si>
    <t>07/10/2021</t>
  </si>
  <si>
    <t>08/10/2021</t>
  </si>
  <si>
    <t>09/10/2021</t>
  </si>
  <si>
    <t>10/10/2021</t>
  </si>
  <si>
    <t>11/10/2021</t>
  </si>
  <si>
    <t>12/10/2021</t>
  </si>
  <si>
    <t>13/10/2021</t>
  </si>
  <si>
    <t>14/10/2021</t>
  </si>
  <si>
    <t>15/10/2021</t>
  </si>
  <si>
    <t>16/10/2021</t>
  </si>
  <si>
    <t>17/10/2021</t>
  </si>
  <si>
    <t>18/10/2021</t>
  </si>
  <si>
    <t>19/10/2021</t>
  </si>
  <si>
    <t>20/10/2021</t>
  </si>
  <si>
    <t>21/10/2021</t>
  </si>
  <si>
    <t>22/10/2021</t>
  </si>
  <si>
    <t>23/10/2021</t>
  </si>
  <si>
    <t>24/10/2021</t>
  </si>
  <si>
    <t>25/10/2021</t>
  </si>
  <si>
    <t>26/10/2021</t>
  </si>
  <si>
    <t>27/10/2021</t>
  </si>
  <si>
    <t>28/10/2021</t>
  </si>
  <si>
    <t>29/10/2021</t>
  </si>
  <si>
    <t>30/10/2021</t>
  </si>
  <si>
    <t>31/10/2021</t>
  </si>
  <si>
    <t>01/11/2021</t>
  </si>
  <si>
    <t>02/11/2021</t>
  </si>
  <si>
    <t>03/11/2021</t>
  </si>
  <si>
    <t>04/11/2021</t>
  </si>
  <si>
    <t>05/11/2021</t>
  </si>
  <si>
    <t>06/11/2021</t>
  </si>
  <si>
    <t>07/11/2021</t>
  </si>
  <si>
    <t>08/11/2021</t>
  </si>
  <si>
    <t>09/11/2021</t>
  </si>
  <si>
    <t>10/11/2021</t>
  </si>
  <si>
    <t>11/11/2021</t>
  </si>
  <si>
    <t>12/11/2021</t>
  </si>
  <si>
    <t>13/11/2021</t>
  </si>
  <si>
    <t>14/11/2021</t>
  </si>
  <si>
    <t>15/11/2021</t>
  </si>
  <si>
    <t>16/11/2021</t>
  </si>
  <si>
    <t>17/11/2021</t>
  </si>
  <si>
    <t>18/11/2021</t>
  </si>
  <si>
    <t>19/11/2021</t>
  </si>
  <si>
    <t>20/11/2021</t>
  </si>
  <si>
    <t>21/11/2021</t>
  </si>
  <si>
    <t>22/11/2021</t>
  </si>
  <si>
    <t>23/11/2021</t>
  </si>
  <si>
    <t>24/11/2021</t>
  </si>
  <si>
    <t>25/11/2021</t>
  </si>
  <si>
    <t>26/11/2021</t>
  </si>
  <si>
    <t>27/11/2021</t>
  </si>
  <si>
    <t>28/11/2021</t>
  </si>
  <si>
    <t>29/11/2021</t>
  </si>
  <si>
    <t>30/11/2021</t>
  </si>
  <si>
    <t>01/12/2021</t>
  </si>
  <si>
    <t>02/12/2021</t>
  </si>
  <si>
    <t>03/12/2021</t>
  </si>
  <si>
    <t>04/12/2021</t>
  </si>
  <si>
    <t>05/12/2021</t>
  </si>
  <si>
    <t>06/12/2021</t>
  </si>
  <si>
    <t>07/12/2021</t>
  </si>
  <si>
    <t>08/12/2021</t>
  </si>
  <si>
    <t>09/12/2021</t>
  </si>
  <si>
    <t>10/12/2021</t>
  </si>
  <si>
    <t>11/12/2021</t>
  </si>
  <si>
    <t>12/12/2021</t>
  </si>
  <si>
    <t>13/12/2021</t>
  </si>
  <si>
    <t>14/12/2021</t>
  </si>
  <si>
    <t>15/12/2021</t>
  </si>
  <si>
    <t>16/12/2021</t>
  </si>
  <si>
    <t>17/12/2021</t>
  </si>
  <si>
    <t>18/12/2021</t>
  </si>
  <si>
    <t>19/12/2021</t>
  </si>
  <si>
    <t>20/12/2021</t>
  </si>
  <si>
    <t>21/12/2021</t>
  </si>
  <si>
    <t>22/12/2021</t>
  </si>
  <si>
    <t>23/12/2021</t>
  </si>
  <si>
    <t>24/12/2021</t>
  </si>
  <si>
    <t>25/12/2021</t>
  </si>
  <si>
    <t>26/12/2021</t>
  </si>
  <si>
    <t>27/12/2021</t>
  </si>
  <si>
    <t>28/12/2021</t>
  </si>
  <si>
    <t>29/12/2021</t>
  </si>
  <si>
    <t>30/12/2021</t>
  </si>
  <si>
    <t>31/12/2021</t>
  </si>
  <si>
    <t>01/01/2022</t>
  </si>
  <si>
    <t>02/01/2022</t>
  </si>
  <si>
    <t>03/01/2022</t>
  </si>
  <si>
    <t>04/01/2022</t>
  </si>
  <si>
    <t>05/01/2022</t>
  </si>
  <si>
    <t>06/01/2022</t>
  </si>
  <si>
    <t>07/01/2022</t>
  </si>
  <si>
    <t>08/01/2022</t>
  </si>
  <si>
    <t>09/01/2022</t>
  </si>
  <si>
    <t>10/01/2022</t>
  </si>
  <si>
    <t>11/01/2022</t>
  </si>
  <si>
    <t>12/01/2022</t>
  </si>
  <si>
    <t>13/01/2022</t>
  </si>
  <si>
    <t>14/01/2022</t>
  </si>
  <si>
    <t>15/01/2022</t>
  </si>
  <si>
    <t>16/01/2022</t>
  </si>
  <si>
    <t>17/01/2022</t>
  </si>
  <si>
    <t>18/01/2022</t>
  </si>
  <si>
    <t>19/01/2022</t>
  </si>
  <si>
    <t>20/01/2022</t>
  </si>
  <si>
    <t>21/01/2022</t>
  </si>
  <si>
    <t>22/01/2022</t>
  </si>
  <si>
    <t>23/01/2022</t>
  </si>
  <si>
    <t>24/01/2022</t>
  </si>
  <si>
    <t>25/01/2022</t>
  </si>
  <si>
    <t>26/01/2022</t>
  </si>
  <si>
    <t>27/01/2022</t>
  </si>
  <si>
    <t>28/01/2022</t>
  </si>
  <si>
    <t>29/01/2022</t>
  </si>
  <si>
    <t>30/01/2022</t>
  </si>
  <si>
    <t>31/01/2022</t>
  </si>
  <si>
    <t>01/02/2022</t>
  </si>
  <si>
    <t>02/02/2022</t>
  </si>
  <si>
    <t>03/02/2022</t>
  </si>
  <si>
    <t>04/02/2022</t>
  </si>
  <si>
    <t>05/02/2022</t>
  </si>
  <si>
    <t>06/02/2022</t>
  </si>
  <si>
    <t>07/02/2022</t>
  </si>
  <si>
    <t>08/02/2022</t>
  </si>
  <si>
    <t>09/02/2022</t>
  </si>
  <si>
    <t>10/02/2022</t>
  </si>
  <si>
    <t>11/02/2022</t>
  </si>
  <si>
    <t>12/02/2022</t>
  </si>
  <si>
    <t>13/02/2022</t>
  </si>
  <si>
    <t>14/02/2022</t>
  </si>
  <si>
    <t>15/02/2022</t>
  </si>
  <si>
    <t>16/02/2022</t>
  </si>
  <si>
    <t>17/02/2022</t>
  </si>
  <si>
    <t>18/02/2022</t>
  </si>
  <si>
    <t>19/02/2022</t>
  </si>
  <si>
    <t>20/02/2022</t>
  </si>
  <si>
    <t>21/02/2022</t>
  </si>
  <si>
    <t>22/02/2022</t>
  </si>
  <si>
    <t>23/02/2022</t>
  </si>
  <si>
    <t>24/02/2022</t>
  </si>
  <si>
    <t>25/02/2022</t>
  </si>
  <si>
    <t>26/02/2022</t>
  </si>
  <si>
    <t>27/02/2022</t>
  </si>
  <si>
    <t>28/02/2022</t>
  </si>
  <si>
    <t>01/03/2022</t>
  </si>
  <si>
    <t>02/03/2022</t>
  </si>
  <si>
    <t>03/03/2022</t>
  </si>
  <si>
    <t>04/03/2022</t>
  </si>
  <si>
    <t>05/03/2022</t>
  </si>
  <si>
    <t>06/03/2022</t>
  </si>
  <si>
    <t>07/03/2022</t>
  </si>
  <si>
    <t>08/03/2022</t>
  </si>
  <si>
    <t>09/03/2022</t>
  </si>
  <si>
    <t>10/03/2022</t>
  </si>
  <si>
    <t>11/03/2022</t>
  </si>
  <si>
    <t>12/03/2022</t>
  </si>
  <si>
    <t>13/03/2022</t>
  </si>
  <si>
    <t>14/03/2022</t>
  </si>
  <si>
    <t>15/03/2022</t>
  </si>
  <si>
    <t>16/03/2022</t>
  </si>
  <si>
    <t>17/03/2022</t>
  </si>
  <si>
    <t>18/03/2022</t>
  </si>
  <si>
    <t>19/03/2022</t>
  </si>
  <si>
    <t>20/03/2022</t>
  </si>
  <si>
    <t>21/03/2022</t>
  </si>
  <si>
    <t>22/03/2022</t>
  </si>
  <si>
    <t>23/03/2022</t>
  </si>
  <si>
    <t>24/03/2022</t>
  </si>
  <si>
    <t>25/03/2022</t>
  </si>
  <si>
    <t>26/03/2022</t>
  </si>
  <si>
    <t>27/03/2022</t>
  </si>
  <si>
    <t>28/03/2022</t>
  </si>
  <si>
    <t>29/03/2022</t>
  </si>
  <si>
    <t>30/03/2022</t>
  </si>
  <si>
    <t>31/03/2022</t>
  </si>
  <si>
    <t>01/04/2022</t>
  </si>
  <si>
    <t>02/04/2022</t>
  </si>
  <si>
    <t>03/04/2022</t>
  </si>
  <si>
    <t>04/04/2022</t>
  </si>
  <si>
    <t>05/04/2022</t>
  </si>
  <si>
    <t>06/04/2022</t>
  </si>
  <si>
    <t>07/04/2022</t>
  </si>
  <si>
    <t>08/04/2022</t>
  </si>
  <si>
    <t>09/04/2022</t>
  </si>
  <si>
    <t>10/04/2022</t>
  </si>
  <si>
    <t>11/04/2022</t>
  </si>
  <si>
    <t>01/08/2022</t>
  </si>
  <si>
    <t>02/08/2022</t>
  </si>
  <si>
    <t>03/08/2022</t>
  </si>
  <si>
    <t>04/08/2022</t>
  </si>
  <si>
    <t>05/08/2022</t>
  </si>
  <si>
    <t>06/08/2022</t>
  </si>
  <si>
    <t>07/08/2022</t>
  </si>
  <si>
    <t>08/08/2022</t>
  </si>
  <si>
    <t>09/08/2022</t>
  </si>
  <si>
    <t>10/08/2022</t>
  </si>
  <si>
    <t>11/08/2022</t>
  </si>
  <si>
    <t>12/08/2022</t>
  </si>
  <si>
    <t>01/09/2022</t>
  </si>
  <si>
    <t>02/09/2022</t>
  </si>
  <si>
    <t>03/09/2022</t>
  </si>
  <si>
    <t>04/09/2022</t>
  </si>
  <si>
    <t>05/09/2022</t>
  </si>
  <si>
    <t>06/09/2022</t>
  </si>
  <si>
    <t>07/09/2022</t>
  </si>
  <si>
    <t>08/09/2022</t>
  </si>
  <si>
    <t>09/09/2022</t>
  </si>
  <si>
    <t>10/09/2022</t>
  </si>
  <si>
    <t>11/09/2022</t>
  </si>
  <si>
    <t>12/09/2022</t>
  </si>
  <si>
    <t>13/09/2022</t>
  </si>
  <si>
    <t>14/09/2022</t>
  </si>
  <si>
    <t>15/09/2022</t>
  </si>
  <si>
    <t>16/09/2022</t>
  </si>
  <si>
    <t>17/09/2022</t>
  </si>
  <si>
    <t>18/09/2022</t>
  </si>
  <si>
    <t>19/09/2022</t>
  </si>
  <si>
    <t>20/09/2022</t>
  </si>
  <si>
    <t>21/09/2022</t>
  </si>
  <si>
    <t>22/09/2022</t>
  </si>
  <si>
    <t>23/09/2022</t>
  </si>
  <si>
    <t>24/09/2022</t>
  </si>
  <si>
    <t>25/09/2022</t>
  </si>
  <si>
    <t>26/09/2022</t>
  </si>
  <si>
    <t>27/09/2022</t>
  </si>
  <si>
    <t>28/09/2022</t>
  </si>
  <si>
    <t>29/09/2022</t>
  </si>
  <si>
    <t>30/09/2022</t>
  </si>
  <si>
    <t>01/10/2022</t>
  </si>
  <si>
    <t>02/10/2022</t>
  </si>
  <si>
    <t>03/10/2022</t>
  </si>
  <si>
    <t>04/10/2022</t>
  </si>
  <si>
    <t>05/10/2022</t>
  </si>
  <si>
    <t>06/10/2022</t>
  </si>
  <si>
    <t>07/10/2022</t>
  </si>
  <si>
    <t>08/10/2022</t>
  </si>
  <si>
    <t>09/10/2022</t>
  </si>
  <si>
    <t>10/10/2022</t>
  </si>
  <si>
    <t>11/10/2022</t>
  </si>
  <si>
    <t>12/10/2022</t>
  </si>
  <si>
    <t>13/10/2022</t>
  </si>
  <si>
    <t>14/10/2022</t>
  </si>
  <si>
    <t>15/10/2022</t>
  </si>
  <si>
    <t>16/10/2022</t>
  </si>
  <si>
    <t>17/10/2022</t>
  </si>
  <si>
    <t>18/10/2022</t>
  </si>
  <si>
    <t>19/10/2022</t>
  </si>
  <si>
    <t>20/10/2022</t>
  </si>
  <si>
    <t>21/10/2022</t>
  </si>
  <si>
    <t>22/10/2022</t>
  </si>
  <si>
    <t>23/10/2022</t>
  </si>
  <si>
    <t>24/10/2022</t>
  </si>
  <si>
    <t>25/10/2022</t>
  </si>
  <si>
    <t>26/10/2022</t>
  </si>
  <si>
    <t>27/10/2022</t>
  </si>
  <si>
    <t>28/10/2022</t>
  </si>
  <si>
    <t>29/10/2022</t>
  </si>
  <si>
    <t>30/10/2022</t>
  </si>
  <si>
    <t>31/10/2022</t>
  </si>
  <si>
    <t>01/11/2022</t>
  </si>
  <si>
    <t>02/11/2022</t>
  </si>
  <si>
    <t>03/11/2022</t>
  </si>
  <si>
    <t>04/11/2022</t>
  </si>
  <si>
    <t>05/11/2022</t>
  </si>
  <si>
    <t>06/11/2022</t>
  </si>
  <si>
    <t>07/11/2022</t>
  </si>
  <si>
    <t>08/11/2022</t>
  </si>
  <si>
    <t>09/11/2022</t>
  </si>
  <si>
    <t>10/11/2022</t>
  </si>
  <si>
    <t>11/11/2022</t>
  </si>
  <si>
    <t>12/11/2022</t>
  </si>
  <si>
    <t>13/11/2022</t>
  </si>
  <si>
    <t>14/11/2022</t>
  </si>
  <si>
    <t>15/11/2022</t>
  </si>
  <si>
    <t>16/11/2022</t>
  </si>
  <si>
    <t>17/11/2022</t>
  </si>
  <si>
    <t>18/11/2022</t>
  </si>
  <si>
    <t>19/11/2022</t>
  </si>
  <si>
    <t>20/11/2022</t>
  </si>
  <si>
    <t>21/11/2022</t>
  </si>
  <si>
    <t>22/11/2022</t>
  </si>
  <si>
    <t>23/11/2022</t>
  </si>
  <si>
    <t>24/11/2022</t>
  </si>
  <si>
    <t>25/11/2022</t>
  </si>
  <si>
    <t>26/11/2022</t>
  </si>
  <si>
    <t>27/11/2022</t>
  </si>
  <si>
    <t>28/11/2022</t>
  </si>
  <si>
    <t>29/11/2022</t>
  </si>
  <si>
    <t>30/11/2022</t>
  </si>
  <si>
    <t>13/12/2022</t>
  </si>
  <si>
    <t>14/12/2022</t>
  </si>
  <si>
    <t>15/12/2022</t>
  </si>
  <si>
    <t>16/12/2022</t>
  </si>
  <si>
    <t>17/12/2022</t>
  </si>
  <si>
    <t>18/12/2022</t>
  </si>
  <si>
    <t>19/12/2022</t>
  </si>
  <si>
    <t>20/12/2022</t>
  </si>
  <si>
    <t>21/12/2022</t>
  </si>
  <si>
    <t>22/12/2022</t>
  </si>
  <si>
    <t>23/12/2022</t>
  </si>
  <si>
    <t>24/12/2022</t>
  </si>
  <si>
    <t>25/12/2022</t>
  </si>
  <si>
    <t>26/12/2022</t>
  </si>
  <si>
    <t>27/12/2022</t>
  </si>
  <si>
    <t>28/12/2022</t>
  </si>
  <si>
    <t>29/12/2022</t>
  </si>
  <si>
    <t>30/12/2022</t>
  </si>
  <si>
    <t>31/12/2022</t>
  </si>
  <si>
    <t>01/01/2023</t>
  </si>
  <si>
    <t>02/01/2023</t>
  </si>
  <si>
    <t>03/01/2023</t>
  </si>
  <si>
    <t>04/01/2023</t>
  </si>
  <si>
    <t>05/01/2023</t>
  </si>
  <si>
    <t>06/01/2023</t>
  </si>
  <si>
    <t>07/01/2023</t>
  </si>
  <si>
    <t>08/01/2023</t>
  </si>
  <si>
    <t>09/01/2023</t>
  </si>
  <si>
    <t>10/01/2023</t>
  </si>
  <si>
    <t>11/01/2023</t>
  </si>
  <si>
    <t>12/01/2023</t>
  </si>
  <si>
    <t>13/01/2023</t>
  </si>
  <si>
    <t>14/01/2023</t>
  </si>
  <si>
    <t>15/01/2023</t>
  </si>
  <si>
    <t>16/01/2023</t>
  </si>
  <si>
    <t>17/01/2023</t>
  </si>
  <si>
    <t>18/01/2023</t>
  </si>
  <si>
    <t>19/01/2023</t>
  </si>
  <si>
    <t>20/01/2023</t>
  </si>
  <si>
    <t>21/01/2023</t>
  </si>
  <si>
    <t>22/01/2023</t>
  </si>
  <si>
    <t>23/01/2023</t>
  </si>
  <si>
    <t>24/01/2023</t>
  </si>
  <si>
    <t>25/01/2023</t>
  </si>
  <si>
    <t>26/01/2023</t>
  </si>
  <si>
    <t>27/01/2023</t>
  </si>
  <si>
    <t>28/01/2023</t>
  </si>
  <si>
    <t>29/01/2023</t>
  </si>
  <si>
    <t>30/01/2023</t>
  </si>
  <si>
    <t>31/01/2023</t>
  </si>
  <si>
    <t>01/02/2023</t>
  </si>
  <si>
    <t>02/02/2023</t>
  </si>
  <si>
    <t>03/02/2023</t>
  </si>
  <si>
    <t>04/02/2023</t>
  </si>
  <si>
    <t>05/02/2023</t>
  </si>
  <si>
    <t>06/02/2023</t>
  </si>
  <si>
    <t>07/02/2023</t>
  </si>
  <si>
    <t>08/02/2023</t>
  </si>
  <si>
    <t>09/02/2023</t>
  </si>
  <si>
    <t>10/02/2023</t>
  </si>
  <si>
    <t>11/02/2023</t>
  </si>
  <si>
    <t>12/02/2023</t>
  </si>
  <si>
    <t>13/02/2023</t>
  </si>
  <si>
    <t>14/02/2023</t>
  </si>
  <si>
    <t>15/02/2023</t>
  </si>
  <si>
    <t>16/02/2023</t>
  </si>
  <si>
    <t>17/02/2023</t>
  </si>
  <si>
    <t>18/02/2023</t>
  </si>
  <si>
    <t>19/02/2023</t>
  </si>
  <si>
    <t>20/02/2023</t>
  </si>
  <si>
    <t>21/02/2023</t>
  </si>
  <si>
    <t>22/02/2023</t>
  </si>
  <si>
    <t>23/02/2023</t>
  </si>
  <si>
    <t>24/02/2023</t>
  </si>
  <si>
    <t>25/02/2023</t>
  </si>
  <si>
    <t>26/02/2023</t>
  </si>
  <si>
    <t>27/02/2023</t>
  </si>
  <si>
    <t>28/02/2023</t>
  </si>
  <si>
    <t>01/03/2023</t>
  </si>
  <si>
    <t>02/03/2023</t>
  </si>
  <si>
    <t>03/03/2023</t>
  </si>
  <si>
    <t>04/03/2023</t>
  </si>
  <si>
    <t>05/03/2023</t>
  </si>
  <si>
    <t>06/03/2023</t>
  </si>
  <si>
    <t>07/03/2023</t>
  </si>
  <si>
    <t>08/03/2023</t>
  </si>
  <si>
    <t>09/03/2023</t>
  </si>
  <si>
    <t>10/03/2023</t>
  </si>
  <si>
    <t>11/03/2023</t>
  </si>
  <si>
    <t>12/03/2023</t>
  </si>
  <si>
    <t>13/03/2023</t>
  </si>
  <si>
    <t>14/03/2023</t>
  </si>
  <si>
    <t>15/03/2023</t>
  </si>
  <si>
    <t>16/03/2023</t>
  </si>
  <si>
    <t>17/03/2023</t>
  </si>
  <si>
    <t>18/03/2023</t>
  </si>
  <si>
    <t>19/03/2023</t>
  </si>
  <si>
    <t>20/03/2023</t>
  </si>
  <si>
    <t>21/03/2023</t>
  </si>
  <si>
    <t>22/03/2023</t>
  </si>
  <si>
    <t>23/03/2023</t>
  </si>
  <si>
    <t>24/03/2023</t>
  </si>
  <si>
    <t>25/03/2023</t>
  </si>
  <si>
    <t>26/03/2023</t>
  </si>
  <si>
    <t>27/03/2023</t>
  </si>
  <si>
    <t>28/03/2023</t>
  </si>
  <si>
    <t>29/03/2023</t>
  </si>
  <si>
    <t>30/03/2023</t>
  </si>
  <si>
    <t>31/03/2023</t>
  </si>
  <si>
    <t>01/04/2023</t>
  </si>
  <si>
    <t>02/04/2023</t>
  </si>
  <si>
    <t>03/04/2023</t>
  </si>
  <si>
    <t>04/04/2023</t>
  </si>
  <si>
    <t>05/04/2023</t>
  </si>
  <si>
    <t>06/04/2023</t>
  </si>
  <si>
    <t>07/04/2023</t>
  </si>
  <si>
    <t>08/04/2023</t>
  </si>
  <si>
    <t>09/04/2023</t>
  </si>
  <si>
    <t>10/04/2023</t>
  </si>
  <si>
    <t>11/04/2023</t>
  </si>
  <si>
    <t>12/04/2023</t>
  </si>
  <si>
    <t>13/04/2023</t>
  </si>
  <si>
    <t>14/04/2023</t>
  </si>
  <si>
    <t>15/04/2023</t>
  </si>
  <si>
    <t>16/04/2023</t>
  </si>
  <si>
    <t>17/04/2023</t>
  </si>
  <si>
    <t>18/04/2023</t>
  </si>
  <si>
    <t>19/04/2023</t>
  </si>
  <si>
    <t>20/04/2023</t>
  </si>
  <si>
    <t>21/04/2023</t>
  </si>
  <si>
    <t>22/04/2023</t>
  </si>
  <si>
    <t>23/04/2023</t>
  </si>
  <si>
    <t>24/04/2023</t>
  </si>
  <si>
    <t>25/04/2023</t>
  </si>
  <si>
    <t>26/04/2023</t>
  </si>
  <si>
    <t>27/04/2023</t>
  </si>
  <si>
    <t>28/04/2023</t>
  </si>
  <si>
    <t>29/04/2023</t>
  </si>
  <si>
    <t>30/04/2023</t>
  </si>
  <si>
    <t>01/05/2023</t>
  </si>
  <si>
    <t>02/05/2023</t>
  </si>
  <si>
    <t>03/05/2023</t>
  </si>
  <si>
    <t>04/05/2023</t>
  </si>
  <si>
    <t>05/05/2023</t>
  </si>
  <si>
    <t>06/05/2023</t>
  </si>
  <si>
    <t>07/05/2023</t>
  </si>
  <si>
    <t>08/05/2023</t>
  </si>
  <si>
    <t>09/05/2023</t>
  </si>
  <si>
    <t>10/05/2023</t>
  </si>
  <si>
    <t>11/05/2023</t>
  </si>
  <si>
    <t>12/05/2023</t>
  </si>
  <si>
    <t>13/05/2023</t>
  </si>
  <si>
    <t>14/05/2023</t>
  </si>
  <si>
    <t>15/05/2023</t>
  </si>
  <si>
    <t>16/05/2023</t>
  </si>
  <si>
    <t>17/05/2023</t>
  </si>
  <si>
    <t>18/05/2023</t>
  </si>
  <si>
    <t>19/05/2023</t>
  </si>
  <si>
    <t>20/05/2023</t>
  </si>
  <si>
    <t>21/05/2023</t>
  </si>
  <si>
    <t>22/05/2023</t>
  </si>
  <si>
    <t>23/05/2023</t>
  </si>
  <si>
    <t>24/05/2023</t>
  </si>
  <si>
    <t>25/05/2023</t>
  </si>
  <si>
    <t>26/05/2023</t>
  </si>
  <si>
    <t>27/05/2023</t>
  </si>
  <si>
    <t>28/05/2023</t>
  </si>
  <si>
    <t>29/05/2023</t>
  </si>
  <si>
    <t>30/05/2023</t>
  </si>
  <si>
    <t>31/05/2023</t>
  </si>
  <si>
    <t>01/06/2023</t>
  </si>
  <si>
    <t>02/06/2023</t>
  </si>
  <si>
    <t>03/06/2023</t>
  </si>
  <si>
    <t>04/06/2023</t>
  </si>
  <si>
    <t>05/06/2023</t>
  </si>
  <si>
    <t>06/06/2023</t>
  </si>
  <si>
    <t>07/06/2023</t>
  </si>
  <si>
    <t>08/06/2023</t>
  </si>
  <si>
    <t>09/06/2023</t>
  </si>
  <si>
    <t>10/06/2023</t>
  </si>
  <si>
    <t>11/06/2023</t>
  </si>
  <si>
    <t>12/06/2023</t>
  </si>
  <si>
    <t>13/06/2023</t>
  </si>
  <si>
    <t>14/06/2023</t>
  </si>
  <si>
    <t>15/06/2023</t>
  </si>
  <si>
    <t>16/06/2023</t>
  </si>
  <si>
    <t>17/06/2023</t>
  </si>
  <si>
    <t>18/06/2023</t>
  </si>
  <si>
    <t>19/06/2023</t>
  </si>
  <si>
    <t>20/06/2023</t>
  </si>
  <si>
    <t>21/06/2023</t>
  </si>
  <si>
    <t>22/06/2023</t>
  </si>
  <si>
    <t>23/06/2023</t>
  </si>
  <si>
    <t>24/06/2023</t>
  </si>
  <si>
    <t>25/06/2023</t>
  </si>
  <si>
    <t>26/06/2023</t>
  </si>
  <si>
    <t>27/06/2023</t>
  </si>
  <si>
    <t>28/06/2023</t>
  </si>
  <si>
    <t>29/06/2023</t>
  </si>
  <si>
    <t>30/06/2023</t>
  </si>
  <si>
    <t>01/07/2023</t>
  </si>
  <si>
    <t>02/07/2023</t>
  </si>
  <si>
    <t>03/07/2023</t>
  </si>
  <si>
    <t>04/07/2023</t>
  </si>
  <si>
    <t>05/07/2023</t>
  </si>
  <si>
    <t>06/07/2023</t>
  </si>
  <si>
    <t>07/07/2023</t>
  </si>
  <si>
    <t>08/07/2023</t>
  </si>
  <si>
    <t>09/07/2023</t>
  </si>
  <si>
    <t>10/07/2023</t>
  </si>
  <si>
    <t>11/07/2023</t>
  </si>
  <si>
    <t>12/07/2023</t>
  </si>
  <si>
    <t>13/07/2023</t>
  </si>
  <si>
    <t>14/07/2023</t>
  </si>
  <si>
    <t>15/07/2023</t>
  </si>
  <si>
    <t>16/07/2023</t>
  </si>
  <si>
    <t>17/07/2023</t>
  </si>
  <si>
    <t>18/07/2023</t>
  </si>
  <si>
    <t>19/07/2023</t>
  </si>
  <si>
    <t>20/07/2023</t>
  </si>
  <si>
    <t>21/07/2023</t>
  </si>
  <si>
    <t>22/07/2023</t>
  </si>
  <si>
    <t>23/07/2023</t>
  </si>
  <si>
    <t>24/07/2023</t>
  </si>
  <si>
    <t>25/07/2023</t>
  </si>
  <si>
    <t>26/07/2023</t>
  </si>
  <si>
    <t>27/07/2023</t>
  </si>
  <si>
    <t>28/07/2023</t>
  </si>
  <si>
    <t>29/07/2023</t>
  </si>
  <si>
    <t>30/07/2023</t>
  </si>
  <si>
    <t>31/07/2023</t>
  </si>
  <si>
    <t>01/08/2023</t>
  </si>
  <si>
    <t>02/08/2023</t>
  </si>
  <si>
    <t>03/08/2023</t>
  </si>
  <si>
    <t>04/08/2023</t>
  </si>
  <si>
    <t>05/08/2023</t>
  </si>
  <si>
    <t>06/08/2023</t>
  </si>
  <si>
    <t>07/08/2023</t>
  </si>
  <si>
    <t>08/08/2023</t>
  </si>
  <si>
    <t>09/08/2023</t>
  </si>
  <si>
    <t>10/08/2023</t>
  </si>
  <si>
    <t>11/08/2023</t>
  </si>
  <si>
    <t>12/08/2023</t>
  </si>
  <si>
    <t>13/08/2023</t>
  </si>
  <si>
    <t>14/08/2023</t>
  </si>
  <si>
    <t>15/08/2023</t>
  </si>
  <si>
    <t>16/08/2023</t>
  </si>
  <si>
    <t>17/08/2023</t>
  </si>
  <si>
    <t>18/08/2023</t>
  </si>
  <si>
    <t>19/08/2023</t>
  </si>
  <si>
    <t>20/08/2023</t>
  </si>
  <si>
    <t>21/08/2023</t>
  </si>
  <si>
    <t>22/08/2023</t>
  </si>
  <si>
    <t>23/08/2023</t>
  </si>
  <si>
    <t>24/08/2023</t>
  </si>
  <si>
    <t>25/08/2023</t>
  </si>
  <si>
    <t>26/08/2023</t>
  </si>
  <si>
    <t>27/08/2023</t>
  </si>
  <si>
    <t>28/08/2023</t>
  </si>
  <si>
    <t>29/08/2023</t>
  </si>
  <si>
    <t>30/08/2023</t>
  </si>
  <si>
    <t>31/08/2023</t>
  </si>
  <si>
    <t>01/09/2023</t>
  </si>
  <si>
    <t>02/09/2023</t>
  </si>
  <si>
    <t>03/09/2023</t>
  </si>
  <si>
    <t>04/09/2023</t>
  </si>
  <si>
    <t>05/09/2023</t>
  </si>
  <si>
    <t>06/09/2023</t>
  </si>
  <si>
    <t>07/09/2023</t>
  </si>
  <si>
    <t>08/09/2023</t>
  </si>
  <si>
    <t>09/09/2023</t>
  </si>
  <si>
    <t>10/09/2023</t>
  </si>
  <si>
    <t>11/09/2023</t>
  </si>
  <si>
    <t>12/09/2023</t>
  </si>
  <si>
    <t>13/09/2023</t>
  </si>
  <si>
    <t>14/09/2023</t>
  </si>
  <si>
    <t>15/09/2023</t>
  </si>
  <si>
    <t>16/09/2023</t>
  </si>
  <si>
    <t>17/09/2023</t>
  </si>
  <si>
    <t>18/09/2023</t>
  </si>
  <si>
    <t>19/09/2023</t>
  </si>
  <si>
    <t>20/09/2023</t>
  </si>
  <si>
    <t>21/09/2023</t>
  </si>
  <si>
    <t>22/09/2023</t>
  </si>
  <si>
    <t>23/09/2023</t>
  </si>
  <si>
    <t>24/09/2023</t>
  </si>
  <si>
    <t>25/09/2023</t>
  </si>
  <si>
    <t>26/09/2023</t>
  </si>
  <si>
    <t>27/09/2023</t>
  </si>
  <si>
    <t>28/09/2023</t>
  </si>
  <si>
    <t>29/09/2023</t>
  </si>
  <si>
    <t>30/09/2023</t>
  </si>
  <si>
    <t>01/10/2023</t>
  </si>
  <si>
    <t>02/10/2023</t>
  </si>
  <si>
    <t>03/10/2023</t>
  </si>
  <si>
    <t>04/10/2023</t>
  </si>
  <si>
    <t>05/10/2023</t>
  </si>
  <si>
    <t>06/10/2023</t>
  </si>
  <si>
    <t>07/10/2023</t>
  </si>
  <si>
    <t>08/10/2023</t>
  </si>
  <si>
    <t>09/10/2023</t>
  </si>
  <si>
    <t>10/10/2023</t>
  </si>
  <si>
    <t>11/10/2023</t>
  </si>
  <si>
    <t>12/10/2023</t>
  </si>
  <si>
    <t>13/10/2023</t>
  </si>
  <si>
    <t>14/10/2023</t>
  </si>
  <si>
    <t>15/10/2023</t>
  </si>
  <si>
    <t>16/10/2023</t>
  </si>
  <si>
    <t>17/10/2023</t>
  </si>
  <si>
    <t>18/10/2023</t>
  </si>
  <si>
    <t>19/10/2023</t>
  </si>
  <si>
    <t>20/10/2023</t>
  </si>
  <si>
    <t>21/10/2023</t>
  </si>
  <si>
    <t>22/10/2023</t>
  </si>
  <si>
    <t>23/10/2023</t>
  </si>
  <si>
    <t>24/10/2023</t>
  </si>
  <si>
    <t>25/10/2023</t>
  </si>
  <si>
    <t>26/10/2023</t>
  </si>
  <si>
    <t>27/10/2023</t>
  </si>
  <si>
    <t>28/10/2023</t>
  </si>
  <si>
    <t>29/10/2023</t>
  </si>
  <si>
    <t>30/10/2023</t>
  </si>
  <si>
    <t>31/10/2023</t>
  </si>
  <si>
    <t>01/11/2023</t>
  </si>
  <si>
    <t>02/11/2023</t>
  </si>
  <si>
    <t>03/11/2023</t>
  </si>
  <si>
    <t>04/11/2023</t>
  </si>
  <si>
    <t>05/11/2023</t>
  </si>
  <si>
    <t>06/11/2023</t>
  </si>
  <si>
    <t>07/11/2023</t>
  </si>
  <si>
    <t>08/11/2023</t>
  </si>
  <si>
    <t>09/11/2023</t>
  </si>
  <si>
    <t>10/11/2023</t>
  </si>
  <si>
    <t>11/11/2023</t>
  </si>
  <si>
    <t>12/11/2023</t>
  </si>
  <si>
    <t>13/11/2023</t>
  </si>
  <si>
    <t>14/11/2023</t>
  </si>
  <si>
    <t>15/11/2023</t>
  </si>
  <si>
    <t>16/11/2023</t>
  </si>
  <si>
    <t>17/11/2023</t>
  </si>
  <si>
    <t>18/11/2023</t>
  </si>
  <si>
    <t>19/11/2023</t>
  </si>
  <si>
    <t>20/11/2023</t>
  </si>
  <si>
    <t>21/11/2023</t>
  </si>
  <si>
    <t>22/11/2023</t>
  </si>
  <si>
    <t>23/11/2023</t>
  </si>
  <si>
    <t>24/11/2023</t>
  </si>
  <si>
    <t>25/11/2023</t>
  </si>
  <si>
    <t>26/11/2023</t>
  </si>
  <si>
    <t>27/11/2023</t>
  </si>
  <si>
    <t>28/11/2023</t>
  </si>
  <si>
    <t>29/11/2023</t>
  </si>
  <si>
    <t>30/11/2023</t>
  </si>
  <si>
    <t>01/12/2023</t>
  </si>
  <si>
    <t>02/12/2023</t>
  </si>
  <si>
    <t>03/12/2023</t>
  </si>
  <si>
    <t>04/12/2023</t>
  </si>
  <si>
    <t>05/12/2023</t>
  </si>
  <si>
    <t>06/12/2023</t>
  </si>
  <si>
    <t>07/12/2023</t>
  </si>
  <si>
    <t>08/12/2023</t>
  </si>
  <si>
    <t>09/12/2023</t>
  </si>
  <si>
    <t>10/12/2023</t>
  </si>
  <si>
    <t>11/12/2023</t>
  </si>
  <si>
    <t>12/12/2023</t>
  </si>
  <si>
    <t>13/12/2023</t>
  </si>
  <si>
    <t>14/12/2023</t>
  </si>
  <si>
    <t>15/12/2023</t>
  </si>
  <si>
    <t>16/12/2023</t>
  </si>
  <si>
    <t>17/12/2023</t>
  </si>
  <si>
    <t>18/12/2023</t>
  </si>
  <si>
    <t>19/12/2023</t>
  </si>
  <si>
    <t>20/12/2023</t>
  </si>
  <si>
    <t>21/12/2023</t>
  </si>
  <si>
    <t>22/12/2023</t>
  </si>
  <si>
    <t>23/12/2023</t>
  </si>
  <si>
    <t>24/12/2023</t>
  </si>
  <si>
    <t>25/12/2023</t>
  </si>
  <si>
    <t>26/12/2023</t>
  </si>
  <si>
    <t>27/12/2023</t>
  </si>
  <si>
    <t>28/12/2023</t>
  </si>
  <si>
    <t>29/12/2023</t>
  </si>
  <si>
    <t>30/12/2023</t>
  </si>
  <si>
    <t>31/12/2023</t>
  </si>
  <si>
    <t>01/01/2024</t>
  </si>
  <si>
    <t>02/01/2024</t>
  </si>
  <si>
    <t>03/01/2024</t>
  </si>
  <si>
    <t>04/01/2024</t>
  </si>
  <si>
    <t>05/01/2024</t>
  </si>
  <si>
    <t>06/01/2024</t>
  </si>
  <si>
    <t>07/01/2024</t>
  </si>
  <si>
    <t>08/01/2024</t>
  </si>
  <si>
    <t>09/01/2024</t>
  </si>
  <si>
    <t>10/01/2024</t>
  </si>
  <si>
    <t>11/01/2024</t>
  </si>
  <si>
    <t>12/01/2024</t>
  </si>
  <si>
    <t>13/01/2024</t>
  </si>
  <si>
    <t>14/01/2024</t>
  </si>
  <si>
    <t>15/01/2024</t>
  </si>
  <si>
    <t>16/01/2024</t>
  </si>
  <si>
    <t>17/01/2024</t>
  </si>
  <si>
    <t>18/01/2024</t>
  </si>
  <si>
    <t>19/01/2024</t>
  </si>
  <si>
    <t>20/01/2024</t>
  </si>
  <si>
    <t>21/01/2024</t>
  </si>
  <si>
    <t>22/01/2024</t>
  </si>
  <si>
    <t>23/01/2024</t>
  </si>
  <si>
    <t>24/01/2024</t>
  </si>
  <si>
    <t>25/01/2024</t>
  </si>
  <si>
    <t>26/01/2024</t>
  </si>
  <si>
    <t>27/01/2024</t>
  </si>
  <si>
    <t>28/01/2024</t>
  </si>
  <si>
    <t>29/01/2024</t>
  </si>
  <si>
    <t>30/01/2024</t>
  </si>
  <si>
    <t>31/01/2024</t>
  </si>
  <si>
    <t>01/02/2024</t>
  </si>
  <si>
    <t>02/02/2024</t>
  </si>
  <si>
    <t>03/02/2024</t>
  </si>
  <si>
    <t>04/02/2024</t>
  </si>
  <si>
    <t>05/02/2024</t>
  </si>
  <si>
    <t>06/02/2024</t>
  </si>
  <si>
    <t>07/02/2024</t>
  </si>
  <si>
    <t>08/02/2024</t>
  </si>
  <si>
    <t>09/02/2024</t>
  </si>
  <si>
    <t>10/02/2024</t>
  </si>
  <si>
    <t>11/02/2024</t>
  </si>
  <si>
    <t>12/02/2024</t>
  </si>
  <si>
    <t>13/02/2024</t>
  </si>
  <si>
    <t>14/02/2024</t>
  </si>
  <si>
    <t>15/02/2024</t>
  </si>
  <si>
    <t>16/02/2024</t>
  </si>
  <si>
    <t>17/02/2024</t>
  </si>
  <si>
    <t>18/02/2024</t>
  </si>
  <si>
    <t>19/02/2024</t>
  </si>
  <si>
    <t>20/02/2024</t>
  </si>
  <si>
    <t>21/02/2024</t>
  </si>
  <si>
    <t>22/02/2024</t>
  </si>
  <si>
    <t>23/02/2024</t>
  </si>
  <si>
    <t>24/02/2024</t>
  </si>
  <si>
    <t>25/02/2024</t>
  </si>
  <si>
    <t>26/02/2024</t>
  </si>
  <si>
    <t>27/02/2024</t>
  </si>
  <si>
    <t>28/02/2024</t>
  </si>
  <si>
    <t>29/02/2024</t>
  </si>
  <si>
    <t>01/03/2024</t>
  </si>
  <si>
    <t>02/03/2024</t>
  </si>
  <si>
    <t>03/03/2024</t>
  </si>
  <si>
    <t>04/03/2024</t>
  </si>
  <si>
    <t>05/03/2024</t>
  </si>
  <si>
    <t>06/03/2024</t>
  </si>
  <si>
    <t>07/03/2024</t>
  </si>
  <si>
    <t>08/03/2024</t>
  </si>
  <si>
    <t>09/03/2024</t>
  </si>
  <si>
    <t>10/03/2024</t>
  </si>
  <si>
    <t>11/03/2024</t>
  </si>
  <si>
    <t>12/03/2024</t>
  </si>
  <si>
    <t>13/03/2024</t>
  </si>
  <si>
    <t>14/03/2024</t>
  </si>
  <si>
    <t>15/03/2024</t>
  </si>
  <si>
    <t>16/03/2024</t>
  </si>
  <si>
    <t>17/03/2024</t>
  </si>
  <si>
    <t>18/03/2024</t>
  </si>
  <si>
    <t>19/03/2024</t>
  </si>
  <si>
    <t>20/03/2024</t>
  </si>
  <si>
    <t>21/03/2024</t>
  </si>
  <si>
    <t>22/03/2024</t>
  </si>
  <si>
    <t>23/03/2024</t>
  </si>
  <si>
    <t>24/03/2024</t>
  </si>
  <si>
    <t>25/03/2024</t>
  </si>
  <si>
    <t>26/03/2024</t>
  </si>
  <si>
    <t>27/03/2024</t>
  </si>
  <si>
    <t>28/03/2024</t>
  </si>
  <si>
    <t>29/03/2024</t>
  </si>
  <si>
    <t>30/03/2024</t>
  </si>
  <si>
    <t>31/03/2024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</si>
</sst>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"/>
    <numFmt numFmtId="166" formatCode="0.0000"/>
  </numFmts>
  <fonts count="11" x14ac:knownFonts="1">
    <font>
      <sz val="10"/>
      <name val="Arial"/>
    </font>
    <font>
      <sz val="8"/>
      <name val="Arial"/>
      <family val="2"/>
    </font>
    <font>
      <b/>
      <sz val="12"/>
      <name val="Times New Roman"/>
      <family val="1"/>
    </font>
    <font>
      <b/>
      <vertAlign val="superscript"/>
      <sz val="12"/>
      <name val="Times New Roman"/>
      <family val="1"/>
    </font>
    <font>
      <sz val="12"/>
      <name val="Times New Roman"/>
      <family val="1"/>
    </font>
    <font>
      <b/>
      <vertAlign val="subscript"/>
      <sz val="12"/>
      <name val="Times New Roman"/>
      <family val="1"/>
    </font>
    <font>
      <b/>
      <sz val="14"/>
      <name val="Times New Roman"/>
      <family val="1"/>
    </font>
    <font>
      <b/>
      <sz val="12"/>
      <color indexed="9"/>
      <name val="Times New Roman"/>
      <family val="1"/>
    </font>
    <font>
      <sz val="12"/>
      <color indexed="9"/>
      <name val="Times New Roman"/>
      <family val="1"/>
    </font>
    <font>
      <b/>
      <sz val="10"/>
      <name val="Arial"/>
      <family val="2"/>
    </font>
    <font>
      <b/>
      <sz val="10"/>
      <color indexed="18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9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23"/>
      </top>
      <bottom/>
      <diagonal/>
    </border>
    <border>
      <left/>
      <right/>
      <top/>
      <bottom style="medium">
        <color indexed="23"/>
      </bottom>
      <diagonal/>
    </border>
    <border>
      <left/>
      <right/>
      <top style="thin">
        <color indexed="23"/>
      </top>
      <bottom/>
      <diagonal/>
    </border>
    <border>
      <left/>
      <right/>
      <top style="thin">
        <color indexed="23"/>
      </top>
      <bottom style="medium">
        <color indexed="23"/>
      </bottom>
      <diagonal/>
    </border>
  </borders>
  <cellStyleXfs count="1">
    <xf numFmtId="0" fontId="0" fillId="0" borderId="0"/>
  </cellStyleXfs>
  <cellXfs count="71">
    <xf numFmtId="0" fontId="0" fillId="0" borderId="0" xfId="0"/>
    <xf numFmtId="0" fontId="4" fillId="2" borderId="0" xfId="0" applyFont="1" applyFill="1" applyAlignment="1">
      <alignment horizontal="center"/>
    </xf>
    <xf numFmtId="164" fontId="4" fillId="2" borderId="0" xfId="0" applyNumberFormat="1" applyFont="1" applyFill="1" applyAlignment="1">
      <alignment horizontal="center"/>
    </xf>
    <xf numFmtId="0" fontId="2" fillId="2" borderId="0" xfId="0" applyFont="1" applyFill="1" applyAlignment="1">
      <alignment horizontal="center" vertical="justify"/>
    </xf>
    <xf numFmtId="0" fontId="4" fillId="3" borderId="1" xfId="0" applyFont="1" applyFill="1" applyBorder="1" applyAlignment="1">
      <alignment horizontal="center"/>
    </xf>
    <xf numFmtId="14" fontId="4" fillId="3" borderId="1" xfId="0" applyNumberFormat="1" applyFont="1" applyFill="1" applyBorder="1" applyAlignment="1">
      <alignment horizontal="center"/>
    </xf>
    <xf numFmtId="1" fontId="4" fillId="3" borderId="1" xfId="0" applyNumberFormat="1" applyFont="1" applyFill="1" applyBorder="1" applyAlignment="1">
      <alignment horizontal="center"/>
    </xf>
    <xf numFmtId="1" fontId="4" fillId="3" borderId="2" xfId="0" applyNumberFormat="1" applyFont="1" applyFill="1" applyBorder="1" applyAlignment="1">
      <alignment horizontal="center"/>
    </xf>
    <xf numFmtId="0" fontId="4" fillId="3" borderId="2" xfId="0" applyFont="1" applyFill="1" applyBorder="1" applyAlignment="1">
      <alignment horizontal="center"/>
    </xf>
    <xf numFmtId="164" fontId="2" fillId="3" borderId="3" xfId="0" applyNumberFormat="1" applyFont="1" applyFill="1" applyBorder="1" applyAlignment="1">
      <alignment horizontal="left"/>
    </xf>
    <xf numFmtId="164" fontId="4" fillId="3" borderId="4" xfId="0" applyNumberFormat="1" applyFont="1" applyFill="1" applyBorder="1" applyAlignment="1">
      <alignment horizontal="center"/>
    </xf>
    <xf numFmtId="1" fontId="4" fillId="3" borderId="4" xfId="0" applyNumberFormat="1" applyFont="1" applyFill="1" applyBorder="1" applyAlignment="1">
      <alignment horizontal="center"/>
    </xf>
    <xf numFmtId="0" fontId="4" fillId="4" borderId="1" xfId="0" applyFont="1" applyFill="1" applyBorder="1" applyAlignment="1">
      <alignment horizontal="center"/>
    </xf>
    <xf numFmtId="0" fontId="4" fillId="4" borderId="2" xfId="0" applyFont="1" applyFill="1" applyBorder="1" applyAlignment="1">
      <alignment horizontal="center"/>
    </xf>
    <xf numFmtId="164" fontId="4" fillId="4" borderId="1" xfId="0" applyNumberFormat="1" applyFont="1" applyFill="1" applyBorder="1" applyAlignment="1">
      <alignment horizontal="center"/>
    </xf>
    <xf numFmtId="164" fontId="4" fillId="4" borderId="2" xfId="0" applyNumberFormat="1" applyFont="1" applyFill="1" applyBorder="1" applyAlignment="1">
      <alignment horizontal="center"/>
    </xf>
    <xf numFmtId="165" fontId="4" fillId="4" borderId="1" xfId="0" applyNumberFormat="1" applyFont="1" applyFill="1" applyBorder="1" applyAlignment="1">
      <alignment horizontal="center"/>
    </xf>
    <xf numFmtId="165" fontId="4" fillId="4" borderId="2" xfId="0" applyNumberFormat="1" applyFont="1" applyFill="1" applyBorder="1" applyAlignment="1">
      <alignment horizontal="center"/>
    </xf>
    <xf numFmtId="164" fontId="4" fillId="4" borderId="5" xfId="0" applyNumberFormat="1" applyFont="1" applyFill="1" applyBorder="1" applyAlignment="1">
      <alignment horizontal="center"/>
    </xf>
    <xf numFmtId="164" fontId="2" fillId="3" borderId="6" xfId="0" applyNumberFormat="1" applyFont="1" applyFill="1" applyBorder="1" applyAlignment="1">
      <alignment horizontal="left"/>
    </xf>
    <xf numFmtId="164" fontId="4" fillId="3" borderId="0" xfId="0" applyNumberFormat="1" applyFont="1" applyFill="1" applyAlignment="1">
      <alignment horizontal="center"/>
    </xf>
    <xf numFmtId="1" fontId="4" fillId="3" borderId="0" xfId="0" applyNumberFormat="1" applyFont="1" applyFill="1" applyAlignment="1">
      <alignment horizontal="center"/>
    </xf>
    <xf numFmtId="0" fontId="4" fillId="3" borderId="0" xfId="0" applyFont="1" applyFill="1" applyAlignment="1">
      <alignment horizontal="center"/>
    </xf>
    <xf numFmtId="0" fontId="4" fillId="3" borderId="5" xfId="0" applyFont="1" applyFill="1" applyBorder="1" applyAlignment="1">
      <alignment horizontal="center"/>
    </xf>
    <xf numFmtId="0" fontId="2" fillId="3" borderId="6" xfId="0" applyFont="1" applyFill="1" applyBorder="1" applyAlignment="1">
      <alignment horizontal="center"/>
    </xf>
    <xf numFmtId="0" fontId="2" fillId="3" borderId="0" xfId="0" applyFont="1" applyFill="1" applyAlignment="1">
      <alignment horizontal="left"/>
    </xf>
    <xf numFmtId="0" fontId="2" fillId="3" borderId="5" xfId="0" applyFont="1" applyFill="1" applyBorder="1" applyAlignment="1">
      <alignment horizontal="right"/>
    </xf>
    <xf numFmtId="164" fontId="4" fillId="3" borderId="5" xfId="0" applyNumberFormat="1" applyFont="1" applyFill="1" applyBorder="1" applyAlignment="1">
      <alignment horizontal="center"/>
    </xf>
    <xf numFmtId="164" fontId="4" fillId="3" borderId="9" xfId="0" applyNumberFormat="1" applyFont="1" applyFill="1" applyBorder="1" applyAlignment="1">
      <alignment horizontal="center"/>
    </xf>
    <xf numFmtId="164" fontId="2" fillId="3" borderId="4" xfId="0" applyNumberFormat="1" applyFont="1" applyFill="1" applyBorder="1" applyAlignment="1">
      <alignment horizontal="left"/>
    </xf>
    <xf numFmtId="2" fontId="4" fillId="3" borderId="10" xfId="0" applyNumberFormat="1" applyFont="1" applyFill="1" applyBorder="1" applyAlignment="1">
      <alignment horizontal="center"/>
    </xf>
    <xf numFmtId="164" fontId="2" fillId="3" borderId="0" xfId="0" applyNumberFormat="1" applyFont="1" applyFill="1" applyAlignment="1">
      <alignment horizontal="left"/>
    </xf>
    <xf numFmtId="2" fontId="4" fillId="3" borderId="5" xfId="0" applyNumberFormat="1" applyFont="1" applyFill="1" applyBorder="1" applyAlignment="1">
      <alignment horizontal="center"/>
    </xf>
    <xf numFmtId="164" fontId="4" fillId="3" borderId="8" xfId="0" applyNumberFormat="1" applyFont="1" applyFill="1" applyBorder="1" applyAlignment="1">
      <alignment horizontal="center"/>
    </xf>
    <xf numFmtId="164" fontId="2" fillId="3" borderId="8" xfId="0" applyNumberFormat="1" applyFont="1" applyFill="1" applyBorder="1" applyAlignment="1">
      <alignment horizontal="left"/>
    </xf>
    <xf numFmtId="2" fontId="4" fillId="3" borderId="9" xfId="0" applyNumberFormat="1" applyFont="1" applyFill="1" applyBorder="1" applyAlignment="1">
      <alignment horizontal="center"/>
    </xf>
    <xf numFmtId="0" fontId="2" fillId="4" borderId="6" xfId="0" applyFont="1" applyFill="1" applyBorder="1" applyAlignment="1">
      <alignment horizontal="left"/>
    </xf>
    <xf numFmtId="2" fontId="4" fillId="4" borderId="5" xfId="0" applyNumberFormat="1" applyFont="1" applyFill="1" applyBorder="1" applyAlignment="1">
      <alignment horizontal="center"/>
    </xf>
    <xf numFmtId="0" fontId="2" fillId="4" borderId="7" xfId="0" applyFont="1" applyFill="1" applyBorder="1" applyAlignment="1">
      <alignment horizontal="left"/>
    </xf>
    <xf numFmtId="14" fontId="4" fillId="2" borderId="0" xfId="0" applyNumberFormat="1" applyFont="1" applyFill="1" applyAlignment="1">
      <alignment horizontal="center"/>
    </xf>
    <xf numFmtId="1" fontId="4" fillId="2" borderId="0" xfId="0" applyNumberFormat="1" applyFont="1" applyFill="1" applyAlignment="1">
      <alignment horizontal="center"/>
    </xf>
    <xf numFmtId="2" fontId="4" fillId="3" borderId="0" xfId="0" applyNumberFormat="1" applyFont="1" applyFill="1" applyAlignment="1">
      <alignment horizontal="center"/>
    </xf>
    <xf numFmtId="165" fontId="4" fillId="3" borderId="0" xfId="0" applyNumberFormat="1" applyFont="1" applyFill="1" applyAlignment="1">
      <alignment horizontal="center"/>
    </xf>
    <xf numFmtId="166" fontId="4" fillId="4" borderId="9" xfId="0" applyNumberFormat="1" applyFont="1" applyFill="1" applyBorder="1" applyAlignment="1">
      <alignment horizontal="center"/>
    </xf>
    <xf numFmtId="164" fontId="4" fillId="3" borderId="6" xfId="0" applyNumberFormat="1" applyFont="1" applyFill="1" applyBorder="1" applyAlignment="1">
      <alignment horizontal="center"/>
    </xf>
    <xf numFmtId="164" fontId="4" fillId="3" borderId="7" xfId="0" applyNumberFormat="1" applyFont="1" applyFill="1" applyBorder="1" applyAlignment="1">
      <alignment horizontal="center"/>
    </xf>
    <xf numFmtId="165" fontId="4" fillId="3" borderId="6" xfId="0" applyNumberFormat="1" applyFont="1" applyFill="1" applyBorder="1" applyAlignment="1">
      <alignment horizontal="center"/>
    </xf>
    <xf numFmtId="165" fontId="4" fillId="3" borderId="7" xfId="0" applyNumberFormat="1" applyFont="1" applyFill="1" applyBorder="1" applyAlignment="1">
      <alignment horizontal="center"/>
    </xf>
    <xf numFmtId="0" fontId="2" fillId="2" borderId="0" xfId="0" applyFont="1" applyFill="1" applyAlignment="1">
      <alignment horizontal="center" vertical="center" wrapText="1"/>
    </xf>
    <xf numFmtId="0" fontId="4" fillId="2" borderId="0" xfId="0" applyFont="1" applyFill="1" applyAlignment="1">
      <alignment horizontal="center" vertical="center"/>
    </xf>
    <xf numFmtId="0" fontId="2" fillId="4" borderId="11" xfId="0" applyFont="1" applyFill="1" applyBorder="1" applyAlignment="1">
      <alignment horizontal="center" vertical="justify"/>
    </xf>
    <xf numFmtId="0" fontId="2" fillId="4" borderId="2" xfId="0" applyFont="1" applyFill="1" applyBorder="1" applyAlignment="1">
      <alignment horizontal="center" vertical="justify"/>
    </xf>
    <xf numFmtId="0" fontId="6" fillId="2" borderId="0" xfId="0" applyFont="1" applyFill="1" applyAlignment="1">
      <alignment horizontal="left"/>
    </xf>
    <xf numFmtId="0" fontId="2" fillId="2" borderId="0" xfId="0" applyFont="1" applyFill="1" applyAlignment="1">
      <alignment horizontal="left"/>
    </xf>
    <xf numFmtId="0" fontId="2" fillId="3" borderId="11" xfId="0" applyFont="1" applyFill="1" applyBorder="1" applyAlignment="1">
      <alignment horizontal="center" vertical="justify"/>
    </xf>
    <xf numFmtId="0" fontId="2" fillId="3" borderId="2" xfId="0" applyFont="1" applyFill="1" applyBorder="1" applyAlignment="1">
      <alignment horizontal="center" vertical="justify"/>
    </xf>
    <xf numFmtId="0" fontId="7" fillId="5" borderId="12" xfId="0" applyFont="1" applyFill="1" applyBorder="1" applyAlignment="1">
      <alignment horizontal="center"/>
    </xf>
    <xf numFmtId="0" fontId="8" fillId="5" borderId="13" xfId="0" applyFont="1" applyFill="1" applyBorder="1" applyAlignment="1">
      <alignment horizontal="center"/>
    </xf>
    <xf numFmtId="0" fontId="2" fillId="2" borderId="0" xfId="0" applyFont="1" applyFill="1" applyAlignment="1">
      <alignment horizontal="center"/>
    </xf>
    <xf numFmtId="0" fontId="4" fillId="2" borderId="0" xfId="0" applyFont="1" applyFill="1" applyAlignment="1">
      <alignment horizontal="center"/>
    </xf>
    <xf numFmtId="0" fontId="9" fillId="0" borderId="0" xfId="0" applyFont="1"/>
    <xf numFmtId="0" fontId="0" fillId="0" borderId="16" xfId="0" applyFill="1" applyBorder="1" applyAlignment="1"/>
    <xf numFmtId="0" fontId="0" fillId="0" borderId="17" xfId="0" applyFill="1" applyBorder="1" applyAlignment="1"/>
    <xf numFmtId="0" fontId="10" fillId="0" borderId="14" xfId="0" applyFont="1" applyFill="1" applyBorder="1" applyAlignment="1">
      <alignment horizontal="center"/>
    </xf>
    <xf numFmtId="0" fontId="10" fillId="0" borderId="15" xfId="0" applyFont="1" applyFill="1" applyBorder="1" applyAlignment="1">
      <alignment horizontal="center"/>
    </xf>
    <xf numFmtId="166" fontId="0" fillId="0" borderId="17" xfId="0" applyNumberFormat="1" applyFill="1" applyBorder="1" applyAlignment="1"/>
    <xf numFmtId="165" fontId="0" fillId="0" borderId="16" xfId="0" applyNumberFormat="1" applyFill="1" applyBorder="1" applyAlignment="1"/>
    <xf numFmtId="2" fontId="0" fillId="0" borderId="16" xfId="0" applyNumberFormat="1" applyFill="1" applyBorder="1" applyAlignment="1"/>
    <xf numFmtId="164" fontId="0" fillId="0" borderId="16" xfId="0" applyNumberFormat="1" applyFill="1" applyBorder="1" applyAlignment="1"/>
    <xf numFmtId="164" fontId="0" fillId="0" borderId="17" xfId="0" applyNumberFormat="1" applyFill="1" applyBorder="1" applyAlignment="1"/>
    <xf numFmtId="164" fontId="4" fillId="3" borderId="1" xfId="0" applyNumberFormat="1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2265633629463653E-2"/>
          <c:y val="4.4057617797775277E-2"/>
          <c:w val="0.90081903053257584"/>
          <c:h val="0.71085958005249339"/>
        </c:manualLayout>
      </c:layout>
      <c:lineChart>
        <c:grouping val="standard"/>
        <c:varyColors val="0"/>
        <c:ser>
          <c:idx val="0"/>
          <c:order val="0"/>
          <c:tx>
            <c:strRef>
              <c:f>'HBV Modelo'!$N$29</c:f>
              <c:strCache>
                <c:ptCount val="1"/>
                <c:pt idx="0">
                  <c:v>Q (m3/s) Simulado</c:v>
                </c:pt>
              </c:strCache>
            </c:strRef>
          </c:tx>
          <c:marker>
            <c:symbol val="none"/>
          </c:marker>
          <c:val>
            <c:numRef>
              <c:f>'HBV Modelo'!$N$30:$N$2223</c:f>
              <c:numCache>
                <c:formatCode>0.000</c:formatCode>
                <c:ptCount val="2194"/>
                <c:pt idx="2">
                  <c:v>3.3944755720109834</c:v>
                </c:pt>
                <c:pt idx="3">
                  <c:v>3.3966791191838626</c:v>
                </c:pt>
                <c:pt idx="4">
                  <c:v>3.4611621598631852</c:v>
                </c:pt>
                <c:pt idx="5">
                  <c:v>4.175701791216345</c:v>
                </c:pt>
                <c:pt idx="6">
                  <c:v>7.7398877111825843</c:v>
                </c:pt>
                <c:pt idx="7">
                  <c:v>7.4039273040415248</c:v>
                </c:pt>
                <c:pt idx="8">
                  <c:v>13.879592112748174</c:v>
                </c:pt>
                <c:pt idx="9">
                  <c:v>20.487853660012856</c:v>
                </c:pt>
                <c:pt idx="10">
                  <c:v>19.43895042496208</c:v>
                </c:pt>
                <c:pt idx="11">
                  <c:v>20.22908285352975</c:v>
                </c:pt>
                <c:pt idx="12">
                  <c:v>21.524459509830358</c:v>
                </c:pt>
                <c:pt idx="13">
                  <c:v>19.959113180694679</c:v>
                </c:pt>
                <c:pt idx="14">
                  <c:v>20.655831042328685</c:v>
                </c:pt>
                <c:pt idx="15">
                  <c:v>21.275834451069148</c:v>
                </c:pt>
                <c:pt idx="16">
                  <c:v>22.16192431849284</c:v>
                </c:pt>
                <c:pt idx="17">
                  <c:v>21.398341512048777</c:v>
                </c:pt>
                <c:pt idx="18">
                  <c:v>19.822943241486968</c:v>
                </c:pt>
                <c:pt idx="19">
                  <c:v>19.403551088777665</c:v>
                </c:pt>
                <c:pt idx="20">
                  <c:v>18.448944497182652</c:v>
                </c:pt>
                <c:pt idx="21">
                  <c:v>18.844589214876468</c:v>
                </c:pt>
                <c:pt idx="22">
                  <c:v>17.732110930067236</c:v>
                </c:pt>
                <c:pt idx="23">
                  <c:v>18.497704677036655</c:v>
                </c:pt>
                <c:pt idx="24">
                  <c:v>19.88893034643711</c:v>
                </c:pt>
                <c:pt idx="25">
                  <c:v>18.899460757520394</c:v>
                </c:pt>
                <c:pt idx="26">
                  <c:v>17.509432159394841</c:v>
                </c:pt>
                <c:pt idx="27">
                  <c:v>16.238384390362139</c:v>
                </c:pt>
                <c:pt idx="28">
                  <c:v>15.016548277330561</c:v>
                </c:pt>
                <c:pt idx="29">
                  <c:v>13.902534956750449</c:v>
                </c:pt>
                <c:pt idx="30">
                  <c:v>13.431927497943077</c:v>
                </c:pt>
                <c:pt idx="31">
                  <c:v>14.941812342436725</c:v>
                </c:pt>
                <c:pt idx="32">
                  <c:v>15.054197911063511</c:v>
                </c:pt>
                <c:pt idx="33">
                  <c:v>14.213478166129374</c:v>
                </c:pt>
                <c:pt idx="34">
                  <c:v>13.427695616179829</c:v>
                </c:pt>
                <c:pt idx="35">
                  <c:v>12.986273337290161</c:v>
                </c:pt>
                <c:pt idx="36">
                  <c:v>12.052610243288994</c:v>
                </c:pt>
                <c:pt idx="37">
                  <c:v>11.2013288082725</c:v>
                </c:pt>
                <c:pt idx="38">
                  <c:v>10.425156105346709</c:v>
                </c:pt>
                <c:pt idx="39">
                  <c:v>9.7174612866474277</c:v>
                </c:pt>
                <c:pt idx="40">
                  <c:v>9.0721988983923936</c:v>
                </c:pt>
                <c:pt idx="41">
                  <c:v>8.7113506841466499</c:v>
                </c:pt>
                <c:pt idx="42">
                  <c:v>8.1548817433362562</c:v>
                </c:pt>
                <c:pt idx="43">
                  <c:v>7.647494507623569</c:v>
                </c:pt>
                <c:pt idx="44">
                  <c:v>7.1848558847086288</c:v>
                </c:pt>
                <c:pt idx="45">
                  <c:v>7.148193138259602</c:v>
                </c:pt>
                <c:pt idx="46">
                  <c:v>6.7296475142750207</c:v>
                </c:pt>
                <c:pt idx="47">
                  <c:v>6.3480072665487066</c:v>
                </c:pt>
                <c:pt idx="48">
                  <c:v>6.0000142710185234</c:v>
                </c:pt>
                <c:pt idx="49">
                  <c:v>5.6826980420324293</c:v>
                </c:pt>
                <c:pt idx="50">
                  <c:v>5.3933503386390989</c:v>
                </c:pt>
                <c:pt idx="51">
                  <c:v>5.1295020127226527</c:v>
                </c:pt>
                <c:pt idx="52">
                  <c:v>4.888901901063794</c:v>
                </c:pt>
                <c:pt idx="53">
                  <c:v>4.6694975808824504</c:v>
                </c:pt>
                <c:pt idx="54">
                  <c:v>4.469417824347425</c:v>
                </c:pt>
                <c:pt idx="55">
                  <c:v>4.286956602062312</c:v>
                </c:pt>
                <c:pt idx="56">
                  <c:v>4.120558498778796</c:v>
                </c:pt>
                <c:pt idx="57">
                  <c:v>3.9688054166609845</c:v>
                </c:pt>
                <c:pt idx="58">
                  <c:v>3.8304044524313645</c:v>
                </c:pt>
                <c:pt idx="59">
                  <c:v>3.7041768447640564</c:v>
                </c:pt>
                <c:pt idx="60">
                  <c:v>3.5890478974402651</c:v>
                </c:pt>
                <c:pt idx="61">
                  <c:v>3.5207193009069555</c:v>
                </c:pt>
                <c:pt idx="62">
                  <c:v>3.5199692934458779</c:v>
                </c:pt>
                <c:pt idx="63">
                  <c:v>3.5194822124519782</c:v>
                </c:pt>
                <c:pt idx="64">
                  <c:v>3.5187324685238579</c:v>
                </c:pt>
                <c:pt idx="65">
                  <c:v>3.5181935504193542</c:v>
                </c:pt>
                <c:pt idx="66">
                  <c:v>3.5175114892543751</c:v>
                </c:pt>
                <c:pt idx="67">
                  <c:v>3.5167621651430534</c:v>
                </c:pt>
                <c:pt idx="68">
                  <c:v>3.5160130006578267</c:v>
                </c:pt>
                <c:pt idx="69">
                  <c:v>3.5152639957646903</c:v>
                </c:pt>
                <c:pt idx="70">
                  <c:v>3.5145151504296459</c:v>
                </c:pt>
                <c:pt idx="71">
                  <c:v>3.5143600096709062</c:v>
                </c:pt>
                <c:pt idx="72">
                  <c:v>3.5136113569090992</c:v>
                </c:pt>
                <c:pt idx="73">
                  <c:v>3.5135180554782042</c:v>
                </c:pt>
                <c:pt idx="74">
                  <c:v>3.5127695820751796</c:v>
                </c:pt>
                <c:pt idx="75">
                  <c:v>3.5120212681170289</c:v>
                </c:pt>
                <c:pt idx="76">
                  <c:v>3.5112731135697821</c:v>
                </c:pt>
                <c:pt idx="77">
                  <c:v>3.5105251183994821</c:v>
                </c:pt>
                <c:pt idx="78">
                  <c:v>3.5097772825721774</c:v>
                </c:pt>
                <c:pt idx="79">
                  <c:v>3.5090296060539239</c:v>
                </c:pt>
                <c:pt idx="80">
                  <c:v>3.5082820888107826</c:v>
                </c:pt>
                <c:pt idx="81">
                  <c:v>3.5075347308088269</c:v>
                </c:pt>
                <c:pt idx="82">
                  <c:v>3.506787532014132</c:v>
                </c:pt>
                <c:pt idx="83">
                  <c:v>3.50621928974296</c:v>
                </c:pt>
                <c:pt idx="84">
                  <c:v>3.5054723711724272</c:v>
                </c:pt>
                <c:pt idx="85">
                  <c:v>3.5047256117155436</c:v>
                </c:pt>
                <c:pt idx="86">
                  <c:v>3.5041228577850956</c:v>
                </c:pt>
                <c:pt idx="87">
                  <c:v>3.5034995972729983</c:v>
                </c:pt>
                <c:pt idx="88">
                  <c:v>3.5027532580697676</c:v>
                </c:pt>
                <c:pt idx="89">
                  <c:v>3.5020070778567667</c:v>
                </c:pt>
                <c:pt idx="90">
                  <c:v>3.5012610566001259</c:v>
                </c:pt>
                <c:pt idx="91">
                  <c:v>3.5005151942659838</c:v>
                </c:pt>
                <c:pt idx="92">
                  <c:v>3.4997694908204871</c:v>
                </c:pt>
                <c:pt idx="93">
                  <c:v>3.4990239462297845</c:v>
                </c:pt>
                <c:pt idx="94">
                  <c:v>3.4982785604600402</c:v>
                </c:pt>
                <c:pt idx="95">
                  <c:v>3.4975333334774183</c:v>
                </c:pt>
                <c:pt idx="96">
                  <c:v>3.4967882652480928</c:v>
                </c:pt>
                <c:pt idx="97">
                  <c:v>3.4960433557382466</c:v>
                </c:pt>
                <c:pt idx="98">
                  <c:v>3.4952986049140655</c:v>
                </c:pt>
                <c:pt idx="99">
                  <c:v>3.4945540127417494</c:v>
                </c:pt>
                <c:pt idx="100">
                  <c:v>3.4938095791874972</c:v>
                </c:pt>
                <c:pt idx="101">
                  <c:v>3.4930653042175215</c:v>
                </c:pt>
                <c:pt idx="102">
                  <c:v>3.4923211877980398</c:v>
                </c:pt>
                <c:pt idx="103">
                  <c:v>3.4915772298952739</c:v>
                </c:pt>
                <c:pt idx="104">
                  <c:v>3.4908334304754565</c:v>
                </c:pt>
                <c:pt idx="105">
                  <c:v>3.4900897895048284</c:v>
                </c:pt>
                <c:pt idx="106">
                  <c:v>3.4893463069496344</c:v>
                </c:pt>
                <c:pt idx="107">
                  <c:v>3.4886029827761269</c:v>
                </c:pt>
                <c:pt idx="108">
                  <c:v>3.4878598169505683</c:v>
                </c:pt>
                <c:pt idx="109">
                  <c:v>3.487116809439224</c:v>
                </c:pt>
                <c:pt idx="110">
                  <c:v>3.4863739602083692</c:v>
                </c:pt>
                <c:pt idx="111">
                  <c:v>3.4856312692242883</c:v>
                </c:pt>
                <c:pt idx="112">
                  <c:v>3.4848887364532688</c:v>
                </c:pt>
                <c:pt idx="113">
                  <c:v>3.4841463618616078</c:v>
                </c:pt>
                <c:pt idx="114">
                  <c:v>3.4834041454156068</c:v>
                </c:pt>
                <c:pt idx="115">
                  <c:v>3.4826620870815783</c:v>
                </c:pt>
                <c:pt idx="116">
                  <c:v>3.4819201868258394</c:v>
                </c:pt>
                <c:pt idx="117">
                  <c:v>3.4811784446147174</c:v>
                </c:pt>
                <c:pt idx="118">
                  <c:v>3.480436860414541</c:v>
                </c:pt>
                <c:pt idx="119">
                  <c:v>3.4796954341916528</c:v>
                </c:pt>
                <c:pt idx="120">
                  <c:v>3.4789541659123979</c:v>
                </c:pt>
                <c:pt idx="121">
                  <c:v>3.4782130555431294</c:v>
                </c:pt>
                <c:pt idx="122">
                  <c:v>3.4774721030502103</c:v>
                </c:pt>
                <c:pt idx="123">
                  <c:v>3.4767313084000087</c:v>
                </c:pt>
                <c:pt idx="124">
                  <c:v>3.4759906715588968</c:v>
                </c:pt>
                <c:pt idx="125">
                  <c:v>3.4752501924932599</c:v>
                </c:pt>
                <c:pt idx="126">
                  <c:v>3.4745098711694871</c:v>
                </c:pt>
                <c:pt idx="127">
                  <c:v>3.4737697075539735</c:v>
                </c:pt>
                <c:pt idx="128">
                  <c:v>3.4730297016131244</c:v>
                </c:pt>
                <c:pt idx="129">
                  <c:v>3.472289853313351</c:v>
                </c:pt>
                <c:pt idx="130">
                  <c:v>3.4715501626210701</c:v>
                </c:pt>
                <c:pt idx="131">
                  <c:v>3.4708106295027101</c:v>
                </c:pt>
                <c:pt idx="132">
                  <c:v>3.4700712539247003</c:v>
                </c:pt>
                <c:pt idx="133">
                  <c:v>3.469332035853482</c:v>
                </c:pt>
                <c:pt idx="134">
                  <c:v>3.4685929752555031</c:v>
                </c:pt>
                <c:pt idx="135">
                  <c:v>3.4678540720972162</c:v>
                </c:pt>
                <c:pt idx="136">
                  <c:v>3.4671153263450813</c:v>
                </c:pt>
                <c:pt idx="137">
                  <c:v>3.4663767379655677</c:v>
                </c:pt>
                <c:pt idx="138">
                  <c:v>3.4656383069251517</c:v>
                </c:pt>
                <c:pt idx="139">
                  <c:v>3.4650673627328739</c:v>
                </c:pt>
                <c:pt idx="140">
                  <c:v>3.4672398126852135</c:v>
                </c:pt>
                <c:pt idx="141">
                  <c:v>3.467928654529683</c:v>
                </c:pt>
                <c:pt idx="142">
                  <c:v>3.4691625492594356</c:v>
                </c:pt>
                <c:pt idx="143">
                  <c:v>3.4684235247666373</c:v>
                </c:pt>
                <c:pt idx="144">
                  <c:v>3.4676846577058402</c:v>
                </c:pt>
                <c:pt idx="145">
                  <c:v>3.4669459480435063</c:v>
                </c:pt>
                <c:pt idx="146">
                  <c:v>3.4662073957461055</c:v>
                </c:pt>
                <c:pt idx="147">
                  <c:v>3.4654690007801157</c:v>
                </c:pt>
                <c:pt idx="148">
                  <c:v>3.4647307631120201</c:v>
                </c:pt>
                <c:pt idx="149">
                  <c:v>3.463992682708311</c:v>
                </c:pt>
                <c:pt idx="150">
                  <c:v>3.4632547595354866</c:v>
                </c:pt>
                <c:pt idx="151">
                  <c:v>3.4625169935600515</c:v>
                </c:pt>
                <c:pt idx="152">
                  <c:v>3.4617793847485201</c:v>
                </c:pt>
                <c:pt idx="153">
                  <c:v>3.4610419330674111</c:v>
                </c:pt>
                <c:pt idx="154">
                  <c:v>3.4603046384832514</c:v>
                </c:pt>
                <c:pt idx="155">
                  <c:v>3.4595675009625761</c:v>
                </c:pt>
                <c:pt idx="156">
                  <c:v>3.458830520471925</c:v>
                </c:pt>
                <c:pt idx="157">
                  <c:v>3.4580936969778464</c:v>
                </c:pt>
                <c:pt idx="158">
                  <c:v>3.4573570304468997</c:v>
                </c:pt>
                <c:pt idx="159">
                  <c:v>3.4566205208456431</c:v>
                </c:pt>
                <c:pt idx="160">
                  <c:v>3.4558841681406491</c:v>
                </c:pt>
                <c:pt idx="161">
                  <c:v>3.4551479722984926</c:v>
                </c:pt>
                <c:pt idx="162">
                  <c:v>3.4544119332857592</c:v>
                </c:pt>
                <c:pt idx="163">
                  <c:v>3.4536760510690381</c:v>
                </c:pt>
                <c:pt idx="164">
                  <c:v>3.4529403256149305</c:v>
                </c:pt>
                <c:pt idx="165">
                  <c:v>3.4522047568900387</c:v>
                </c:pt>
                <c:pt idx="166">
                  <c:v>3.451469344860977</c:v>
                </c:pt>
                <c:pt idx="167">
                  <c:v>3.4507340894943654</c:v>
                </c:pt>
                <c:pt idx="168">
                  <c:v>3.4514955469224025</c:v>
                </c:pt>
                <c:pt idx="169">
                  <c:v>3.4507602859740487</c:v>
                </c:pt>
                <c:pt idx="170">
                  <c:v>3.4500251816559606</c:v>
                </c:pt>
                <c:pt idx="171">
                  <c:v>3.449290233934772</c:v>
                </c:pt>
                <c:pt idx="172">
                  <c:v>3.4485554427771214</c:v>
                </c:pt>
                <c:pt idx="173">
                  <c:v>3.4478208081496584</c:v>
                </c:pt>
                <c:pt idx="174">
                  <c:v>3.4470863300190357</c:v>
                </c:pt>
                <c:pt idx="175">
                  <c:v>3.4463520083519188</c:v>
                </c:pt>
                <c:pt idx="176">
                  <c:v>3.4456178431149751</c:v>
                </c:pt>
                <c:pt idx="177">
                  <c:v>3.4451484654810178</c:v>
                </c:pt>
                <c:pt idx="178">
                  <c:v>3.4444145566309237</c:v>
                </c:pt>
                <c:pt idx="179">
                  <c:v>3.443680804123062</c:v>
                </c:pt>
                <c:pt idx="180">
                  <c:v>3.4429472079241261</c:v>
                </c:pt>
                <c:pt idx="181">
                  <c:v>3.44221376800082</c:v>
                </c:pt>
                <c:pt idx="182">
                  <c:v>3.4414804843198503</c:v>
                </c:pt>
                <c:pt idx="183">
                  <c:v>3.4407473568479374</c:v>
                </c:pt>
                <c:pt idx="184">
                  <c:v>3.4400143855518004</c:v>
                </c:pt>
                <c:pt idx="185">
                  <c:v>3.4392815703981716</c:v>
                </c:pt>
                <c:pt idx="186">
                  <c:v>3.4385489113537875</c:v>
                </c:pt>
                <c:pt idx="187">
                  <c:v>3.4378164083853933</c:v>
                </c:pt>
                <c:pt idx="188">
                  <c:v>3.4370840614597404</c:v>
                </c:pt>
                <c:pt idx="189">
                  <c:v>3.4365863987686405</c:v>
                </c:pt>
                <c:pt idx="190">
                  <c:v>3.4358543138679631</c:v>
                </c:pt>
                <c:pt idx="191">
                  <c:v>3.4351223849209682</c:v>
                </c:pt>
                <c:pt idx="192">
                  <c:v>3.434602115484183</c:v>
                </c:pt>
                <c:pt idx="193">
                  <c:v>3.4338704532889657</c:v>
                </c:pt>
                <c:pt idx="194">
                  <c:v>3.4331389469573819</c:v>
                </c:pt>
                <c:pt idx="195">
                  <c:v>3.4324075964562284</c:v>
                </c:pt>
                <c:pt idx="196">
                  <c:v>3.4316764017523118</c:v>
                </c:pt>
                <c:pt idx="197">
                  <c:v>3.4309453628124404</c:v>
                </c:pt>
                <c:pt idx="198">
                  <c:v>3.4302144796034346</c:v>
                </c:pt>
                <c:pt idx="199">
                  <c:v>3.4294837520921155</c:v>
                </c:pt>
                <c:pt idx="200">
                  <c:v>3.4287531802453182</c:v>
                </c:pt>
                <c:pt idx="201">
                  <c:v>3.4280227640298837</c:v>
                </c:pt>
                <c:pt idx="202">
                  <c:v>3.4272925034126551</c:v>
                </c:pt>
                <c:pt idx="203">
                  <c:v>3.4265623983604887</c:v>
                </c:pt>
                <c:pt idx="204">
                  <c:v>3.4262227120833826</c:v>
                </c:pt>
                <c:pt idx="205">
                  <c:v>3.4270133988372935</c:v>
                </c:pt>
                <c:pt idx="206">
                  <c:v>3.4289126868270299</c:v>
                </c:pt>
                <c:pt idx="207">
                  <c:v>3.4309143009512049</c:v>
                </c:pt>
                <c:pt idx="208">
                  <c:v>3.4306784549798572</c:v>
                </c:pt>
                <c:pt idx="209">
                  <c:v>3.429947628629364</c:v>
                </c:pt>
                <c:pt idx="210">
                  <c:v>3.4292169579644476</c:v>
                </c:pt>
                <c:pt idx="211">
                  <c:v>3.4287817208280664</c:v>
                </c:pt>
                <c:pt idx="212">
                  <c:v>3.4290655770271674</c:v>
                </c:pt>
                <c:pt idx="213">
                  <c:v>3.4283350942628545</c:v>
                </c:pt>
                <c:pt idx="214">
                  <c:v>3.4276047671109247</c:v>
                </c:pt>
                <c:pt idx="215">
                  <c:v>3.7873062011343523</c:v>
                </c:pt>
                <c:pt idx="216">
                  <c:v>3.6569546014256602</c:v>
                </c:pt>
                <c:pt idx="217">
                  <c:v>3.538067431337788</c:v>
                </c:pt>
                <c:pt idx="218">
                  <c:v>3.4608993062408526</c:v>
                </c:pt>
                <c:pt idx="219">
                  <c:v>3.4305110108577512</c:v>
                </c:pt>
                <c:pt idx="220">
                  <c:v>3.8766420503668924</c:v>
                </c:pt>
                <c:pt idx="221">
                  <c:v>4.1656638180238907</c:v>
                </c:pt>
                <c:pt idx="222">
                  <c:v>4.6369293843899628</c:v>
                </c:pt>
                <c:pt idx="223">
                  <c:v>5.0733335867894853</c:v>
                </c:pt>
                <c:pt idx="224">
                  <c:v>5.5240742236815104</c:v>
                </c:pt>
                <c:pt idx="225">
                  <c:v>6.8985105814482717</c:v>
                </c:pt>
                <c:pt idx="226">
                  <c:v>7.690689109934306</c:v>
                </c:pt>
                <c:pt idx="227">
                  <c:v>7.5581159579545041</c:v>
                </c:pt>
                <c:pt idx="228">
                  <c:v>7.09601847393892</c:v>
                </c:pt>
                <c:pt idx="229">
                  <c:v>6.6746728427653457</c:v>
                </c:pt>
                <c:pt idx="230">
                  <c:v>6.3720236674124369</c:v>
                </c:pt>
                <c:pt idx="231">
                  <c:v>7.5769161620049044</c:v>
                </c:pt>
                <c:pt idx="232">
                  <c:v>7.2213111014488955</c:v>
                </c:pt>
                <c:pt idx="233">
                  <c:v>6.7892000390984686</c:v>
                </c:pt>
                <c:pt idx="234">
                  <c:v>6.473155677662974</c:v>
                </c:pt>
                <c:pt idx="235">
                  <c:v>6.5035363423326382</c:v>
                </c:pt>
                <c:pt idx="236">
                  <c:v>6.1347891319201624</c:v>
                </c:pt>
                <c:pt idx="237">
                  <c:v>5.7985524378214546</c:v>
                </c:pt>
                <c:pt idx="238">
                  <c:v>5.4919561290219354</c:v>
                </c:pt>
                <c:pt idx="239">
                  <c:v>5.2123834595548262</c:v>
                </c:pt>
                <c:pt idx="240">
                  <c:v>5.3035583295176334</c:v>
                </c:pt>
                <c:pt idx="241">
                  <c:v>5.1183069577562268</c:v>
                </c:pt>
                <c:pt idx="242">
                  <c:v>4.8717040036964141</c:v>
                </c:pt>
                <c:pt idx="243">
                  <c:v>4.646828282021735</c:v>
                </c:pt>
                <c:pt idx="244">
                  <c:v>4.4417616471502868</c:v>
                </c:pt>
                <c:pt idx="245">
                  <c:v>4.2547552939956361</c:v>
                </c:pt>
                <c:pt idx="246">
                  <c:v>4.0842148080047247</c:v>
                </c:pt>
                <c:pt idx="247">
                  <c:v>4.0398388832667012</c:v>
                </c:pt>
                <c:pt idx="248">
                  <c:v>4.1165062840170163</c:v>
                </c:pt>
                <c:pt idx="249">
                  <c:v>3.9581310509538317</c:v>
                </c:pt>
                <c:pt idx="250">
                  <c:v>3.8136940489732378</c:v>
                </c:pt>
                <c:pt idx="251">
                  <c:v>3.6819647723414186</c:v>
                </c:pt>
                <c:pt idx="252">
                  <c:v>3.6540216687115907</c:v>
                </c:pt>
                <c:pt idx="253">
                  <c:v>3.8970398781982349</c:v>
                </c:pt>
                <c:pt idx="254">
                  <c:v>3.757943267038141</c:v>
                </c:pt>
                <c:pt idx="255">
                  <c:v>4.0788159017086567</c:v>
                </c:pt>
                <c:pt idx="256">
                  <c:v>4.9855084849345062</c:v>
                </c:pt>
                <c:pt idx="257">
                  <c:v>4.8511716095337913</c:v>
                </c:pt>
                <c:pt idx="258">
                  <c:v>4.6280988566883829</c:v>
                </c:pt>
                <c:pt idx="259">
                  <c:v>4.4246760204158146</c:v>
                </c:pt>
                <c:pt idx="260">
                  <c:v>4.2391683477252826</c:v>
                </c:pt>
                <c:pt idx="261">
                  <c:v>5.1837796489226493</c:v>
                </c:pt>
                <c:pt idx="262">
                  <c:v>5.3842592216413996</c:v>
                </c:pt>
                <c:pt idx="263">
                  <c:v>5.4426419768939756</c:v>
                </c:pt>
                <c:pt idx="264">
                  <c:v>7.1094668339907647</c:v>
                </c:pt>
                <c:pt idx="265">
                  <c:v>7.2080902881693723</c:v>
                </c:pt>
                <c:pt idx="266">
                  <c:v>9.2637814101691305</c:v>
                </c:pt>
                <c:pt idx="267">
                  <c:v>9.4933858884838269</c:v>
                </c:pt>
                <c:pt idx="268">
                  <c:v>9.079119070507728</c:v>
                </c:pt>
                <c:pt idx="269">
                  <c:v>8.6268695045153478</c:v>
                </c:pt>
                <c:pt idx="270">
                  <c:v>8.1095417942551631</c:v>
                </c:pt>
                <c:pt idx="271">
                  <c:v>8.5988809328532145</c:v>
                </c:pt>
                <c:pt idx="272">
                  <c:v>8.1556882343062398</c:v>
                </c:pt>
                <c:pt idx="273">
                  <c:v>7.6426917571458954</c:v>
                </c:pt>
                <c:pt idx="274">
                  <c:v>8.8943721660467716</c:v>
                </c:pt>
                <c:pt idx="275">
                  <c:v>9.3711018134233655</c:v>
                </c:pt>
                <c:pt idx="276">
                  <c:v>10.485756104623096</c:v>
                </c:pt>
                <c:pt idx="277">
                  <c:v>11.064561489301903</c:v>
                </c:pt>
                <c:pt idx="278">
                  <c:v>10.296098310322956</c:v>
                </c:pt>
                <c:pt idx="279">
                  <c:v>9.6684641028578895</c:v>
                </c:pt>
                <c:pt idx="280">
                  <c:v>9.7492329158110937</c:v>
                </c:pt>
                <c:pt idx="281">
                  <c:v>9.3610020491195129</c:v>
                </c:pt>
                <c:pt idx="282">
                  <c:v>9.4733986235559691</c:v>
                </c:pt>
                <c:pt idx="283">
                  <c:v>9.7268402535124565</c:v>
                </c:pt>
                <c:pt idx="284">
                  <c:v>9.3495750132050279</c:v>
                </c:pt>
                <c:pt idx="285">
                  <c:v>8.7329977235765455</c:v>
                </c:pt>
                <c:pt idx="286">
                  <c:v>9.6395730247008604</c:v>
                </c:pt>
                <c:pt idx="287">
                  <c:v>9.3197100806303723</c:v>
                </c:pt>
                <c:pt idx="288">
                  <c:v>8.706116975708154</c:v>
                </c:pt>
                <c:pt idx="289">
                  <c:v>8.7205056377789418</c:v>
                </c:pt>
                <c:pt idx="290">
                  <c:v>8.420247894429929</c:v>
                </c:pt>
                <c:pt idx="291">
                  <c:v>9.9941551640343675</c:v>
                </c:pt>
                <c:pt idx="292">
                  <c:v>10.695615161735727</c:v>
                </c:pt>
                <c:pt idx="293">
                  <c:v>9.9614890844792168</c:v>
                </c:pt>
                <c:pt idx="294">
                  <c:v>9.6807310365271615</c:v>
                </c:pt>
                <c:pt idx="295">
                  <c:v>9.0362173169311042</c:v>
                </c:pt>
                <c:pt idx="296">
                  <c:v>8.4485587237157826</c:v>
                </c:pt>
                <c:pt idx="297">
                  <c:v>7.9127359000693414</c:v>
                </c:pt>
                <c:pt idx="298">
                  <c:v>7.4241726152823144</c:v>
                </c:pt>
                <c:pt idx="299">
                  <c:v>6.9786966440493163</c:v>
                </c:pt>
                <c:pt idx="300">
                  <c:v>6.5725040994807031</c:v>
                </c:pt>
                <c:pt idx="301">
                  <c:v>6.2021269149187992</c:v>
                </c:pt>
                <c:pt idx="302">
                  <c:v>6.0362256898186688</c:v>
                </c:pt>
                <c:pt idx="303">
                  <c:v>7.3225743449060552</c:v>
                </c:pt>
                <c:pt idx="304">
                  <c:v>6.8863228376977714</c:v>
                </c:pt>
                <c:pt idx="305">
                  <c:v>6.7098769307224657</c:v>
                </c:pt>
                <c:pt idx="306">
                  <c:v>6.4226354184492322</c:v>
                </c:pt>
                <c:pt idx="307">
                  <c:v>6.6974155821628383</c:v>
                </c:pt>
                <c:pt idx="308">
                  <c:v>6.6590170189340343</c:v>
                </c:pt>
                <c:pt idx="309">
                  <c:v>6.4532717743233619</c:v>
                </c:pt>
                <c:pt idx="310">
                  <c:v>6.0938894677316418</c:v>
                </c:pt>
                <c:pt idx="311">
                  <c:v>5.7661898618319372</c:v>
                </c:pt>
                <c:pt idx="312">
                  <c:v>5.4673759082470959</c:v>
                </c:pt>
                <c:pt idx="313">
                  <c:v>5.8713428933638188</c:v>
                </c:pt>
                <c:pt idx="314">
                  <c:v>5.5633378411655574</c:v>
                </c:pt>
                <c:pt idx="315">
                  <c:v>5.4610227602407369</c:v>
                </c:pt>
                <c:pt idx="316">
                  <c:v>5.2458047943829724</c:v>
                </c:pt>
                <c:pt idx="317">
                  <c:v>4.9929531722562714</c:v>
                </c:pt>
                <c:pt idx="318">
                  <c:v>4.7623793697653829</c:v>
                </c:pt>
                <c:pt idx="319">
                  <c:v>4.5521166338171026</c:v>
                </c:pt>
                <c:pt idx="320">
                  <c:v>4.3603718430521301</c:v>
                </c:pt>
                <c:pt idx="321">
                  <c:v>4.1855101790376672</c:v>
                </c:pt>
                <c:pt idx="322">
                  <c:v>4.0260411507399336</c:v>
                </c:pt>
                <c:pt idx="323">
                  <c:v>3.880605852804349</c:v>
                </c:pt>
                <c:pt idx="324">
                  <c:v>3.7479653487186471</c:v>
                </c:pt>
                <c:pt idx="325">
                  <c:v>3.6269900795503336</c:v>
                </c:pt>
                <c:pt idx="326">
                  <c:v>3.516650207717285</c:v>
                </c:pt>
                <c:pt idx="327">
                  <c:v>3.4976247373540725</c:v>
                </c:pt>
                <c:pt idx="328">
                  <c:v>3.4970439868188024</c:v>
                </c:pt>
                <c:pt idx="329">
                  <c:v>3.4962990228334152</c:v>
                </c:pt>
                <c:pt idx="330">
                  <c:v>3.4955542175452998</c:v>
                </c:pt>
                <c:pt idx="331">
                  <c:v>3.4951582760074067</c:v>
                </c:pt>
                <c:pt idx="332">
                  <c:v>3.4944137137289024</c:v>
                </c:pt>
                <c:pt idx="333">
                  <c:v>3.494140582103912</c:v>
                </c:pt>
                <c:pt idx="334">
                  <c:v>3.5159994272496737</c:v>
                </c:pt>
                <c:pt idx="335">
                  <c:v>3.7802371854867234</c:v>
                </c:pt>
                <c:pt idx="336">
                  <c:v>4.2356417726185969</c:v>
                </c:pt>
                <c:pt idx="337">
                  <c:v>4.7131326331471595</c:v>
                </c:pt>
                <c:pt idx="338">
                  <c:v>6.0342198101502227</c:v>
                </c:pt>
                <c:pt idx="339">
                  <c:v>8.1183864405117259</c:v>
                </c:pt>
                <c:pt idx="340">
                  <c:v>9.0286524297211042</c:v>
                </c:pt>
                <c:pt idx="341">
                  <c:v>9.8477285256933325</c:v>
                </c:pt>
                <c:pt idx="342">
                  <c:v>9.4469392867569155</c:v>
                </c:pt>
                <c:pt idx="343">
                  <c:v>9.4036304212383079</c:v>
                </c:pt>
                <c:pt idx="344">
                  <c:v>8.9334707728974436</c:v>
                </c:pt>
                <c:pt idx="345">
                  <c:v>8.6187805551688044</c:v>
                </c:pt>
                <c:pt idx="346">
                  <c:v>8.6957087153277879</c:v>
                </c:pt>
                <c:pt idx="347">
                  <c:v>9.133836336321755</c:v>
                </c:pt>
                <c:pt idx="348">
                  <c:v>9.2935612066453217</c:v>
                </c:pt>
                <c:pt idx="349">
                  <c:v>8.9732117228977959</c:v>
                </c:pt>
                <c:pt idx="350">
                  <c:v>10.860529189122714</c:v>
                </c:pt>
                <c:pt idx="351">
                  <c:v>11.916503782711866</c:v>
                </c:pt>
                <c:pt idx="352">
                  <c:v>11.674904944084251</c:v>
                </c:pt>
                <c:pt idx="353">
                  <c:v>10.964714084480995</c:v>
                </c:pt>
                <c:pt idx="354">
                  <c:v>10.210110411403447</c:v>
                </c:pt>
                <c:pt idx="355">
                  <c:v>10.975625454969874</c:v>
                </c:pt>
                <c:pt idx="356">
                  <c:v>10.796152672209592</c:v>
                </c:pt>
                <c:pt idx="357">
                  <c:v>10.327269290789202</c:v>
                </c:pt>
                <c:pt idx="358">
                  <c:v>10.273505847084923</c:v>
                </c:pt>
                <c:pt idx="359">
                  <c:v>12.576819961948118</c:v>
                </c:pt>
                <c:pt idx="360">
                  <c:v>11.733607600897335</c:v>
                </c:pt>
                <c:pt idx="361">
                  <c:v>10.912414532455058</c:v>
                </c:pt>
                <c:pt idx="362">
                  <c:v>10.163673481258757</c:v>
                </c:pt>
                <c:pt idx="363">
                  <c:v>9.4809881434670125</c:v>
                </c:pt>
                <c:pt idx="364">
                  <c:v>9.0979011977692235</c:v>
                </c:pt>
                <c:pt idx="365">
                  <c:v>8.5092787987488965</c:v>
                </c:pt>
                <c:pt idx="366">
                  <c:v>11.257009518263517</c:v>
                </c:pt>
                <c:pt idx="367">
                  <c:v>13.110613340372653</c:v>
                </c:pt>
                <c:pt idx="368">
                  <c:v>13.270953620513977</c:v>
                </c:pt>
                <c:pt idx="369">
                  <c:v>14.213029957997113</c:v>
                </c:pt>
                <c:pt idx="370">
                  <c:v>14.651324715213818</c:v>
                </c:pt>
                <c:pt idx="371">
                  <c:v>14.501257566995466</c:v>
                </c:pt>
                <c:pt idx="372">
                  <c:v>14.750798376982553</c:v>
                </c:pt>
                <c:pt idx="373">
                  <c:v>14.635595350344746</c:v>
                </c:pt>
                <c:pt idx="374">
                  <c:v>13.906239357864333</c:v>
                </c:pt>
                <c:pt idx="375">
                  <c:v>15.738646570280139</c:v>
                </c:pt>
                <c:pt idx="376">
                  <c:v>15.479875888749369</c:v>
                </c:pt>
                <c:pt idx="377">
                  <c:v>16.249059671185716</c:v>
                </c:pt>
                <c:pt idx="378">
                  <c:v>16.570305853936294</c:v>
                </c:pt>
                <c:pt idx="379">
                  <c:v>16.146019953986595</c:v>
                </c:pt>
                <c:pt idx="380">
                  <c:v>16.024653878366195</c:v>
                </c:pt>
                <c:pt idx="381">
                  <c:v>15.697117469291092</c:v>
                </c:pt>
                <c:pt idx="382">
                  <c:v>15.139857699244246</c:v>
                </c:pt>
                <c:pt idx="383">
                  <c:v>15.404562754725875</c:v>
                </c:pt>
                <c:pt idx="384">
                  <c:v>14.51518092798991</c:v>
                </c:pt>
                <c:pt idx="385">
                  <c:v>13.454403059659304</c:v>
                </c:pt>
                <c:pt idx="386">
                  <c:v>15.883741755232927</c:v>
                </c:pt>
                <c:pt idx="387">
                  <c:v>15.902983780786199</c:v>
                </c:pt>
                <c:pt idx="388">
                  <c:v>16.030569370019403</c:v>
                </c:pt>
                <c:pt idx="389">
                  <c:v>15.668844706736859</c:v>
                </c:pt>
                <c:pt idx="390">
                  <c:v>15.041805488537639</c:v>
                </c:pt>
                <c:pt idx="391">
                  <c:v>14.548952507173302</c:v>
                </c:pt>
                <c:pt idx="392">
                  <c:v>14.938100999647421</c:v>
                </c:pt>
                <c:pt idx="393">
                  <c:v>14.450492211901464</c:v>
                </c:pt>
                <c:pt idx="394">
                  <c:v>14.01762813704026</c:v>
                </c:pt>
                <c:pt idx="395">
                  <c:v>14.536551040253288</c:v>
                </c:pt>
                <c:pt idx="396">
                  <c:v>14.306215052878406</c:v>
                </c:pt>
                <c:pt idx="397">
                  <c:v>13.266790585291773</c:v>
                </c:pt>
                <c:pt idx="398">
                  <c:v>12.874463626533895</c:v>
                </c:pt>
                <c:pt idx="399">
                  <c:v>13.411263490214726</c:v>
                </c:pt>
                <c:pt idx="400">
                  <c:v>12.99540142396482</c:v>
                </c:pt>
                <c:pt idx="401">
                  <c:v>12.336648654154175</c:v>
                </c:pt>
                <c:pt idx="402">
                  <c:v>11.471621928133615</c:v>
                </c:pt>
                <c:pt idx="403">
                  <c:v>10.682915002107299</c:v>
                </c:pt>
                <c:pt idx="404">
                  <c:v>9.9637901114801632</c:v>
                </c:pt>
                <c:pt idx="405">
                  <c:v>9.6349355270362587</c:v>
                </c:pt>
                <c:pt idx="406">
                  <c:v>9.0083222568076877</c:v>
                </c:pt>
                <c:pt idx="407">
                  <c:v>8.4369808476354269</c:v>
                </c:pt>
                <c:pt idx="408">
                  <c:v>7.916031719451583</c:v>
                </c:pt>
                <c:pt idx="409">
                  <c:v>7.4410260783182069</c:v>
                </c:pt>
                <c:pt idx="410">
                  <c:v>7.0079078851442613</c:v>
                </c:pt>
                <c:pt idx="411">
                  <c:v>6.6129791819352048</c:v>
                </c:pt>
                <c:pt idx="412">
                  <c:v>6.252868479160683</c:v>
                </c:pt>
                <c:pt idx="413">
                  <c:v>5.9245019339942582</c:v>
                </c:pt>
                <c:pt idx="414">
                  <c:v>5.6250770730373709</c:v>
                </c:pt>
                <c:pt idx="415">
                  <c:v>5.445243521189413</c:v>
                </c:pt>
                <c:pt idx="416">
                  <c:v>5.1880590245219356</c:v>
                </c:pt>
                <c:pt idx="417">
                  <c:v>4.9535320408023864</c:v>
                </c:pt>
                <c:pt idx="418">
                  <c:v>4.7396622969068121</c:v>
                </c:pt>
                <c:pt idx="419">
                  <c:v>4.544626110708788</c:v>
                </c:pt>
                <c:pt idx="420">
                  <c:v>4.3667608010180272</c:v>
                </c:pt>
                <c:pt idx="421">
                  <c:v>4.2773182371768037</c:v>
                </c:pt>
                <c:pt idx="422">
                  <c:v>4.5980918541766842</c:v>
                </c:pt>
                <c:pt idx="423">
                  <c:v>5.1159306416651082</c:v>
                </c:pt>
                <c:pt idx="424">
                  <c:v>5.4859963780240708</c:v>
                </c:pt>
                <c:pt idx="425">
                  <c:v>5.4416182950552328</c:v>
                </c:pt>
                <c:pt idx="426">
                  <c:v>5.7878117706527039</c:v>
                </c:pt>
                <c:pt idx="427">
                  <c:v>6.327807061941348</c:v>
                </c:pt>
                <c:pt idx="428">
                  <c:v>7.8037817718228633</c:v>
                </c:pt>
                <c:pt idx="429">
                  <c:v>9.6322509620866015</c:v>
                </c:pt>
                <c:pt idx="430">
                  <c:v>10.93828456150921</c:v>
                </c:pt>
                <c:pt idx="431">
                  <c:v>11.261805683042279</c:v>
                </c:pt>
                <c:pt idx="432">
                  <c:v>11.868453890268619</c:v>
                </c:pt>
                <c:pt idx="433">
                  <c:v>12.009485713929662</c:v>
                </c:pt>
                <c:pt idx="434">
                  <c:v>13.041778020318231</c:v>
                </c:pt>
                <c:pt idx="435">
                  <c:v>12.23853411137241</c:v>
                </c:pt>
                <c:pt idx="436">
                  <c:v>11.655386856287649</c:v>
                </c:pt>
                <c:pt idx="437">
                  <c:v>11.230389463694069</c:v>
                </c:pt>
                <c:pt idx="438">
                  <c:v>10.56447318651211</c:v>
                </c:pt>
                <c:pt idx="439">
                  <c:v>11.489175333256341</c:v>
                </c:pt>
                <c:pt idx="440">
                  <c:v>10.701910129356316</c:v>
                </c:pt>
                <c:pt idx="441">
                  <c:v>9.9840990434136572</c:v>
                </c:pt>
                <c:pt idx="442">
                  <c:v>9.3296104370203281</c:v>
                </c:pt>
                <c:pt idx="443">
                  <c:v>9.3947907300544919</c:v>
                </c:pt>
                <c:pt idx="444">
                  <c:v>8.8866935515018532</c:v>
                </c:pt>
                <c:pt idx="445">
                  <c:v>8.6770350368916347</c:v>
                </c:pt>
                <c:pt idx="446">
                  <c:v>8.2862399896835175</c:v>
                </c:pt>
                <c:pt idx="447">
                  <c:v>7.8101690980899141</c:v>
                </c:pt>
                <c:pt idx="448">
                  <c:v>7.3476564771837705</c:v>
                </c:pt>
                <c:pt idx="449">
                  <c:v>7.4786839832594669</c:v>
                </c:pt>
                <c:pt idx="450">
                  <c:v>7.0740244480581671</c:v>
                </c:pt>
                <c:pt idx="451">
                  <c:v>6.7033186939145351</c:v>
                </c:pt>
                <c:pt idx="452">
                  <c:v>6.4023611735185382</c:v>
                </c:pt>
                <c:pt idx="453">
                  <c:v>6.0640734427119289</c:v>
                </c:pt>
                <c:pt idx="454">
                  <c:v>5.7780294438001878</c:v>
                </c:pt>
                <c:pt idx="455">
                  <c:v>5.8170664955090992</c:v>
                </c:pt>
                <c:pt idx="456">
                  <c:v>6.7573266945706889</c:v>
                </c:pt>
                <c:pt idx="457">
                  <c:v>7.9409770697923614</c:v>
                </c:pt>
                <c:pt idx="458">
                  <c:v>7.467452812176397</c:v>
                </c:pt>
                <c:pt idx="459">
                  <c:v>7.3646078034202782</c:v>
                </c:pt>
                <c:pt idx="460">
                  <c:v>7.9141650396515288</c:v>
                </c:pt>
                <c:pt idx="461">
                  <c:v>8.2167097664390294</c:v>
                </c:pt>
                <c:pt idx="462">
                  <c:v>7.7192063494758489</c:v>
                </c:pt>
                <c:pt idx="463">
                  <c:v>7.2655756994531417</c:v>
                </c:pt>
                <c:pt idx="464">
                  <c:v>7.1616827880416798</c:v>
                </c:pt>
                <c:pt idx="465">
                  <c:v>6.8913348444886031</c:v>
                </c:pt>
                <c:pt idx="466">
                  <c:v>7.3384128313647228</c:v>
                </c:pt>
                <c:pt idx="467">
                  <c:v>7.1165775411994048</c:v>
                </c:pt>
                <c:pt idx="468">
                  <c:v>7.0349772978849501</c:v>
                </c:pt>
                <c:pt idx="469">
                  <c:v>7.0338374456723178</c:v>
                </c:pt>
                <c:pt idx="470">
                  <c:v>6.6949195137461812</c:v>
                </c:pt>
                <c:pt idx="471">
                  <c:v>6.434641098851932</c:v>
                </c:pt>
                <c:pt idx="472">
                  <c:v>6.1761179128997847</c:v>
                </c:pt>
                <c:pt idx="473">
                  <c:v>5.85888053050635</c:v>
                </c:pt>
                <c:pt idx="474">
                  <c:v>5.5696013841256677</c:v>
                </c:pt>
                <c:pt idx="475">
                  <c:v>5.305812234750527</c:v>
                </c:pt>
                <c:pt idx="476">
                  <c:v>5.0652627480108974</c:v>
                </c:pt>
                <c:pt idx="477">
                  <c:v>4.8459012568021667</c:v>
                </c:pt>
                <c:pt idx="478">
                  <c:v>4.6458572222548025</c:v>
                </c:pt>
                <c:pt idx="479">
                  <c:v>4.463425243110013</c:v>
                </c:pt>
                <c:pt idx="480">
                  <c:v>4.2970504768027871</c:v>
                </c:pt>
                <c:pt idx="481">
                  <c:v>4.1453153476219358</c:v>
                </c:pt>
                <c:pt idx="482">
                  <c:v>4.006927428319532</c:v>
                </c:pt>
                <c:pt idx="483">
                  <c:v>3.8807083915736023</c:v>
                </c:pt>
                <c:pt idx="484">
                  <c:v>4.033334808246746</c:v>
                </c:pt>
                <c:pt idx="485">
                  <c:v>3.9047594451014001</c:v>
                </c:pt>
                <c:pt idx="486">
                  <c:v>3.8542985302039847</c:v>
                </c:pt>
                <c:pt idx="487">
                  <c:v>3.7414501390142783</c:v>
                </c:pt>
                <c:pt idx="488">
                  <c:v>3.6969709886187223</c:v>
                </c:pt>
                <c:pt idx="489">
                  <c:v>3.6961834348298881</c:v>
                </c:pt>
                <c:pt idx="490">
                  <c:v>3.695396048811094</c:v>
                </c:pt>
                <c:pt idx="491">
                  <c:v>3.6946088305265987</c:v>
                </c:pt>
                <c:pt idx="492">
                  <c:v>3.6938217799406723</c:v>
                </c:pt>
                <c:pt idx="493">
                  <c:v>3.6930348970175899</c:v>
                </c:pt>
                <c:pt idx="494">
                  <c:v>3.6922481817216357</c:v>
                </c:pt>
                <c:pt idx="495">
                  <c:v>3.6914616340170996</c:v>
                </c:pt>
                <c:pt idx="496">
                  <c:v>3.6906752538682817</c:v>
                </c:pt>
                <c:pt idx="497">
                  <c:v>3.689889041239486</c:v>
                </c:pt>
                <c:pt idx="498">
                  <c:v>3.6891029960950275</c:v>
                </c:pt>
                <c:pt idx="499">
                  <c:v>3.6883171183992274</c:v>
                </c:pt>
                <c:pt idx="500">
                  <c:v>3.6875314081164139</c:v>
                </c:pt>
                <c:pt idx="501">
                  <c:v>3.6867458652109244</c:v>
                </c:pt>
                <c:pt idx="502">
                  <c:v>3.685960489647103</c:v>
                </c:pt>
                <c:pt idx="503">
                  <c:v>3.6851752813893022</c:v>
                </c:pt>
                <c:pt idx="504">
                  <c:v>3.6843902404018793</c:v>
                </c:pt>
                <c:pt idx="505">
                  <c:v>3.6836053666492021</c:v>
                </c:pt>
                <c:pt idx="506">
                  <c:v>3.6829587405430275</c:v>
                </c:pt>
                <c:pt idx="507">
                  <c:v>3.6821741717381413</c:v>
                </c:pt>
                <c:pt idx="508">
                  <c:v>3.681389770067415</c:v>
                </c:pt>
                <c:pt idx="509">
                  <c:v>3.6806055354952427</c:v>
                </c:pt>
                <c:pt idx="510">
                  <c:v>3.6798214679860277</c:v>
                </c:pt>
                <c:pt idx="511">
                  <c:v>3.679037567504182</c:v>
                </c:pt>
                <c:pt idx="512">
                  <c:v>3.6782538340141246</c:v>
                </c:pt>
                <c:pt idx="513">
                  <c:v>3.6774702674802802</c:v>
                </c:pt>
                <c:pt idx="514">
                  <c:v>3.676686867867085</c:v>
                </c:pt>
                <c:pt idx="515">
                  <c:v>3.6759036351389769</c:v>
                </c:pt>
                <c:pt idx="516">
                  <c:v>3.6751205692604096</c:v>
                </c:pt>
                <c:pt idx="517">
                  <c:v>3.6743376701958357</c:v>
                </c:pt>
                <c:pt idx="518">
                  <c:v>3.6735549379097217</c:v>
                </c:pt>
                <c:pt idx="519">
                  <c:v>3.6727723723665378</c:v>
                </c:pt>
                <c:pt idx="520">
                  <c:v>3.671989973530764</c:v>
                </c:pt>
                <c:pt idx="521">
                  <c:v>3.671207741366886</c:v>
                </c:pt>
                <c:pt idx="522">
                  <c:v>3.6704256758394016</c:v>
                </c:pt>
                <c:pt idx="523">
                  <c:v>3.669643776912809</c:v>
                </c:pt>
                <c:pt idx="524">
                  <c:v>3.6688620445516205</c:v>
                </c:pt>
                <c:pt idx="525">
                  <c:v>3.6680804787203503</c:v>
                </c:pt>
                <c:pt idx="526">
                  <c:v>3.6672990793835258</c:v>
                </c:pt>
                <c:pt idx="527">
                  <c:v>3.6665178465056782</c:v>
                </c:pt>
                <c:pt idx="528">
                  <c:v>3.6657367800513465</c:v>
                </c:pt>
                <c:pt idx="529">
                  <c:v>3.6649558799850794</c:v>
                </c:pt>
                <c:pt idx="530">
                  <c:v>3.6641751462714307</c:v>
                </c:pt>
                <c:pt idx="531">
                  <c:v>3.6633945788749647</c:v>
                </c:pt>
                <c:pt idx="532">
                  <c:v>3.6626141777602492</c:v>
                </c:pt>
                <c:pt idx="533">
                  <c:v>3.661833942891862</c:v>
                </c:pt>
                <c:pt idx="534">
                  <c:v>3.6610538742343892</c:v>
                </c:pt>
                <c:pt idx="535">
                  <c:v>3.6602739717524231</c:v>
                </c:pt>
                <c:pt idx="536">
                  <c:v>3.6594942354105626</c:v>
                </c:pt>
                <c:pt idx="537">
                  <c:v>3.658714665173417</c:v>
                </c:pt>
                <c:pt idx="538">
                  <c:v>3.6579352610056013</c:v>
                </c:pt>
                <c:pt idx="539">
                  <c:v>3.6571560228717392</c:v>
                </c:pt>
                <c:pt idx="540">
                  <c:v>3.6563769507364579</c:v>
                </c:pt>
                <c:pt idx="541">
                  <c:v>3.6555980445643987</c:v>
                </c:pt>
                <c:pt idx="542">
                  <c:v>3.6548193043202053</c:v>
                </c:pt>
                <c:pt idx="543">
                  <c:v>3.6540407299685307</c:v>
                </c:pt>
                <c:pt idx="544">
                  <c:v>3.6532623214740352</c:v>
                </c:pt>
                <c:pt idx="545">
                  <c:v>3.6524840788013879</c:v>
                </c:pt>
                <c:pt idx="546">
                  <c:v>3.6517060019152625</c:v>
                </c:pt>
                <c:pt idx="547">
                  <c:v>3.6509280907803441</c:v>
                </c:pt>
                <c:pt idx="548">
                  <c:v>3.6501503453613213</c:v>
                </c:pt>
                <c:pt idx="549">
                  <c:v>3.6493727656228927</c:v>
                </c:pt>
                <c:pt idx="550">
                  <c:v>3.6485953515297647</c:v>
                </c:pt>
                <c:pt idx="551">
                  <c:v>3.6478181030466508</c:v>
                </c:pt>
                <c:pt idx="552">
                  <c:v>3.6470410201382699</c:v>
                </c:pt>
                <c:pt idx="553">
                  <c:v>3.6462641027693503</c:v>
                </c:pt>
                <c:pt idx="554">
                  <c:v>3.6454982518506336</c:v>
                </c:pt>
                <c:pt idx="555">
                  <c:v>3.6447216631326604</c:v>
                </c:pt>
                <c:pt idx="556">
                  <c:v>3.6439452398488732</c:v>
                </c:pt>
                <c:pt idx="557">
                  <c:v>3.6431689819640303</c:v>
                </c:pt>
                <c:pt idx="558">
                  <c:v>3.6423928894428981</c:v>
                </c:pt>
                <c:pt idx="559">
                  <c:v>3.6416169622502492</c:v>
                </c:pt>
                <c:pt idx="560">
                  <c:v>3.640841200350863</c:v>
                </c:pt>
                <c:pt idx="561">
                  <c:v>3.6400656037095294</c:v>
                </c:pt>
                <c:pt idx="562">
                  <c:v>3.6392901722910418</c:v>
                </c:pt>
                <c:pt idx="563">
                  <c:v>3.6385149060602053</c:v>
                </c:pt>
                <c:pt idx="564">
                  <c:v>3.6377398049818308</c:v>
                </c:pt>
                <c:pt idx="565">
                  <c:v>3.6369648690207357</c:v>
                </c:pt>
                <c:pt idx="566">
                  <c:v>3.6361900981417441</c:v>
                </c:pt>
                <c:pt idx="567">
                  <c:v>3.6354154923096904</c:v>
                </c:pt>
                <c:pt idx="568">
                  <c:v>3.6346410514894161</c:v>
                </c:pt>
                <c:pt idx="569">
                  <c:v>3.6338667756457688</c:v>
                </c:pt>
                <c:pt idx="570">
                  <c:v>3.6330926647436033</c:v>
                </c:pt>
                <c:pt idx="571">
                  <c:v>3.6323187187477823</c:v>
                </c:pt>
                <c:pt idx="572">
                  <c:v>3.6315449376231772</c:v>
                </c:pt>
                <c:pt idx="573">
                  <c:v>3.6307713213346662</c:v>
                </c:pt>
                <c:pt idx="574">
                  <c:v>3.6299978698471334</c:v>
                </c:pt>
                <c:pt idx="575">
                  <c:v>3.6292245831254735</c:v>
                </c:pt>
                <c:pt idx="576">
                  <c:v>3.6284514611345866</c:v>
                </c:pt>
                <c:pt idx="577">
                  <c:v>3.6276785038393804</c:v>
                </c:pt>
                <c:pt idx="578">
                  <c:v>3.6269057112047705</c:v>
                </c:pt>
                <c:pt idx="579">
                  <c:v>3.6261330831956782</c:v>
                </c:pt>
                <c:pt idx="580">
                  <c:v>3.6253606197770352</c:v>
                </c:pt>
                <c:pt idx="581">
                  <c:v>3.6245883209137806</c:v>
                </c:pt>
                <c:pt idx="582">
                  <c:v>3.6238161865708576</c:v>
                </c:pt>
                <c:pt idx="583">
                  <c:v>3.6230442167132195</c:v>
                </c:pt>
                <c:pt idx="584">
                  <c:v>3.6222724113058264</c:v>
                </c:pt>
                <c:pt idx="585">
                  <c:v>3.6215007703136481</c:v>
                </c:pt>
                <c:pt idx="586">
                  <c:v>3.6207292937016562</c:v>
                </c:pt>
                <c:pt idx="587">
                  <c:v>3.6199579814348364</c:v>
                </c:pt>
                <c:pt idx="588">
                  <c:v>3.6191868334781772</c:v>
                </c:pt>
                <c:pt idx="589">
                  <c:v>3.6184158497966772</c:v>
                </c:pt>
                <c:pt idx="590">
                  <c:v>3.61764503035534</c:v>
                </c:pt>
                <c:pt idx="591">
                  <c:v>3.6168743751191794</c:v>
                </c:pt>
                <c:pt idx="592">
                  <c:v>3.6161038840532131</c:v>
                </c:pt>
                <c:pt idx="593">
                  <c:v>3.6153335571224705</c:v>
                </c:pt>
                <c:pt idx="594">
                  <c:v>3.6145633942919875</c:v>
                </c:pt>
                <c:pt idx="595">
                  <c:v>3.6137933955268022</c:v>
                </c:pt>
                <c:pt idx="596">
                  <c:v>3.6130535938404904</c:v>
                </c:pt>
                <c:pt idx="597">
                  <c:v>3.6122839167032201</c:v>
                </c:pt>
                <c:pt idx="598">
                  <c:v>3.6115144035277851</c:v>
                </c:pt>
                <c:pt idx="599">
                  <c:v>3.6107450542792536</c:v>
                </c:pt>
                <c:pt idx="600">
                  <c:v>3.6099758689227102</c:v>
                </c:pt>
                <c:pt idx="601">
                  <c:v>3.6092068474232386</c:v>
                </c:pt>
                <c:pt idx="602">
                  <c:v>3.6084379897459331</c:v>
                </c:pt>
                <c:pt idx="603">
                  <c:v>3.6076692958558954</c:v>
                </c:pt>
                <c:pt idx="604">
                  <c:v>3.6069007657182328</c:v>
                </c:pt>
                <c:pt idx="605">
                  <c:v>3.6062043477792605</c:v>
                </c:pt>
                <c:pt idx="606">
                  <c:v>3.6054361297147572</c:v>
                </c:pt>
                <c:pt idx="607">
                  <c:v>3.6046680753012645</c:v>
                </c:pt>
                <c:pt idx="608">
                  <c:v>3.603900184503924</c:v>
                </c:pt>
                <c:pt idx="609">
                  <c:v>3.6031324572878805</c:v>
                </c:pt>
                <c:pt idx="610">
                  <c:v>3.6023648936182844</c:v>
                </c:pt>
                <c:pt idx="611">
                  <c:v>3.6015974934602988</c:v>
                </c:pt>
                <c:pt idx="612">
                  <c:v>3.6008302567790902</c:v>
                </c:pt>
                <c:pt idx="613">
                  <c:v>3.6000631835398336</c:v>
                </c:pt>
                <c:pt idx="614">
                  <c:v>3.5992962737077114</c:v>
                </c:pt>
                <c:pt idx="615">
                  <c:v>3.5985295272479143</c:v>
                </c:pt>
                <c:pt idx="616">
                  <c:v>3.5977629441256389</c:v>
                </c:pt>
                <c:pt idx="617">
                  <c:v>3.5969965243060891</c:v>
                </c:pt>
                <c:pt idx="618">
                  <c:v>3.5962302677544784</c:v>
                </c:pt>
                <c:pt idx="619">
                  <c:v>3.5954641744360263</c:v>
                </c:pt>
                <c:pt idx="620">
                  <c:v>3.594814354248109</c:v>
                </c:pt>
                <c:pt idx="621">
                  <c:v>3.5940485625571386</c:v>
                </c:pt>
                <c:pt idx="622">
                  <c:v>3.5932829340002979</c:v>
                </c:pt>
                <c:pt idx="623">
                  <c:v>3.5925174685428356</c:v>
                </c:pt>
                <c:pt idx="624">
                  <c:v>3.5917521661500076</c:v>
                </c:pt>
                <c:pt idx="625">
                  <c:v>3.5909870267870767</c:v>
                </c:pt>
                <c:pt idx="626">
                  <c:v>3.5902220504193116</c:v>
                </c:pt>
                <c:pt idx="627">
                  <c:v>3.5909071935194636</c:v>
                </c:pt>
                <c:pt idx="628">
                  <c:v>3.5901422341583231</c:v>
                </c:pt>
                <c:pt idx="629">
                  <c:v>3.5893774377540044</c:v>
                </c:pt>
                <c:pt idx="630">
                  <c:v>3.5890384920017828</c:v>
                </c:pt>
                <c:pt idx="631">
                  <c:v>3.5882739307240912</c:v>
                </c:pt>
                <c:pt idx="632">
                  <c:v>3.587509532318419</c:v>
                </c:pt>
                <c:pt idx="633">
                  <c:v>3.5867452967500686</c:v>
                </c:pt>
                <c:pt idx="634">
                  <c:v>3.5859812239843545</c:v>
                </c:pt>
                <c:pt idx="635">
                  <c:v>3.5852173139865933</c:v>
                </c:pt>
                <c:pt idx="636">
                  <c:v>3.5844535667221114</c:v>
                </c:pt>
                <c:pt idx="637">
                  <c:v>3.5836899821562422</c:v>
                </c:pt>
                <c:pt idx="638">
                  <c:v>3.5840467245062664</c:v>
                </c:pt>
                <c:pt idx="639">
                  <c:v>3.5848356722552253</c:v>
                </c:pt>
                <c:pt idx="640">
                  <c:v>3.5849094158147454</c:v>
                </c:pt>
                <c:pt idx="641">
                  <c:v>3.5855927509021139</c:v>
                </c:pt>
                <c:pt idx="642">
                  <c:v>3.5848987163496786</c:v>
                </c:pt>
                <c:pt idx="643">
                  <c:v>3.584135036955022</c:v>
                </c:pt>
                <c:pt idx="644">
                  <c:v>3.5833715202445213</c:v>
                </c:pt>
                <c:pt idx="645">
                  <c:v>3.5826081661835181</c:v>
                </c:pt>
                <c:pt idx="646">
                  <c:v>3.5818449747373657</c:v>
                </c:pt>
                <c:pt idx="647">
                  <c:v>3.5810819458714214</c:v>
                </c:pt>
                <c:pt idx="648">
                  <c:v>3.5803190795510513</c:v>
                </c:pt>
                <c:pt idx="649">
                  <c:v>3.5796003481337193</c:v>
                </c:pt>
                <c:pt idx="650">
                  <c:v>3.5790456589259838</c:v>
                </c:pt>
                <c:pt idx="651">
                  <c:v>3.5782832263892446</c:v>
                </c:pt>
                <c:pt idx="652">
                  <c:v>3.577520956271047</c:v>
                </c:pt>
                <c:pt idx="653">
                  <c:v>3.5767588485367905</c:v>
                </c:pt>
                <c:pt idx="654">
                  <c:v>3.5759969031518839</c:v>
                </c:pt>
                <c:pt idx="655">
                  <c:v>3.5752351200817407</c:v>
                </c:pt>
                <c:pt idx="656">
                  <c:v>3.574473499291785</c:v>
                </c:pt>
                <c:pt idx="657">
                  <c:v>3.5737120407474459</c:v>
                </c:pt>
                <c:pt idx="658">
                  <c:v>3.5729507444141611</c:v>
                </c:pt>
                <c:pt idx="659">
                  <c:v>3.5721896102573751</c:v>
                </c:pt>
                <c:pt idx="660">
                  <c:v>3.5714286382425424</c:v>
                </c:pt>
                <c:pt idx="661">
                  <c:v>3.5706678283351168</c:v>
                </c:pt>
                <c:pt idx="662">
                  <c:v>3.5699071805005693</c:v>
                </c:pt>
                <c:pt idx="663">
                  <c:v>3.569146694704374</c:v>
                </c:pt>
                <c:pt idx="664">
                  <c:v>3.5683863709120116</c:v>
                </c:pt>
                <c:pt idx="665">
                  <c:v>3.5676262090889703</c:v>
                </c:pt>
                <c:pt idx="666">
                  <c:v>3.5668662092007475</c:v>
                </c:pt>
                <c:pt idx="667">
                  <c:v>3.5661063712128467</c:v>
                </c:pt>
                <c:pt idx="668">
                  <c:v>3.5653466950907777</c:v>
                </c:pt>
                <c:pt idx="669">
                  <c:v>3.5645871808000589</c:v>
                </c:pt>
                <c:pt idx="670">
                  <c:v>3.5638278283062155</c:v>
                </c:pt>
                <c:pt idx="671">
                  <c:v>3.5630686375747831</c:v>
                </c:pt>
                <c:pt idx="672">
                  <c:v>3.5625322898483307</c:v>
                </c:pt>
                <c:pt idx="673">
                  <c:v>3.5622974751911505</c:v>
                </c:pt>
                <c:pt idx="674">
                  <c:v>3.5615386104658979</c:v>
                </c:pt>
                <c:pt idx="675">
                  <c:v>3.5607799073991466</c:v>
                </c:pt>
                <c:pt idx="676">
                  <c:v>3.5602901455877718</c:v>
                </c:pt>
                <c:pt idx="677">
                  <c:v>3.5638079282036417</c:v>
                </c:pt>
                <c:pt idx="678">
                  <c:v>4.8984930883440336</c:v>
                </c:pt>
                <c:pt idx="679">
                  <c:v>6.1973577902668495</c:v>
                </c:pt>
                <c:pt idx="680">
                  <c:v>6.0085637680050628</c:v>
                </c:pt>
                <c:pt idx="681">
                  <c:v>8.1311210097204878</c:v>
                </c:pt>
                <c:pt idx="682">
                  <c:v>7.6305631737681408</c:v>
                </c:pt>
                <c:pt idx="683">
                  <c:v>7.1741500197013117</c:v>
                </c:pt>
                <c:pt idx="684">
                  <c:v>6.7579843128434236</c:v>
                </c:pt>
                <c:pt idx="685">
                  <c:v>6.3785128798138855</c:v>
                </c:pt>
                <c:pt idx="686">
                  <c:v>6.0324962336120347</c:v>
                </c:pt>
                <c:pt idx="687">
                  <c:v>10.839423608496888</c:v>
                </c:pt>
                <c:pt idx="688">
                  <c:v>11.358751882174399</c:v>
                </c:pt>
                <c:pt idx="689">
                  <c:v>11.901412675550102</c:v>
                </c:pt>
                <c:pt idx="690">
                  <c:v>12.297843829973992</c:v>
                </c:pt>
                <c:pt idx="691">
                  <c:v>11.513767619516827</c:v>
                </c:pt>
                <c:pt idx="692">
                  <c:v>11.253562624932716</c:v>
                </c:pt>
                <c:pt idx="693">
                  <c:v>11.309763287556828</c:v>
                </c:pt>
                <c:pt idx="694">
                  <c:v>10.530816605148127</c:v>
                </c:pt>
                <c:pt idx="695">
                  <c:v>9.8205912550605667</c:v>
                </c:pt>
                <c:pt idx="696">
                  <c:v>9.1730202913842689</c:v>
                </c:pt>
                <c:pt idx="697">
                  <c:v>8.582572379084791</c:v>
                </c:pt>
                <c:pt idx="698">
                  <c:v>8.0442045084305622</c:v>
                </c:pt>
                <c:pt idx="699">
                  <c:v>7.5533188839535166</c:v>
                </c:pt>
                <c:pt idx="700">
                  <c:v>7.1057236194007327</c:v>
                </c:pt>
                <c:pt idx="701">
                  <c:v>6.6975969026710986</c:v>
                </c:pt>
                <c:pt idx="702">
                  <c:v>6.3254543243947694</c:v>
                </c:pt>
                <c:pt idx="703">
                  <c:v>5.9861190908581472</c:v>
                </c:pt>
                <c:pt idx="704">
                  <c:v>5.676694866634425</c:v>
                </c:pt>
                <c:pt idx="705">
                  <c:v>5.394541014760204</c:v>
                </c:pt>
                <c:pt idx="706">
                  <c:v>5.1372500227946141</c:v>
                </c:pt>
                <c:pt idx="707">
                  <c:v>5.3330667492175845</c:v>
                </c:pt>
                <c:pt idx="708">
                  <c:v>5.0812252847910786</c:v>
                </c:pt>
                <c:pt idx="709">
                  <c:v>4.8515706034967012</c:v>
                </c:pt>
                <c:pt idx="710">
                  <c:v>4.6421439896527277</c:v>
                </c:pt>
                <c:pt idx="711">
                  <c:v>4.4511596497408989</c:v>
                </c:pt>
                <c:pt idx="712">
                  <c:v>4.2769894462423377</c:v>
                </c:pt>
                <c:pt idx="713">
                  <c:v>4.9022652233302502</c:v>
                </c:pt>
                <c:pt idx="714">
                  <c:v>4.7637681578211124</c:v>
                </c:pt>
                <c:pt idx="715">
                  <c:v>4.6521075677452624</c:v>
                </c:pt>
                <c:pt idx="716">
                  <c:v>4.5883060105419897</c:v>
                </c:pt>
                <c:pt idx="717">
                  <c:v>4.4020844649252933</c:v>
                </c:pt>
                <c:pt idx="718">
                  <c:v>4.4211569812718032</c:v>
                </c:pt>
                <c:pt idx="719">
                  <c:v>5.0352002430615865</c:v>
                </c:pt>
                <c:pt idx="720">
                  <c:v>4.8096472958584311</c:v>
                </c:pt>
                <c:pt idx="721">
                  <c:v>4.6039602926967245</c:v>
                </c:pt>
                <c:pt idx="722">
                  <c:v>4.4163854095615367</c:v>
                </c:pt>
                <c:pt idx="723">
                  <c:v>4.2453236560594627</c:v>
                </c:pt>
                <c:pt idx="724">
                  <c:v>4.0893172061733338</c:v>
                </c:pt>
                <c:pt idx="725">
                  <c:v>3.9470369357849409</c:v>
                </c:pt>
                <c:pt idx="726">
                  <c:v>3.817271060428201</c:v>
                </c:pt>
                <c:pt idx="727">
                  <c:v>3.698914776140581</c:v>
                </c:pt>
                <c:pt idx="728">
                  <c:v>3.8095446954814864</c:v>
                </c:pt>
                <c:pt idx="729">
                  <c:v>3.8595042121166685</c:v>
                </c:pt>
                <c:pt idx="730">
                  <c:v>3.8510052283998171</c:v>
                </c:pt>
                <c:pt idx="731">
                  <c:v>4.3027201447222261</c:v>
                </c:pt>
                <c:pt idx="732">
                  <c:v>4.8448407401427422</c:v>
                </c:pt>
                <c:pt idx="733">
                  <c:v>4.8075907452818143</c:v>
                </c:pt>
                <c:pt idx="734">
                  <c:v>4.6020029024364257</c:v>
                </c:pt>
                <c:pt idx="735">
                  <c:v>4.414518442956556</c:v>
                </c:pt>
                <c:pt idx="736">
                  <c:v>4.243539147747585</c:v>
                </c:pt>
                <c:pt idx="737">
                  <c:v>4.1659342001404367</c:v>
                </c:pt>
                <c:pt idx="738">
                  <c:v>4.0168286325961606</c:v>
                </c:pt>
                <c:pt idx="739">
                  <c:v>3.8808400338759732</c:v>
                </c:pt>
                <c:pt idx="740">
                  <c:v>3.9430838437972975</c:v>
                </c:pt>
                <c:pt idx="741">
                  <c:v>4.1100510390438085</c:v>
                </c:pt>
                <c:pt idx="742">
                  <c:v>4.3266161176942521</c:v>
                </c:pt>
                <c:pt idx="743">
                  <c:v>4.5669608994440027</c:v>
                </c:pt>
                <c:pt idx="744">
                  <c:v>5.476919707138368</c:v>
                </c:pt>
                <c:pt idx="745">
                  <c:v>5.2123789016866224</c:v>
                </c:pt>
                <c:pt idx="746">
                  <c:v>5.0485492777347751</c:v>
                </c:pt>
                <c:pt idx="747">
                  <c:v>4.8217539972533263</c:v>
                </c:pt>
                <c:pt idx="748">
                  <c:v>4.8758931466076714</c:v>
                </c:pt>
                <c:pt idx="749">
                  <c:v>4.7795291237587723</c:v>
                </c:pt>
                <c:pt idx="750">
                  <c:v>4.5764450489417916</c:v>
                </c:pt>
                <c:pt idx="751">
                  <c:v>4.3912433106045192</c:v>
                </c:pt>
                <c:pt idx="752">
                  <c:v>4.308936803979722</c:v>
                </c:pt>
                <c:pt idx="753">
                  <c:v>4.147281658908553</c:v>
                </c:pt>
                <c:pt idx="754">
                  <c:v>4.1187059068870759</c:v>
                </c:pt>
                <c:pt idx="755">
                  <c:v>4.2602837634759805</c:v>
                </c:pt>
                <c:pt idx="756">
                  <c:v>5.6457335019496986</c:v>
                </c:pt>
                <c:pt idx="757">
                  <c:v>5.3663983875369352</c:v>
                </c:pt>
                <c:pt idx="758">
                  <c:v>5.1116772669985702</c:v>
                </c:pt>
                <c:pt idx="759">
                  <c:v>4.8793971421349944</c:v>
                </c:pt>
                <c:pt idx="760">
                  <c:v>4.6675768545086527</c:v>
                </c:pt>
                <c:pt idx="761">
                  <c:v>5.2966500471800959</c:v>
                </c:pt>
                <c:pt idx="762">
                  <c:v>6.6188741985003903</c:v>
                </c:pt>
                <c:pt idx="763">
                  <c:v>8.1890677204883016</c:v>
                </c:pt>
                <c:pt idx="764">
                  <c:v>7.9791327567065498</c:v>
                </c:pt>
                <c:pt idx="765">
                  <c:v>8.2982565798787249</c:v>
                </c:pt>
                <c:pt idx="766">
                  <c:v>7.8793569171974953</c:v>
                </c:pt>
                <c:pt idx="767">
                  <c:v>7.4038451566948584</c:v>
                </c:pt>
                <c:pt idx="768">
                  <c:v>7.2669095031083879</c:v>
                </c:pt>
                <c:pt idx="769">
                  <c:v>7.9712474495762375</c:v>
                </c:pt>
                <c:pt idx="770">
                  <c:v>9.1295674949988701</c:v>
                </c:pt>
                <c:pt idx="771">
                  <c:v>9.098850753864415</c:v>
                </c:pt>
                <c:pt idx="772">
                  <c:v>8.7203302282925161</c:v>
                </c:pt>
                <c:pt idx="773">
                  <c:v>9.1420448050261367</c:v>
                </c:pt>
                <c:pt idx="774">
                  <c:v>9.4793330030797645</c:v>
                </c:pt>
                <c:pt idx="775">
                  <c:v>11.026492945169741</c:v>
                </c:pt>
                <c:pt idx="776">
                  <c:v>12.289924106938162</c:v>
                </c:pt>
                <c:pt idx="777">
                  <c:v>11.965553272242804</c:v>
                </c:pt>
                <c:pt idx="778">
                  <c:v>11.546899420369305</c:v>
                </c:pt>
                <c:pt idx="779">
                  <c:v>12.949806754729485</c:v>
                </c:pt>
                <c:pt idx="780">
                  <c:v>14.272848884034614</c:v>
                </c:pt>
                <c:pt idx="781">
                  <c:v>14.864316382745303</c:v>
                </c:pt>
                <c:pt idx="782">
                  <c:v>14.458272052015042</c:v>
                </c:pt>
                <c:pt idx="783">
                  <c:v>15.389270422833366</c:v>
                </c:pt>
                <c:pt idx="784">
                  <c:v>17.823738285932411</c:v>
                </c:pt>
                <c:pt idx="785">
                  <c:v>21.086697521013903</c:v>
                </c:pt>
                <c:pt idx="786">
                  <c:v>21.179501880910731</c:v>
                </c:pt>
                <c:pt idx="787">
                  <c:v>21.683371798667753</c:v>
                </c:pt>
                <c:pt idx="788">
                  <c:v>20.371663236477051</c:v>
                </c:pt>
                <c:pt idx="789">
                  <c:v>18.800844830838059</c:v>
                </c:pt>
                <c:pt idx="790">
                  <c:v>17.36865518530881</c:v>
                </c:pt>
                <c:pt idx="791">
                  <c:v>16.062855685884898</c:v>
                </c:pt>
                <c:pt idx="792">
                  <c:v>14.872288185549925</c:v>
                </c:pt>
                <c:pt idx="793">
                  <c:v>14.452075787718519</c:v>
                </c:pt>
                <c:pt idx="794">
                  <c:v>13.737845201725994</c:v>
                </c:pt>
                <c:pt idx="795">
                  <c:v>12.834287037646842</c:v>
                </c:pt>
                <c:pt idx="796">
                  <c:v>12.033832834072555</c:v>
                </c:pt>
                <c:pt idx="797">
                  <c:v>11.64827198601493</c:v>
                </c:pt>
                <c:pt idx="798">
                  <c:v>11.272608034312741</c:v>
                </c:pt>
                <c:pt idx="799">
                  <c:v>11.20844535405306</c:v>
                </c:pt>
                <c:pt idx="800">
                  <c:v>10.946242384076331</c:v>
                </c:pt>
                <c:pt idx="801">
                  <c:v>10.982603988075761</c:v>
                </c:pt>
                <c:pt idx="802">
                  <c:v>11.274325854853759</c:v>
                </c:pt>
                <c:pt idx="803">
                  <c:v>10.911707708677408</c:v>
                </c:pt>
                <c:pt idx="804">
                  <c:v>10.21261270353588</c:v>
                </c:pt>
                <c:pt idx="805">
                  <c:v>9.7585129529630201</c:v>
                </c:pt>
                <c:pt idx="806">
                  <c:v>11.110069491297077</c:v>
                </c:pt>
                <c:pt idx="807">
                  <c:v>10.840516203160675</c:v>
                </c:pt>
                <c:pt idx="808">
                  <c:v>11.180811170942256</c:v>
                </c:pt>
                <c:pt idx="809">
                  <c:v>10.465828443607656</c:v>
                </c:pt>
                <c:pt idx="810">
                  <c:v>9.9706689815365337</c:v>
                </c:pt>
                <c:pt idx="811">
                  <c:v>9.4153235146763183</c:v>
                </c:pt>
                <c:pt idx="812">
                  <c:v>9.4140201656414764</c:v>
                </c:pt>
                <c:pt idx="813">
                  <c:v>8.9071701365811169</c:v>
                </c:pt>
                <c:pt idx="814">
                  <c:v>8.3500286490806488</c:v>
                </c:pt>
                <c:pt idx="815">
                  <c:v>7.8420247019612601</c:v>
                </c:pt>
                <c:pt idx="816">
                  <c:v>7.3788202743458964</c:v>
                </c:pt>
                <c:pt idx="817">
                  <c:v>6.9564603207770768</c:v>
                </c:pt>
                <c:pt idx="818">
                  <c:v>6.5713389608280055</c:v>
                </c:pt>
                <c:pt idx="819">
                  <c:v>6.2201686536112568</c:v>
                </c:pt>
                <c:pt idx="820">
                  <c:v>5.8999520936679781</c:v>
                </c:pt>
                <c:pt idx="821">
                  <c:v>5.6079565879847726</c:v>
                </c:pt>
                <c:pt idx="822">
                  <c:v>5.3416906950957781</c:v>
                </c:pt>
                <c:pt idx="823">
                  <c:v>5.0988829265652598</c:v>
                </c:pt>
                <c:pt idx="824">
                  <c:v>4.8774623287766543</c:v>
                </c:pt>
                <c:pt idx="825">
                  <c:v>4.6755407790281698</c:v>
                </c:pt>
                <c:pt idx="826">
                  <c:v>4.4913968445900023</c:v>
                </c:pt>
                <c:pt idx="827">
                  <c:v>4.3234610667395925</c:v>
                </c:pt>
                <c:pt idx="828">
                  <c:v>4.1703025439729151</c:v>
                </c:pt>
                <c:pt idx="829">
                  <c:v>4.0306166996960791</c:v>
                </c:pt>
                <c:pt idx="830">
                  <c:v>3.9032141298272371</c:v>
                </c:pt>
                <c:pt idx="831">
                  <c:v>3.7870104349706093</c:v>
                </c:pt>
                <c:pt idx="832">
                  <c:v>3.7079784598492624</c:v>
                </c:pt>
                <c:pt idx="833">
                  <c:v>3.7071885611743847</c:v>
                </c:pt>
                <c:pt idx="834">
                  <c:v>3.7063988307690696</c:v>
                </c:pt>
                <c:pt idx="835">
                  <c:v>3.7056092685974726</c:v>
                </c:pt>
                <c:pt idx="836">
                  <c:v>3.7048198746237548</c:v>
                </c:pt>
                <c:pt idx="837">
                  <c:v>3.7040306488120858</c:v>
                </c:pt>
                <c:pt idx="838">
                  <c:v>3.7032415911266421</c:v>
                </c:pt>
                <c:pt idx="839">
                  <c:v>3.7024527015316089</c:v>
                </c:pt>
                <c:pt idx="840">
                  <c:v>3.7016639799911779</c:v>
                </c:pt>
                <c:pt idx="841">
                  <c:v>3.7008754264695489</c:v>
                </c:pt>
                <c:pt idx="842">
                  <c:v>3.7000870409309297</c:v>
                </c:pt>
                <c:pt idx="843">
                  <c:v>3.699298823339535</c:v>
                </c:pt>
                <c:pt idx="844">
                  <c:v>3.6985107736595886</c:v>
                </c:pt>
                <c:pt idx="845">
                  <c:v>3.69772289185532</c:v>
                </c:pt>
                <c:pt idx="846">
                  <c:v>3.6969351778909663</c:v>
                </c:pt>
                <c:pt idx="847">
                  <c:v>3.6964010156573992</c:v>
                </c:pt>
                <c:pt idx="848">
                  <c:v>3.6956135832880643</c:v>
                </c:pt>
                <c:pt idx="849">
                  <c:v>3.6948263186629018</c:v>
                </c:pt>
                <c:pt idx="850">
                  <c:v>3.694039221746181</c:v>
                </c:pt>
                <c:pt idx="851">
                  <c:v>3.6932522925021738</c:v>
                </c:pt>
                <c:pt idx="852">
                  <c:v>3.6924655308951624</c:v>
                </c:pt>
                <c:pt idx="853">
                  <c:v>3.691678936889434</c:v>
                </c:pt>
                <c:pt idx="854">
                  <c:v>3.6908925104492858</c:v>
                </c:pt>
                <c:pt idx="855">
                  <c:v>3.6901062515390226</c:v>
                </c:pt>
                <c:pt idx="856">
                  <c:v>3.6893201601229553</c:v>
                </c:pt>
                <c:pt idx="857">
                  <c:v>3.6887882975216395</c:v>
                </c:pt>
                <c:pt idx="858">
                  <c:v>3.6880024868650603</c:v>
                </c:pt>
                <c:pt idx="859">
                  <c:v>3.687216843607187</c:v>
                </c:pt>
                <c:pt idx="860">
                  <c:v>3.6864313677123586</c:v>
                </c:pt>
                <c:pt idx="861">
                  <c:v>3.6856460591449238</c:v>
                </c:pt>
                <c:pt idx="862">
                  <c:v>3.6848609178692371</c:v>
                </c:pt>
                <c:pt idx="863">
                  <c:v>3.6840759438496606</c:v>
                </c:pt>
                <c:pt idx="864">
                  <c:v>3.683291137050563</c:v>
                </c:pt>
                <c:pt idx="865">
                  <c:v>3.6825064974363233</c:v>
                </c:pt>
                <c:pt idx="866">
                  <c:v>3.6819294493243149</c:v>
                </c:pt>
                <c:pt idx="867">
                  <c:v>3.6812370309436737</c:v>
                </c:pt>
                <c:pt idx="868">
                  <c:v>3.680452828909023</c:v>
                </c:pt>
                <c:pt idx="869">
                  <c:v>3.6796687939303991</c:v>
                </c:pt>
                <c:pt idx="870">
                  <c:v>3.6788849259722141</c:v>
                </c:pt>
                <c:pt idx="871">
                  <c:v>3.6781012249988891</c:v>
                </c:pt>
                <c:pt idx="872">
                  <c:v>3.6773176909748511</c:v>
                </c:pt>
                <c:pt idx="873">
                  <c:v>3.6765343238645336</c:v>
                </c:pt>
                <c:pt idx="874">
                  <c:v>3.6757511236323834</c:v>
                </c:pt>
                <c:pt idx="875">
                  <c:v>3.6749680902428472</c:v>
                </c:pt>
                <c:pt idx="876">
                  <c:v>3.6741852236603876</c:v>
                </c:pt>
                <c:pt idx="877">
                  <c:v>3.6734025238494654</c:v>
                </c:pt>
                <c:pt idx="878">
                  <c:v>3.6726199907745576</c:v>
                </c:pt>
                <c:pt idx="879">
                  <c:v>3.6718376244001423</c:v>
                </c:pt>
                <c:pt idx="880">
                  <c:v>3.6710554246907088</c:v>
                </c:pt>
                <c:pt idx="881">
                  <c:v>3.6705010031126255</c:v>
                </c:pt>
                <c:pt idx="882">
                  <c:v>3.6697190881393071</c:v>
                </c:pt>
                <c:pt idx="883">
                  <c:v>3.6689373397348102</c:v>
                </c:pt>
                <c:pt idx="884">
                  <c:v>3.6681557578636514</c:v>
                </c:pt>
                <c:pt idx="885">
                  <c:v>3.667374342490354</c:v>
                </c:pt>
                <c:pt idx="886">
                  <c:v>3.6665930935794502</c:v>
                </c:pt>
                <c:pt idx="887">
                  <c:v>3.6661282881607566</c:v>
                </c:pt>
                <c:pt idx="888">
                  <c:v>3.6653473046927814</c:v>
                </c:pt>
                <c:pt idx="889">
                  <c:v>3.6645664875951902</c:v>
                </c:pt>
                <c:pt idx="890">
                  <c:v>3.6637858368325471</c:v>
                </c:pt>
                <c:pt idx="891">
                  <c:v>3.6630053523694119</c:v>
                </c:pt>
                <c:pt idx="892">
                  <c:v>3.6622250341703606</c:v>
                </c:pt>
                <c:pt idx="893">
                  <c:v>3.6614448821999752</c:v>
                </c:pt>
                <c:pt idx="894">
                  <c:v>3.6606648964228459</c:v>
                </c:pt>
                <c:pt idx="895">
                  <c:v>3.6598850768035671</c:v>
                </c:pt>
                <c:pt idx="896">
                  <c:v>3.659105423306741</c:v>
                </c:pt>
                <c:pt idx="897">
                  <c:v>3.6583259358969835</c:v>
                </c:pt>
                <c:pt idx="898">
                  <c:v>3.6575466145389099</c:v>
                </c:pt>
                <c:pt idx="899">
                  <c:v>3.6567674591971477</c:v>
                </c:pt>
                <c:pt idx="900">
                  <c:v>3.6559884698363323</c:v>
                </c:pt>
                <c:pt idx="901">
                  <c:v>3.6552096464211039</c:v>
                </c:pt>
                <c:pt idx="902">
                  <c:v>3.6544309889161126</c:v>
                </c:pt>
                <c:pt idx="903">
                  <c:v>3.6536524972860138</c:v>
                </c:pt>
                <c:pt idx="904">
                  <c:v>3.6529192808832955</c:v>
                </c:pt>
                <c:pt idx="905">
                  <c:v>3.6521411112874773</c:v>
                </c:pt>
                <c:pt idx="906">
                  <c:v>3.6513631074626147</c:v>
                </c:pt>
                <c:pt idx="907">
                  <c:v>3.650585269373392</c:v>
                </c:pt>
                <c:pt idx="908">
                  <c:v>3.6498075969845072</c:v>
                </c:pt>
                <c:pt idx="909">
                  <c:v>3.6490300902606583</c:v>
                </c:pt>
                <c:pt idx="910">
                  <c:v>3.6482527491665575</c:v>
                </c:pt>
                <c:pt idx="911">
                  <c:v>3.6474755736669167</c:v>
                </c:pt>
                <c:pt idx="912">
                  <c:v>3.6467364330368905</c:v>
                </c:pt>
                <c:pt idx="913">
                  <c:v>3.6459595805531784</c:v>
                </c:pt>
                <c:pt idx="914">
                  <c:v>3.6451828935598423</c:v>
                </c:pt>
                <c:pt idx="915">
                  <c:v>3.6444650229128697</c:v>
                </c:pt>
                <c:pt idx="916">
                  <c:v>3.6436886543003189</c:v>
                </c:pt>
                <c:pt idx="917">
                  <c:v>3.6429124510750666</c:v>
                </c:pt>
                <c:pt idx="918">
                  <c:v>3.642136413201881</c:v>
                </c:pt>
                <c:pt idx="919">
                  <c:v>3.6429343654746771</c:v>
                </c:pt>
                <c:pt idx="920">
                  <c:v>3.6421583229331387</c:v>
                </c:pt>
                <c:pt idx="921">
                  <c:v>3.6413824457094348</c:v>
                </c:pt>
                <c:pt idx="922">
                  <c:v>3.6463885175215438</c:v>
                </c:pt>
                <c:pt idx="923">
                  <c:v>3.6488291728423605</c:v>
                </c:pt>
                <c:pt idx="924">
                  <c:v>5.145769637931398</c:v>
                </c:pt>
                <c:pt idx="925">
                  <c:v>4.9149887981110725</c:v>
                </c:pt>
                <c:pt idx="926">
                  <c:v>4.7045344729272047</c:v>
                </c:pt>
                <c:pt idx="927">
                  <c:v>4.9582235860301251</c:v>
                </c:pt>
                <c:pt idx="928">
                  <c:v>6.6098606521680123</c:v>
                </c:pt>
                <c:pt idx="929">
                  <c:v>7.5307377793305772</c:v>
                </c:pt>
                <c:pt idx="930">
                  <c:v>7.0901306689584551</c:v>
                </c:pt>
                <c:pt idx="931">
                  <c:v>8.6137956447263431</c:v>
                </c:pt>
                <c:pt idx="932">
                  <c:v>8.4162954281257569</c:v>
                </c:pt>
                <c:pt idx="933">
                  <c:v>8.3294850442018404</c:v>
                </c:pt>
                <c:pt idx="934">
                  <c:v>7.9945808719394904</c:v>
                </c:pt>
                <c:pt idx="935">
                  <c:v>7.7801671118245359</c:v>
                </c:pt>
                <c:pt idx="936">
                  <c:v>7.4122194049565309</c:v>
                </c:pt>
                <c:pt idx="937">
                  <c:v>7.1638701432967977</c:v>
                </c:pt>
                <c:pt idx="938">
                  <c:v>8.9533219343182875</c:v>
                </c:pt>
                <c:pt idx="939">
                  <c:v>9.3210895761795296</c:v>
                </c:pt>
                <c:pt idx="940">
                  <c:v>9.5167463398030545</c:v>
                </c:pt>
                <c:pt idx="941">
                  <c:v>9.2740534515323869</c:v>
                </c:pt>
                <c:pt idx="942">
                  <c:v>8.6810364954595531</c:v>
                </c:pt>
                <c:pt idx="943">
                  <c:v>9.2308562961222425</c:v>
                </c:pt>
                <c:pt idx="944">
                  <c:v>8.9141206864983982</c:v>
                </c:pt>
                <c:pt idx="945">
                  <c:v>8.4933468586509857</c:v>
                </c:pt>
                <c:pt idx="946">
                  <c:v>8.577012417859887</c:v>
                </c:pt>
                <c:pt idx="947">
                  <c:v>8.6933616396962634</c:v>
                </c:pt>
                <c:pt idx="948">
                  <c:v>8.1520624584777348</c:v>
                </c:pt>
                <c:pt idx="949">
                  <c:v>7.6585028504906569</c:v>
                </c:pt>
                <c:pt idx="950">
                  <c:v>7.3014451818880639</c:v>
                </c:pt>
                <c:pt idx="951">
                  <c:v>6.9697090280798699</c:v>
                </c:pt>
                <c:pt idx="952">
                  <c:v>7.1122641902453836</c:v>
                </c:pt>
                <c:pt idx="953">
                  <c:v>6.7105000964826953</c:v>
                </c:pt>
                <c:pt idx="954">
                  <c:v>6.38602810686025</c:v>
                </c:pt>
                <c:pt idx="955">
                  <c:v>7.8685169322673536</c:v>
                </c:pt>
                <c:pt idx="956">
                  <c:v>8.7707192561631508</c:v>
                </c:pt>
                <c:pt idx="957">
                  <c:v>9.0933535010296538</c:v>
                </c:pt>
                <c:pt idx="958">
                  <c:v>9.0669603729719359</c:v>
                </c:pt>
                <c:pt idx="959">
                  <c:v>10.490990331226566</c:v>
                </c:pt>
                <c:pt idx="960">
                  <c:v>11.069445298085455</c:v>
                </c:pt>
                <c:pt idx="961">
                  <c:v>10.432718284650717</c:v>
                </c:pt>
                <c:pt idx="962">
                  <c:v>10.050123694565711</c:v>
                </c:pt>
                <c:pt idx="963">
                  <c:v>9.4694545434735335</c:v>
                </c:pt>
                <c:pt idx="964">
                  <c:v>8.8613221169902463</c:v>
                </c:pt>
                <c:pt idx="965">
                  <c:v>8.3068291742781568</c:v>
                </c:pt>
                <c:pt idx="966">
                  <c:v>7.8903551575563577</c:v>
                </c:pt>
                <c:pt idx="967">
                  <c:v>7.4215094129668326</c:v>
                </c:pt>
                <c:pt idx="968">
                  <c:v>7.3307581768571115</c:v>
                </c:pt>
                <c:pt idx="969">
                  <c:v>7.978024806707408</c:v>
                </c:pt>
                <c:pt idx="970">
                  <c:v>8.5099443449703269</c:v>
                </c:pt>
                <c:pt idx="971">
                  <c:v>9.1517488509524014</c:v>
                </c:pt>
                <c:pt idx="972">
                  <c:v>9.260034187873698</c:v>
                </c:pt>
                <c:pt idx="973">
                  <c:v>12.137992256801061</c:v>
                </c:pt>
                <c:pt idx="974">
                  <c:v>11.295887554133381</c:v>
                </c:pt>
                <c:pt idx="975">
                  <c:v>10.551047428757339</c:v>
                </c:pt>
                <c:pt idx="976">
                  <c:v>10.072500592721541</c:v>
                </c:pt>
                <c:pt idx="977">
                  <c:v>10.843988266098583</c:v>
                </c:pt>
                <c:pt idx="978">
                  <c:v>10.116377980771009</c:v>
                </c:pt>
                <c:pt idx="979">
                  <c:v>9.4529546975254508</c:v>
                </c:pt>
                <c:pt idx="980">
                  <c:v>9.5300183462168899</c:v>
                </c:pt>
                <c:pt idx="981">
                  <c:v>9.9476797969307107</c:v>
                </c:pt>
                <c:pt idx="982">
                  <c:v>9.5448636936927347</c:v>
                </c:pt>
                <c:pt idx="983">
                  <c:v>9.5361550446602159</c:v>
                </c:pt>
                <c:pt idx="984">
                  <c:v>10.168997464685242</c:v>
                </c:pt>
                <c:pt idx="985">
                  <c:v>13.145283356119609</c:v>
                </c:pt>
                <c:pt idx="986">
                  <c:v>14.744328671118309</c:v>
                </c:pt>
                <c:pt idx="987">
                  <c:v>16.187048517998473</c:v>
                </c:pt>
                <c:pt idx="988">
                  <c:v>19.558959499582073</c:v>
                </c:pt>
                <c:pt idx="989">
                  <c:v>19.083923109231051</c:v>
                </c:pt>
                <c:pt idx="990">
                  <c:v>18.197218973164524</c:v>
                </c:pt>
                <c:pt idx="991">
                  <c:v>19.33200683328965</c:v>
                </c:pt>
                <c:pt idx="992">
                  <c:v>20.339860546069104</c:v>
                </c:pt>
                <c:pt idx="993">
                  <c:v>18.828949966291411</c:v>
                </c:pt>
                <c:pt idx="994">
                  <c:v>18.157235692090513</c:v>
                </c:pt>
                <c:pt idx="995">
                  <c:v>16.789710825019771</c:v>
                </c:pt>
                <c:pt idx="996">
                  <c:v>15.542865603585966</c:v>
                </c:pt>
                <c:pt idx="997">
                  <c:v>14.406046023775184</c:v>
                </c:pt>
                <c:pt idx="998">
                  <c:v>13.495607343254768</c:v>
                </c:pt>
                <c:pt idx="999">
                  <c:v>12.539460378921605</c:v>
                </c:pt>
                <c:pt idx="1000">
                  <c:v>11.731122709346694</c:v>
                </c:pt>
                <c:pt idx="1001">
                  <c:v>11.150476257115583</c:v>
                </c:pt>
                <c:pt idx="1002">
                  <c:v>10.597307045159846</c:v>
                </c:pt>
                <c:pt idx="1003">
                  <c:v>10.385416716319208</c:v>
                </c:pt>
                <c:pt idx="1004">
                  <c:v>10.001023942225814</c:v>
                </c:pt>
                <c:pt idx="1005">
                  <c:v>10.522083529841522</c:v>
                </c:pt>
                <c:pt idx="1006">
                  <c:v>11.973556790586917</c:v>
                </c:pt>
                <c:pt idx="1007">
                  <c:v>12.842977859302604</c:v>
                </c:pt>
                <c:pt idx="1008">
                  <c:v>17.34039101387879</c:v>
                </c:pt>
                <c:pt idx="1009">
                  <c:v>16.849268465874086</c:v>
                </c:pt>
                <c:pt idx="1010">
                  <c:v>16.91926688708643</c:v>
                </c:pt>
                <c:pt idx="1011">
                  <c:v>19.048027783272236</c:v>
                </c:pt>
                <c:pt idx="1012">
                  <c:v>19.351140843078046</c:v>
                </c:pt>
                <c:pt idx="1013">
                  <c:v>18.582406701645567</c:v>
                </c:pt>
                <c:pt idx="1014">
                  <c:v>21.341783104432292</c:v>
                </c:pt>
                <c:pt idx="1015">
                  <c:v>20.664203734952835</c:v>
                </c:pt>
                <c:pt idx="1016">
                  <c:v>19.104916951732822</c:v>
                </c:pt>
                <c:pt idx="1017">
                  <c:v>17.659304437564103</c:v>
                </c:pt>
                <c:pt idx="1018">
                  <c:v>16.341264227394298</c:v>
                </c:pt>
                <c:pt idx="1019">
                  <c:v>15.139533809846252</c:v>
                </c:pt>
                <c:pt idx="1020">
                  <c:v>14.497212274896826</c:v>
                </c:pt>
                <c:pt idx="1021">
                  <c:v>13.490043666314827</c:v>
                </c:pt>
                <c:pt idx="1022">
                  <c:v>12.540005183871711</c:v>
                </c:pt>
                <c:pt idx="1023">
                  <c:v>11.673788050216649</c:v>
                </c:pt>
                <c:pt idx="1024">
                  <c:v>11.745121478277705</c:v>
                </c:pt>
                <c:pt idx="1025">
                  <c:v>11.577055616872833</c:v>
                </c:pt>
                <c:pt idx="1026">
                  <c:v>11.550561515820855</c:v>
                </c:pt>
                <c:pt idx="1027">
                  <c:v>10.77209331199416</c:v>
                </c:pt>
                <c:pt idx="1028">
                  <c:v>10.062299568193994</c:v>
                </c:pt>
                <c:pt idx="1029">
                  <c:v>9.9581299112378474</c:v>
                </c:pt>
                <c:pt idx="1030">
                  <c:v>9.4645978200688283</c:v>
                </c:pt>
                <c:pt idx="1031">
                  <c:v>9.128617533744924</c:v>
                </c:pt>
                <c:pt idx="1032">
                  <c:v>8.5913133997007645</c:v>
                </c:pt>
                <c:pt idx="1033">
                  <c:v>8.3121742978244928</c:v>
                </c:pt>
                <c:pt idx="1034">
                  <c:v>8.8822497995863792</c:v>
                </c:pt>
                <c:pt idx="1035">
                  <c:v>8.4385254089729678</c:v>
                </c:pt>
                <c:pt idx="1036">
                  <c:v>8.3954420575637201</c:v>
                </c:pt>
                <c:pt idx="1037">
                  <c:v>8.0064055451260625</c:v>
                </c:pt>
                <c:pt idx="1038">
                  <c:v>7.5410531768500135</c:v>
                </c:pt>
                <c:pt idx="1039">
                  <c:v>7.5660536911959735</c:v>
                </c:pt>
                <c:pt idx="1040">
                  <c:v>8.0890493527077343</c:v>
                </c:pt>
                <c:pt idx="1041">
                  <c:v>7.6519155334071414</c:v>
                </c:pt>
                <c:pt idx="1042">
                  <c:v>7.2180382452088017</c:v>
                </c:pt>
                <c:pt idx="1043">
                  <c:v>7.3504270710281476</c:v>
                </c:pt>
                <c:pt idx="1044">
                  <c:v>6.9432051336533656</c:v>
                </c:pt>
                <c:pt idx="1045">
                  <c:v>6.6507202011774567</c:v>
                </c:pt>
                <c:pt idx="1046">
                  <c:v>6.3294381297235383</c:v>
                </c:pt>
                <c:pt idx="1047">
                  <c:v>6.3926295519602503</c:v>
                </c:pt>
                <c:pt idx="1048">
                  <c:v>6.0698892782224085</c:v>
                </c:pt>
                <c:pt idx="1049">
                  <c:v>5.7755901550811526</c:v>
                </c:pt>
                <c:pt idx="1050">
                  <c:v>5.5072213107845052</c:v>
                </c:pt>
                <c:pt idx="1051">
                  <c:v>5.4716397146596307</c:v>
                </c:pt>
                <c:pt idx="1052">
                  <c:v>5.2300579632954483</c:v>
                </c:pt>
                <c:pt idx="1053">
                  <c:v>5.0097524405642311</c:v>
                </c:pt>
                <c:pt idx="1054">
                  <c:v>4.8088448186918651</c:v>
                </c:pt>
                <c:pt idx="1055">
                  <c:v>4.625622595146166</c:v>
                </c:pt>
                <c:pt idx="1056">
                  <c:v>4.4585244530134673</c:v>
                </c:pt>
                <c:pt idx="1057">
                  <c:v>4.3061269138115899</c:v>
                </c:pt>
                <c:pt idx="1058">
                  <c:v>4.1671321686384326</c:v>
                </c:pt>
                <c:pt idx="1059">
                  <c:v>4.0403569836286781</c:v>
                </c:pt>
                <c:pt idx="1060">
                  <c:v>3.9247225848749934</c:v>
                </c:pt>
                <c:pt idx="1061">
                  <c:v>3.8518421896344139</c:v>
                </c:pt>
                <c:pt idx="1062">
                  <c:v>3.8510216441338465</c:v>
                </c:pt>
                <c:pt idx="1063">
                  <c:v>3.8502012734314373</c:v>
                </c:pt>
                <c:pt idx="1064">
                  <c:v>3.8493810774899475</c:v>
                </c:pt>
                <c:pt idx="1065">
                  <c:v>3.8485610562721519</c:v>
                </c:pt>
                <c:pt idx="1066">
                  <c:v>3.8477412097408261</c:v>
                </c:pt>
                <c:pt idx="1067">
                  <c:v>3.8469215378587602</c:v>
                </c:pt>
                <c:pt idx="1068">
                  <c:v>3.8461020405887463</c:v>
                </c:pt>
                <c:pt idx="1069">
                  <c:v>3.8452827178935896</c:v>
                </c:pt>
                <c:pt idx="1070">
                  <c:v>3.8444635697361003</c:v>
                </c:pt>
                <c:pt idx="1071">
                  <c:v>3.8436445960790984</c:v>
                </c:pt>
                <c:pt idx="1072">
                  <c:v>3.8428257968854074</c:v>
                </c:pt>
                <c:pt idx="1073">
                  <c:v>3.8420071721178646</c:v>
                </c:pt>
                <c:pt idx="1074">
                  <c:v>3.8411887217393135</c:v>
                </c:pt>
                <c:pt idx="1075">
                  <c:v>3.8403704457126016</c:v>
                </c:pt>
                <c:pt idx="1076">
                  <c:v>3.8395523440005896</c:v>
                </c:pt>
                <c:pt idx="1077">
                  <c:v>3.8387344165661421</c:v>
                </c:pt>
                <c:pt idx="1078">
                  <c:v>3.8379166633721344</c:v>
                </c:pt>
                <c:pt idx="1079">
                  <c:v>3.8370990843814483</c:v>
                </c:pt>
                <c:pt idx="1080">
                  <c:v>3.8362816795569739</c:v>
                </c:pt>
                <c:pt idx="1081">
                  <c:v>3.8354644488616088</c:v>
                </c:pt>
                <c:pt idx="1082">
                  <c:v>3.8346473922582596</c:v>
                </c:pt>
                <c:pt idx="1083">
                  <c:v>3.8338305097098391</c:v>
                </c:pt>
                <c:pt idx="1084">
                  <c:v>3.8330138011792694</c:v>
                </c:pt>
                <c:pt idx="1085">
                  <c:v>3.832197266629481</c:v>
                </c:pt>
                <c:pt idx="1086">
                  <c:v>3.8313809060234094</c:v>
                </c:pt>
                <c:pt idx="1087">
                  <c:v>3.8305647193240011</c:v>
                </c:pt>
                <c:pt idx="1088">
                  <c:v>3.8297487064942093</c:v>
                </c:pt>
                <c:pt idx="1089">
                  <c:v>3.8289328674969956</c:v>
                </c:pt>
                <c:pt idx="1090">
                  <c:v>3.8281172022953269</c:v>
                </c:pt>
                <c:pt idx="1091">
                  <c:v>3.8273017108521836</c:v>
                </c:pt>
                <c:pt idx="1092">
                  <c:v>3.8264863931305473</c:v>
                </c:pt>
                <c:pt idx="1093">
                  <c:v>3.8256712490934115</c:v>
                </c:pt>
                <c:pt idx="1094">
                  <c:v>3.8248562787037783</c:v>
                </c:pt>
                <c:pt idx="1095">
                  <c:v>3.8240414819246542</c:v>
                </c:pt>
                <c:pt idx="1096">
                  <c:v>3.8232268587190554</c:v>
                </c:pt>
                <c:pt idx="1097">
                  <c:v>3.8224124090500085</c:v>
                </c:pt>
                <c:pt idx="1098">
                  <c:v>3.8215981328805437</c:v>
                </c:pt>
                <c:pt idx="1099">
                  <c:v>3.8207840301737015</c:v>
                </c:pt>
                <c:pt idx="1100">
                  <c:v>3.8199701008925282</c:v>
                </c:pt>
                <c:pt idx="1101">
                  <c:v>3.8191563450000818</c:v>
                </c:pt>
                <c:pt idx="1102">
                  <c:v>3.8183427624594239</c:v>
                </c:pt>
                <c:pt idx="1103">
                  <c:v>3.8175293532336263</c:v>
                </c:pt>
                <c:pt idx="1104">
                  <c:v>3.8167161172857704</c:v>
                </c:pt>
                <c:pt idx="1105">
                  <c:v>3.8159030545789419</c:v>
                </c:pt>
                <c:pt idx="1106">
                  <c:v>3.8150901650762341</c:v>
                </c:pt>
                <c:pt idx="1107">
                  <c:v>3.8142774487407527</c:v>
                </c:pt>
                <c:pt idx="1108">
                  <c:v>3.8134649055356076</c:v>
                </c:pt>
                <c:pt idx="1109">
                  <c:v>3.8126525354239171</c:v>
                </c:pt>
                <c:pt idx="1110">
                  <c:v>3.8118403383688073</c:v>
                </c:pt>
                <c:pt idx="1111">
                  <c:v>3.8110283143334125</c:v>
                </c:pt>
                <c:pt idx="1112">
                  <c:v>3.810216463280875</c:v>
                </c:pt>
                <c:pt idx="1113">
                  <c:v>3.8094047851743453</c:v>
                </c:pt>
                <c:pt idx="1114">
                  <c:v>3.8085932799769804</c:v>
                </c:pt>
                <c:pt idx="1115">
                  <c:v>3.807781947651947</c:v>
                </c:pt>
                <c:pt idx="1116">
                  <c:v>3.8069707881624191</c:v>
                </c:pt>
                <c:pt idx="1117">
                  <c:v>3.8061598014715763</c:v>
                </c:pt>
                <c:pt idx="1118">
                  <c:v>3.8053489875426094</c:v>
                </c:pt>
                <c:pt idx="1119">
                  <c:v>3.804538346338715</c:v>
                </c:pt>
                <c:pt idx="1120">
                  <c:v>3.8037278778230981</c:v>
                </c:pt>
                <c:pt idx="1121">
                  <c:v>3.8029175819589707</c:v>
                </c:pt>
                <c:pt idx="1122">
                  <c:v>3.8021074587095542</c:v>
                </c:pt>
                <c:pt idx="1123">
                  <c:v>3.8012975080380764</c:v>
                </c:pt>
                <c:pt idx="1124">
                  <c:v>3.8004877299077755</c:v>
                </c:pt>
                <c:pt idx="1125">
                  <c:v>3.7996781242818933</c:v>
                </c:pt>
                <c:pt idx="1126">
                  <c:v>3.798868691123682</c:v>
                </c:pt>
                <c:pt idx="1127">
                  <c:v>3.7980594303964037</c:v>
                </c:pt>
                <c:pt idx="1128">
                  <c:v>3.7972503420633217</c:v>
                </c:pt>
                <c:pt idx="1129">
                  <c:v>3.7964414260877164</c:v>
                </c:pt>
                <c:pt idx="1130">
                  <c:v>3.7956326824328683</c:v>
                </c:pt>
                <c:pt idx="1131">
                  <c:v>3.7948241110620682</c:v>
                </c:pt>
                <c:pt idx="1132">
                  <c:v>3.7940157119386155</c:v>
                </c:pt>
                <c:pt idx="1133">
                  <c:v>3.7932074850258166</c:v>
                </c:pt>
                <c:pt idx="1134">
                  <c:v>3.7923994302869874</c:v>
                </c:pt>
                <c:pt idx="1135">
                  <c:v>3.7915915476854489</c:v>
                </c:pt>
                <c:pt idx="1136">
                  <c:v>3.7907838371845322</c:v>
                </c:pt>
                <c:pt idx="1137">
                  <c:v>3.7899762987475745</c:v>
                </c:pt>
                <c:pt idx="1138">
                  <c:v>3.7891689323379203</c:v>
                </c:pt>
                <c:pt idx="1139">
                  <c:v>3.7883617379189269</c:v>
                </c:pt>
                <c:pt idx="1140">
                  <c:v>3.7875547154539522</c:v>
                </c:pt>
                <c:pt idx="1141">
                  <c:v>3.7867478649063666</c:v>
                </c:pt>
                <c:pt idx="1142">
                  <c:v>3.785941186239548</c:v>
                </c:pt>
                <c:pt idx="1143">
                  <c:v>3.7851346794168799</c:v>
                </c:pt>
                <c:pt idx="1144">
                  <c:v>3.7843283444017537</c:v>
                </c:pt>
                <c:pt idx="1145">
                  <c:v>3.7835221811575739</c:v>
                </c:pt>
                <c:pt idx="1146">
                  <c:v>3.7827161896477448</c:v>
                </c:pt>
                <c:pt idx="1147">
                  <c:v>3.7819103698356851</c:v>
                </c:pt>
                <c:pt idx="1148">
                  <c:v>3.7811047216848142</c:v>
                </c:pt>
                <c:pt idx="1149">
                  <c:v>3.7802992451585689</c:v>
                </c:pt>
                <c:pt idx="1150">
                  <c:v>3.7794939402203864</c:v>
                </c:pt>
                <c:pt idx="1151">
                  <c:v>3.7786888068337134</c:v>
                </c:pt>
                <c:pt idx="1152">
                  <c:v>3.7778838449620054</c:v>
                </c:pt>
                <c:pt idx="1153">
                  <c:v>3.7770790545687243</c:v>
                </c:pt>
                <c:pt idx="1154">
                  <c:v>3.7762744356173426</c:v>
                </c:pt>
                <c:pt idx="1155">
                  <c:v>3.7754699880713356</c:v>
                </c:pt>
                <c:pt idx="1156">
                  <c:v>3.7746657118941926</c:v>
                </c:pt>
                <c:pt idx="1157">
                  <c:v>3.773861607049406</c:v>
                </c:pt>
                <c:pt idx="1158">
                  <c:v>3.7730576735004755</c:v>
                </c:pt>
                <c:pt idx="1159">
                  <c:v>3.772253911210913</c:v>
                </c:pt>
                <c:pt idx="1160">
                  <c:v>3.7714503201442353</c:v>
                </c:pt>
                <c:pt idx="1161">
                  <c:v>3.7706469002639675</c:v>
                </c:pt>
                <c:pt idx="1162">
                  <c:v>3.7698436515336415</c:v>
                </c:pt>
                <c:pt idx="1163">
                  <c:v>3.7690405739167976</c:v>
                </c:pt>
                <c:pt idx="1164">
                  <c:v>3.7682376673769857</c:v>
                </c:pt>
                <c:pt idx="1165">
                  <c:v>3.7674349318777596</c:v>
                </c:pt>
                <c:pt idx="1166">
                  <c:v>3.7666323673826843</c:v>
                </c:pt>
                <c:pt idx="1167">
                  <c:v>3.7658299738553311</c:v>
                </c:pt>
                <c:pt idx="1168">
                  <c:v>3.76502775125928</c:v>
                </c:pt>
                <c:pt idx="1169">
                  <c:v>3.764225699558116</c:v>
                </c:pt>
                <c:pt idx="1170">
                  <c:v>3.7634238187154367</c:v>
                </c:pt>
                <c:pt idx="1171">
                  <c:v>3.7626221086948419</c:v>
                </c:pt>
                <c:pt idx="1172">
                  <c:v>3.7618205694599438</c:v>
                </c:pt>
                <c:pt idx="1173">
                  <c:v>3.7610192009743617</c:v>
                </c:pt>
                <c:pt idx="1174">
                  <c:v>3.7602180032017194</c:v>
                </c:pt>
                <c:pt idx="1175">
                  <c:v>3.7594169761056495</c:v>
                </c:pt>
                <c:pt idx="1176">
                  <c:v>3.758616119649794</c:v>
                </c:pt>
                <c:pt idx="1177">
                  <c:v>3.7578154337978042</c:v>
                </c:pt>
                <c:pt idx="1178">
                  <c:v>3.7570149185133346</c:v>
                </c:pt>
                <c:pt idx="1179">
                  <c:v>3.7562145737600505</c:v>
                </c:pt>
                <c:pt idx="1180">
                  <c:v>3.7554143995016238</c:v>
                </c:pt>
                <c:pt idx="1181">
                  <c:v>3.7546143957017355</c:v>
                </c:pt>
                <c:pt idx="1182">
                  <c:v>3.753814562324072</c:v>
                </c:pt>
                <c:pt idx="1183">
                  <c:v>3.7530148993323293</c:v>
                </c:pt>
                <c:pt idx="1184">
                  <c:v>3.7522154066902118</c:v>
                </c:pt>
                <c:pt idx="1185">
                  <c:v>3.7514160843614297</c:v>
                </c:pt>
                <c:pt idx="1186">
                  <c:v>3.7506169323097014</c:v>
                </c:pt>
                <c:pt idx="1187">
                  <c:v>3.7498179504987532</c:v>
                </c:pt>
                <c:pt idx="1188">
                  <c:v>3.74901913889232</c:v>
                </c:pt>
                <c:pt idx="1189">
                  <c:v>3.7482204974541431</c:v>
                </c:pt>
                <c:pt idx="1190">
                  <c:v>3.747422026147972</c:v>
                </c:pt>
                <c:pt idx="1191">
                  <c:v>3.7466237249375633</c:v>
                </c:pt>
                <c:pt idx="1192">
                  <c:v>3.7458255937866847</c:v>
                </c:pt>
                <c:pt idx="1193">
                  <c:v>3.7450276326591072</c:v>
                </c:pt>
                <c:pt idx="1194">
                  <c:v>3.7442298415186102</c:v>
                </c:pt>
                <c:pt idx="1195">
                  <c:v>3.7434322270548059</c:v>
                </c:pt>
                <c:pt idx="1196">
                  <c:v>3.7427016151378516</c:v>
                </c:pt>
                <c:pt idx="1197">
                  <c:v>3.7419469126990998</c:v>
                </c:pt>
                <c:pt idx="1198">
                  <c:v>3.7411497778344271</c:v>
                </c:pt>
                <c:pt idx="1199">
                  <c:v>3.7404832276251248</c:v>
                </c:pt>
                <c:pt idx="1200">
                  <c:v>3.7396864045645555</c:v>
                </c:pt>
                <c:pt idx="1201">
                  <c:v>3.7388897512486281</c:v>
                </c:pt>
                <c:pt idx="1202">
                  <c:v>3.7380932676411849</c:v>
                </c:pt>
                <c:pt idx="1203">
                  <c:v>3.7372969537060707</c:v>
                </c:pt>
                <c:pt idx="1204">
                  <c:v>3.7365008094071426</c:v>
                </c:pt>
                <c:pt idx="1205">
                  <c:v>3.7357048347082626</c:v>
                </c:pt>
                <c:pt idx="1206">
                  <c:v>3.7355237380732715</c:v>
                </c:pt>
                <c:pt idx="1207">
                  <c:v>3.7350342819943316</c:v>
                </c:pt>
                <c:pt idx="1208">
                  <c:v>3.7343296808155948</c:v>
                </c:pt>
                <c:pt idx="1209">
                  <c:v>3.7348182966368011</c:v>
                </c:pt>
                <c:pt idx="1210">
                  <c:v>3.7340226803581835</c:v>
                </c:pt>
                <c:pt idx="1211">
                  <c:v>3.7332272335671304</c:v>
                </c:pt>
                <c:pt idx="1212">
                  <c:v>3.7355114829021492</c:v>
                </c:pt>
                <c:pt idx="1213">
                  <c:v>3.7383286256884705</c:v>
                </c:pt>
                <c:pt idx="1214">
                  <c:v>3.7390259358911733</c:v>
                </c:pt>
                <c:pt idx="1215">
                  <c:v>3.7385828547247675</c:v>
                </c:pt>
                <c:pt idx="1216">
                  <c:v>3.73787146989529</c:v>
                </c:pt>
                <c:pt idx="1217">
                  <c:v>3.7372423305508509</c:v>
                </c:pt>
                <c:pt idx="1218">
                  <c:v>3.7380498474021215</c:v>
                </c:pt>
                <c:pt idx="1219">
                  <c:v>3.8308013670818042</c:v>
                </c:pt>
                <c:pt idx="1220">
                  <c:v>4.2335531956542498</c:v>
                </c:pt>
                <c:pt idx="1221">
                  <c:v>4.0909047436422208</c:v>
                </c:pt>
                <c:pt idx="1222">
                  <c:v>3.9608005568277211</c:v>
                </c:pt>
                <c:pt idx="1223">
                  <c:v>3.8421331947682611</c:v>
                </c:pt>
                <c:pt idx="1224">
                  <c:v>3.7377734987707596</c:v>
                </c:pt>
                <c:pt idx="1225">
                  <c:v>3.9044163766627853</c:v>
                </c:pt>
                <c:pt idx="1226">
                  <c:v>3.930553108946802</c:v>
                </c:pt>
                <c:pt idx="1227">
                  <c:v>3.9079303566005641</c:v>
                </c:pt>
                <c:pt idx="1228">
                  <c:v>3.840280772119383</c:v>
                </c:pt>
                <c:pt idx="1229">
                  <c:v>3.8533216411400484</c:v>
                </c:pt>
                <c:pt idx="1230">
                  <c:v>4.2147371350903393</c:v>
                </c:pt>
                <c:pt idx="1231">
                  <c:v>4.6281756584614939</c:v>
                </c:pt>
                <c:pt idx="1232">
                  <c:v>4.45060297655351</c:v>
                </c:pt>
                <c:pt idx="1233">
                  <c:v>4.5062132174937819</c:v>
                </c:pt>
                <c:pt idx="1234">
                  <c:v>4.3393678342527213</c:v>
                </c:pt>
                <c:pt idx="1235">
                  <c:v>7.2060142781264513</c:v>
                </c:pt>
                <c:pt idx="1236">
                  <c:v>7.7063219329612496</c:v>
                </c:pt>
                <c:pt idx="1237">
                  <c:v>7.2821061134743932</c:v>
                </c:pt>
                <c:pt idx="1238">
                  <c:v>6.8710588514288062</c:v>
                </c:pt>
                <c:pt idx="1239">
                  <c:v>6.4962508686096259</c:v>
                </c:pt>
                <c:pt idx="1240">
                  <c:v>6.1544828471713</c:v>
                </c:pt>
                <c:pt idx="1241">
                  <c:v>5.8428379160628641</c:v>
                </c:pt>
                <c:pt idx="1242">
                  <c:v>5.5586567156522744</c:v>
                </c:pt>
                <c:pt idx="1243">
                  <c:v>5.2995146637315464</c:v>
                </c:pt>
                <c:pt idx="1244">
                  <c:v>5.1011429451265133</c:v>
                </c:pt>
                <c:pt idx="1245">
                  <c:v>4.882303316637004</c:v>
                </c:pt>
                <c:pt idx="1246">
                  <c:v>4.9784697530968947</c:v>
                </c:pt>
                <c:pt idx="1247">
                  <c:v>4.7704409673180468</c:v>
                </c:pt>
                <c:pt idx="1248">
                  <c:v>4.5807283660623703</c:v>
                </c:pt>
                <c:pt idx="1249">
                  <c:v>4.4077149439900518</c:v>
                </c:pt>
                <c:pt idx="1250">
                  <c:v>4.2499264505588981</c:v>
                </c:pt>
                <c:pt idx="1251">
                  <c:v>4.1060187871391882</c:v>
                </c:pt>
                <c:pt idx="1252">
                  <c:v>3.9747665167546424</c:v>
                </c:pt>
                <c:pt idx="1253">
                  <c:v>3.8550523882230312</c:v>
                </c:pt>
                <c:pt idx="1254">
                  <c:v>3.7458577851417081</c:v>
                </c:pt>
                <c:pt idx="1255">
                  <c:v>3.739112580021263</c:v>
                </c:pt>
                <c:pt idx="1256">
                  <c:v>3.9961038059160026</c:v>
                </c:pt>
                <c:pt idx="1257">
                  <c:v>3.8880526545026308</c:v>
                </c:pt>
                <c:pt idx="1258">
                  <c:v>3.8283978276494426</c:v>
                </c:pt>
                <c:pt idx="1259">
                  <c:v>4.4303960757891101</c:v>
                </c:pt>
                <c:pt idx="1260">
                  <c:v>4.2704394401860206</c:v>
                </c:pt>
                <c:pt idx="1261">
                  <c:v>4.1245550809659504</c:v>
                </c:pt>
                <c:pt idx="1262">
                  <c:v>3.9915006596001379</c:v>
                </c:pt>
                <c:pt idx="1263">
                  <c:v>3.8701435154811206</c:v>
                </c:pt>
                <c:pt idx="1264">
                  <c:v>4.0600056989107367</c:v>
                </c:pt>
                <c:pt idx="1265">
                  <c:v>4.0162454414602378</c:v>
                </c:pt>
                <c:pt idx="1266">
                  <c:v>3.8926593395572162</c:v>
                </c:pt>
                <c:pt idx="1267">
                  <c:v>4.1226786395837571</c:v>
                </c:pt>
                <c:pt idx="1268">
                  <c:v>3.9896899326284787</c:v>
                </c:pt>
                <c:pt idx="1269">
                  <c:v>3.8683927227163459</c:v>
                </c:pt>
                <c:pt idx="1270">
                  <c:v>3.7577548547083595</c:v>
                </c:pt>
                <c:pt idx="1271">
                  <c:v>4.08398360160135</c:v>
                </c:pt>
                <c:pt idx="1272">
                  <c:v>5.6012701335834718</c:v>
                </c:pt>
                <c:pt idx="1273">
                  <c:v>6.333572364154346</c:v>
                </c:pt>
                <c:pt idx="1274">
                  <c:v>6.0059278403358691</c:v>
                </c:pt>
                <c:pt idx="1275">
                  <c:v>5.707159586609321</c:v>
                </c:pt>
                <c:pt idx="1276">
                  <c:v>6.4796754673441868</c:v>
                </c:pt>
                <c:pt idx="1277">
                  <c:v>6.4460169628852304</c:v>
                </c:pt>
                <c:pt idx="1278">
                  <c:v>7.6058650699340973</c:v>
                </c:pt>
                <c:pt idx="1279">
                  <c:v>7.2543806454499729</c:v>
                </c:pt>
                <c:pt idx="1280">
                  <c:v>8.4529705974887719</c:v>
                </c:pt>
                <c:pt idx="1281">
                  <c:v>7.9390936508611398</c:v>
                </c:pt>
                <c:pt idx="1282">
                  <c:v>7.4705340274628433</c:v>
                </c:pt>
                <c:pt idx="1283">
                  <c:v>7.0432909684862759</c:v>
                </c:pt>
                <c:pt idx="1284">
                  <c:v>6.6537169158864682</c:v>
                </c:pt>
                <c:pt idx="1285">
                  <c:v>6.2984863306014356</c:v>
                </c:pt>
                <c:pt idx="1286">
                  <c:v>6.4279891161192451</c:v>
                </c:pt>
                <c:pt idx="1287">
                  <c:v>7.7685273268122303</c:v>
                </c:pt>
                <c:pt idx="1288">
                  <c:v>7.3153011205117071</c:v>
                </c:pt>
                <c:pt idx="1289">
                  <c:v>7.0009559088577387</c:v>
                </c:pt>
                <c:pt idx="1290">
                  <c:v>7.0449628410643843</c:v>
                </c:pt>
                <c:pt idx="1291">
                  <c:v>6.6556087516077493</c:v>
                </c:pt>
                <c:pt idx="1292">
                  <c:v>6.3005786320616259</c:v>
                </c:pt>
                <c:pt idx="1293">
                  <c:v>5.9768422547169457</c:v>
                </c:pt>
                <c:pt idx="1294">
                  <c:v>6.6313396350508977</c:v>
                </c:pt>
                <c:pt idx="1295">
                  <c:v>6.95332157076413</c:v>
                </c:pt>
                <c:pt idx="1296">
                  <c:v>7.6722233028487645</c:v>
                </c:pt>
                <c:pt idx="1297">
                  <c:v>7.9658174300750275</c:v>
                </c:pt>
                <c:pt idx="1298">
                  <c:v>8.5550561580554518</c:v>
                </c:pt>
                <c:pt idx="1299">
                  <c:v>10.583335304321311</c:v>
                </c:pt>
                <c:pt idx="1300">
                  <c:v>10.693393906897029</c:v>
                </c:pt>
                <c:pt idx="1301">
                  <c:v>14.187724573092487</c:v>
                </c:pt>
                <c:pt idx="1302">
                  <c:v>15.918250307331119</c:v>
                </c:pt>
                <c:pt idx="1303">
                  <c:v>16.394035231825786</c:v>
                </c:pt>
                <c:pt idx="1304">
                  <c:v>15.630130922799848</c:v>
                </c:pt>
                <c:pt idx="1305">
                  <c:v>16.434012029937684</c:v>
                </c:pt>
                <c:pt idx="1306">
                  <c:v>16.052562689320943</c:v>
                </c:pt>
                <c:pt idx="1307">
                  <c:v>14.872483354317568</c:v>
                </c:pt>
                <c:pt idx="1308">
                  <c:v>13.970321865900305</c:v>
                </c:pt>
                <c:pt idx="1309">
                  <c:v>12.99694316565852</c:v>
                </c:pt>
                <c:pt idx="1310">
                  <c:v>12.998072240440088</c:v>
                </c:pt>
                <c:pt idx="1311">
                  <c:v>12.645112380365166</c:v>
                </c:pt>
                <c:pt idx="1312">
                  <c:v>13.283944766999264</c:v>
                </c:pt>
                <c:pt idx="1313">
                  <c:v>13.191516482921175</c:v>
                </c:pt>
                <c:pt idx="1314">
                  <c:v>13.500310062221125</c:v>
                </c:pt>
                <c:pt idx="1315">
                  <c:v>13.012593894372543</c:v>
                </c:pt>
                <c:pt idx="1316">
                  <c:v>13.769513510740977</c:v>
                </c:pt>
                <c:pt idx="1317">
                  <c:v>12.88396168650503</c:v>
                </c:pt>
                <c:pt idx="1318">
                  <c:v>13.618769595948942</c:v>
                </c:pt>
                <c:pt idx="1319">
                  <c:v>13.504404128810904</c:v>
                </c:pt>
                <c:pt idx="1320">
                  <c:v>13.420719236249656</c:v>
                </c:pt>
                <c:pt idx="1321">
                  <c:v>13.002459337437852</c:v>
                </c:pt>
                <c:pt idx="1322">
                  <c:v>12.61855576381511</c:v>
                </c:pt>
                <c:pt idx="1323">
                  <c:v>13.162547244908779</c:v>
                </c:pt>
                <c:pt idx="1324">
                  <c:v>12.589444396532059</c:v>
                </c:pt>
                <c:pt idx="1325">
                  <c:v>12.048486445071561</c:v>
                </c:pt>
                <c:pt idx="1326">
                  <c:v>11.243985279251675</c:v>
                </c:pt>
                <c:pt idx="1327">
                  <c:v>10.975021483353666</c:v>
                </c:pt>
                <c:pt idx="1328">
                  <c:v>10.710709253593667</c:v>
                </c:pt>
                <c:pt idx="1329">
                  <c:v>10.454723061086106</c:v>
                </c:pt>
                <c:pt idx="1330">
                  <c:v>11.624640534716884</c:v>
                </c:pt>
                <c:pt idx="1331">
                  <c:v>12.466778989615714</c:v>
                </c:pt>
                <c:pt idx="1332">
                  <c:v>15.038043960808174</c:v>
                </c:pt>
                <c:pt idx="1333">
                  <c:v>15.255964449644283</c:v>
                </c:pt>
                <c:pt idx="1334">
                  <c:v>16.844055907689683</c:v>
                </c:pt>
                <c:pt idx="1335">
                  <c:v>16.217143365067855</c:v>
                </c:pt>
                <c:pt idx="1336">
                  <c:v>15.028292737072981</c:v>
                </c:pt>
                <c:pt idx="1337">
                  <c:v>14.899099327283924</c:v>
                </c:pt>
                <c:pt idx="1338">
                  <c:v>14.404238818944082</c:v>
                </c:pt>
                <c:pt idx="1339">
                  <c:v>13.50407272573166</c:v>
                </c:pt>
                <c:pt idx="1340">
                  <c:v>13.947566194602985</c:v>
                </c:pt>
                <c:pt idx="1341">
                  <c:v>13.064957857285744</c:v>
                </c:pt>
                <c:pt idx="1342">
                  <c:v>12.154930957195727</c:v>
                </c:pt>
                <c:pt idx="1343">
                  <c:v>11.325192516555266</c:v>
                </c:pt>
                <c:pt idx="1344">
                  <c:v>10.568654404721523</c:v>
                </c:pt>
                <c:pt idx="1345">
                  <c:v>9.8788542556317207</c:v>
                </c:pt>
                <c:pt idx="1346">
                  <c:v>9.2499002231510712</c:v>
                </c:pt>
                <c:pt idx="1347">
                  <c:v>8.7201851663548204</c:v>
                </c:pt>
                <c:pt idx="1348">
                  <c:v>8.3615605928406147</c:v>
                </c:pt>
                <c:pt idx="1349">
                  <c:v>8.1073559476244981</c:v>
                </c:pt>
                <c:pt idx="1350">
                  <c:v>7.6347103682992312</c:v>
                </c:pt>
                <c:pt idx="1351">
                  <c:v>7.441890959017992</c:v>
                </c:pt>
                <c:pt idx="1352">
                  <c:v>7.3347256421174327</c:v>
                </c:pt>
                <c:pt idx="1353">
                  <c:v>7.2171122051810945</c:v>
                </c:pt>
                <c:pt idx="1354">
                  <c:v>6.8973365182091353</c:v>
                </c:pt>
                <c:pt idx="1355">
                  <c:v>6.6709507223963698</c:v>
                </c:pt>
                <c:pt idx="1356">
                  <c:v>6.9009127466166511</c:v>
                </c:pt>
                <c:pt idx="1357">
                  <c:v>6.5348492365673856</c:v>
                </c:pt>
                <c:pt idx="1358">
                  <c:v>7.401059267566259</c:v>
                </c:pt>
                <c:pt idx="1359">
                  <c:v>8.021962178009856</c:v>
                </c:pt>
                <c:pt idx="1360">
                  <c:v>7.8480763758198142</c:v>
                </c:pt>
                <c:pt idx="1361">
                  <c:v>7.81648593419823</c:v>
                </c:pt>
                <c:pt idx="1362">
                  <c:v>9.2308069642104176</c:v>
                </c:pt>
                <c:pt idx="1363">
                  <c:v>9.5952198123086987</c:v>
                </c:pt>
                <c:pt idx="1364">
                  <c:v>9.7555595004058624</c:v>
                </c:pt>
                <c:pt idx="1365">
                  <c:v>9.1388085812704194</c:v>
                </c:pt>
                <c:pt idx="1366">
                  <c:v>8.5764544713858637</c:v>
                </c:pt>
                <c:pt idx="1367">
                  <c:v>8.0636948442018976</c:v>
                </c:pt>
                <c:pt idx="1368">
                  <c:v>7.5961513390914099</c:v>
                </c:pt>
                <c:pt idx="1369">
                  <c:v>7.169832132178767</c:v>
                </c:pt>
                <c:pt idx="1370">
                  <c:v>7.8026847746451029</c:v>
                </c:pt>
                <c:pt idx="1371">
                  <c:v>7.5504939796970589</c:v>
                </c:pt>
                <c:pt idx="1372">
                  <c:v>7.1283755157406796</c:v>
                </c:pt>
                <c:pt idx="1373">
                  <c:v>7.0873761237000599</c:v>
                </c:pt>
                <c:pt idx="1374">
                  <c:v>6.7719719312840772</c:v>
                </c:pt>
                <c:pt idx="1375">
                  <c:v>6.4185379409943275</c:v>
                </c:pt>
                <c:pt idx="1376">
                  <c:v>6.0962542526887491</c:v>
                </c:pt>
                <c:pt idx="1377">
                  <c:v>5.8023708215282896</c:v>
                </c:pt>
                <c:pt idx="1378">
                  <c:v>6.0380512373629323</c:v>
                </c:pt>
                <c:pt idx="1379">
                  <c:v>5.74933740896061</c:v>
                </c:pt>
                <c:pt idx="1380">
                  <c:v>6.4014654389319343</c:v>
                </c:pt>
                <c:pt idx="1381">
                  <c:v>8.0708280508625823</c:v>
                </c:pt>
                <c:pt idx="1382">
                  <c:v>8.646507051429472</c:v>
                </c:pt>
                <c:pt idx="1383">
                  <c:v>10.556401529420208</c:v>
                </c:pt>
                <c:pt idx="1384">
                  <c:v>10.825679247828663</c:v>
                </c:pt>
                <c:pt idx="1385">
                  <c:v>11.686366751923007</c:v>
                </c:pt>
                <c:pt idx="1386">
                  <c:v>11.768920549775208</c:v>
                </c:pt>
                <c:pt idx="1387">
                  <c:v>12.770971927732626</c:v>
                </c:pt>
                <c:pt idx="1388">
                  <c:v>12.93938948735931</c:v>
                </c:pt>
                <c:pt idx="1389">
                  <c:v>12.044267703407654</c:v>
                </c:pt>
                <c:pt idx="1390">
                  <c:v>11.228117690266934</c:v>
                </c:pt>
                <c:pt idx="1391">
                  <c:v>10.483967559274914</c:v>
                </c:pt>
                <c:pt idx="1392">
                  <c:v>9.8054609241070256</c:v>
                </c:pt>
                <c:pt idx="1393">
                  <c:v>9.1868025621104223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489-46E6-B6CC-C5EAC6D4A421}"/>
            </c:ext>
          </c:extLst>
        </c:ser>
        <c:ser>
          <c:idx val="1"/>
          <c:order val="1"/>
          <c:tx>
            <c:strRef>
              <c:f>'HBV Modelo'!$O$29</c:f>
              <c:strCache>
                <c:ptCount val="1"/>
                <c:pt idx="0">
                  <c:v>Q (m3/s) Observado</c:v>
                </c:pt>
              </c:strCache>
            </c:strRef>
          </c:tx>
          <c:marker>
            <c:symbol val="none"/>
          </c:marker>
          <c:val>
            <c:numRef>
              <c:f>'HBV Modelo'!$O$30:$O$2223</c:f>
              <c:numCache>
                <c:formatCode>General</c:formatCode>
                <c:ptCount val="2194"/>
                <c:pt idx="2">
                  <c:v>17.29</c:v>
                </c:pt>
                <c:pt idx="3">
                  <c:v>15.76</c:v>
                </c:pt>
                <c:pt idx="4">
                  <c:v>14.18</c:v>
                </c:pt>
                <c:pt idx="5">
                  <c:v>14.02</c:v>
                </c:pt>
                <c:pt idx="6">
                  <c:v>13.49</c:v>
                </c:pt>
                <c:pt idx="7">
                  <c:v>13.4</c:v>
                </c:pt>
                <c:pt idx="8">
                  <c:v>13.47</c:v>
                </c:pt>
                <c:pt idx="9">
                  <c:v>15.3</c:v>
                </c:pt>
                <c:pt idx="10">
                  <c:v>17.84</c:v>
                </c:pt>
                <c:pt idx="11">
                  <c:v>20.12</c:v>
                </c:pt>
                <c:pt idx="12">
                  <c:v>18.25</c:v>
                </c:pt>
                <c:pt idx="13">
                  <c:v>16.22</c:v>
                </c:pt>
                <c:pt idx="14">
                  <c:v>14.29</c:v>
                </c:pt>
                <c:pt idx="15">
                  <c:v>17.489999999999998</c:v>
                </c:pt>
                <c:pt idx="16">
                  <c:v>18.559999999999999</c:v>
                </c:pt>
                <c:pt idx="17">
                  <c:v>18.62</c:v>
                </c:pt>
                <c:pt idx="18">
                  <c:v>17.09</c:v>
                </c:pt>
                <c:pt idx="19">
                  <c:v>18.12</c:v>
                </c:pt>
                <c:pt idx="20">
                  <c:v>24.29</c:v>
                </c:pt>
                <c:pt idx="21">
                  <c:v>21.67</c:v>
                </c:pt>
                <c:pt idx="22">
                  <c:v>20.07</c:v>
                </c:pt>
                <c:pt idx="23">
                  <c:v>19.25</c:v>
                </c:pt>
                <c:pt idx="24">
                  <c:v>20.07</c:v>
                </c:pt>
                <c:pt idx="25">
                  <c:v>20.53</c:v>
                </c:pt>
                <c:pt idx="26">
                  <c:v>18.39</c:v>
                </c:pt>
                <c:pt idx="27">
                  <c:v>15.96</c:v>
                </c:pt>
                <c:pt idx="28">
                  <c:v>20.260000000000002</c:v>
                </c:pt>
                <c:pt idx="29">
                  <c:v>20.36</c:v>
                </c:pt>
                <c:pt idx="30">
                  <c:v>18.690000000000001</c:v>
                </c:pt>
                <c:pt idx="31">
                  <c:v>18.079999999999998</c:v>
                </c:pt>
                <c:pt idx="32">
                  <c:v>18.64</c:v>
                </c:pt>
                <c:pt idx="33">
                  <c:v>18.25</c:v>
                </c:pt>
                <c:pt idx="34">
                  <c:v>17.32</c:v>
                </c:pt>
                <c:pt idx="35">
                  <c:v>18.37</c:v>
                </c:pt>
                <c:pt idx="36">
                  <c:v>22.26</c:v>
                </c:pt>
                <c:pt idx="37">
                  <c:v>19.760000000000002</c:v>
                </c:pt>
                <c:pt idx="38">
                  <c:v>18.579999999999998</c:v>
                </c:pt>
                <c:pt idx="39">
                  <c:v>16.12</c:v>
                </c:pt>
                <c:pt idx="40">
                  <c:v>14.42</c:v>
                </c:pt>
                <c:pt idx="41">
                  <c:v>15.01</c:v>
                </c:pt>
                <c:pt idx="42">
                  <c:v>15.39</c:v>
                </c:pt>
                <c:pt idx="43">
                  <c:v>13.2</c:v>
                </c:pt>
                <c:pt idx="44">
                  <c:v>11.38</c:v>
                </c:pt>
                <c:pt idx="45">
                  <c:v>11.17</c:v>
                </c:pt>
                <c:pt idx="46">
                  <c:v>12.4</c:v>
                </c:pt>
                <c:pt idx="47">
                  <c:v>10.87</c:v>
                </c:pt>
                <c:pt idx="48">
                  <c:v>9.15</c:v>
                </c:pt>
                <c:pt idx="49">
                  <c:v>7.66</c:v>
                </c:pt>
                <c:pt idx="50">
                  <c:v>6.53</c:v>
                </c:pt>
                <c:pt idx="51">
                  <c:v>6.05</c:v>
                </c:pt>
                <c:pt idx="52">
                  <c:v>4.8600000000000003</c:v>
                </c:pt>
                <c:pt idx="53">
                  <c:v>4.79</c:v>
                </c:pt>
                <c:pt idx="54">
                  <c:v>4.7300000000000004</c:v>
                </c:pt>
                <c:pt idx="55">
                  <c:v>4.72</c:v>
                </c:pt>
                <c:pt idx="56">
                  <c:v>4.18</c:v>
                </c:pt>
                <c:pt idx="57">
                  <c:v>4.0599999999999996</c:v>
                </c:pt>
                <c:pt idx="58">
                  <c:v>4.01</c:v>
                </c:pt>
                <c:pt idx="59">
                  <c:v>4.29</c:v>
                </c:pt>
                <c:pt idx="60">
                  <c:v>4.72</c:v>
                </c:pt>
                <c:pt idx="61">
                  <c:v>4.92</c:v>
                </c:pt>
                <c:pt idx="62">
                  <c:v>4.96</c:v>
                </c:pt>
                <c:pt idx="63">
                  <c:v>4.6500000000000004</c:v>
                </c:pt>
                <c:pt idx="64">
                  <c:v>5.18</c:v>
                </c:pt>
                <c:pt idx="65">
                  <c:v>7.15</c:v>
                </c:pt>
                <c:pt idx="66">
                  <c:v>6.78</c:v>
                </c:pt>
                <c:pt idx="67">
                  <c:v>6.58</c:v>
                </c:pt>
                <c:pt idx="68">
                  <c:v>5.97</c:v>
                </c:pt>
                <c:pt idx="69">
                  <c:v>5.32</c:v>
                </c:pt>
                <c:pt idx="70">
                  <c:v>5.0999999999999996</c:v>
                </c:pt>
                <c:pt idx="71">
                  <c:v>5.28</c:v>
                </c:pt>
                <c:pt idx="72">
                  <c:v>7.07</c:v>
                </c:pt>
                <c:pt idx="73">
                  <c:v>6.53</c:v>
                </c:pt>
                <c:pt idx="74">
                  <c:v>5.83</c:v>
                </c:pt>
                <c:pt idx="75">
                  <c:v>5.28</c:v>
                </c:pt>
                <c:pt idx="76">
                  <c:v>4.88</c:v>
                </c:pt>
                <c:pt idx="77">
                  <c:v>4.58</c:v>
                </c:pt>
                <c:pt idx="78">
                  <c:v>4.43</c:v>
                </c:pt>
                <c:pt idx="79">
                  <c:v>4.43</c:v>
                </c:pt>
                <c:pt idx="80">
                  <c:v>4.5</c:v>
                </c:pt>
                <c:pt idx="81">
                  <c:v>4.0999999999999996</c:v>
                </c:pt>
                <c:pt idx="82">
                  <c:v>3.82</c:v>
                </c:pt>
                <c:pt idx="83">
                  <c:v>3.9</c:v>
                </c:pt>
                <c:pt idx="84">
                  <c:v>4.32</c:v>
                </c:pt>
                <c:pt idx="85">
                  <c:v>4.05</c:v>
                </c:pt>
                <c:pt idx="86">
                  <c:v>3.85</c:v>
                </c:pt>
                <c:pt idx="87">
                  <c:v>3.79</c:v>
                </c:pt>
                <c:pt idx="88">
                  <c:v>3.85</c:v>
                </c:pt>
                <c:pt idx="89">
                  <c:v>4.0199999999999996</c:v>
                </c:pt>
                <c:pt idx="90">
                  <c:v>3.99</c:v>
                </c:pt>
                <c:pt idx="91">
                  <c:v>3.7</c:v>
                </c:pt>
                <c:pt idx="92">
                  <c:v>3.52</c:v>
                </c:pt>
                <c:pt idx="93">
                  <c:v>3.41</c:v>
                </c:pt>
                <c:pt idx="94">
                  <c:v>3.31</c:v>
                </c:pt>
                <c:pt idx="95">
                  <c:v>3.27</c:v>
                </c:pt>
                <c:pt idx="96">
                  <c:v>3.28</c:v>
                </c:pt>
                <c:pt idx="97">
                  <c:v>3.09</c:v>
                </c:pt>
                <c:pt idx="98">
                  <c:v>2.82</c:v>
                </c:pt>
                <c:pt idx="99">
                  <c:v>2.89</c:v>
                </c:pt>
                <c:pt idx="100">
                  <c:v>2.78</c:v>
                </c:pt>
                <c:pt idx="101">
                  <c:v>2.72</c:v>
                </c:pt>
                <c:pt idx="102">
                  <c:v>2.72</c:v>
                </c:pt>
                <c:pt idx="103">
                  <c:v>1.58</c:v>
                </c:pt>
                <c:pt idx="104">
                  <c:v>1.57</c:v>
                </c:pt>
                <c:pt idx="105">
                  <c:v>1.59</c:v>
                </c:pt>
                <c:pt idx="106">
                  <c:v>1.59</c:v>
                </c:pt>
                <c:pt idx="107">
                  <c:v>1.58</c:v>
                </c:pt>
                <c:pt idx="108">
                  <c:v>1.56</c:v>
                </c:pt>
                <c:pt idx="109">
                  <c:v>1.56</c:v>
                </c:pt>
                <c:pt idx="110">
                  <c:v>1.56</c:v>
                </c:pt>
                <c:pt idx="111">
                  <c:v>1.57</c:v>
                </c:pt>
                <c:pt idx="112">
                  <c:v>1.57</c:v>
                </c:pt>
                <c:pt idx="113">
                  <c:v>1.57</c:v>
                </c:pt>
                <c:pt idx="114">
                  <c:v>1.56</c:v>
                </c:pt>
                <c:pt idx="115">
                  <c:v>1.56</c:v>
                </c:pt>
                <c:pt idx="116">
                  <c:v>1.57</c:v>
                </c:pt>
                <c:pt idx="117">
                  <c:v>1.55</c:v>
                </c:pt>
                <c:pt idx="118">
                  <c:v>1.54</c:v>
                </c:pt>
                <c:pt idx="119">
                  <c:v>1.55</c:v>
                </c:pt>
                <c:pt idx="120">
                  <c:v>1.57</c:v>
                </c:pt>
                <c:pt idx="121">
                  <c:v>1.56</c:v>
                </c:pt>
                <c:pt idx="122">
                  <c:v>1.56</c:v>
                </c:pt>
                <c:pt idx="123">
                  <c:v>1.6</c:v>
                </c:pt>
                <c:pt idx="124">
                  <c:v>1.62</c:v>
                </c:pt>
                <c:pt idx="125">
                  <c:v>1.62</c:v>
                </c:pt>
                <c:pt idx="126">
                  <c:v>1.6</c:v>
                </c:pt>
                <c:pt idx="127">
                  <c:v>1.62</c:v>
                </c:pt>
                <c:pt idx="128">
                  <c:v>1.62</c:v>
                </c:pt>
                <c:pt idx="129">
                  <c:v>1.59</c:v>
                </c:pt>
                <c:pt idx="130">
                  <c:v>1.58</c:v>
                </c:pt>
                <c:pt idx="131">
                  <c:v>1.59</c:v>
                </c:pt>
                <c:pt idx="132">
                  <c:v>1.59</c:v>
                </c:pt>
                <c:pt idx="133">
                  <c:v>1.58</c:v>
                </c:pt>
                <c:pt idx="134">
                  <c:v>1.59</c:v>
                </c:pt>
                <c:pt idx="135">
                  <c:v>1.58</c:v>
                </c:pt>
                <c:pt idx="136">
                  <c:v>1.58</c:v>
                </c:pt>
                <c:pt idx="137">
                  <c:v>1.57</c:v>
                </c:pt>
                <c:pt idx="138">
                  <c:v>1.57</c:v>
                </c:pt>
                <c:pt idx="139">
                  <c:v>1.59</c:v>
                </c:pt>
                <c:pt idx="140">
                  <c:v>1.62</c:v>
                </c:pt>
                <c:pt idx="141">
                  <c:v>1.64</c:v>
                </c:pt>
                <c:pt idx="142">
                  <c:v>1.64</c:v>
                </c:pt>
                <c:pt idx="143">
                  <c:v>1.62</c:v>
                </c:pt>
                <c:pt idx="144">
                  <c:v>1.6</c:v>
                </c:pt>
                <c:pt idx="145">
                  <c:v>1.58</c:v>
                </c:pt>
                <c:pt idx="146">
                  <c:v>1.56</c:v>
                </c:pt>
                <c:pt idx="147">
                  <c:v>1.56</c:v>
                </c:pt>
                <c:pt idx="148">
                  <c:v>1.54</c:v>
                </c:pt>
                <c:pt idx="149">
                  <c:v>1.53</c:v>
                </c:pt>
                <c:pt idx="150">
                  <c:v>1.52</c:v>
                </c:pt>
                <c:pt idx="151">
                  <c:v>1.52</c:v>
                </c:pt>
                <c:pt idx="152">
                  <c:v>1.5</c:v>
                </c:pt>
                <c:pt idx="153">
                  <c:v>1.52</c:v>
                </c:pt>
                <c:pt idx="154">
                  <c:v>1.55</c:v>
                </c:pt>
                <c:pt idx="155">
                  <c:v>1.54</c:v>
                </c:pt>
                <c:pt idx="156">
                  <c:v>1.54</c:v>
                </c:pt>
                <c:pt idx="157">
                  <c:v>1.54</c:v>
                </c:pt>
                <c:pt idx="158">
                  <c:v>1.54</c:v>
                </c:pt>
                <c:pt idx="159">
                  <c:v>1.55</c:v>
                </c:pt>
                <c:pt idx="160">
                  <c:v>1.51</c:v>
                </c:pt>
                <c:pt idx="161">
                  <c:v>1.53</c:v>
                </c:pt>
                <c:pt idx="162">
                  <c:v>1.54</c:v>
                </c:pt>
                <c:pt idx="163">
                  <c:v>1.54</c:v>
                </c:pt>
                <c:pt idx="164">
                  <c:v>1.53</c:v>
                </c:pt>
                <c:pt idx="165">
                  <c:v>1.53</c:v>
                </c:pt>
                <c:pt idx="166">
                  <c:v>1.54</c:v>
                </c:pt>
                <c:pt idx="167">
                  <c:v>1.54</c:v>
                </c:pt>
                <c:pt idx="168">
                  <c:v>1.56</c:v>
                </c:pt>
                <c:pt idx="169">
                  <c:v>1.6</c:v>
                </c:pt>
                <c:pt idx="170">
                  <c:v>1.61</c:v>
                </c:pt>
                <c:pt idx="171">
                  <c:v>1.57</c:v>
                </c:pt>
                <c:pt idx="172">
                  <c:v>1.56</c:v>
                </c:pt>
                <c:pt idx="173">
                  <c:v>1.54</c:v>
                </c:pt>
                <c:pt idx="174">
                  <c:v>1.53</c:v>
                </c:pt>
                <c:pt idx="175">
                  <c:v>1.54</c:v>
                </c:pt>
                <c:pt idx="176">
                  <c:v>1.58</c:v>
                </c:pt>
                <c:pt idx="177">
                  <c:v>1.58</c:v>
                </c:pt>
                <c:pt idx="178">
                  <c:v>1.58</c:v>
                </c:pt>
                <c:pt idx="179">
                  <c:v>1.54</c:v>
                </c:pt>
                <c:pt idx="180">
                  <c:v>1.55</c:v>
                </c:pt>
                <c:pt idx="181">
                  <c:v>1.55</c:v>
                </c:pt>
                <c:pt idx="182">
                  <c:v>1.56</c:v>
                </c:pt>
                <c:pt idx="183">
                  <c:v>1.58</c:v>
                </c:pt>
                <c:pt idx="184">
                  <c:v>1.58</c:v>
                </c:pt>
                <c:pt idx="185">
                  <c:v>1.58</c:v>
                </c:pt>
                <c:pt idx="186">
                  <c:v>1.56</c:v>
                </c:pt>
                <c:pt idx="187">
                  <c:v>1.59</c:v>
                </c:pt>
                <c:pt idx="188">
                  <c:v>1.62</c:v>
                </c:pt>
                <c:pt idx="189">
                  <c:v>1.62</c:v>
                </c:pt>
                <c:pt idx="190">
                  <c:v>1.65</c:v>
                </c:pt>
                <c:pt idx="191">
                  <c:v>1.67</c:v>
                </c:pt>
                <c:pt idx="192">
                  <c:v>1.7</c:v>
                </c:pt>
                <c:pt idx="193">
                  <c:v>1.71</c:v>
                </c:pt>
                <c:pt idx="194">
                  <c:v>1.69</c:v>
                </c:pt>
                <c:pt idx="195">
                  <c:v>1.68</c:v>
                </c:pt>
                <c:pt idx="196">
                  <c:v>1.66</c:v>
                </c:pt>
                <c:pt idx="197">
                  <c:v>1.65</c:v>
                </c:pt>
                <c:pt idx="198">
                  <c:v>1.65</c:v>
                </c:pt>
                <c:pt idx="199">
                  <c:v>1.62</c:v>
                </c:pt>
                <c:pt idx="200">
                  <c:v>1.6</c:v>
                </c:pt>
                <c:pt idx="201">
                  <c:v>1.59</c:v>
                </c:pt>
                <c:pt idx="202">
                  <c:v>1.59</c:v>
                </c:pt>
                <c:pt idx="203">
                  <c:v>1.58</c:v>
                </c:pt>
                <c:pt idx="204">
                  <c:v>1.57</c:v>
                </c:pt>
                <c:pt idx="205">
                  <c:v>1.58</c:v>
                </c:pt>
                <c:pt idx="206">
                  <c:v>1.62</c:v>
                </c:pt>
                <c:pt idx="207">
                  <c:v>1.62</c:v>
                </c:pt>
                <c:pt idx="208">
                  <c:v>1.64</c:v>
                </c:pt>
                <c:pt idx="209">
                  <c:v>1.75</c:v>
                </c:pt>
                <c:pt idx="210">
                  <c:v>1.75</c:v>
                </c:pt>
                <c:pt idx="211">
                  <c:v>1.75</c:v>
                </c:pt>
                <c:pt idx="212">
                  <c:v>2.89</c:v>
                </c:pt>
                <c:pt idx="213">
                  <c:v>2.97</c:v>
                </c:pt>
                <c:pt idx="214">
                  <c:v>3.9</c:v>
                </c:pt>
                <c:pt idx="215">
                  <c:v>3.95</c:v>
                </c:pt>
                <c:pt idx="216">
                  <c:v>3.99</c:v>
                </c:pt>
                <c:pt idx="217">
                  <c:v>3.28</c:v>
                </c:pt>
                <c:pt idx="218">
                  <c:v>3.09</c:v>
                </c:pt>
                <c:pt idx="219">
                  <c:v>3.29</c:v>
                </c:pt>
                <c:pt idx="220">
                  <c:v>4</c:v>
                </c:pt>
                <c:pt idx="221">
                  <c:v>7.3</c:v>
                </c:pt>
                <c:pt idx="222">
                  <c:v>8.74</c:v>
                </c:pt>
                <c:pt idx="223">
                  <c:v>10.58</c:v>
                </c:pt>
                <c:pt idx="224">
                  <c:v>11.1</c:v>
                </c:pt>
                <c:pt idx="225">
                  <c:v>12.97</c:v>
                </c:pt>
                <c:pt idx="226">
                  <c:v>13.46</c:v>
                </c:pt>
                <c:pt idx="227">
                  <c:v>14.7</c:v>
                </c:pt>
                <c:pt idx="228">
                  <c:v>13.15</c:v>
                </c:pt>
                <c:pt idx="229">
                  <c:v>11.54</c:v>
                </c:pt>
                <c:pt idx="230">
                  <c:v>11.48</c:v>
                </c:pt>
                <c:pt idx="231">
                  <c:v>12.31</c:v>
                </c:pt>
                <c:pt idx="232">
                  <c:v>14.24</c:v>
                </c:pt>
                <c:pt idx="233">
                  <c:v>14.66</c:v>
                </c:pt>
                <c:pt idx="234">
                  <c:v>12.89</c:v>
                </c:pt>
                <c:pt idx="235">
                  <c:v>11.82</c:v>
                </c:pt>
                <c:pt idx="236">
                  <c:v>10.58</c:v>
                </c:pt>
                <c:pt idx="237">
                  <c:v>8.92</c:v>
                </c:pt>
                <c:pt idx="238">
                  <c:v>8.65</c:v>
                </c:pt>
                <c:pt idx="239">
                  <c:v>7.76</c:v>
                </c:pt>
                <c:pt idx="240">
                  <c:v>7.52</c:v>
                </c:pt>
                <c:pt idx="241">
                  <c:v>7.05</c:v>
                </c:pt>
                <c:pt idx="242">
                  <c:v>6.29</c:v>
                </c:pt>
                <c:pt idx="243">
                  <c:v>5.94</c:v>
                </c:pt>
                <c:pt idx="244">
                  <c:v>5.09</c:v>
                </c:pt>
                <c:pt idx="245">
                  <c:v>4.42</c:v>
                </c:pt>
                <c:pt idx="246">
                  <c:v>3.86</c:v>
                </c:pt>
                <c:pt idx="247">
                  <c:v>3.69</c:v>
                </c:pt>
                <c:pt idx="248">
                  <c:v>3.44</c:v>
                </c:pt>
                <c:pt idx="249">
                  <c:v>3.12</c:v>
                </c:pt>
                <c:pt idx="250">
                  <c:v>2.92</c:v>
                </c:pt>
                <c:pt idx="251">
                  <c:v>2.91</c:v>
                </c:pt>
                <c:pt idx="252">
                  <c:v>2.89</c:v>
                </c:pt>
                <c:pt idx="253">
                  <c:v>2.86</c:v>
                </c:pt>
                <c:pt idx="254">
                  <c:v>3.05</c:v>
                </c:pt>
                <c:pt idx="255">
                  <c:v>3.1</c:v>
                </c:pt>
                <c:pt idx="256">
                  <c:v>3.38</c:v>
                </c:pt>
                <c:pt idx="257">
                  <c:v>4.96</c:v>
                </c:pt>
                <c:pt idx="258">
                  <c:v>6.32</c:v>
                </c:pt>
                <c:pt idx="259">
                  <c:v>7.18</c:v>
                </c:pt>
                <c:pt idx="260">
                  <c:v>5.87</c:v>
                </c:pt>
                <c:pt idx="261">
                  <c:v>5.49</c:v>
                </c:pt>
                <c:pt idx="262">
                  <c:v>6.08</c:v>
                </c:pt>
                <c:pt idx="263">
                  <c:v>7.45</c:v>
                </c:pt>
                <c:pt idx="264">
                  <c:v>8.41</c:v>
                </c:pt>
                <c:pt idx="265">
                  <c:v>8.1300000000000008</c:v>
                </c:pt>
                <c:pt idx="266">
                  <c:v>7.57</c:v>
                </c:pt>
                <c:pt idx="267">
                  <c:v>10.42</c:v>
                </c:pt>
                <c:pt idx="268">
                  <c:v>9.1199999999999992</c:v>
                </c:pt>
                <c:pt idx="269">
                  <c:v>7.99</c:v>
                </c:pt>
                <c:pt idx="270">
                  <c:v>7.02</c:v>
                </c:pt>
                <c:pt idx="271">
                  <c:v>6.36</c:v>
                </c:pt>
                <c:pt idx="272">
                  <c:v>6.32</c:v>
                </c:pt>
                <c:pt idx="273">
                  <c:v>6.6</c:v>
                </c:pt>
                <c:pt idx="274">
                  <c:v>9.1</c:v>
                </c:pt>
                <c:pt idx="275">
                  <c:v>12.44</c:v>
                </c:pt>
                <c:pt idx="276">
                  <c:v>15.1</c:v>
                </c:pt>
                <c:pt idx="277">
                  <c:v>17.39</c:v>
                </c:pt>
                <c:pt idx="278">
                  <c:v>15.11</c:v>
                </c:pt>
                <c:pt idx="279">
                  <c:v>11.91</c:v>
                </c:pt>
                <c:pt idx="280">
                  <c:v>9.39</c:v>
                </c:pt>
                <c:pt idx="281">
                  <c:v>8.48</c:v>
                </c:pt>
                <c:pt idx="282">
                  <c:v>7.46</c:v>
                </c:pt>
                <c:pt idx="283">
                  <c:v>9.06</c:v>
                </c:pt>
                <c:pt idx="284">
                  <c:v>9.0399999999999991</c:v>
                </c:pt>
                <c:pt idx="285">
                  <c:v>10.25</c:v>
                </c:pt>
                <c:pt idx="286">
                  <c:v>11.63</c:v>
                </c:pt>
                <c:pt idx="287">
                  <c:v>13.7</c:v>
                </c:pt>
                <c:pt idx="288">
                  <c:v>12.48</c:v>
                </c:pt>
                <c:pt idx="289">
                  <c:v>10.93</c:v>
                </c:pt>
                <c:pt idx="290">
                  <c:v>10.09</c:v>
                </c:pt>
                <c:pt idx="291">
                  <c:v>10.72</c:v>
                </c:pt>
                <c:pt idx="292">
                  <c:v>13.32</c:v>
                </c:pt>
                <c:pt idx="293">
                  <c:v>13.96</c:v>
                </c:pt>
                <c:pt idx="294">
                  <c:v>11.25</c:v>
                </c:pt>
                <c:pt idx="295">
                  <c:v>9.4600000000000009</c:v>
                </c:pt>
                <c:pt idx="296">
                  <c:v>8.31</c:v>
                </c:pt>
                <c:pt idx="297">
                  <c:v>6.77</c:v>
                </c:pt>
                <c:pt idx="298">
                  <c:v>5.74</c:v>
                </c:pt>
                <c:pt idx="299">
                  <c:v>4.97</c:v>
                </c:pt>
                <c:pt idx="300">
                  <c:v>4.47</c:v>
                </c:pt>
                <c:pt idx="301">
                  <c:v>9.4600000000000009</c:v>
                </c:pt>
                <c:pt idx="302">
                  <c:v>7.34</c:v>
                </c:pt>
                <c:pt idx="303">
                  <c:v>7.43</c:v>
                </c:pt>
                <c:pt idx="304">
                  <c:v>6.96</c:v>
                </c:pt>
                <c:pt idx="305">
                  <c:v>6.94</c:v>
                </c:pt>
                <c:pt idx="306">
                  <c:v>5.83</c:v>
                </c:pt>
                <c:pt idx="307">
                  <c:v>5.53</c:v>
                </c:pt>
                <c:pt idx="308">
                  <c:v>6.4</c:v>
                </c:pt>
                <c:pt idx="309">
                  <c:v>7.54</c:v>
                </c:pt>
                <c:pt idx="310">
                  <c:v>5.46</c:v>
                </c:pt>
                <c:pt idx="311">
                  <c:v>4.55</c:v>
                </c:pt>
                <c:pt idx="312">
                  <c:v>3.9</c:v>
                </c:pt>
                <c:pt idx="313">
                  <c:v>3.89</c:v>
                </c:pt>
                <c:pt idx="314">
                  <c:v>5.44</c:v>
                </c:pt>
                <c:pt idx="315">
                  <c:v>5.71</c:v>
                </c:pt>
                <c:pt idx="316">
                  <c:v>6.49</c:v>
                </c:pt>
                <c:pt idx="317">
                  <c:v>1.81</c:v>
                </c:pt>
                <c:pt idx="318">
                  <c:v>1.83</c:v>
                </c:pt>
                <c:pt idx="319">
                  <c:v>1.82</c:v>
                </c:pt>
                <c:pt idx="320">
                  <c:v>1.79</c:v>
                </c:pt>
                <c:pt idx="321">
                  <c:v>1.78</c:v>
                </c:pt>
                <c:pt idx="322">
                  <c:v>1.79</c:v>
                </c:pt>
                <c:pt idx="323">
                  <c:v>1.81</c:v>
                </c:pt>
                <c:pt idx="324">
                  <c:v>1.84</c:v>
                </c:pt>
                <c:pt idx="325">
                  <c:v>1.84</c:v>
                </c:pt>
                <c:pt idx="326">
                  <c:v>1.82</c:v>
                </c:pt>
                <c:pt idx="327">
                  <c:v>1.83</c:v>
                </c:pt>
                <c:pt idx="328">
                  <c:v>1.82</c:v>
                </c:pt>
                <c:pt idx="329">
                  <c:v>1.82</c:v>
                </c:pt>
                <c:pt idx="330">
                  <c:v>1.79</c:v>
                </c:pt>
                <c:pt idx="331">
                  <c:v>1.8</c:v>
                </c:pt>
                <c:pt idx="332">
                  <c:v>1.85</c:v>
                </c:pt>
                <c:pt idx="333">
                  <c:v>2.06</c:v>
                </c:pt>
                <c:pt idx="334">
                  <c:v>2.12</c:v>
                </c:pt>
                <c:pt idx="335">
                  <c:v>2.23</c:v>
                </c:pt>
                <c:pt idx="336">
                  <c:v>3.25</c:v>
                </c:pt>
                <c:pt idx="337">
                  <c:v>3.75</c:v>
                </c:pt>
                <c:pt idx="338">
                  <c:v>4.51</c:v>
                </c:pt>
                <c:pt idx="339">
                  <c:v>5.56</c:v>
                </c:pt>
                <c:pt idx="340">
                  <c:v>6.18</c:v>
                </c:pt>
                <c:pt idx="341">
                  <c:v>6.41</c:v>
                </c:pt>
                <c:pt idx="342">
                  <c:v>5.03</c:v>
                </c:pt>
                <c:pt idx="343">
                  <c:v>4.47</c:v>
                </c:pt>
                <c:pt idx="344">
                  <c:v>4.04</c:v>
                </c:pt>
                <c:pt idx="345">
                  <c:v>3.64</c:v>
                </c:pt>
                <c:pt idx="346">
                  <c:v>3.51</c:v>
                </c:pt>
                <c:pt idx="347">
                  <c:v>3.62</c:v>
                </c:pt>
                <c:pt idx="348">
                  <c:v>4.1500000000000004</c:v>
                </c:pt>
                <c:pt idx="349">
                  <c:v>5.19</c:v>
                </c:pt>
                <c:pt idx="350">
                  <c:v>8.73</c:v>
                </c:pt>
                <c:pt idx="351">
                  <c:v>10.32</c:v>
                </c:pt>
                <c:pt idx="352">
                  <c:v>9.8800000000000008</c:v>
                </c:pt>
                <c:pt idx="353">
                  <c:v>7.75</c:v>
                </c:pt>
                <c:pt idx="354">
                  <c:v>5.61</c:v>
                </c:pt>
                <c:pt idx="355">
                  <c:v>5.56</c:v>
                </c:pt>
                <c:pt idx="356">
                  <c:v>5.67</c:v>
                </c:pt>
                <c:pt idx="357">
                  <c:v>6.78</c:v>
                </c:pt>
                <c:pt idx="358">
                  <c:v>9.09</c:v>
                </c:pt>
                <c:pt idx="359">
                  <c:v>10.45</c:v>
                </c:pt>
                <c:pt idx="360">
                  <c:v>13.31</c:v>
                </c:pt>
                <c:pt idx="361">
                  <c:v>11.95</c:v>
                </c:pt>
                <c:pt idx="362">
                  <c:v>8.85</c:v>
                </c:pt>
                <c:pt idx="363">
                  <c:v>7.4</c:v>
                </c:pt>
                <c:pt idx="364">
                  <c:v>7.12</c:v>
                </c:pt>
                <c:pt idx="365">
                  <c:v>8.86</c:v>
                </c:pt>
                <c:pt idx="366">
                  <c:v>14.43</c:v>
                </c:pt>
                <c:pt idx="367">
                  <c:v>16</c:v>
                </c:pt>
                <c:pt idx="368">
                  <c:v>16.47</c:v>
                </c:pt>
                <c:pt idx="369">
                  <c:v>17.329999999999998</c:v>
                </c:pt>
                <c:pt idx="370">
                  <c:v>21.07</c:v>
                </c:pt>
                <c:pt idx="371">
                  <c:v>20.079999999999998</c:v>
                </c:pt>
                <c:pt idx="372">
                  <c:v>16.32</c:v>
                </c:pt>
                <c:pt idx="373">
                  <c:v>14.85</c:v>
                </c:pt>
                <c:pt idx="374">
                  <c:v>13.85</c:v>
                </c:pt>
                <c:pt idx="375">
                  <c:v>12.57</c:v>
                </c:pt>
                <c:pt idx="376">
                  <c:v>11.7</c:v>
                </c:pt>
                <c:pt idx="377">
                  <c:v>13.22</c:v>
                </c:pt>
                <c:pt idx="378">
                  <c:v>15.7</c:v>
                </c:pt>
                <c:pt idx="379">
                  <c:v>15.13</c:v>
                </c:pt>
                <c:pt idx="380">
                  <c:v>12.77</c:v>
                </c:pt>
                <c:pt idx="381">
                  <c:v>13.6</c:v>
                </c:pt>
                <c:pt idx="382">
                  <c:v>13.85</c:v>
                </c:pt>
                <c:pt idx="383">
                  <c:v>15.33</c:v>
                </c:pt>
                <c:pt idx="384">
                  <c:v>15.76</c:v>
                </c:pt>
                <c:pt idx="385">
                  <c:v>13.45</c:v>
                </c:pt>
                <c:pt idx="386">
                  <c:v>11.67</c:v>
                </c:pt>
                <c:pt idx="387">
                  <c:v>12.37</c:v>
                </c:pt>
                <c:pt idx="388">
                  <c:v>15.6</c:v>
                </c:pt>
                <c:pt idx="389">
                  <c:v>19.62</c:v>
                </c:pt>
                <c:pt idx="390">
                  <c:v>19.350000000000001</c:v>
                </c:pt>
                <c:pt idx="391">
                  <c:v>18.73</c:v>
                </c:pt>
                <c:pt idx="392">
                  <c:v>16.59</c:v>
                </c:pt>
                <c:pt idx="393">
                  <c:v>15.45</c:v>
                </c:pt>
                <c:pt idx="394">
                  <c:v>18.97</c:v>
                </c:pt>
                <c:pt idx="395">
                  <c:v>21.03</c:v>
                </c:pt>
                <c:pt idx="396">
                  <c:v>19.260000000000002</c:v>
                </c:pt>
                <c:pt idx="397">
                  <c:v>16.78</c:v>
                </c:pt>
                <c:pt idx="398">
                  <c:v>15.04</c:v>
                </c:pt>
                <c:pt idx="399">
                  <c:v>14.12</c:v>
                </c:pt>
                <c:pt idx="400">
                  <c:v>15.55</c:v>
                </c:pt>
                <c:pt idx="401">
                  <c:v>14.6</c:v>
                </c:pt>
                <c:pt idx="402">
                  <c:v>12.34</c:v>
                </c:pt>
                <c:pt idx="403">
                  <c:v>10.64</c:v>
                </c:pt>
                <c:pt idx="404">
                  <c:v>8.91</c:v>
                </c:pt>
                <c:pt idx="405">
                  <c:v>7.52</c:v>
                </c:pt>
                <c:pt idx="406">
                  <c:v>7.17</c:v>
                </c:pt>
                <c:pt idx="407">
                  <c:v>6.38</c:v>
                </c:pt>
                <c:pt idx="408">
                  <c:v>5.65</c:v>
                </c:pt>
                <c:pt idx="409">
                  <c:v>5.09</c:v>
                </c:pt>
                <c:pt idx="410">
                  <c:v>4.71</c:v>
                </c:pt>
                <c:pt idx="411">
                  <c:v>4.4000000000000004</c:v>
                </c:pt>
                <c:pt idx="412">
                  <c:v>4.16</c:v>
                </c:pt>
                <c:pt idx="413">
                  <c:v>3.88</c:v>
                </c:pt>
                <c:pt idx="414">
                  <c:v>3.63</c:v>
                </c:pt>
                <c:pt idx="415">
                  <c:v>3.5</c:v>
                </c:pt>
                <c:pt idx="416">
                  <c:v>3.98</c:v>
                </c:pt>
                <c:pt idx="417">
                  <c:v>4.76</c:v>
                </c:pt>
                <c:pt idx="418">
                  <c:v>4.3</c:v>
                </c:pt>
                <c:pt idx="419">
                  <c:v>3.85</c:v>
                </c:pt>
                <c:pt idx="420">
                  <c:v>3.39</c:v>
                </c:pt>
                <c:pt idx="421">
                  <c:v>3.23</c:v>
                </c:pt>
                <c:pt idx="422">
                  <c:v>3.67</c:v>
                </c:pt>
                <c:pt idx="423">
                  <c:v>4.2</c:v>
                </c:pt>
                <c:pt idx="424">
                  <c:v>5</c:v>
                </c:pt>
                <c:pt idx="425">
                  <c:v>4.55</c:v>
                </c:pt>
                <c:pt idx="426">
                  <c:v>4.13</c:v>
                </c:pt>
                <c:pt idx="427">
                  <c:v>4.38</c:v>
                </c:pt>
                <c:pt idx="428">
                  <c:v>5.43</c:v>
                </c:pt>
                <c:pt idx="429">
                  <c:v>5.18</c:v>
                </c:pt>
                <c:pt idx="430">
                  <c:v>6.86</c:v>
                </c:pt>
                <c:pt idx="431">
                  <c:v>8.7799999999999994</c:v>
                </c:pt>
                <c:pt idx="432">
                  <c:v>11.51</c:v>
                </c:pt>
                <c:pt idx="433">
                  <c:v>12.55</c:v>
                </c:pt>
                <c:pt idx="434">
                  <c:v>12.38</c:v>
                </c:pt>
                <c:pt idx="435">
                  <c:v>12.32</c:v>
                </c:pt>
                <c:pt idx="436">
                  <c:v>10.199999999999999</c:v>
                </c:pt>
                <c:pt idx="437">
                  <c:v>11.24</c:v>
                </c:pt>
                <c:pt idx="438">
                  <c:v>10.84</c:v>
                </c:pt>
                <c:pt idx="439">
                  <c:v>12.08</c:v>
                </c:pt>
                <c:pt idx="440">
                  <c:v>14.08</c:v>
                </c:pt>
                <c:pt idx="441">
                  <c:v>11.83</c:v>
                </c:pt>
                <c:pt idx="442">
                  <c:v>9.15</c:v>
                </c:pt>
                <c:pt idx="443">
                  <c:v>8.2799999999999994</c:v>
                </c:pt>
                <c:pt idx="444">
                  <c:v>8.0299999999999994</c:v>
                </c:pt>
                <c:pt idx="445">
                  <c:v>9.15</c:v>
                </c:pt>
                <c:pt idx="446">
                  <c:v>13.71</c:v>
                </c:pt>
                <c:pt idx="447">
                  <c:v>14.83</c:v>
                </c:pt>
                <c:pt idx="448">
                  <c:v>16.329999999999998</c:v>
                </c:pt>
                <c:pt idx="449">
                  <c:v>15.02</c:v>
                </c:pt>
                <c:pt idx="450">
                  <c:v>13.36</c:v>
                </c:pt>
                <c:pt idx="451">
                  <c:v>11.76</c:v>
                </c:pt>
                <c:pt idx="452">
                  <c:v>11.49</c:v>
                </c:pt>
                <c:pt idx="453">
                  <c:v>12.21</c:v>
                </c:pt>
                <c:pt idx="454">
                  <c:v>13.1</c:v>
                </c:pt>
                <c:pt idx="455">
                  <c:v>12.32</c:v>
                </c:pt>
                <c:pt idx="456">
                  <c:v>12.41</c:v>
                </c:pt>
                <c:pt idx="457">
                  <c:v>12.47</c:v>
                </c:pt>
                <c:pt idx="458">
                  <c:v>12.98</c:v>
                </c:pt>
                <c:pt idx="459">
                  <c:v>13.22</c:v>
                </c:pt>
                <c:pt idx="460">
                  <c:v>13.91</c:v>
                </c:pt>
                <c:pt idx="461">
                  <c:v>14.9</c:v>
                </c:pt>
                <c:pt idx="462">
                  <c:v>14.26</c:v>
                </c:pt>
                <c:pt idx="463">
                  <c:v>12.86</c:v>
                </c:pt>
                <c:pt idx="464">
                  <c:v>12.28</c:v>
                </c:pt>
                <c:pt idx="465">
                  <c:v>10.56</c:v>
                </c:pt>
                <c:pt idx="466">
                  <c:v>9.07</c:v>
                </c:pt>
                <c:pt idx="467">
                  <c:v>9.59</c:v>
                </c:pt>
                <c:pt idx="468">
                  <c:v>8.91</c:v>
                </c:pt>
                <c:pt idx="469">
                  <c:v>7.84</c:v>
                </c:pt>
                <c:pt idx="470">
                  <c:v>6.89</c:v>
                </c:pt>
                <c:pt idx="471">
                  <c:v>6.33</c:v>
                </c:pt>
                <c:pt idx="472">
                  <c:v>5.88</c:v>
                </c:pt>
                <c:pt idx="473">
                  <c:v>5.62</c:v>
                </c:pt>
                <c:pt idx="474">
                  <c:v>5.83</c:v>
                </c:pt>
                <c:pt idx="475">
                  <c:v>5.91</c:v>
                </c:pt>
                <c:pt idx="476">
                  <c:v>5.41</c:v>
                </c:pt>
                <c:pt idx="477">
                  <c:v>4.9000000000000004</c:v>
                </c:pt>
                <c:pt idx="478">
                  <c:v>4.59</c:v>
                </c:pt>
                <c:pt idx="479">
                  <c:v>4.3</c:v>
                </c:pt>
                <c:pt idx="480">
                  <c:v>4.09</c:v>
                </c:pt>
                <c:pt idx="481">
                  <c:v>3.87</c:v>
                </c:pt>
                <c:pt idx="482">
                  <c:v>3.44</c:v>
                </c:pt>
                <c:pt idx="483">
                  <c:v>3.25</c:v>
                </c:pt>
                <c:pt idx="484">
                  <c:v>3.25</c:v>
                </c:pt>
                <c:pt idx="485">
                  <c:v>3.42</c:v>
                </c:pt>
                <c:pt idx="486">
                  <c:v>3.34</c:v>
                </c:pt>
                <c:pt idx="487">
                  <c:v>3.32</c:v>
                </c:pt>
                <c:pt idx="488">
                  <c:v>3.21</c:v>
                </c:pt>
                <c:pt idx="489">
                  <c:v>3.93</c:v>
                </c:pt>
                <c:pt idx="490">
                  <c:v>4.0599999999999996</c:v>
                </c:pt>
                <c:pt idx="491">
                  <c:v>3.87</c:v>
                </c:pt>
                <c:pt idx="492">
                  <c:v>3.8</c:v>
                </c:pt>
                <c:pt idx="493">
                  <c:v>3.71</c:v>
                </c:pt>
                <c:pt idx="494">
                  <c:v>3.66</c:v>
                </c:pt>
                <c:pt idx="495">
                  <c:v>3.26</c:v>
                </c:pt>
                <c:pt idx="496">
                  <c:v>3.04</c:v>
                </c:pt>
                <c:pt idx="497">
                  <c:v>2.97</c:v>
                </c:pt>
                <c:pt idx="498">
                  <c:v>2.89</c:v>
                </c:pt>
                <c:pt idx="499">
                  <c:v>3</c:v>
                </c:pt>
                <c:pt idx="500">
                  <c:v>2.96</c:v>
                </c:pt>
                <c:pt idx="501">
                  <c:v>2.85</c:v>
                </c:pt>
                <c:pt idx="502">
                  <c:v>2.8</c:v>
                </c:pt>
                <c:pt idx="503">
                  <c:v>2.8</c:v>
                </c:pt>
                <c:pt idx="504">
                  <c:v>2.78</c:v>
                </c:pt>
                <c:pt idx="505">
                  <c:v>2.77</c:v>
                </c:pt>
                <c:pt idx="506">
                  <c:v>2.82</c:v>
                </c:pt>
                <c:pt idx="507">
                  <c:v>3.05</c:v>
                </c:pt>
                <c:pt idx="508">
                  <c:v>3.11</c:v>
                </c:pt>
                <c:pt idx="509">
                  <c:v>3.19</c:v>
                </c:pt>
                <c:pt idx="510">
                  <c:v>3.03</c:v>
                </c:pt>
                <c:pt idx="511">
                  <c:v>2.96</c:v>
                </c:pt>
                <c:pt idx="512">
                  <c:v>2.89</c:v>
                </c:pt>
                <c:pt idx="513">
                  <c:v>2.85</c:v>
                </c:pt>
                <c:pt idx="514">
                  <c:v>2.75</c:v>
                </c:pt>
                <c:pt idx="515">
                  <c:v>2.76</c:v>
                </c:pt>
                <c:pt idx="516">
                  <c:v>2.74</c:v>
                </c:pt>
                <c:pt idx="517">
                  <c:v>2.64</c:v>
                </c:pt>
                <c:pt idx="518">
                  <c:v>2.6</c:v>
                </c:pt>
                <c:pt idx="519">
                  <c:v>2.57</c:v>
                </c:pt>
                <c:pt idx="520">
                  <c:v>2.4700000000000002</c:v>
                </c:pt>
                <c:pt idx="521">
                  <c:v>2.4</c:v>
                </c:pt>
                <c:pt idx="522">
                  <c:v>2.39</c:v>
                </c:pt>
                <c:pt idx="523">
                  <c:v>2.38</c:v>
                </c:pt>
                <c:pt idx="524">
                  <c:v>2.36</c:v>
                </c:pt>
                <c:pt idx="525">
                  <c:v>2.36</c:v>
                </c:pt>
                <c:pt idx="526">
                  <c:v>2.31</c:v>
                </c:pt>
                <c:pt idx="527">
                  <c:v>2.34</c:v>
                </c:pt>
                <c:pt idx="528">
                  <c:v>2.29</c:v>
                </c:pt>
                <c:pt idx="529">
                  <c:v>2.2599999999999998</c:v>
                </c:pt>
                <c:pt idx="530">
                  <c:v>2.27</c:v>
                </c:pt>
                <c:pt idx="531">
                  <c:v>2.34</c:v>
                </c:pt>
                <c:pt idx="532">
                  <c:v>2.35</c:v>
                </c:pt>
                <c:pt idx="533">
                  <c:v>2.2999999999999998</c:v>
                </c:pt>
                <c:pt idx="534">
                  <c:v>2.31</c:v>
                </c:pt>
                <c:pt idx="535">
                  <c:v>2.2999999999999998</c:v>
                </c:pt>
                <c:pt idx="536">
                  <c:v>2.16</c:v>
                </c:pt>
                <c:pt idx="537">
                  <c:v>2.1974999999999998</c:v>
                </c:pt>
                <c:pt idx="538">
                  <c:v>2.1724999999999999</c:v>
                </c:pt>
                <c:pt idx="539">
                  <c:v>2.1800000000000002</c:v>
                </c:pt>
                <c:pt idx="540">
                  <c:v>2.15</c:v>
                </c:pt>
                <c:pt idx="541">
                  <c:v>2.1800000000000002</c:v>
                </c:pt>
                <c:pt idx="542">
                  <c:v>2.08</c:v>
                </c:pt>
                <c:pt idx="543">
                  <c:v>2.0499999999999998</c:v>
                </c:pt>
                <c:pt idx="544">
                  <c:v>2.0699999999999998</c:v>
                </c:pt>
                <c:pt idx="545">
                  <c:v>2.0099999999999998</c:v>
                </c:pt>
                <c:pt idx="546">
                  <c:v>1.97</c:v>
                </c:pt>
                <c:pt idx="547">
                  <c:v>2.04</c:v>
                </c:pt>
                <c:pt idx="548">
                  <c:v>2.06</c:v>
                </c:pt>
                <c:pt idx="549">
                  <c:v>2.2000000000000002</c:v>
                </c:pt>
                <c:pt idx="550">
                  <c:v>3.54</c:v>
                </c:pt>
                <c:pt idx="551">
                  <c:v>2.5099999999999998</c:v>
                </c:pt>
                <c:pt idx="552">
                  <c:v>2.5299999999999998</c:v>
                </c:pt>
                <c:pt idx="553">
                  <c:v>2.59</c:v>
                </c:pt>
                <c:pt idx="554">
                  <c:v>2.91</c:v>
                </c:pt>
                <c:pt idx="555">
                  <c:v>2.69</c:v>
                </c:pt>
                <c:pt idx="556">
                  <c:v>2.59</c:v>
                </c:pt>
                <c:pt idx="557">
                  <c:v>2.4900000000000002</c:v>
                </c:pt>
                <c:pt idx="558">
                  <c:v>2.31</c:v>
                </c:pt>
                <c:pt idx="559">
                  <c:v>2.2599999999999998</c:v>
                </c:pt>
                <c:pt idx="560">
                  <c:v>2.2200000000000002</c:v>
                </c:pt>
                <c:pt idx="561">
                  <c:v>2.14</c:v>
                </c:pt>
                <c:pt idx="562">
                  <c:v>2.19</c:v>
                </c:pt>
                <c:pt idx="563">
                  <c:v>2.1800000000000002</c:v>
                </c:pt>
                <c:pt idx="564">
                  <c:v>2.16</c:v>
                </c:pt>
                <c:pt idx="565">
                  <c:v>2.19</c:v>
                </c:pt>
                <c:pt idx="566">
                  <c:v>2.2000000000000002</c:v>
                </c:pt>
                <c:pt idx="567">
                  <c:v>2.15</c:v>
                </c:pt>
                <c:pt idx="568">
                  <c:v>2.11</c:v>
                </c:pt>
                <c:pt idx="569">
                  <c:v>2.04</c:v>
                </c:pt>
                <c:pt idx="570">
                  <c:v>2.1</c:v>
                </c:pt>
                <c:pt idx="571">
                  <c:v>2.12</c:v>
                </c:pt>
                <c:pt idx="572">
                  <c:v>1.71</c:v>
                </c:pt>
                <c:pt idx="573">
                  <c:v>1.67</c:v>
                </c:pt>
                <c:pt idx="574">
                  <c:v>1.61</c:v>
                </c:pt>
                <c:pt idx="575">
                  <c:v>1.64</c:v>
                </c:pt>
                <c:pt idx="576">
                  <c:v>1.59</c:v>
                </c:pt>
                <c:pt idx="577">
                  <c:v>1.62</c:v>
                </c:pt>
                <c:pt idx="578">
                  <c:v>1.7</c:v>
                </c:pt>
                <c:pt idx="579">
                  <c:v>1.79</c:v>
                </c:pt>
                <c:pt idx="580">
                  <c:v>3.5</c:v>
                </c:pt>
                <c:pt idx="581">
                  <c:v>3.94</c:v>
                </c:pt>
                <c:pt idx="582">
                  <c:v>1.61</c:v>
                </c:pt>
                <c:pt idx="583">
                  <c:v>1.63</c:v>
                </c:pt>
                <c:pt idx="584">
                  <c:v>1.62</c:v>
                </c:pt>
                <c:pt idx="585">
                  <c:v>1.67</c:v>
                </c:pt>
                <c:pt idx="586">
                  <c:v>1.64</c:v>
                </c:pt>
                <c:pt idx="587">
                  <c:v>1.67</c:v>
                </c:pt>
                <c:pt idx="588">
                  <c:v>1.93</c:v>
                </c:pt>
                <c:pt idx="589">
                  <c:v>1.97</c:v>
                </c:pt>
                <c:pt idx="590">
                  <c:v>1.89</c:v>
                </c:pt>
                <c:pt idx="591">
                  <c:v>1.88</c:v>
                </c:pt>
                <c:pt idx="592">
                  <c:v>1.83</c:v>
                </c:pt>
                <c:pt idx="593">
                  <c:v>2.0699999999999998</c:v>
                </c:pt>
                <c:pt idx="594">
                  <c:v>2.38</c:v>
                </c:pt>
                <c:pt idx="595">
                  <c:v>2.42</c:v>
                </c:pt>
                <c:pt idx="596">
                  <c:v>2.5</c:v>
                </c:pt>
                <c:pt idx="597">
                  <c:v>2.62</c:v>
                </c:pt>
                <c:pt idx="598">
                  <c:v>2.48</c:v>
                </c:pt>
                <c:pt idx="599">
                  <c:v>2.36</c:v>
                </c:pt>
                <c:pt idx="600">
                  <c:v>2.2999999999999998</c:v>
                </c:pt>
                <c:pt idx="601">
                  <c:v>2.38</c:v>
                </c:pt>
                <c:pt idx="602">
                  <c:v>2.4500000000000002</c:v>
                </c:pt>
                <c:pt idx="603">
                  <c:v>2.54</c:v>
                </c:pt>
                <c:pt idx="604">
                  <c:v>2.4300000000000002</c:v>
                </c:pt>
                <c:pt idx="605">
                  <c:v>2.4300000000000002</c:v>
                </c:pt>
                <c:pt idx="606">
                  <c:v>2.46</c:v>
                </c:pt>
                <c:pt idx="607">
                  <c:v>2.5499999999999998</c:v>
                </c:pt>
                <c:pt idx="608">
                  <c:v>2.75</c:v>
                </c:pt>
                <c:pt idx="609">
                  <c:v>2.88</c:v>
                </c:pt>
                <c:pt idx="610">
                  <c:v>2.68</c:v>
                </c:pt>
                <c:pt idx="611">
                  <c:v>2.5550000000000002</c:v>
                </c:pt>
                <c:pt idx="612">
                  <c:v>2.4567000000000001</c:v>
                </c:pt>
                <c:pt idx="613">
                  <c:v>2.4062999999999999</c:v>
                </c:pt>
                <c:pt idx="614">
                  <c:v>2.3050000000000002</c:v>
                </c:pt>
                <c:pt idx="615">
                  <c:v>2.2204000000000002</c:v>
                </c:pt>
                <c:pt idx="616">
                  <c:v>2.1825000000000001</c:v>
                </c:pt>
                <c:pt idx="617">
                  <c:v>2.2149999999999999</c:v>
                </c:pt>
                <c:pt idx="618">
                  <c:v>2.2528999999999999</c:v>
                </c:pt>
                <c:pt idx="619">
                  <c:v>2.1341999999999999</c:v>
                </c:pt>
                <c:pt idx="620">
                  <c:v>2.1229</c:v>
                </c:pt>
                <c:pt idx="621">
                  <c:v>2.1175000000000002</c:v>
                </c:pt>
                <c:pt idx="622">
                  <c:v>2.0316999999999998</c:v>
                </c:pt>
                <c:pt idx="623">
                  <c:v>2.0741999999999998</c:v>
                </c:pt>
                <c:pt idx="624">
                  <c:v>2.0283000000000002</c:v>
                </c:pt>
                <c:pt idx="625">
                  <c:v>2.08</c:v>
                </c:pt>
                <c:pt idx="626">
                  <c:v>2.0746000000000002</c:v>
                </c:pt>
                <c:pt idx="627">
                  <c:v>2.2563</c:v>
                </c:pt>
                <c:pt idx="628">
                  <c:v>2.5278999999999998</c:v>
                </c:pt>
                <c:pt idx="629">
                  <c:v>2.7250000000000001</c:v>
                </c:pt>
                <c:pt idx="630">
                  <c:v>2.6821000000000002</c:v>
                </c:pt>
                <c:pt idx="631">
                  <c:v>2.6166999999999998</c:v>
                </c:pt>
                <c:pt idx="632">
                  <c:v>2.3746</c:v>
                </c:pt>
                <c:pt idx="633">
                  <c:v>2.3746</c:v>
                </c:pt>
                <c:pt idx="634">
                  <c:v>2.1446000000000001</c:v>
                </c:pt>
                <c:pt idx="635">
                  <c:v>1.8232999999999999</c:v>
                </c:pt>
                <c:pt idx="636">
                  <c:v>1.4282999999999999</c:v>
                </c:pt>
                <c:pt idx="637">
                  <c:v>1.3725000000000001</c:v>
                </c:pt>
                <c:pt idx="638">
                  <c:v>1.2825</c:v>
                </c:pt>
                <c:pt idx="639">
                  <c:v>1.4545999999999999</c:v>
                </c:pt>
                <c:pt idx="640">
                  <c:v>2.1454</c:v>
                </c:pt>
                <c:pt idx="641">
                  <c:v>4.0221</c:v>
                </c:pt>
                <c:pt idx="642">
                  <c:v>4.4112999999999998</c:v>
                </c:pt>
                <c:pt idx="643">
                  <c:v>4.2675000000000001</c:v>
                </c:pt>
                <c:pt idx="644">
                  <c:v>4.0537999999999998</c:v>
                </c:pt>
                <c:pt idx="645">
                  <c:v>3.9904000000000002</c:v>
                </c:pt>
                <c:pt idx="646">
                  <c:v>3.7946</c:v>
                </c:pt>
                <c:pt idx="647">
                  <c:v>3.58</c:v>
                </c:pt>
                <c:pt idx="648">
                  <c:v>3.3864999999999998</c:v>
                </c:pt>
                <c:pt idx="649">
                  <c:v>3.2545999999999999</c:v>
                </c:pt>
                <c:pt idx="650">
                  <c:v>3.2553999999999998</c:v>
                </c:pt>
                <c:pt idx="651">
                  <c:v>3.1867000000000001</c:v>
                </c:pt>
                <c:pt idx="652">
                  <c:v>3.1</c:v>
                </c:pt>
                <c:pt idx="653">
                  <c:v>3.1333000000000002</c:v>
                </c:pt>
                <c:pt idx="654">
                  <c:v>3.26</c:v>
                </c:pt>
                <c:pt idx="655">
                  <c:v>3.2625000000000002</c:v>
                </c:pt>
                <c:pt idx="656">
                  <c:v>3.1566999999999998</c:v>
                </c:pt>
                <c:pt idx="657">
                  <c:v>3.1</c:v>
                </c:pt>
                <c:pt idx="658">
                  <c:v>2.9062999999999999</c:v>
                </c:pt>
                <c:pt idx="659">
                  <c:v>2.9375</c:v>
                </c:pt>
                <c:pt idx="660">
                  <c:v>2.6875</c:v>
                </c:pt>
                <c:pt idx="661">
                  <c:v>2.6133000000000002</c:v>
                </c:pt>
                <c:pt idx="662">
                  <c:v>2.5150000000000001</c:v>
                </c:pt>
                <c:pt idx="663">
                  <c:v>2.4687999999999999</c:v>
                </c:pt>
                <c:pt idx="664">
                  <c:v>2.4396</c:v>
                </c:pt>
                <c:pt idx="665">
                  <c:v>2.3738000000000001</c:v>
                </c:pt>
                <c:pt idx="666">
                  <c:v>2.3774999999999999</c:v>
                </c:pt>
                <c:pt idx="667">
                  <c:v>2.4117000000000002</c:v>
                </c:pt>
                <c:pt idx="668">
                  <c:v>2.4207999999999998</c:v>
                </c:pt>
                <c:pt idx="669">
                  <c:v>2.3466999999999998</c:v>
                </c:pt>
                <c:pt idx="670">
                  <c:v>2.2258</c:v>
                </c:pt>
                <c:pt idx="671">
                  <c:v>2.1554000000000002</c:v>
                </c:pt>
                <c:pt idx="672">
                  <c:v>2.1770999999999998</c:v>
                </c:pt>
                <c:pt idx="673">
                  <c:v>2.4392</c:v>
                </c:pt>
                <c:pt idx="674">
                  <c:v>2.9217</c:v>
                </c:pt>
                <c:pt idx="675">
                  <c:v>3.0283000000000002</c:v>
                </c:pt>
                <c:pt idx="676">
                  <c:v>3.1358000000000001</c:v>
                </c:pt>
                <c:pt idx="677">
                  <c:v>3.6025</c:v>
                </c:pt>
                <c:pt idx="678">
                  <c:v>24.948799999999999</c:v>
                </c:pt>
                <c:pt idx="679">
                  <c:v>29.661300000000001</c:v>
                </c:pt>
                <c:pt idx="680">
                  <c:v>32.378300000000003</c:v>
                </c:pt>
                <c:pt idx="681">
                  <c:v>30.1813</c:v>
                </c:pt>
                <c:pt idx="682">
                  <c:v>6.97</c:v>
                </c:pt>
                <c:pt idx="683">
                  <c:v>5.93</c:v>
                </c:pt>
                <c:pt idx="684">
                  <c:v>5.26</c:v>
                </c:pt>
                <c:pt idx="685">
                  <c:v>5.04</c:v>
                </c:pt>
                <c:pt idx="686">
                  <c:v>4.8600000000000003</c:v>
                </c:pt>
                <c:pt idx="687">
                  <c:v>5.17</c:v>
                </c:pt>
                <c:pt idx="688">
                  <c:v>7.09</c:v>
                </c:pt>
                <c:pt idx="689">
                  <c:v>7.88</c:v>
                </c:pt>
                <c:pt idx="690">
                  <c:v>7.92</c:v>
                </c:pt>
                <c:pt idx="691">
                  <c:v>9.18</c:v>
                </c:pt>
                <c:pt idx="692">
                  <c:v>8.18</c:v>
                </c:pt>
                <c:pt idx="693">
                  <c:v>7.76</c:v>
                </c:pt>
                <c:pt idx="694">
                  <c:v>6.82</c:v>
                </c:pt>
                <c:pt idx="695">
                  <c:v>5.6</c:v>
                </c:pt>
                <c:pt idx="696">
                  <c:v>4.84</c:v>
                </c:pt>
                <c:pt idx="697">
                  <c:v>4.28</c:v>
                </c:pt>
                <c:pt idx="698">
                  <c:v>4.3499999999999996</c:v>
                </c:pt>
                <c:pt idx="699">
                  <c:v>4.32</c:v>
                </c:pt>
                <c:pt idx="700">
                  <c:v>4.01</c:v>
                </c:pt>
                <c:pt idx="701">
                  <c:v>3.7</c:v>
                </c:pt>
                <c:pt idx="702">
                  <c:v>3.54</c:v>
                </c:pt>
                <c:pt idx="703">
                  <c:v>3.38</c:v>
                </c:pt>
                <c:pt idx="704">
                  <c:v>3.17</c:v>
                </c:pt>
                <c:pt idx="705">
                  <c:v>2.99</c:v>
                </c:pt>
                <c:pt idx="706">
                  <c:v>2.96</c:v>
                </c:pt>
                <c:pt idx="707">
                  <c:v>3.22</c:v>
                </c:pt>
                <c:pt idx="708">
                  <c:v>3.36</c:v>
                </c:pt>
                <c:pt idx="709">
                  <c:v>3.29</c:v>
                </c:pt>
                <c:pt idx="710">
                  <c:v>2.86</c:v>
                </c:pt>
                <c:pt idx="711">
                  <c:v>2.78</c:v>
                </c:pt>
                <c:pt idx="712">
                  <c:v>3.07</c:v>
                </c:pt>
                <c:pt idx="713">
                  <c:v>3</c:v>
                </c:pt>
                <c:pt idx="714">
                  <c:v>4.1399999999999997</c:v>
                </c:pt>
                <c:pt idx="715">
                  <c:v>4.0250000000000004</c:v>
                </c:pt>
                <c:pt idx="716">
                  <c:v>3.55</c:v>
                </c:pt>
                <c:pt idx="717">
                  <c:v>3.43</c:v>
                </c:pt>
                <c:pt idx="718">
                  <c:v>3.49</c:v>
                </c:pt>
                <c:pt idx="719">
                  <c:v>3.75</c:v>
                </c:pt>
                <c:pt idx="720">
                  <c:v>4.21</c:v>
                </c:pt>
                <c:pt idx="721">
                  <c:v>4.2</c:v>
                </c:pt>
                <c:pt idx="722">
                  <c:v>3.76</c:v>
                </c:pt>
                <c:pt idx="723">
                  <c:v>3.47</c:v>
                </c:pt>
                <c:pt idx="724">
                  <c:v>3.24</c:v>
                </c:pt>
                <c:pt idx="725">
                  <c:v>3.1</c:v>
                </c:pt>
                <c:pt idx="726">
                  <c:v>3.06</c:v>
                </c:pt>
                <c:pt idx="727">
                  <c:v>2.79</c:v>
                </c:pt>
                <c:pt idx="728">
                  <c:v>2.48</c:v>
                </c:pt>
                <c:pt idx="729">
                  <c:v>2.59</c:v>
                </c:pt>
                <c:pt idx="730">
                  <c:v>2.5</c:v>
                </c:pt>
                <c:pt idx="731">
                  <c:v>2.5</c:v>
                </c:pt>
                <c:pt idx="732">
                  <c:v>2.93</c:v>
                </c:pt>
                <c:pt idx="733">
                  <c:v>3.9</c:v>
                </c:pt>
                <c:pt idx="734">
                  <c:v>3.32</c:v>
                </c:pt>
                <c:pt idx="735">
                  <c:v>3.17</c:v>
                </c:pt>
                <c:pt idx="736">
                  <c:v>3.26</c:v>
                </c:pt>
                <c:pt idx="737">
                  <c:v>2.92</c:v>
                </c:pt>
                <c:pt idx="738">
                  <c:v>2.95</c:v>
                </c:pt>
                <c:pt idx="739">
                  <c:v>2.9</c:v>
                </c:pt>
                <c:pt idx="740">
                  <c:v>3.26</c:v>
                </c:pt>
                <c:pt idx="741">
                  <c:v>4.53</c:v>
                </c:pt>
                <c:pt idx="742">
                  <c:v>5.15</c:v>
                </c:pt>
                <c:pt idx="743">
                  <c:v>4.4000000000000004</c:v>
                </c:pt>
                <c:pt idx="744">
                  <c:v>5.03</c:v>
                </c:pt>
                <c:pt idx="745">
                  <c:v>5.71</c:v>
                </c:pt>
                <c:pt idx="746">
                  <c:v>4.72</c:v>
                </c:pt>
                <c:pt idx="747">
                  <c:v>4.28</c:v>
                </c:pt>
                <c:pt idx="748">
                  <c:v>4.38</c:v>
                </c:pt>
                <c:pt idx="749">
                  <c:v>4.9000000000000004</c:v>
                </c:pt>
                <c:pt idx="750">
                  <c:v>5.6</c:v>
                </c:pt>
                <c:pt idx="751">
                  <c:v>5.2</c:v>
                </c:pt>
                <c:pt idx="752">
                  <c:v>8.0299999999999994</c:v>
                </c:pt>
                <c:pt idx="753">
                  <c:v>9.2899999999999991</c:v>
                </c:pt>
                <c:pt idx="754">
                  <c:v>8.48</c:v>
                </c:pt>
                <c:pt idx="755">
                  <c:v>8.11</c:v>
                </c:pt>
                <c:pt idx="756">
                  <c:v>11.76</c:v>
                </c:pt>
                <c:pt idx="757">
                  <c:v>24.53</c:v>
                </c:pt>
                <c:pt idx="758">
                  <c:v>19.87</c:v>
                </c:pt>
                <c:pt idx="759">
                  <c:v>12.69</c:v>
                </c:pt>
                <c:pt idx="760">
                  <c:v>9.33</c:v>
                </c:pt>
                <c:pt idx="761">
                  <c:v>8.7100000000000009</c:v>
                </c:pt>
                <c:pt idx="762">
                  <c:v>11.11</c:v>
                </c:pt>
                <c:pt idx="763">
                  <c:v>13.36</c:v>
                </c:pt>
                <c:pt idx="764">
                  <c:v>15.94</c:v>
                </c:pt>
                <c:pt idx="765">
                  <c:v>12.95</c:v>
                </c:pt>
                <c:pt idx="766">
                  <c:v>10.69</c:v>
                </c:pt>
                <c:pt idx="767">
                  <c:v>8.69</c:v>
                </c:pt>
                <c:pt idx="768">
                  <c:v>7.27</c:v>
                </c:pt>
                <c:pt idx="769">
                  <c:v>8.02</c:v>
                </c:pt>
                <c:pt idx="770">
                  <c:v>11.99</c:v>
                </c:pt>
                <c:pt idx="771">
                  <c:v>19.23</c:v>
                </c:pt>
                <c:pt idx="772">
                  <c:v>17.62</c:v>
                </c:pt>
                <c:pt idx="773">
                  <c:v>12.94</c:v>
                </c:pt>
                <c:pt idx="774">
                  <c:v>12.29</c:v>
                </c:pt>
                <c:pt idx="775">
                  <c:v>12.55</c:v>
                </c:pt>
                <c:pt idx="776">
                  <c:v>16.23</c:v>
                </c:pt>
                <c:pt idx="777">
                  <c:v>16.7</c:v>
                </c:pt>
                <c:pt idx="778">
                  <c:v>14.49</c:v>
                </c:pt>
                <c:pt idx="779">
                  <c:v>13.62</c:v>
                </c:pt>
                <c:pt idx="780">
                  <c:v>16.32</c:v>
                </c:pt>
                <c:pt idx="781">
                  <c:v>17.649999999999999</c:v>
                </c:pt>
                <c:pt idx="782">
                  <c:v>19.010000000000002</c:v>
                </c:pt>
                <c:pt idx="783">
                  <c:v>18.239999999999998</c:v>
                </c:pt>
                <c:pt idx="784">
                  <c:v>19.010000000000002</c:v>
                </c:pt>
                <c:pt idx="785">
                  <c:v>22.45</c:v>
                </c:pt>
                <c:pt idx="786">
                  <c:v>26.02</c:v>
                </c:pt>
                <c:pt idx="787">
                  <c:v>26.11</c:v>
                </c:pt>
                <c:pt idx="788">
                  <c:v>22.82</c:v>
                </c:pt>
                <c:pt idx="789">
                  <c:v>17.22</c:v>
                </c:pt>
                <c:pt idx="790">
                  <c:v>13.59</c:v>
                </c:pt>
                <c:pt idx="791">
                  <c:v>11.6</c:v>
                </c:pt>
                <c:pt idx="792">
                  <c:v>9.81</c:v>
                </c:pt>
                <c:pt idx="793">
                  <c:v>10.01</c:v>
                </c:pt>
                <c:pt idx="794">
                  <c:v>12.69</c:v>
                </c:pt>
                <c:pt idx="795">
                  <c:v>12.65</c:v>
                </c:pt>
                <c:pt idx="796">
                  <c:v>9.9</c:v>
                </c:pt>
                <c:pt idx="797">
                  <c:v>11.27</c:v>
                </c:pt>
                <c:pt idx="798">
                  <c:v>12.04</c:v>
                </c:pt>
                <c:pt idx="799">
                  <c:v>12.38</c:v>
                </c:pt>
                <c:pt idx="800">
                  <c:v>14.43</c:v>
                </c:pt>
                <c:pt idx="801">
                  <c:v>16.579999999999998</c:v>
                </c:pt>
                <c:pt idx="802">
                  <c:v>17.72</c:v>
                </c:pt>
                <c:pt idx="803">
                  <c:v>20.62</c:v>
                </c:pt>
                <c:pt idx="804">
                  <c:v>23.3</c:v>
                </c:pt>
                <c:pt idx="805">
                  <c:v>22.35</c:v>
                </c:pt>
                <c:pt idx="806">
                  <c:v>27.09</c:v>
                </c:pt>
                <c:pt idx="807">
                  <c:v>24.43</c:v>
                </c:pt>
                <c:pt idx="808">
                  <c:v>19.7</c:v>
                </c:pt>
                <c:pt idx="809">
                  <c:v>17.53</c:v>
                </c:pt>
                <c:pt idx="810">
                  <c:v>13.57</c:v>
                </c:pt>
                <c:pt idx="811">
                  <c:v>11.12</c:v>
                </c:pt>
                <c:pt idx="812">
                  <c:v>9.8699999999999992</c:v>
                </c:pt>
                <c:pt idx="813">
                  <c:v>8.9</c:v>
                </c:pt>
                <c:pt idx="814">
                  <c:v>7.81</c:v>
                </c:pt>
                <c:pt idx="815">
                  <c:v>7.17</c:v>
                </c:pt>
                <c:pt idx="816">
                  <c:v>7.5651000000000002</c:v>
                </c:pt>
                <c:pt idx="817">
                  <c:v>7.9926000000000004</c:v>
                </c:pt>
                <c:pt idx="818">
                  <c:v>9.4324999999999992</c:v>
                </c:pt>
                <c:pt idx="819">
                  <c:v>10.1495</c:v>
                </c:pt>
                <c:pt idx="820">
                  <c:v>6.6155999999999997</c:v>
                </c:pt>
                <c:pt idx="821">
                  <c:v>5.8666999999999998</c:v>
                </c:pt>
                <c:pt idx="822">
                  <c:v>4.319</c:v>
                </c:pt>
                <c:pt idx="823">
                  <c:v>4.6007999999999996</c:v>
                </c:pt>
                <c:pt idx="824">
                  <c:v>4.6863000000000001</c:v>
                </c:pt>
                <c:pt idx="825">
                  <c:v>5.3525999999999998</c:v>
                </c:pt>
                <c:pt idx="826">
                  <c:v>5.8052999999999999</c:v>
                </c:pt>
                <c:pt idx="827">
                  <c:v>6.3521000000000001</c:v>
                </c:pt>
                <c:pt idx="828">
                  <c:v>6.1471</c:v>
                </c:pt>
                <c:pt idx="829">
                  <c:v>6.3692000000000002</c:v>
                </c:pt>
                <c:pt idx="830">
                  <c:v>7.0529999999999999</c:v>
                </c:pt>
                <c:pt idx="831">
                  <c:v>5.7933000000000003</c:v>
                </c:pt>
                <c:pt idx="832">
                  <c:v>5.4466000000000001</c:v>
                </c:pt>
                <c:pt idx="833">
                  <c:v>5.4123999999999999</c:v>
                </c:pt>
                <c:pt idx="834">
                  <c:v>6.1898</c:v>
                </c:pt>
                <c:pt idx="835">
                  <c:v>6.0103999999999997</c:v>
                </c:pt>
                <c:pt idx="836">
                  <c:v>5.2756999999999996</c:v>
                </c:pt>
                <c:pt idx="837">
                  <c:v>5.2073999999999998</c:v>
                </c:pt>
                <c:pt idx="838">
                  <c:v>5.7114000000000003</c:v>
                </c:pt>
                <c:pt idx="839">
                  <c:v>6.8029999999999999</c:v>
                </c:pt>
                <c:pt idx="840">
                  <c:v>7.2918000000000003</c:v>
                </c:pt>
                <c:pt idx="841">
                  <c:v>7.9130000000000003</c:v>
                </c:pt>
                <c:pt idx="842">
                  <c:v>9.2797000000000001</c:v>
                </c:pt>
                <c:pt idx="843">
                  <c:v>9.0722000000000005</c:v>
                </c:pt>
                <c:pt idx="844">
                  <c:v>9.4613999999999994</c:v>
                </c:pt>
                <c:pt idx="845">
                  <c:v>10.931699999999999</c:v>
                </c:pt>
                <c:pt idx="846">
                  <c:v>12.7623</c:v>
                </c:pt>
                <c:pt idx="847">
                  <c:v>15.3858</c:v>
                </c:pt>
                <c:pt idx="848">
                  <c:v>17.274100000000001</c:v>
                </c:pt>
                <c:pt idx="849">
                  <c:v>18.571400000000001</c:v>
                </c:pt>
                <c:pt idx="850">
                  <c:v>13.007400000000001</c:v>
                </c:pt>
                <c:pt idx="851">
                  <c:v>13.050599999999999</c:v>
                </c:pt>
                <c:pt idx="852">
                  <c:v>10.0235</c:v>
                </c:pt>
                <c:pt idx="853">
                  <c:v>9.6199999999999992</c:v>
                </c:pt>
                <c:pt idx="854">
                  <c:v>6.1989999999999998</c:v>
                </c:pt>
                <c:pt idx="855">
                  <c:v>5.2329999999999997</c:v>
                </c:pt>
                <c:pt idx="856">
                  <c:v>4.9425999999999997</c:v>
                </c:pt>
                <c:pt idx="857">
                  <c:v>5.3098999999999998</c:v>
                </c:pt>
                <c:pt idx="858">
                  <c:v>10.081200000000001</c:v>
                </c:pt>
                <c:pt idx="859">
                  <c:v>11.436199999999999</c:v>
                </c:pt>
                <c:pt idx="860">
                  <c:v>13.886699999999999</c:v>
                </c:pt>
                <c:pt idx="861">
                  <c:v>13.411</c:v>
                </c:pt>
                <c:pt idx="862">
                  <c:v>12.517300000000001</c:v>
                </c:pt>
                <c:pt idx="863">
                  <c:v>12.2277</c:v>
                </c:pt>
                <c:pt idx="864">
                  <c:v>13.6128</c:v>
                </c:pt>
                <c:pt idx="865">
                  <c:v>14.3912</c:v>
                </c:pt>
                <c:pt idx="866">
                  <c:v>12.709099999999999</c:v>
                </c:pt>
                <c:pt idx="867">
                  <c:v>12.0128</c:v>
                </c:pt>
                <c:pt idx="868">
                  <c:v>9.5335000000000001</c:v>
                </c:pt>
                <c:pt idx="869">
                  <c:v>9.4182000000000006</c:v>
                </c:pt>
                <c:pt idx="870">
                  <c:v>7.5115999999999996</c:v>
                </c:pt>
                <c:pt idx="871">
                  <c:v>8.0123999999999995</c:v>
                </c:pt>
                <c:pt idx="872">
                  <c:v>7.7736999999999998</c:v>
                </c:pt>
                <c:pt idx="873">
                  <c:v>8.39</c:v>
                </c:pt>
                <c:pt idx="874">
                  <c:v>10.1533</c:v>
                </c:pt>
                <c:pt idx="875">
                  <c:v>11.378500000000001</c:v>
                </c:pt>
                <c:pt idx="876">
                  <c:v>14.6218</c:v>
                </c:pt>
                <c:pt idx="877">
                  <c:v>18.369599999999998</c:v>
                </c:pt>
                <c:pt idx="878">
                  <c:v>20.805700000000002</c:v>
                </c:pt>
                <c:pt idx="879">
                  <c:v>20.3444</c:v>
                </c:pt>
                <c:pt idx="880">
                  <c:v>22.362400000000001</c:v>
                </c:pt>
                <c:pt idx="881">
                  <c:v>25.980499999999999</c:v>
                </c:pt>
                <c:pt idx="882">
                  <c:v>15.5588</c:v>
                </c:pt>
                <c:pt idx="883">
                  <c:v>11.738899999999999</c:v>
                </c:pt>
                <c:pt idx="884">
                  <c:v>10.2974</c:v>
                </c:pt>
                <c:pt idx="885">
                  <c:v>8.6829999999999998</c:v>
                </c:pt>
                <c:pt idx="886">
                  <c:v>8.6252999999999993</c:v>
                </c:pt>
                <c:pt idx="887">
                  <c:v>10.441599999999999</c:v>
                </c:pt>
                <c:pt idx="888">
                  <c:v>9.7640999999999991</c:v>
                </c:pt>
                <c:pt idx="889">
                  <c:v>5.9762000000000004</c:v>
                </c:pt>
                <c:pt idx="890">
                  <c:v>7.6261999999999999</c:v>
                </c:pt>
                <c:pt idx="891">
                  <c:v>9.3605</c:v>
                </c:pt>
                <c:pt idx="892">
                  <c:v>8.2075999999999993</c:v>
                </c:pt>
                <c:pt idx="893">
                  <c:v>7.6896000000000004</c:v>
                </c:pt>
                <c:pt idx="894">
                  <c:v>8.468</c:v>
                </c:pt>
                <c:pt idx="895">
                  <c:v>5.7287999999999997</c:v>
                </c:pt>
                <c:pt idx="896">
                  <c:v>5.5064000000000002</c:v>
                </c:pt>
                <c:pt idx="897">
                  <c:v>5.6260000000000003</c:v>
                </c:pt>
                <c:pt idx="898">
                  <c:v>6.0787000000000004</c:v>
                </c:pt>
                <c:pt idx="899">
                  <c:v>7.0758999999999999</c:v>
                </c:pt>
                <c:pt idx="900">
                  <c:v>10.1244</c:v>
                </c:pt>
                <c:pt idx="901">
                  <c:v>10.383900000000001</c:v>
                </c:pt>
                <c:pt idx="902">
                  <c:v>9.3172999999999995</c:v>
                </c:pt>
                <c:pt idx="903">
                  <c:v>10.0236</c:v>
                </c:pt>
                <c:pt idx="904">
                  <c:v>12.228999999999999</c:v>
                </c:pt>
                <c:pt idx="905">
                  <c:v>13.209199999999999</c:v>
                </c:pt>
                <c:pt idx="906">
                  <c:v>14.059699999999999</c:v>
                </c:pt>
                <c:pt idx="907">
                  <c:v>15.947900000000001</c:v>
                </c:pt>
                <c:pt idx="908">
                  <c:v>17.951599999999999</c:v>
                </c:pt>
                <c:pt idx="909">
                  <c:v>18.888500000000001</c:v>
                </c:pt>
                <c:pt idx="910">
                  <c:v>16.120899999999999</c:v>
                </c:pt>
                <c:pt idx="911">
                  <c:v>15.8903</c:v>
                </c:pt>
                <c:pt idx="912">
                  <c:v>14.189399999999999</c:v>
                </c:pt>
                <c:pt idx="913">
                  <c:v>9.4994999999999994</c:v>
                </c:pt>
                <c:pt idx="914">
                  <c:v>6.2409999999999997</c:v>
                </c:pt>
                <c:pt idx="915">
                  <c:v>6.3007999999999997</c:v>
                </c:pt>
                <c:pt idx="916">
                  <c:v>5.9164000000000003</c:v>
                </c:pt>
                <c:pt idx="917">
                  <c:v>5.4893000000000001</c:v>
                </c:pt>
                <c:pt idx="918">
                  <c:v>5.4806999999999997</c:v>
                </c:pt>
                <c:pt idx="919">
                  <c:v>9.3309999999999995</c:v>
                </c:pt>
                <c:pt idx="920">
                  <c:v>6.2704000000000004</c:v>
                </c:pt>
                <c:pt idx="921">
                  <c:v>6.1726999999999999</c:v>
                </c:pt>
                <c:pt idx="922">
                  <c:v>6.1641000000000004</c:v>
                </c:pt>
                <c:pt idx="923">
                  <c:v>6.1043000000000003</c:v>
                </c:pt>
                <c:pt idx="924">
                  <c:v>6.8902999999999999</c:v>
                </c:pt>
                <c:pt idx="925">
                  <c:v>7.7519</c:v>
                </c:pt>
                <c:pt idx="926">
                  <c:v>10.917299999999999</c:v>
                </c:pt>
                <c:pt idx="927">
                  <c:v>9.3521000000000001</c:v>
                </c:pt>
                <c:pt idx="928">
                  <c:v>6.9348999999999998</c:v>
                </c:pt>
                <c:pt idx="929">
                  <c:v>4.8657000000000004</c:v>
                </c:pt>
                <c:pt idx="930">
                  <c:v>4.9596</c:v>
                </c:pt>
                <c:pt idx="931">
                  <c:v>5.2586000000000004</c:v>
                </c:pt>
                <c:pt idx="932">
                  <c:v>5.2586000000000004</c:v>
                </c:pt>
                <c:pt idx="933">
                  <c:v>4.3872999999999998</c:v>
                </c:pt>
                <c:pt idx="934">
                  <c:v>3.4476</c:v>
                </c:pt>
                <c:pt idx="935">
                  <c:v>2.9094000000000002</c:v>
                </c:pt>
                <c:pt idx="936">
                  <c:v>2.7936999999999999</c:v>
                </c:pt>
                <c:pt idx="937">
                  <c:v>3.3451</c:v>
                </c:pt>
                <c:pt idx="938">
                  <c:v>3.69</c:v>
                </c:pt>
                <c:pt idx="939">
                  <c:v>4.96</c:v>
                </c:pt>
                <c:pt idx="940">
                  <c:v>5.36</c:v>
                </c:pt>
                <c:pt idx="941">
                  <c:v>4.9000000000000004</c:v>
                </c:pt>
                <c:pt idx="942">
                  <c:v>4.43</c:v>
                </c:pt>
                <c:pt idx="943">
                  <c:v>5.88</c:v>
                </c:pt>
                <c:pt idx="944">
                  <c:v>4.6900000000000004</c:v>
                </c:pt>
                <c:pt idx="945">
                  <c:v>4.8099999999999996</c:v>
                </c:pt>
                <c:pt idx="946">
                  <c:v>5.07</c:v>
                </c:pt>
                <c:pt idx="947">
                  <c:v>5.35</c:v>
                </c:pt>
                <c:pt idx="948">
                  <c:v>5.4</c:v>
                </c:pt>
                <c:pt idx="949">
                  <c:v>5.18</c:v>
                </c:pt>
                <c:pt idx="950">
                  <c:v>4.63</c:v>
                </c:pt>
                <c:pt idx="951">
                  <c:v>4.3600000000000003</c:v>
                </c:pt>
                <c:pt idx="952">
                  <c:v>3.55</c:v>
                </c:pt>
                <c:pt idx="953">
                  <c:v>3.25</c:v>
                </c:pt>
                <c:pt idx="954">
                  <c:v>3.07</c:v>
                </c:pt>
                <c:pt idx="955">
                  <c:v>3.08</c:v>
                </c:pt>
                <c:pt idx="956">
                  <c:v>4.6900000000000004</c:v>
                </c:pt>
                <c:pt idx="957">
                  <c:v>5.66</c:v>
                </c:pt>
                <c:pt idx="958">
                  <c:v>5.66</c:v>
                </c:pt>
                <c:pt idx="959">
                  <c:v>5.09</c:v>
                </c:pt>
                <c:pt idx="960">
                  <c:v>4.78</c:v>
                </c:pt>
                <c:pt idx="961">
                  <c:v>4.59</c:v>
                </c:pt>
                <c:pt idx="962">
                  <c:v>4.4400000000000004</c:v>
                </c:pt>
                <c:pt idx="963">
                  <c:v>4.78</c:v>
                </c:pt>
                <c:pt idx="964">
                  <c:v>4.8499999999999996</c:v>
                </c:pt>
                <c:pt idx="965">
                  <c:v>4.8600000000000003</c:v>
                </c:pt>
                <c:pt idx="966">
                  <c:v>5.18</c:v>
                </c:pt>
                <c:pt idx="967">
                  <c:v>4.9000000000000004</c:v>
                </c:pt>
                <c:pt idx="968">
                  <c:v>4.45</c:v>
                </c:pt>
                <c:pt idx="969">
                  <c:v>4.4000000000000004</c:v>
                </c:pt>
                <c:pt idx="970">
                  <c:v>4.95</c:v>
                </c:pt>
                <c:pt idx="971">
                  <c:v>5.76</c:v>
                </c:pt>
                <c:pt idx="972">
                  <c:v>7.3</c:v>
                </c:pt>
                <c:pt idx="973">
                  <c:v>10.95</c:v>
                </c:pt>
                <c:pt idx="974">
                  <c:v>12.21</c:v>
                </c:pt>
                <c:pt idx="975">
                  <c:v>9.08</c:v>
                </c:pt>
                <c:pt idx="976">
                  <c:v>7.04</c:v>
                </c:pt>
                <c:pt idx="977">
                  <c:v>6.71</c:v>
                </c:pt>
                <c:pt idx="978">
                  <c:v>6.82</c:v>
                </c:pt>
                <c:pt idx="979">
                  <c:v>6.25</c:v>
                </c:pt>
                <c:pt idx="980">
                  <c:v>6.25</c:v>
                </c:pt>
                <c:pt idx="981">
                  <c:v>6.72</c:v>
                </c:pt>
                <c:pt idx="982">
                  <c:v>6.45</c:v>
                </c:pt>
                <c:pt idx="983">
                  <c:v>6.97</c:v>
                </c:pt>
                <c:pt idx="984">
                  <c:v>9.43</c:v>
                </c:pt>
                <c:pt idx="985">
                  <c:v>14.16</c:v>
                </c:pt>
                <c:pt idx="986">
                  <c:v>22.26</c:v>
                </c:pt>
                <c:pt idx="987">
                  <c:v>23.13</c:v>
                </c:pt>
                <c:pt idx="988">
                  <c:v>22.45</c:v>
                </c:pt>
                <c:pt idx="989">
                  <c:v>23.93</c:v>
                </c:pt>
                <c:pt idx="990">
                  <c:v>17.23</c:v>
                </c:pt>
                <c:pt idx="991">
                  <c:v>15.2</c:v>
                </c:pt>
                <c:pt idx="992">
                  <c:v>16.55</c:v>
                </c:pt>
                <c:pt idx="993">
                  <c:v>17.27</c:v>
                </c:pt>
                <c:pt idx="994">
                  <c:v>14.19</c:v>
                </c:pt>
                <c:pt idx="995">
                  <c:v>12.17</c:v>
                </c:pt>
                <c:pt idx="996">
                  <c:v>9.26</c:v>
                </c:pt>
                <c:pt idx="997">
                  <c:v>7.69</c:v>
                </c:pt>
                <c:pt idx="998">
                  <c:v>7.18</c:v>
                </c:pt>
                <c:pt idx="999">
                  <c:v>6.8</c:v>
                </c:pt>
                <c:pt idx="1000">
                  <c:v>5.88</c:v>
                </c:pt>
                <c:pt idx="1001">
                  <c:v>5.59</c:v>
                </c:pt>
                <c:pt idx="1002">
                  <c:v>7.15</c:v>
                </c:pt>
                <c:pt idx="1003">
                  <c:v>6.9</c:v>
                </c:pt>
                <c:pt idx="1004">
                  <c:v>6.35</c:v>
                </c:pt>
                <c:pt idx="1005">
                  <c:v>6.43</c:v>
                </c:pt>
                <c:pt idx="1006">
                  <c:v>8.59</c:v>
                </c:pt>
                <c:pt idx="1007">
                  <c:v>11.09</c:v>
                </c:pt>
                <c:pt idx="1008">
                  <c:v>16.14</c:v>
                </c:pt>
                <c:pt idx="1009">
                  <c:v>23</c:v>
                </c:pt>
                <c:pt idx="1010">
                  <c:v>20.73</c:v>
                </c:pt>
                <c:pt idx="1011">
                  <c:v>19.03</c:v>
                </c:pt>
                <c:pt idx="1012">
                  <c:v>18.45</c:v>
                </c:pt>
                <c:pt idx="1013">
                  <c:v>18.28</c:v>
                </c:pt>
                <c:pt idx="1014">
                  <c:v>16.7</c:v>
                </c:pt>
                <c:pt idx="1015">
                  <c:v>19.649999999999999</c:v>
                </c:pt>
                <c:pt idx="1016">
                  <c:v>17.97</c:v>
                </c:pt>
                <c:pt idx="1017">
                  <c:v>14</c:v>
                </c:pt>
                <c:pt idx="1018">
                  <c:v>11.44</c:v>
                </c:pt>
                <c:pt idx="1019">
                  <c:v>9.1199999999999992</c:v>
                </c:pt>
                <c:pt idx="1020">
                  <c:v>8.39</c:v>
                </c:pt>
                <c:pt idx="1021">
                  <c:v>8.57</c:v>
                </c:pt>
                <c:pt idx="1022">
                  <c:v>7.98</c:v>
                </c:pt>
                <c:pt idx="1023">
                  <c:v>7.6</c:v>
                </c:pt>
                <c:pt idx="1024">
                  <c:v>7.44</c:v>
                </c:pt>
                <c:pt idx="1025">
                  <c:v>7.51</c:v>
                </c:pt>
                <c:pt idx="1026">
                  <c:v>7.33</c:v>
                </c:pt>
                <c:pt idx="1027">
                  <c:v>7.2</c:v>
                </c:pt>
                <c:pt idx="1028">
                  <c:v>5.83</c:v>
                </c:pt>
                <c:pt idx="1029">
                  <c:v>5.96</c:v>
                </c:pt>
                <c:pt idx="1030">
                  <c:v>5.21</c:v>
                </c:pt>
                <c:pt idx="1031">
                  <c:v>5.19</c:v>
                </c:pt>
                <c:pt idx="1032">
                  <c:v>5.57</c:v>
                </c:pt>
                <c:pt idx="1033">
                  <c:v>5.47</c:v>
                </c:pt>
                <c:pt idx="1034">
                  <c:v>4.97</c:v>
                </c:pt>
                <c:pt idx="1035">
                  <c:v>4.83</c:v>
                </c:pt>
                <c:pt idx="1036">
                  <c:v>4.84</c:v>
                </c:pt>
                <c:pt idx="1037">
                  <c:v>4.87</c:v>
                </c:pt>
                <c:pt idx="1038">
                  <c:v>4.58</c:v>
                </c:pt>
                <c:pt idx="1039">
                  <c:v>4.6500000000000004</c:v>
                </c:pt>
                <c:pt idx="1040">
                  <c:v>5</c:v>
                </c:pt>
                <c:pt idx="1041">
                  <c:v>5.19</c:v>
                </c:pt>
                <c:pt idx="1042">
                  <c:v>4.87</c:v>
                </c:pt>
                <c:pt idx="1043">
                  <c:v>4.9000000000000004</c:v>
                </c:pt>
                <c:pt idx="1044">
                  <c:v>5.22</c:v>
                </c:pt>
                <c:pt idx="1045">
                  <c:v>4.58</c:v>
                </c:pt>
                <c:pt idx="1046">
                  <c:v>4.18</c:v>
                </c:pt>
                <c:pt idx="1047">
                  <c:v>4.09</c:v>
                </c:pt>
                <c:pt idx="1048">
                  <c:v>3.83</c:v>
                </c:pt>
                <c:pt idx="1049">
                  <c:v>3.51</c:v>
                </c:pt>
                <c:pt idx="1050">
                  <c:v>3.42</c:v>
                </c:pt>
                <c:pt idx="1051">
                  <c:v>3.16</c:v>
                </c:pt>
                <c:pt idx="1052">
                  <c:v>3.22</c:v>
                </c:pt>
                <c:pt idx="1053">
                  <c:v>3.01</c:v>
                </c:pt>
                <c:pt idx="1054">
                  <c:v>2.79</c:v>
                </c:pt>
                <c:pt idx="1055">
                  <c:v>2.66</c:v>
                </c:pt>
                <c:pt idx="1056">
                  <c:v>2.58</c:v>
                </c:pt>
                <c:pt idx="1057">
                  <c:v>2.5099999999999998</c:v>
                </c:pt>
                <c:pt idx="1058">
                  <c:v>2.48</c:v>
                </c:pt>
                <c:pt idx="1059">
                  <c:v>2.42</c:v>
                </c:pt>
                <c:pt idx="1060">
                  <c:v>2.39</c:v>
                </c:pt>
                <c:pt idx="1061">
                  <c:v>2.38</c:v>
                </c:pt>
                <c:pt idx="1062">
                  <c:v>2.38</c:v>
                </c:pt>
                <c:pt idx="1063">
                  <c:v>2.37</c:v>
                </c:pt>
                <c:pt idx="1064">
                  <c:v>2.37</c:v>
                </c:pt>
                <c:pt idx="1065">
                  <c:v>2.48</c:v>
                </c:pt>
                <c:pt idx="1066">
                  <c:v>2.56</c:v>
                </c:pt>
                <c:pt idx="1067">
                  <c:v>2.4700000000000002</c:v>
                </c:pt>
                <c:pt idx="1068">
                  <c:v>2.41</c:v>
                </c:pt>
                <c:pt idx="1069">
                  <c:v>2.31</c:v>
                </c:pt>
                <c:pt idx="1070">
                  <c:v>2.4900000000000002</c:v>
                </c:pt>
                <c:pt idx="1071">
                  <c:v>2.42</c:v>
                </c:pt>
                <c:pt idx="1072">
                  <c:v>2.35</c:v>
                </c:pt>
                <c:pt idx="1073">
                  <c:v>2.2999999999999998</c:v>
                </c:pt>
                <c:pt idx="1074">
                  <c:v>2.17</c:v>
                </c:pt>
                <c:pt idx="1075">
                  <c:v>2.12</c:v>
                </c:pt>
                <c:pt idx="1076">
                  <c:v>2.08</c:v>
                </c:pt>
                <c:pt idx="1077">
                  <c:v>2.09</c:v>
                </c:pt>
                <c:pt idx="1078">
                  <c:v>2.02</c:v>
                </c:pt>
                <c:pt idx="1079">
                  <c:v>2.02</c:v>
                </c:pt>
                <c:pt idx="1080">
                  <c:v>1.98</c:v>
                </c:pt>
                <c:pt idx="1081">
                  <c:v>1.96</c:v>
                </c:pt>
                <c:pt idx="1082">
                  <c:v>1.9</c:v>
                </c:pt>
                <c:pt idx="1083">
                  <c:v>1.94</c:v>
                </c:pt>
                <c:pt idx="1084">
                  <c:v>1.91</c:v>
                </c:pt>
                <c:pt idx="1085">
                  <c:v>1.86</c:v>
                </c:pt>
                <c:pt idx="1086">
                  <c:v>1.85</c:v>
                </c:pt>
                <c:pt idx="1087">
                  <c:v>1.78</c:v>
                </c:pt>
                <c:pt idx="1088">
                  <c:v>1.79</c:v>
                </c:pt>
                <c:pt idx="1089">
                  <c:v>1.75</c:v>
                </c:pt>
                <c:pt idx="1090">
                  <c:v>1.77</c:v>
                </c:pt>
                <c:pt idx="1091">
                  <c:v>1.74</c:v>
                </c:pt>
                <c:pt idx="1092">
                  <c:v>1.71</c:v>
                </c:pt>
                <c:pt idx="1093">
                  <c:v>1.72</c:v>
                </c:pt>
                <c:pt idx="1094">
                  <c:v>1.71</c:v>
                </c:pt>
                <c:pt idx="1095">
                  <c:v>1.74</c:v>
                </c:pt>
                <c:pt idx="1096">
                  <c:v>1.71</c:v>
                </c:pt>
                <c:pt idx="1097">
                  <c:v>1.75</c:v>
                </c:pt>
                <c:pt idx="1098">
                  <c:v>1.74</c:v>
                </c:pt>
                <c:pt idx="1099">
                  <c:v>1.54</c:v>
                </c:pt>
                <c:pt idx="1100">
                  <c:v>1.55</c:v>
                </c:pt>
                <c:pt idx="1101">
                  <c:v>1.58</c:v>
                </c:pt>
                <c:pt idx="1102">
                  <c:v>1.51</c:v>
                </c:pt>
                <c:pt idx="1103">
                  <c:v>1.51</c:v>
                </c:pt>
                <c:pt idx="1104">
                  <c:v>1.54</c:v>
                </c:pt>
                <c:pt idx="1105">
                  <c:v>1.47</c:v>
                </c:pt>
                <c:pt idx="1106">
                  <c:v>1.44</c:v>
                </c:pt>
                <c:pt idx="1107">
                  <c:v>1.48</c:v>
                </c:pt>
                <c:pt idx="1108">
                  <c:v>1.51</c:v>
                </c:pt>
                <c:pt idx="1109">
                  <c:v>1.48</c:v>
                </c:pt>
                <c:pt idx="1110">
                  <c:v>1.48</c:v>
                </c:pt>
                <c:pt idx="1111">
                  <c:v>1.5</c:v>
                </c:pt>
                <c:pt idx="1112">
                  <c:v>1.47</c:v>
                </c:pt>
                <c:pt idx="1113">
                  <c:v>1.39</c:v>
                </c:pt>
                <c:pt idx="1114">
                  <c:v>1.39</c:v>
                </c:pt>
                <c:pt idx="1115">
                  <c:v>1.38</c:v>
                </c:pt>
                <c:pt idx="1116">
                  <c:v>1.37</c:v>
                </c:pt>
                <c:pt idx="1117">
                  <c:v>1.34</c:v>
                </c:pt>
                <c:pt idx="1118">
                  <c:v>1.36</c:v>
                </c:pt>
                <c:pt idx="1119">
                  <c:v>1.32</c:v>
                </c:pt>
                <c:pt idx="1120">
                  <c:v>1.27</c:v>
                </c:pt>
                <c:pt idx="1121">
                  <c:v>1.28</c:v>
                </c:pt>
                <c:pt idx="1122">
                  <c:v>1.32</c:v>
                </c:pt>
                <c:pt idx="1123">
                  <c:v>1.3</c:v>
                </c:pt>
                <c:pt idx="1124">
                  <c:v>1.23</c:v>
                </c:pt>
                <c:pt idx="1125">
                  <c:v>1.23</c:v>
                </c:pt>
                <c:pt idx="1126">
                  <c:v>1.21</c:v>
                </c:pt>
                <c:pt idx="1127">
                  <c:v>1.23</c:v>
                </c:pt>
                <c:pt idx="1128">
                  <c:v>1.18</c:v>
                </c:pt>
                <c:pt idx="1129">
                  <c:v>1.1399999999999999</c:v>
                </c:pt>
                <c:pt idx="1130">
                  <c:v>1.1399999999999999</c:v>
                </c:pt>
                <c:pt idx="1131">
                  <c:v>1.1399999999999999</c:v>
                </c:pt>
                <c:pt idx="1132">
                  <c:v>1.1200000000000001</c:v>
                </c:pt>
                <c:pt idx="1133">
                  <c:v>1.22</c:v>
                </c:pt>
                <c:pt idx="1134">
                  <c:v>1.73</c:v>
                </c:pt>
                <c:pt idx="1135">
                  <c:v>1.86</c:v>
                </c:pt>
                <c:pt idx="1136">
                  <c:v>1.86</c:v>
                </c:pt>
                <c:pt idx="1137">
                  <c:v>1.82</c:v>
                </c:pt>
                <c:pt idx="1138">
                  <c:v>1.72</c:v>
                </c:pt>
                <c:pt idx="1139">
                  <c:v>1.56</c:v>
                </c:pt>
                <c:pt idx="1140">
                  <c:v>1.66</c:v>
                </c:pt>
                <c:pt idx="1141">
                  <c:v>1.74</c:v>
                </c:pt>
                <c:pt idx="1142">
                  <c:v>1.74</c:v>
                </c:pt>
                <c:pt idx="1143">
                  <c:v>1.73</c:v>
                </c:pt>
                <c:pt idx="1144">
                  <c:v>1.71</c:v>
                </c:pt>
                <c:pt idx="1145">
                  <c:v>1.72</c:v>
                </c:pt>
                <c:pt idx="1146">
                  <c:v>1.69</c:v>
                </c:pt>
                <c:pt idx="1147">
                  <c:v>1.71</c:v>
                </c:pt>
                <c:pt idx="1148">
                  <c:v>1.66</c:v>
                </c:pt>
                <c:pt idx="1149">
                  <c:v>1.7</c:v>
                </c:pt>
                <c:pt idx="1150">
                  <c:v>1.55</c:v>
                </c:pt>
                <c:pt idx="1151">
                  <c:v>1.48</c:v>
                </c:pt>
                <c:pt idx="1152">
                  <c:v>1.4</c:v>
                </c:pt>
                <c:pt idx="1153">
                  <c:v>1.48</c:v>
                </c:pt>
                <c:pt idx="1154">
                  <c:v>1.61</c:v>
                </c:pt>
                <c:pt idx="1155">
                  <c:v>1.63</c:v>
                </c:pt>
                <c:pt idx="1156">
                  <c:v>1.53</c:v>
                </c:pt>
                <c:pt idx="1157">
                  <c:v>1.59</c:v>
                </c:pt>
                <c:pt idx="1158">
                  <c:v>1.56</c:v>
                </c:pt>
                <c:pt idx="1159">
                  <c:v>1.5</c:v>
                </c:pt>
                <c:pt idx="1160">
                  <c:v>1.46</c:v>
                </c:pt>
                <c:pt idx="1161">
                  <c:v>1.53</c:v>
                </c:pt>
                <c:pt idx="1162">
                  <c:v>1.53</c:v>
                </c:pt>
                <c:pt idx="1163">
                  <c:v>1.51</c:v>
                </c:pt>
                <c:pt idx="1164">
                  <c:v>1.48</c:v>
                </c:pt>
                <c:pt idx="1165">
                  <c:v>1.46</c:v>
                </c:pt>
                <c:pt idx="1166">
                  <c:v>1.43</c:v>
                </c:pt>
                <c:pt idx="1167">
                  <c:v>1.39</c:v>
                </c:pt>
                <c:pt idx="1168">
                  <c:v>1.5</c:v>
                </c:pt>
                <c:pt idx="1169">
                  <c:v>1.38</c:v>
                </c:pt>
                <c:pt idx="1170">
                  <c:v>1.39</c:v>
                </c:pt>
                <c:pt idx="1171">
                  <c:v>1.39</c:v>
                </c:pt>
                <c:pt idx="1172">
                  <c:v>1.37</c:v>
                </c:pt>
                <c:pt idx="1173">
                  <c:v>1.41</c:v>
                </c:pt>
                <c:pt idx="1174">
                  <c:v>1.39</c:v>
                </c:pt>
                <c:pt idx="1175">
                  <c:v>1.36</c:v>
                </c:pt>
                <c:pt idx="1176">
                  <c:v>1.4</c:v>
                </c:pt>
                <c:pt idx="1177">
                  <c:v>1.48</c:v>
                </c:pt>
                <c:pt idx="1178">
                  <c:v>1.56</c:v>
                </c:pt>
                <c:pt idx="1179">
                  <c:v>1.6</c:v>
                </c:pt>
                <c:pt idx="1180">
                  <c:v>1.55</c:v>
                </c:pt>
                <c:pt idx="1181">
                  <c:v>1.55</c:v>
                </c:pt>
                <c:pt idx="1182">
                  <c:v>1.6</c:v>
                </c:pt>
                <c:pt idx="1183">
                  <c:v>1.55</c:v>
                </c:pt>
                <c:pt idx="1184">
                  <c:v>1.5</c:v>
                </c:pt>
                <c:pt idx="1185">
                  <c:v>1.6</c:v>
                </c:pt>
                <c:pt idx="1186">
                  <c:v>1.63</c:v>
                </c:pt>
                <c:pt idx="1187">
                  <c:v>1.7</c:v>
                </c:pt>
                <c:pt idx="1188">
                  <c:v>1.78</c:v>
                </c:pt>
                <c:pt idx="1189">
                  <c:v>1.89</c:v>
                </c:pt>
                <c:pt idx="1190">
                  <c:v>1.89</c:v>
                </c:pt>
                <c:pt idx="1191">
                  <c:v>1.81</c:v>
                </c:pt>
                <c:pt idx="1192">
                  <c:v>1.75</c:v>
                </c:pt>
                <c:pt idx="1193">
                  <c:v>1.78</c:v>
                </c:pt>
                <c:pt idx="1194">
                  <c:v>1.79</c:v>
                </c:pt>
                <c:pt idx="1195">
                  <c:v>1.79</c:v>
                </c:pt>
                <c:pt idx="1196">
                  <c:v>1.87</c:v>
                </c:pt>
                <c:pt idx="1197">
                  <c:v>1.96</c:v>
                </c:pt>
                <c:pt idx="1198">
                  <c:v>2.02</c:v>
                </c:pt>
                <c:pt idx="1199">
                  <c:v>1.98</c:v>
                </c:pt>
                <c:pt idx="1200">
                  <c:v>1.96</c:v>
                </c:pt>
                <c:pt idx="1201">
                  <c:v>1.98</c:v>
                </c:pt>
                <c:pt idx="1202">
                  <c:v>1.91</c:v>
                </c:pt>
                <c:pt idx="1203">
                  <c:v>1.8</c:v>
                </c:pt>
                <c:pt idx="1204">
                  <c:v>1.78</c:v>
                </c:pt>
                <c:pt idx="1205">
                  <c:v>1.69</c:v>
                </c:pt>
                <c:pt idx="1206">
                  <c:v>1.65</c:v>
                </c:pt>
                <c:pt idx="1207">
                  <c:v>1.76</c:v>
                </c:pt>
                <c:pt idx="1208">
                  <c:v>1.79</c:v>
                </c:pt>
                <c:pt idx="1209">
                  <c:v>1.88</c:v>
                </c:pt>
                <c:pt idx="1210">
                  <c:v>1.84</c:v>
                </c:pt>
                <c:pt idx="1211">
                  <c:v>1.92</c:v>
                </c:pt>
                <c:pt idx="1212">
                  <c:v>2.0699999999999998</c:v>
                </c:pt>
                <c:pt idx="1213">
                  <c:v>2.35</c:v>
                </c:pt>
                <c:pt idx="1214">
                  <c:v>2.39</c:v>
                </c:pt>
                <c:pt idx="1215">
                  <c:v>2.2999999999999998</c:v>
                </c:pt>
                <c:pt idx="1216">
                  <c:v>2.27</c:v>
                </c:pt>
                <c:pt idx="1217">
                  <c:v>2.27</c:v>
                </c:pt>
                <c:pt idx="1218">
                  <c:v>2.2999999999999998</c:v>
                </c:pt>
                <c:pt idx="1219">
                  <c:v>2.35</c:v>
                </c:pt>
                <c:pt idx="1220">
                  <c:v>2.33</c:v>
                </c:pt>
                <c:pt idx="1221">
                  <c:v>2.38</c:v>
                </c:pt>
                <c:pt idx="1222">
                  <c:v>2.2200000000000002</c:v>
                </c:pt>
                <c:pt idx="1223">
                  <c:v>2.11</c:v>
                </c:pt>
                <c:pt idx="1224">
                  <c:v>2.0699999999999998</c:v>
                </c:pt>
                <c:pt idx="1225">
                  <c:v>2.08</c:v>
                </c:pt>
                <c:pt idx="1226">
                  <c:v>2.14</c:v>
                </c:pt>
                <c:pt idx="1227">
                  <c:v>2.21</c:v>
                </c:pt>
                <c:pt idx="1228">
                  <c:v>2.3199999999999998</c:v>
                </c:pt>
                <c:pt idx="1229">
                  <c:v>2.21</c:v>
                </c:pt>
                <c:pt idx="1230">
                  <c:v>2.23</c:v>
                </c:pt>
                <c:pt idx="1231">
                  <c:v>2.2200000000000002</c:v>
                </c:pt>
                <c:pt idx="1232">
                  <c:v>2.21</c:v>
                </c:pt>
                <c:pt idx="1233">
                  <c:v>2.1800000000000002</c:v>
                </c:pt>
                <c:pt idx="1234">
                  <c:v>2.1800000000000002</c:v>
                </c:pt>
                <c:pt idx="1235">
                  <c:v>2.21</c:v>
                </c:pt>
                <c:pt idx="1236">
                  <c:v>2.79</c:v>
                </c:pt>
                <c:pt idx="1237">
                  <c:v>3.07</c:v>
                </c:pt>
                <c:pt idx="1238">
                  <c:v>2.52</c:v>
                </c:pt>
                <c:pt idx="1239">
                  <c:v>2.3199999999999998</c:v>
                </c:pt>
                <c:pt idx="1240">
                  <c:v>2.2599999999999998</c:v>
                </c:pt>
                <c:pt idx="1241">
                  <c:v>2.17</c:v>
                </c:pt>
                <c:pt idx="1242">
                  <c:v>2</c:v>
                </c:pt>
                <c:pt idx="1243">
                  <c:v>1.92</c:v>
                </c:pt>
                <c:pt idx="1244">
                  <c:v>1.96</c:v>
                </c:pt>
                <c:pt idx="1245">
                  <c:v>1.98</c:v>
                </c:pt>
                <c:pt idx="1246">
                  <c:v>1.97</c:v>
                </c:pt>
                <c:pt idx="1247">
                  <c:v>1.95</c:v>
                </c:pt>
                <c:pt idx="1248">
                  <c:v>2.0299999999999998</c:v>
                </c:pt>
                <c:pt idx="1249">
                  <c:v>2.0499999999999998</c:v>
                </c:pt>
                <c:pt idx="1250">
                  <c:v>2.0499999999999998</c:v>
                </c:pt>
                <c:pt idx="1251">
                  <c:v>1.91</c:v>
                </c:pt>
                <c:pt idx="1252">
                  <c:v>1.87</c:v>
                </c:pt>
                <c:pt idx="1253">
                  <c:v>1.89</c:v>
                </c:pt>
                <c:pt idx="1254">
                  <c:v>2.02</c:v>
                </c:pt>
                <c:pt idx="1255">
                  <c:v>1.93</c:v>
                </c:pt>
                <c:pt idx="1256">
                  <c:v>2.19</c:v>
                </c:pt>
                <c:pt idx="1257">
                  <c:v>2.35</c:v>
                </c:pt>
                <c:pt idx="1258">
                  <c:v>2.4300000000000002</c:v>
                </c:pt>
                <c:pt idx="1259">
                  <c:v>3.19</c:v>
                </c:pt>
                <c:pt idx="1260">
                  <c:v>4.4400000000000004</c:v>
                </c:pt>
                <c:pt idx="1261">
                  <c:v>4.47</c:v>
                </c:pt>
                <c:pt idx="1262">
                  <c:v>4.49</c:v>
                </c:pt>
                <c:pt idx="1263">
                  <c:v>3.35</c:v>
                </c:pt>
                <c:pt idx="1264">
                  <c:v>2.79</c:v>
                </c:pt>
                <c:pt idx="1265">
                  <c:v>2.91</c:v>
                </c:pt>
                <c:pt idx="1266">
                  <c:v>3.45</c:v>
                </c:pt>
                <c:pt idx="1267">
                  <c:v>4.3899999999999997</c:v>
                </c:pt>
                <c:pt idx="1268">
                  <c:v>5.26</c:v>
                </c:pt>
                <c:pt idx="1269">
                  <c:v>5.26</c:v>
                </c:pt>
                <c:pt idx="1270">
                  <c:v>4.96</c:v>
                </c:pt>
                <c:pt idx="1271">
                  <c:v>4.87</c:v>
                </c:pt>
                <c:pt idx="1272">
                  <c:v>6.93</c:v>
                </c:pt>
                <c:pt idx="1273">
                  <c:v>9.35</c:v>
                </c:pt>
                <c:pt idx="1274">
                  <c:v>10.92</c:v>
                </c:pt>
                <c:pt idx="1275">
                  <c:v>7.75</c:v>
                </c:pt>
                <c:pt idx="1276">
                  <c:v>6.89</c:v>
                </c:pt>
                <c:pt idx="1277">
                  <c:v>6.1</c:v>
                </c:pt>
                <c:pt idx="1278">
                  <c:v>6.16</c:v>
                </c:pt>
                <c:pt idx="1279">
                  <c:v>6.17</c:v>
                </c:pt>
                <c:pt idx="1280">
                  <c:v>6.27</c:v>
                </c:pt>
                <c:pt idx="1281">
                  <c:v>9.33</c:v>
                </c:pt>
                <c:pt idx="1282">
                  <c:v>10.119999999999999</c:v>
                </c:pt>
                <c:pt idx="1283">
                  <c:v>7.08</c:v>
                </c:pt>
                <c:pt idx="1284">
                  <c:v>6.08</c:v>
                </c:pt>
                <c:pt idx="1285">
                  <c:v>5.63</c:v>
                </c:pt>
                <c:pt idx="1286">
                  <c:v>5.51</c:v>
                </c:pt>
                <c:pt idx="1287">
                  <c:v>5.73</c:v>
                </c:pt>
                <c:pt idx="1288">
                  <c:v>8.4700000000000006</c:v>
                </c:pt>
                <c:pt idx="1289">
                  <c:v>7.69</c:v>
                </c:pt>
                <c:pt idx="1290">
                  <c:v>8.2100000000000009</c:v>
                </c:pt>
                <c:pt idx="1291">
                  <c:v>9.36</c:v>
                </c:pt>
                <c:pt idx="1292">
                  <c:v>7.63</c:v>
                </c:pt>
                <c:pt idx="1293">
                  <c:v>5.98</c:v>
                </c:pt>
                <c:pt idx="1294">
                  <c:v>5.48</c:v>
                </c:pt>
                <c:pt idx="1295">
                  <c:v>5.49</c:v>
                </c:pt>
                <c:pt idx="1296">
                  <c:v>5.92</c:v>
                </c:pt>
                <c:pt idx="1297">
                  <c:v>6.3</c:v>
                </c:pt>
                <c:pt idx="1298">
                  <c:v>6.24</c:v>
                </c:pt>
                <c:pt idx="1299">
                  <c:v>9.5</c:v>
                </c:pt>
                <c:pt idx="1300">
                  <c:v>14.19</c:v>
                </c:pt>
                <c:pt idx="1301">
                  <c:v>15.89</c:v>
                </c:pt>
                <c:pt idx="1302">
                  <c:v>16.12</c:v>
                </c:pt>
                <c:pt idx="1303">
                  <c:v>18.89</c:v>
                </c:pt>
                <c:pt idx="1304">
                  <c:v>17.95</c:v>
                </c:pt>
                <c:pt idx="1305">
                  <c:v>15.95</c:v>
                </c:pt>
                <c:pt idx="1306">
                  <c:v>14.06</c:v>
                </c:pt>
                <c:pt idx="1307">
                  <c:v>13.21</c:v>
                </c:pt>
                <c:pt idx="1308">
                  <c:v>12.23</c:v>
                </c:pt>
                <c:pt idx="1309">
                  <c:v>10.02</c:v>
                </c:pt>
                <c:pt idx="1310">
                  <c:v>9.32</c:v>
                </c:pt>
                <c:pt idx="1311">
                  <c:v>10.38</c:v>
                </c:pt>
                <c:pt idx="1312">
                  <c:v>9.42</c:v>
                </c:pt>
                <c:pt idx="1313">
                  <c:v>9.5299999999999994</c:v>
                </c:pt>
                <c:pt idx="1314">
                  <c:v>12.01</c:v>
                </c:pt>
                <c:pt idx="1315">
                  <c:v>12.71</c:v>
                </c:pt>
                <c:pt idx="1316">
                  <c:v>14.39</c:v>
                </c:pt>
                <c:pt idx="1317">
                  <c:v>13.61</c:v>
                </c:pt>
                <c:pt idx="1318">
                  <c:v>12.23</c:v>
                </c:pt>
                <c:pt idx="1319">
                  <c:v>12.52</c:v>
                </c:pt>
                <c:pt idx="1320">
                  <c:v>13.41</c:v>
                </c:pt>
                <c:pt idx="1321">
                  <c:v>13.89</c:v>
                </c:pt>
                <c:pt idx="1322">
                  <c:v>11.44</c:v>
                </c:pt>
                <c:pt idx="1323">
                  <c:v>10.08</c:v>
                </c:pt>
                <c:pt idx="1324">
                  <c:v>9.76</c:v>
                </c:pt>
                <c:pt idx="1325">
                  <c:v>10.44</c:v>
                </c:pt>
                <c:pt idx="1326">
                  <c:v>8.6300000000000008</c:v>
                </c:pt>
                <c:pt idx="1327">
                  <c:v>8.68</c:v>
                </c:pt>
                <c:pt idx="1328">
                  <c:v>10.3</c:v>
                </c:pt>
                <c:pt idx="1329">
                  <c:v>11.74</c:v>
                </c:pt>
                <c:pt idx="1330">
                  <c:v>15.56</c:v>
                </c:pt>
                <c:pt idx="1331">
                  <c:v>25.98</c:v>
                </c:pt>
                <c:pt idx="1332">
                  <c:v>22.36</c:v>
                </c:pt>
                <c:pt idx="1333">
                  <c:v>20.34</c:v>
                </c:pt>
                <c:pt idx="1334">
                  <c:v>20.81</c:v>
                </c:pt>
                <c:pt idx="1335">
                  <c:v>18.37</c:v>
                </c:pt>
                <c:pt idx="1336">
                  <c:v>14.62</c:v>
                </c:pt>
                <c:pt idx="1337">
                  <c:v>11.38</c:v>
                </c:pt>
                <c:pt idx="1338">
                  <c:v>10.15</c:v>
                </c:pt>
                <c:pt idx="1339">
                  <c:v>8.39</c:v>
                </c:pt>
                <c:pt idx="1340">
                  <c:v>7.77</c:v>
                </c:pt>
                <c:pt idx="1341">
                  <c:v>8.01</c:v>
                </c:pt>
                <c:pt idx="1342">
                  <c:v>7.51</c:v>
                </c:pt>
                <c:pt idx="1343">
                  <c:v>6.8</c:v>
                </c:pt>
                <c:pt idx="1344">
                  <c:v>5.71</c:v>
                </c:pt>
                <c:pt idx="1345">
                  <c:v>5.21</c:v>
                </c:pt>
                <c:pt idx="1346">
                  <c:v>5.28</c:v>
                </c:pt>
                <c:pt idx="1347">
                  <c:v>6.01</c:v>
                </c:pt>
                <c:pt idx="1348">
                  <c:v>6.19</c:v>
                </c:pt>
                <c:pt idx="1349">
                  <c:v>5.41</c:v>
                </c:pt>
                <c:pt idx="1350">
                  <c:v>5.45</c:v>
                </c:pt>
                <c:pt idx="1351">
                  <c:v>5.79</c:v>
                </c:pt>
                <c:pt idx="1352">
                  <c:v>7.05</c:v>
                </c:pt>
                <c:pt idx="1353">
                  <c:v>6.37</c:v>
                </c:pt>
                <c:pt idx="1354">
                  <c:v>6.15</c:v>
                </c:pt>
                <c:pt idx="1355">
                  <c:v>5.31</c:v>
                </c:pt>
                <c:pt idx="1356">
                  <c:v>4.9400000000000004</c:v>
                </c:pt>
                <c:pt idx="1357">
                  <c:v>5.23</c:v>
                </c:pt>
                <c:pt idx="1358">
                  <c:v>6.2</c:v>
                </c:pt>
                <c:pt idx="1359">
                  <c:v>9.6199999999999992</c:v>
                </c:pt>
                <c:pt idx="1360">
                  <c:v>10.02</c:v>
                </c:pt>
                <c:pt idx="1361">
                  <c:v>13.05</c:v>
                </c:pt>
                <c:pt idx="1362">
                  <c:v>13.01</c:v>
                </c:pt>
                <c:pt idx="1363">
                  <c:v>18.57</c:v>
                </c:pt>
                <c:pt idx="1364">
                  <c:v>17.27</c:v>
                </c:pt>
                <c:pt idx="1365">
                  <c:v>15.39</c:v>
                </c:pt>
                <c:pt idx="1366">
                  <c:v>12.76</c:v>
                </c:pt>
                <c:pt idx="1367">
                  <c:v>10.93</c:v>
                </c:pt>
                <c:pt idx="1368">
                  <c:v>9.4600000000000009</c:v>
                </c:pt>
                <c:pt idx="1369">
                  <c:v>9.07</c:v>
                </c:pt>
                <c:pt idx="1370">
                  <c:v>9.2799999999999994</c:v>
                </c:pt>
                <c:pt idx="1371">
                  <c:v>7.93</c:v>
                </c:pt>
                <c:pt idx="1372">
                  <c:v>7.3</c:v>
                </c:pt>
                <c:pt idx="1373">
                  <c:v>6.35</c:v>
                </c:pt>
                <c:pt idx="1374">
                  <c:v>5.81</c:v>
                </c:pt>
                <c:pt idx="1375">
                  <c:v>5.35</c:v>
                </c:pt>
                <c:pt idx="1376">
                  <c:v>4.6900000000000004</c:v>
                </c:pt>
                <c:pt idx="1377">
                  <c:v>4.5999999999999996</c:v>
                </c:pt>
                <c:pt idx="1378">
                  <c:v>4.32</c:v>
                </c:pt>
                <c:pt idx="1379">
                  <c:v>5.87</c:v>
                </c:pt>
                <c:pt idx="1380">
                  <c:v>6.62</c:v>
                </c:pt>
                <c:pt idx="1381">
                  <c:v>10.15</c:v>
                </c:pt>
                <c:pt idx="1382">
                  <c:v>9.43</c:v>
                </c:pt>
                <c:pt idx="1383">
                  <c:v>7.99</c:v>
                </c:pt>
                <c:pt idx="1384">
                  <c:v>8.76</c:v>
                </c:pt>
                <c:pt idx="1385">
                  <c:v>12.23</c:v>
                </c:pt>
                <c:pt idx="1386">
                  <c:v>13.38</c:v>
                </c:pt>
                <c:pt idx="1387">
                  <c:v>12.83</c:v>
                </c:pt>
                <c:pt idx="1388">
                  <c:v>14.22</c:v>
                </c:pt>
                <c:pt idx="1389">
                  <c:v>15.43</c:v>
                </c:pt>
                <c:pt idx="1390">
                  <c:v>13.47</c:v>
                </c:pt>
                <c:pt idx="1391">
                  <c:v>11.03</c:v>
                </c:pt>
                <c:pt idx="1392">
                  <c:v>9.17</c:v>
                </c:pt>
                <c:pt idx="1393">
                  <c:v>8.1999999999999993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489-46E6-B6CC-C5EAC6D4A4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/>
        <c:smooth val="0"/>
        <c:axId val="568444672"/>
        <c:axId val="1"/>
      </c:lineChart>
      <c:catAx>
        <c:axId val="5684446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4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s-CO"/>
                  <a:t>Tiempo (día)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s-ES"/>
          </a:p>
        </c:txPr>
        <c:crossAx val="1"/>
        <c:crosses val="autoZero"/>
        <c:auto val="1"/>
        <c:lblAlgn val="ctr"/>
        <c:lblOffset val="100"/>
        <c:tickLblSkip val="300"/>
        <c:noMultiLvlLbl val="0"/>
      </c:cat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s-CO" sz="1400" b="1" i="0" u="none" strike="noStrike" baseline="0">
                    <a:solidFill>
                      <a:srgbClr val="000000"/>
                    </a:solidFill>
                    <a:latin typeface="Calibri"/>
                  </a:rPr>
                  <a:t>Q (m</a:t>
                </a:r>
                <a:r>
                  <a:rPr lang="es-CO" sz="1400" b="1" i="0" u="none" strike="noStrike" baseline="30000">
                    <a:solidFill>
                      <a:srgbClr val="000000"/>
                    </a:solidFill>
                    <a:latin typeface="Calibri"/>
                  </a:rPr>
                  <a:t>3</a:t>
                </a:r>
                <a:r>
                  <a:rPr lang="es-CO" sz="1400" b="1" i="0" u="none" strike="noStrike" baseline="0">
                    <a:solidFill>
                      <a:srgbClr val="000000"/>
                    </a:solidFill>
                    <a:latin typeface="Calibri"/>
                  </a:rPr>
                  <a:t>/s)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s-ES"/>
          </a:p>
        </c:txPr>
        <c:crossAx val="56844467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12187510936132982"/>
          <c:y val="0.11894296252615999"/>
          <c:w val="0.16979188538932632"/>
          <c:h val="0.10572687224669602"/>
        </c:manualLayout>
      </c:layout>
      <c:overlay val="0"/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s-ES"/>
        </a:p>
      </c:txPr>
    </c:legend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s-ES"/>
    </a:p>
  </c:txPr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307522</xdr:colOff>
      <xdr:row>6</xdr:row>
      <xdr:rowOff>61232</xdr:rowOff>
    </xdr:from>
    <xdr:to>
      <xdr:col>18</xdr:col>
      <xdr:colOff>8165</xdr:colOff>
      <xdr:row>26</xdr:row>
      <xdr:rowOff>42182</xdr:rowOff>
    </xdr:to>
    <xdr:graphicFrame macro="">
      <xdr:nvGraphicFramePr>
        <xdr:cNvPr id="1064" name="Chart 6">
          <a:extLst>
            <a:ext uri="{FF2B5EF4-FFF2-40B4-BE49-F238E27FC236}">
              <a16:creationId xmlns:a16="http://schemas.microsoft.com/office/drawing/2014/main" id="{9E685A6E-256E-4FC0-9F13-74C7D8A565F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0C54D2-CC7F-48DA-ABD3-8009355786F5}">
  <dimension ref="A1:E29"/>
  <sheetViews>
    <sheetView showGridLines="0" topLeftCell="A11" workbookViewId="0"/>
  </sheetViews>
  <sheetFormatPr baseColWidth="10" defaultRowHeight="12.75" x14ac:dyDescent="0.2"/>
  <cols>
    <col min="1" max="1" width="2.28515625" customWidth="1"/>
    <col min="2" max="2" width="6.42578125" bestFit="1" customWidth="1"/>
    <col min="3" max="3" width="40.42578125" bestFit="1" customWidth="1"/>
    <col min="4" max="4" width="12" bestFit="1" customWidth="1"/>
    <col min="5" max="5" width="13" bestFit="1" customWidth="1"/>
  </cols>
  <sheetData>
    <row r="1" spans="1:5" x14ac:dyDescent="0.2">
      <c r="A1" s="60" t="s">
        <v>46</v>
      </c>
    </row>
    <row r="2" spans="1:5" x14ac:dyDescent="0.2">
      <c r="A2" s="60" t="s">
        <v>47</v>
      </c>
    </row>
    <row r="3" spans="1:5" x14ac:dyDescent="0.2">
      <c r="A3" s="60" t="s">
        <v>48</v>
      </c>
    </row>
    <row r="6" spans="1:5" ht="13.5" thickBot="1" x14ac:dyDescent="0.25">
      <c r="A6" t="s">
        <v>49</v>
      </c>
    </row>
    <row r="7" spans="1:5" x14ac:dyDescent="0.2">
      <c r="B7" s="63"/>
      <c r="C7" s="63"/>
      <c r="D7" s="63" t="s">
        <v>52</v>
      </c>
      <c r="E7" s="63" t="s">
        <v>54</v>
      </c>
    </row>
    <row r="8" spans="1:5" ht="13.5" thickBot="1" x14ac:dyDescent="0.25">
      <c r="B8" s="64" t="s">
        <v>50</v>
      </c>
      <c r="C8" s="64" t="s">
        <v>51</v>
      </c>
      <c r="D8" s="64" t="s">
        <v>53</v>
      </c>
      <c r="E8" s="64" t="s">
        <v>55</v>
      </c>
    </row>
    <row r="9" spans="1:5" x14ac:dyDescent="0.2">
      <c r="B9" s="61" t="s">
        <v>59</v>
      </c>
      <c r="C9" s="61" t="s">
        <v>8</v>
      </c>
      <c r="D9" s="61">
        <v>414.49693724815336</v>
      </c>
      <c r="E9" s="61">
        <v>0</v>
      </c>
    </row>
    <row r="10" spans="1:5" x14ac:dyDescent="0.2">
      <c r="B10" s="61" t="s">
        <v>60</v>
      </c>
      <c r="C10" s="61" t="s">
        <v>10</v>
      </c>
      <c r="D10" s="61">
        <v>0.68374785006065675</v>
      </c>
      <c r="E10" s="61">
        <v>0</v>
      </c>
    </row>
    <row r="11" spans="1:5" x14ac:dyDescent="0.2">
      <c r="B11" s="61" t="s">
        <v>61</v>
      </c>
      <c r="C11" s="61" t="s">
        <v>62</v>
      </c>
      <c r="D11" s="61">
        <v>0.18852622788661938</v>
      </c>
      <c r="E11" s="61">
        <v>0</v>
      </c>
    </row>
    <row r="12" spans="1:5" x14ac:dyDescent="0.2">
      <c r="B12" s="61" t="s">
        <v>63</v>
      </c>
      <c r="C12" s="61" t="s">
        <v>64</v>
      </c>
      <c r="D12" s="61">
        <v>6.7604475823202684E-2</v>
      </c>
      <c r="E12" s="61">
        <v>0</v>
      </c>
    </row>
    <row r="13" spans="1:5" x14ac:dyDescent="0.2">
      <c r="B13" s="61" t="s">
        <v>65</v>
      </c>
      <c r="C13" s="61" t="s">
        <v>66</v>
      </c>
      <c r="D13" s="61">
        <v>2</v>
      </c>
      <c r="E13" s="61">
        <v>-9.4425387214869261E-4</v>
      </c>
    </row>
    <row r="14" spans="1:5" x14ac:dyDescent="0.2">
      <c r="B14" s="61" t="s">
        <v>67</v>
      </c>
      <c r="C14" s="61" t="s">
        <v>68</v>
      </c>
      <c r="D14" s="61">
        <v>2.3765588605710796E-3</v>
      </c>
      <c r="E14" s="61">
        <v>0</v>
      </c>
    </row>
    <row r="15" spans="1:5" x14ac:dyDescent="0.2">
      <c r="B15" s="61" t="s">
        <v>69</v>
      </c>
      <c r="C15" s="61" t="s">
        <v>70</v>
      </c>
      <c r="D15" s="61">
        <v>2.3765588605710766E-3</v>
      </c>
      <c r="E15" s="61">
        <v>0</v>
      </c>
    </row>
    <row r="16" spans="1:5" x14ac:dyDescent="0.2">
      <c r="B16" s="61" t="s">
        <v>71</v>
      </c>
      <c r="C16" s="61" t="s">
        <v>72</v>
      </c>
      <c r="D16" s="61">
        <v>3.731524856297367E-2</v>
      </c>
      <c r="E16" s="61">
        <v>0</v>
      </c>
    </row>
    <row r="17" spans="1:5" x14ac:dyDescent="0.2">
      <c r="B17" s="61" t="s">
        <v>73</v>
      </c>
      <c r="C17" s="61" t="s">
        <v>13</v>
      </c>
      <c r="D17" s="61">
        <v>71.422920428980191</v>
      </c>
      <c r="E17" s="61">
        <v>0</v>
      </c>
    </row>
    <row r="18" spans="1:5" x14ac:dyDescent="0.2">
      <c r="B18" s="61" t="s">
        <v>74</v>
      </c>
      <c r="C18" s="61" t="s">
        <v>35</v>
      </c>
      <c r="D18" s="61">
        <v>261.91840114274015</v>
      </c>
      <c r="E18" s="61">
        <v>0</v>
      </c>
    </row>
    <row r="19" spans="1:5" x14ac:dyDescent="0.2">
      <c r="B19" s="61" t="s">
        <v>75</v>
      </c>
      <c r="C19" s="61" t="s">
        <v>76</v>
      </c>
      <c r="D19" s="61">
        <v>0</v>
      </c>
      <c r="E19" s="61">
        <v>-8.66029440658167E-5</v>
      </c>
    </row>
    <row r="20" spans="1:5" ht="13.5" thickBot="1" x14ac:dyDescent="0.25">
      <c r="B20" s="62" t="s">
        <v>77</v>
      </c>
      <c r="C20" s="62" t="s">
        <v>78</v>
      </c>
      <c r="D20" s="62">
        <v>622.26250019686336</v>
      </c>
      <c r="E20" s="62">
        <v>0</v>
      </c>
    </row>
    <row r="22" spans="1:5" ht="13.5" thickBot="1" x14ac:dyDescent="0.25">
      <c r="A22" t="s">
        <v>56</v>
      </c>
    </row>
    <row r="23" spans="1:5" x14ac:dyDescent="0.2">
      <c r="B23" s="63"/>
      <c r="C23" s="63"/>
      <c r="D23" s="63" t="s">
        <v>52</v>
      </c>
      <c r="E23" s="63" t="s">
        <v>57</v>
      </c>
    </row>
    <row r="24" spans="1:5" ht="13.5" thickBot="1" x14ac:dyDescent="0.25">
      <c r="B24" s="64" t="s">
        <v>50</v>
      </c>
      <c r="C24" s="64" t="s">
        <v>51</v>
      </c>
      <c r="D24" s="64" t="s">
        <v>53</v>
      </c>
      <c r="E24" s="64" t="s">
        <v>58</v>
      </c>
    </row>
    <row r="25" spans="1:5" x14ac:dyDescent="0.2">
      <c r="B25" s="61" t="s">
        <v>67</v>
      </c>
      <c r="C25" s="61" t="s">
        <v>68</v>
      </c>
      <c r="D25" s="61">
        <v>2.3765588605710796E-3</v>
      </c>
      <c r="E25" s="61">
        <v>-1.4478929340839386E-2</v>
      </c>
    </row>
    <row r="26" spans="1:5" x14ac:dyDescent="0.2">
      <c r="B26" s="61" t="s">
        <v>73</v>
      </c>
      <c r="C26" s="61" t="s">
        <v>13</v>
      </c>
      <c r="D26" s="61">
        <v>71.422920428980191</v>
      </c>
      <c r="E26" s="61">
        <v>0</v>
      </c>
    </row>
    <row r="27" spans="1:5" x14ac:dyDescent="0.2">
      <c r="B27" s="61" t="s">
        <v>73</v>
      </c>
      <c r="C27" s="61" t="s">
        <v>13</v>
      </c>
      <c r="D27" s="61">
        <v>71.422920428980191</v>
      </c>
      <c r="E27" s="61">
        <v>0</v>
      </c>
    </row>
    <row r="28" spans="1:5" x14ac:dyDescent="0.2">
      <c r="B28" s="61" t="s">
        <v>63</v>
      </c>
      <c r="C28" s="61" t="s">
        <v>64</v>
      </c>
      <c r="D28" s="61">
        <v>6.7604475823202684E-2</v>
      </c>
      <c r="E28" s="61">
        <v>0</v>
      </c>
    </row>
    <row r="29" spans="1:5" ht="13.5" thickBot="1" x14ac:dyDescent="0.25">
      <c r="B29" s="62" t="s">
        <v>63</v>
      </c>
      <c r="C29" s="62" t="s">
        <v>64</v>
      </c>
      <c r="D29" s="62">
        <v>6.7604475823202684E-2</v>
      </c>
      <c r="E29" s="62">
        <v>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26C549-1870-4184-A5CC-8503554CCC05}">
  <dimension ref="A1:J24"/>
  <sheetViews>
    <sheetView showGridLines="0" workbookViewId="0">
      <selection sqref="A1:A3"/>
    </sheetView>
  </sheetViews>
  <sheetFormatPr baseColWidth="10" defaultRowHeight="12.75" x14ac:dyDescent="0.2"/>
  <cols>
    <col min="1" max="1" width="2.28515625" customWidth="1"/>
    <col min="2" max="2" width="6.28515625" bestFit="1" customWidth="1"/>
    <col min="3" max="3" width="8.7109375" bestFit="1" customWidth="1"/>
    <col min="4" max="4" width="7.5703125" bestFit="1" customWidth="1"/>
    <col min="5" max="5" width="2.28515625" customWidth="1"/>
    <col min="6" max="6" width="7.5703125" bestFit="1" customWidth="1"/>
    <col min="7" max="7" width="10" bestFit="1" customWidth="1"/>
    <col min="8" max="8" width="2.28515625" customWidth="1"/>
    <col min="9" max="9" width="8.85546875" bestFit="1" customWidth="1"/>
    <col min="10" max="10" width="10" bestFit="1" customWidth="1"/>
  </cols>
  <sheetData>
    <row r="1" spans="1:10" x14ac:dyDescent="0.2">
      <c r="A1" s="60" t="s">
        <v>79</v>
      </c>
    </row>
    <row r="2" spans="1:10" x14ac:dyDescent="0.2">
      <c r="A2" s="60" t="s">
        <v>47</v>
      </c>
    </row>
    <row r="3" spans="1:10" x14ac:dyDescent="0.2">
      <c r="A3" s="60" t="s">
        <v>80</v>
      </c>
    </row>
    <row r="5" spans="1:10" ht="13.5" thickBot="1" x14ac:dyDescent="0.25"/>
    <row r="6" spans="1:10" x14ac:dyDescent="0.2">
      <c r="B6" s="63"/>
      <c r="C6" s="63" t="s">
        <v>81</v>
      </c>
      <c r="D6" s="63"/>
    </row>
    <row r="7" spans="1:10" ht="13.5" thickBot="1" x14ac:dyDescent="0.25">
      <c r="B7" s="64" t="s">
        <v>50</v>
      </c>
      <c r="C7" s="64" t="s">
        <v>51</v>
      </c>
      <c r="D7" s="64" t="s">
        <v>53</v>
      </c>
    </row>
    <row r="8" spans="1:10" ht="13.5" thickBot="1" x14ac:dyDescent="0.25">
      <c r="B8" s="62" t="s">
        <v>87</v>
      </c>
      <c r="C8" s="62" t="s">
        <v>28</v>
      </c>
      <c r="D8" s="65">
        <v>0.60873782358414097</v>
      </c>
    </row>
    <row r="10" spans="1:10" ht="13.5" thickBot="1" x14ac:dyDescent="0.25"/>
    <row r="11" spans="1:10" x14ac:dyDescent="0.2">
      <c r="B11" s="63"/>
      <c r="C11" s="63" t="s">
        <v>82</v>
      </c>
      <c r="D11" s="63"/>
      <c r="F11" s="63" t="s">
        <v>83</v>
      </c>
      <c r="G11" s="63" t="s">
        <v>81</v>
      </c>
      <c r="I11" s="63" t="s">
        <v>86</v>
      </c>
      <c r="J11" s="63" t="s">
        <v>81</v>
      </c>
    </row>
    <row r="12" spans="1:10" ht="13.5" thickBot="1" x14ac:dyDescent="0.25">
      <c r="B12" s="64" t="s">
        <v>50</v>
      </c>
      <c r="C12" s="64" t="s">
        <v>51</v>
      </c>
      <c r="D12" s="64" t="s">
        <v>53</v>
      </c>
      <c r="F12" s="64" t="s">
        <v>84</v>
      </c>
      <c r="G12" s="64" t="s">
        <v>85</v>
      </c>
      <c r="I12" s="64" t="s">
        <v>84</v>
      </c>
      <c r="J12" s="64" t="s">
        <v>85</v>
      </c>
    </row>
    <row r="13" spans="1:10" x14ac:dyDescent="0.2">
      <c r="B13" s="61" t="s">
        <v>59</v>
      </c>
      <c r="C13" s="61" t="s">
        <v>8</v>
      </c>
      <c r="D13" s="66">
        <v>414.49693724815336</v>
      </c>
      <c r="F13" s="66">
        <v>71.422920428980206</v>
      </c>
      <c r="G13" s="66">
        <v>-0.45893470530164193</v>
      </c>
      <c r="I13" s="61" t="s">
        <v>88</v>
      </c>
      <c r="J13" s="61" t="s">
        <v>88</v>
      </c>
    </row>
    <row r="14" spans="1:10" x14ac:dyDescent="0.2">
      <c r="B14" s="61" t="s">
        <v>60</v>
      </c>
      <c r="C14" s="61" t="s">
        <v>10</v>
      </c>
      <c r="D14" s="66">
        <v>0.68374785006065675</v>
      </c>
      <c r="F14" s="66">
        <v>9.9999999999999978E-2</v>
      </c>
      <c r="G14" s="66">
        <v>-1.1691291437206259</v>
      </c>
      <c r="I14" s="61" t="s">
        <v>88</v>
      </c>
      <c r="J14" s="61" t="s">
        <v>88</v>
      </c>
    </row>
    <row r="15" spans="1:10" x14ac:dyDescent="0.2">
      <c r="B15" s="61" t="s">
        <v>61</v>
      </c>
      <c r="C15" s="61" t="s">
        <v>62</v>
      </c>
      <c r="D15" s="67">
        <v>0.18852622788661938</v>
      </c>
      <c r="F15" s="67">
        <v>0</v>
      </c>
      <c r="G15" s="67">
        <v>0.58547360897157108</v>
      </c>
      <c r="I15" s="67">
        <v>1</v>
      </c>
      <c r="J15" s="67">
        <v>-9.7817447829280759</v>
      </c>
    </row>
    <row r="16" spans="1:10" x14ac:dyDescent="0.2">
      <c r="B16" s="61" t="s">
        <v>63</v>
      </c>
      <c r="C16" s="61" t="s">
        <v>64</v>
      </c>
      <c r="D16" s="67">
        <v>6.7604475823202684E-2</v>
      </c>
      <c r="F16" s="67">
        <v>2.3765588605710736E-3</v>
      </c>
      <c r="G16" s="67">
        <v>0.12569257977356041</v>
      </c>
      <c r="I16" s="61" t="s">
        <v>88</v>
      </c>
      <c r="J16" s="61" t="s">
        <v>88</v>
      </c>
    </row>
    <row r="17" spans="2:10" x14ac:dyDescent="0.2">
      <c r="B17" s="61" t="s">
        <v>65</v>
      </c>
      <c r="C17" s="61" t="s">
        <v>66</v>
      </c>
      <c r="D17" s="67">
        <v>2</v>
      </c>
      <c r="F17" s="67">
        <v>2</v>
      </c>
      <c r="G17" s="67">
        <v>0.60873782358414097</v>
      </c>
      <c r="I17" s="61" t="s">
        <v>88</v>
      </c>
      <c r="J17" s="61" t="s">
        <v>88</v>
      </c>
    </row>
    <row r="18" spans="2:10" x14ac:dyDescent="0.2">
      <c r="B18" s="61" t="s">
        <v>67</v>
      </c>
      <c r="C18" s="61" t="s">
        <v>68</v>
      </c>
      <c r="D18" s="67">
        <v>2.3765588605710796E-3</v>
      </c>
      <c r="F18" s="67">
        <v>2.3765588605710796E-3</v>
      </c>
      <c r="G18" s="67">
        <v>0.60873782358414097</v>
      </c>
      <c r="I18" s="67">
        <v>6.7604475823202684E-2</v>
      </c>
      <c r="J18" s="67">
        <v>0.5149109675686534</v>
      </c>
    </row>
    <row r="19" spans="2:10" x14ac:dyDescent="0.2">
      <c r="B19" s="61" t="s">
        <v>69</v>
      </c>
      <c r="C19" s="61" t="s">
        <v>70</v>
      </c>
      <c r="D19" s="67">
        <v>2.3765588605710766E-3</v>
      </c>
      <c r="F19" s="67">
        <v>0</v>
      </c>
      <c r="G19" s="67">
        <v>0.23688501804870088</v>
      </c>
      <c r="I19" s="67">
        <v>2.3765588605710796E-3</v>
      </c>
      <c r="J19" s="67">
        <v>0.60873782358414097</v>
      </c>
    </row>
    <row r="20" spans="2:10" x14ac:dyDescent="0.2">
      <c r="B20" s="61" t="s">
        <v>71</v>
      </c>
      <c r="C20" s="61" t="s">
        <v>72</v>
      </c>
      <c r="D20" s="67">
        <v>3.731524856297367E-2</v>
      </c>
      <c r="F20" s="67">
        <v>0</v>
      </c>
      <c r="G20" s="67">
        <v>0.509010217074509</v>
      </c>
      <c r="I20" s="61" t="s">
        <v>88</v>
      </c>
      <c r="J20" s="61" t="s">
        <v>88</v>
      </c>
    </row>
    <row r="21" spans="2:10" x14ac:dyDescent="0.2">
      <c r="B21" s="61" t="s">
        <v>73</v>
      </c>
      <c r="C21" s="61" t="s">
        <v>13</v>
      </c>
      <c r="D21" s="67">
        <v>71.422920428980191</v>
      </c>
      <c r="F21" s="61" t="s">
        <v>88</v>
      </c>
      <c r="G21" s="61" t="s">
        <v>88</v>
      </c>
      <c r="I21" s="67">
        <v>414.49693727493286</v>
      </c>
      <c r="J21" s="67">
        <v>-0.12052681824741507</v>
      </c>
    </row>
    <row r="22" spans="2:10" x14ac:dyDescent="0.2">
      <c r="B22" s="61" t="s">
        <v>74</v>
      </c>
      <c r="C22" s="61" t="s">
        <v>35</v>
      </c>
      <c r="D22" s="66">
        <v>261.91840114274015</v>
      </c>
      <c r="F22" s="66">
        <v>0</v>
      </c>
      <c r="G22" s="66">
        <v>0.60500548711362856</v>
      </c>
      <c r="I22" s="61" t="s">
        <v>88</v>
      </c>
      <c r="J22" s="61" t="s">
        <v>88</v>
      </c>
    </row>
    <row r="23" spans="2:10" x14ac:dyDescent="0.2">
      <c r="B23" s="61" t="s">
        <v>75</v>
      </c>
      <c r="C23" s="61" t="s">
        <v>76</v>
      </c>
      <c r="D23" s="68">
        <v>0</v>
      </c>
      <c r="F23" s="68">
        <v>0</v>
      </c>
      <c r="G23" s="68">
        <v>0.60873782358414097</v>
      </c>
      <c r="I23" s="61" t="s">
        <v>88</v>
      </c>
      <c r="J23" s="61" t="s">
        <v>88</v>
      </c>
    </row>
    <row r="24" spans="2:10" ht="13.5" thickBot="1" x14ac:dyDescent="0.25">
      <c r="B24" s="62" t="s">
        <v>77</v>
      </c>
      <c r="C24" s="62" t="s">
        <v>78</v>
      </c>
      <c r="D24" s="69">
        <v>622.26250019686336</v>
      </c>
      <c r="F24" s="69">
        <v>0</v>
      </c>
      <c r="G24" s="69">
        <v>0.40615056948508133</v>
      </c>
      <c r="I24" s="62" t="s">
        <v>88</v>
      </c>
      <c r="J24" s="62" t="s">
        <v>88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X3683"/>
  <sheetViews>
    <sheetView tabSelected="1" topLeftCell="C17" zoomScale="102" zoomScaleNormal="85" workbookViewId="0">
      <selection activeCell="G21" sqref="G21"/>
    </sheetView>
  </sheetViews>
  <sheetFormatPr baseColWidth="10" defaultColWidth="11.42578125" defaultRowHeight="15.75" x14ac:dyDescent="0.25"/>
  <cols>
    <col min="1" max="1" width="23.28515625" style="1" customWidth="1"/>
    <col min="2" max="2" width="19.140625" style="1" bestFit="1" customWidth="1"/>
    <col min="3" max="3" width="20.140625" style="1" bestFit="1" customWidth="1"/>
    <col min="4" max="4" width="15.28515625" style="1" bestFit="1" customWidth="1"/>
    <col min="5" max="5" width="41.7109375" style="1" bestFit="1" customWidth="1"/>
    <col min="6" max="6" width="24" style="1" bestFit="1" customWidth="1"/>
    <col min="7" max="7" width="25.140625" style="1" bestFit="1" customWidth="1"/>
    <col min="8" max="8" width="15.140625" style="1" bestFit="1" customWidth="1"/>
    <col min="9" max="9" width="14.5703125" style="1" bestFit="1" customWidth="1"/>
    <col min="10" max="10" width="9.28515625" style="1" bestFit="1" customWidth="1"/>
    <col min="11" max="11" width="10.42578125" style="1" customWidth="1"/>
    <col min="12" max="12" width="18.140625" style="1" customWidth="1"/>
    <col min="13" max="13" width="14.140625" style="1" customWidth="1"/>
    <col min="14" max="14" width="13.85546875" style="1" customWidth="1"/>
    <col min="15" max="15" width="13.7109375" style="1" bestFit="1" customWidth="1"/>
    <col min="16" max="16" width="12.7109375" style="1" bestFit="1" customWidth="1"/>
    <col min="17" max="16384" width="11.42578125" style="1"/>
  </cols>
  <sheetData>
    <row r="1" spans="1:8" x14ac:dyDescent="0.25">
      <c r="A1" s="48" t="s">
        <v>0</v>
      </c>
      <c r="B1" s="49"/>
      <c r="C1" s="49"/>
      <c r="D1" s="49"/>
      <c r="E1" s="49"/>
      <c r="G1" s="58"/>
      <c r="H1" s="58"/>
    </row>
    <row r="2" spans="1:8" x14ac:dyDescent="0.25">
      <c r="A2" s="49"/>
      <c r="B2" s="49"/>
      <c r="C2" s="49"/>
      <c r="D2" s="49"/>
      <c r="E2" s="49"/>
      <c r="G2" s="59"/>
      <c r="H2" s="59"/>
    </row>
    <row r="3" spans="1:8" x14ac:dyDescent="0.25">
      <c r="A3" s="49"/>
      <c r="B3" s="49"/>
      <c r="C3" s="49"/>
      <c r="D3" s="49"/>
      <c r="E3" s="49"/>
      <c r="G3" s="59"/>
      <c r="H3" s="59"/>
    </row>
    <row r="4" spans="1:8" x14ac:dyDescent="0.25">
      <c r="A4" s="49"/>
      <c r="B4" s="49"/>
      <c r="C4" s="49"/>
      <c r="D4" s="49"/>
      <c r="E4" s="49"/>
      <c r="G4" s="59"/>
      <c r="H4" s="59"/>
    </row>
    <row r="6" spans="1:8" ht="18.75" x14ac:dyDescent="0.3">
      <c r="A6" s="52" t="s">
        <v>1</v>
      </c>
      <c r="B6" s="53"/>
      <c r="C6" s="53"/>
      <c r="D6" s="53"/>
      <c r="E6" s="53"/>
      <c r="F6" s="53"/>
    </row>
    <row r="7" spans="1:8" x14ac:dyDescent="0.25">
      <c r="D7" s="2"/>
      <c r="E7" s="2"/>
      <c r="F7" s="2"/>
      <c r="G7" s="2"/>
    </row>
    <row r="8" spans="1:8" ht="19.5" x14ac:dyDescent="0.3">
      <c r="A8" s="9" t="s">
        <v>2</v>
      </c>
      <c r="B8" s="10"/>
      <c r="C8" s="11">
        <v>2211</v>
      </c>
      <c r="D8" s="10"/>
      <c r="E8" s="29" t="s">
        <v>3</v>
      </c>
      <c r="F8" s="30">
        <v>3.8829819147345741E-2</v>
      </c>
      <c r="G8" s="2"/>
    </row>
    <row r="9" spans="1:8" ht="17.25" x14ac:dyDescent="0.3">
      <c r="A9" s="19" t="s">
        <v>4</v>
      </c>
      <c r="B9" s="20"/>
      <c r="C9" s="21">
        <v>0</v>
      </c>
      <c r="D9" s="20"/>
      <c r="E9" s="31" t="s">
        <v>5</v>
      </c>
      <c r="F9" s="32">
        <v>2</v>
      </c>
      <c r="G9" s="2"/>
    </row>
    <row r="10" spans="1:8" ht="19.5" x14ac:dyDescent="0.3">
      <c r="A10" s="19" t="s">
        <v>6</v>
      </c>
      <c r="B10" s="20"/>
      <c r="C10" s="21">
        <v>5</v>
      </c>
      <c r="D10" s="20"/>
      <c r="E10" s="31" t="s">
        <v>7</v>
      </c>
      <c r="F10" s="32">
        <v>2.1302677009348375E-4</v>
      </c>
      <c r="G10" s="2"/>
    </row>
    <row r="11" spans="1:8" ht="19.5" x14ac:dyDescent="0.3">
      <c r="A11" s="19" t="s">
        <v>8</v>
      </c>
      <c r="B11" s="20"/>
      <c r="C11" s="42">
        <v>414.49716348890894</v>
      </c>
      <c r="D11" s="20"/>
      <c r="E11" s="31" t="s">
        <v>9</v>
      </c>
      <c r="F11" s="32">
        <v>2.1302677009348378E-4</v>
      </c>
      <c r="G11" s="2"/>
    </row>
    <row r="12" spans="1:8" ht="19.5" x14ac:dyDescent="0.3">
      <c r="A12" s="19" t="s">
        <v>10</v>
      </c>
      <c r="B12" s="20"/>
      <c r="C12" s="42">
        <v>0.53305354898057289</v>
      </c>
      <c r="D12" s="20"/>
      <c r="E12" s="31" t="s">
        <v>11</v>
      </c>
      <c r="F12" s="32">
        <v>4.9240597764176317E-2</v>
      </c>
      <c r="G12" s="2"/>
    </row>
    <row r="13" spans="1:8" ht="18.75" x14ac:dyDescent="0.25">
      <c r="A13" s="19" t="s">
        <v>12</v>
      </c>
      <c r="B13" s="20"/>
      <c r="C13" s="41">
        <v>0.19226999116974836</v>
      </c>
      <c r="D13" s="33"/>
      <c r="E13" s="34" t="s">
        <v>13</v>
      </c>
      <c r="F13" s="35">
        <v>71.422811479033996</v>
      </c>
      <c r="G13" s="2"/>
    </row>
    <row r="14" spans="1:8" x14ac:dyDescent="0.25">
      <c r="A14" s="22"/>
      <c r="B14" s="20"/>
      <c r="C14" s="23"/>
      <c r="D14" s="2"/>
      <c r="E14" s="2"/>
      <c r="F14" s="2"/>
      <c r="G14" s="2"/>
    </row>
    <row r="15" spans="1:8" x14ac:dyDescent="0.25">
      <c r="A15" s="24" t="s">
        <v>14</v>
      </c>
      <c r="B15" s="25" t="s">
        <v>15</v>
      </c>
      <c r="C15" s="26" t="s">
        <v>16</v>
      </c>
      <c r="D15" s="2"/>
      <c r="E15" s="56" t="s">
        <v>17</v>
      </c>
      <c r="F15" s="57"/>
      <c r="G15" s="2"/>
    </row>
    <row r="16" spans="1:8" x14ac:dyDescent="0.25">
      <c r="A16" s="44">
        <v>16.903080425000006</v>
      </c>
      <c r="B16" s="46">
        <v>321.22379541397095</v>
      </c>
      <c r="C16" s="27">
        <f>B16/31</f>
        <v>10.362057916579708</v>
      </c>
      <c r="D16" s="2"/>
      <c r="E16" s="36" t="s">
        <v>18</v>
      </c>
      <c r="F16" s="37">
        <f>SUM(J32:J3683)</f>
        <v>2122.7308612314637</v>
      </c>
    </row>
    <row r="17" spans="1:24" x14ac:dyDescent="0.25">
      <c r="A17" s="44">
        <v>15.995197870353982</v>
      </c>
      <c r="B17" s="46">
        <v>299.47577571868896</v>
      </c>
      <c r="C17" s="27">
        <f>B17/28</f>
        <v>10.695563418524605</v>
      </c>
      <c r="D17" s="2"/>
      <c r="E17" s="36" t="s">
        <v>19</v>
      </c>
      <c r="F17" s="37">
        <f>SUM(D32:D3683)</f>
        <v>2322.5000000000009</v>
      </c>
    </row>
    <row r="18" spans="1:24" x14ac:dyDescent="0.25">
      <c r="A18" s="44">
        <v>15.554442667258064</v>
      </c>
      <c r="B18" s="46">
        <v>327.85140454769135</v>
      </c>
      <c r="C18" s="27">
        <f>B18/31</f>
        <v>10.575851759602946</v>
      </c>
      <c r="E18" s="36" t="s">
        <v>20</v>
      </c>
      <c r="F18" s="37">
        <f>F17-F16</f>
        <v>199.76913876853723</v>
      </c>
    </row>
    <row r="19" spans="1:24" x14ac:dyDescent="0.25">
      <c r="A19" s="44">
        <v>16.028482699583339</v>
      </c>
      <c r="B19" s="46">
        <v>306.31719934940338</v>
      </c>
      <c r="C19" s="27">
        <f>B19/30</f>
        <v>10.21057331164678</v>
      </c>
      <c r="E19" s="36" t="s">
        <v>21</v>
      </c>
      <c r="F19" s="37">
        <f>SUM(N32:N3683)*3600*24/(C8*1000)</f>
        <v>355.89733231283054</v>
      </c>
    </row>
    <row r="20" spans="1:24" x14ac:dyDescent="0.25">
      <c r="A20" s="44">
        <v>16.251113491935492</v>
      </c>
      <c r="B20" s="46">
        <v>307.29245686531073</v>
      </c>
      <c r="C20" s="27">
        <f>B20/31</f>
        <v>9.9126598988809906</v>
      </c>
      <c r="E20" s="36" t="s">
        <v>22</v>
      </c>
      <c r="F20" s="37">
        <f>SUM(O32:O3683)*3600*24/(C8*1000)</f>
        <v>355.40213666214362</v>
      </c>
    </row>
    <row r="21" spans="1:24" x14ac:dyDescent="0.25">
      <c r="A21" s="44">
        <v>16.489199583166659</v>
      </c>
      <c r="B21" s="46">
        <v>281.46627330780029</v>
      </c>
      <c r="C21" s="27">
        <f>B21/30</f>
        <v>9.3822091102600105</v>
      </c>
      <c r="E21" s="36" t="s">
        <v>23</v>
      </c>
      <c r="F21" s="18">
        <f>+ABS((F20-F19))*100/F20</f>
        <v>0.13933389802821367</v>
      </c>
    </row>
    <row r="22" spans="1:24" x14ac:dyDescent="0.25">
      <c r="A22" s="44">
        <v>16.500240933225804</v>
      </c>
      <c r="B22" s="46">
        <v>273.53627038002014</v>
      </c>
      <c r="C22" s="27">
        <f>B22/31</f>
        <v>8.8237506574200051</v>
      </c>
      <c r="E22" s="36" t="s">
        <v>24</v>
      </c>
      <c r="F22" s="37">
        <f>SUM(P32:P3683)</f>
        <v>19793.293707911173</v>
      </c>
      <c r="I22" s="59"/>
      <c r="J22" s="59"/>
    </row>
    <row r="23" spans="1:24" ht="19.5" x14ac:dyDescent="0.3">
      <c r="A23" s="44">
        <v>17.103250365161287</v>
      </c>
      <c r="B23" s="46">
        <v>250.65412282943728</v>
      </c>
      <c r="C23" s="27">
        <f>B23/31</f>
        <v>8.0856168654657186</v>
      </c>
      <c r="E23" s="36" t="s">
        <v>25</v>
      </c>
      <c r="F23" s="37">
        <f>AVERAGE(O32:O3683)</f>
        <v>6.5336489942528688</v>
      </c>
    </row>
    <row r="24" spans="1:24" ht="19.5" x14ac:dyDescent="0.3">
      <c r="A24" s="44">
        <v>18.077820078750005</v>
      </c>
      <c r="B24" s="46">
        <v>232.37053596973419</v>
      </c>
      <c r="C24" s="27">
        <f>B24/30</f>
        <v>7.7456845323244732</v>
      </c>
      <c r="E24" s="36" t="s">
        <v>26</v>
      </c>
      <c r="F24" s="37">
        <f>SUM(Q32:Q3683)</f>
        <v>42319.893824518607</v>
      </c>
    </row>
    <row r="25" spans="1:24" x14ac:dyDescent="0.25">
      <c r="A25" s="44">
        <v>17.769069219568966</v>
      </c>
      <c r="B25" s="46">
        <v>227.45950496196747</v>
      </c>
      <c r="C25" s="27">
        <f>B25/31</f>
        <v>7.3374033858699184</v>
      </c>
      <c r="E25" s="36"/>
      <c r="F25" s="18"/>
    </row>
    <row r="26" spans="1:24" x14ac:dyDescent="0.25">
      <c r="A26" s="44">
        <v>17.840206729222224</v>
      </c>
      <c r="B26" s="46">
        <v>193.62843871116644</v>
      </c>
      <c r="C26" s="27">
        <f>B26/30</f>
        <v>6.4542812903722142</v>
      </c>
      <c r="E26" s="36" t="s">
        <v>27</v>
      </c>
      <c r="F26" s="37">
        <f>CORREL(N32:N3683,O32:O3683)</f>
        <v>0.72961160113120205</v>
      </c>
    </row>
    <row r="27" spans="1:24" x14ac:dyDescent="0.25">
      <c r="A27" s="45">
        <v>17.217635575483875</v>
      </c>
      <c r="B27" s="47">
        <v>222.64388132095337</v>
      </c>
      <c r="C27" s="28">
        <f>B27/31</f>
        <v>7.1820606877726894</v>
      </c>
      <c r="E27" s="38" t="s">
        <v>28</v>
      </c>
      <c r="F27" s="43">
        <f>1-F22/F24</f>
        <v>0.53229339870310222</v>
      </c>
      <c r="J27" s="2"/>
    </row>
    <row r="29" spans="1:24" s="3" customFormat="1" ht="15.75" customHeight="1" x14ac:dyDescent="0.25">
      <c r="A29" s="54" t="s">
        <v>29</v>
      </c>
      <c r="B29" s="54" t="s">
        <v>30</v>
      </c>
      <c r="C29" s="54" t="s">
        <v>31</v>
      </c>
      <c r="D29" s="54" t="s">
        <v>32</v>
      </c>
      <c r="E29" s="50" t="s">
        <v>33</v>
      </c>
      <c r="F29" s="50" t="s">
        <v>34</v>
      </c>
      <c r="G29" s="50" t="s">
        <v>35</v>
      </c>
      <c r="H29" s="50" t="s">
        <v>36</v>
      </c>
      <c r="I29" s="50" t="s">
        <v>37</v>
      </c>
      <c r="J29" s="50" t="s">
        <v>38</v>
      </c>
      <c r="K29" s="50" t="s">
        <v>39</v>
      </c>
      <c r="L29" s="50" t="s">
        <v>40</v>
      </c>
      <c r="M29" s="50" t="s">
        <v>41</v>
      </c>
      <c r="N29" s="50" t="s">
        <v>42</v>
      </c>
      <c r="O29" s="54" t="s">
        <v>43</v>
      </c>
      <c r="P29" s="50" t="s">
        <v>44</v>
      </c>
      <c r="Q29" s="50" t="s">
        <v>45</v>
      </c>
      <c r="S29" s="39"/>
      <c r="T29" s="40"/>
      <c r="U29" s="1"/>
      <c r="V29" s="1"/>
      <c r="X29" s="1"/>
    </row>
    <row r="30" spans="1:24" s="3" customFormat="1" ht="18.75" customHeight="1" x14ac:dyDescent="0.25">
      <c r="A30" s="55"/>
      <c r="B30" s="55"/>
      <c r="C30" s="55"/>
      <c r="D30" s="55"/>
      <c r="E30" s="51"/>
      <c r="F30" s="51"/>
      <c r="G30" s="51"/>
      <c r="H30" s="51"/>
      <c r="I30" s="51"/>
      <c r="J30" s="51"/>
      <c r="K30" s="51"/>
      <c r="L30" s="51"/>
      <c r="M30" s="51"/>
      <c r="N30" s="51"/>
      <c r="O30" s="55"/>
      <c r="P30" s="51"/>
      <c r="Q30" s="51"/>
      <c r="S30" s="39"/>
      <c r="T30" s="40"/>
      <c r="U30" s="1"/>
      <c r="V30" s="1"/>
      <c r="X30" s="1"/>
    </row>
    <row r="31" spans="1:24" x14ac:dyDescent="0.25">
      <c r="A31" s="4"/>
      <c r="B31" s="4"/>
      <c r="C31" s="4"/>
      <c r="D31" s="4"/>
      <c r="E31" s="12">
        <v>0</v>
      </c>
      <c r="F31" s="12"/>
      <c r="G31" s="16">
        <v>261.91958176286079</v>
      </c>
      <c r="H31" s="14"/>
      <c r="I31" s="14"/>
      <c r="J31" s="14"/>
      <c r="K31" s="14">
        <v>0</v>
      </c>
      <c r="L31" s="14">
        <v>622.26246953360669</v>
      </c>
      <c r="M31" s="14">
        <f>MAX(0,K31-$F$9)*$F$8+K31*$F$10+L31*$F$11</f>
        <v>0.13255856403513908</v>
      </c>
      <c r="N31" s="14"/>
      <c r="O31" s="4"/>
      <c r="P31" s="12"/>
      <c r="Q31" s="12"/>
      <c r="S31" s="39"/>
      <c r="T31" s="40"/>
    </row>
    <row r="32" spans="1:24" x14ac:dyDescent="0.25">
      <c r="A32" s="5" t="s">
        <v>89</v>
      </c>
      <c r="B32" s="6">
        <f>MONTH(A32)</f>
        <v>2</v>
      </c>
      <c r="C32" s="70">
        <v>15.70797348</v>
      </c>
      <c r="D32" s="4">
        <v>0.7</v>
      </c>
      <c r="E32" s="12">
        <f>IF(C32&gt;$C$9,MAX(E31-$C$10*(C32-$C$9),0),E31+D32)</f>
        <v>0</v>
      </c>
      <c r="F32" s="12">
        <f>IF(C32&gt;$C$9,D32+MIN(E31,$C$10*(C32-$C$9)),0)</f>
        <v>0.7</v>
      </c>
      <c r="G32" s="16">
        <f>G31+F32-H32-J32</f>
        <v>251.96661210121337</v>
      </c>
      <c r="H32" s="14">
        <f t="shared" ref="H32:H95" si="0">(F32*(G31/$C$11)^$C$12)</f>
        <v>0.54806478621686361</v>
      </c>
      <c r="I32" s="14">
        <f>(1+$C$13*(C32-INDEX($A$16:$A$27,B32)))*INDEX($C$16:$C$27,B32)</f>
        <v>10.10490487543054</v>
      </c>
      <c r="J32" s="14">
        <f>IF(G31&gt;$F$13,I32,I32*(G31/$F$13))</f>
        <v>10.10490487543054</v>
      </c>
      <c r="K32" s="14">
        <f>K31+H32-MAX(0,K31-$F$9)*$F$8-K31*$F$10-K31*$F$12</f>
        <v>0.54806478621686361</v>
      </c>
      <c r="L32" s="14">
        <f>L31+K31*$F$12-L31*$F$11</f>
        <v>622.1299109695716</v>
      </c>
      <c r="M32" s="14">
        <f t="shared" ref="M32:M94" si="1">MAX(0,K32-$F$9)*$F$8+K32*$F$10+L32*$F$11</f>
        <v>0.13264707798360423</v>
      </c>
      <c r="N32" s="14">
        <f>M32*$C$8*1000/(24*3600)</f>
        <v>3.3944755720109834</v>
      </c>
      <c r="O32" s="4">
        <v>17.29</v>
      </c>
      <c r="P32" s="14">
        <f>(O32-N32)^2</f>
        <v>193.08559912883948</v>
      </c>
      <c r="Q32" s="14">
        <f t="shared" ref="Q32:Q95" si="2">(O32-$F$23)^2</f>
        <v>115.69908695883733</v>
      </c>
      <c r="S32" s="39"/>
      <c r="T32" s="40"/>
    </row>
    <row r="33" spans="1:20" x14ac:dyDescent="0.25">
      <c r="A33" s="5" t="s">
        <v>90</v>
      </c>
      <c r="B33" s="6">
        <f t="shared" ref="B33:B96" si="3">MONTH(A33)</f>
        <v>2</v>
      </c>
      <c r="C33" s="70">
        <v>14.993233679999999</v>
      </c>
      <c r="D33" s="4">
        <v>0.7</v>
      </c>
      <c r="E33" s="12">
        <f t="shared" ref="E33:E90" si="4">IF(C33&gt;$C$9,MAX(E32-$C$10*(C33-$C$9),0),E32+D33)</f>
        <v>0</v>
      </c>
      <c r="F33" s="12">
        <f t="shared" ref="F33:F90" si="5">IF(C33&gt;$C$9,D33+MIN(E32,$C$10*(C33-$C$9)),0)</f>
        <v>0.7</v>
      </c>
      <c r="G33" s="16">
        <f t="shared" ref="G33:G95" si="6">G32+F33-H33-J33</f>
        <v>243.49466102803936</v>
      </c>
      <c r="H33" s="14">
        <f t="shared" si="0"/>
        <v>0.53686277021158901</v>
      </c>
      <c r="I33" s="14">
        <f t="shared" ref="I33:I95" si="7">(1+$C$13*(C33-INDEX($A$16:$A$27,B33)))*INDEX($C$16:$C$27,B33)</f>
        <v>8.6350883029623891</v>
      </c>
      <c r="J33" s="14">
        <f t="shared" ref="J33:J95" si="8">IF(G32&gt;$F$13,I33,I33*(G32/$F$13))</f>
        <v>8.6350883029623891</v>
      </c>
      <c r="K33" s="14">
        <f>K32+H33-MAX(0,K32-$F$9)*$F$8-K32*$F$10-K32*$F$12</f>
        <v>1.0578237662704291</v>
      </c>
      <c r="L33" s="14">
        <f>L32+K32*$F$12-L32*$F$11</f>
        <v>622.02436768174596</v>
      </c>
      <c r="M33" s="14">
        <f t="shared" si="1"/>
        <v>0.13273318674694062</v>
      </c>
      <c r="N33" s="14">
        <f t="shared" ref="N33:N95" si="9">M33*$C$8*1000/(24*3600)</f>
        <v>3.3966791191838626</v>
      </c>
      <c r="O33" s="4">
        <v>15.76</v>
      </c>
      <c r="P33" s="14">
        <f t="shared" ref="P33:P96" si="10">(O33-N33)^2</f>
        <v>152.85170320202428</v>
      </c>
      <c r="Q33" s="14">
        <f t="shared" si="2"/>
        <v>85.125552881251082</v>
      </c>
      <c r="S33" s="39"/>
      <c r="T33" s="40"/>
    </row>
    <row r="34" spans="1:20" x14ac:dyDescent="0.25">
      <c r="A34" s="5" t="s">
        <v>91</v>
      </c>
      <c r="B34" s="6">
        <f t="shared" si="3"/>
        <v>2</v>
      </c>
      <c r="C34" s="70">
        <v>13.329474449999999</v>
      </c>
      <c r="D34" s="4">
        <v>1.4</v>
      </c>
      <c r="E34" s="12">
        <f t="shared" si="4"/>
        <v>0</v>
      </c>
      <c r="F34" s="12">
        <f t="shared" si="5"/>
        <v>1.4</v>
      </c>
      <c r="G34" s="16">
        <f>G33+F34-H34-J34</f>
        <v>238.62665938391442</v>
      </c>
      <c r="H34" s="14">
        <f>(F34*(G33/$C$11)^$C$12)</f>
        <v>1.0543275241293368</v>
      </c>
      <c r="I34" s="14">
        <f t="shared" si="7"/>
        <v>5.2136741199956003</v>
      </c>
      <c r="J34" s="14">
        <f t="shared" si="8"/>
        <v>5.2136741199956003</v>
      </c>
      <c r="K34" s="14">
        <f t="shared" ref="K34:K95" si="11">K33+H34-MAX(0,K33-$F$9)*$F$8-K33*$F$10-K33*$F$12</f>
        <v>2.0598380710392008</v>
      </c>
      <c r="L34" s="14">
        <f t="shared" ref="L34:L95" si="12">L33+K33*$F$12-L33*$F$11</f>
        <v>621.94394771435952</v>
      </c>
      <c r="M34" s="14">
        <f t="shared" si="1"/>
        <v>0.13525301248854782</v>
      </c>
      <c r="N34" s="14">
        <f t="shared" si="9"/>
        <v>3.4611621598631852</v>
      </c>
      <c r="O34" s="4">
        <v>14.18</v>
      </c>
      <c r="P34" s="14">
        <f t="shared" si="10"/>
        <v>114.89348464314884</v>
      </c>
      <c r="Q34" s="14">
        <f t="shared" si="2"/>
        <v>58.466683703090162</v>
      </c>
      <c r="S34" s="39"/>
      <c r="T34" s="40"/>
    </row>
    <row r="35" spans="1:20" x14ac:dyDescent="0.25">
      <c r="A35" s="5" t="s">
        <v>92</v>
      </c>
      <c r="B35" s="6">
        <f t="shared" si="3"/>
        <v>2</v>
      </c>
      <c r="C35" s="70">
        <v>14.62580204</v>
      </c>
      <c r="D35" s="4">
        <v>1.1000000000000001</v>
      </c>
      <c r="E35" s="12">
        <f t="shared" si="4"/>
        <v>0</v>
      </c>
      <c r="F35" s="12">
        <f t="shared" si="5"/>
        <v>1.1000000000000001</v>
      </c>
      <c r="G35" s="16">
        <f t="shared" si="6"/>
        <v>231.02764031058535</v>
      </c>
      <c r="H35" s="14">
        <f t="shared" si="0"/>
        <v>0.81953037979259591</v>
      </c>
      <c r="I35" s="14">
        <f t="shared" si="7"/>
        <v>7.8794886935364845</v>
      </c>
      <c r="J35" s="14">
        <f t="shared" si="8"/>
        <v>7.8794886935364845</v>
      </c>
      <c r="K35" s="14">
        <f t="shared" si="11"/>
        <v>2.775178490788651</v>
      </c>
      <c r="L35" s="14">
        <f t="shared" si="12"/>
        <v>621.91288466191406</v>
      </c>
      <c r="M35" s="14">
        <f t="shared" si="1"/>
        <v>0.16317532101361021</v>
      </c>
      <c r="N35" s="14">
        <f t="shared" si="9"/>
        <v>4.175701791216345</v>
      </c>
      <c r="O35" s="4">
        <v>14.02</v>
      </c>
      <c r="P35" s="14">
        <f t="shared" si="10"/>
        <v>96.910207223461086</v>
      </c>
      <c r="Q35" s="14">
        <f t="shared" si="2"/>
        <v>56.045451381251077</v>
      </c>
      <c r="S35" s="39"/>
      <c r="T35" s="40"/>
    </row>
    <row r="36" spans="1:20" x14ac:dyDescent="0.25">
      <c r="A36" s="5" t="s">
        <v>93</v>
      </c>
      <c r="B36" s="6">
        <f t="shared" si="3"/>
        <v>2</v>
      </c>
      <c r="C36" s="70">
        <v>13.49022293</v>
      </c>
      <c r="D36" s="4">
        <v>5.0999999999999996</v>
      </c>
      <c r="E36" s="12">
        <f t="shared" si="4"/>
        <v>0</v>
      </c>
      <c r="F36" s="12">
        <f t="shared" si="5"/>
        <v>5.0999999999999996</v>
      </c>
      <c r="G36" s="16">
        <f t="shared" si="6"/>
        <v>226.84874240492135</v>
      </c>
      <c r="H36" s="14">
        <f t="shared" si="0"/>
        <v>3.7346548430922768</v>
      </c>
      <c r="I36" s="14">
        <f t="shared" si="7"/>
        <v>5.5442430625717183</v>
      </c>
      <c r="J36" s="14">
        <f t="shared" si="8"/>
        <v>5.5442430625717183</v>
      </c>
      <c r="K36" s="14">
        <f t="shared" si="11"/>
        <v>6.342490658177649</v>
      </c>
      <c r="L36" s="14">
        <f t="shared" si="12"/>
        <v>621.91705201660375</v>
      </c>
      <c r="M36" s="14">
        <f t="shared" si="1"/>
        <v>0.30245422806249445</v>
      </c>
      <c r="N36" s="14">
        <f t="shared" si="9"/>
        <v>7.7398877111825843</v>
      </c>
      <c r="O36" s="4">
        <v>13.49</v>
      </c>
      <c r="P36" s="14">
        <f t="shared" si="10"/>
        <v>33.063791334009061</v>
      </c>
      <c r="Q36" s="14">
        <f t="shared" si="2"/>
        <v>48.390819315159128</v>
      </c>
      <c r="S36" s="39"/>
      <c r="T36" s="40"/>
    </row>
    <row r="37" spans="1:20" x14ac:dyDescent="0.25">
      <c r="A37" s="5" t="s">
        <v>94</v>
      </c>
      <c r="B37" s="6">
        <f t="shared" si="3"/>
        <v>2</v>
      </c>
      <c r="C37" s="70">
        <v>15.83044529</v>
      </c>
      <c r="D37" s="4">
        <v>0.2</v>
      </c>
      <c r="E37" s="12">
        <f t="shared" si="4"/>
        <v>0</v>
      </c>
      <c r="F37" s="12">
        <f t="shared" si="5"/>
        <v>0.2</v>
      </c>
      <c r="G37" s="16">
        <f>G36+F37-H37-J37</f>
        <v>216.54694321285015</v>
      </c>
      <c r="H37" s="14">
        <f t="shared" si="0"/>
        <v>0.14503889177389448</v>
      </c>
      <c r="I37" s="14">
        <f t="shared" si="7"/>
        <v>10.356760300297283</v>
      </c>
      <c r="J37" s="14">
        <f t="shared" si="8"/>
        <v>10.356760300297283</v>
      </c>
      <c r="K37" s="14">
        <f t="shared" si="11"/>
        <v>6.0052522714238359</v>
      </c>
      <c r="L37" s="14">
        <f t="shared" si="12"/>
        <v>622.09687506706894</v>
      </c>
      <c r="M37" s="14">
        <f t="shared" si="1"/>
        <v>0.28932578881464843</v>
      </c>
      <c r="N37" s="14">
        <f t="shared" si="9"/>
        <v>7.4039273040415248</v>
      </c>
      <c r="O37" s="4">
        <v>13.4</v>
      </c>
      <c r="P37" s="14">
        <f t="shared" si="10"/>
        <v>35.952887775218741</v>
      </c>
      <c r="Q37" s="14">
        <f t="shared" si="2"/>
        <v>47.146776134124643</v>
      </c>
      <c r="S37" s="39"/>
      <c r="T37" s="40"/>
    </row>
    <row r="38" spans="1:20" x14ac:dyDescent="0.25">
      <c r="A38" s="5" t="s">
        <v>95</v>
      </c>
      <c r="B38" s="6">
        <f t="shared" si="3"/>
        <v>2</v>
      </c>
      <c r="C38" s="70">
        <v>14.10404778</v>
      </c>
      <c r="D38" s="4">
        <v>9.8000000000000007</v>
      </c>
      <c r="E38" s="12">
        <f t="shared" si="4"/>
        <v>0</v>
      </c>
      <c r="F38" s="12">
        <f t="shared" si="5"/>
        <v>9.8000000000000007</v>
      </c>
      <c r="G38" s="16">
        <f t="shared" si="6"/>
        <v>212.60740822365321</v>
      </c>
      <c r="H38" s="14">
        <f>(F38*(G37/$C$11)^$C$12)</f>
        <v>6.9330004785727048</v>
      </c>
      <c r="I38" s="14">
        <f t="shared" si="7"/>
        <v>6.8065345106242487</v>
      </c>
      <c r="J38" s="14">
        <f t="shared" si="8"/>
        <v>6.8065345106242487</v>
      </c>
      <c r="K38" s="14">
        <f t="shared" si="11"/>
        <v>12.48574803759309</v>
      </c>
      <c r="L38" s="14">
        <f t="shared" si="12"/>
        <v>622.26005399065775</v>
      </c>
      <c r="M38" s="14">
        <f t="shared" si="1"/>
        <v>0.54237754796085136</v>
      </c>
      <c r="N38" s="14">
        <f t="shared" si="9"/>
        <v>13.879592112748174</v>
      </c>
      <c r="O38" s="4">
        <v>13.47</v>
      </c>
      <c r="P38" s="14">
        <f t="shared" si="10"/>
        <v>0.1677656988255124</v>
      </c>
      <c r="Q38" s="14">
        <f t="shared" si="2"/>
        <v>48.112965274929245</v>
      </c>
      <c r="S38" s="39"/>
      <c r="T38" s="40"/>
    </row>
    <row r="39" spans="1:20" x14ac:dyDescent="0.25">
      <c r="A39" s="5" t="s">
        <v>96</v>
      </c>
      <c r="B39" s="6">
        <f t="shared" si="3"/>
        <v>2</v>
      </c>
      <c r="C39" s="70">
        <v>14.576776499999999</v>
      </c>
      <c r="D39" s="4">
        <v>10.9</v>
      </c>
      <c r="E39" s="12">
        <f t="shared" si="4"/>
        <v>0</v>
      </c>
      <c r="F39" s="12">
        <f>IF(C39&gt;$C$9,D39+MIN(E38,$C$10*(C39-$C$9)),0)</f>
        <v>10.9</v>
      </c>
      <c r="G39" s="16">
        <f t="shared" si="6"/>
        <v>208.09264347197424</v>
      </c>
      <c r="H39" s="14">
        <f t="shared" si="0"/>
        <v>7.6360939378326869</v>
      </c>
      <c r="I39" s="14">
        <f t="shared" si="7"/>
        <v>7.7786708138462801</v>
      </c>
      <c r="J39" s="14">
        <f t="shared" si="8"/>
        <v>7.7786708138462801</v>
      </c>
      <c r="K39" s="14">
        <f t="shared" si="11"/>
        <v>19.09721678002078</v>
      </c>
      <c r="L39" s="14">
        <f t="shared" si="12"/>
        <v>622.74230163810194</v>
      </c>
      <c r="M39" s="14">
        <f t="shared" si="1"/>
        <v>0.80061083501814145</v>
      </c>
      <c r="N39" s="14">
        <f t="shared" si="9"/>
        <v>20.487853660012856</v>
      </c>
      <c r="O39" s="4">
        <v>15.3</v>
      </c>
      <c r="P39" s="14">
        <f t="shared" si="10"/>
        <v>26.913825597708779</v>
      </c>
      <c r="Q39" s="14">
        <f t="shared" si="2"/>
        <v>76.848909955963762</v>
      </c>
      <c r="S39" s="39"/>
      <c r="T39" s="40"/>
    </row>
    <row r="40" spans="1:20" x14ac:dyDescent="0.25">
      <c r="A40" s="5" t="s">
        <v>97</v>
      </c>
      <c r="B40" s="6">
        <f t="shared" si="3"/>
        <v>2</v>
      </c>
      <c r="C40" s="70">
        <v>15.133091930000001</v>
      </c>
      <c r="D40" s="4">
        <v>0.8</v>
      </c>
      <c r="E40" s="12">
        <f t="shared" si="4"/>
        <v>0</v>
      </c>
      <c r="F40" s="12">
        <f t="shared" si="5"/>
        <v>0.8</v>
      </c>
      <c r="G40" s="16">
        <f t="shared" si="6"/>
        <v>199.41587415460913</v>
      </c>
      <c r="H40" s="14">
        <f t="shared" si="0"/>
        <v>0.55407149042438686</v>
      </c>
      <c r="I40" s="14">
        <f t="shared" si="7"/>
        <v>8.9226978269407606</v>
      </c>
      <c r="J40" s="14">
        <f t="shared" si="8"/>
        <v>8.9226978269407606</v>
      </c>
      <c r="K40" s="14">
        <f t="shared" si="11"/>
        <v>18.04297984666529</v>
      </c>
      <c r="L40" s="14">
        <f t="shared" si="12"/>
        <v>623.54999922686363</v>
      </c>
      <c r="M40" s="14">
        <f t="shared" si="1"/>
        <v>0.75962248607721572</v>
      </c>
      <c r="N40" s="14">
        <f t="shared" si="9"/>
        <v>19.43895042496208</v>
      </c>
      <c r="O40" s="4">
        <v>17.84</v>
      </c>
      <c r="P40" s="14">
        <f t="shared" si="10"/>
        <v>2.5566424614864163</v>
      </c>
      <c r="Q40" s="14">
        <f t="shared" si="2"/>
        <v>127.83357306515919</v>
      </c>
      <c r="S40" s="39"/>
      <c r="T40" s="40"/>
    </row>
    <row r="41" spans="1:20" x14ac:dyDescent="0.25">
      <c r="A41" s="5" t="s">
        <v>98</v>
      </c>
      <c r="B41" s="6">
        <f t="shared" si="3"/>
        <v>2</v>
      </c>
      <c r="C41" s="70">
        <v>17.469867709999999</v>
      </c>
      <c r="D41" s="4">
        <v>3.4</v>
      </c>
      <c r="E41" s="12">
        <f t="shared" si="4"/>
        <v>0</v>
      </c>
      <c r="F41" s="12">
        <f t="shared" si="5"/>
        <v>3.4</v>
      </c>
      <c r="G41" s="16">
        <f t="shared" si="6"/>
        <v>186.78580229298063</v>
      </c>
      <c r="H41" s="14">
        <f t="shared" si="0"/>
        <v>2.3019444677513836</v>
      </c>
      <c r="I41" s="14">
        <f t="shared" si="7"/>
        <v>13.728127393877122</v>
      </c>
      <c r="J41" s="14">
        <f t="shared" si="8"/>
        <v>13.728127393877122</v>
      </c>
      <c r="K41" s="14">
        <f t="shared" si="11"/>
        <v>18.829687557569766</v>
      </c>
      <c r="L41" s="14">
        <f t="shared" si="12"/>
        <v>624.30561349763332</v>
      </c>
      <c r="M41" s="14">
        <f t="shared" si="1"/>
        <v>0.79049876008365916</v>
      </c>
      <c r="N41" s="14">
        <f t="shared" si="9"/>
        <v>20.22908285352975</v>
      </c>
      <c r="O41" s="4">
        <v>20.12</v>
      </c>
      <c r="P41" s="14">
        <f t="shared" si="10"/>
        <v>1.1899068934192675E-2</v>
      </c>
      <c r="Q41" s="14">
        <f t="shared" si="2"/>
        <v>184.58893365136615</v>
      </c>
      <c r="S41" s="39"/>
      <c r="T41" s="40"/>
    </row>
    <row r="42" spans="1:20" x14ac:dyDescent="0.25">
      <c r="A42" s="5" t="s">
        <v>99</v>
      </c>
      <c r="B42" s="6">
        <f t="shared" si="3"/>
        <v>2</v>
      </c>
      <c r="C42" s="70">
        <v>15.92387772</v>
      </c>
      <c r="D42" s="4">
        <v>4.4000000000000004</v>
      </c>
      <c r="E42" s="12">
        <f t="shared" si="4"/>
        <v>0</v>
      </c>
      <c r="F42" s="12">
        <f t="shared" si="5"/>
        <v>4.4000000000000004</v>
      </c>
      <c r="G42" s="16">
        <f t="shared" si="6"/>
        <v>177.76002632735549</v>
      </c>
      <c r="H42" s="14">
        <f t="shared" si="0"/>
        <v>2.8768778635432555</v>
      </c>
      <c r="I42" s="14">
        <f t="shared" si="7"/>
        <v>10.548898102081891</v>
      </c>
      <c r="J42" s="14">
        <f t="shared" si="8"/>
        <v>10.548898102081891</v>
      </c>
      <c r="K42" s="14">
        <f t="shared" si="11"/>
        <v>20.121875398376588</v>
      </c>
      <c r="L42" s="14">
        <f t="shared" si="12"/>
        <v>625.09980476028613</v>
      </c>
      <c r="M42" s="14">
        <f t="shared" si="1"/>
        <v>0.84111863484818772</v>
      </c>
      <c r="N42" s="14">
        <f t="shared" si="9"/>
        <v>21.524459509830358</v>
      </c>
      <c r="O42" s="4">
        <v>18.25</v>
      </c>
      <c r="P42" s="14">
        <f t="shared" si="10"/>
        <v>10.722085081518467</v>
      </c>
      <c r="Q42" s="14">
        <f t="shared" si="2"/>
        <v>137.27288088987183</v>
      </c>
      <c r="S42" s="39"/>
      <c r="T42" s="40"/>
    </row>
    <row r="43" spans="1:20" x14ac:dyDescent="0.25">
      <c r="A43" s="5" t="s">
        <v>100</v>
      </c>
      <c r="B43" s="6">
        <f t="shared" si="3"/>
        <v>2</v>
      </c>
      <c r="C43" s="70">
        <v>17.785274510000001</v>
      </c>
      <c r="D43" s="4">
        <v>0.2</v>
      </c>
      <c r="E43" s="12">
        <f t="shared" si="4"/>
        <v>0</v>
      </c>
      <c r="F43" s="12">
        <f t="shared" si="5"/>
        <v>0.2</v>
      </c>
      <c r="G43" s="16">
        <f t="shared" si="6"/>
        <v>163.4559251183982</v>
      </c>
      <c r="H43" s="14">
        <f t="shared" si="0"/>
        <v>0.12735995349143611</v>
      </c>
      <c r="I43" s="14">
        <f t="shared" si="7"/>
        <v>14.376741255465843</v>
      </c>
      <c r="J43" s="14">
        <f t="shared" si="8"/>
        <v>14.376741255465843</v>
      </c>
      <c r="K43" s="14">
        <f t="shared" si="11"/>
        <v>18.550466536661649</v>
      </c>
      <c r="L43" s="14">
        <f t="shared" si="12"/>
        <v>625.95745494064431</v>
      </c>
      <c r="M43" s="14">
        <f t="shared" si="1"/>
        <v>0.77994906323474456</v>
      </c>
      <c r="N43" s="14">
        <f t="shared" si="9"/>
        <v>19.959113180694679</v>
      </c>
      <c r="O43" s="4">
        <v>16.22</v>
      </c>
      <c r="P43" s="14">
        <f t="shared" si="10"/>
        <v>13.980967378044689</v>
      </c>
      <c r="Q43" s="14">
        <f t="shared" si="2"/>
        <v>93.825395806538452</v>
      </c>
      <c r="S43" s="39"/>
      <c r="T43" s="40"/>
    </row>
    <row r="44" spans="1:20" x14ac:dyDescent="0.25">
      <c r="A44" s="5" t="s">
        <v>101</v>
      </c>
      <c r="B44" s="6">
        <f t="shared" si="3"/>
        <v>3</v>
      </c>
      <c r="C44" s="70">
        <v>15.98917007</v>
      </c>
      <c r="D44" s="4">
        <v>3.7</v>
      </c>
      <c r="E44" s="12">
        <f t="shared" si="4"/>
        <v>0</v>
      </c>
      <c r="F44" s="12">
        <f t="shared" si="5"/>
        <v>3.7</v>
      </c>
      <c r="G44" s="16">
        <f t="shared" si="6"/>
        <v>153.44297393736144</v>
      </c>
      <c r="H44" s="14">
        <f t="shared" si="0"/>
        <v>2.2531164937294439</v>
      </c>
      <c r="I44" s="14">
        <f t="shared" si="7"/>
        <v>11.459834687307321</v>
      </c>
      <c r="J44" s="14">
        <f t="shared" si="8"/>
        <v>11.459834687307321</v>
      </c>
      <c r="K44" s="14">
        <f t="shared" si="11"/>
        <v>19.243543600928724</v>
      </c>
      <c r="L44" s="14">
        <f t="shared" si="12"/>
        <v>626.73754530687188</v>
      </c>
      <c r="M44" s="14">
        <f t="shared" si="1"/>
        <v>0.80717494439493365</v>
      </c>
      <c r="N44" s="14">
        <f t="shared" si="9"/>
        <v>20.655831042328685</v>
      </c>
      <c r="O44" s="4">
        <v>14.29</v>
      </c>
      <c r="P44" s="14">
        <f t="shared" si="10"/>
        <v>40.523804859475533</v>
      </c>
      <c r="Q44" s="14">
        <f t="shared" si="2"/>
        <v>60.160980924354519</v>
      </c>
      <c r="S44" s="39"/>
      <c r="T44" s="40"/>
    </row>
    <row r="45" spans="1:20" x14ac:dyDescent="0.25">
      <c r="A45" s="5" t="s">
        <v>102</v>
      </c>
      <c r="B45" s="6">
        <f t="shared" si="3"/>
        <v>3</v>
      </c>
      <c r="C45" s="70">
        <v>15.94149494</v>
      </c>
      <c r="D45" s="4">
        <v>3.8</v>
      </c>
      <c r="E45" s="12">
        <f t="shared" si="4"/>
        <v>0</v>
      </c>
      <c r="F45" s="12">
        <f t="shared" si="5"/>
        <v>3.8</v>
      </c>
      <c r="G45" s="16">
        <f t="shared" si="6"/>
        <v>143.64274656956965</v>
      </c>
      <c r="H45" s="14">
        <f t="shared" si="0"/>
        <v>2.2373361920511998</v>
      </c>
      <c r="I45" s="14">
        <f t="shared" si="7"/>
        <v>11.362891175740593</v>
      </c>
      <c r="J45" s="14">
        <f t="shared" si="8"/>
        <v>11.362891175740593</v>
      </c>
      <c r="K45" s="14">
        <f t="shared" si="11"/>
        <v>19.859653133547308</v>
      </c>
      <c r="L45" s="14">
        <f t="shared" si="12"/>
        <v>627.55159702190963</v>
      </c>
      <c r="M45" s="14">
        <f t="shared" si="1"/>
        <v>0.83140302875277006</v>
      </c>
      <c r="N45" s="14">
        <f t="shared" si="9"/>
        <v>21.275834451069148</v>
      </c>
      <c r="O45" s="4">
        <v>17.489999999999998</v>
      </c>
      <c r="P45" s="14">
        <f t="shared" si="10"/>
        <v>14.332542490902048</v>
      </c>
      <c r="Q45" s="14">
        <f t="shared" si="2"/>
        <v>120.04162736113616</v>
      </c>
      <c r="S45" s="39"/>
      <c r="T45" s="40"/>
    </row>
    <row r="46" spans="1:20" x14ac:dyDescent="0.25">
      <c r="A46" s="5" t="s">
        <v>103</v>
      </c>
      <c r="B46" s="6">
        <f t="shared" si="3"/>
        <v>3</v>
      </c>
      <c r="C46" s="70">
        <v>16.243556980000001</v>
      </c>
      <c r="D46" s="4">
        <v>4.5</v>
      </c>
      <c r="E46" s="12">
        <f t="shared" si="4"/>
        <v>0</v>
      </c>
      <c r="F46" s="12">
        <f t="shared" si="5"/>
        <v>4.5</v>
      </c>
      <c r="G46" s="16">
        <f t="shared" si="6"/>
        <v>133.60775129672299</v>
      </c>
      <c r="H46" s="14">
        <f t="shared" si="0"/>
        <v>2.5578854286177153</v>
      </c>
      <c r="I46" s="14">
        <f t="shared" si="7"/>
        <v>11.977109844228957</v>
      </c>
      <c r="J46" s="14">
        <f t="shared" si="8"/>
        <v>11.977109844228957</v>
      </c>
      <c r="K46" s="14">
        <f t="shared" si="11"/>
        <v>20.741919631507773</v>
      </c>
      <c r="L46" s="14">
        <f t="shared" si="12"/>
        <v>628.39581292381411</v>
      </c>
      <c r="M46" s="14">
        <f t="shared" si="1"/>
        <v>0.86602906427760351</v>
      </c>
      <c r="N46" s="14">
        <f t="shared" si="9"/>
        <v>22.16192431849284</v>
      </c>
      <c r="O46" s="4">
        <v>18.559999999999999</v>
      </c>
      <c r="P46" s="14">
        <f t="shared" si="10"/>
        <v>12.97385879615012</v>
      </c>
      <c r="Q46" s="14">
        <f t="shared" si="2"/>
        <v>144.63311851343502</v>
      </c>
      <c r="S46" s="39"/>
      <c r="T46" s="40"/>
    </row>
    <row r="47" spans="1:20" x14ac:dyDescent="0.25">
      <c r="A47" s="5" t="s">
        <v>104</v>
      </c>
      <c r="B47" s="6">
        <f t="shared" si="3"/>
        <v>3</v>
      </c>
      <c r="C47" s="70">
        <v>16.48568916</v>
      </c>
      <c r="D47" s="4">
        <v>1.8</v>
      </c>
      <c r="E47" s="12">
        <f t="shared" si="4"/>
        <v>0</v>
      </c>
      <c r="F47" s="12">
        <f t="shared" si="5"/>
        <v>1.8</v>
      </c>
      <c r="G47" s="16">
        <f t="shared" si="6"/>
        <v>121.95387657000795</v>
      </c>
      <c r="H47" s="14">
        <f t="shared" si="0"/>
        <v>0.98440872546027813</v>
      </c>
      <c r="I47" s="14">
        <f t="shared" si="7"/>
        <v>12.469466001254791</v>
      </c>
      <c r="J47" s="14">
        <f t="shared" si="8"/>
        <v>12.469466001254791</v>
      </c>
      <c r="K47" s="14">
        <f t="shared" si="11"/>
        <v>19.972819901625932</v>
      </c>
      <c r="L47" s="14">
        <f t="shared" si="12"/>
        <v>629.28329231487862</v>
      </c>
      <c r="M47" s="14">
        <f t="shared" si="1"/>
        <v>0.83619027889688569</v>
      </c>
      <c r="N47" s="14">
        <f t="shared" si="9"/>
        <v>21.398341512048777</v>
      </c>
      <c r="O47" s="4">
        <v>18.62</v>
      </c>
      <c r="P47" s="14">
        <f t="shared" si="10"/>
        <v>7.7191815575734788</v>
      </c>
      <c r="Q47" s="14">
        <f t="shared" si="2"/>
        <v>146.07988063412475</v>
      </c>
      <c r="S47" s="39"/>
      <c r="T47" s="40"/>
    </row>
    <row r="48" spans="1:20" x14ac:dyDescent="0.25">
      <c r="A48" s="5" t="s">
        <v>105</v>
      </c>
      <c r="B48" s="6">
        <f t="shared" si="3"/>
        <v>3</v>
      </c>
      <c r="C48" s="70">
        <v>17.347646709999999</v>
      </c>
      <c r="D48" s="4">
        <v>0.2</v>
      </c>
      <c r="E48" s="12">
        <f t="shared" si="4"/>
        <v>0</v>
      </c>
      <c r="F48" s="12">
        <f t="shared" si="5"/>
        <v>0.2</v>
      </c>
      <c r="G48" s="16">
        <f t="shared" si="6"/>
        <v>107.82750486696608</v>
      </c>
      <c r="H48" s="14">
        <f t="shared" si="0"/>
        <v>0.10418490756054165</v>
      </c>
      <c r="I48" s="14">
        <f t="shared" si="7"/>
        <v>14.222186795481337</v>
      </c>
      <c r="J48" s="14">
        <f t="shared" si="8"/>
        <v>14.222186795481337</v>
      </c>
      <c r="K48" s="14">
        <f t="shared" si="11"/>
        <v>18.39139512653292</v>
      </c>
      <c r="L48" s="14">
        <f t="shared" si="12"/>
        <v>630.13271171863528</v>
      </c>
      <c r="M48" s="14">
        <f t="shared" si="1"/>
        <v>0.77462790414494531</v>
      </c>
      <c r="N48" s="14">
        <f t="shared" si="9"/>
        <v>19.822943241486968</v>
      </c>
      <c r="O48" s="4">
        <v>17.09</v>
      </c>
      <c r="P48" s="14">
        <f t="shared" si="10"/>
        <v>7.4689787611892955</v>
      </c>
      <c r="Q48" s="14">
        <f t="shared" si="2"/>
        <v>111.43654655653849</v>
      </c>
      <c r="S48" s="39"/>
      <c r="T48" s="40"/>
    </row>
    <row r="49" spans="1:20" x14ac:dyDescent="0.25">
      <c r="A49" s="5" t="s">
        <v>106</v>
      </c>
      <c r="B49" s="6">
        <f t="shared" si="3"/>
        <v>3</v>
      </c>
      <c r="C49" s="70">
        <v>16.946430209999999</v>
      </c>
      <c r="D49" s="4">
        <v>2.2999999999999998</v>
      </c>
      <c r="E49" s="12">
        <f t="shared" si="4"/>
        <v>0</v>
      </c>
      <c r="F49" s="12">
        <f t="shared" si="5"/>
        <v>2.2999999999999998</v>
      </c>
      <c r="G49" s="16">
        <f t="shared" si="6"/>
        <v>95.599134689184552</v>
      </c>
      <c r="H49" s="14">
        <f t="shared" si="0"/>
        <v>1.1220246061943235</v>
      </c>
      <c r="I49" s="14">
        <f t="shared" si="7"/>
        <v>13.406345571587197</v>
      </c>
      <c r="J49" s="14">
        <f t="shared" si="8"/>
        <v>13.406345571587197</v>
      </c>
      <c r="K49" s="14">
        <f t="shared" si="11"/>
        <v>17.967423675142328</v>
      </c>
      <c r="L49" s="14">
        <f t="shared" si="12"/>
        <v>630.90407987207527</v>
      </c>
      <c r="M49" s="14">
        <f t="shared" si="1"/>
        <v>0.75823917416118958</v>
      </c>
      <c r="N49" s="14">
        <f t="shared" si="9"/>
        <v>19.403551088777665</v>
      </c>
      <c r="O49" s="4">
        <v>18.12</v>
      </c>
      <c r="P49" s="14">
        <f t="shared" si="10"/>
        <v>1.6475033975023254</v>
      </c>
      <c r="Q49" s="14">
        <f t="shared" si="2"/>
        <v>134.24352962837762</v>
      </c>
      <c r="S49" s="39"/>
      <c r="T49" s="40"/>
    </row>
    <row r="50" spans="1:20" x14ac:dyDescent="0.25">
      <c r="A50" s="5" t="s">
        <v>107</v>
      </c>
      <c r="B50" s="6">
        <f t="shared" si="3"/>
        <v>3</v>
      </c>
      <c r="C50" s="70">
        <v>15.401979450000001</v>
      </c>
      <c r="D50" s="4">
        <v>1.2</v>
      </c>
      <c r="E50" s="12">
        <f t="shared" si="4"/>
        <v>0</v>
      </c>
      <c r="F50" s="12">
        <f t="shared" si="5"/>
        <v>1.2</v>
      </c>
      <c r="G50" s="16">
        <f t="shared" si="6"/>
        <v>85.984282075154937</v>
      </c>
      <c r="H50" s="14">
        <f t="shared" si="0"/>
        <v>0.54902244567891334</v>
      </c>
      <c r="I50" s="14">
        <f t="shared" si="7"/>
        <v>10.265830168350702</v>
      </c>
      <c r="J50" s="14">
        <f t="shared" si="8"/>
        <v>10.265830168350702</v>
      </c>
      <c r="K50" s="14">
        <f t="shared" si="11"/>
        <v>17.007879722987781</v>
      </c>
      <c r="L50" s="14">
        <f t="shared" si="12"/>
        <v>631.6544070957475</v>
      </c>
      <c r="M50" s="14">
        <f t="shared" si="1"/>
        <v>0.72093568727118096</v>
      </c>
      <c r="N50" s="14">
        <f t="shared" si="9"/>
        <v>18.448944497182652</v>
      </c>
      <c r="O50" s="4">
        <v>24.29</v>
      </c>
      <c r="P50" s="14">
        <f t="shared" si="10"/>
        <v>34.11792938699282</v>
      </c>
      <c r="Q50" s="14">
        <f t="shared" si="2"/>
        <v>315.28800103929717</v>
      </c>
      <c r="S50" s="39"/>
      <c r="T50" s="40"/>
    </row>
    <row r="51" spans="1:20" x14ac:dyDescent="0.25">
      <c r="A51" s="5" t="s">
        <v>108</v>
      </c>
      <c r="B51" s="6">
        <f t="shared" si="3"/>
        <v>3</v>
      </c>
      <c r="C51" s="70">
        <v>12.627311710000001</v>
      </c>
      <c r="D51" s="4">
        <v>4.2</v>
      </c>
      <c r="E51" s="12">
        <f t="shared" si="4"/>
        <v>0</v>
      </c>
      <c r="F51" s="12">
        <f t="shared" si="5"/>
        <v>4.2</v>
      </c>
      <c r="G51" s="16">
        <f t="shared" si="6"/>
        <v>83.744500259551117</v>
      </c>
      <c r="H51" s="14">
        <f t="shared" si="0"/>
        <v>1.8160135387784968</v>
      </c>
      <c r="I51" s="14">
        <f t="shared" si="7"/>
        <v>4.6237682768253245</v>
      </c>
      <c r="J51" s="14">
        <f t="shared" si="8"/>
        <v>4.6237682768253245</v>
      </c>
      <c r="K51" s="14">
        <f t="shared" si="11"/>
        <v>17.400038708392884</v>
      </c>
      <c r="L51" s="14">
        <f t="shared" si="12"/>
        <v>632.35732596184971</v>
      </c>
      <c r="M51" s="14">
        <f t="shared" si="1"/>
        <v>0.73639643064917537</v>
      </c>
      <c r="N51" s="14">
        <f t="shared" si="9"/>
        <v>18.844589214876468</v>
      </c>
      <c r="O51" s="4">
        <v>21.67</v>
      </c>
      <c r="P51" s="14">
        <f t="shared" si="10"/>
        <v>7.9829461046923846</v>
      </c>
      <c r="Q51" s="14">
        <f t="shared" si="2"/>
        <v>229.10912176918228</v>
      </c>
      <c r="S51" s="39"/>
      <c r="T51" s="40"/>
    </row>
    <row r="52" spans="1:20" x14ac:dyDescent="0.25">
      <c r="A52" s="5" t="s">
        <v>109</v>
      </c>
      <c r="B52" s="6">
        <f t="shared" si="3"/>
        <v>3</v>
      </c>
      <c r="C52" s="70">
        <v>13.81168079</v>
      </c>
      <c r="D52" s="4">
        <v>0.8</v>
      </c>
      <c r="E52" s="12">
        <f t="shared" si="4"/>
        <v>0</v>
      </c>
      <c r="F52" s="12">
        <f t="shared" si="5"/>
        <v>0.8</v>
      </c>
      <c r="G52" s="16">
        <f t="shared" si="6"/>
        <v>77.171338781724259</v>
      </c>
      <c r="H52" s="14">
        <f t="shared" si="0"/>
        <v>0.34107470021808201</v>
      </c>
      <c r="I52" s="14">
        <f t="shared" si="7"/>
        <v>7.0320867776087628</v>
      </c>
      <c r="J52" s="14">
        <f t="shared" si="8"/>
        <v>7.0320867776087628</v>
      </c>
      <c r="K52" s="14">
        <f t="shared" si="11"/>
        <v>16.282637709535326</v>
      </c>
      <c r="L52" s="14">
        <f t="shared" si="12"/>
        <v>633.07940523027617</v>
      </c>
      <c r="M52" s="14">
        <f t="shared" si="1"/>
        <v>0.69292373783709138</v>
      </c>
      <c r="N52" s="14">
        <f t="shared" si="9"/>
        <v>17.732110930067236</v>
      </c>
      <c r="O52" s="4">
        <v>20.07</v>
      </c>
      <c r="P52" s="14">
        <f t="shared" si="10"/>
        <v>5.4657253033110846</v>
      </c>
      <c r="Q52" s="14">
        <f t="shared" si="2"/>
        <v>183.23279855079141</v>
      </c>
      <c r="S52" s="39"/>
      <c r="T52" s="40"/>
    </row>
    <row r="53" spans="1:20" x14ac:dyDescent="0.25">
      <c r="A53" s="5" t="s">
        <v>110</v>
      </c>
      <c r="B53" s="6">
        <f t="shared" si="3"/>
        <v>3</v>
      </c>
      <c r="C53" s="70">
        <v>14.792552949999999</v>
      </c>
      <c r="D53" s="4">
        <v>5.2</v>
      </c>
      <c r="E53" s="12">
        <f t="shared" si="4"/>
        <v>0</v>
      </c>
      <c r="F53" s="12">
        <f t="shared" si="5"/>
        <v>5.2</v>
      </c>
      <c r="G53" s="16">
        <f t="shared" si="6"/>
        <v>71.222268927457932</v>
      </c>
      <c r="H53" s="14">
        <f t="shared" si="0"/>
        <v>2.12245906406564</v>
      </c>
      <c r="I53" s="14">
        <f t="shared" si="7"/>
        <v>9.0266107902006887</v>
      </c>
      <c r="J53" s="14">
        <f t="shared" si="8"/>
        <v>9.0266107902006887</v>
      </c>
      <c r="K53" s="14">
        <f t="shared" si="11"/>
        <v>17.045269082677745</v>
      </c>
      <c r="L53" s="14">
        <f t="shared" si="12"/>
        <v>633.74630918336231</v>
      </c>
      <c r="M53" s="14">
        <f t="shared" si="1"/>
        <v>0.72284110542558433</v>
      </c>
      <c r="N53" s="14">
        <f t="shared" si="9"/>
        <v>18.497704677036655</v>
      </c>
      <c r="O53" s="4">
        <v>19.25</v>
      </c>
      <c r="P53" s="14">
        <f t="shared" si="10"/>
        <v>0.56594825295252371</v>
      </c>
      <c r="Q53" s="14">
        <f t="shared" si="2"/>
        <v>161.70558290136609</v>
      </c>
      <c r="S53" s="39"/>
      <c r="T53" s="40"/>
    </row>
    <row r="54" spans="1:20" x14ac:dyDescent="0.25">
      <c r="A54" s="5" t="s">
        <v>111</v>
      </c>
      <c r="B54" s="6">
        <f t="shared" si="3"/>
        <v>3</v>
      </c>
      <c r="C54" s="70">
        <v>15.963013650000001</v>
      </c>
      <c r="D54" s="4">
        <v>7.2</v>
      </c>
      <c r="E54" s="12">
        <f t="shared" si="4"/>
        <v>0</v>
      </c>
      <c r="F54" s="12">
        <f t="shared" si="5"/>
        <v>7.2</v>
      </c>
      <c r="G54" s="16">
        <f t="shared" si="6"/>
        <v>64.23188169621325</v>
      </c>
      <c r="H54" s="14">
        <f t="shared" si="0"/>
        <v>2.8157673414268816</v>
      </c>
      <c r="I54" s="14">
        <f t="shared" si="7"/>
        <v>11.406647727883946</v>
      </c>
      <c r="J54" s="14">
        <f t="shared" si="8"/>
        <v>11.374619889817804</v>
      </c>
      <c r="K54" s="14">
        <f t="shared" si="11"/>
        <v>18.433881009300752</v>
      </c>
      <c r="L54" s="14">
        <f t="shared" si="12"/>
        <v>634.45062349274053</v>
      </c>
      <c r="M54" s="14">
        <f t="shared" si="1"/>
        <v>0.77720650471830233</v>
      </c>
      <c r="N54" s="14">
        <f t="shared" si="9"/>
        <v>19.88893034643711</v>
      </c>
      <c r="O54" s="4">
        <v>20.07</v>
      </c>
      <c r="P54" s="14">
        <f t="shared" si="10"/>
        <v>3.2786219441384989E-2</v>
      </c>
      <c r="Q54" s="14">
        <f t="shared" si="2"/>
        <v>183.23279855079141</v>
      </c>
      <c r="S54" s="39"/>
      <c r="T54" s="40"/>
    </row>
    <row r="55" spans="1:20" x14ac:dyDescent="0.25">
      <c r="A55" s="5" t="s">
        <v>112</v>
      </c>
      <c r="B55" s="6">
        <f t="shared" si="3"/>
        <v>3</v>
      </c>
      <c r="C55" s="70">
        <v>17.074131009999999</v>
      </c>
      <c r="D55" s="4">
        <v>1.5</v>
      </c>
      <c r="E55" s="12">
        <f t="shared" si="4"/>
        <v>0</v>
      </c>
      <c r="F55" s="12">
        <f t="shared" si="5"/>
        <v>1.5</v>
      </c>
      <c r="G55" s="16">
        <f t="shared" si="6"/>
        <v>52.886588886397703</v>
      </c>
      <c r="H55" s="14">
        <f t="shared" si="0"/>
        <v>0.55518790646781857</v>
      </c>
      <c r="I55" s="14">
        <f t="shared" si="7"/>
        <v>13.666014794972227</v>
      </c>
      <c r="J55" s="14">
        <f t="shared" si="8"/>
        <v>12.290104903347727</v>
      </c>
      <c r="K55" s="14">
        <f t="shared" si="11"/>
        <v>17.439322058145056</v>
      </c>
      <c r="L55" s="14">
        <f t="shared" si="12"/>
        <v>635.22316384564567</v>
      </c>
      <c r="M55" s="14">
        <f t="shared" si="1"/>
        <v>0.73854066460866674</v>
      </c>
      <c r="N55" s="14">
        <f t="shared" si="9"/>
        <v>18.899460757520394</v>
      </c>
      <c r="O55" s="4">
        <v>20.53</v>
      </c>
      <c r="P55" s="14">
        <f t="shared" si="10"/>
        <v>2.65865822126597</v>
      </c>
      <c r="Q55" s="14">
        <f t="shared" si="2"/>
        <v>195.89784147607878</v>
      </c>
      <c r="S55" s="39"/>
      <c r="T55" s="40"/>
    </row>
    <row r="56" spans="1:20" x14ac:dyDescent="0.25">
      <c r="A56" s="5" t="s">
        <v>113</v>
      </c>
      <c r="B56" s="6">
        <f t="shared" si="3"/>
        <v>3</v>
      </c>
      <c r="C56" s="70">
        <v>14.017099379999999</v>
      </c>
      <c r="D56" s="4">
        <v>0.2</v>
      </c>
      <c r="E56" s="12">
        <f t="shared" si="4"/>
        <v>0</v>
      </c>
      <c r="F56" s="12">
        <f t="shared" si="5"/>
        <v>0.2</v>
      </c>
      <c r="G56" s="16">
        <f t="shared" si="6"/>
        <v>47.503489170728479</v>
      </c>
      <c r="H56" s="14">
        <f t="shared" si="0"/>
        <v>6.6740015325076271E-2</v>
      </c>
      <c r="I56" s="14">
        <f t="shared" si="7"/>
        <v>7.4497888259447791</v>
      </c>
      <c r="J56" s="14">
        <f t="shared" si="8"/>
        <v>5.5163597003441538</v>
      </c>
      <c r="K56" s="14">
        <f t="shared" si="11"/>
        <v>16.044118304999021</v>
      </c>
      <c r="L56" s="14">
        <f t="shared" si="12"/>
        <v>635.94656694950811</v>
      </c>
      <c r="M56" s="14">
        <f t="shared" si="1"/>
        <v>0.68422204367784456</v>
      </c>
      <c r="N56" s="14">
        <f t="shared" si="9"/>
        <v>17.509432159394841</v>
      </c>
      <c r="O56" s="4">
        <v>18.39</v>
      </c>
      <c r="P56" s="14">
        <f t="shared" si="10"/>
        <v>0.77539972190803408</v>
      </c>
      <c r="Q56" s="14">
        <f t="shared" si="2"/>
        <v>140.57305917148105</v>
      </c>
      <c r="S56" s="39"/>
      <c r="T56" s="40"/>
    </row>
    <row r="57" spans="1:20" x14ac:dyDescent="0.25">
      <c r="A57" s="5" t="s">
        <v>114</v>
      </c>
      <c r="B57" s="6">
        <f t="shared" si="3"/>
        <v>3</v>
      </c>
      <c r="C57" s="70">
        <v>15.63336563</v>
      </c>
      <c r="D57" s="4">
        <v>0.2</v>
      </c>
      <c r="E57" s="12">
        <f t="shared" si="4"/>
        <v>0</v>
      </c>
      <c r="F57" s="12">
        <f t="shared" si="5"/>
        <v>0.2</v>
      </c>
      <c r="G57" s="16">
        <f t="shared" si="6"/>
        <v>40.499697719773138</v>
      </c>
      <c r="H57" s="14">
        <f t="shared" si="0"/>
        <v>6.3028260431305813E-2</v>
      </c>
      <c r="I57" s="14">
        <f t="shared" si="7"/>
        <v>10.736335205614594</v>
      </c>
      <c r="J57" s="14">
        <f t="shared" si="8"/>
        <v>7.140763190524039</v>
      </c>
      <c r="K57" s="14">
        <f t="shared" si="11"/>
        <v>14.768376188924462</v>
      </c>
      <c r="L57" s="14">
        <f t="shared" si="12"/>
        <v>636.60111528233608</v>
      </c>
      <c r="M57" s="14">
        <f t="shared" si="1"/>
        <v>0.63455287712677022</v>
      </c>
      <c r="N57" s="14">
        <f t="shared" si="9"/>
        <v>16.238384390362139</v>
      </c>
      <c r="O57" s="4">
        <v>15.96</v>
      </c>
      <c r="P57" s="14">
        <f t="shared" si="10"/>
        <v>7.7497868797299307E-2</v>
      </c>
      <c r="Q57" s="14">
        <f t="shared" si="2"/>
        <v>88.856093283549981</v>
      </c>
      <c r="S57" s="39"/>
      <c r="T57" s="40"/>
    </row>
    <row r="58" spans="1:20" x14ac:dyDescent="0.25">
      <c r="A58" s="5" t="s">
        <v>115</v>
      </c>
      <c r="B58" s="6">
        <f t="shared" si="3"/>
        <v>3</v>
      </c>
      <c r="C58" s="70">
        <v>14.141470910000001</v>
      </c>
      <c r="D58" s="4">
        <v>0</v>
      </c>
      <c r="E58" s="12">
        <f t="shared" si="4"/>
        <v>0</v>
      </c>
      <c r="F58" s="12">
        <f t="shared" si="5"/>
        <v>0</v>
      </c>
      <c r="G58" s="16">
        <f t="shared" si="6"/>
        <v>36.13195386816254</v>
      </c>
      <c r="H58" s="14">
        <f t="shared" si="0"/>
        <v>0</v>
      </c>
      <c r="I58" s="14">
        <f t="shared" si="7"/>
        <v>7.7026882487072736</v>
      </c>
      <c r="J58" s="14">
        <f t="shared" si="8"/>
        <v>4.3677438516105944</v>
      </c>
      <c r="K58" s="14">
        <f t="shared" si="11"/>
        <v>13.542232719675328</v>
      </c>
      <c r="L58" s="14">
        <f t="shared" si="12"/>
        <v>637.1927058744584</v>
      </c>
      <c r="M58" s="14">
        <f t="shared" si="1"/>
        <v>0.58680677121725933</v>
      </c>
      <c r="N58" s="14">
        <f t="shared" si="9"/>
        <v>15.016548277330561</v>
      </c>
      <c r="O58" s="4">
        <v>20.260000000000002</v>
      </c>
      <c r="P58" s="14">
        <f t="shared" si="10"/>
        <v>27.493785967965128</v>
      </c>
      <c r="Q58" s="14">
        <f t="shared" si="2"/>
        <v>188.41271193297536</v>
      </c>
      <c r="S58" s="39"/>
      <c r="T58" s="40"/>
    </row>
    <row r="59" spans="1:20" x14ac:dyDescent="0.25">
      <c r="A59" s="5" t="s">
        <v>116</v>
      </c>
      <c r="B59" s="6">
        <f t="shared" si="3"/>
        <v>3</v>
      </c>
      <c r="C59" s="70">
        <v>16.019004819999999</v>
      </c>
      <c r="D59" s="4">
        <v>0</v>
      </c>
      <c r="E59" s="12">
        <f t="shared" si="4"/>
        <v>0</v>
      </c>
      <c r="F59" s="12">
        <f t="shared" si="5"/>
        <v>0</v>
      </c>
      <c r="G59" s="16">
        <f t="shared" si="6"/>
        <v>30.303868828479278</v>
      </c>
      <c r="H59" s="14">
        <f t="shared" si="0"/>
        <v>0</v>
      </c>
      <c r="I59" s="14">
        <f t="shared" si="7"/>
        <v>11.520501232563001</v>
      </c>
      <c r="J59" s="14">
        <f t="shared" si="8"/>
        <v>5.8280850396832626</v>
      </c>
      <c r="K59" s="14">
        <f t="shared" si="11"/>
        <v>12.424337418339231</v>
      </c>
      <c r="L59" s="14">
        <f t="shared" si="12"/>
        <v>637.72379440457723</v>
      </c>
      <c r="M59" s="14">
        <f t="shared" si="1"/>
        <v>0.54327409328956977</v>
      </c>
      <c r="N59" s="14">
        <f t="shared" si="9"/>
        <v>13.902534956750449</v>
      </c>
      <c r="O59" s="4">
        <v>20.36</v>
      </c>
      <c r="P59" s="14">
        <f t="shared" si="10"/>
        <v>41.698854784789923</v>
      </c>
      <c r="Q59" s="14">
        <f t="shared" si="2"/>
        <v>191.16798213412471</v>
      </c>
      <c r="S59" s="39"/>
      <c r="T59" s="40"/>
    </row>
    <row r="60" spans="1:20" x14ac:dyDescent="0.25">
      <c r="A60" s="5" t="s">
        <v>117</v>
      </c>
      <c r="B60" s="6">
        <f t="shared" si="3"/>
        <v>3</v>
      </c>
      <c r="C60" s="70">
        <v>15.192344670000001</v>
      </c>
      <c r="D60" s="4">
        <v>2.2000000000000002</v>
      </c>
      <c r="E60" s="12">
        <f t="shared" si="4"/>
        <v>0</v>
      </c>
      <c r="F60" s="12">
        <f t="shared" si="5"/>
        <v>2.2000000000000002</v>
      </c>
      <c r="G60" s="16">
        <f t="shared" si="6"/>
        <v>27.783476437303261</v>
      </c>
      <c r="H60" s="14">
        <f t="shared" si="0"/>
        <v>0.54558362893974144</v>
      </c>
      <c r="I60" s="14">
        <f t="shared" si="7"/>
        <v>9.8395548394796819</v>
      </c>
      <c r="J60" s="14">
        <f t="shared" si="8"/>
        <v>4.1748087622362755</v>
      </c>
      <c r="K60" s="14">
        <f t="shared" si="11"/>
        <v>11.950717392820325</v>
      </c>
      <c r="L60" s="14">
        <f t="shared" si="12"/>
        <v>638.19972396574633</v>
      </c>
      <c r="M60" s="14">
        <f t="shared" si="1"/>
        <v>0.52488400534702928</v>
      </c>
      <c r="N60" s="14">
        <f t="shared" si="9"/>
        <v>13.431927497943077</v>
      </c>
      <c r="O60" s="4">
        <v>18.690000000000001</v>
      </c>
      <c r="P60" s="14">
        <f t="shared" si="10"/>
        <v>27.647326436887166</v>
      </c>
      <c r="Q60" s="14">
        <f t="shared" si="2"/>
        <v>147.77686977492934</v>
      </c>
    </row>
    <row r="61" spans="1:20" x14ac:dyDescent="0.25">
      <c r="A61" s="5" t="s">
        <v>118</v>
      </c>
      <c r="B61" s="6">
        <f t="shared" si="3"/>
        <v>3</v>
      </c>
      <c r="C61" s="70">
        <v>13.860508919999999</v>
      </c>
      <c r="D61" s="4">
        <v>10.5</v>
      </c>
      <c r="E61" s="12">
        <f t="shared" si="4"/>
        <v>0</v>
      </c>
      <c r="F61" s="12">
        <f t="shared" si="5"/>
        <v>10.5</v>
      </c>
      <c r="G61" s="16">
        <f t="shared" si="6"/>
        <v>33.023230649869006</v>
      </c>
      <c r="H61" s="14">
        <f t="shared" si="0"/>
        <v>2.4861407052166391</v>
      </c>
      <c r="I61" s="14">
        <f t="shared" si="7"/>
        <v>7.1313748211953563</v>
      </c>
      <c r="J61" s="14">
        <f t="shared" si="8"/>
        <v>2.7741050822176168</v>
      </c>
      <c r="K61" s="14">
        <f t="shared" si="11"/>
        <v>13.459467250427698</v>
      </c>
      <c r="L61" s="14">
        <f t="shared" si="12"/>
        <v>638.65223080800854</v>
      </c>
      <c r="M61" s="14">
        <f t="shared" si="1"/>
        <v>0.58388628963660472</v>
      </c>
      <c r="N61" s="14">
        <f t="shared" si="9"/>
        <v>14.941812342436725</v>
      </c>
      <c r="O61" s="4">
        <v>18.079999999999998</v>
      </c>
      <c r="P61" s="14">
        <f t="shared" si="10"/>
        <v>9.8482217740824645</v>
      </c>
      <c r="Q61" s="14">
        <f t="shared" si="2"/>
        <v>133.31822154791777</v>
      </c>
    </row>
    <row r="62" spans="1:20" x14ac:dyDescent="0.25">
      <c r="A62" s="5" t="s">
        <v>119</v>
      </c>
      <c r="B62" s="6">
        <f t="shared" si="3"/>
        <v>3</v>
      </c>
      <c r="C62" s="70">
        <v>16.254608149999999</v>
      </c>
      <c r="D62" s="4">
        <v>4.7</v>
      </c>
      <c r="E62" s="12">
        <f t="shared" si="4"/>
        <v>0</v>
      </c>
      <c r="F62" s="12">
        <f t="shared" si="5"/>
        <v>4.7</v>
      </c>
      <c r="G62" s="16">
        <f t="shared" si="6"/>
        <v>30.954874449012841</v>
      </c>
      <c r="H62" s="14">
        <f t="shared" si="0"/>
        <v>1.2201995342226464</v>
      </c>
      <c r="I62" s="14">
        <f t="shared" si="7"/>
        <v>11.999581502444062</v>
      </c>
      <c r="J62" s="14">
        <f t="shared" si="8"/>
        <v>5.5481566666335249</v>
      </c>
      <c r="K62" s="14">
        <f t="shared" si="11"/>
        <v>13.569078303957353</v>
      </c>
      <c r="L62" s="14">
        <f t="shared" si="12"/>
        <v>639.17893299906484</v>
      </c>
      <c r="M62" s="14">
        <f t="shared" si="1"/>
        <v>0.58827801877697306</v>
      </c>
      <c r="N62" s="14">
        <f t="shared" si="9"/>
        <v>15.054197911063511</v>
      </c>
      <c r="O62" s="4">
        <v>18.64</v>
      </c>
      <c r="P62" s="14">
        <f t="shared" si="10"/>
        <v>12.857976621021292</v>
      </c>
      <c r="Q62" s="14">
        <f t="shared" si="2"/>
        <v>146.56373467435461</v>
      </c>
    </row>
    <row r="63" spans="1:20" x14ac:dyDescent="0.25">
      <c r="A63" s="5" t="s">
        <v>120</v>
      </c>
      <c r="B63" s="6">
        <f t="shared" si="3"/>
        <v>3</v>
      </c>
      <c r="C63" s="70">
        <v>15.763070109999999</v>
      </c>
      <c r="D63" s="4">
        <v>1.1000000000000001</v>
      </c>
      <c r="E63" s="12">
        <f t="shared" si="4"/>
        <v>0</v>
      </c>
      <c r="F63" s="12">
        <f t="shared" si="5"/>
        <v>1.1000000000000001</v>
      </c>
      <c r="G63" s="16">
        <f t="shared" si="6"/>
        <v>27.011505061516679</v>
      </c>
      <c r="H63" s="14">
        <f t="shared" si="0"/>
        <v>0.27590014932145901</v>
      </c>
      <c r="I63" s="14">
        <f t="shared" si="7"/>
        <v>11.000078749830131</v>
      </c>
      <c r="J63" s="14">
        <f t="shared" si="8"/>
        <v>4.7674692381747059</v>
      </c>
      <c r="K63" s="14">
        <f t="shared" si="11"/>
        <v>12.724713131314653</v>
      </c>
      <c r="L63" s="14">
        <f t="shared" si="12"/>
        <v>639.71092030225202</v>
      </c>
      <c r="M63" s="14">
        <f t="shared" si="1"/>
        <v>0.55542492698036083</v>
      </c>
      <c r="N63" s="14">
        <f t="shared" si="9"/>
        <v>14.213478166129374</v>
      </c>
      <c r="O63" s="4">
        <v>18.25</v>
      </c>
      <c r="P63" s="14">
        <f t="shared" si="10"/>
        <v>16.293508515314283</v>
      </c>
      <c r="Q63" s="14">
        <f t="shared" si="2"/>
        <v>137.27288088987183</v>
      </c>
    </row>
    <row r="64" spans="1:20" x14ac:dyDescent="0.25">
      <c r="A64" s="5" t="s">
        <v>121</v>
      </c>
      <c r="B64" s="6">
        <f t="shared" si="3"/>
        <v>3</v>
      </c>
      <c r="C64" s="70">
        <v>17.026670459999998</v>
      </c>
      <c r="D64" s="4">
        <v>1.1000000000000001</v>
      </c>
      <c r="E64" s="12">
        <f t="shared" si="4"/>
        <v>0</v>
      </c>
      <c r="F64" s="12">
        <f t="shared" si="5"/>
        <v>1.1000000000000001</v>
      </c>
      <c r="G64" s="16">
        <f t="shared" si="6"/>
        <v>22.723061811476857</v>
      </c>
      <c r="H64" s="14">
        <f t="shared" si="0"/>
        <v>0.2565698888618726</v>
      </c>
      <c r="I64" s="14">
        <f t="shared" si="7"/>
        <v>13.569507614438303</v>
      </c>
      <c r="J64" s="14">
        <f t="shared" si="8"/>
        <v>5.1318733611779512</v>
      </c>
      <c r="K64" s="14">
        <f t="shared" si="11"/>
        <v>11.935561163378086</v>
      </c>
      <c r="L64" s="14">
        <f t="shared" si="12"/>
        <v>640.20121723207001</v>
      </c>
      <c r="M64" s="14">
        <f t="shared" si="1"/>
        <v>0.52471863466211544</v>
      </c>
      <c r="N64" s="14">
        <f t="shared" si="9"/>
        <v>13.427695616179829</v>
      </c>
      <c r="O64" s="4">
        <v>17.32</v>
      </c>
      <c r="P64" s="14">
        <f t="shared" si="10"/>
        <v>15.150033416305725</v>
      </c>
      <c r="Q64" s="14">
        <f t="shared" si="2"/>
        <v>116.34536801918217</v>
      </c>
    </row>
    <row r="65" spans="1:17" x14ac:dyDescent="0.25">
      <c r="A65" s="5" t="s">
        <v>122</v>
      </c>
      <c r="B65" s="6">
        <f t="shared" si="3"/>
        <v>3</v>
      </c>
      <c r="C65" s="70">
        <v>17.428184510000001</v>
      </c>
      <c r="D65" s="4">
        <v>2.5</v>
      </c>
      <c r="E65" s="12">
        <f t="shared" si="4"/>
        <v>0</v>
      </c>
      <c r="F65" s="12">
        <f t="shared" si="5"/>
        <v>2.5</v>
      </c>
      <c r="G65" s="16">
        <f t="shared" si="6"/>
        <v>20.114413924646094</v>
      </c>
      <c r="H65" s="14">
        <f t="shared" si="0"/>
        <v>0.53177794134098533</v>
      </c>
      <c r="I65" s="14">
        <f t="shared" si="7"/>
        <v>14.385953882133414</v>
      </c>
      <c r="J65" s="14">
        <f t="shared" si="8"/>
        <v>4.5768699454897774</v>
      </c>
      <c r="K65" s="14">
        <f t="shared" si="11"/>
        <v>11.491286301238196</v>
      </c>
      <c r="L65" s="14">
        <f t="shared" si="12"/>
        <v>640.6525514008888</v>
      </c>
      <c r="M65" s="14">
        <f t="shared" si="1"/>
        <v>0.50746902593481236</v>
      </c>
      <c r="N65" s="14">
        <f t="shared" si="9"/>
        <v>12.986273337290161</v>
      </c>
      <c r="O65" s="4">
        <v>18.37</v>
      </c>
      <c r="P65" s="14">
        <f t="shared" si="10"/>
        <v>28.984512778772832</v>
      </c>
      <c r="Q65" s="14">
        <f t="shared" si="2"/>
        <v>140.09920513125118</v>
      </c>
    </row>
    <row r="66" spans="1:17" x14ac:dyDescent="0.25">
      <c r="A66" s="5" t="s">
        <v>123</v>
      </c>
      <c r="B66" s="6">
        <f t="shared" si="3"/>
        <v>3</v>
      </c>
      <c r="C66" s="70">
        <v>16.75618553</v>
      </c>
      <c r="D66" s="4">
        <v>0</v>
      </c>
      <c r="E66" s="12">
        <f t="shared" si="4"/>
        <v>0</v>
      </c>
      <c r="F66" s="12">
        <f t="shared" si="5"/>
        <v>0</v>
      </c>
      <c r="G66" s="16">
        <f t="shared" si="6"/>
        <v>16.447804122114587</v>
      </c>
      <c r="H66" s="14">
        <f t="shared" si="0"/>
        <v>0</v>
      </c>
      <c r="I66" s="14">
        <f t="shared" si="7"/>
        <v>13.019498439002795</v>
      </c>
      <c r="J66" s="14">
        <f t="shared" si="8"/>
        <v>3.6666098025315077</v>
      </c>
      <c r="K66" s="14">
        <f t="shared" si="11"/>
        <v>10.554455612528205</v>
      </c>
      <c r="L66" s="14">
        <f t="shared" si="12"/>
        <v>641.08191306366405</v>
      </c>
      <c r="M66" s="14">
        <f t="shared" si="1"/>
        <v>0.47098395523300279</v>
      </c>
      <c r="N66" s="14">
        <f t="shared" si="9"/>
        <v>12.052610243288994</v>
      </c>
      <c r="O66" s="4">
        <v>22.26</v>
      </c>
      <c r="P66" s="14">
        <f t="shared" si="10"/>
        <v>104.1908056454088</v>
      </c>
      <c r="Q66" s="14">
        <f t="shared" si="2"/>
        <v>247.31811595596389</v>
      </c>
    </row>
    <row r="67" spans="1:17" x14ac:dyDescent="0.25">
      <c r="A67" s="5" t="s">
        <v>124</v>
      </c>
      <c r="B67" s="6">
        <f t="shared" si="3"/>
        <v>3</v>
      </c>
      <c r="C67" s="70">
        <v>17.12905121</v>
      </c>
      <c r="D67" s="4">
        <v>0</v>
      </c>
      <c r="E67" s="12">
        <f t="shared" si="4"/>
        <v>0</v>
      </c>
      <c r="F67" s="12">
        <f t="shared" si="5"/>
        <v>0</v>
      </c>
      <c r="G67" s="16">
        <f t="shared" si="6"/>
        <v>13.274969686714275</v>
      </c>
      <c r="H67" s="14">
        <f t="shared" si="0"/>
        <v>0</v>
      </c>
      <c r="I67" s="14">
        <f t="shared" si="7"/>
        <v>13.777690568985788</v>
      </c>
      <c r="J67" s="14">
        <f t="shared" si="8"/>
        <v>3.1728344354003113</v>
      </c>
      <c r="K67" s="14">
        <f t="shared" si="11"/>
        <v>9.700331563164152</v>
      </c>
      <c r="L67" s="14">
        <f t="shared" si="12"/>
        <v>641.46505315779507</v>
      </c>
      <c r="M67" s="14">
        <f t="shared" si="1"/>
        <v>0.43771814067604886</v>
      </c>
      <c r="N67" s="14">
        <f t="shared" si="9"/>
        <v>11.2013288082725</v>
      </c>
      <c r="O67" s="4">
        <v>19.760000000000002</v>
      </c>
      <c r="P67" s="14">
        <f t="shared" si="10"/>
        <v>73.250852568106254</v>
      </c>
      <c r="Q67" s="14">
        <f t="shared" si="2"/>
        <v>174.93636092722821</v>
      </c>
    </row>
    <row r="68" spans="1:17" x14ac:dyDescent="0.25">
      <c r="A68" s="5" t="s">
        <v>125</v>
      </c>
      <c r="B68" s="6">
        <f t="shared" si="3"/>
        <v>3</v>
      </c>
      <c r="C68" s="70">
        <v>14.23642731</v>
      </c>
      <c r="D68" s="4">
        <v>0</v>
      </c>
      <c r="E68" s="12">
        <f t="shared" si="4"/>
        <v>0</v>
      </c>
      <c r="F68" s="12">
        <f t="shared" si="5"/>
        <v>0</v>
      </c>
      <c r="G68" s="16">
        <f t="shared" si="6"/>
        <v>11.807425025523965</v>
      </c>
      <c r="H68" s="14">
        <f t="shared" si="0"/>
        <v>0</v>
      </c>
      <c r="I68" s="14">
        <f t="shared" si="7"/>
        <v>7.8957743894631527</v>
      </c>
      <c r="J68" s="14">
        <f t="shared" si="8"/>
        <v>1.4675446611903089</v>
      </c>
      <c r="K68" s="14">
        <f t="shared" si="11"/>
        <v>8.9216125262092429</v>
      </c>
      <c r="L68" s="14">
        <f t="shared" si="12"/>
        <v>641.80605405407402</v>
      </c>
      <c r="M68" s="14">
        <f t="shared" si="1"/>
        <v>0.40738737562277499</v>
      </c>
      <c r="N68" s="14">
        <f t="shared" si="9"/>
        <v>10.425156105346709</v>
      </c>
      <c r="O68" s="4">
        <v>18.579999999999998</v>
      </c>
      <c r="P68" s="14">
        <f t="shared" si="10"/>
        <v>66.501478946164042</v>
      </c>
      <c r="Q68" s="14">
        <f t="shared" si="2"/>
        <v>145.11457255366489</v>
      </c>
    </row>
    <row r="69" spans="1:17" x14ac:dyDescent="0.25">
      <c r="A69" s="5" t="s">
        <v>126</v>
      </c>
      <c r="B69" s="6">
        <f t="shared" si="3"/>
        <v>3</v>
      </c>
      <c r="C69" s="70">
        <v>14.283098219999999</v>
      </c>
      <c r="D69" s="4">
        <v>0</v>
      </c>
      <c r="E69" s="12">
        <f t="shared" si="4"/>
        <v>0</v>
      </c>
      <c r="F69" s="12">
        <f t="shared" si="5"/>
        <v>0</v>
      </c>
      <c r="G69" s="16">
        <f t="shared" si="6"/>
        <v>10.48642820880063</v>
      </c>
      <c r="H69" s="14">
        <f t="shared" si="0"/>
        <v>0</v>
      </c>
      <c r="I69" s="14">
        <f t="shared" si="7"/>
        <v>7.9906759010775872</v>
      </c>
      <c r="J69" s="14">
        <f t="shared" si="8"/>
        <v>1.3209968167233348</v>
      </c>
      <c r="K69" s="14">
        <f t="shared" si="11"/>
        <v>8.2116414874971451</v>
      </c>
      <c r="L69" s="14">
        <f t="shared" si="12"/>
        <v>642.10863771716333</v>
      </c>
      <c r="M69" s="14">
        <f t="shared" si="1"/>
        <v>0.37973254417292523</v>
      </c>
      <c r="N69" s="14">
        <f t="shared" si="9"/>
        <v>9.7174612866474277</v>
      </c>
      <c r="O69" s="4">
        <v>16.12</v>
      </c>
      <c r="P69" s="14">
        <f t="shared" si="10"/>
        <v>40.992501975978428</v>
      </c>
      <c r="Q69" s="14">
        <f t="shared" si="2"/>
        <v>91.898125605389069</v>
      </c>
    </row>
    <row r="70" spans="1:17" x14ac:dyDescent="0.25">
      <c r="A70" s="5" t="s">
        <v>127</v>
      </c>
      <c r="B70" s="6">
        <f t="shared" si="3"/>
        <v>3</v>
      </c>
      <c r="C70" s="70">
        <v>13.519224169999999</v>
      </c>
      <c r="D70" s="4">
        <v>0</v>
      </c>
      <c r="E70" s="12">
        <f t="shared" si="4"/>
        <v>0</v>
      </c>
      <c r="F70" s="12">
        <f t="shared" si="5"/>
        <v>0</v>
      </c>
      <c r="G70" s="16">
        <f t="shared" si="6"/>
        <v>9.5412773382413061</v>
      </c>
      <c r="H70" s="14">
        <f t="shared" si="0"/>
        <v>0</v>
      </c>
      <c r="I70" s="14">
        <f t="shared" si="7"/>
        <v>6.4373999519255092</v>
      </c>
      <c r="J70" s="14">
        <f t="shared" si="8"/>
        <v>0.94515087055932434</v>
      </c>
      <c r="K70" s="14">
        <f t="shared" si="11"/>
        <v>7.5643491369967641</v>
      </c>
      <c r="L70" s="14">
        <f t="shared" si="12"/>
        <v>642.37619752349076</v>
      </c>
      <c r="M70" s="14">
        <f t="shared" si="1"/>
        <v>0.35451740607015053</v>
      </c>
      <c r="N70" s="14">
        <f t="shared" si="9"/>
        <v>9.0721988983923936</v>
      </c>
      <c r="O70" s="4">
        <v>14.42</v>
      </c>
      <c r="P70" s="14">
        <f t="shared" si="10"/>
        <v>28.598976622355529</v>
      </c>
      <c r="Q70" s="14">
        <f t="shared" si="2"/>
        <v>62.194532185848786</v>
      </c>
    </row>
    <row r="71" spans="1:17" x14ac:dyDescent="0.25">
      <c r="A71" s="5" t="s">
        <v>128</v>
      </c>
      <c r="B71" s="6">
        <f t="shared" si="3"/>
        <v>3</v>
      </c>
      <c r="C71" s="70">
        <v>16.899753570000001</v>
      </c>
      <c r="D71" s="4">
        <v>1.7</v>
      </c>
      <c r="E71" s="12">
        <f t="shared" si="4"/>
        <v>0</v>
      </c>
      <c r="F71" s="12">
        <f t="shared" si="5"/>
        <v>1.7</v>
      </c>
      <c r="G71" s="16">
        <f t="shared" si="6"/>
        <v>9.2353265075043627</v>
      </c>
      <c r="H71" s="14">
        <f t="shared" si="0"/>
        <v>0.22769447610063356</v>
      </c>
      <c r="I71" s="14">
        <f t="shared" si="7"/>
        <v>13.311432408482327</v>
      </c>
      <c r="J71" s="14">
        <f t="shared" si="8"/>
        <v>1.7782563546363088</v>
      </c>
      <c r="K71" s="14">
        <f t="shared" si="11"/>
        <v>7.2018964603679567</v>
      </c>
      <c r="L71" s="14">
        <f t="shared" si="12"/>
        <v>642.61182727015</v>
      </c>
      <c r="M71" s="14">
        <f t="shared" si="1"/>
        <v>0.34041641750803736</v>
      </c>
      <c r="N71" s="14">
        <f t="shared" si="9"/>
        <v>8.7113506841466499</v>
      </c>
      <c r="O71" s="4">
        <v>15.01</v>
      </c>
      <c r="P71" s="14">
        <f t="shared" si="10"/>
        <v>39.672983204099872</v>
      </c>
      <c r="Q71" s="14">
        <f t="shared" si="2"/>
        <v>71.848526372630388</v>
      </c>
    </row>
    <row r="72" spans="1:17" x14ac:dyDescent="0.25">
      <c r="A72" s="5" t="s">
        <v>129</v>
      </c>
      <c r="B72" s="6">
        <f t="shared" si="3"/>
        <v>3</v>
      </c>
      <c r="C72" s="70">
        <v>14.069246290000001</v>
      </c>
      <c r="D72" s="4">
        <v>0</v>
      </c>
      <c r="E72" s="12">
        <f t="shared" si="4"/>
        <v>0</v>
      </c>
      <c r="F72" s="12">
        <f t="shared" si="5"/>
        <v>0</v>
      </c>
      <c r="G72" s="16">
        <f t="shared" si="6"/>
        <v>8.2583205258052654</v>
      </c>
      <c r="H72" s="14">
        <f t="shared" si="0"/>
        <v>0</v>
      </c>
      <c r="I72" s="14">
        <f t="shared" si="7"/>
        <v>7.5558253395894051</v>
      </c>
      <c r="J72" s="14">
        <f t="shared" si="8"/>
        <v>0.97700598169909758</v>
      </c>
      <c r="K72" s="14">
        <f t="shared" si="11"/>
        <v>6.6437478781029276</v>
      </c>
      <c r="L72" s="14">
        <f t="shared" si="12"/>
        <v>642.82955943490708</v>
      </c>
      <c r="M72" s="14">
        <f t="shared" si="1"/>
        <v>0.31867109119143033</v>
      </c>
      <c r="N72" s="14">
        <f t="shared" si="9"/>
        <v>8.1548817433362562</v>
      </c>
      <c r="O72" s="4">
        <v>15.39</v>
      </c>
      <c r="P72" s="14">
        <f t="shared" si="10"/>
        <v>52.346936187909023</v>
      </c>
      <c r="Q72" s="14">
        <f t="shared" si="2"/>
        <v>78.434953136998246</v>
      </c>
    </row>
    <row r="73" spans="1:17" x14ac:dyDescent="0.25">
      <c r="A73" s="5" t="s">
        <v>130</v>
      </c>
      <c r="B73" s="6">
        <f t="shared" si="3"/>
        <v>3</v>
      </c>
      <c r="C73" s="70">
        <v>15.32808971</v>
      </c>
      <c r="D73" s="4">
        <v>0</v>
      </c>
      <c r="E73" s="12">
        <f t="shared" si="4"/>
        <v>0</v>
      </c>
      <c r="F73" s="12">
        <f t="shared" si="5"/>
        <v>0</v>
      </c>
      <c r="G73" s="16">
        <f t="shared" si="6"/>
        <v>7.0886982223587731</v>
      </c>
      <c r="H73" s="14">
        <f t="shared" si="0"/>
        <v>0</v>
      </c>
      <c r="I73" s="14">
        <f t="shared" si="7"/>
        <v>10.115581372713383</v>
      </c>
      <c r="J73" s="14">
        <f t="shared" si="8"/>
        <v>1.1696223034464925</v>
      </c>
      <c r="K73" s="14">
        <f t="shared" si="11"/>
        <v>6.1348745747662674</v>
      </c>
      <c r="L73" s="14">
        <f t="shared" si="12"/>
        <v>643.01976164705229</v>
      </c>
      <c r="M73" s="14">
        <f t="shared" si="1"/>
        <v>0.29884374738067676</v>
      </c>
      <c r="N73" s="14">
        <f t="shared" si="9"/>
        <v>7.647494507623569</v>
      </c>
      <c r="O73" s="4">
        <v>13.2</v>
      </c>
      <c r="P73" s="14">
        <f t="shared" si="10"/>
        <v>30.830317242870425</v>
      </c>
      <c r="Q73" s="14">
        <f t="shared" si="2"/>
        <v>44.44023573182578</v>
      </c>
    </row>
    <row r="74" spans="1:17" x14ac:dyDescent="0.25">
      <c r="A74" s="5" t="s">
        <v>131</v>
      </c>
      <c r="B74" s="6">
        <f t="shared" si="3"/>
        <v>3</v>
      </c>
      <c r="C74" s="70">
        <v>14.40535259</v>
      </c>
      <c r="D74" s="4">
        <v>0</v>
      </c>
      <c r="E74" s="12">
        <f t="shared" si="4"/>
        <v>0</v>
      </c>
      <c r="F74" s="12">
        <f t="shared" si="5"/>
        <v>0</v>
      </c>
      <c r="G74" s="16">
        <f t="shared" si="6"/>
        <v>6.2709524746109482</v>
      </c>
      <c r="H74" s="14">
        <f t="shared" si="0"/>
        <v>0</v>
      </c>
      <c r="I74" s="14">
        <f t="shared" si="7"/>
        <v>8.2392702506300282</v>
      </c>
      <c r="J74" s="14">
        <f t="shared" si="8"/>
        <v>0.81774574774782516</v>
      </c>
      <c r="K74" s="14">
        <f t="shared" si="11"/>
        <v>5.6709263590458061</v>
      </c>
      <c r="L74" s="14">
        <f t="shared" si="12"/>
        <v>643.18486611539208</v>
      </c>
      <c r="M74" s="14">
        <f t="shared" si="1"/>
        <v>0.28076506035225035</v>
      </c>
      <c r="N74" s="14">
        <f t="shared" si="9"/>
        <v>7.1848558847086288</v>
      </c>
      <c r="O74" s="4">
        <v>11.38</v>
      </c>
      <c r="P74" s="14">
        <f t="shared" si="10"/>
        <v>17.599234148063829</v>
      </c>
      <c r="Q74" s="14">
        <f t="shared" si="2"/>
        <v>23.487118070906238</v>
      </c>
    </row>
    <row r="75" spans="1:17" x14ac:dyDescent="0.25">
      <c r="A75" s="5" t="s">
        <v>132</v>
      </c>
      <c r="B75" s="6">
        <f t="shared" si="3"/>
        <v>4</v>
      </c>
      <c r="C75" s="70">
        <v>16.04876518</v>
      </c>
      <c r="D75" s="4">
        <v>3.6</v>
      </c>
      <c r="E75" s="12">
        <f t="shared" si="4"/>
        <v>0</v>
      </c>
      <c r="F75" s="12">
        <f t="shared" si="5"/>
        <v>3.6</v>
      </c>
      <c r="G75" s="16">
        <f t="shared" si="6"/>
        <v>8.5854457160821518</v>
      </c>
      <c r="H75" s="14">
        <f t="shared" si="0"/>
        <v>0.38551812320090406</v>
      </c>
      <c r="I75" s="14">
        <f t="shared" si="7"/>
        <v>10.250391610292825</v>
      </c>
      <c r="J75" s="14">
        <f t="shared" si="8"/>
        <v>0.89998863532789186</v>
      </c>
      <c r="K75" s="14">
        <f t="shared" si="11"/>
        <v>5.6334552126999924</v>
      </c>
      <c r="L75" s="14">
        <f t="shared" si="12"/>
        <v>643.32709032458649</v>
      </c>
      <c r="M75" s="14">
        <f t="shared" si="1"/>
        <v>0.27933237772303465</v>
      </c>
      <c r="N75" s="14">
        <f t="shared" si="9"/>
        <v>7.148193138259602</v>
      </c>
      <c r="O75" s="4">
        <v>11.17</v>
      </c>
      <c r="P75" s="14">
        <f t="shared" si="10"/>
        <v>16.174930433142148</v>
      </c>
      <c r="Q75" s="14">
        <f t="shared" si="2"/>
        <v>21.495750648492436</v>
      </c>
    </row>
    <row r="76" spans="1:17" x14ac:dyDescent="0.25">
      <c r="A76" s="5" t="s">
        <v>133</v>
      </c>
      <c r="B76" s="6">
        <f t="shared" si="3"/>
        <v>4</v>
      </c>
      <c r="C76" s="70">
        <v>13.902050020000001</v>
      </c>
      <c r="D76" s="4">
        <v>0</v>
      </c>
      <c r="E76" s="12">
        <f t="shared" si="4"/>
        <v>0</v>
      </c>
      <c r="F76" s="12">
        <f t="shared" si="5"/>
        <v>0</v>
      </c>
      <c r="G76" s="16">
        <f t="shared" si="6"/>
        <v>7.8598840657836035</v>
      </c>
      <c r="H76" s="14">
        <f t="shared" si="0"/>
        <v>0</v>
      </c>
      <c r="I76" s="14">
        <f t="shared" si="7"/>
        <v>6.0359886579468229</v>
      </c>
      <c r="J76" s="14">
        <f t="shared" si="8"/>
        <v>0.72556165029854836</v>
      </c>
      <c r="K76" s="14">
        <f t="shared" si="11"/>
        <v>5.2137740249913804</v>
      </c>
      <c r="L76" s="14">
        <f t="shared" si="12"/>
        <v>643.46743913457203</v>
      </c>
      <c r="M76" s="14">
        <f t="shared" si="1"/>
        <v>0.26297672783055714</v>
      </c>
      <c r="N76" s="14">
        <f t="shared" si="9"/>
        <v>6.7296475142750207</v>
      </c>
      <c r="O76" s="4">
        <v>12.4</v>
      </c>
      <c r="P76" s="14">
        <f t="shared" si="10"/>
        <v>32.152897312367458</v>
      </c>
      <c r="Q76" s="14">
        <f t="shared" si="2"/>
        <v>34.414074122630382</v>
      </c>
    </row>
    <row r="77" spans="1:17" x14ac:dyDescent="0.25">
      <c r="A77" s="5" t="s">
        <v>134</v>
      </c>
      <c r="B77" s="6">
        <f t="shared" si="3"/>
        <v>4</v>
      </c>
      <c r="C77" s="70">
        <v>16.45782852</v>
      </c>
      <c r="D77" s="4">
        <v>0</v>
      </c>
      <c r="E77" s="12">
        <f t="shared" si="4"/>
        <v>0</v>
      </c>
      <c r="F77" s="12">
        <f t="shared" si="5"/>
        <v>0</v>
      </c>
      <c r="G77" s="16">
        <f t="shared" si="6"/>
        <v>6.643481246789829</v>
      </c>
      <c r="H77" s="14">
        <f t="shared" si="0"/>
        <v>0</v>
      </c>
      <c r="I77" s="14">
        <f t="shared" si="7"/>
        <v>11.053459376298875</v>
      </c>
      <c r="J77" s="14">
        <f t="shared" si="8"/>
        <v>1.216402818993775</v>
      </c>
      <c r="K77" s="14">
        <f t="shared" si="11"/>
        <v>4.8311437377820754</v>
      </c>
      <c r="L77" s="14">
        <f t="shared" si="12"/>
        <v>643.58709269395081</v>
      </c>
      <c r="M77" s="14">
        <f t="shared" si="1"/>
        <v>0.24806324189498338</v>
      </c>
      <c r="N77" s="14">
        <f t="shared" si="9"/>
        <v>6.3480072665487066</v>
      </c>
      <c r="O77" s="4">
        <v>10.87</v>
      </c>
      <c r="P77" s="14">
        <f t="shared" si="10"/>
        <v>20.448418281386292</v>
      </c>
      <c r="Q77" s="14">
        <f t="shared" si="2"/>
        <v>18.803940045044151</v>
      </c>
    </row>
    <row r="78" spans="1:17" x14ac:dyDescent="0.25">
      <c r="A78" s="5" t="s">
        <v>135</v>
      </c>
      <c r="B78" s="6">
        <f t="shared" si="3"/>
        <v>4</v>
      </c>
      <c r="C78" s="70">
        <v>17.09195137</v>
      </c>
      <c r="D78" s="4">
        <v>0</v>
      </c>
      <c r="E78" s="12">
        <f t="shared" si="4"/>
        <v>0</v>
      </c>
      <c r="F78" s="12">
        <f t="shared" si="5"/>
        <v>0</v>
      </c>
      <c r="G78" s="16">
        <f t="shared" si="6"/>
        <v>5.4995339693216279</v>
      </c>
      <c r="H78" s="14">
        <f t="shared" si="0"/>
        <v>0</v>
      </c>
      <c r="I78" s="14">
        <f t="shared" si="7"/>
        <v>12.298361010659187</v>
      </c>
      <c r="J78" s="14">
        <f t="shared" si="8"/>
        <v>1.1439472774682009</v>
      </c>
      <c r="K78" s="14">
        <f t="shared" si="11"/>
        <v>4.482293369984494</v>
      </c>
      <c r="L78" s="14">
        <f t="shared" si="12"/>
        <v>643.68787981985338</v>
      </c>
      <c r="M78" s="14">
        <f t="shared" si="1"/>
        <v>0.23446460109271844</v>
      </c>
      <c r="N78" s="14">
        <f t="shared" si="9"/>
        <v>6.0000142710185234</v>
      </c>
      <c r="O78" s="4">
        <v>9.15</v>
      </c>
      <c r="P78" s="14">
        <f t="shared" si="10"/>
        <v>9.9224100927869667</v>
      </c>
      <c r="Q78" s="14">
        <f t="shared" si="2"/>
        <v>6.8452925852740263</v>
      </c>
    </row>
    <row r="79" spans="1:17" x14ac:dyDescent="0.25">
      <c r="A79" s="5" t="s">
        <v>136</v>
      </c>
      <c r="B79" s="6">
        <f t="shared" si="3"/>
        <v>4</v>
      </c>
      <c r="C79" s="70">
        <v>15.144786829999999</v>
      </c>
      <c r="D79" s="4">
        <v>0</v>
      </c>
      <c r="E79" s="12">
        <f t="shared" si="4"/>
        <v>0</v>
      </c>
      <c r="F79" s="12">
        <f t="shared" si="5"/>
        <v>0</v>
      </c>
      <c r="G79" s="16">
        <f t="shared" si="6"/>
        <v>4.8469067239830572</v>
      </c>
      <c r="H79" s="14">
        <f t="shared" si="0"/>
        <v>0</v>
      </c>
      <c r="I79" s="14">
        <f t="shared" si="7"/>
        <v>8.4757132095044927</v>
      </c>
      <c r="J79" s="14">
        <f t="shared" si="8"/>
        <v>0.65262724533857064</v>
      </c>
      <c r="K79" s="14">
        <f t="shared" si="11"/>
        <v>4.1642407139856799</v>
      </c>
      <c r="L79" s="14">
        <f t="shared" si="12"/>
        <v>643.77146787475942</v>
      </c>
      <c r="M79" s="14">
        <f t="shared" si="1"/>
        <v>0.22206472674427946</v>
      </c>
      <c r="N79" s="14">
        <f t="shared" si="9"/>
        <v>5.6826980420324293</v>
      </c>
      <c r="O79" s="4">
        <v>7.66</v>
      </c>
      <c r="P79" s="14">
        <f t="shared" si="10"/>
        <v>3.9097230329823893</v>
      </c>
      <c r="Q79" s="14">
        <f t="shared" si="2"/>
        <v>1.2686665881475743</v>
      </c>
    </row>
    <row r="80" spans="1:17" x14ac:dyDescent="0.25">
      <c r="A80" s="5" t="s">
        <v>137</v>
      </c>
      <c r="B80" s="6">
        <f t="shared" si="3"/>
        <v>4</v>
      </c>
      <c r="C80" s="70">
        <v>13.498634340000001</v>
      </c>
      <c r="D80" s="4">
        <v>0</v>
      </c>
      <c r="E80" s="12">
        <f t="shared" si="4"/>
        <v>0</v>
      </c>
      <c r="F80" s="12">
        <f t="shared" si="5"/>
        <v>0</v>
      </c>
      <c r="G80" s="16">
        <f t="shared" si="6"/>
        <v>4.4910369593848962</v>
      </c>
      <c r="H80" s="14">
        <f t="shared" si="0"/>
        <v>0</v>
      </c>
      <c r="I80" s="14">
        <f t="shared" si="7"/>
        <v>5.2440083037322145</v>
      </c>
      <c r="J80" s="14">
        <f t="shared" si="8"/>
        <v>0.35586976459816094</v>
      </c>
      <c r="K80" s="14">
        <f t="shared" si="11"/>
        <v>3.8742668417305262</v>
      </c>
      <c r="L80" s="14">
        <f t="shared" si="12"/>
        <v>643.83937702027026</v>
      </c>
      <c r="M80" s="14">
        <f t="shared" si="1"/>
        <v>0.21075778799566627</v>
      </c>
      <c r="N80" s="14">
        <f t="shared" si="9"/>
        <v>5.3933503386390989</v>
      </c>
      <c r="O80" s="4">
        <v>6.53</v>
      </c>
      <c r="P80" s="14">
        <f t="shared" si="10"/>
        <v>1.2919724526718519</v>
      </c>
      <c r="Q80" s="14">
        <f t="shared" si="2"/>
        <v>1.3315159057467896E-5</v>
      </c>
    </row>
    <row r="81" spans="1:17" x14ac:dyDescent="0.25">
      <c r="A81" s="5" t="s">
        <v>138</v>
      </c>
      <c r="B81" s="6">
        <f t="shared" si="3"/>
        <v>4</v>
      </c>
      <c r="C81" s="70">
        <v>16.508287429999999</v>
      </c>
      <c r="D81" s="4">
        <v>0</v>
      </c>
      <c r="E81" s="12">
        <f t="shared" si="4"/>
        <v>0</v>
      </c>
      <c r="F81" s="12">
        <f t="shared" si="5"/>
        <v>0</v>
      </c>
      <c r="G81" s="16">
        <f t="shared" si="6"/>
        <v>3.7897711190175238</v>
      </c>
      <c r="H81" s="14">
        <f t="shared" si="0"/>
        <v>0</v>
      </c>
      <c r="I81" s="14">
        <f t="shared" si="7"/>
        <v>11.152519644395253</v>
      </c>
      <c r="J81" s="14">
        <f t="shared" si="8"/>
        <v>0.70126584036737238</v>
      </c>
      <c r="K81" s="14">
        <f t="shared" si="11"/>
        <v>3.6098928614957502</v>
      </c>
      <c r="L81" s="14">
        <f t="shared" si="12"/>
        <v>643.8929932125094</v>
      </c>
      <c r="M81" s="14">
        <f t="shared" si="1"/>
        <v>0.2004472971050372</v>
      </c>
      <c r="N81" s="14">
        <f t="shared" si="9"/>
        <v>5.1295020127226527</v>
      </c>
      <c r="O81" s="4">
        <v>6.05</v>
      </c>
      <c r="P81" s="14">
        <f t="shared" si="10"/>
        <v>0.84731654458164707</v>
      </c>
      <c r="Q81" s="14">
        <f t="shared" si="2"/>
        <v>0.23391634964181171</v>
      </c>
    </row>
    <row r="82" spans="1:17" x14ac:dyDescent="0.25">
      <c r="A82" s="5" t="s">
        <v>139</v>
      </c>
      <c r="B82" s="6">
        <f t="shared" si="3"/>
        <v>4</v>
      </c>
      <c r="C82" s="70">
        <v>15.747227669999999</v>
      </c>
      <c r="D82" s="4">
        <v>0</v>
      </c>
      <c r="E82" s="12">
        <f t="shared" si="4"/>
        <v>0</v>
      </c>
      <c r="F82" s="12">
        <f t="shared" si="5"/>
        <v>0</v>
      </c>
      <c r="G82" s="16">
        <f t="shared" si="6"/>
        <v>3.2772851279190691</v>
      </c>
      <c r="H82" s="14">
        <f t="shared" si="0"/>
        <v>0</v>
      </c>
      <c r="I82" s="14">
        <f t="shared" si="7"/>
        <v>9.6584171387532187</v>
      </c>
      <c r="J82" s="14">
        <f t="shared" si="8"/>
        <v>0.51248599109845461</v>
      </c>
      <c r="K82" s="14">
        <f t="shared" si="11"/>
        <v>3.3688587266559158</v>
      </c>
      <c r="L82" s="14">
        <f t="shared" si="12"/>
        <v>643.93358005024425</v>
      </c>
      <c r="M82" s="14">
        <f t="shared" si="1"/>
        <v>0.19104528460059328</v>
      </c>
      <c r="N82" s="14">
        <f t="shared" si="9"/>
        <v>4.888901901063794</v>
      </c>
      <c r="O82" s="4">
        <v>4.8600000000000003</v>
      </c>
      <c r="P82" s="14">
        <f t="shared" si="10"/>
        <v>8.3531988510131619E-4</v>
      </c>
      <c r="Q82" s="14">
        <f t="shared" si="2"/>
        <v>2.8011009559636384</v>
      </c>
    </row>
    <row r="83" spans="1:17" x14ac:dyDescent="0.25">
      <c r="A83" s="5" t="s">
        <v>140</v>
      </c>
      <c r="B83" s="6">
        <f t="shared" si="3"/>
        <v>4</v>
      </c>
      <c r="C83" s="70">
        <v>15.73812962</v>
      </c>
      <c r="D83" s="4">
        <v>0</v>
      </c>
      <c r="E83" s="12">
        <f t="shared" si="4"/>
        <v>0</v>
      </c>
      <c r="F83" s="12">
        <f t="shared" si="5"/>
        <v>0</v>
      </c>
      <c r="G83" s="16">
        <f t="shared" si="6"/>
        <v>2.8349215463079589</v>
      </c>
      <c r="H83" s="14">
        <f t="shared" si="0"/>
        <v>0</v>
      </c>
      <c r="I83" s="14">
        <f t="shared" si="7"/>
        <v>9.6405559667192975</v>
      </c>
      <c r="J83" s="14">
        <f t="shared" si="8"/>
        <v>0.44236358161111028</v>
      </c>
      <c r="K83" s="14">
        <f t="shared" si="11"/>
        <v>3.1491039152845608</v>
      </c>
      <c r="L83" s="14">
        <f t="shared" si="12"/>
        <v>643.96228957701499</v>
      </c>
      <c r="M83" s="14">
        <f t="shared" si="1"/>
        <v>0.1824715472583644</v>
      </c>
      <c r="N83" s="14">
        <f t="shared" si="9"/>
        <v>4.6694975808824504</v>
      </c>
      <c r="O83" s="4">
        <v>4.79</v>
      </c>
      <c r="P83" s="14">
        <f t="shared" si="10"/>
        <v>1.4520833013181599E-2</v>
      </c>
      <c r="Q83" s="14">
        <f t="shared" si="2"/>
        <v>3.0403118151590407</v>
      </c>
    </row>
    <row r="84" spans="1:17" x14ac:dyDescent="0.25">
      <c r="A84" s="5" t="s">
        <v>141</v>
      </c>
      <c r="B84" s="6">
        <f t="shared" si="3"/>
        <v>4</v>
      </c>
      <c r="C84" s="70">
        <v>14.921898840000001</v>
      </c>
      <c r="D84" s="4">
        <v>0</v>
      </c>
      <c r="E84" s="12">
        <f t="shared" si="4"/>
        <v>0</v>
      </c>
      <c r="F84" s="12">
        <f t="shared" si="5"/>
        <v>0</v>
      </c>
      <c r="G84" s="16">
        <f t="shared" si="6"/>
        <v>2.5158707735174417</v>
      </c>
      <c r="H84" s="14">
        <f t="shared" si="0"/>
        <v>0</v>
      </c>
      <c r="I84" s="14">
        <f t="shared" si="7"/>
        <v>8.038142440638044</v>
      </c>
      <c r="J84" s="14">
        <f t="shared" si="8"/>
        <v>0.31905077279051741</v>
      </c>
      <c r="K84" s="14">
        <f t="shared" si="11"/>
        <v>2.9487498154266731</v>
      </c>
      <c r="L84" s="14">
        <f t="shared" si="12"/>
        <v>643.9801721296144</v>
      </c>
      <c r="M84" s="14">
        <f t="shared" si="1"/>
        <v>0.17465296247110695</v>
      </c>
      <c r="N84" s="14">
        <f t="shared" si="9"/>
        <v>4.469417824347425</v>
      </c>
      <c r="O84" s="4">
        <v>4.7300000000000004</v>
      </c>
      <c r="P84" s="14">
        <f t="shared" si="10"/>
        <v>6.7903070267829699E-2</v>
      </c>
      <c r="Q84" s="14">
        <f t="shared" si="2"/>
        <v>3.2531496944693838</v>
      </c>
    </row>
    <row r="85" spans="1:17" x14ac:dyDescent="0.25">
      <c r="A85" s="5" t="s">
        <v>142</v>
      </c>
      <c r="B85" s="6">
        <f t="shared" si="3"/>
        <v>4</v>
      </c>
      <c r="C85" s="70">
        <v>13.687007899999999</v>
      </c>
      <c r="D85" s="4">
        <v>0</v>
      </c>
      <c r="E85" s="12">
        <f t="shared" si="4"/>
        <v>0</v>
      </c>
      <c r="F85" s="12">
        <f t="shared" si="5"/>
        <v>0</v>
      </c>
      <c r="G85" s="16">
        <f t="shared" si="6"/>
        <v>2.3181237599160993</v>
      </c>
      <c r="H85" s="14">
        <f t="shared" si="0"/>
        <v>0</v>
      </c>
      <c r="I85" s="14">
        <f t="shared" si="7"/>
        <v>5.6138207978163956</v>
      </c>
      <c r="J85" s="14">
        <f t="shared" si="8"/>
        <v>0.19774701360134223</v>
      </c>
      <c r="K85" s="14">
        <f t="shared" si="11"/>
        <v>2.7660836654599694</v>
      </c>
      <c r="L85" s="14">
        <f t="shared" si="12"/>
        <v>643.98818531711004</v>
      </c>
      <c r="M85" s="14">
        <f t="shared" si="1"/>
        <v>0.16752286314707543</v>
      </c>
      <c r="N85" s="14">
        <f t="shared" si="9"/>
        <v>4.286956602062312</v>
      </c>
      <c r="O85" s="4">
        <v>4.72</v>
      </c>
      <c r="P85" s="14">
        <f t="shared" si="10"/>
        <v>0.1875265844974186</v>
      </c>
      <c r="Q85" s="14">
        <f t="shared" si="2"/>
        <v>3.2893226743544437</v>
      </c>
    </row>
    <row r="86" spans="1:17" x14ac:dyDescent="0.25">
      <c r="A86" s="5" t="s">
        <v>143</v>
      </c>
      <c r="B86" s="6">
        <f t="shared" si="3"/>
        <v>4</v>
      </c>
      <c r="C86" s="70">
        <v>15.06829643</v>
      </c>
      <c r="D86" s="4">
        <v>0</v>
      </c>
      <c r="E86" s="12">
        <f t="shared" si="4"/>
        <v>0</v>
      </c>
      <c r="F86" s="12">
        <f t="shared" si="5"/>
        <v>0</v>
      </c>
      <c r="G86" s="16">
        <f t="shared" si="6"/>
        <v>2.0479068524229569</v>
      </c>
      <c r="H86" s="14">
        <f t="shared" si="0"/>
        <v>0</v>
      </c>
      <c r="I86" s="14">
        <f t="shared" si="7"/>
        <v>8.3255482628023287</v>
      </c>
      <c r="J86" s="14">
        <f t="shared" si="8"/>
        <v>0.27021690749314248</v>
      </c>
      <c r="K86" s="14">
        <f t="shared" si="11"/>
        <v>2.5995439122563888</v>
      </c>
      <c r="L86" s="14">
        <f t="shared" si="12"/>
        <v>643.98720220716655</v>
      </c>
      <c r="M86" s="14">
        <f t="shared" si="1"/>
        <v>0.16102046779488377</v>
      </c>
      <c r="N86" s="14">
        <f t="shared" si="9"/>
        <v>4.120558498778796</v>
      </c>
      <c r="O86" s="4">
        <v>4.18</v>
      </c>
      <c r="P86" s="14">
        <f t="shared" si="10"/>
        <v>3.5332920674303646E-3</v>
      </c>
      <c r="Q86" s="14">
        <f t="shared" si="2"/>
        <v>5.5396635881475422</v>
      </c>
    </row>
    <row r="87" spans="1:17" x14ac:dyDescent="0.25">
      <c r="A87" s="5" t="s">
        <v>144</v>
      </c>
      <c r="B87" s="6">
        <f t="shared" si="3"/>
        <v>4</v>
      </c>
      <c r="C87" s="70">
        <v>13.368787770000001</v>
      </c>
      <c r="D87" s="4">
        <v>0</v>
      </c>
      <c r="E87" s="12">
        <f t="shared" si="4"/>
        <v>0</v>
      </c>
      <c r="F87" s="12">
        <f t="shared" si="5"/>
        <v>0</v>
      </c>
      <c r="G87" s="16">
        <f t="shared" si="6"/>
        <v>1.9048544845645068</v>
      </c>
      <c r="H87" s="14">
        <f t="shared" si="0"/>
        <v>0</v>
      </c>
      <c r="I87" s="14">
        <f t="shared" si="7"/>
        <v>4.9890952262282564</v>
      </c>
      <c r="J87" s="14">
        <f t="shared" si="8"/>
        <v>0.14305236785845016</v>
      </c>
      <c r="K87" s="14">
        <f t="shared" si="11"/>
        <v>2.4477068619755071</v>
      </c>
      <c r="L87" s="14">
        <f t="shared" si="12"/>
        <v>643.97801878965254</v>
      </c>
      <c r="M87" s="14">
        <f t="shared" si="1"/>
        <v>0.15509036092243741</v>
      </c>
      <c r="N87" s="14">
        <f t="shared" si="9"/>
        <v>3.9688054166609845</v>
      </c>
      <c r="O87" s="4">
        <v>4.0599999999999996</v>
      </c>
      <c r="P87" s="14">
        <f t="shared" si="10"/>
        <v>8.3164520303765678E-3</v>
      </c>
      <c r="Q87" s="14">
        <f t="shared" si="2"/>
        <v>6.1189393467682311</v>
      </c>
    </row>
    <row r="88" spans="1:17" x14ac:dyDescent="0.25">
      <c r="A88" s="5" t="s">
        <v>145</v>
      </c>
      <c r="B88" s="6">
        <f t="shared" si="3"/>
        <v>4</v>
      </c>
      <c r="C88" s="70">
        <v>17.887578959999999</v>
      </c>
      <c r="D88" s="4">
        <v>0</v>
      </c>
      <c r="E88" s="12">
        <f t="shared" si="4"/>
        <v>0</v>
      </c>
      <c r="F88" s="12">
        <f t="shared" si="5"/>
        <v>0</v>
      </c>
      <c r="G88" s="16">
        <f t="shared" si="6"/>
        <v>1.5351980011116391</v>
      </c>
      <c r="H88" s="14">
        <f t="shared" si="0"/>
        <v>0</v>
      </c>
      <c r="I88" s="14">
        <f t="shared" si="7"/>
        <v>13.86032662526077</v>
      </c>
      <c r="J88" s="14">
        <f t="shared" si="8"/>
        <v>0.36965648345286761</v>
      </c>
      <c r="K88" s="14">
        <f t="shared" si="11"/>
        <v>2.3092745093718801</v>
      </c>
      <c r="L88" s="14">
        <f t="shared" si="12"/>
        <v>643.96136078133372</v>
      </c>
      <c r="M88" s="14">
        <f t="shared" si="1"/>
        <v>0.14968201930803704</v>
      </c>
      <c r="N88" s="14">
        <f t="shared" si="9"/>
        <v>3.8304044524313645</v>
      </c>
      <c r="O88" s="4">
        <v>4.01</v>
      </c>
      <c r="P88" s="14">
        <f t="shared" si="10"/>
        <v>3.2254560706477933E-2</v>
      </c>
      <c r="Q88" s="14">
        <f t="shared" si="2"/>
        <v>6.368804246193517</v>
      </c>
    </row>
    <row r="89" spans="1:17" x14ac:dyDescent="0.25">
      <c r="A89" s="5" t="s">
        <v>146</v>
      </c>
      <c r="B89" s="6">
        <f t="shared" si="3"/>
        <v>4</v>
      </c>
      <c r="C89" s="70">
        <v>16.240768429999999</v>
      </c>
      <c r="D89" s="4">
        <v>0</v>
      </c>
      <c r="E89" s="12">
        <f t="shared" si="4"/>
        <v>0</v>
      </c>
      <c r="F89" s="12">
        <f t="shared" si="5"/>
        <v>0</v>
      </c>
      <c r="G89" s="16">
        <f t="shared" si="6"/>
        <v>1.306768802840905</v>
      </c>
      <c r="H89" s="14">
        <f t="shared" si="0"/>
        <v>0</v>
      </c>
      <c r="I89" s="14">
        <f t="shared" si="7"/>
        <v>10.627329864019988</v>
      </c>
      <c r="J89" s="14">
        <f t="shared" si="8"/>
        <v>0.22842919827073399</v>
      </c>
      <c r="K89" s="14">
        <f t="shared" si="11"/>
        <v>2.1830634415730485</v>
      </c>
      <c r="L89" s="14">
        <f t="shared" si="12"/>
        <v>643.93788982982448</v>
      </c>
      <c r="M89" s="14">
        <f t="shared" si="1"/>
        <v>0.14474938009390073</v>
      </c>
      <c r="N89" s="14">
        <f t="shared" si="9"/>
        <v>3.7041768447640564</v>
      </c>
      <c r="O89" s="4">
        <v>4.29</v>
      </c>
      <c r="P89" s="14">
        <f t="shared" si="10"/>
        <v>0.34318876921059654</v>
      </c>
      <c r="Q89" s="14">
        <f t="shared" si="2"/>
        <v>5.0339608094119095</v>
      </c>
    </row>
    <row r="90" spans="1:17" x14ac:dyDescent="0.25">
      <c r="A90" s="5" t="s">
        <v>147</v>
      </c>
      <c r="B90" s="6">
        <f t="shared" si="3"/>
        <v>4</v>
      </c>
      <c r="C90" s="70">
        <v>15.260728840000001</v>
      </c>
      <c r="D90" s="4">
        <v>0</v>
      </c>
      <c r="E90" s="12">
        <f t="shared" si="4"/>
        <v>0</v>
      </c>
      <c r="F90" s="12">
        <f t="shared" si="5"/>
        <v>0</v>
      </c>
      <c r="G90" s="16">
        <f t="shared" si="6"/>
        <v>1.1475306178418858</v>
      </c>
      <c r="H90" s="14">
        <f t="shared" si="0"/>
        <v>0</v>
      </c>
      <c r="I90" s="14">
        <f t="shared" si="7"/>
        <v>8.7033290377939494</v>
      </c>
      <c r="J90" s="14">
        <f t="shared" si="8"/>
        <v>0.15923818499901918</v>
      </c>
      <c r="K90" s="14">
        <f t="shared" si="11"/>
        <v>2.0679947214702321</v>
      </c>
      <c r="L90" s="14">
        <f t="shared" si="12"/>
        <v>643.90820916983341</v>
      </c>
      <c r="M90" s="14">
        <f t="shared" si="1"/>
        <v>0.1402504470098774</v>
      </c>
      <c r="N90" s="14">
        <f t="shared" si="9"/>
        <v>3.5890478974402651</v>
      </c>
      <c r="O90" s="4">
        <v>4.72</v>
      </c>
      <c r="P90" s="14">
        <f t="shared" si="10"/>
        <v>1.2790526582842845</v>
      </c>
      <c r="Q90" s="14">
        <f t="shared" si="2"/>
        <v>3.2893226743544437</v>
      </c>
    </row>
    <row r="91" spans="1:17" x14ac:dyDescent="0.25">
      <c r="A91" s="5" t="s">
        <v>148</v>
      </c>
      <c r="B91" s="6">
        <f t="shared" si="3"/>
        <v>4</v>
      </c>
      <c r="C91" s="70">
        <v>15.22852325</v>
      </c>
      <c r="D91" s="4">
        <v>0</v>
      </c>
      <c r="E91" s="12">
        <f t="shared" ref="E91:E154" si="13">IF(C91&gt;$C$9,MAX(E90-$C$10*(C91-$C$9),0),E90+D91)</f>
        <v>0</v>
      </c>
      <c r="F91" s="12">
        <f t="shared" ref="F91:F154" si="14">IF(C91&gt;$C$9,D91+MIN(E90,$C$10*(C91-$C$9)),0)</f>
        <v>0</v>
      </c>
      <c r="G91" s="16">
        <f t="shared" si="6"/>
        <v>1.0087124581839271</v>
      </c>
      <c r="H91" s="14">
        <f t="shared" si="0"/>
        <v>0</v>
      </c>
      <c r="I91" s="14">
        <f t="shared" si="7"/>
        <v>8.6401034473164291</v>
      </c>
      <c r="J91" s="14">
        <f t="shared" si="8"/>
        <v>0.13881815965795874</v>
      </c>
      <c r="K91" s="14">
        <f t="shared" si="11"/>
        <v>1.9630846642381279</v>
      </c>
      <c r="L91" s="14">
        <f t="shared" si="12"/>
        <v>643.87286878005557</v>
      </c>
      <c r="M91" s="14">
        <f t="shared" si="1"/>
        <v>0.13758034717248346</v>
      </c>
      <c r="N91" s="14">
        <f t="shared" si="9"/>
        <v>3.5207193009069555</v>
      </c>
      <c r="O91" s="4">
        <v>4.92</v>
      </c>
      <c r="P91" s="14">
        <f t="shared" si="10"/>
        <v>1.9579864748543192</v>
      </c>
      <c r="Q91" s="14">
        <f t="shared" si="2"/>
        <v>2.6038630766532953</v>
      </c>
    </row>
    <row r="92" spans="1:17" x14ac:dyDescent="0.25">
      <c r="A92" s="5" t="s">
        <v>149</v>
      </c>
      <c r="B92" s="6">
        <f t="shared" si="3"/>
        <v>4</v>
      </c>
      <c r="C92" s="70">
        <v>16.282989499999999</v>
      </c>
      <c r="D92" s="4">
        <v>0</v>
      </c>
      <c r="E92" s="12">
        <f t="shared" si="13"/>
        <v>0</v>
      </c>
      <c r="F92" s="12">
        <f t="shared" si="14"/>
        <v>0</v>
      </c>
      <c r="G92" s="16">
        <f t="shared" si="6"/>
        <v>0.85745084003590155</v>
      </c>
      <c r="H92" s="14">
        <f t="shared" si="0"/>
        <v>0</v>
      </c>
      <c r="I92" s="14">
        <f t="shared" si="7"/>
        <v>10.710217713034485</v>
      </c>
      <c r="J92" s="14">
        <f t="shared" si="8"/>
        <v>0.15126161814802552</v>
      </c>
      <c r="K92" s="14">
        <f t="shared" si="11"/>
        <v>1.8660030123239124</v>
      </c>
      <c r="L92" s="14">
        <f t="shared" si="12"/>
        <v>643.83237008479739</v>
      </c>
      <c r="M92" s="14">
        <f t="shared" si="1"/>
        <v>0.13755103887549699</v>
      </c>
      <c r="N92" s="14">
        <f t="shared" si="9"/>
        <v>3.5199692934458779</v>
      </c>
      <c r="O92" s="4">
        <v>4.96</v>
      </c>
      <c r="P92" s="14">
        <f t="shared" si="10"/>
        <v>2.0736884358187639</v>
      </c>
      <c r="Q92" s="14">
        <f t="shared" si="2"/>
        <v>2.4763711571130655</v>
      </c>
    </row>
    <row r="93" spans="1:17" x14ac:dyDescent="0.25">
      <c r="A93" s="5" t="s">
        <v>150</v>
      </c>
      <c r="B93" s="6">
        <f t="shared" si="3"/>
        <v>4</v>
      </c>
      <c r="C93" s="70">
        <v>15.594314580000001</v>
      </c>
      <c r="D93" s="4">
        <v>1.3</v>
      </c>
      <c r="E93" s="12">
        <f t="shared" si="13"/>
        <v>0</v>
      </c>
      <c r="F93" s="12">
        <f t="shared" si="14"/>
        <v>1.3</v>
      </c>
      <c r="G93" s="16">
        <f t="shared" si="6"/>
        <v>1.9969012231470886</v>
      </c>
      <c r="H93" s="14">
        <f t="shared" si="0"/>
        <v>4.8201564744385014E-2</v>
      </c>
      <c r="I93" s="14">
        <f t="shared" si="7"/>
        <v>9.3582201727298617</v>
      </c>
      <c r="J93" s="14">
        <f t="shared" si="8"/>
        <v>0.11234805214442768</v>
      </c>
      <c r="K93" s="14">
        <f t="shared" si="11"/>
        <v>1.8219239647170142</v>
      </c>
      <c r="L93" s="14">
        <f t="shared" si="12"/>
        <v>643.78709965827318</v>
      </c>
      <c r="M93" s="14">
        <f t="shared" si="1"/>
        <v>0.13753200504561328</v>
      </c>
      <c r="N93" s="14">
        <f t="shared" si="9"/>
        <v>3.5194822124519782</v>
      </c>
      <c r="O93" s="4">
        <v>4.6500000000000004</v>
      </c>
      <c r="P93" s="14">
        <f t="shared" si="10"/>
        <v>1.2780704679624748</v>
      </c>
      <c r="Q93" s="14">
        <f t="shared" si="2"/>
        <v>3.548133533549843</v>
      </c>
    </row>
    <row r="94" spans="1:17" x14ac:dyDescent="0.25">
      <c r="A94" s="5" t="s">
        <v>151</v>
      </c>
      <c r="B94" s="6">
        <f t="shared" si="3"/>
        <v>4</v>
      </c>
      <c r="C94" s="70">
        <v>14.245369910000001</v>
      </c>
      <c r="D94" s="4">
        <v>0</v>
      </c>
      <c r="E94" s="12">
        <f t="shared" si="13"/>
        <v>0</v>
      </c>
      <c r="F94" s="12">
        <f t="shared" si="14"/>
        <v>0</v>
      </c>
      <c r="G94" s="16">
        <f t="shared" si="6"/>
        <v>1.8092974806207882</v>
      </c>
      <c r="H94" s="14">
        <f t="shared" si="0"/>
        <v>0</v>
      </c>
      <c r="I94" s="14">
        <f t="shared" si="7"/>
        <v>6.7099897480658806</v>
      </c>
      <c r="J94" s="14">
        <f t="shared" si="8"/>
        <v>0.18760374252630035</v>
      </c>
      <c r="K94" s="14">
        <f t="shared" si="11"/>
        <v>1.7318232210359108</v>
      </c>
      <c r="L94" s="14">
        <f t="shared" si="12"/>
        <v>643.73966839690866</v>
      </c>
      <c r="M94" s="14">
        <f t="shared" si="1"/>
        <v>0.1375027070467939</v>
      </c>
      <c r="N94" s="14">
        <f t="shared" si="9"/>
        <v>3.5187324685238579</v>
      </c>
      <c r="O94" s="4">
        <v>5.18</v>
      </c>
      <c r="P94" s="14">
        <f t="shared" si="10"/>
        <v>2.7598098111368339</v>
      </c>
      <c r="Q94" s="14">
        <f t="shared" si="2"/>
        <v>1.832365599641804</v>
      </c>
    </row>
    <row r="95" spans="1:17" x14ac:dyDescent="0.25">
      <c r="A95" s="5" t="s">
        <v>152</v>
      </c>
      <c r="B95" s="6">
        <f t="shared" si="3"/>
        <v>4</v>
      </c>
      <c r="C95" s="70">
        <v>15.513616559999999</v>
      </c>
      <c r="D95" s="4">
        <v>0.7</v>
      </c>
      <c r="E95" s="12">
        <f t="shared" si="13"/>
        <v>0</v>
      </c>
      <c r="F95" s="12">
        <f t="shared" si="14"/>
        <v>0.7</v>
      </c>
      <c r="G95" s="16">
        <f t="shared" si="6"/>
        <v>2.2376020637700922</v>
      </c>
      <c r="H95" s="14">
        <f t="shared" si="0"/>
        <v>3.8644303947078996E-2</v>
      </c>
      <c r="I95" s="14">
        <f t="shared" si="7"/>
        <v>9.1997948818140021</v>
      </c>
      <c r="J95" s="14">
        <f t="shared" si="8"/>
        <v>0.23305111290361688</v>
      </c>
      <c r="K95" s="14">
        <f t="shared" si="11"/>
        <v>1.6848225896501501</v>
      </c>
      <c r="L95" s="14">
        <f t="shared" si="12"/>
        <v>643.68781062519463</v>
      </c>
      <c r="M95" s="14">
        <f t="shared" ref="M95:M158" si="15">MAX(0,K95-$F$9)*$F$8+K95*$F$10+L95*$F$11</f>
        <v>0.13748164756048495</v>
      </c>
      <c r="N95" s="14">
        <f t="shared" si="9"/>
        <v>3.5181935504193542</v>
      </c>
      <c r="O95" s="4">
        <v>7.15</v>
      </c>
      <c r="P95" s="14">
        <f t="shared" si="10"/>
        <v>13.190018087215579</v>
      </c>
      <c r="Q95" s="14">
        <f t="shared" si="2"/>
        <v>0.37988856228550055</v>
      </c>
    </row>
    <row r="96" spans="1:17" x14ac:dyDescent="0.25">
      <c r="A96" s="5" t="s">
        <v>153</v>
      </c>
      <c r="B96" s="6">
        <f t="shared" si="3"/>
        <v>4</v>
      </c>
      <c r="C96" s="70">
        <v>14.35655403</v>
      </c>
      <c r="D96" s="4">
        <v>0.2</v>
      </c>
      <c r="E96" s="12">
        <f t="shared" si="13"/>
        <v>0</v>
      </c>
      <c r="F96" s="12">
        <f t="shared" si="14"/>
        <v>0.2</v>
      </c>
      <c r="G96" s="16">
        <f t="shared" ref="G96:G159" si="16">G95+F96-H96-J96</f>
        <v>2.208181484895158</v>
      </c>
      <c r="H96" s="14">
        <f t="shared" ref="H96:H159" si="17">(F96*(G95/$C$11)^$C$12)</f>
        <v>1.2365276403498791E-2</v>
      </c>
      <c r="I96" s="14">
        <f t="shared" ref="I96:I159" si="18">(1+$C$13*(C96-INDEX($A$16:$A$27,B96)))*INDEX($C$16:$C$27,B96)</f>
        <v>6.9282649493189377</v>
      </c>
      <c r="J96" s="14">
        <f t="shared" ref="J96:J159" si="19">IF(G95&gt;$F$13,I96,I96*(G95/$F$13))</f>
        <v>0.21705530247143559</v>
      </c>
      <c r="K96" s="14">
        <f t="shared" ref="K96:K159" si="20">K95+H96-MAX(0,K95-$F$9)*$F$8-K95*$F$10-K95*$F$12</f>
        <v>1.6138672822982343</v>
      </c>
      <c r="L96" s="14">
        <f t="shared" ref="L96:L159" si="21">L95+K95*$F$12-L95*$F$11</f>
        <v>643.63364956138957</v>
      </c>
      <c r="M96" s="14">
        <f t="shared" si="15"/>
        <v>0.13745499442405157</v>
      </c>
      <c r="N96" s="14">
        <f t="shared" ref="N96:N159" si="22">M96*$C$8*1000/(24*3600)</f>
        <v>3.5175114892543751</v>
      </c>
      <c r="O96" s="4">
        <v>6.78</v>
      </c>
      <c r="P96" s="14">
        <f t="shared" si="10"/>
        <v>10.643831282747207</v>
      </c>
      <c r="Q96" s="14">
        <f t="shared" ref="Q96:Q159" si="23">(O96-$F$23)^2</f>
        <v>6.068881803262318E-2</v>
      </c>
    </row>
    <row r="97" spans="1:17" x14ac:dyDescent="0.25">
      <c r="A97" s="5" t="s">
        <v>154</v>
      </c>
      <c r="B97" s="6">
        <f t="shared" ref="B97:B160" si="24">MONTH(A97)</f>
        <v>4</v>
      </c>
      <c r="C97" s="70">
        <v>15.670347209999999</v>
      </c>
      <c r="D97" s="4">
        <v>0</v>
      </c>
      <c r="E97" s="12">
        <f t="shared" si="13"/>
        <v>0</v>
      </c>
      <c r="F97" s="12">
        <f t="shared" si="14"/>
        <v>0</v>
      </c>
      <c r="G97" s="16">
        <f t="shared" si="16"/>
        <v>1.9142382044369994</v>
      </c>
      <c r="H97" s="14">
        <f t="shared" si="17"/>
        <v>0</v>
      </c>
      <c r="I97" s="14">
        <f t="shared" si="18"/>
        <v>9.50748643139206</v>
      </c>
      <c r="J97" s="14">
        <f t="shared" si="19"/>
        <v>0.29394328045815865</v>
      </c>
      <c r="K97" s="14">
        <f t="shared" si="20"/>
        <v>1.5340556956713152</v>
      </c>
      <c r="L97" s="14">
        <f t="shared" si="21"/>
        <v>643.57600615359252</v>
      </c>
      <c r="M97" s="14">
        <f t="shared" si="15"/>
        <v>0.13742571283055624</v>
      </c>
      <c r="N97" s="14">
        <f t="shared" si="22"/>
        <v>3.5167621651430534</v>
      </c>
      <c r="O97" s="4">
        <v>6.58</v>
      </c>
      <c r="P97" s="14">
        <f t="shared" ref="P97:P160" si="25">(O97-N97)^2</f>
        <v>9.3834260328990737</v>
      </c>
      <c r="Q97" s="14">
        <f t="shared" si="23"/>
        <v>2.1484157337705936E-3</v>
      </c>
    </row>
    <row r="98" spans="1:17" x14ac:dyDescent="0.25">
      <c r="A98" s="5" t="s">
        <v>155</v>
      </c>
      <c r="B98" s="6">
        <f t="shared" si="24"/>
        <v>4</v>
      </c>
      <c r="C98" s="70">
        <v>12.50934601</v>
      </c>
      <c r="D98" s="4">
        <v>0</v>
      </c>
      <c r="E98" s="12">
        <f t="shared" si="13"/>
        <v>0</v>
      </c>
      <c r="F98" s="12">
        <f t="shared" si="14"/>
        <v>0</v>
      </c>
      <c r="G98" s="16">
        <f t="shared" si="16"/>
        <v>1.8257436718139317</v>
      </c>
      <c r="H98" s="14">
        <f t="shared" si="17"/>
        <v>0</v>
      </c>
      <c r="I98" s="14">
        <f t="shared" si="18"/>
        <v>3.3018504728472586</v>
      </c>
      <c r="J98" s="14">
        <f t="shared" si="19"/>
        <v>8.8494532623067779E-2</v>
      </c>
      <c r="K98" s="14">
        <f t="shared" si="20"/>
        <v>1.458191081282928</v>
      </c>
      <c r="L98" s="14">
        <f t="shared" si="21"/>
        <v>643.51444505515042</v>
      </c>
      <c r="M98" s="14">
        <f t="shared" si="15"/>
        <v>0.13739643747482416</v>
      </c>
      <c r="N98" s="14">
        <f t="shared" si="22"/>
        <v>3.5160130006578267</v>
      </c>
      <c r="O98" s="4">
        <v>5.97</v>
      </c>
      <c r="P98" s="14">
        <f t="shared" si="25"/>
        <v>6.0220521929404018</v>
      </c>
      <c r="Q98" s="14">
        <f t="shared" si="23"/>
        <v>0.31770018872227085</v>
      </c>
    </row>
    <row r="99" spans="1:17" x14ac:dyDescent="0.25">
      <c r="A99" s="5" t="s">
        <v>156</v>
      </c>
      <c r="B99" s="6">
        <f t="shared" si="24"/>
        <v>4</v>
      </c>
      <c r="C99" s="70">
        <v>14.22353268</v>
      </c>
      <c r="D99" s="4">
        <v>0</v>
      </c>
      <c r="E99" s="12">
        <f t="shared" si="13"/>
        <v>0</v>
      </c>
      <c r="F99" s="12">
        <f t="shared" si="14"/>
        <v>0</v>
      </c>
      <c r="G99" s="16">
        <f t="shared" si="16"/>
        <v>1.6553156193460632</v>
      </c>
      <c r="H99" s="14">
        <f t="shared" si="17"/>
        <v>0</v>
      </c>
      <c r="I99" s="14">
        <f t="shared" si="18"/>
        <v>6.6671191854975973</v>
      </c>
      <c r="J99" s="14">
        <f t="shared" si="19"/>
        <v>0.1704280524678686</v>
      </c>
      <c r="K99" s="14">
        <f t="shared" si="20"/>
        <v>1.3860782470499411</v>
      </c>
      <c r="L99" s="14">
        <f t="shared" si="21"/>
        <v>643.44916145190859</v>
      </c>
      <c r="M99" s="14">
        <f t="shared" si="15"/>
        <v>0.13736716835552656</v>
      </c>
      <c r="N99" s="14">
        <f t="shared" si="22"/>
        <v>3.5152639957646903</v>
      </c>
      <c r="O99" s="4">
        <v>5.32</v>
      </c>
      <c r="P99" s="14">
        <f t="shared" si="25"/>
        <v>3.2570720449832327</v>
      </c>
      <c r="Q99" s="14">
        <f t="shared" si="23"/>
        <v>1.4729438812509994</v>
      </c>
    </row>
    <row r="100" spans="1:17" x14ac:dyDescent="0.25">
      <c r="A100" s="5" t="s">
        <v>157</v>
      </c>
      <c r="B100" s="6">
        <f t="shared" si="24"/>
        <v>4</v>
      </c>
      <c r="C100" s="70">
        <v>14.814882280000001</v>
      </c>
      <c r="D100" s="4">
        <v>0</v>
      </c>
      <c r="E100" s="12">
        <f t="shared" si="13"/>
        <v>0</v>
      </c>
      <c r="F100" s="12">
        <f t="shared" si="14"/>
        <v>0</v>
      </c>
      <c r="G100" s="16">
        <f t="shared" si="16"/>
        <v>1.4738905058802745</v>
      </c>
      <c r="H100" s="14">
        <f t="shared" si="17"/>
        <v>0</v>
      </c>
      <c r="I100" s="14">
        <f t="shared" si="18"/>
        <v>7.828048938333847</v>
      </c>
      <c r="J100" s="14">
        <f t="shared" si="19"/>
        <v>0.1814251134657888</v>
      </c>
      <c r="K100" s="14">
        <f t="shared" si="20"/>
        <v>1.3175316538452144</v>
      </c>
      <c r="L100" s="14">
        <f t="shared" si="21"/>
        <v>643.38034087675771</v>
      </c>
      <c r="M100" s="14">
        <f t="shared" si="15"/>
        <v>0.13733790547133487</v>
      </c>
      <c r="N100" s="14">
        <f t="shared" si="22"/>
        <v>3.5145151504296459</v>
      </c>
      <c r="O100" s="4">
        <v>5.0999999999999996</v>
      </c>
      <c r="P100" s="14">
        <f t="shared" si="25"/>
        <v>2.5137622082171274</v>
      </c>
      <c r="Q100" s="14">
        <f t="shared" si="23"/>
        <v>2.0553494387222635</v>
      </c>
    </row>
    <row r="101" spans="1:17" x14ac:dyDescent="0.25">
      <c r="A101" s="5" t="s">
        <v>158</v>
      </c>
      <c r="B101" s="6">
        <f t="shared" si="24"/>
        <v>4</v>
      </c>
      <c r="C101" s="70">
        <v>12.21696854</v>
      </c>
      <c r="D101" s="4">
        <v>2.2000000000000002</v>
      </c>
      <c r="E101" s="12">
        <f t="shared" si="13"/>
        <v>0</v>
      </c>
      <c r="F101" s="12">
        <f t="shared" si="14"/>
        <v>2.2000000000000002</v>
      </c>
      <c r="G101" s="16">
        <f t="shared" si="16"/>
        <v>3.5087189564264984</v>
      </c>
      <c r="H101" s="14">
        <f t="shared" si="17"/>
        <v>0.10887909598516067</v>
      </c>
      <c r="I101" s="14">
        <f t="shared" si="18"/>
        <v>2.7278588712938157</v>
      </c>
      <c r="J101" s="14">
        <f t="shared" si="19"/>
        <v>5.6292453468615757E-2</v>
      </c>
      <c r="K101" s="14">
        <f t="shared" si="20"/>
        <v>1.3612540341090982</v>
      </c>
      <c r="L101" s="14">
        <f t="shared" si="21"/>
        <v>643.30815968700767</v>
      </c>
      <c r="M101" s="14">
        <f t="shared" si="15"/>
        <v>0.13733184298306933</v>
      </c>
      <c r="N101" s="14">
        <f t="shared" si="22"/>
        <v>3.5143600096709062</v>
      </c>
      <c r="O101" s="4">
        <v>5.28</v>
      </c>
      <c r="P101" s="14">
        <f t="shared" si="25"/>
        <v>3.1174845754493234</v>
      </c>
      <c r="Q101" s="14">
        <f t="shared" si="23"/>
        <v>1.571635800791229</v>
      </c>
    </row>
    <row r="102" spans="1:17" x14ac:dyDescent="0.25">
      <c r="A102" s="5" t="s">
        <v>159</v>
      </c>
      <c r="B102" s="6">
        <f t="shared" si="24"/>
        <v>4</v>
      </c>
      <c r="C102" s="70">
        <v>13.77723312</v>
      </c>
      <c r="D102" s="4">
        <v>0</v>
      </c>
      <c r="E102" s="12">
        <f t="shared" si="13"/>
        <v>0</v>
      </c>
      <c r="F102" s="12">
        <f t="shared" si="14"/>
        <v>0</v>
      </c>
      <c r="G102" s="16">
        <f t="shared" si="16"/>
        <v>3.224232602749332</v>
      </c>
      <c r="H102" s="14">
        <f t="shared" si="17"/>
        <v>0</v>
      </c>
      <c r="I102" s="14">
        <f t="shared" si="18"/>
        <v>5.7909497623987622</v>
      </c>
      <c r="J102" s="14">
        <f t="shared" si="19"/>
        <v>0.28448635367716668</v>
      </c>
      <c r="K102" s="14">
        <f t="shared" si="20"/>
        <v>1.2939350882105067</v>
      </c>
      <c r="L102" s="14">
        <f t="shared" si="21"/>
        <v>643.23814678992323</v>
      </c>
      <c r="M102" s="14">
        <f t="shared" si="15"/>
        <v>0.13730258762412764</v>
      </c>
      <c r="N102" s="14">
        <f t="shared" si="22"/>
        <v>3.5136113569090992</v>
      </c>
      <c r="O102" s="4">
        <v>7.07</v>
      </c>
      <c r="P102" s="14">
        <f t="shared" si="25"/>
        <v>12.647900180705941</v>
      </c>
      <c r="Q102" s="14">
        <f t="shared" si="23"/>
        <v>0.28767240136595945</v>
      </c>
    </row>
    <row r="103" spans="1:17" x14ac:dyDescent="0.25">
      <c r="A103" s="5" t="s">
        <v>160</v>
      </c>
      <c r="B103" s="6">
        <f t="shared" si="24"/>
        <v>4</v>
      </c>
      <c r="C103" s="70">
        <v>13.952455520000001</v>
      </c>
      <c r="D103" s="4">
        <v>1.6</v>
      </c>
      <c r="E103" s="12">
        <f t="shared" si="13"/>
        <v>0</v>
      </c>
      <c r="F103" s="12">
        <f t="shared" si="14"/>
        <v>1.6</v>
      </c>
      <c r="G103" s="16">
        <f t="shared" si="16"/>
        <v>4.4270959558389631</v>
      </c>
      <c r="H103" s="14">
        <f t="shared" si="17"/>
        <v>0.12018750021446596</v>
      </c>
      <c r="I103" s="14">
        <f t="shared" si="18"/>
        <v>6.1349440722340534</v>
      </c>
      <c r="J103" s="14">
        <f t="shared" si="19"/>
        <v>0.2769491466959027</v>
      </c>
      <c r="K103" s="14">
        <f t="shared" si="20"/>
        <v>1.350132808400893</v>
      </c>
      <c r="L103" s="14">
        <f t="shared" si="21"/>
        <v>643.1648339823231</v>
      </c>
      <c r="M103" s="14">
        <f t="shared" si="15"/>
        <v>0.13729894165233689</v>
      </c>
      <c r="N103" s="14">
        <f t="shared" si="22"/>
        <v>3.5135180554782042</v>
      </c>
      <c r="O103" s="4">
        <v>6.53</v>
      </c>
      <c r="P103" s="14">
        <f t="shared" si="25"/>
        <v>9.0991633216259959</v>
      </c>
      <c r="Q103" s="14">
        <f t="shared" si="23"/>
        <v>1.3315159057467896E-5</v>
      </c>
    </row>
    <row r="104" spans="1:17" x14ac:dyDescent="0.25">
      <c r="A104" s="5" t="s">
        <v>161</v>
      </c>
      <c r="B104" s="6">
        <f t="shared" si="24"/>
        <v>4</v>
      </c>
      <c r="C104" s="70">
        <v>13.0038929</v>
      </c>
      <c r="D104" s="4">
        <v>0</v>
      </c>
      <c r="E104" s="12">
        <f t="shared" si="13"/>
        <v>0</v>
      </c>
      <c r="F104" s="12">
        <f t="shared" si="14"/>
        <v>0</v>
      </c>
      <c r="G104" s="16">
        <f t="shared" si="16"/>
        <v>4.1622530774268123</v>
      </c>
      <c r="H104" s="14">
        <f t="shared" si="17"/>
        <v>0</v>
      </c>
      <c r="I104" s="14">
        <f t="shared" si="18"/>
        <v>4.2727384192898299</v>
      </c>
      <c r="J104" s="14">
        <f t="shared" si="19"/>
        <v>0.26484287841215082</v>
      </c>
      <c r="K104" s="14">
        <f t="shared" si="20"/>
        <v>1.2833638474228362</v>
      </c>
      <c r="L104" s="14">
        <f t="shared" si="21"/>
        <v>643.09430400164877</v>
      </c>
      <c r="M104" s="14">
        <f t="shared" si="15"/>
        <v>0.13726969330225941</v>
      </c>
      <c r="N104" s="14">
        <f t="shared" si="22"/>
        <v>3.5127695820751796</v>
      </c>
      <c r="O104" s="4">
        <v>5.83</v>
      </c>
      <c r="P104" s="14">
        <f t="shared" si="25"/>
        <v>5.3695568097560376</v>
      </c>
      <c r="Q104" s="14">
        <f t="shared" si="23"/>
        <v>0.49512190711307374</v>
      </c>
    </row>
    <row r="105" spans="1:17" x14ac:dyDescent="0.25">
      <c r="A105" s="5" t="s">
        <v>162</v>
      </c>
      <c r="B105" s="6">
        <f t="shared" si="24"/>
        <v>5</v>
      </c>
      <c r="C105" s="70">
        <v>14.66759014</v>
      </c>
      <c r="D105" s="4">
        <v>0</v>
      </c>
      <c r="E105" s="12">
        <f t="shared" si="13"/>
        <v>0</v>
      </c>
      <c r="F105" s="12">
        <f t="shared" si="14"/>
        <v>0</v>
      </c>
      <c r="G105" s="16">
        <f t="shared" si="16"/>
        <v>3.7604610198178996</v>
      </c>
      <c r="H105" s="14">
        <f t="shared" si="17"/>
        <v>0</v>
      </c>
      <c r="I105" s="14">
        <f t="shared" si="18"/>
        <v>6.8946116083156763</v>
      </c>
      <c r="J105" s="14">
        <f t="shared" si="19"/>
        <v>0.40179205760891279</v>
      </c>
      <c r="K105" s="14">
        <f t="shared" si="20"/>
        <v>1.2198968535715313</v>
      </c>
      <c r="L105" s="14">
        <f t="shared" si="21"/>
        <v>643.02050130219789</v>
      </c>
      <c r="M105" s="14">
        <f t="shared" si="15"/>
        <v>0.13724045118286354</v>
      </c>
      <c r="N105" s="14">
        <f t="shared" si="22"/>
        <v>3.5120212681170289</v>
      </c>
      <c r="O105" s="4">
        <v>5.28</v>
      </c>
      <c r="P105" s="14">
        <f t="shared" si="25"/>
        <v>3.1257487963905195</v>
      </c>
      <c r="Q105" s="14">
        <f t="shared" si="23"/>
        <v>1.571635800791229</v>
      </c>
    </row>
    <row r="106" spans="1:17" x14ac:dyDescent="0.25">
      <c r="A106" s="5" t="s">
        <v>163</v>
      </c>
      <c r="B106" s="6">
        <f t="shared" si="24"/>
        <v>5</v>
      </c>
      <c r="C106" s="70">
        <v>16.308668140000002</v>
      </c>
      <c r="D106" s="4">
        <v>0</v>
      </c>
      <c r="E106" s="12">
        <f t="shared" si="13"/>
        <v>0</v>
      </c>
      <c r="F106" s="12">
        <f t="shared" si="14"/>
        <v>0</v>
      </c>
      <c r="G106" s="16">
        <f t="shared" si="16"/>
        <v>3.2327770815537429</v>
      </c>
      <c r="H106" s="14">
        <f t="shared" si="17"/>
        <v>0</v>
      </c>
      <c r="I106" s="14">
        <f t="shared" si="18"/>
        <v>10.022353707306912</v>
      </c>
      <c r="J106" s="14">
        <f t="shared" si="19"/>
        <v>0.52768393826415649</v>
      </c>
      <c r="K106" s="14">
        <f t="shared" si="20"/>
        <v>1.1595685326044678</v>
      </c>
      <c r="L106" s="14">
        <f t="shared" si="21"/>
        <v>642.94358917198201</v>
      </c>
      <c r="M106" s="14">
        <f t="shared" si="15"/>
        <v>0.13721121529282188</v>
      </c>
      <c r="N106" s="14">
        <f t="shared" si="22"/>
        <v>3.5112731135697821</v>
      </c>
      <c r="O106" s="4">
        <v>4.88</v>
      </c>
      <c r="P106" s="14">
        <f t="shared" si="25"/>
        <v>1.8734132896369582</v>
      </c>
      <c r="Q106" s="14">
        <f t="shared" si="23"/>
        <v>2.7345549961935252</v>
      </c>
    </row>
    <row r="107" spans="1:17" x14ac:dyDescent="0.25">
      <c r="A107" s="5" t="s">
        <v>164</v>
      </c>
      <c r="B107" s="6">
        <f t="shared" si="24"/>
        <v>5</v>
      </c>
      <c r="C107" s="70">
        <v>14.618888849999999</v>
      </c>
      <c r="D107" s="4">
        <v>0</v>
      </c>
      <c r="E107" s="12">
        <f t="shared" si="13"/>
        <v>0</v>
      </c>
      <c r="F107" s="12">
        <f t="shared" si="14"/>
        <v>0</v>
      </c>
      <c r="G107" s="16">
        <f t="shared" si="16"/>
        <v>2.9249107970166732</v>
      </c>
      <c r="H107" s="14">
        <f t="shared" si="17"/>
        <v>0</v>
      </c>
      <c r="I107" s="14">
        <f t="shared" si="18"/>
        <v>6.8017914772748709</v>
      </c>
      <c r="J107" s="14">
        <f t="shared" si="19"/>
        <v>0.30786628453706982</v>
      </c>
      <c r="K107" s="14">
        <f t="shared" si="20"/>
        <v>1.1022236657712923</v>
      </c>
      <c r="L107" s="14">
        <f t="shared" si="21"/>
        <v>642.86372282352238</v>
      </c>
      <c r="M107" s="14">
        <f t="shared" si="15"/>
        <v>0.13718198563080744</v>
      </c>
      <c r="N107" s="14">
        <f t="shared" si="22"/>
        <v>3.5105251183994821</v>
      </c>
      <c r="O107" s="4">
        <v>4.58</v>
      </c>
      <c r="P107" s="14">
        <f t="shared" si="25"/>
        <v>1.1437765223744418</v>
      </c>
      <c r="Q107" s="14">
        <f t="shared" si="23"/>
        <v>3.8167443927452456</v>
      </c>
    </row>
    <row r="108" spans="1:17" x14ac:dyDescent="0.25">
      <c r="A108" s="5" t="s">
        <v>165</v>
      </c>
      <c r="B108" s="6">
        <f t="shared" si="24"/>
        <v>5</v>
      </c>
      <c r="C108" s="70">
        <v>16.006595610000002</v>
      </c>
      <c r="D108" s="4">
        <v>0</v>
      </c>
      <c r="E108" s="12">
        <f t="shared" si="13"/>
        <v>0</v>
      </c>
      <c r="F108" s="12">
        <f t="shared" si="14"/>
        <v>0</v>
      </c>
      <c r="G108" s="16">
        <f t="shared" si="16"/>
        <v>2.5380518364228304</v>
      </c>
      <c r="H108" s="14">
        <f t="shared" si="17"/>
        <v>0</v>
      </c>
      <c r="I108" s="14">
        <f t="shared" si="18"/>
        <v>9.4466315484395125</v>
      </c>
      <c r="J108" s="14">
        <f t="shared" si="19"/>
        <v>0.38685896059384267</v>
      </c>
      <c r="K108" s="14">
        <f t="shared" si="20"/>
        <v>1.0477147104514521</v>
      </c>
      <c r="L108" s="14">
        <f t="shared" si="21"/>
        <v>642.78104979321142</v>
      </c>
      <c r="M108" s="14">
        <f t="shared" si="15"/>
        <v>0.13715276219549349</v>
      </c>
      <c r="N108" s="14">
        <f t="shared" si="22"/>
        <v>3.5097772825721774</v>
      </c>
      <c r="O108" s="4">
        <v>4.43</v>
      </c>
      <c r="P108" s="14">
        <f t="shared" si="25"/>
        <v>0.84680984967024575</v>
      </c>
      <c r="Q108" s="14">
        <f t="shared" si="23"/>
        <v>4.4253390910211081</v>
      </c>
    </row>
    <row r="109" spans="1:17" x14ac:dyDescent="0.25">
      <c r="A109" s="5" t="s">
        <v>166</v>
      </c>
      <c r="B109" s="6">
        <f t="shared" si="24"/>
        <v>5</v>
      </c>
      <c r="C109" s="70">
        <v>13.891276360000001</v>
      </c>
      <c r="D109" s="4">
        <v>0</v>
      </c>
      <c r="E109" s="12">
        <f t="shared" si="13"/>
        <v>0</v>
      </c>
      <c r="F109" s="12">
        <f t="shared" si="14"/>
        <v>0</v>
      </c>
      <c r="G109" s="16">
        <f t="shared" si="16"/>
        <v>2.3456255536731891</v>
      </c>
      <c r="H109" s="14">
        <f t="shared" si="17"/>
        <v>0</v>
      </c>
      <c r="I109" s="14">
        <f t="shared" si="18"/>
        <v>5.4150297165756038</v>
      </c>
      <c r="J109" s="14">
        <f t="shared" si="19"/>
        <v>0.19242628274964113</v>
      </c>
      <c r="K109" s="14">
        <f t="shared" si="20"/>
        <v>0.9959014205417549</v>
      </c>
      <c r="L109" s="14">
        <f t="shared" si="21"/>
        <v>642.69571032092563</v>
      </c>
      <c r="M109" s="14">
        <f t="shared" si="15"/>
        <v>0.1371235449855536</v>
      </c>
      <c r="N109" s="14">
        <f t="shared" si="22"/>
        <v>3.5090296060539239</v>
      </c>
      <c r="O109" s="4">
        <v>4.43</v>
      </c>
      <c r="P109" s="14">
        <f t="shared" si="25"/>
        <v>0.84818646652519014</v>
      </c>
      <c r="Q109" s="14">
        <f t="shared" si="23"/>
        <v>4.4253390910211081</v>
      </c>
    </row>
    <row r="110" spans="1:17" x14ac:dyDescent="0.25">
      <c r="A110" s="5" t="s">
        <v>167</v>
      </c>
      <c r="B110" s="6">
        <f t="shared" si="24"/>
        <v>5</v>
      </c>
      <c r="C110" s="70">
        <v>13.806555749999999</v>
      </c>
      <c r="D110" s="4">
        <v>0</v>
      </c>
      <c r="E110" s="12">
        <f t="shared" si="13"/>
        <v>0</v>
      </c>
      <c r="F110" s="12">
        <f t="shared" si="14"/>
        <v>0</v>
      </c>
      <c r="G110" s="16">
        <f t="shared" si="16"/>
        <v>2.173091252834805</v>
      </c>
      <c r="H110" s="14">
        <f t="shared" si="17"/>
        <v>0</v>
      </c>
      <c r="I110" s="14">
        <f t="shared" si="18"/>
        <v>5.2535601102867968</v>
      </c>
      <c r="J110" s="14">
        <f t="shared" si="19"/>
        <v>0.17253430083838417</v>
      </c>
      <c r="K110" s="14">
        <f t="shared" si="20"/>
        <v>0.94665048561713694</v>
      </c>
      <c r="L110" s="14">
        <f t="shared" si="21"/>
        <v>642.6078377108646</v>
      </c>
      <c r="M110" s="14">
        <f t="shared" si="15"/>
        <v>0.13709433399966153</v>
      </c>
      <c r="N110" s="14">
        <f t="shared" si="22"/>
        <v>3.5082820888107826</v>
      </c>
      <c r="O110" s="4">
        <v>4.5</v>
      </c>
      <c r="P110" s="14">
        <f t="shared" si="25"/>
        <v>0.98350441537350441</v>
      </c>
      <c r="Q110" s="14">
        <f t="shared" si="23"/>
        <v>4.1357282318257047</v>
      </c>
    </row>
    <row r="111" spans="1:17" x14ac:dyDescent="0.25">
      <c r="A111" s="5" t="s">
        <v>168</v>
      </c>
      <c r="B111" s="6">
        <f t="shared" si="24"/>
        <v>5</v>
      </c>
      <c r="C111" s="70">
        <v>14.593930240000001</v>
      </c>
      <c r="D111" s="4">
        <v>0</v>
      </c>
      <c r="E111" s="12">
        <f t="shared" si="13"/>
        <v>0</v>
      </c>
      <c r="F111" s="12">
        <f t="shared" si="14"/>
        <v>0</v>
      </c>
      <c r="G111" s="16">
        <f t="shared" si="16"/>
        <v>1.967589089914535</v>
      </c>
      <c r="H111" s="14">
        <f t="shared" si="17"/>
        <v>0</v>
      </c>
      <c r="I111" s="14">
        <f t="shared" si="18"/>
        <v>6.7542226869862318</v>
      </c>
      <c r="J111" s="14">
        <f t="shared" si="19"/>
        <v>0.20550216292026999</v>
      </c>
      <c r="K111" s="14">
        <f t="shared" si="20"/>
        <v>0.89983518793624295</v>
      </c>
      <c r="L111" s="14">
        <f t="shared" si="21"/>
        <v>642.51755867454585</v>
      </c>
      <c r="M111" s="14">
        <f t="shared" si="15"/>
        <v>0.13706512923649147</v>
      </c>
      <c r="N111" s="14">
        <f t="shared" si="22"/>
        <v>3.5075347308088269</v>
      </c>
      <c r="O111" s="4">
        <v>4.0999999999999996</v>
      </c>
      <c r="P111" s="14">
        <f t="shared" si="25"/>
        <v>0.35101509519776875</v>
      </c>
      <c r="Q111" s="14">
        <f t="shared" si="23"/>
        <v>5.9226474272280019</v>
      </c>
    </row>
    <row r="112" spans="1:17" x14ac:dyDescent="0.25">
      <c r="A112" s="5" t="s">
        <v>169</v>
      </c>
      <c r="B112" s="6">
        <f t="shared" si="24"/>
        <v>5</v>
      </c>
      <c r="C112" s="70">
        <v>14.697124479999999</v>
      </c>
      <c r="D112" s="4">
        <v>0</v>
      </c>
      <c r="E112" s="12">
        <f t="shared" si="13"/>
        <v>0</v>
      </c>
      <c r="F112" s="12">
        <f t="shared" si="14"/>
        <v>0</v>
      </c>
      <c r="G112" s="16">
        <f t="shared" si="16"/>
        <v>1.7761024022802432</v>
      </c>
      <c r="H112" s="14">
        <f t="shared" si="17"/>
        <v>0</v>
      </c>
      <c r="I112" s="14">
        <f t="shared" si="18"/>
        <v>6.9509013145843115</v>
      </c>
      <c r="J112" s="14">
        <f t="shared" si="19"/>
        <v>0.19148668763429177</v>
      </c>
      <c r="K112" s="14">
        <f t="shared" si="20"/>
        <v>0.85533507640931994</v>
      </c>
      <c r="L112" s="14">
        <f t="shared" si="21"/>
        <v>642.42499365683625</v>
      </c>
      <c r="M112" s="14">
        <f t="shared" si="15"/>
        <v>0.13703593069471778</v>
      </c>
      <c r="N112" s="14">
        <f t="shared" si="22"/>
        <v>3.506787532014132</v>
      </c>
      <c r="O112" s="4">
        <v>3.82</v>
      </c>
      <c r="P112" s="14">
        <f t="shared" si="25"/>
        <v>9.8102050101798316E-2</v>
      </c>
      <c r="Q112" s="14">
        <f t="shared" si="23"/>
        <v>7.3638908640096075</v>
      </c>
    </row>
    <row r="113" spans="1:17" x14ac:dyDescent="0.25">
      <c r="A113" s="5" t="s">
        <v>170</v>
      </c>
      <c r="B113" s="6">
        <f t="shared" si="24"/>
        <v>5</v>
      </c>
      <c r="C113" s="70">
        <v>15.24744797</v>
      </c>
      <c r="D113" s="4">
        <v>0.6</v>
      </c>
      <c r="E113" s="12">
        <f t="shared" si="13"/>
        <v>0</v>
      </c>
      <c r="F113" s="12">
        <f t="shared" si="14"/>
        <v>0.6</v>
      </c>
      <c r="G113" s="16">
        <f t="shared" si="16"/>
        <v>2.1443703494693054</v>
      </c>
      <c r="H113" s="14">
        <f t="shared" si="17"/>
        <v>3.2798342399919203E-2</v>
      </c>
      <c r="I113" s="14">
        <f t="shared" si="18"/>
        <v>7.9997667236244538</v>
      </c>
      <c r="J113" s="14">
        <f t="shared" si="19"/>
        <v>0.19893371041101884</v>
      </c>
      <c r="K113" s="14">
        <f t="shared" si="20"/>
        <v>0.84583399908950163</v>
      </c>
      <c r="L113" s="14">
        <f t="shared" si="21"/>
        <v>642.3302571458612</v>
      </c>
      <c r="M113" s="14">
        <f t="shared" si="15"/>
        <v>0.13701372529796099</v>
      </c>
      <c r="N113" s="14">
        <f t="shared" si="22"/>
        <v>3.50621928974296</v>
      </c>
      <c r="O113" s="4">
        <v>3.9</v>
      </c>
      <c r="P113" s="14">
        <f t="shared" si="25"/>
        <v>0.15506324777053879</v>
      </c>
      <c r="Q113" s="14">
        <f t="shared" si="23"/>
        <v>6.9361070249291483</v>
      </c>
    </row>
    <row r="114" spans="1:17" x14ac:dyDescent="0.25">
      <c r="A114" s="5" t="s">
        <v>171</v>
      </c>
      <c r="B114" s="6">
        <f t="shared" si="24"/>
        <v>5</v>
      </c>
      <c r="C114" s="70">
        <v>14.98232937</v>
      </c>
      <c r="D114" s="4">
        <v>0</v>
      </c>
      <c r="E114" s="12">
        <f t="shared" si="13"/>
        <v>0</v>
      </c>
      <c r="F114" s="12">
        <f t="shared" si="14"/>
        <v>0</v>
      </c>
      <c r="G114" s="16">
        <f t="shared" si="16"/>
        <v>1.9193591754794144</v>
      </c>
      <c r="H114" s="14">
        <f t="shared" si="17"/>
        <v>0</v>
      </c>
      <c r="I114" s="14">
        <f t="shared" si="18"/>
        <v>7.4944753197755132</v>
      </c>
      <c r="J114" s="14">
        <f t="shared" si="19"/>
        <v>0.22501117398989098</v>
      </c>
      <c r="K114" s="14">
        <f t="shared" si="20"/>
        <v>0.80400444208020949</v>
      </c>
      <c r="L114" s="14">
        <f t="shared" si="21"/>
        <v>642.2350729775726</v>
      </c>
      <c r="M114" s="14">
        <f t="shared" si="15"/>
        <v>0.13698453770660229</v>
      </c>
      <c r="N114" s="14">
        <f t="shared" si="22"/>
        <v>3.5054723711724272</v>
      </c>
      <c r="O114" s="4">
        <v>4.32</v>
      </c>
      <c r="P114" s="14">
        <f t="shared" si="25"/>
        <v>0.66345525812346873</v>
      </c>
      <c r="Q114" s="14">
        <f t="shared" si="23"/>
        <v>4.9002418697567363</v>
      </c>
    </row>
    <row r="115" spans="1:17" x14ac:dyDescent="0.25">
      <c r="A115" s="5" t="s">
        <v>172</v>
      </c>
      <c r="B115" s="6">
        <f t="shared" si="24"/>
        <v>5</v>
      </c>
      <c r="C115" s="70">
        <v>16.062139510000002</v>
      </c>
      <c r="D115" s="4">
        <v>0</v>
      </c>
      <c r="E115" s="12">
        <f t="shared" si="13"/>
        <v>0</v>
      </c>
      <c r="F115" s="12">
        <f t="shared" si="14"/>
        <v>0</v>
      </c>
      <c r="G115" s="16">
        <f t="shared" si="16"/>
        <v>1.6626531620940266</v>
      </c>
      <c r="H115" s="14">
        <f t="shared" si="17"/>
        <v>0</v>
      </c>
      <c r="I115" s="14">
        <f t="shared" si="18"/>
        <v>9.5524930579912581</v>
      </c>
      <c r="J115" s="14">
        <f t="shared" si="19"/>
        <v>0.25670601338538779</v>
      </c>
      <c r="K115" s="14">
        <f t="shared" si="20"/>
        <v>0.76424350827768972</v>
      </c>
      <c r="L115" s="14">
        <f t="shared" si="21"/>
        <v>642.13784937366847</v>
      </c>
      <c r="M115" s="14">
        <f t="shared" si="15"/>
        <v>0.13695535633298189</v>
      </c>
      <c r="N115" s="14">
        <f t="shared" si="22"/>
        <v>3.5047256117155436</v>
      </c>
      <c r="O115" s="4">
        <v>4.05</v>
      </c>
      <c r="P115" s="14">
        <f t="shared" si="25"/>
        <v>0.29732415851898786</v>
      </c>
      <c r="Q115" s="14">
        <f t="shared" si="23"/>
        <v>6.1685123266532873</v>
      </c>
    </row>
    <row r="116" spans="1:17" x14ac:dyDescent="0.25">
      <c r="A116" s="5" t="s">
        <v>173</v>
      </c>
      <c r="B116" s="6">
        <f t="shared" si="24"/>
        <v>5</v>
      </c>
      <c r="C116" s="70">
        <v>16.602117539999998</v>
      </c>
      <c r="D116" s="4">
        <v>0.5</v>
      </c>
      <c r="E116" s="12">
        <f t="shared" si="13"/>
        <v>0</v>
      </c>
      <c r="F116" s="12">
        <f t="shared" si="14"/>
        <v>0.5</v>
      </c>
      <c r="G116" s="16">
        <f t="shared" si="16"/>
        <v>1.8899359181867894</v>
      </c>
      <c r="H116" s="14">
        <f t="shared" si="17"/>
        <v>2.6386996264197306E-2</v>
      </c>
      <c r="I116" s="14">
        <f t="shared" si="18"/>
        <v>10.581640982076122</v>
      </c>
      <c r="J116" s="14">
        <f t="shared" si="19"/>
        <v>0.24633024764304001</v>
      </c>
      <c r="K116" s="14">
        <f t="shared" si="20"/>
        <v>0.75283589303076892</v>
      </c>
      <c r="L116" s="14">
        <f t="shared" si="21"/>
        <v>642.03868862884667</v>
      </c>
      <c r="M116" s="14">
        <f t="shared" si="15"/>
        <v>0.13693180231236193</v>
      </c>
      <c r="N116" s="14">
        <f t="shared" si="22"/>
        <v>3.5041228577850956</v>
      </c>
      <c r="O116" s="4">
        <v>3.85</v>
      </c>
      <c r="P116" s="14">
        <f t="shared" si="25"/>
        <v>0.11963099750674928</v>
      </c>
      <c r="Q116" s="14">
        <f t="shared" si="23"/>
        <v>7.2019719243544342</v>
      </c>
    </row>
    <row r="117" spans="1:17" x14ac:dyDescent="0.25">
      <c r="A117" s="5" t="s">
        <v>174</v>
      </c>
      <c r="B117" s="6">
        <f t="shared" si="24"/>
        <v>5</v>
      </c>
      <c r="C117" s="70">
        <v>14.92906666</v>
      </c>
      <c r="D117" s="4">
        <v>0.4</v>
      </c>
      <c r="E117" s="12">
        <f t="shared" si="13"/>
        <v>0</v>
      </c>
      <c r="F117" s="12">
        <f t="shared" si="14"/>
        <v>0.4</v>
      </c>
      <c r="G117" s="16">
        <f t="shared" si="16"/>
        <v>2.0717072701825061</v>
      </c>
      <c r="H117" s="14">
        <f t="shared" si="17"/>
        <v>2.2601742835505215E-2</v>
      </c>
      <c r="I117" s="14">
        <f t="shared" si="18"/>
        <v>7.3929615462843294</v>
      </c>
      <c r="J117" s="14">
        <f t="shared" si="19"/>
        <v>0.19562690516877812</v>
      </c>
      <c r="K117" s="14">
        <f t="shared" si="20"/>
        <v>0.73820717227640886</v>
      </c>
      <c r="L117" s="14">
        <f t="shared" si="21"/>
        <v>641.93898729012415</v>
      </c>
      <c r="M117" s="14">
        <f t="shared" si="15"/>
        <v>0.13690744694906695</v>
      </c>
      <c r="N117" s="14">
        <f t="shared" si="22"/>
        <v>3.5034995972729983</v>
      </c>
      <c r="O117" s="4">
        <v>3.79</v>
      </c>
      <c r="P117" s="14">
        <f t="shared" si="25"/>
        <v>8.2082480762734181E-2</v>
      </c>
      <c r="Q117" s="14">
        <f t="shared" si="23"/>
        <v>7.5276098036647783</v>
      </c>
    </row>
    <row r="118" spans="1:17" x14ac:dyDescent="0.25">
      <c r="A118" s="5" t="s">
        <v>175</v>
      </c>
      <c r="B118" s="6">
        <f t="shared" si="24"/>
        <v>5</v>
      </c>
      <c r="C118" s="70">
        <v>15.87209511</v>
      </c>
      <c r="D118" s="4">
        <v>0</v>
      </c>
      <c r="E118" s="12">
        <f t="shared" si="13"/>
        <v>0</v>
      </c>
      <c r="F118" s="12">
        <f t="shared" si="14"/>
        <v>0</v>
      </c>
      <c r="G118" s="16">
        <f t="shared" si="16"/>
        <v>1.805131618318494</v>
      </c>
      <c r="H118" s="14">
        <f t="shared" si="17"/>
        <v>0</v>
      </c>
      <c r="I118" s="14">
        <f t="shared" si="18"/>
        <v>9.1902860997860216</v>
      </c>
      <c r="J118" s="14">
        <f t="shared" si="19"/>
        <v>0.26657565186401205</v>
      </c>
      <c r="K118" s="14">
        <f t="shared" si="20"/>
        <v>0.70170015195014634</v>
      </c>
      <c r="L118" s="14">
        <f t="shared" si="21"/>
        <v>641.83858686350129</v>
      </c>
      <c r="M118" s="14">
        <f t="shared" si="15"/>
        <v>0.13687828199784166</v>
      </c>
      <c r="N118" s="14">
        <f t="shared" si="22"/>
        <v>3.5027532580697676</v>
      </c>
      <c r="O118" s="4">
        <v>3.85</v>
      </c>
      <c r="P118" s="14">
        <f t="shared" si="25"/>
        <v>0.12058029978116151</v>
      </c>
      <c r="Q118" s="14">
        <f t="shared" si="23"/>
        <v>7.2019719243544342</v>
      </c>
    </row>
    <row r="119" spans="1:17" x14ac:dyDescent="0.25">
      <c r="A119" s="5" t="s">
        <v>176</v>
      </c>
      <c r="B119" s="6">
        <f t="shared" si="24"/>
        <v>5</v>
      </c>
      <c r="C119" s="70">
        <v>16.51985741</v>
      </c>
      <c r="D119" s="4">
        <v>0</v>
      </c>
      <c r="E119" s="12">
        <f t="shared" si="13"/>
        <v>0</v>
      </c>
      <c r="F119" s="12">
        <f t="shared" si="14"/>
        <v>0</v>
      </c>
      <c r="G119" s="16">
        <f t="shared" si="16"/>
        <v>1.5416549293374016</v>
      </c>
      <c r="H119" s="14">
        <f t="shared" si="17"/>
        <v>0</v>
      </c>
      <c r="I119" s="14">
        <f t="shared" si="18"/>
        <v>10.424860821919514</v>
      </c>
      <c r="J119" s="14">
        <f t="shared" si="19"/>
        <v>0.26347668898109244</v>
      </c>
      <c r="K119" s="14">
        <f t="shared" si="20"/>
        <v>0.66699853609996373</v>
      </c>
      <c r="L119" s="14">
        <f t="shared" si="21"/>
        <v>641.73641019735362</v>
      </c>
      <c r="M119" s="14">
        <f t="shared" si="15"/>
        <v>0.13684912325953172</v>
      </c>
      <c r="N119" s="14">
        <f t="shared" si="22"/>
        <v>3.5020070778567667</v>
      </c>
      <c r="O119" s="4">
        <v>4.0199999999999996</v>
      </c>
      <c r="P119" s="14">
        <f t="shared" si="25"/>
        <v>0.26831666739048532</v>
      </c>
      <c r="Q119" s="14">
        <f t="shared" si="23"/>
        <v>6.318431266308461</v>
      </c>
    </row>
    <row r="120" spans="1:17" x14ac:dyDescent="0.25">
      <c r="A120" s="5" t="s">
        <v>177</v>
      </c>
      <c r="B120" s="6">
        <f t="shared" si="24"/>
        <v>5</v>
      </c>
      <c r="C120" s="70">
        <v>14.02449322</v>
      </c>
      <c r="D120" s="4">
        <v>0</v>
      </c>
      <c r="E120" s="12">
        <f t="shared" si="13"/>
        <v>0</v>
      </c>
      <c r="F120" s="12">
        <f t="shared" si="14"/>
        <v>0</v>
      </c>
      <c r="G120" s="16">
        <f t="shared" si="16"/>
        <v>1.4192916165225866</v>
      </c>
      <c r="H120" s="14">
        <f t="shared" si="17"/>
        <v>0</v>
      </c>
      <c r="I120" s="14">
        <f t="shared" si="18"/>
        <v>5.6689286667275276</v>
      </c>
      <c r="J120" s="14">
        <f t="shared" si="19"/>
        <v>0.12236331281481501</v>
      </c>
      <c r="K120" s="14">
        <f t="shared" si="20"/>
        <v>0.63401304093076849</v>
      </c>
      <c r="L120" s="14">
        <f t="shared" si="21"/>
        <v>641.63254656926324</v>
      </c>
      <c r="M120" s="14">
        <f t="shared" si="15"/>
        <v>0.1368199707328136</v>
      </c>
      <c r="N120" s="14">
        <f t="shared" si="22"/>
        <v>3.5012610566001259</v>
      </c>
      <c r="O120" s="4">
        <v>3.99</v>
      </c>
      <c r="P120" s="14">
        <f t="shared" si="25"/>
        <v>0.23886575479562558</v>
      </c>
      <c r="Q120" s="14">
        <f t="shared" si="23"/>
        <v>6.4701502059636304</v>
      </c>
    </row>
    <row r="121" spans="1:17" x14ac:dyDescent="0.25">
      <c r="A121" s="5" t="s">
        <v>178</v>
      </c>
      <c r="B121" s="6">
        <f t="shared" si="24"/>
        <v>5</v>
      </c>
      <c r="C121" s="70">
        <v>15.38195419</v>
      </c>
      <c r="D121" s="4">
        <v>0</v>
      </c>
      <c r="E121" s="12">
        <f t="shared" si="13"/>
        <v>0</v>
      </c>
      <c r="F121" s="12">
        <f t="shared" si="14"/>
        <v>0</v>
      </c>
      <c r="G121" s="16">
        <f t="shared" si="16"/>
        <v>1.2552285388959024</v>
      </c>
      <c r="H121" s="14">
        <f t="shared" si="17"/>
        <v>0</v>
      </c>
      <c r="I121" s="14">
        <f t="shared" si="18"/>
        <v>8.2561230740661635</v>
      </c>
      <c r="J121" s="14">
        <f t="shared" si="19"/>
        <v>0.16406307762668429</v>
      </c>
      <c r="K121" s="14">
        <f t="shared" si="20"/>
        <v>0.60265879805474765</v>
      </c>
      <c r="L121" s="14">
        <f t="shared" si="21"/>
        <v>641.52708084140647</v>
      </c>
      <c r="M121" s="14">
        <f t="shared" si="15"/>
        <v>0.13679082441636409</v>
      </c>
      <c r="N121" s="14">
        <f t="shared" si="22"/>
        <v>3.5005151942659838</v>
      </c>
      <c r="O121" s="4">
        <v>3.7</v>
      </c>
      <c r="P121" s="14">
        <f t="shared" si="25"/>
        <v>3.9794187718738258E-2</v>
      </c>
      <c r="Q121" s="14">
        <f t="shared" si="23"/>
        <v>8.0295666226302949</v>
      </c>
    </row>
    <row r="122" spans="1:17" x14ac:dyDescent="0.25">
      <c r="A122" s="5" t="s">
        <v>179</v>
      </c>
      <c r="B122" s="6">
        <f t="shared" si="24"/>
        <v>5</v>
      </c>
      <c r="C122" s="70">
        <v>15.652105329999999</v>
      </c>
      <c r="D122" s="4">
        <v>0</v>
      </c>
      <c r="E122" s="12">
        <f t="shared" si="13"/>
        <v>0</v>
      </c>
      <c r="F122" s="12">
        <f t="shared" si="14"/>
        <v>0</v>
      </c>
      <c r="G122" s="16">
        <f t="shared" si="16"/>
        <v>1.1010814693909423</v>
      </c>
      <c r="H122" s="14">
        <f t="shared" si="17"/>
        <v>0</v>
      </c>
      <c r="I122" s="14">
        <f t="shared" si="18"/>
        <v>8.771006031286035</v>
      </c>
      <c r="J122" s="14">
        <f t="shared" si="19"/>
        <v>0.1541470695049601</v>
      </c>
      <c r="K122" s="14">
        <f t="shared" si="20"/>
        <v>0.57285513613347383</v>
      </c>
      <c r="L122" s="14">
        <f t="shared" si="21"/>
        <v>641.42009367891137</v>
      </c>
      <c r="M122" s="14">
        <f t="shared" si="15"/>
        <v>0.13676168430886027</v>
      </c>
      <c r="N122" s="14">
        <f t="shared" si="22"/>
        <v>3.4997694908204871</v>
      </c>
      <c r="O122" s="4">
        <v>3.52</v>
      </c>
      <c r="P122" s="14">
        <f t="shared" si="25"/>
        <v>4.0927350166235845E-4</v>
      </c>
      <c r="Q122" s="14">
        <f t="shared" si="23"/>
        <v>9.0820802605613284</v>
      </c>
    </row>
    <row r="123" spans="1:17" x14ac:dyDescent="0.25">
      <c r="A123" s="5" t="s">
        <v>180</v>
      </c>
      <c r="B123" s="6">
        <f t="shared" si="24"/>
        <v>5</v>
      </c>
      <c r="C123" s="70">
        <v>15.64684963</v>
      </c>
      <c r="D123" s="4">
        <v>0</v>
      </c>
      <c r="E123" s="12">
        <f t="shared" si="13"/>
        <v>0</v>
      </c>
      <c r="F123" s="12">
        <f t="shared" si="14"/>
        <v>0</v>
      </c>
      <c r="G123" s="16">
        <f t="shared" si="16"/>
        <v>0.96601869864422907</v>
      </c>
      <c r="H123" s="14">
        <f t="shared" si="17"/>
        <v>0</v>
      </c>
      <c r="I123" s="14">
        <f t="shared" si="18"/>
        <v>8.7609891557020187</v>
      </c>
      <c r="J123" s="14">
        <f t="shared" si="19"/>
        <v>0.13506277074671327</v>
      </c>
      <c r="K123" s="14">
        <f t="shared" si="20"/>
        <v>0.54452537331860096</v>
      </c>
      <c r="L123" s="14">
        <f t="shared" si="21"/>
        <v>641.31166175741737</v>
      </c>
      <c r="M123" s="14">
        <f t="shared" si="15"/>
        <v>0.13673255040897939</v>
      </c>
      <c r="N123" s="14">
        <f t="shared" si="22"/>
        <v>3.4990239462297845</v>
      </c>
      <c r="O123" s="4">
        <v>3.41</v>
      </c>
      <c r="P123" s="14">
        <f t="shared" si="25"/>
        <v>7.9252630023235408E-3</v>
      </c>
      <c r="Q123" s="14">
        <f t="shared" si="23"/>
        <v>9.7571830392969581</v>
      </c>
    </row>
    <row r="124" spans="1:17" x14ac:dyDescent="0.25">
      <c r="A124" s="5" t="s">
        <v>181</v>
      </c>
      <c r="B124" s="6">
        <f t="shared" si="24"/>
        <v>5</v>
      </c>
      <c r="C124" s="70">
        <v>15.05647469</v>
      </c>
      <c r="D124" s="4">
        <v>0</v>
      </c>
      <c r="E124" s="12">
        <f t="shared" si="13"/>
        <v>0</v>
      </c>
      <c r="F124" s="12">
        <f t="shared" si="14"/>
        <v>0</v>
      </c>
      <c r="G124" s="16">
        <f t="shared" si="16"/>
        <v>0.86274195564245004</v>
      </c>
      <c r="H124" s="14">
        <f t="shared" si="17"/>
        <v>0</v>
      </c>
      <c r="I124" s="14">
        <f t="shared" si="18"/>
        <v>7.6357894064960554</v>
      </c>
      <c r="J124" s="14">
        <f t="shared" si="19"/>
        <v>0.10327674300177907</v>
      </c>
      <c r="K124" s="14">
        <f t="shared" si="20"/>
        <v>0.51759661995711981</v>
      </c>
      <c r="L124" s="14">
        <f t="shared" si="21"/>
        <v>641.20185796036992</v>
      </c>
      <c r="M124" s="14">
        <f t="shared" si="15"/>
        <v>0.13670342271539912</v>
      </c>
      <c r="N124" s="14">
        <f t="shared" si="22"/>
        <v>3.4982785604600402</v>
      </c>
      <c r="O124" s="4">
        <v>3.31</v>
      </c>
      <c r="P124" s="14">
        <f t="shared" si="25"/>
        <v>3.5448816328904974E-2</v>
      </c>
      <c r="Q124" s="14">
        <f t="shared" si="23"/>
        <v>10.391912838147533</v>
      </c>
    </row>
    <row r="125" spans="1:17" x14ac:dyDescent="0.25">
      <c r="A125" s="5" t="s">
        <v>182</v>
      </c>
      <c r="B125" s="6">
        <f t="shared" si="24"/>
        <v>5</v>
      </c>
      <c r="C125" s="70">
        <v>15.32737446</v>
      </c>
      <c r="D125" s="4">
        <v>0</v>
      </c>
      <c r="E125" s="12">
        <f t="shared" si="13"/>
        <v>0</v>
      </c>
      <c r="F125" s="12">
        <f t="shared" si="14"/>
        <v>0</v>
      </c>
      <c r="G125" s="16">
        <f t="shared" si="16"/>
        <v>0.76426980303462255</v>
      </c>
      <c r="H125" s="14">
        <f t="shared" si="17"/>
        <v>0</v>
      </c>
      <c r="I125" s="14">
        <f t="shared" si="18"/>
        <v>8.1520991828967144</v>
      </c>
      <c r="J125" s="14">
        <f t="shared" si="19"/>
        <v>9.8472152607827504E-2</v>
      </c>
      <c r="K125" s="14">
        <f t="shared" si="20"/>
        <v>0.49199959105355323</v>
      </c>
      <c r="L125" s="14">
        <f t="shared" si="21"/>
        <v>641.09075156655808</v>
      </c>
      <c r="M125" s="14">
        <f t="shared" si="15"/>
        <v>0.13667430122679733</v>
      </c>
      <c r="N125" s="14">
        <f t="shared" si="22"/>
        <v>3.4975333334774183</v>
      </c>
      <c r="O125" s="4">
        <v>3.27</v>
      </c>
      <c r="P125" s="14">
        <f t="shared" si="25"/>
        <v>5.177141784334606E-2</v>
      </c>
      <c r="Q125" s="14">
        <f t="shared" si="23"/>
        <v>10.651404757687763</v>
      </c>
    </row>
    <row r="126" spans="1:17" x14ac:dyDescent="0.25">
      <c r="A126" s="5" t="s">
        <v>183</v>
      </c>
      <c r="B126" s="6">
        <f t="shared" si="24"/>
        <v>5</v>
      </c>
      <c r="C126" s="70">
        <v>15.70037842</v>
      </c>
      <c r="D126" s="4">
        <v>0</v>
      </c>
      <c r="E126" s="12">
        <f t="shared" si="13"/>
        <v>0</v>
      </c>
      <c r="F126" s="12">
        <f t="shared" si="14"/>
        <v>0</v>
      </c>
      <c r="G126" s="16">
        <f t="shared" si="16"/>
        <v>0.66942992194929529</v>
      </c>
      <c r="H126" s="14">
        <f t="shared" si="17"/>
        <v>0</v>
      </c>
      <c r="I126" s="14">
        <f t="shared" si="18"/>
        <v>8.8630100529360671</v>
      </c>
      <c r="J126" s="14">
        <f t="shared" si="19"/>
        <v>9.4839881085327218E-2</v>
      </c>
      <c r="K126" s="14">
        <f t="shared" si="20"/>
        <v>0.46766842800657649</v>
      </c>
      <c r="L126" s="14">
        <f t="shared" si="21"/>
        <v>640.9784084283782</v>
      </c>
      <c r="M126" s="14">
        <f t="shared" si="15"/>
        <v>0.13664518594185221</v>
      </c>
      <c r="N126" s="14">
        <f t="shared" si="22"/>
        <v>3.4967882652480928</v>
      </c>
      <c r="O126" s="4">
        <v>3.28</v>
      </c>
      <c r="P126" s="14">
        <f t="shared" si="25"/>
        <v>4.6997151949277539E-2</v>
      </c>
      <c r="Q126" s="14">
        <f t="shared" si="23"/>
        <v>10.586231777802706</v>
      </c>
    </row>
    <row r="127" spans="1:17" x14ac:dyDescent="0.25">
      <c r="A127" s="5" t="s">
        <v>184</v>
      </c>
      <c r="B127" s="6">
        <f t="shared" si="24"/>
        <v>5</v>
      </c>
      <c r="C127" s="70">
        <v>13.391432760000001</v>
      </c>
      <c r="D127" s="4">
        <v>0</v>
      </c>
      <c r="E127" s="12">
        <f t="shared" si="13"/>
        <v>0</v>
      </c>
      <c r="F127" s="12">
        <f t="shared" si="14"/>
        <v>0</v>
      </c>
      <c r="G127" s="16">
        <f t="shared" si="16"/>
        <v>0.62760509305588441</v>
      </c>
      <c r="H127" s="14">
        <f t="shared" si="17"/>
        <v>0</v>
      </c>
      <c r="I127" s="14">
        <f t="shared" si="18"/>
        <v>4.4623742848220038</v>
      </c>
      <c r="J127" s="14">
        <f t="shared" si="19"/>
        <v>4.182482889341084E-2</v>
      </c>
      <c r="K127" s="14">
        <f t="shared" si="20"/>
        <v>0.44454052916140707</v>
      </c>
      <c r="L127" s="14">
        <f t="shared" si="21"/>
        <v>640.86489114128153</v>
      </c>
      <c r="M127" s="14">
        <f t="shared" si="15"/>
        <v>0.13661607685924221</v>
      </c>
      <c r="N127" s="14">
        <f t="shared" si="22"/>
        <v>3.4960433557382466</v>
      </c>
      <c r="O127" s="4">
        <v>3.09</v>
      </c>
      <c r="P127" s="14">
        <f t="shared" si="25"/>
        <v>0.16487120673917643</v>
      </c>
      <c r="Q127" s="14">
        <f t="shared" si="23"/>
        <v>11.858718395618796</v>
      </c>
    </row>
    <row r="128" spans="1:17" x14ac:dyDescent="0.25">
      <c r="A128" s="5" t="s">
        <v>185</v>
      </c>
      <c r="B128" s="6">
        <f t="shared" si="24"/>
        <v>5</v>
      </c>
      <c r="C128" s="70">
        <v>14.11914539</v>
      </c>
      <c r="D128" s="4">
        <v>0</v>
      </c>
      <c r="E128" s="12">
        <f t="shared" si="13"/>
        <v>0</v>
      </c>
      <c r="F128" s="12">
        <f t="shared" si="14"/>
        <v>0</v>
      </c>
      <c r="G128" s="16">
        <f t="shared" si="16"/>
        <v>0.57620600529550581</v>
      </c>
      <c r="H128" s="14">
        <f t="shared" si="17"/>
        <v>0</v>
      </c>
      <c r="I128" s="14">
        <f t="shared" si="18"/>
        <v>5.849326903051379</v>
      </c>
      <c r="J128" s="14">
        <f t="shared" si="19"/>
        <v>5.1399087760378659E-2</v>
      </c>
      <c r="K128" s="14">
        <f t="shared" si="20"/>
        <v>0.42255638874199325</v>
      </c>
      <c r="L128" s="14">
        <f t="shared" si="21"/>
        <v>640.75025920484165</v>
      </c>
      <c r="M128" s="14">
        <f t="shared" si="15"/>
        <v>0.13658697397764599</v>
      </c>
      <c r="N128" s="14">
        <f t="shared" si="22"/>
        <v>3.4952986049140655</v>
      </c>
      <c r="O128" s="4">
        <v>2.82</v>
      </c>
      <c r="P128" s="14">
        <f t="shared" si="25"/>
        <v>0.45602820579888337</v>
      </c>
      <c r="Q128" s="14">
        <f t="shared" si="23"/>
        <v>13.791188852515345</v>
      </c>
    </row>
    <row r="129" spans="1:17" x14ac:dyDescent="0.25">
      <c r="A129" s="5" t="s">
        <v>186</v>
      </c>
      <c r="B129" s="6">
        <f t="shared" si="24"/>
        <v>5</v>
      </c>
      <c r="C129" s="70">
        <v>13.18481064</v>
      </c>
      <c r="D129" s="4">
        <v>0</v>
      </c>
      <c r="E129" s="12">
        <f t="shared" si="13"/>
        <v>0</v>
      </c>
      <c r="F129" s="12">
        <f t="shared" si="14"/>
        <v>0</v>
      </c>
      <c r="G129" s="16">
        <f t="shared" si="16"/>
        <v>0.54338266192277274</v>
      </c>
      <c r="H129" s="14">
        <f t="shared" si="17"/>
        <v>0</v>
      </c>
      <c r="I129" s="14">
        <f t="shared" si="18"/>
        <v>4.0685717335070635</v>
      </c>
      <c r="J129" s="14">
        <f t="shared" si="19"/>
        <v>3.2823343372733106E-2</v>
      </c>
      <c r="K129" s="14">
        <f t="shared" si="20"/>
        <v>0.40165944374858975</v>
      </c>
      <c r="L129" s="14">
        <f t="shared" si="21"/>
        <v>640.63456917585734</v>
      </c>
      <c r="M129" s="14">
        <f t="shared" si="15"/>
        <v>0.1365578772957427</v>
      </c>
      <c r="N129" s="14">
        <f t="shared" si="22"/>
        <v>3.4945540127417494</v>
      </c>
      <c r="O129" s="4">
        <v>2.89</v>
      </c>
      <c r="P129" s="14">
        <f t="shared" si="25"/>
        <v>0.36548555432215113</v>
      </c>
      <c r="Q129" s="14">
        <f t="shared" si="23"/>
        <v>13.276177993319942</v>
      </c>
    </row>
    <row r="130" spans="1:17" x14ac:dyDescent="0.25">
      <c r="A130" s="5" t="s">
        <v>187</v>
      </c>
      <c r="B130" s="6">
        <f t="shared" si="24"/>
        <v>5</v>
      </c>
      <c r="C130" s="70">
        <v>14.9279089</v>
      </c>
      <c r="D130" s="4">
        <v>0</v>
      </c>
      <c r="E130" s="12">
        <f t="shared" si="13"/>
        <v>0</v>
      </c>
      <c r="F130" s="12">
        <f t="shared" si="14"/>
        <v>0</v>
      </c>
      <c r="G130" s="16">
        <f t="shared" si="16"/>
        <v>0.48715401420581311</v>
      </c>
      <c r="H130" s="14">
        <f t="shared" si="17"/>
        <v>0</v>
      </c>
      <c r="I130" s="14">
        <f t="shared" si="18"/>
        <v>7.3907549633598579</v>
      </c>
      <c r="J130" s="14">
        <f t="shared" si="19"/>
        <v>5.6228647716959644E-2</v>
      </c>
      <c r="K130" s="14">
        <f t="shared" si="20"/>
        <v>0.38179592842680332</v>
      </c>
      <c r="L130" s="14">
        <f t="shared" si="21"/>
        <v>640.5178748138834</v>
      </c>
      <c r="M130" s="14">
        <f t="shared" si="15"/>
        <v>0.13652878681221156</v>
      </c>
      <c r="N130" s="14">
        <f t="shared" si="22"/>
        <v>3.4938095791874972</v>
      </c>
      <c r="O130" s="4">
        <v>2.78</v>
      </c>
      <c r="P130" s="14">
        <f t="shared" si="25"/>
        <v>0.50952411533983222</v>
      </c>
      <c r="Q130" s="14">
        <f t="shared" si="23"/>
        <v>14.089880772055576</v>
      </c>
    </row>
    <row r="131" spans="1:17" x14ac:dyDescent="0.25">
      <c r="A131" s="5" t="s">
        <v>188</v>
      </c>
      <c r="B131" s="6">
        <f t="shared" si="24"/>
        <v>5</v>
      </c>
      <c r="C131" s="70">
        <v>13.14687157</v>
      </c>
      <c r="D131" s="4">
        <v>0</v>
      </c>
      <c r="E131" s="12">
        <f t="shared" si="13"/>
        <v>0</v>
      </c>
      <c r="F131" s="12">
        <f t="shared" si="14"/>
        <v>0</v>
      </c>
      <c r="G131" s="16">
        <f t="shared" si="16"/>
        <v>0.45989667563954745</v>
      </c>
      <c r="H131" s="14">
        <f t="shared" si="17"/>
        <v>0</v>
      </c>
      <c r="I131" s="14">
        <f t="shared" si="18"/>
        <v>3.996263393235866</v>
      </c>
      <c r="J131" s="14">
        <f t="shared" si="19"/>
        <v>2.7257338566265676E-2</v>
      </c>
      <c r="K131" s="14">
        <f t="shared" si="20"/>
        <v>0.36291473593367124</v>
      </c>
      <c r="L131" s="14">
        <f t="shared" si="21"/>
        <v>640.40022721956439</v>
      </c>
      <c r="M131" s="14">
        <f t="shared" si="15"/>
        <v>0.13649970252573218</v>
      </c>
      <c r="N131" s="14">
        <f t="shared" si="22"/>
        <v>3.4930653042175215</v>
      </c>
      <c r="O131" s="4">
        <v>2.72</v>
      </c>
      <c r="P131" s="14">
        <f t="shared" si="25"/>
        <v>0.59762996458492879</v>
      </c>
      <c r="Q131" s="14">
        <f t="shared" si="23"/>
        <v>14.543918651365916</v>
      </c>
    </row>
    <row r="132" spans="1:17" x14ac:dyDescent="0.25">
      <c r="A132" s="5" t="s">
        <v>189</v>
      </c>
      <c r="B132" s="6">
        <f t="shared" si="24"/>
        <v>5</v>
      </c>
      <c r="C132" s="70">
        <v>15.93209362</v>
      </c>
      <c r="D132" s="4">
        <v>0</v>
      </c>
      <c r="E132" s="12">
        <f t="shared" si="13"/>
        <v>0</v>
      </c>
      <c r="F132" s="12">
        <f t="shared" si="14"/>
        <v>0</v>
      </c>
      <c r="G132" s="16">
        <f t="shared" si="16"/>
        <v>0.39998343714748441</v>
      </c>
      <c r="H132" s="14">
        <f t="shared" si="17"/>
        <v>0</v>
      </c>
      <c r="I132" s="14">
        <f t="shared" si="18"/>
        <v>9.3046376818581376</v>
      </c>
      <c r="J132" s="14">
        <f t="shared" si="19"/>
        <v>5.9913238492063051E-2</v>
      </c>
      <c r="K132" s="14">
        <f t="shared" si="20"/>
        <v>0.34496728684485378</v>
      </c>
      <c r="L132" s="14">
        <f t="shared" si="21"/>
        <v>640.28167496612753</v>
      </c>
      <c r="M132" s="14">
        <f t="shared" si="15"/>
        <v>0.13647062443498445</v>
      </c>
      <c r="N132" s="14">
        <f t="shared" si="22"/>
        <v>3.4923211877980398</v>
      </c>
      <c r="O132" s="4">
        <v>2.72</v>
      </c>
      <c r="P132" s="14">
        <f t="shared" si="25"/>
        <v>0.59648001712177479</v>
      </c>
      <c r="Q132" s="14">
        <f t="shared" si="23"/>
        <v>14.543918651365916</v>
      </c>
    </row>
    <row r="133" spans="1:17" x14ac:dyDescent="0.25">
      <c r="A133" s="5" t="s">
        <v>190</v>
      </c>
      <c r="B133" s="6">
        <f t="shared" si="24"/>
        <v>8</v>
      </c>
      <c r="C133" s="70">
        <v>14.677695269999999</v>
      </c>
      <c r="D133" s="4">
        <v>0</v>
      </c>
      <c r="E133" s="12">
        <f t="shared" si="13"/>
        <v>0</v>
      </c>
      <c r="F133" s="12">
        <f t="shared" si="14"/>
        <v>0</v>
      </c>
      <c r="G133" s="16">
        <f t="shared" si="16"/>
        <v>0.37581962699868821</v>
      </c>
      <c r="H133" s="14">
        <f t="shared" si="17"/>
        <v>0</v>
      </c>
      <c r="I133" s="14">
        <f t="shared" si="18"/>
        <v>4.3147968055394159</v>
      </c>
      <c r="J133" s="14">
        <f t="shared" si="19"/>
        <v>2.416381014879623E-2</v>
      </c>
      <c r="K133" s="14">
        <f t="shared" si="20"/>
        <v>0.32790740416462261</v>
      </c>
      <c r="L133" s="14">
        <f t="shared" si="21"/>
        <v>640.16226422437285</v>
      </c>
      <c r="M133" s="14">
        <f t="shared" si="15"/>
        <v>0.13644155253864843</v>
      </c>
      <c r="N133" s="14">
        <f t="shared" si="22"/>
        <v>3.4915772298952739</v>
      </c>
      <c r="O133" s="4">
        <v>1.58</v>
      </c>
      <c r="P133" s="14">
        <f t="shared" si="25"/>
        <v>3.6541275058540883</v>
      </c>
      <c r="Q133" s="14">
        <f t="shared" si="23"/>
        <v>24.538638358262457</v>
      </c>
    </row>
    <row r="134" spans="1:17" x14ac:dyDescent="0.25">
      <c r="A134" s="5" t="s">
        <v>191</v>
      </c>
      <c r="B134" s="6">
        <f t="shared" si="24"/>
        <v>8</v>
      </c>
      <c r="C134" s="70">
        <v>15.154330249999999</v>
      </c>
      <c r="D134" s="4">
        <v>0</v>
      </c>
      <c r="E134" s="12">
        <f t="shared" si="13"/>
        <v>0</v>
      </c>
      <c r="F134" s="12">
        <f t="shared" si="14"/>
        <v>0</v>
      </c>
      <c r="G134" s="16">
        <f t="shared" si="16"/>
        <v>0.34921660288111395</v>
      </c>
      <c r="H134" s="14">
        <f t="shared" si="17"/>
        <v>0</v>
      </c>
      <c r="I134" s="14">
        <f t="shared" si="18"/>
        <v>5.0557837851516263</v>
      </c>
      <c r="J134" s="14">
        <f t="shared" si="19"/>
        <v>2.6603024117574248E-2</v>
      </c>
      <c r="K134" s="14">
        <f t="shared" si="20"/>
        <v>0.31169119451705835</v>
      </c>
      <c r="L134" s="14">
        <f t="shared" si="21"/>
        <v>640.04203888148174</v>
      </c>
      <c r="M134" s="14">
        <f t="shared" si="15"/>
        <v>0.13641248683540455</v>
      </c>
      <c r="N134" s="14">
        <f t="shared" si="22"/>
        <v>3.4908334304754565</v>
      </c>
      <c r="O134" s="4">
        <v>1.57</v>
      </c>
      <c r="P134" s="14">
        <f t="shared" si="25"/>
        <v>3.6896010676321098</v>
      </c>
      <c r="Q134" s="14">
        <f t="shared" si="23"/>
        <v>24.637811338147515</v>
      </c>
    </row>
    <row r="135" spans="1:17" x14ac:dyDescent="0.25">
      <c r="A135" s="5" t="s">
        <v>192</v>
      </c>
      <c r="B135" s="6">
        <f t="shared" si="24"/>
        <v>8</v>
      </c>
      <c r="C135" s="70">
        <v>15.99878979</v>
      </c>
      <c r="D135" s="4">
        <v>0</v>
      </c>
      <c r="E135" s="12">
        <f t="shared" si="13"/>
        <v>0</v>
      </c>
      <c r="F135" s="12">
        <f t="shared" si="14"/>
        <v>0</v>
      </c>
      <c r="G135" s="16">
        <f t="shared" si="16"/>
        <v>0.31807780609067704</v>
      </c>
      <c r="H135" s="14">
        <f t="shared" si="17"/>
        <v>0</v>
      </c>
      <c r="I135" s="14">
        <f t="shared" si="18"/>
        <v>6.3685987278344278</v>
      </c>
      <c r="J135" s="14">
        <f t="shared" si="19"/>
        <v>3.1138796790436889E-2</v>
      </c>
      <c r="K135" s="14">
        <f t="shared" si="20"/>
        <v>0.29627693521277371</v>
      </c>
      <c r="L135" s="14">
        <f t="shared" si="21"/>
        <v>639.92104065395063</v>
      </c>
      <c r="M135" s="14">
        <f t="shared" si="15"/>
        <v>0.13638342732393358</v>
      </c>
      <c r="N135" s="14">
        <f t="shared" si="22"/>
        <v>3.4900897895048284</v>
      </c>
      <c r="O135" s="4">
        <v>1.59</v>
      </c>
      <c r="P135" s="14">
        <f t="shared" si="25"/>
        <v>3.6103412081805026</v>
      </c>
      <c r="Q135" s="14">
        <f t="shared" si="23"/>
        <v>24.439665378377402</v>
      </c>
    </row>
    <row r="136" spans="1:17" x14ac:dyDescent="0.25">
      <c r="A136" s="5" t="s">
        <v>193</v>
      </c>
      <c r="B136" s="6">
        <f t="shared" si="24"/>
        <v>8</v>
      </c>
      <c r="C136" s="70">
        <v>15.45656586</v>
      </c>
      <c r="D136" s="4">
        <v>0</v>
      </c>
      <c r="E136" s="12">
        <f t="shared" si="13"/>
        <v>0</v>
      </c>
      <c r="F136" s="12">
        <f t="shared" si="14"/>
        <v>0</v>
      </c>
      <c r="G136" s="16">
        <f t="shared" si="16"/>
        <v>0.29346962778771934</v>
      </c>
      <c r="H136" s="14">
        <f t="shared" si="17"/>
        <v>0</v>
      </c>
      <c r="I136" s="14">
        <f t="shared" si="18"/>
        <v>5.525645757483483</v>
      </c>
      <c r="J136" s="14">
        <f t="shared" si="19"/>
        <v>2.4608178302957712E-2</v>
      </c>
      <c r="K136" s="14">
        <f t="shared" si="20"/>
        <v>0.28162496690059702</v>
      </c>
      <c r="L136" s="14">
        <f t="shared" si="21"/>
        <v>639.79930919493893</v>
      </c>
      <c r="M136" s="14">
        <f t="shared" si="15"/>
        <v>0.1363543740029165</v>
      </c>
      <c r="N136" s="14">
        <f t="shared" si="22"/>
        <v>3.4893463069496344</v>
      </c>
      <c r="O136" s="4">
        <v>1.59</v>
      </c>
      <c r="P136" s="14">
        <f t="shared" si="25"/>
        <v>3.6075163937232149</v>
      </c>
      <c r="Q136" s="14">
        <f t="shared" si="23"/>
        <v>24.439665378377402</v>
      </c>
    </row>
    <row r="137" spans="1:17" x14ac:dyDescent="0.25">
      <c r="A137" s="5" t="s">
        <v>194</v>
      </c>
      <c r="B137" s="6">
        <f t="shared" si="24"/>
        <v>8</v>
      </c>
      <c r="C137" s="70">
        <v>13.574708940000001</v>
      </c>
      <c r="D137" s="4">
        <v>0</v>
      </c>
      <c r="E137" s="12">
        <f t="shared" si="13"/>
        <v>0</v>
      </c>
      <c r="F137" s="12">
        <f t="shared" si="14"/>
        <v>0</v>
      </c>
      <c r="G137" s="16">
        <f t="shared" si="16"/>
        <v>0.28278618192513205</v>
      </c>
      <c r="H137" s="14">
        <f t="shared" si="17"/>
        <v>0</v>
      </c>
      <c r="I137" s="14">
        <f t="shared" si="18"/>
        <v>2.6000705611075512</v>
      </c>
      <c r="J137" s="14">
        <f t="shared" si="19"/>
        <v>1.0683445862587316E-2</v>
      </c>
      <c r="K137" s="14">
        <f t="shared" si="20"/>
        <v>0.2676975915280187</v>
      </c>
      <c r="L137" s="14">
        <f t="shared" si="21"/>
        <v>639.67688219630861</v>
      </c>
      <c r="M137" s="14">
        <f t="shared" si="15"/>
        <v>0.13632532687103455</v>
      </c>
      <c r="N137" s="14">
        <f t="shared" si="22"/>
        <v>3.4886029827761269</v>
      </c>
      <c r="O137" s="4">
        <v>1.58</v>
      </c>
      <c r="P137" s="14">
        <f t="shared" si="25"/>
        <v>3.6427653458619282</v>
      </c>
      <c r="Q137" s="14">
        <f t="shared" si="23"/>
        <v>24.538638358262457</v>
      </c>
    </row>
    <row r="138" spans="1:17" x14ac:dyDescent="0.25">
      <c r="A138" s="5" t="s">
        <v>195</v>
      </c>
      <c r="B138" s="6">
        <f t="shared" si="24"/>
        <v>8</v>
      </c>
      <c r="C138" s="70">
        <v>16.1754055</v>
      </c>
      <c r="D138" s="4">
        <v>0</v>
      </c>
      <c r="E138" s="12">
        <f t="shared" si="13"/>
        <v>0</v>
      </c>
      <c r="F138" s="12">
        <f t="shared" si="14"/>
        <v>0</v>
      </c>
      <c r="G138" s="16">
        <f t="shared" si="16"/>
        <v>0.25648371014180804</v>
      </c>
      <c r="H138" s="14">
        <f t="shared" si="17"/>
        <v>0</v>
      </c>
      <c r="I138" s="14">
        <f t="shared" si="18"/>
        <v>6.643169304893136</v>
      </c>
      <c r="J138" s="14">
        <f t="shared" si="19"/>
        <v>2.6302471783324032E-2</v>
      </c>
      <c r="K138" s="14">
        <f t="shared" si="20"/>
        <v>0.25445897534786377</v>
      </c>
      <c r="L138" s="14">
        <f t="shared" si="21"/>
        <v>639.55379548561768</v>
      </c>
      <c r="M138" s="14">
        <f t="shared" si="15"/>
        <v>0.1362962859269693</v>
      </c>
      <c r="N138" s="14">
        <f t="shared" si="22"/>
        <v>3.4878598169505683</v>
      </c>
      <c r="O138" s="4">
        <v>1.56</v>
      </c>
      <c r="P138" s="14">
        <f t="shared" si="25"/>
        <v>3.7166434738126788</v>
      </c>
      <c r="Q138" s="14">
        <f t="shared" si="23"/>
        <v>24.737184318032579</v>
      </c>
    </row>
    <row r="139" spans="1:17" x14ac:dyDescent="0.25">
      <c r="A139" s="5" t="s">
        <v>196</v>
      </c>
      <c r="B139" s="6">
        <f t="shared" si="24"/>
        <v>8</v>
      </c>
      <c r="C139" s="70">
        <v>14.78514957</v>
      </c>
      <c r="D139" s="4">
        <v>0</v>
      </c>
      <c r="E139" s="12">
        <f t="shared" si="13"/>
        <v>0</v>
      </c>
      <c r="F139" s="12">
        <f t="shared" si="14"/>
        <v>0</v>
      </c>
      <c r="G139" s="16">
        <f t="shared" si="16"/>
        <v>0.24038911978712785</v>
      </c>
      <c r="H139" s="14">
        <f t="shared" si="17"/>
        <v>0</v>
      </c>
      <c r="I139" s="14">
        <f t="shared" si="18"/>
        <v>4.4818475687950725</v>
      </c>
      <c r="J139" s="14">
        <f t="shared" si="19"/>
        <v>1.6094590354680194E-2</v>
      </c>
      <c r="K139" s="14">
        <f t="shared" si="20"/>
        <v>0.24187505672163551</v>
      </c>
      <c r="L139" s="14">
        <f t="shared" si="21"/>
        <v>639.43008311831693</v>
      </c>
      <c r="M139" s="14">
        <f t="shared" si="15"/>
        <v>0.1362672511694025</v>
      </c>
      <c r="N139" s="14">
        <f t="shared" si="22"/>
        <v>3.487116809439224</v>
      </c>
      <c r="O139" s="4">
        <v>1.56</v>
      </c>
      <c r="P139" s="14">
        <f t="shared" si="25"/>
        <v>3.7137791972232139</v>
      </c>
      <c r="Q139" s="14">
        <f t="shared" si="23"/>
        <v>24.737184318032579</v>
      </c>
    </row>
    <row r="140" spans="1:17" x14ac:dyDescent="0.25">
      <c r="A140" s="5" t="s">
        <v>197</v>
      </c>
      <c r="B140" s="6">
        <f t="shared" si="24"/>
        <v>8</v>
      </c>
      <c r="C140" s="70">
        <v>15.04221821</v>
      </c>
      <c r="D140" s="4">
        <v>0</v>
      </c>
      <c r="E140" s="12">
        <f t="shared" si="13"/>
        <v>0</v>
      </c>
      <c r="F140" s="12">
        <f t="shared" si="14"/>
        <v>0</v>
      </c>
      <c r="G140" s="16">
        <f t="shared" si="16"/>
        <v>0.22395938899605072</v>
      </c>
      <c r="H140" s="14">
        <f t="shared" si="17"/>
        <v>0</v>
      </c>
      <c r="I140" s="14">
        <f t="shared" si="18"/>
        <v>4.8814919992282286</v>
      </c>
      <c r="J140" s="14">
        <f t="shared" si="19"/>
        <v>1.6429730791077114E-2</v>
      </c>
      <c r="K140" s="14">
        <f t="shared" si="20"/>
        <v>0.22991345848231853</v>
      </c>
      <c r="L140" s="14">
        <f t="shared" si="21"/>
        <v>639.30577746538677</v>
      </c>
      <c r="M140" s="14">
        <f t="shared" si="15"/>
        <v>0.13623822259701635</v>
      </c>
      <c r="N140" s="14">
        <f t="shared" si="22"/>
        <v>3.4863739602083692</v>
      </c>
      <c r="O140" s="4">
        <v>1.56</v>
      </c>
      <c r="P140" s="14">
        <f t="shared" si="25"/>
        <v>3.7109166345688753</v>
      </c>
      <c r="Q140" s="14">
        <f t="shared" si="23"/>
        <v>24.737184318032579</v>
      </c>
    </row>
    <row r="141" spans="1:17" x14ac:dyDescent="0.25">
      <c r="A141" s="5" t="s">
        <v>198</v>
      </c>
      <c r="B141" s="6">
        <f t="shared" si="24"/>
        <v>8</v>
      </c>
      <c r="C141" s="70">
        <v>15.85122013</v>
      </c>
      <c r="D141" s="4">
        <v>0</v>
      </c>
      <c r="E141" s="12">
        <f t="shared" si="13"/>
        <v>0</v>
      </c>
      <c r="F141" s="12">
        <f t="shared" si="14"/>
        <v>0</v>
      </c>
      <c r="G141" s="16">
        <f t="shared" si="16"/>
        <v>0.20470884681950138</v>
      </c>
      <c r="H141" s="14">
        <f t="shared" si="17"/>
        <v>0</v>
      </c>
      <c r="I141" s="14">
        <f t="shared" si="18"/>
        <v>6.1391837641114515</v>
      </c>
      <c r="J141" s="14">
        <f t="shared" si="19"/>
        <v>1.925054217654933E-2</v>
      </c>
      <c r="K141" s="14">
        <f t="shared" si="20"/>
        <v>0.21854340463115854</v>
      </c>
      <c r="L141" s="14">
        <f t="shared" si="21"/>
        <v>639.18090929664083</v>
      </c>
      <c r="M141" s="14">
        <f t="shared" si="15"/>
        <v>0.13620920020849323</v>
      </c>
      <c r="N141" s="14">
        <f t="shared" si="22"/>
        <v>3.4856312692242883</v>
      </c>
      <c r="O141" s="4">
        <v>1.57</v>
      </c>
      <c r="P141" s="14">
        <f t="shared" si="25"/>
        <v>3.6696431596298575</v>
      </c>
      <c r="Q141" s="14">
        <f t="shared" si="23"/>
        <v>24.637811338147515</v>
      </c>
    </row>
    <row r="142" spans="1:17" x14ac:dyDescent="0.25">
      <c r="A142" s="5" t="s">
        <v>199</v>
      </c>
      <c r="B142" s="6">
        <f t="shared" si="24"/>
        <v>8</v>
      </c>
      <c r="C142" s="70">
        <v>15.74283028</v>
      </c>
      <c r="D142" s="4">
        <v>0</v>
      </c>
      <c r="E142" s="12">
        <f t="shared" si="13"/>
        <v>0</v>
      </c>
      <c r="F142" s="12">
        <f t="shared" si="14"/>
        <v>0</v>
      </c>
      <c r="G142" s="16">
        <f t="shared" si="16"/>
        <v>0.18759595668745901</v>
      </c>
      <c r="H142" s="14">
        <f t="shared" si="17"/>
        <v>0</v>
      </c>
      <c r="I142" s="14">
        <f t="shared" si="18"/>
        <v>5.9706785747270708</v>
      </c>
      <c r="J142" s="14">
        <f t="shared" si="19"/>
        <v>1.7112890132042362E-2</v>
      </c>
      <c r="K142" s="14">
        <f t="shared" si="20"/>
        <v>0.20773564115408821</v>
      </c>
      <c r="L142" s="14">
        <f t="shared" si="21"/>
        <v>639.05550785990943</v>
      </c>
      <c r="M142" s="14">
        <f t="shared" si="15"/>
        <v>0.1361801840025158</v>
      </c>
      <c r="N142" s="14">
        <f t="shared" si="22"/>
        <v>3.4848887364532688</v>
      </c>
      <c r="O142" s="4">
        <v>1.57</v>
      </c>
      <c r="P142" s="14">
        <f t="shared" si="25"/>
        <v>3.6667988729955963</v>
      </c>
      <c r="Q142" s="14">
        <f t="shared" si="23"/>
        <v>24.637811338147515</v>
      </c>
    </row>
    <row r="143" spans="1:17" x14ac:dyDescent="0.25">
      <c r="A143" s="5" t="s">
        <v>200</v>
      </c>
      <c r="B143" s="6">
        <f t="shared" si="24"/>
        <v>8</v>
      </c>
      <c r="C143" s="70">
        <v>15.51464176</v>
      </c>
      <c r="D143" s="4">
        <v>0</v>
      </c>
      <c r="E143" s="12">
        <f t="shared" si="13"/>
        <v>0</v>
      </c>
      <c r="F143" s="12">
        <f t="shared" si="14"/>
        <v>0</v>
      </c>
      <c r="G143" s="16">
        <f t="shared" si="16"/>
        <v>0.17284540183303393</v>
      </c>
      <c r="H143" s="14">
        <f t="shared" si="17"/>
        <v>0</v>
      </c>
      <c r="I143" s="14">
        <f t="shared" si="18"/>
        <v>5.6159317992869209</v>
      </c>
      <c r="J143" s="14">
        <f t="shared" si="19"/>
        <v>1.475055485442509E-2</v>
      </c>
      <c r="K143" s="14">
        <f t="shared" si="20"/>
        <v>0.19746236075406814</v>
      </c>
      <c r="L143" s="14">
        <f t="shared" si="21"/>
        <v>638.9296009563069</v>
      </c>
      <c r="M143" s="14">
        <f t="shared" si="15"/>
        <v>0.13615117397776702</v>
      </c>
      <c r="N143" s="14">
        <f t="shared" si="22"/>
        <v>3.4841463618616078</v>
      </c>
      <c r="O143" s="4">
        <v>1.57</v>
      </c>
      <c r="P143" s="14">
        <f t="shared" si="25"/>
        <v>3.6639562946280289</v>
      </c>
      <c r="Q143" s="14">
        <f t="shared" si="23"/>
        <v>24.637811338147515</v>
      </c>
    </row>
    <row r="144" spans="1:17" x14ac:dyDescent="0.25">
      <c r="A144" s="5" t="s">
        <v>201</v>
      </c>
      <c r="B144" s="6">
        <f t="shared" si="24"/>
        <v>8</v>
      </c>
      <c r="C144" s="70">
        <v>15.615292549999999</v>
      </c>
      <c r="D144" s="4">
        <v>0</v>
      </c>
      <c r="E144" s="12">
        <f t="shared" si="13"/>
        <v>0</v>
      </c>
      <c r="F144" s="12">
        <f t="shared" si="14"/>
        <v>0</v>
      </c>
      <c r="G144" s="16">
        <f t="shared" si="16"/>
        <v>0.15887600244093789</v>
      </c>
      <c r="H144" s="14">
        <f t="shared" si="17"/>
        <v>0</v>
      </c>
      <c r="I144" s="14">
        <f t="shared" si="18"/>
        <v>5.7724056797345584</v>
      </c>
      <c r="J144" s="14">
        <f t="shared" si="19"/>
        <v>1.3969399392096035E-2</v>
      </c>
      <c r="K144" s="14">
        <f t="shared" si="20"/>
        <v>0.18769713130568591</v>
      </c>
      <c r="L144" s="14">
        <f t="shared" si="21"/>
        <v>638.80321501177752</v>
      </c>
      <c r="M144" s="14">
        <f t="shared" si="15"/>
        <v>0.1361221701329301</v>
      </c>
      <c r="N144" s="14">
        <f t="shared" si="22"/>
        <v>3.4834041454156068</v>
      </c>
      <c r="O144" s="4">
        <v>1.56</v>
      </c>
      <c r="P144" s="14">
        <f t="shared" si="25"/>
        <v>3.6994835066019407</v>
      </c>
      <c r="Q144" s="14">
        <f t="shared" si="23"/>
        <v>24.737184318032579</v>
      </c>
    </row>
    <row r="145" spans="1:17" x14ac:dyDescent="0.25">
      <c r="A145" s="5" t="s">
        <v>202</v>
      </c>
      <c r="B145" s="6">
        <f t="shared" si="24"/>
        <v>8</v>
      </c>
      <c r="C145" s="70">
        <v>16.151554109999999</v>
      </c>
      <c r="D145" s="4">
        <v>0</v>
      </c>
      <c r="E145" s="12">
        <f t="shared" si="13"/>
        <v>0</v>
      </c>
      <c r="F145" s="12">
        <f t="shared" si="14"/>
        <v>0</v>
      </c>
      <c r="G145" s="16">
        <f t="shared" si="16"/>
        <v>0.14418113034985544</v>
      </c>
      <c r="H145" s="14">
        <f t="shared" si="17"/>
        <v>0</v>
      </c>
      <c r="I145" s="14">
        <f t="shared" si="18"/>
        <v>6.6060894215919701</v>
      </c>
      <c r="J145" s="14">
        <f t="shared" si="19"/>
        <v>1.4694872091082448E-2</v>
      </c>
      <c r="K145" s="14">
        <f t="shared" si="20"/>
        <v>0.17841482784793497</v>
      </c>
      <c r="L145" s="14">
        <f t="shared" si="21"/>
        <v>638.67637514510227</v>
      </c>
      <c r="M145" s="14">
        <f t="shared" si="15"/>
        <v>0.13609317246668853</v>
      </c>
      <c r="N145" s="14">
        <f t="shared" si="22"/>
        <v>3.4826620870815783</v>
      </c>
      <c r="O145" s="4">
        <v>1.56</v>
      </c>
      <c r="P145" s="14">
        <f t="shared" si="25"/>
        <v>3.6966295011008903</v>
      </c>
      <c r="Q145" s="14">
        <f t="shared" si="23"/>
        <v>24.737184318032579</v>
      </c>
    </row>
    <row r="146" spans="1:17" x14ac:dyDescent="0.25">
      <c r="A146" s="5" t="s">
        <v>203</v>
      </c>
      <c r="B146" s="6">
        <f t="shared" si="24"/>
        <v>8</v>
      </c>
      <c r="C146" s="70">
        <v>16.11795425</v>
      </c>
      <c r="D146" s="4">
        <v>0</v>
      </c>
      <c r="E146" s="12">
        <f t="shared" si="13"/>
        <v>0</v>
      </c>
      <c r="F146" s="12">
        <f t="shared" si="14"/>
        <v>0</v>
      </c>
      <c r="G146" s="16">
        <f t="shared" si="16"/>
        <v>0.13095087365972871</v>
      </c>
      <c r="H146" s="14">
        <f t="shared" si="17"/>
        <v>0</v>
      </c>
      <c r="I146" s="14">
        <f t="shared" si="18"/>
        <v>6.553854357399258</v>
      </c>
      <c r="J146" s="14">
        <f t="shared" si="19"/>
        <v>1.323025669012674E-2</v>
      </c>
      <c r="K146" s="14">
        <f t="shared" si="20"/>
        <v>0.16959156794019681</v>
      </c>
      <c r="L146" s="14">
        <f t="shared" si="21"/>
        <v>638.5491052325433</v>
      </c>
      <c r="M146" s="14">
        <f t="shared" si="15"/>
        <v>0.13606418097772616</v>
      </c>
      <c r="N146" s="14">
        <f t="shared" si="22"/>
        <v>3.4819201868258394</v>
      </c>
      <c r="O146" s="4">
        <v>1.57</v>
      </c>
      <c r="P146" s="14">
        <f t="shared" si="25"/>
        <v>3.6554388007921523</v>
      </c>
      <c r="Q146" s="14">
        <f t="shared" si="23"/>
        <v>24.637811338147515</v>
      </c>
    </row>
    <row r="147" spans="1:17" x14ac:dyDescent="0.25">
      <c r="A147" s="5" t="s">
        <v>204</v>
      </c>
      <c r="B147" s="6">
        <f t="shared" si="24"/>
        <v>8</v>
      </c>
      <c r="C147" s="70">
        <v>14.273320200000001</v>
      </c>
      <c r="D147" s="4">
        <v>0</v>
      </c>
      <c r="E147" s="12">
        <f t="shared" si="13"/>
        <v>0</v>
      </c>
      <c r="F147" s="12">
        <f t="shared" si="14"/>
        <v>0</v>
      </c>
      <c r="G147" s="16">
        <f t="shared" si="16"/>
        <v>0.12419247095594035</v>
      </c>
      <c r="H147" s="14">
        <f t="shared" si="17"/>
        <v>0</v>
      </c>
      <c r="I147" s="14">
        <f t="shared" si="18"/>
        <v>3.6861466343963416</v>
      </c>
      <c r="J147" s="14">
        <f t="shared" si="19"/>
        <v>6.7584027037883576E-3</v>
      </c>
      <c r="K147" s="14">
        <f t="shared" si="20"/>
        <v>0.16120465021510422</v>
      </c>
      <c r="L147" s="14">
        <f t="shared" si="21"/>
        <v>638.42142796929068</v>
      </c>
      <c r="M147" s="14">
        <f t="shared" si="15"/>
        <v>0.13603519566472708</v>
      </c>
      <c r="N147" s="14">
        <f t="shared" si="22"/>
        <v>3.4811784446147174</v>
      </c>
      <c r="O147" s="4">
        <v>1.55</v>
      </c>
      <c r="P147" s="14">
        <f t="shared" si="25"/>
        <v>3.7294501849445187</v>
      </c>
      <c r="Q147" s="14">
        <f t="shared" si="23"/>
        <v>24.836757297917632</v>
      </c>
    </row>
    <row r="148" spans="1:17" x14ac:dyDescent="0.25">
      <c r="A148" s="5" t="s">
        <v>205</v>
      </c>
      <c r="B148" s="6">
        <f t="shared" si="24"/>
        <v>8</v>
      </c>
      <c r="C148" s="70">
        <v>15.79549694</v>
      </c>
      <c r="D148" s="4">
        <v>0</v>
      </c>
      <c r="E148" s="12">
        <f t="shared" si="13"/>
        <v>0</v>
      </c>
      <c r="F148" s="12">
        <f t="shared" si="14"/>
        <v>0</v>
      </c>
      <c r="G148" s="16">
        <f t="shared" si="16"/>
        <v>0.11366807710726415</v>
      </c>
      <c r="H148" s="14">
        <f t="shared" si="17"/>
        <v>0</v>
      </c>
      <c r="I148" s="14">
        <f t="shared" si="18"/>
        <v>6.0525552958180473</v>
      </c>
      <c r="J148" s="14">
        <f t="shared" si="19"/>
        <v>1.0524393848676207E-2</v>
      </c>
      <c r="K148" s="14">
        <f t="shared" si="20"/>
        <v>0.15323249597018815</v>
      </c>
      <c r="L148" s="14">
        <f t="shared" si="21"/>
        <v>638.29336492787081</v>
      </c>
      <c r="M148" s="14">
        <f t="shared" si="15"/>
        <v>0.13600621652637557</v>
      </c>
      <c r="N148" s="14">
        <f t="shared" si="22"/>
        <v>3.480436860414541</v>
      </c>
      <c r="O148" s="4">
        <v>1.54</v>
      </c>
      <c r="P148" s="14">
        <f t="shared" si="25"/>
        <v>3.765295209255441</v>
      </c>
      <c r="Q148" s="14">
        <f t="shared" si="23"/>
        <v>24.936530277802689</v>
      </c>
    </row>
    <row r="149" spans="1:17" x14ac:dyDescent="0.25">
      <c r="A149" s="5" t="s">
        <v>206</v>
      </c>
      <c r="B149" s="6">
        <f t="shared" si="24"/>
        <v>8</v>
      </c>
      <c r="C149" s="70">
        <v>16.603763579999999</v>
      </c>
      <c r="D149" s="4">
        <v>0</v>
      </c>
      <c r="E149" s="12">
        <f t="shared" si="13"/>
        <v>0</v>
      </c>
      <c r="F149" s="12">
        <f t="shared" si="14"/>
        <v>0</v>
      </c>
      <c r="G149" s="16">
        <f t="shared" si="16"/>
        <v>0.10203577396178615</v>
      </c>
      <c r="H149" s="14">
        <f t="shared" si="17"/>
        <v>0</v>
      </c>
      <c r="I149" s="14">
        <f t="shared" si="18"/>
        <v>7.3091039786170109</v>
      </c>
      <c r="J149" s="14">
        <f t="shared" si="19"/>
        <v>1.1632303145478003E-2</v>
      </c>
      <c r="K149" s="14">
        <f t="shared" si="20"/>
        <v>0.14565459364802943</v>
      </c>
      <c r="L149" s="14">
        <f t="shared" si="21"/>
        <v>638.16493661366655</v>
      </c>
      <c r="M149" s="14">
        <f t="shared" si="15"/>
        <v>0.13597724356135632</v>
      </c>
      <c r="N149" s="14">
        <f t="shared" si="22"/>
        <v>3.4796954341916528</v>
      </c>
      <c r="O149" s="4">
        <v>1.55</v>
      </c>
      <c r="P149" s="14">
        <f t="shared" si="25"/>
        <v>3.7237244687401114</v>
      </c>
      <c r="Q149" s="14">
        <f t="shared" si="23"/>
        <v>24.836757297917632</v>
      </c>
    </row>
    <row r="150" spans="1:17" x14ac:dyDescent="0.25">
      <c r="A150" s="5" t="s">
        <v>207</v>
      </c>
      <c r="B150" s="6">
        <f t="shared" si="24"/>
        <v>8</v>
      </c>
      <c r="C150" s="70">
        <v>16.58129692</v>
      </c>
      <c r="D150" s="4">
        <v>0</v>
      </c>
      <c r="E150" s="12">
        <f t="shared" si="13"/>
        <v>0</v>
      </c>
      <c r="F150" s="12">
        <f t="shared" si="14"/>
        <v>0</v>
      </c>
      <c r="G150" s="16">
        <f t="shared" si="16"/>
        <v>9.1643768284068186E-2</v>
      </c>
      <c r="H150" s="14">
        <f t="shared" si="17"/>
        <v>0</v>
      </c>
      <c r="I150" s="14">
        <f t="shared" si="18"/>
        <v>7.274176826322452</v>
      </c>
      <c r="J150" s="14">
        <f t="shared" si="19"/>
        <v>1.0392005677717959E-2</v>
      </c>
      <c r="K150" s="14">
        <f t="shared" si="20"/>
        <v>0.13845144606206813</v>
      </c>
      <c r="L150" s="14">
        <f t="shared" si="21"/>
        <v>638.0361625176912</v>
      </c>
      <c r="M150" s="14">
        <f t="shared" si="15"/>
        <v>0.13594827676835422</v>
      </c>
      <c r="N150" s="14">
        <f t="shared" si="22"/>
        <v>3.4789541659123979</v>
      </c>
      <c r="O150" s="4">
        <v>1.57</v>
      </c>
      <c r="P150" s="14">
        <f t="shared" si="25"/>
        <v>3.6441060075542988</v>
      </c>
      <c r="Q150" s="14">
        <f t="shared" si="23"/>
        <v>24.637811338147515</v>
      </c>
    </row>
    <row r="151" spans="1:17" x14ac:dyDescent="0.25">
      <c r="A151" s="5" t="s">
        <v>208</v>
      </c>
      <c r="B151" s="6">
        <f t="shared" si="24"/>
        <v>9</v>
      </c>
      <c r="C151" s="70">
        <v>15.98038197</v>
      </c>
      <c r="D151" s="4">
        <v>0</v>
      </c>
      <c r="E151" s="12">
        <f t="shared" si="13"/>
        <v>0</v>
      </c>
      <c r="F151" s="12">
        <f t="shared" si="14"/>
        <v>0</v>
      </c>
      <c r="G151" s="16">
        <f t="shared" si="16"/>
        <v>8.5713143245283757E-2</v>
      </c>
      <c r="H151" s="14">
        <f t="shared" si="17"/>
        <v>0</v>
      </c>
      <c r="I151" s="14">
        <f t="shared" si="18"/>
        <v>4.6220481984651887</v>
      </c>
      <c r="J151" s="14">
        <f t="shared" si="19"/>
        <v>5.9306250387844229E-3</v>
      </c>
      <c r="K151" s="14">
        <f t="shared" si="20"/>
        <v>0.13160452023228791</v>
      </c>
      <c r="L151" s="14">
        <f t="shared" si="21"/>
        <v>637.90706116675256</v>
      </c>
      <c r="M151" s="14">
        <f t="shared" si="15"/>
        <v>0.13591931614605446</v>
      </c>
      <c r="N151" s="14">
        <f t="shared" si="22"/>
        <v>3.4782130555431294</v>
      </c>
      <c r="O151" s="4">
        <v>1.56</v>
      </c>
      <c r="P151" s="14">
        <f t="shared" si="25"/>
        <v>3.6795413264561088</v>
      </c>
      <c r="Q151" s="14">
        <f t="shared" si="23"/>
        <v>24.737184318032579</v>
      </c>
    </row>
    <row r="152" spans="1:17" x14ac:dyDescent="0.25">
      <c r="A152" s="5" t="s">
        <v>209</v>
      </c>
      <c r="B152" s="6">
        <f t="shared" si="24"/>
        <v>9</v>
      </c>
      <c r="C152" s="70">
        <v>16.696931840000001</v>
      </c>
      <c r="D152" s="4">
        <v>0</v>
      </c>
      <c r="E152" s="12">
        <f t="shared" si="13"/>
        <v>0</v>
      </c>
      <c r="F152" s="12">
        <f t="shared" si="14"/>
        <v>0</v>
      </c>
      <c r="G152" s="16">
        <f t="shared" si="16"/>
        <v>7.8885668650347379E-2</v>
      </c>
      <c r="H152" s="14">
        <f t="shared" si="17"/>
        <v>0</v>
      </c>
      <c r="I152" s="14">
        <f t="shared" si="18"/>
        <v>5.6891791901339062</v>
      </c>
      <c r="J152" s="14">
        <f t="shared" si="19"/>
        <v>6.827474594936378E-3</v>
      </c>
      <c r="K152" s="14">
        <f t="shared" si="20"/>
        <v>0.12509619970170766</v>
      </c>
      <c r="L152" s="14">
        <f t="shared" si="21"/>
        <v>637.77765017113711</v>
      </c>
      <c r="M152" s="14">
        <f t="shared" si="15"/>
        <v>0.13589036169314256</v>
      </c>
      <c r="N152" s="14">
        <f t="shared" si="22"/>
        <v>3.4774721030502103</v>
      </c>
      <c r="O152" s="4">
        <v>1.56</v>
      </c>
      <c r="P152" s="14">
        <f t="shared" si="25"/>
        <v>3.6766992659757958</v>
      </c>
      <c r="Q152" s="14">
        <f t="shared" si="23"/>
        <v>24.737184318032579</v>
      </c>
    </row>
    <row r="153" spans="1:17" x14ac:dyDescent="0.25">
      <c r="A153" s="5" t="s">
        <v>210</v>
      </c>
      <c r="B153" s="6">
        <f t="shared" si="24"/>
        <v>9</v>
      </c>
      <c r="C153" s="70">
        <v>16.502689360000002</v>
      </c>
      <c r="D153" s="4">
        <v>0</v>
      </c>
      <c r="E153" s="12">
        <f t="shared" si="13"/>
        <v>0</v>
      </c>
      <c r="F153" s="12">
        <f t="shared" si="14"/>
        <v>0</v>
      </c>
      <c r="G153" s="16">
        <f t="shared" si="16"/>
        <v>7.2921540370715354E-2</v>
      </c>
      <c r="H153" s="14">
        <f t="shared" si="17"/>
        <v>0</v>
      </c>
      <c r="I153" s="14">
        <f t="shared" si="18"/>
        <v>5.399901110568293</v>
      </c>
      <c r="J153" s="14">
        <f t="shared" si="19"/>
        <v>5.9641282796320215E-3</v>
      </c>
      <c r="K153" s="14">
        <f t="shared" si="20"/>
        <v>0.11890973921099537</v>
      </c>
      <c r="L153" s="14">
        <f t="shared" si="21"/>
        <v>637.64794626993466</v>
      </c>
      <c r="M153" s="14">
        <f t="shared" si="15"/>
        <v>0.13586141340830427</v>
      </c>
      <c r="N153" s="14">
        <f t="shared" si="22"/>
        <v>3.4767313084000087</v>
      </c>
      <c r="O153" s="4">
        <v>1.6</v>
      </c>
      <c r="P153" s="14">
        <f t="shared" si="25"/>
        <v>3.5221204039288079</v>
      </c>
      <c r="Q153" s="14">
        <f t="shared" si="23"/>
        <v>24.34089239849234</v>
      </c>
    </row>
    <row r="154" spans="1:17" x14ac:dyDescent="0.25">
      <c r="A154" s="5" t="s">
        <v>211</v>
      </c>
      <c r="B154" s="6">
        <f t="shared" si="24"/>
        <v>9</v>
      </c>
      <c r="C154" s="70">
        <v>17.378078460000001</v>
      </c>
      <c r="D154" s="4">
        <v>0</v>
      </c>
      <c r="E154" s="12">
        <f t="shared" si="13"/>
        <v>0</v>
      </c>
      <c r="F154" s="12">
        <f t="shared" si="14"/>
        <v>0</v>
      </c>
      <c r="G154" s="16">
        <f t="shared" si="16"/>
        <v>6.6077287584640182E-2</v>
      </c>
      <c r="H154" s="14">
        <f t="shared" si="17"/>
        <v>0</v>
      </c>
      <c r="I154" s="14">
        <f t="shared" si="18"/>
        <v>6.7035854422380243</v>
      </c>
      <c r="J154" s="14">
        <f t="shared" si="19"/>
        <v>6.8442527860751671E-3</v>
      </c>
      <c r="K154" s="14">
        <f t="shared" si="20"/>
        <v>0.11302922161458687</v>
      </c>
      <c r="L154" s="14">
        <f t="shared" si="21"/>
        <v>637.51796537412281</v>
      </c>
      <c r="M154" s="14">
        <f t="shared" si="15"/>
        <v>0.13583247129022555</v>
      </c>
      <c r="N154" s="14">
        <f t="shared" si="22"/>
        <v>3.4759906715588968</v>
      </c>
      <c r="O154" s="4">
        <v>1.62</v>
      </c>
      <c r="P154" s="14">
        <f t="shared" si="25"/>
        <v>3.4447013729136446</v>
      </c>
      <c r="Q154" s="14">
        <f t="shared" si="23"/>
        <v>24.143946438722228</v>
      </c>
    </row>
    <row r="155" spans="1:17" x14ac:dyDescent="0.25">
      <c r="A155" s="5" t="s">
        <v>212</v>
      </c>
      <c r="B155" s="6">
        <f t="shared" si="24"/>
        <v>9</v>
      </c>
      <c r="C155" s="70">
        <v>17.39394188</v>
      </c>
      <c r="D155" s="4">
        <v>0</v>
      </c>
      <c r="E155" s="12">
        <f t="shared" ref="E155:E218" si="26">IF(C155&gt;$C$9,MAX(E154-$C$10*(C155-$C$9),0),E154+D155)</f>
        <v>0</v>
      </c>
      <c r="F155" s="12">
        <f t="shared" ref="F155:F218" si="27">IF(C155&gt;$C$9,D155+MIN(E154,$C$10*(C155-$C$9)),0)</f>
        <v>0</v>
      </c>
      <c r="G155" s="16">
        <f t="shared" si="16"/>
        <v>5.9853564426866387E-2</v>
      </c>
      <c r="H155" s="14">
        <f t="shared" si="17"/>
        <v>0</v>
      </c>
      <c r="I155" s="14">
        <f t="shared" si="18"/>
        <v>6.7272102418850546</v>
      </c>
      <c r="J155" s="14">
        <f t="shared" si="19"/>
        <v>6.223723157773791E-3</v>
      </c>
      <c r="K155" s="14">
        <f t="shared" si="20"/>
        <v>0.10743951692745832</v>
      </c>
      <c r="L155" s="14">
        <f t="shared" si="21"/>
        <v>637.38772260751978</v>
      </c>
      <c r="M155" s="14">
        <f t="shared" si="15"/>
        <v>0.13580353533759279</v>
      </c>
      <c r="N155" s="14">
        <f t="shared" si="22"/>
        <v>3.4752501924932599</v>
      </c>
      <c r="O155" s="4">
        <v>1.62</v>
      </c>
      <c r="P155" s="14">
        <f t="shared" si="25"/>
        <v>3.4419532767462777</v>
      </c>
      <c r="Q155" s="14">
        <f t="shared" si="23"/>
        <v>24.143946438722228</v>
      </c>
    </row>
    <row r="156" spans="1:17" x14ac:dyDescent="0.25">
      <c r="A156" s="5" t="s">
        <v>213</v>
      </c>
      <c r="B156" s="6">
        <f t="shared" si="24"/>
        <v>9</v>
      </c>
      <c r="C156" s="70">
        <v>16.79099274</v>
      </c>
      <c r="D156" s="4">
        <v>0</v>
      </c>
      <c r="E156" s="12">
        <f t="shared" si="26"/>
        <v>0</v>
      </c>
      <c r="F156" s="12">
        <f t="shared" si="27"/>
        <v>0</v>
      </c>
      <c r="G156" s="16">
        <f t="shared" si="16"/>
        <v>5.4968542170756723E-2</v>
      </c>
      <c r="H156" s="14">
        <f t="shared" si="17"/>
        <v>0</v>
      </c>
      <c r="I156" s="14">
        <f t="shared" si="18"/>
        <v>5.8292605797156956</v>
      </c>
      <c r="J156" s="14">
        <f t="shared" si="19"/>
        <v>4.885022256109664E-3</v>
      </c>
      <c r="K156" s="14">
        <f t="shared" si="20"/>
        <v>0.10212624339718447</v>
      </c>
      <c r="L156" s="14">
        <f t="shared" si="21"/>
        <v>637.25723234571251</v>
      </c>
      <c r="M156" s="14">
        <f t="shared" si="15"/>
        <v>0.13577460554909257</v>
      </c>
      <c r="N156" s="14">
        <f t="shared" si="22"/>
        <v>3.4745098711694871</v>
      </c>
      <c r="O156" s="4">
        <v>1.6</v>
      </c>
      <c r="P156" s="14">
        <f t="shared" si="25"/>
        <v>3.5137872571118467</v>
      </c>
      <c r="Q156" s="14">
        <f t="shared" si="23"/>
        <v>24.34089239849234</v>
      </c>
    </row>
    <row r="157" spans="1:17" x14ac:dyDescent="0.25">
      <c r="A157" s="5" t="s">
        <v>214</v>
      </c>
      <c r="B157" s="6">
        <f t="shared" si="24"/>
        <v>9</v>
      </c>
      <c r="C157" s="70">
        <v>16.099229810000001</v>
      </c>
      <c r="D157" s="4">
        <v>0</v>
      </c>
      <c r="E157" s="12">
        <f t="shared" si="26"/>
        <v>0</v>
      </c>
      <c r="F157" s="12">
        <f t="shared" si="27"/>
        <v>0</v>
      </c>
      <c r="G157" s="16">
        <f t="shared" si="16"/>
        <v>5.1275094111815911E-2</v>
      </c>
      <c r="H157" s="14">
        <f t="shared" si="17"/>
        <v>0</v>
      </c>
      <c r="I157" s="14">
        <f t="shared" si="18"/>
        <v>4.7990438531526793</v>
      </c>
      <c r="J157" s="14">
        <f t="shared" si="19"/>
        <v>3.6934480589408151E-3</v>
      </c>
      <c r="K157" s="14">
        <f t="shared" si="20"/>
        <v>9.7075730501124655E-2</v>
      </c>
      <c r="L157" s="14">
        <f t="shared" si="21"/>
        <v>637.12650825305946</v>
      </c>
      <c r="M157" s="14">
        <f t="shared" si="15"/>
        <v>0.13574568192341172</v>
      </c>
      <c r="N157" s="14">
        <f t="shared" si="22"/>
        <v>3.4737697075539735</v>
      </c>
      <c r="O157" s="4">
        <v>1.62</v>
      </c>
      <c r="P157" s="14">
        <f t="shared" si="25"/>
        <v>3.4364621286447443</v>
      </c>
      <c r="Q157" s="14">
        <f t="shared" si="23"/>
        <v>24.143946438722228</v>
      </c>
    </row>
    <row r="158" spans="1:17" x14ac:dyDescent="0.25">
      <c r="A158" s="5" t="s">
        <v>215</v>
      </c>
      <c r="B158" s="6">
        <f t="shared" si="24"/>
        <v>9</v>
      </c>
      <c r="C158" s="70">
        <v>15.520197870000001</v>
      </c>
      <c r="D158" s="4">
        <v>0</v>
      </c>
      <c r="E158" s="12">
        <f t="shared" si="26"/>
        <v>0</v>
      </c>
      <c r="F158" s="12">
        <f t="shared" si="27"/>
        <v>0</v>
      </c>
      <c r="G158" s="16">
        <f t="shared" si="16"/>
        <v>4.8448891462280042E-2</v>
      </c>
      <c r="H158" s="14">
        <f t="shared" si="17"/>
        <v>0</v>
      </c>
      <c r="I158" s="14">
        <f t="shared" si="18"/>
        <v>3.936713184751246</v>
      </c>
      <c r="J158" s="14">
        <f t="shared" si="19"/>
        <v>2.8262026495358681E-3</v>
      </c>
      <c r="K158" s="14">
        <f t="shared" si="20"/>
        <v>9.2274983773532063E-2</v>
      </c>
      <c r="L158" s="14">
        <f t="shared" si="21"/>
        <v>636.99556331786357</v>
      </c>
      <c r="M158" s="14">
        <f t="shared" si="15"/>
        <v>0.13571676445923742</v>
      </c>
      <c r="N158" s="14">
        <f t="shared" si="22"/>
        <v>3.4730297016131244</v>
      </c>
      <c r="O158" s="4">
        <v>1.62</v>
      </c>
      <c r="P158" s="14">
        <f t="shared" si="25"/>
        <v>3.4337190750604245</v>
      </c>
      <c r="Q158" s="14">
        <f t="shared" si="23"/>
        <v>24.143946438722228</v>
      </c>
    </row>
    <row r="159" spans="1:17" x14ac:dyDescent="0.25">
      <c r="A159" s="5" t="s">
        <v>216</v>
      </c>
      <c r="B159" s="6">
        <f t="shared" si="24"/>
        <v>9</v>
      </c>
      <c r="C159" s="70">
        <v>17.543401719999999</v>
      </c>
      <c r="D159" s="4">
        <v>0</v>
      </c>
      <c r="E159" s="12">
        <f t="shared" si="26"/>
        <v>0</v>
      </c>
      <c r="F159" s="12">
        <f t="shared" si="27"/>
        <v>0</v>
      </c>
      <c r="G159" s="16">
        <f t="shared" si="16"/>
        <v>4.3734573072123584E-2</v>
      </c>
      <c r="H159" s="14">
        <f t="shared" si="17"/>
        <v>0</v>
      </c>
      <c r="I159" s="14">
        <f t="shared" si="18"/>
        <v>6.949795206241892</v>
      </c>
      <c r="J159" s="14">
        <f t="shared" si="19"/>
        <v>4.7143183901564552E-3</v>
      </c>
      <c r="K159" s="14">
        <f t="shared" si="20"/>
        <v>8.7711651372089972E-2</v>
      </c>
      <c r="L159" s="14">
        <f t="shared" si="21"/>
        <v>636.8644098858058</v>
      </c>
      <c r="M159" s="14">
        <f t="shared" ref="M159:M222" si="28">MAX(0,K159-$F$9)*$F$8+K159*$F$10+L159*$F$11</f>
        <v>0.13568785315525714</v>
      </c>
      <c r="N159" s="14">
        <f t="shared" si="22"/>
        <v>3.472289853313351</v>
      </c>
      <c r="O159" s="4">
        <v>1.59</v>
      </c>
      <c r="P159" s="14">
        <f t="shared" si="25"/>
        <v>3.5430150918863963</v>
      </c>
      <c r="Q159" s="14">
        <f t="shared" si="23"/>
        <v>24.439665378377402</v>
      </c>
    </row>
    <row r="160" spans="1:17" x14ac:dyDescent="0.25">
      <c r="A160" s="5" t="s">
        <v>217</v>
      </c>
      <c r="B160" s="6">
        <f t="shared" si="24"/>
        <v>9</v>
      </c>
      <c r="C160" s="70">
        <v>16.744808200000001</v>
      </c>
      <c r="D160" s="4">
        <v>0</v>
      </c>
      <c r="E160" s="12">
        <f t="shared" si="26"/>
        <v>0</v>
      </c>
      <c r="F160" s="12">
        <f t="shared" si="27"/>
        <v>0</v>
      </c>
      <c r="G160" s="16">
        <f t="shared" ref="G160:G223" si="29">G159+F160-H160-J160</f>
        <v>4.020723896533554E-2</v>
      </c>
      <c r="H160" s="14">
        <f t="shared" ref="H160:H223" si="30">(F160*(G159/$C$11)^$C$12)</f>
        <v>0</v>
      </c>
      <c r="I160" s="14">
        <f t="shared" ref="I160:I223" si="31">(1+$C$13*(C160-INDEX($A$16:$A$27,B160)))*INDEX($C$16:$C$27,B160)</f>
        <v>5.760479667132512</v>
      </c>
      <c r="J160" s="14">
        <f t="shared" ref="J160:J223" si="32">IF(G159&gt;$F$13,I160,I160*(G159/$F$13))</f>
        <v>3.5273341067880402E-3</v>
      </c>
      <c r="K160" s="14">
        <f t="shared" ref="K160:K223" si="33">K159+H160-MAX(0,K159-$F$9)*$F$8-K159*$F$10-K159*$F$12</f>
        <v>8.3373992297853861E-2</v>
      </c>
      <c r="L160" s="14">
        <f t="shared" ref="L160:L223" si="34">L159+K159*$F$12-L159*$F$11</f>
        <v>636.73305969172475</v>
      </c>
      <c r="M160" s="14">
        <f t="shared" si="28"/>
        <v>0.13565894801015851</v>
      </c>
      <c r="N160" s="14">
        <f t="shared" ref="N160:N223" si="35">M160*$C$8*1000/(24*3600)</f>
        <v>3.4715501626210701</v>
      </c>
      <c r="O160" s="4">
        <v>1.58</v>
      </c>
      <c r="P160" s="14">
        <f t="shared" si="25"/>
        <v>3.5779620177117963</v>
      </c>
      <c r="Q160" s="14">
        <f t="shared" ref="Q160:Q223" si="36">(O160-$F$23)^2</f>
        <v>24.538638358262457</v>
      </c>
    </row>
    <row r="161" spans="1:17" x14ac:dyDescent="0.25">
      <c r="A161" s="5" t="s">
        <v>218</v>
      </c>
      <c r="B161" s="6">
        <f t="shared" ref="B161:B224" si="37">MONTH(A161)</f>
        <v>9</v>
      </c>
      <c r="C161" s="70">
        <v>16.893510819999999</v>
      </c>
      <c r="D161" s="4">
        <v>0</v>
      </c>
      <c r="E161" s="12">
        <f t="shared" si="26"/>
        <v>0</v>
      </c>
      <c r="F161" s="12">
        <f t="shared" si="27"/>
        <v>0</v>
      </c>
      <c r="G161" s="16">
        <f t="shared" si="29"/>
        <v>3.6839727063753519E-2</v>
      </c>
      <c r="H161" s="14">
        <f t="shared" si="30"/>
        <v>0</v>
      </c>
      <c r="I161" s="14">
        <f t="shared" si="31"/>
        <v>5.9819369319902016</v>
      </c>
      <c r="J161" s="14">
        <f t="shared" si="32"/>
        <v>3.367511901582024E-3</v>
      </c>
      <c r="K161" s="14">
        <f t="shared" si="33"/>
        <v>7.9250846186832688E-2</v>
      </c>
      <c r="L161" s="14">
        <f t="shared" si="34"/>
        <v>636.60152388982556</v>
      </c>
      <c r="M161" s="14">
        <f t="shared" si="28"/>
        <v>0.13563004902262965</v>
      </c>
      <c r="N161" s="14">
        <f t="shared" si="35"/>
        <v>3.4708106295027101</v>
      </c>
      <c r="O161" s="4">
        <v>1.59</v>
      </c>
      <c r="P161" s="14">
        <f t="shared" ref="P161:P224" si="38">(O161-N161)^2</f>
        <v>3.5374486240503806</v>
      </c>
      <c r="Q161" s="14">
        <f t="shared" si="36"/>
        <v>24.439665378377402</v>
      </c>
    </row>
    <row r="162" spans="1:17" x14ac:dyDescent="0.25">
      <c r="A162" s="5" t="s">
        <v>219</v>
      </c>
      <c r="B162" s="6">
        <f t="shared" si="37"/>
        <v>9</v>
      </c>
      <c r="C162" s="70">
        <v>17.069137569999999</v>
      </c>
      <c r="D162" s="4">
        <v>0</v>
      </c>
      <c r="E162" s="12">
        <f t="shared" si="26"/>
        <v>0</v>
      </c>
      <c r="F162" s="12">
        <f t="shared" si="27"/>
        <v>0</v>
      </c>
      <c r="G162" s="16">
        <f t="shared" si="29"/>
        <v>3.3619348159199883E-2</v>
      </c>
      <c r="H162" s="14">
        <f t="shared" si="30"/>
        <v>0</v>
      </c>
      <c r="I162" s="14">
        <f t="shared" si="31"/>
        <v>6.2434912992962106</v>
      </c>
      <c r="J162" s="14">
        <f t="shared" si="32"/>
        <v>3.2203789045536346E-3</v>
      </c>
      <c r="K162" s="14">
        <f t="shared" si="33"/>
        <v>7.5331604595485893E-2</v>
      </c>
      <c r="L162" s="14">
        <f t="shared" si="34"/>
        <v>636.46981308239424</v>
      </c>
      <c r="M162" s="14">
        <f t="shared" si="28"/>
        <v>0.13560115619135871</v>
      </c>
      <c r="N162" s="14">
        <f t="shared" si="35"/>
        <v>3.4700712539247003</v>
      </c>
      <c r="O162" s="4">
        <v>1.59</v>
      </c>
      <c r="P162" s="14">
        <f t="shared" si="38"/>
        <v>3.5346679198339945</v>
      </c>
      <c r="Q162" s="14">
        <f t="shared" si="36"/>
        <v>24.439665378377402</v>
      </c>
    </row>
    <row r="163" spans="1:17" x14ac:dyDescent="0.25">
      <c r="A163" s="5" t="s">
        <v>220</v>
      </c>
      <c r="B163" s="6">
        <f t="shared" si="37"/>
        <v>9</v>
      </c>
      <c r="C163" s="70">
        <v>15.308279990000001</v>
      </c>
      <c r="D163" s="4">
        <v>0</v>
      </c>
      <c r="E163" s="12">
        <f t="shared" si="26"/>
        <v>0</v>
      </c>
      <c r="F163" s="12">
        <f t="shared" si="27"/>
        <v>0</v>
      </c>
      <c r="G163" s="16">
        <f t="shared" si="29"/>
        <v>3.1914858857887161E-2</v>
      </c>
      <c r="H163" s="14">
        <f t="shared" si="30"/>
        <v>0</v>
      </c>
      <c r="I163" s="14">
        <f t="shared" si="31"/>
        <v>3.6211117913175523</v>
      </c>
      <c r="J163" s="14">
        <f t="shared" si="32"/>
        <v>1.7044893013127196E-3</v>
      </c>
      <c r="K163" s="14">
        <f t="shared" si="33"/>
        <v>7.1606183706256654E-2</v>
      </c>
      <c r="L163" s="14">
        <f t="shared" si="34"/>
        <v>636.33793734709207</v>
      </c>
      <c r="M163" s="14">
        <f t="shared" si="28"/>
        <v>0.13557226951503432</v>
      </c>
      <c r="N163" s="14">
        <f t="shared" si="35"/>
        <v>3.469332035853482</v>
      </c>
      <c r="O163" s="4">
        <v>1.58</v>
      </c>
      <c r="P163" s="14">
        <f t="shared" si="38"/>
        <v>3.569575541702263</v>
      </c>
      <c r="Q163" s="14">
        <f t="shared" si="36"/>
        <v>24.538638358262457</v>
      </c>
    </row>
    <row r="164" spans="1:17" x14ac:dyDescent="0.25">
      <c r="A164" s="5" t="s">
        <v>221</v>
      </c>
      <c r="B164" s="6">
        <f t="shared" si="37"/>
        <v>9</v>
      </c>
      <c r="C164" s="70">
        <v>16.10882187</v>
      </c>
      <c r="D164" s="4">
        <v>0</v>
      </c>
      <c r="E164" s="12">
        <f t="shared" si="26"/>
        <v>0</v>
      </c>
      <c r="F164" s="12">
        <f t="shared" si="27"/>
        <v>0</v>
      </c>
      <c r="G164" s="16">
        <f t="shared" si="29"/>
        <v>2.9764051421101695E-2</v>
      </c>
      <c r="H164" s="14">
        <f t="shared" si="30"/>
        <v>0</v>
      </c>
      <c r="I164" s="14">
        <f t="shared" si="31"/>
        <v>4.81332895029455</v>
      </c>
      <c r="J164" s="14">
        <f t="shared" si="32"/>
        <v>2.150807436785467E-3</v>
      </c>
      <c r="K164" s="14">
        <f t="shared" si="33"/>
        <v>6.8064998382915479E-2</v>
      </c>
      <c r="L164" s="14">
        <f t="shared" si="34"/>
        <v>636.20590626290038</v>
      </c>
      <c r="M164" s="14">
        <f t="shared" si="28"/>
        <v>0.1355433889923453</v>
      </c>
      <c r="N164" s="14">
        <f t="shared" si="35"/>
        <v>3.4685929752555031</v>
      </c>
      <c r="O164" s="4">
        <v>1.59</v>
      </c>
      <c r="P164" s="14">
        <f t="shared" si="38"/>
        <v>3.5291115666793234</v>
      </c>
      <c r="Q164" s="14">
        <f t="shared" si="36"/>
        <v>24.439665378377402</v>
      </c>
    </row>
    <row r="165" spans="1:17" x14ac:dyDescent="0.25">
      <c r="A165" s="5" t="s">
        <v>222</v>
      </c>
      <c r="B165" s="6">
        <f t="shared" si="37"/>
        <v>9</v>
      </c>
      <c r="C165" s="70">
        <v>16.037210460000001</v>
      </c>
      <c r="D165" s="4">
        <v>0</v>
      </c>
      <c r="E165" s="12">
        <f t="shared" si="26"/>
        <v>0</v>
      </c>
      <c r="F165" s="12">
        <f t="shared" si="27"/>
        <v>0</v>
      </c>
      <c r="G165" s="16">
        <f t="shared" si="29"/>
        <v>2.7802634824263036E-2</v>
      </c>
      <c r="H165" s="14">
        <f t="shared" si="30"/>
        <v>0</v>
      </c>
      <c r="I165" s="14">
        <f t="shared" si="31"/>
        <v>4.7066807487282114</v>
      </c>
      <c r="J165" s="14">
        <f t="shared" si="32"/>
        <v>1.961416596838658E-3</v>
      </c>
      <c r="K165" s="14">
        <f t="shared" si="33"/>
        <v>6.4698937508961107E-2</v>
      </c>
      <c r="L165" s="14">
        <f t="shared" si="34"/>
        <v>636.07372893478203</v>
      </c>
      <c r="M165" s="14">
        <f t="shared" si="28"/>
        <v>0.13551451462198075</v>
      </c>
      <c r="N165" s="14">
        <f t="shared" si="35"/>
        <v>3.4678540720972162</v>
      </c>
      <c r="O165" s="4">
        <v>1.58</v>
      </c>
      <c r="P165" s="14">
        <f t="shared" si="38"/>
        <v>3.563992997534041</v>
      </c>
      <c r="Q165" s="14">
        <f t="shared" si="36"/>
        <v>24.538638358262457</v>
      </c>
    </row>
    <row r="166" spans="1:17" x14ac:dyDescent="0.25">
      <c r="A166" s="5" t="s">
        <v>223</v>
      </c>
      <c r="B166" s="6">
        <f t="shared" si="37"/>
        <v>9</v>
      </c>
      <c r="C166" s="70">
        <v>16.129077909999999</v>
      </c>
      <c r="D166" s="4">
        <v>0</v>
      </c>
      <c r="E166" s="12">
        <f t="shared" si="26"/>
        <v>0</v>
      </c>
      <c r="F166" s="12">
        <f t="shared" si="27"/>
        <v>0</v>
      </c>
      <c r="G166" s="16">
        <f t="shared" si="29"/>
        <v>2.5917215666304418E-2</v>
      </c>
      <c r="H166" s="14">
        <f t="shared" si="30"/>
        <v>0</v>
      </c>
      <c r="I166" s="14">
        <f t="shared" si="31"/>
        <v>4.843495515048069</v>
      </c>
      <c r="J166" s="14">
        <f t="shared" si="32"/>
        <v>1.8854191579586164E-3</v>
      </c>
      <c r="K166" s="14">
        <f t="shared" si="33"/>
        <v>6.1499340545626752E-2</v>
      </c>
      <c r="L166" s="14">
        <f t="shared" si="34"/>
        <v>635.94141401712329</v>
      </c>
      <c r="M166" s="14">
        <f t="shared" si="28"/>
        <v>0.13548564640263003</v>
      </c>
      <c r="N166" s="14">
        <f t="shared" si="35"/>
        <v>3.4671153263450813</v>
      </c>
      <c r="O166" s="4">
        <v>1.58</v>
      </c>
      <c r="P166" s="14">
        <f t="shared" si="38"/>
        <v>3.5612042549265026</v>
      </c>
      <c r="Q166" s="14">
        <f t="shared" si="36"/>
        <v>24.538638358262457</v>
      </c>
    </row>
    <row r="167" spans="1:17" x14ac:dyDescent="0.25">
      <c r="A167" s="5" t="s">
        <v>224</v>
      </c>
      <c r="B167" s="6">
        <f t="shared" si="37"/>
        <v>9</v>
      </c>
      <c r="C167" s="70">
        <v>15.24095535</v>
      </c>
      <c r="D167" s="4">
        <v>0</v>
      </c>
      <c r="E167" s="12">
        <f t="shared" si="26"/>
        <v>0</v>
      </c>
      <c r="F167" s="12">
        <f t="shared" si="27"/>
        <v>0</v>
      </c>
      <c r="G167" s="16">
        <f t="shared" si="29"/>
        <v>2.4639604666337366E-2</v>
      </c>
      <c r="H167" s="14">
        <f t="shared" si="30"/>
        <v>0</v>
      </c>
      <c r="I167" s="14">
        <f t="shared" si="31"/>
        <v>3.5208477164012599</v>
      </c>
      <c r="J167" s="14">
        <f t="shared" si="32"/>
        <v>1.2776109999670521E-3</v>
      </c>
      <c r="K167" s="14">
        <f t="shared" si="33"/>
        <v>5.8457975249178132E-2</v>
      </c>
      <c r="L167" s="14">
        <f t="shared" si="34"/>
        <v>635.80896973601716</v>
      </c>
      <c r="M167" s="14">
        <f t="shared" si="28"/>
        <v>0.13545678433298283</v>
      </c>
      <c r="N167" s="14">
        <f t="shared" si="35"/>
        <v>3.4663767379655677</v>
      </c>
      <c r="O167" s="4">
        <v>1.57</v>
      </c>
      <c r="P167" s="14">
        <f t="shared" si="38"/>
        <v>3.5962447322969271</v>
      </c>
      <c r="Q167" s="14">
        <f t="shared" si="36"/>
        <v>24.637811338147515</v>
      </c>
    </row>
    <row r="168" spans="1:17" x14ac:dyDescent="0.25">
      <c r="A168" s="5" t="s">
        <v>225</v>
      </c>
      <c r="B168" s="6">
        <f t="shared" si="37"/>
        <v>9</v>
      </c>
      <c r="C168" s="70">
        <v>14.605760569999999</v>
      </c>
      <c r="D168" s="4">
        <v>0</v>
      </c>
      <c r="E168" s="12">
        <f t="shared" si="26"/>
        <v>0</v>
      </c>
      <c r="F168" s="12">
        <f t="shared" si="27"/>
        <v>0</v>
      </c>
      <c r="G168" s="16">
        <f t="shared" si="29"/>
        <v>2.3751318121881731E-2</v>
      </c>
      <c r="H168" s="14">
        <f t="shared" si="30"/>
        <v>0</v>
      </c>
      <c r="I168" s="14">
        <f t="shared" si="31"/>
        <v>2.5748758254508193</v>
      </c>
      <c r="J168" s="14">
        <f t="shared" si="32"/>
        <v>8.8828654445563386E-4</v>
      </c>
      <c r="K168" s="14">
        <f t="shared" si="33"/>
        <v>5.5567016490171636E-2</v>
      </c>
      <c r="L168" s="14">
        <f t="shared" si="34"/>
        <v>635.67640391044313</v>
      </c>
      <c r="M168" s="14">
        <f t="shared" si="28"/>
        <v>0.13542792841172913</v>
      </c>
      <c r="N168" s="14">
        <f t="shared" si="35"/>
        <v>3.4656383069251517</v>
      </c>
      <c r="O168" s="4">
        <v>1.57</v>
      </c>
      <c r="P168" s="14">
        <f t="shared" si="38"/>
        <v>3.5934445906820556</v>
      </c>
      <c r="Q168" s="14">
        <f t="shared" si="36"/>
        <v>24.637811338147515</v>
      </c>
    </row>
    <row r="169" spans="1:17" x14ac:dyDescent="0.25">
      <c r="A169" s="5" t="s">
        <v>226</v>
      </c>
      <c r="B169" s="6">
        <f t="shared" si="37"/>
        <v>9</v>
      </c>
      <c r="C169" s="70">
        <v>15.8097105</v>
      </c>
      <c r="D169" s="4">
        <v>5.6</v>
      </c>
      <c r="E169" s="12">
        <f t="shared" si="26"/>
        <v>0</v>
      </c>
      <c r="F169" s="12">
        <f t="shared" si="27"/>
        <v>5.6</v>
      </c>
      <c r="G169" s="16">
        <f t="shared" si="29"/>
        <v>5.5916040990459193</v>
      </c>
      <c r="H169" s="14">
        <f t="shared" si="30"/>
        <v>3.0694703389016698E-2</v>
      </c>
      <c r="I169" s="14">
        <f t="shared" si="31"/>
        <v>4.3678735448145538</v>
      </c>
      <c r="J169" s="14">
        <f t="shared" si="32"/>
        <v>1.4525156869454117E-3</v>
      </c>
      <c r="K169" s="14">
        <f t="shared" si="33"/>
        <v>8.3513729509193807E-2</v>
      </c>
      <c r="L169" s="14">
        <f t="shared" si="34"/>
        <v>635.54372397240149</v>
      </c>
      <c r="M169" s="14">
        <f t="shared" si="28"/>
        <v>0.13540561743108109</v>
      </c>
      <c r="N169" s="14">
        <f t="shared" si="35"/>
        <v>3.4650673627328739</v>
      </c>
      <c r="O169" s="4">
        <v>1.59</v>
      </c>
      <c r="P169" s="14">
        <f t="shared" si="38"/>
        <v>3.5158776147860142</v>
      </c>
      <c r="Q169" s="14">
        <f t="shared" si="36"/>
        <v>24.439665378377402</v>
      </c>
    </row>
    <row r="170" spans="1:17" x14ac:dyDescent="0.25">
      <c r="A170" s="5" t="s">
        <v>227</v>
      </c>
      <c r="B170" s="6">
        <f t="shared" si="37"/>
        <v>9</v>
      </c>
      <c r="C170" s="70">
        <v>15.377489089999999</v>
      </c>
      <c r="D170" s="4">
        <v>5.3</v>
      </c>
      <c r="E170" s="12">
        <f t="shared" si="26"/>
        <v>0</v>
      </c>
      <c r="F170" s="12">
        <f t="shared" si="27"/>
        <v>5.3</v>
      </c>
      <c r="G170" s="16">
        <f t="shared" si="29"/>
        <v>10.066125565904452</v>
      </c>
      <c r="H170" s="14">
        <f t="shared" si="30"/>
        <v>0.53391687787667252</v>
      </c>
      <c r="I170" s="14">
        <f t="shared" si="31"/>
        <v>3.7241823222151411</v>
      </c>
      <c r="J170" s="14">
        <f t="shared" si="32"/>
        <v>0.29156165526479472</v>
      </c>
      <c r="K170" s="14">
        <f t="shared" si="33"/>
        <v>0.61330055076326206</v>
      </c>
      <c r="L170" s="14">
        <f t="shared" si="34"/>
        <v>635.412448411593</v>
      </c>
      <c r="M170" s="14">
        <f t="shared" si="28"/>
        <v>0.1354905109977397</v>
      </c>
      <c r="N170" s="14">
        <f t="shared" si="35"/>
        <v>3.4672398126852135</v>
      </c>
      <c r="O170" s="4">
        <v>1.62</v>
      </c>
      <c r="P170" s="14">
        <f t="shared" si="38"/>
        <v>3.4122949255693023</v>
      </c>
      <c r="Q170" s="14">
        <f t="shared" si="36"/>
        <v>24.143946438722228</v>
      </c>
    </row>
    <row r="171" spans="1:17" x14ac:dyDescent="0.25">
      <c r="A171" s="5" t="s">
        <v>228</v>
      </c>
      <c r="B171" s="6">
        <f t="shared" si="37"/>
        <v>9</v>
      </c>
      <c r="C171" s="70">
        <v>16.059118269999999</v>
      </c>
      <c r="D171" s="4">
        <v>1.9</v>
      </c>
      <c r="E171" s="12">
        <f t="shared" si="26"/>
        <v>0</v>
      </c>
      <c r="F171" s="12">
        <f t="shared" si="27"/>
        <v>1.9</v>
      </c>
      <c r="G171" s="16">
        <f t="shared" si="29"/>
        <v>11.036330518752317</v>
      </c>
      <c r="H171" s="14">
        <f t="shared" si="30"/>
        <v>0.26185072076506988</v>
      </c>
      <c r="I171" s="14">
        <f t="shared" si="31"/>
        <v>4.7393072329261461</v>
      </c>
      <c r="J171" s="14">
        <f t="shared" si="32"/>
        <v>0.66794432638706591</v>
      </c>
      <c r="K171" s="14">
        <f t="shared" si="33"/>
        <v>0.84482133636422474</v>
      </c>
      <c r="L171" s="14">
        <f t="shared" si="34"/>
        <v>635.30728783575944</v>
      </c>
      <c r="M171" s="14">
        <f t="shared" si="28"/>
        <v>0.13551742910509479</v>
      </c>
      <c r="N171" s="14">
        <f t="shared" si="35"/>
        <v>3.467928654529683</v>
      </c>
      <c r="O171" s="4">
        <v>1.64</v>
      </c>
      <c r="P171" s="14">
        <f t="shared" si="38"/>
        <v>3.3413231660506977</v>
      </c>
      <c r="Q171" s="14">
        <f t="shared" si="36"/>
        <v>23.947800478952118</v>
      </c>
    </row>
    <row r="172" spans="1:17" x14ac:dyDescent="0.25">
      <c r="A172" s="5" t="s">
        <v>229</v>
      </c>
      <c r="B172" s="6">
        <f t="shared" si="37"/>
        <v>9</v>
      </c>
      <c r="C172" s="70">
        <v>16.15437317</v>
      </c>
      <c r="D172" s="4">
        <v>2.5</v>
      </c>
      <c r="E172" s="12">
        <f t="shared" si="26"/>
        <v>0</v>
      </c>
      <c r="F172" s="12">
        <f t="shared" si="27"/>
        <v>2.5</v>
      </c>
      <c r="G172" s="16">
        <f t="shared" si="29"/>
        <v>12.420225917267491</v>
      </c>
      <c r="H172" s="14">
        <f t="shared" si="30"/>
        <v>0.36186139780335536</v>
      </c>
      <c r="I172" s="14">
        <f t="shared" si="31"/>
        <v>4.8811668021677193</v>
      </c>
      <c r="J172" s="14">
        <f t="shared" si="32"/>
        <v>0.7542432036814698</v>
      </c>
      <c r="K172" s="14">
        <f t="shared" si="33"/>
        <v>1.1649032570004836</v>
      </c>
      <c r="L172" s="14">
        <f t="shared" si="34"/>
        <v>635.21354988382143</v>
      </c>
      <c r="M172" s="14">
        <f t="shared" si="28"/>
        <v>0.13556564642967672</v>
      </c>
      <c r="N172" s="14">
        <f t="shared" si="35"/>
        <v>3.4691625492594356</v>
      </c>
      <c r="O172" s="4">
        <v>1.64</v>
      </c>
      <c r="P172" s="14">
        <f t="shared" si="38"/>
        <v>3.3458356316132774</v>
      </c>
      <c r="Q172" s="14">
        <f t="shared" si="36"/>
        <v>23.947800478952118</v>
      </c>
    </row>
    <row r="173" spans="1:17" x14ac:dyDescent="0.25">
      <c r="A173" s="5" t="s">
        <v>230</v>
      </c>
      <c r="B173" s="6">
        <f t="shared" si="37"/>
        <v>9</v>
      </c>
      <c r="C173" s="70">
        <v>15.00228882</v>
      </c>
      <c r="D173" s="4">
        <v>0</v>
      </c>
      <c r="E173" s="12">
        <f t="shared" si="26"/>
        <v>0</v>
      </c>
      <c r="F173" s="12">
        <f t="shared" si="27"/>
        <v>0</v>
      </c>
      <c r="G173" s="16">
        <f t="shared" si="29"/>
        <v>11.869769929656965</v>
      </c>
      <c r="H173" s="14">
        <f t="shared" si="30"/>
        <v>0</v>
      </c>
      <c r="I173" s="14">
        <f t="shared" si="31"/>
        <v>3.1654105563372568</v>
      </c>
      <c r="J173" s="14">
        <f t="shared" si="32"/>
        <v>0.55045598761052639</v>
      </c>
      <c r="K173" s="14">
        <f t="shared" si="33"/>
        <v>1.1072945687100335</v>
      </c>
      <c r="L173" s="14">
        <f t="shared" si="34"/>
        <v>635.1355929256822</v>
      </c>
      <c r="M173" s="14">
        <f t="shared" si="28"/>
        <v>0.13553676731788217</v>
      </c>
      <c r="N173" s="14">
        <f t="shared" si="35"/>
        <v>3.4684235247666373</v>
      </c>
      <c r="O173" s="4">
        <v>1.62</v>
      </c>
      <c r="P173" s="14">
        <f t="shared" si="38"/>
        <v>3.4166695269107188</v>
      </c>
      <c r="Q173" s="14">
        <f t="shared" si="36"/>
        <v>24.143946438722228</v>
      </c>
    </row>
    <row r="174" spans="1:17" x14ac:dyDescent="0.25">
      <c r="A174" s="5" t="s">
        <v>231</v>
      </c>
      <c r="B174" s="6">
        <f t="shared" si="37"/>
        <v>9</v>
      </c>
      <c r="C174" s="70">
        <v>16.03435898</v>
      </c>
      <c r="D174" s="4">
        <v>0</v>
      </c>
      <c r="E174" s="12">
        <f t="shared" si="26"/>
        <v>0</v>
      </c>
      <c r="F174" s="12">
        <f t="shared" si="27"/>
        <v>0</v>
      </c>
      <c r="G174" s="16">
        <f t="shared" si="29"/>
        <v>11.088271550277366</v>
      </c>
      <c r="H174" s="14">
        <f t="shared" si="30"/>
        <v>0</v>
      </c>
      <c r="I174" s="14">
        <f t="shared" si="31"/>
        <v>4.7024341459340135</v>
      </c>
      <c r="J174" s="14">
        <f t="shared" si="32"/>
        <v>0.78149837937959887</v>
      </c>
      <c r="K174" s="14">
        <f t="shared" si="33"/>
        <v>1.0525348388602114</v>
      </c>
      <c r="L174" s="14">
        <f t="shared" si="34"/>
        <v>635.05481588821419</v>
      </c>
      <c r="M174" s="14">
        <f t="shared" si="28"/>
        <v>0.13550789435811153</v>
      </c>
      <c r="N174" s="14">
        <f t="shared" si="35"/>
        <v>3.4676846577058402</v>
      </c>
      <c r="O174" s="4">
        <v>1.6</v>
      </c>
      <c r="P174" s="14">
        <f t="shared" si="38"/>
        <v>3.4882459806297814</v>
      </c>
      <c r="Q174" s="14">
        <f t="shared" si="36"/>
        <v>24.34089239849234</v>
      </c>
    </row>
    <row r="175" spans="1:17" x14ac:dyDescent="0.25">
      <c r="A175" s="5" t="s">
        <v>232</v>
      </c>
      <c r="B175" s="6">
        <f t="shared" si="37"/>
        <v>9</v>
      </c>
      <c r="C175" s="70">
        <v>15.90596867</v>
      </c>
      <c r="D175" s="4">
        <v>0</v>
      </c>
      <c r="E175" s="12">
        <f t="shared" si="26"/>
        <v>0</v>
      </c>
      <c r="F175" s="12">
        <f t="shared" si="27"/>
        <v>0</v>
      </c>
      <c r="G175" s="16">
        <f t="shared" si="29"/>
        <v>10.387911095404235</v>
      </c>
      <c r="H175" s="14">
        <f t="shared" si="30"/>
        <v>0</v>
      </c>
      <c r="I175" s="14">
        <f t="shared" si="31"/>
        <v>4.5112272466417771</v>
      </c>
      <c r="J175" s="14">
        <f t="shared" si="32"/>
        <v>0.7003604548731307</v>
      </c>
      <c r="K175" s="14">
        <f t="shared" si="33"/>
        <v>1.0004831761299804</v>
      </c>
      <c r="L175" s="14">
        <f t="shared" si="34"/>
        <v>634.97135965658629</v>
      </c>
      <c r="M175" s="14">
        <f t="shared" si="28"/>
        <v>0.13547902754905425</v>
      </c>
      <c r="N175" s="14">
        <f t="shared" si="35"/>
        <v>3.4669459480435063</v>
      </c>
      <c r="O175" s="4">
        <v>1.58</v>
      </c>
      <c r="P175" s="14">
        <f t="shared" si="38"/>
        <v>3.5605650108378066</v>
      </c>
      <c r="Q175" s="14">
        <f t="shared" si="36"/>
        <v>24.538638358262457</v>
      </c>
    </row>
    <row r="176" spans="1:17" x14ac:dyDescent="0.25">
      <c r="A176" s="5" t="s">
        <v>233</v>
      </c>
      <c r="B176" s="6">
        <f t="shared" si="37"/>
        <v>9</v>
      </c>
      <c r="C176" s="70">
        <v>16.379121779999998</v>
      </c>
      <c r="D176" s="4">
        <v>0</v>
      </c>
      <c r="E176" s="12">
        <f t="shared" si="26"/>
        <v>0</v>
      </c>
      <c r="F176" s="12">
        <f t="shared" si="27"/>
        <v>0</v>
      </c>
      <c r="G176" s="16">
        <f t="shared" si="29"/>
        <v>9.6293010591260142</v>
      </c>
      <c r="H176" s="14">
        <f t="shared" si="30"/>
        <v>0</v>
      </c>
      <c r="I176" s="14">
        <f t="shared" si="31"/>
        <v>5.2158765231609889</v>
      </c>
      <c r="J176" s="14">
        <f t="shared" si="32"/>
        <v>0.75861003627822077</v>
      </c>
      <c r="K176" s="14">
        <f t="shared" si="33"/>
        <v>0.95100565678479465</v>
      </c>
      <c r="L176" s="14">
        <f t="shared" si="34"/>
        <v>634.88535814838235</v>
      </c>
      <c r="M176" s="14">
        <f t="shared" si="28"/>
        <v>0.13545016688940006</v>
      </c>
      <c r="N176" s="14">
        <f t="shared" si="35"/>
        <v>3.4662073957461055</v>
      </c>
      <c r="O176" s="4">
        <v>1.56</v>
      </c>
      <c r="P176" s="14">
        <f t="shared" si="38"/>
        <v>3.6336266355971496</v>
      </c>
      <c r="Q176" s="14">
        <f t="shared" si="36"/>
        <v>24.737184318032579</v>
      </c>
    </row>
    <row r="177" spans="1:17" x14ac:dyDescent="0.25">
      <c r="A177" s="5" t="s">
        <v>234</v>
      </c>
      <c r="B177" s="6">
        <f t="shared" si="37"/>
        <v>9</v>
      </c>
      <c r="C177" s="70">
        <v>16.504325869999999</v>
      </c>
      <c r="D177" s="4">
        <v>0</v>
      </c>
      <c r="E177" s="12">
        <f t="shared" si="26"/>
        <v>0</v>
      </c>
      <c r="F177" s="12">
        <f t="shared" si="27"/>
        <v>0</v>
      </c>
      <c r="G177" s="16">
        <f t="shared" si="29"/>
        <v>8.9009519382513087</v>
      </c>
      <c r="H177" s="14">
        <f t="shared" si="30"/>
        <v>0</v>
      </c>
      <c r="I177" s="14">
        <f t="shared" si="31"/>
        <v>5.4023383038639565</v>
      </c>
      <c r="J177" s="14">
        <f t="shared" si="32"/>
        <v>0.72834912087470549</v>
      </c>
      <c r="K177" s="14">
        <f t="shared" si="33"/>
        <v>0.90397498010419275</v>
      </c>
      <c r="L177" s="14">
        <f t="shared" si="34"/>
        <v>634.79693865817353</v>
      </c>
      <c r="M177" s="14">
        <f t="shared" si="28"/>
        <v>0.13542131237783897</v>
      </c>
      <c r="N177" s="14">
        <f t="shared" si="35"/>
        <v>3.4654690007801157</v>
      </c>
      <c r="O177" s="4">
        <v>1.56</v>
      </c>
      <c r="P177" s="14">
        <f t="shared" si="38"/>
        <v>3.6308121129339721</v>
      </c>
      <c r="Q177" s="14">
        <f t="shared" si="36"/>
        <v>24.737184318032579</v>
      </c>
    </row>
    <row r="178" spans="1:17" x14ac:dyDescent="0.25">
      <c r="A178" s="5" t="s">
        <v>235</v>
      </c>
      <c r="B178" s="6">
        <f t="shared" si="37"/>
        <v>9</v>
      </c>
      <c r="C178" s="70">
        <v>15.477892880000001</v>
      </c>
      <c r="D178" s="4">
        <v>0</v>
      </c>
      <c r="E178" s="12">
        <f t="shared" si="26"/>
        <v>0</v>
      </c>
      <c r="F178" s="12">
        <f t="shared" si="27"/>
        <v>0</v>
      </c>
      <c r="G178" s="16">
        <f t="shared" si="29"/>
        <v>8.418197125105543</v>
      </c>
      <c r="H178" s="14">
        <f t="shared" si="30"/>
        <v>0</v>
      </c>
      <c r="I178" s="14">
        <f t="shared" si="31"/>
        <v>3.8737099412627845</v>
      </c>
      <c r="J178" s="14">
        <f t="shared" si="32"/>
        <v>0.48275481314576624</v>
      </c>
      <c r="K178" s="14">
        <f t="shared" si="33"/>
        <v>0.85927014084974596</v>
      </c>
      <c r="L178" s="14">
        <f t="shared" si="34"/>
        <v>634.70622218505014</v>
      </c>
      <c r="M178" s="14">
        <f t="shared" si="28"/>
        <v>0.13539246401306129</v>
      </c>
      <c r="N178" s="14">
        <f t="shared" si="35"/>
        <v>3.4647307631120201</v>
      </c>
      <c r="O178" s="4">
        <v>1.54</v>
      </c>
      <c r="P178" s="14">
        <f t="shared" si="38"/>
        <v>3.7045885104697791</v>
      </c>
      <c r="Q178" s="14">
        <f t="shared" si="36"/>
        <v>24.936530277802689</v>
      </c>
    </row>
    <row r="179" spans="1:17" x14ac:dyDescent="0.25">
      <c r="A179" s="5" t="s">
        <v>236</v>
      </c>
      <c r="B179" s="6">
        <f t="shared" si="37"/>
        <v>9</v>
      </c>
      <c r="C179" s="70">
        <v>17.097667690000002</v>
      </c>
      <c r="D179" s="4">
        <v>0</v>
      </c>
      <c r="E179" s="12">
        <f t="shared" si="26"/>
        <v>0</v>
      </c>
      <c r="F179" s="12">
        <f t="shared" si="27"/>
        <v>0</v>
      </c>
      <c r="G179" s="16">
        <f t="shared" si="29"/>
        <v>7.6773047005383486</v>
      </c>
      <c r="H179" s="14">
        <f t="shared" si="30"/>
        <v>0</v>
      </c>
      <c r="I179" s="14">
        <f t="shared" si="31"/>
        <v>6.2859801427426971</v>
      </c>
      <c r="J179" s="14">
        <f t="shared" si="32"/>
        <v>0.74089242456719395</v>
      </c>
      <c r="K179" s="14">
        <f t="shared" si="33"/>
        <v>0.81677611793065352</v>
      </c>
      <c r="L179" s="14">
        <f t="shared" si="34"/>
        <v>634.61332374395624</v>
      </c>
      <c r="M179" s="14">
        <f t="shared" si="28"/>
        <v>0.1353636217937576</v>
      </c>
      <c r="N179" s="14">
        <f t="shared" si="35"/>
        <v>3.463992682708311</v>
      </c>
      <c r="O179" s="4">
        <v>1.53</v>
      </c>
      <c r="P179" s="14">
        <f t="shared" si="38"/>
        <v>3.7403276967692896</v>
      </c>
      <c r="Q179" s="14">
        <f t="shared" si="36"/>
        <v>25.036503257687745</v>
      </c>
    </row>
    <row r="180" spans="1:17" x14ac:dyDescent="0.25">
      <c r="A180" s="5" t="s">
        <v>237</v>
      </c>
      <c r="B180" s="6">
        <f t="shared" si="37"/>
        <v>9</v>
      </c>
      <c r="C180" s="70">
        <v>17.651390079999999</v>
      </c>
      <c r="D180" s="4">
        <v>0</v>
      </c>
      <c r="E180" s="12">
        <f t="shared" si="26"/>
        <v>0</v>
      </c>
      <c r="F180" s="12">
        <f t="shared" si="27"/>
        <v>0</v>
      </c>
      <c r="G180" s="16">
        <f t="shared" si="29"/>
        <v>6.9129777057574033</v>
      </c>
      <c r="H180" s="14">
        <f t="shared" si="30"/>
        <v>0</v>
      </c>
      <c r="I180" s="14">
        <f t="shared" si="31"/>
        <v>7.110618242460542</v>
      </c>
      <c r="J180" s="14">
        <f t="shared" si="32"/>
        <v>0.76432699478094512</v>
      </c>
      <c r="K180" s="14">
        <f t="shared" si="33"/>
        <v>0.77638357846595252</v>
      </c>
      <c r="L180" s="14">
        <f t="shared" si="34"/>
        <v>634.5183526616272</v>
      </c>
      <c r="M180" s="14">
        <f t="shared" si="28"/>
        <v>0.13533478571861873</v>
      </c>
      <c r="N180" s="14">
        <f t="shared" si="35"/>
        <v>3.4632547595354866</v>
      </c>
      <c r="O180" s="4">
        <v>1.52</v>
      </c>
      <c r="P180" s="14">
        <f t="shared" si="38"/>
        <v>3.7762390604573217</v>
      </c>
      <c r="Q180" s="14">
        <f t="shared" si="36"/>
        <v>25.1366762375728</v>
      </c>
    </row>
    <row r="181" spans="1:17" x14ac:dyDescent="0.25">
      <c r="A181" s="5" t="s">
        <v>238</v>
      </c>
      <c r="B181" s="6">
        <f t="shared" si="37"/>
        <v>10</v>
      </c>
      <c r="C181" s="70">
        <v>17.325122830000002</v>
      </c>
      <c r="D181" s="4">
        <v>0</v>
      </c>
      <c r="E181" s="12">
        <f t="shared" si="26"/>
        <v>0</v>
      </c>
      <c r="F181" s="12">
        <f t="shared" si="27"/>
        <v>0</v>
      </c>
      <c r="G181" s="16">
        <f t="shared" si="29"/>
        <v>6.2634136939192988</v>
      </c>
      <c r="H181" s="14">
        <f t="shared" si="30"/>
        <v>0</v>
      </c>
      <c r="I181" s="14">
        <f t="shared" si="31"/>
        <v>6.7111004744655061</v>
      </c>
      <c r="J181" s="14">
        <f t="shared" si="32"/>
        <v>0.64956401183810497</v>
      </c>
      <c r="K181" s="14">
        <f t="shared" si="33"/>
        <v>0.7379885964819245</v>
      </c>
      <c r="L181" s="14">
        <f t="shared" si="34"/>
        <v>634.42141285789262</v>
      </c>
      <c r="M181" s="14">
        <f t="shared" si="28"/>
        <v>0.13530595578633581</v>
      </c>
      <c r="N181" s="14">
        <f t="shared" si="35"/>
        <v>3.4625169935600515</v>
      </c>
      <c r="O181" s="4">
        <v>1.52</v>
      </c>
      <c r="P181" s="14">
        <f t="shared" si="38"/>
        <v>3.7733722702695811</v>
      </c>
      <c r="Q181" s="14">
        <f t="shared" si="36"/>
        <v>25.1366762375728</v>
      </c>
    </row>
    <row r="182" spans="1:17" x14ac:dyDescent="0.25">
      <c r="A182" s="5" t="s">
        <v>239</v>
      </c>
      <c r="B182" s="6">
        <f t="shared" si="37"/>
        <v>10</v>
      </c>
      <c r="C182" s="70">
        <v>18.070596689999999</v>
      </c>
      <c r="D182" s="4">
        <v>0</v>
      </c>
      <c r="E182" s="12">
        <f t="shared" si="26"/>
        <v>0</v>
      </c>
      <c r="F182" s="12">
        <f t="shared" si="27"/>
        <v>0</v>
      </c>
      <c r="G182" s="16">
        <f t="shared" si="29"/>
        <v>5.5826571460564791</v>
      </c>
      <c r="H182" s="14">
        <f t="shared" si="30"/>
        <v>0</v>
      </c>
      <c r="I182" s="14">
        <f t="shared" si="31"/>
        <v>7.7627870291127872</v>
      </c>
      <c r="J182" s="14">
        <f t="shared" si="32"/>
        <v>0.68075654786281958</v>
      </c>
      <c r="K182" s="14">
        <f t="shared" si="33"/>
        <v>0.70149238552093462</v>
      </c>
      <c r="L182" s="14">
        <f t="shared" si="34"/>
        <v>634.32260311306732</v>
      </c>
      <c r="M182" s="14">
        <f t="shared" si="28"/>
        <v>0.13527713199560024</v>
      </c>
      <c r="N182" s="14">
        <f t="shared" si="35"/>
        <v>3.4617793847485201</v>
      </c>
      <c r="O182" s="4">
        <v>1.5</v>
      </c>
      <c r="P182" s="14">
        <f t="shared" si="38"/>
        <v>3.8485783544242822</v>
      </c>
      <c r="Q182" s="14">
        <f t="shared" si="36"/>
        <v>25.337622197342917</v>
      </c>
    </row>
    <row r="183" spans="1:17" x14ac:dyDescent="0.25">
      <c r="A183" s="5" t="s">
        <v>240</v>
      </c>
      <c r="B183" s="6">
        <f t="shared" si="37"/>
        <v>10</v>
      </c>
      <c r="C183" s="70">
        <v>16.257614140000001</v>
      </c>
      <c r="D183" s="4">
        <v>0</v>
      </c>
      <c r="E183" s="12">
        <f t="shared" si="26"/>
        <v>0</v>
      </c>
      <c r="F183" s="12">
        <f t="shared" si="27"/>
        <v>0</v>
      </c>
      <c r="G183" s="16">
        <f t="shared" si="29"/>
        <v>5.1758083537024726</v>
      </c>
      <c r="H183" s="14">
        <f t="shared" si="30"/>
        <v>0</v>
      </c>
      <c r="I183" s="14">
        <f t="shared" si="31"/>
        <v>5.2050992630452448</v>
      </c>
      <c r="J183" s="14">
        <f t="shared" si="32"/>
        <v>0.40684879235400645</v>
      </c>
      <c r="K183" s="14">
        <f t="shared" si="33"/>
        <v>0.66680104447373301</v>
      </c>
      <c r="L183" s="14">
        <f t="shared" si="34"/>
        <v>634.22201732211886</v>
      </c>
      <c r="M183" s="14">
        <f t="shared" si="28"/>
        <v>0.1352483143451037</v>
      </c>
      <c r="N183" s="14">
        <f t="shared" si="35"/>
        <v>3.4610419330674111</v>
      </c>
      <c r="O183" s="4">
        <v>1.52</v>
      </c>
      <c r="P183" s="14">
        <f t="shared" si="38"/>
        <v>3.7676437859260723</v>
      </c>
      <c r="Q183" s="14">
        <f t="shared" si="36"/>
        <v>25.1366762375728</v>
      </c>
    </row>
    <row r="184" spans="1:17" x14ac:dyDescent="0.25">
      <c r="A184" s="5" t="s">
        <v>241</v>
      </c>
      <c r="B184" s="6">
        <f t="shared" si="37"/>
        <v>10</v>
      </c>
      <c r="C184" s="70">
        <v>16.73157501</v>
      </c>
      <c r="D184" s="4">
        <v>0</v>
      </c>
      <c r="E184" s="12">
        <f t="shared" si="26"/>
        <v>0</v>
      </c>
      <c r="F184" s="12">
        <f t="shared" si="27"/>
        <v>0</v>
      </c>
      <c r="G184" s="16">
        <f t="shared" si="29"/>
        <v>4.7501546965581891</v>
      </c>
      <c r="H184" s="14">
        <f t="shared" si="30"/>
        <v>0</v>
      </c>
      <c r="I184" s="14">
        <f t="shared" si="31"/>
        <v>5.8737454774248201</v>
      </c>
      <c r="J184" s="14">
        <f t="shared" si="32"/>
        <v>0.4256536571442831</v>
      </c>
      <c r="K184" s="14">
        <f t="shared" si="33"/>
        <v>0.63382531598127001</v>
      </c>
      <c r="L184" s="14">
        <f t="shared" si="34"/>
        <v>634.11974473626628</v>
      </c>
      <c r="M184" s="14">
        <f t="shared" si="28"/>
        <v>0.13521950283353817</v>
      </c>
      <c r="N184" s="14">
        <f t="shared" si="35"/>
        <v>3.4603046384832514</v>
      </c>
      <c r="O184" s="4">
        <v>1.55</v>
      </c>
      <c r="P184" s="14">
        <f t="shared" si="38"/>
        <v>3.6492638118106258</v>
      </c>
      <c r="Q184" s="14">
        <f t="shared" si="36"/>
        <v>24.836757297917632</v>
      </c>
    </row>
    <row r="185" spans="1:17" x14ac:dyDescent="0.25">
      <c r="A185" s="5" t="s">
        <v>242</v>
      </c>
      <c r="B185" s="6">
        <f t="shared" si="37"/>
        <v>10</v>
      </c>
      <c r="C185" s="70">
        <v>16.180450440000001</v>
      </c>
      <c r="D185" s="4">
        <v>0</v>
      </c>
      <c r="E185" s="12">
        <f t="shared" si="26"/>
        <v>0</v>
      </c>
      <c r="F185" s="12">
        <f t="shared" si="27"/>
        <v>0</v>
      </c>
      <c r="G185" s="16">
        <f t="shared" si="29"/>
        <v>4.4112163935615341</v>
      </c>
      <c r="H185" s="14">
        <f t="shared" si="30"/>
        <v>0</v>
      </c>
      <c r="I185" s="14">
        <f t="shared" si="31"/>
        <v>5.0962396099424039</v>
      </c>
      <c r="J185" s="14">
        <f t="shared" si="32"/>
        <v>0.33893830299665489</v>
      </c>
      <c r="K185" s="14">
        <f t="shared" si="33"/>
        <v>0.60248035678441736</v>
      </c>
      <c r="L185" s="14">
        <f t="shared" si="34"/>
        <v>634.01587019262956</v>
      </c>
      <c r="M185" s="14">
        <f t="shared" si="28"/>
        <v>0.13519069745959592</v>
      </c>
      <c r="N185" s="14">
        <f t="shared" si="35"/>
        <v>3.4595675009625761</v>
      </c>
      <c r="O185" s="4">
        <v>1.54</v>
      </c>
      <c r="P185" s="14">
        <f t="shared" si="38"/>
        <v>3.6847393907517096</v>
      </c>
      <c r="Q185" s="14">
        <f t="shared" si="36"/>
        <v>24.936530277802689</v>
      </c>
    </row>
    <row r="186" spans="1:17" x14ac:dyDescent="0.25">
      <c r="A186" s="5" t="s">
        <v>243</v>
      </c>
      <c r="B186" s="6">
        <f t="shared" si="37"/>
        <v>10</v>
      </c>
      <c r="C186" s="70">
        <v>15.323868750000001</v>
      </c>
      <c r="D186" s="4">
        <v>0</v>
      </c>
      <c r="E186" s="12">
        <f t="shared" si="26"/>
        <v>0</v>
      </c>
      <c r="F186" s="12">
        <f t="shared" si="27"/>
        <v>0</v>
      </c>
      <c r="G186" s="16">
        <f t="shared" si="29"/>
        <v>4.1710976623424338</v>
      </c>
      <c r="H186" s="14">
        <f t="shared" si="30"/>
        <v>0</v>
      </c>
      <c r="I186" s="14">
        <f t="shared" si="31"/>
        <v>3.8878062970291252</v>
      </c>
      <c r="J186" s="14">
        <f t="shared" si="32"/>
        <v>0.24011873121910035</v>
      </c>
      <c r="K186" s="14">
        <f t="shared" si="33"/>
        <v>0.57268551943072787</v>
      </c>
      <c r="L186" s="14">
        <f t="shared" si="34"/>
        <v>633.91047433252356</v>
      </c>
      <c r="M186" s="14">
        <f t="shared" si="28"/>
        <v>0.13516189822196939</v>
      </c>
      <c r="N186" s="14">
        <f t="shared" si="35"/>
        <v>3.458830520471925</v>
      </c>
      <c r="O186" s="4">
        <v>1.54</v>
      </c>
      <c r="P186" s="14">
        <f t="shared" si="38"/>
        <v>3.6819105662945582</v>
      </c>
      <c r="Q186" s="14">
        <f t="shared" si="36"/>
        <v>24.936530277802689</v>
      </c>
    </row>
    <row r="187" spans="1:17" x14ac:dyDescent="0.25">
      <c r="A187" s="5" t="s">
        <v>244</v>
      </c>
      <c r="B187" s="6">
        <f t="shared" si="37"/>
        <v>10</v>
      </c>
      <c r="C187" s="70">
        <v>16.159692759999999</v>
      </c>
      <c r="D187" s="4">
        <v>0</v>
      </c>
      <c r="E187" s="12">
        <f t="shared" si="26"/>
        <v>0</v>
      </c>
      <c r="F187" s="12">
        <f t="shared" si="27"/>
        <v>0</v>
      </c>
      <c r="G187" s="16">
        <f t="shared" si="29"/>
        <v>3.8751870756457909</v>
      </c>
      <c r="H187" s="14">
        <f t="shared" si="30"/>
        <v>0</v>
      </c>
      <c r="I187" s="14">
        <f t="shared" si="31"/>
        <v>5.0669554537391619</v>
      </c>
      <c r="J187" s="14">
        <f t="shared" si="32"/>
        <v>0.29591058669664283</v>
      </c>
      <c r="K187" s="14">
        <f t="shared" si="33"/>
        <v>0.54436414477658734</v>
      </c>
      <c r="L187" s="14">
        <f t="shared" si="34"/>
        <v>633.80363380895562</v>
      </c>
      <c r="M187" s="14">
        <f t="shared" si="28"/>
        <v>0.13513310511935142</v>
      </c>
      <c r="N187" s="14">
        <f t="shared" si="35"/>
        <v>3.4580936969778464</v>
      </c>
      <c r="O187" s="4">
        <v>1.54</v>
      </c>
      <c r="P187" s="14">
        <f t="shared" si="38"/>
        <v>3.6790834303861422</v>
      </c>
      <c r="Q187" s="14">
        <f t="shared" si="36"/>
        <v>24.936530277802689</v>
      </c>
    </row>
    <row r="188" spans="1:17" x14ac:dyDescent="0.25">
      <c r="A188" s="5" t="s">
        <v>245</v>
      </c>
      <c r="B188" s="6">
        <f t="shared" si="37"/>
        <v>10</v>
      </c>
      <c r="C188" s="70">
        <v>16.58770561</v>
      </c>
      <c r="D188" s="4">
        <v>0</v>
      </c>
      <c r="E188" s="12">
        <f t="shared" si="26"/>
        <v>0</v>
      </c>
      <c r="F188" s="12">
        <f t="shared" si="27"/>
        <v>0</v>
      </c>
      <c r="G188" s="16">
        <f t="shared" si="29"/>
        <v>3.5675076015365477</v>
      </c>
      <c r="H188" s="14">
        <f t="shared" si="30"/>
        <v>0</v>
      </c>
      <c r="I188" s="14">
        <f t="shared" si="31"/>
        <v>5.670779925279005</v>
      </c>
      <c r="J188" s="14">
        <f t="shared" si="32"/>
        <v>0.30767947410924329</v>
      </c>
      <c r="K188" s="14">
        <f t="shared" si="33"/>
        <v>0.51744336475088704</v>
      </c>
      <c r="L188" s="14">
        <f t="shared" si="34"/>
        <v>633.69542148386199</v>
      </c>
      <c r="M188" s="14">
        <f t="shared" si="28"/>
        <v>0.13510431815043517</v>
      </c>
      <c r="N188" s="14">
        <f t="shared" si="35"/>
        <v>3.4573570304468997</v>
      </c>
      <c r="O188" s="4">
        <v>1.54</v>
      </c>
      <c r="P188" s="14">
        <f t="shared" si="38"/>
        <v>3.6762579822041532</v>
      </c>
      <c r="Q188" s="14">
        <f t="shared" si="36"/>
        <v>24.936530277802689</v>
      </c>
    </row>
    <row r="189" spans="1:17" x14ac:dyDescent="0.25">
      <c r="A189" s="5" t="s">
        <v>246</v>
      </c>
      <c r="B189" s="6">
        <f t="shared" si="37"/>
        <v>10</v>
      </c>
      <c r="C189" s="70">
        <v>16.053213119999999</v>
      </c>
      <c r="D189" s="4">
        <v>0</v>
      </c>
      <c r="E189" s="12">
        <f t="shared" si="26"/>
        <v>0</v>
      </c>
      <c r="F189" s="12">
        <f t="shared" si="27"/>
        <v>0</v>
      </c>
      <c r="G189" s="16">
        <f t="shared" si="29"/>
        <v>3.3219207963171162</v>
      </c>
      <c r="H189" s="14">
        <f t="shared" si="30"/>
        <v>0</v>
      </c>
      <c r="I189" s="14">
        <f t="shared" si="31"/>
        <v>4.9167379722949658</v>
      </c>
      <c r="J189" s="14">
        <f t="shared" si="32"/>
        <v>0.24558680521943127</v>
      </c>
      <c r="K189" s="14">
        <f t="shared" si="33"/>
        <v>0.49185391487274743</v>
      </c>
      <c r="L189" s="14">
        <f t="shared" si="34"/>
        <v>633.58590661558969</v>
      </c>
      <c r="M189" s="14">
        <f t="shared" si="28"/>
        <v>0.13507553731391386</v>
      </c>
      <c r="N189" s="14">
        <f t="shared" si="35"/>
        <v>3.4566205208456431</v>
      </c>
      <c r="O189" s="4">
        <v>1.55</v>
      </c>
      <c r="P189" s="14">
        <f t="shared" si="38"/>
        <v>3.6352018105097113</v>
      </c>
      <c r="Q189" s="14">
        <f t="shared" si="36"/>
        <v>24.836757297917632</v>
      </c>
    </row>
    <row r="190" spans="1:17" x14ac:dyDescent="0.25">
      <c r="A190" s="5" t="s">
        <v>247</v>
      </c>
      <c r="B190" s="6">
        <f t="shared" si="37"/>
        <v>10</v>
      </c>
      <c r="C190" s="70">
        <v>16.949081419999999</v>
      </c>
      <c r="D190" s="4">
        <v>0</v>
      </c>
      <c r="E190" s="12">
        <f t="shared" si="26"/>
        <v>0</v>
      </c>
      <c r="F190" s="12">
        <f t="shared" si="27"/>
        <v>0</v>
      </c>
      <c r="G190" s="16">
        <f t="shared" si="29"/>
        <v>3.0344573397931383</v>
      </c>
      <c r="H190" s="14">
        <f t="shared" si="30"/>
        <v>0</v>
      </c>
      <c r="I190" s="14">
        <f t="shared" si="31"/>
        <v>6.1805953607280371</v>
      </c>
      <c r="J190" s="14">
        <f t="shared" si="32"/>
        <v>0.28746345652397787</v>
      </c>
      <c r="K190" s="14">
        <f t="shared" si="33"/>
        <v>0.46752995604091985</v>
      </c>
      <c r="L190" s="14">
        <f t="shared" si="34"/>
        <v>633.47515503710758</v>
      </c>
      <c r="M190" s="14">
        <f t="shared" si="28"/>
        <v>0.13504676260848125</v>
      </c>
      <c r="N190" s="14">
        <f t="shared" si="35"/>
        <v>3.4558841681406491</v>
      </c>
      <c r="O190" s="4">
        <v>1.51</v>
      </c>
      <c r="P190" s="14">
        <f t="shared" si="38"/>
        <v>3.7864651958204258</v>
      </c>
      <c r="Q190" s="14">
        <f t="shared" si="36"/>
        <v>25.237049217457862</v>
      </c>
    </row>
    <row r="191" spans="1:17" x14ac:dyDescent="0.25">
      <c r="A191" s="5" t="s">
        <v>248</v>
      </c>
      <c r="B191" s="6">
        <f t="shared" si="37"/>
        <v>10</v>
      </c>
      <c r="C191" s="70">
        <v>17.667825700000002</v>
      </c>
      <c r="D191" s="4">
        <v>0</v>
      </c>
      <c r="E191" s="12">
        <f t="shared" si="26"/>
        <v>0</v>
      </c>
      <c r="F191" s="12">
        <f t="shared" si="27"/>
        <v>0</v>
      </c>
      <c r="G191" s="16">
        <f t="shared" si="29"/>
        <v>2.7287899505019402</v>
      </c>
      <c r="H191" s="14">
        <f t="shared" si="30"/>
        <v>0</v>
      </c>
      <c r="I191" s="14">
        <f t="shared" si="31"/>
        <v>7.1945728266926334</v>
      </c>
      <c r="J191" s="14">
        <f t="shared" si="32"/>
        <v>0.30566738929119797</v>
      </c>
      <c r="K191" s="14">
        <f t="shared" si="33"/>
        <v>0.44440890513634851</v>
      </c>
      <c r="L191" s="14">
        <f t="shared" si="34"/>
        <v>633.36322932540372</v>
      </c>
      <c r="M191" s="14">
        <f t="shared" si="28"/>
        <v>0.13501799403283118</v>
      </c>
      <c r="N191" s="14">
        <f t="shared" si="35"/>
        <v>3.4551479722984926</v>
      </c>
      <c r="O191" s="4">
        <v>1.53</v>
      </c>
      <c r="P191" s="14">
        <f t="shared" si="38"/>
        <v>3.7061947152449974</v>
      </c>
      <c r="Q191" s="14">
        <f t="shared" si="36"/>
        <v>25.036503257687745</v>
      </c>
    </row>
    <row r="192" spans="1:17" x14ac:dyDescent="0.25">
      <c r="A192" s="5" t="s">
        <v>249</v>
      </c>
      <c r="B192" s="6">
        <f t="shared" si="37"/>
        <v>10</v>
      </c>
      <c r="C192" s="70">
        <v>17.7496109</v>
      </c>
      <c r="D192" s="4">
        <v>0</v>
      </c>
      <c r="E192" s="12">
        <f t="shared" si="26"/>
        <v>0</v>
      </c>
      <c r="F192" s="12">
        <f t="shared" si="27"/>
        <v>0</v>
      </c>
      <c r="G192" s="16">
        <f t="shared" si="29"/>
        <v>2.4495048871921057</v>
      </c>
      <c r="H192" s="14">
        <f t="shared" si="30"/>
        <v>0</v>
      </c>
      <c r="I192" s="14">
        <f t="shared" si="31"/>
        <v>7.3099523186162516</v>
      </c>
      <c r="J192" s="14">
        <f t="shared" si="32"/>
        <v>0.27928506330983449</v>
      </c>
      <c r="K192" s="14">
        <f t="shared" si="33"/>
        <v>0.42243127400204961</v>
      </c>
      <c r="L192" s="14">
        <f t="shared" si="34"/>
        <v>633.25018896250515</v>
      </c>
      <c r="M192" s="14">
        <f t="shared" si="28"/>
        <v>0.1349892315856579</v>
      </c>
      <c r="N192" s="14">
        <f t="shared" si="35"/>
        <v>3.4544119332857592</v>
      </c>
      <c r="O192" s="4">
        <v>1.54</v>
      </c>
      <c r="P192" s="14">
        <f t="shared" si="38"/>
        <v>3.664973050306918</v>
      </c>
      <c r="Q192" s="14">
        <f t="shared" si="36"/>
        <v>24.936530277802689</v>
      </c>
    </row>
    <row r="193" spans="1:17" x14ac:dyDescent="0.25">
      <c r="A193" s="5" t="s">
        <v>250</v>
      </c>
      <c r="B193" s="6">
        <f t="shared" si="37"/>
        <v>10</v>
      </c>
      <c r="C193" s="70">
        <v>16.95136261</v>
      </c>
      <c r="D193" s="4">
        <v>0</v>
      </c>
      <c r="E193" s="12">
        <f t="shared" si="26"/>
        <v>0</v>
      </c>
      <c r="F193" s="12">
        <f t="shared" si="27"/>
        <v>0</v>
      </c>
      <c r="G193" s="16">
        <f t="shared" si="29"/>
        <v>2.2374258431567013</v>
      </c>
      <c r="H193" s="14">
        <f t="shared" si="30"/>
        <v>0</v>
      </c>
      <c r="I193" s="14">
        <f t="shared" si="31"/>
        <v>6.1838135779993948</v>
      </c>
      <c r="J193" s="14">
        <f t="shared" si="32"/>
        <v>0.21207904403540415</v>
      </c>
      <c r="K193" s="14">
        <f t="shared" si="33"/>
        <v>0.40154051638601901</v>
      </c>
      <c r="L193" s="14">
        <f t="shared" si="34"/>
        <v>633.1360904885355</v>
      </c>
      <c r="M193" s="14">
        <f t="shared" si="28"/>
        <v>0.13496047526565577</v>
      </c>
      <c r="N193" s="14">
        <f t="shared" si="35"/>
        <v>3.4536760510690381</v>
      </c>
      <c r="O193" s="4">
        <v>1.54</v>
      </c>
      <c r="P193" s="14">
        <f t="shared" si="38"/>
        <v>3.6621560284351875</v>
      </c>
      <c r="Q193" s="14">
        <f t="shared" si="36"/>
        <v>24.936530277802689</v>
      </c>
    </row>
    <row r="194" spans="1:17" x14ac:dyDescent="0.25">
      <c r="A194" s="5" t="s">
        <v>251</v>
      </c>
      <c r="B194" s="6">
        <f t="shared" si="37"/>
        <v>10</v>
      </c>
      <c r="C194" s="70">
        <v>18.036863329999999</v>
      </c>
      <c r="D194" s="4">
        <v>0</v>
      </c>
      <c r="E194" s="12">
        <f t="shared" si="26"/>
        <v>0</v>
      </c>
      <c r="F194" s="12">
        <f t="shared" si="27"/>
        <v>0</v>
      </c>
      <c r="G194" s="16">
        <f t="shared" si="29"/>
        <v>1.9957358088345538</v>
      </c>
      <c r="H194" s="14">
        <f t="shared" si="30"/>
        <v>0</v>
      </c>
      <c r="I194" s="14">
        <f t="shared" si="31"/>
        <v>7.7151972703584351</v>
      </c>
      <c r="J194" s="14">
        <f t="shared" si="32"/>
        <v>0.24169003432214756</v>
      </c>
      <c r="K194" s="14">
        <f t="shared" si="33"/>
        <v>0.38168288245336801</v>
      </c>
      <c r="L194" s="14">
        <f t="shared" si="34"/>
        <v>633.02098764720256</v>
      </c>
      <c r="M194" s="14">
        <f t="shared" si="28"/>
        <v>0.13493172507151968</v>
      </c>
      <c r="N194" s="14">
        <f t="shared" si="35"/>
        <v>3.4529403256149305</v>
      </c>
      <c r="O194" s="4">
        <v>1.53</v>
      </c>
      <c r="P194" s="14">
        <f t="shared" si="38"/>
        <v>3.6976994958760545</v>
      </c>
      <c r="Q194" s="14">
        <f t="shared" si="36"/>
        <v>25.036503257687745</v>
      </c>
    </row>
    <row r="195" spans="1:17" x14ac:dyDescent="0.25">
      <c r="A195" s="5" t="s">
        <v>252</v>
      </c>
      <c r="B195" s="6">
        <f t="shared" si="37"/>
        <v>10</v>
      </c>
      <c r="C195" s="70">
        <v>16.30133438</v>
      </c>
      <c r="D195" s="4">
        <v>0</v>
      </c>
      <c r="E195" s="12">
        <f t="shared" si="26"/>
        <v>0</v>
      </c>
      <c r="F195" s="12">
        <f t="shared" si="27"/>
        <v>0</v>
      </c>
      <c r="G195" s="16">
        <f t="shared" si="29"/>
        <v>1.848568573207638</v>
      </c>
      <c r="H195" s="14">
        <f t="shared" si="30"/>
        <v>0</v>
      </c>
      <c r="I195" s="14">
        <f t="shared" si="31"/>
        <v>5.266778137437905</v>
      </c>
      <c r="J195" s="14">
        <f t="shared" si="32"/>
        <v>0.1471672356269158</v>
      </c>
      <c r="K195" s="14">
        <f t="shared" si="33"/>
        <v>0.36280728049336131</v>
      </c>
      <c r="L195" s="14">
        <f t="shared" si="34"/>
        <v>632.90493152409101</v>
      </c>
      <c r="M195" s="14">
        <f t="shared" si="28"/>
        <v>0.13490298100194453</v>
      </c>
      <c r="N195" s="14">
        <f t="shared" si="35"/>
        <v>3.4522047568900387</v>
      </c>
      <c r="O195" s="4">
        <v>1.53</v>
      </c>
      <c r="P195" s="14">
        <f t="shared" si="38"/>
        <v>3.6948711274106927</v>
      </c>
      <c r="Q195" s="14">
        <f t="shared" si="36"/>
        <v>25.036503257687745</v>
      </c>
    </row>
    <row r="196" spans="1:17" x14ac:dyDescent="0.25">
      <c r="A196" s="5" t="s">
        <v>253</v>
      </c>
      <c r="B196" s="6">
        <f t="shared" si="37"/>
        <v>10</v>
      </c>
      <c r="C196" s="70">
        <v>17.34312439</v>
      </c>
      <c r="D196" s="4">
        <v>0</v>
      </c>
      <c r="E196" s="12">
        <f t="shared" si="26"/>
        <v>0</v>
      </c>
      <c r="F196" s="12">
        <f t="shared" si="27"/>
        <v>0</v>
      </c>
      <c r="G196" s="16">
        <f t="shared" si="29"/>
        <v>1.6742142558594915</v>
      </c>
      <c r="H196" s="14">
        <f t="shared" si="30"/>
        <v>0</v>
      </c>
      <c r="I196" s="14">
        <f t="shared" si="31"/>
        <v>6.7364963999707603</v>
      </c>
      <c r="J196" s="14">
        <f t="shared" si="32"/>
        <v>0.17435431734814658</v>
      </c>
      <c r="K196" s="14">
        <f t="shared" si="33"/>
        <v>0.34486514546554309</v>
      </c>
      <c r="L196" s="14">
        <f t="shared" si="34"/>
        <v>632.78797067811684</v>
      </c>
      <c r="M196" s="14">
        <f t="shared" si="28"/>
        <v>0.1348742430556257</v>
      </c>
      <c r="N196" s="14">
        <f t="shared" si="35"/>
        <v>3.451469344860977</v>
      </c>
      <c r="O196" s="4">
        <v>1.54</v>
      </c>
      <c r="P196" s="14">
        <f t="shared" si="38"/>
        <v>3.6537150563432523</v>
      </c>
      <c r="Q196" s="14">
        <f t="shared" si="36"/>
        <v>24.936530277802689</v>
      </c>
    </row>
    <row r="197" spans="1:17" x14ac:dyDescent="0.25">
      <c r="A197" s="5" t="s">
        <v>254</v>
      </c>
      <c r="B197" s="6">
        <f t="shared" si="37"/>
        <v>10</v>
      </c>
      <c r="C197" s="70">
        <v>16.321723939999998</v>
      </c>
      <c r="D197" s="4">
        <v>0</v>
      </c>
      <c r="E197" s="12">
        <f t="shared" si="26"/>
        <v>0</v>
      </c>
      <c r="F197" s="12">
        <f t="shared" si="27"/>
        <v>0</v>
      </c>
      <c r="G197" s="16">
        <f t="shared" si="29"/>
        <v>1.5500820166093134</v>
      </c>
      <c r="H197" s="14">
        <f t="shared" si="30"/>
        <v>0</v>
      </c>
      <c r="I197" s="14">
        <f t="shared" si="31"/>
        <v>5.2955429637554534</v>
      </c>
      <c r="J197" s="14">
        <f t="shared" si="32"/>
        <v>0.12413223925017793</v>
      </c>
      <c r="K197" s="14">
        <f t="shared" si="33"/>
        <v>0.32781031404673378</v>
      </c>
      <c r="L197" s="14">
        <f t="shared" si="34"/>
        <v>632.67015126648005</v>
      </c>
      <c r="M197" s="14">
        <f t="shared" si="28"/>
        <v>0.13484551123125876</v>
      </c>
      <c r="N197" s="14">
        <f t="shared" si="35"/>
        <v>3.4507340894943654</v>
      </c>
      <c r="O197" s="4">
        <v>1.54</v>
      </c>
      <c r="P197" s="14">
        <f t="shared" si="38"/>
        <v>3.6509047607558616</v>
      </c>
      <c r="Q197" s="14">
        <f t="shared" si="36"/>
        <v>24.936530277802689</v>
      </c>
    </row>
    <row r="198" spans="1:17" x14ac:dyDescent="0.25">
      <c r="A198" s="5" t="s">
        <v>255</v>
      </c>
      <c r="B198" s="6">
        <f t="shared" si="37"/>
        <v>10</v>
      </c>
      <c r="C198" s="70">
        <v>16.24869919</v>
      </c>
      <c r="D198" s="4">
        <v>5.4</v>
      </c>
      <c r="E198" s="12">
        <f t="shared" si="26"/>
        <v>0</v>
      </c>
      <c r="F198" s="12">
        <f t="shared" si="27"/>
        <v>5.4</v>
      </c>
      <c r="G198" s="16">
        <f t="shared" si="29"/>
        <v>6.5628630063943341</v>
      </c>
      <c r="H198" s="14">
        <f t="shared" si="30"/>
        <v>0.27452622474826155</v>
      </c>
      <c r="I198" s="14">
        <f t="shared" si="31"/>
        <v>5.192522386036635</v>
      </c>
      <c r="J198" s="14">
        <f t="shared" si="32"/>
        <v>0.11269278546671868</v>
      </c>
      <c r="K198" s="14">
        <f t="shared" si="33"/>
        <v>0.58612513060566707</v>
      </c>
      <c r="L198" s="14">
        <f t="shared" si="34"/>
        <v>632.55151716343812</v>
      </c>
      <c r="M198" s="14">
        <f t="shared" si="28"/>
        <v>0.13487526696250365</v>
      </c>
      <c r="N198" s="14">
        <f t="shared" si="35"/>
        <v>3.4514955469224025</v>
      </c>
      <c r="O198" s="4">
        <v>1.56</v>
      </c>
      <c r="P198" s="14">
        <f t="shared" si="38"/>
        <v>3.5777554040272781</v>
      </c>
      <c r="Q198" s="14">
        <f t="shared" si="36"/>
        <v>24.737184318032579</v>
      </c>
    </row>
    <row r="199" spans="1:17" x14ac:dyDescent="0.25">
      <c r="A199" s="5" t="s">
        <v>256</v>
      </c>
      <c r="B199" s="6">
        <f t="shared" si="37"/>
        <v>10</v>
      </c>
      <c r="C199" s="70">
        <v>15.1769228</v>
      </c>
      <c r="D199" s="4">
        <v>0</v>
      </c>
      <c r="E199" s="12">
        <f t="shared" si="26"/>
        <v>0</v>
      </c>
      <c r="F199" s="12">
        <f t="shared" si="27"/>
        <v>0</v>
      </c>
      <c r="G199" s="16">
        <f t="shared" si="29"/>
        <v>6.2246710501112616</v>
      </c>
      <c r="H199" s="14">
        <f t="shared" si="30"/>
        <v>0</v>
      </c>
      <c r="I199" s="14">
        <f t="shared" si="31"/>
        <v>3.6805004635625118</v>
      </c>
      <c r="J199" s="14">
        <f t="shared" si="32"/>
        <v>0.33819195628307269</v>
      </c>
      <c r="K199" s="14">
        <f t="shared" si="33"/>
        <v>0.55713911846659459</v>
      </c>
      <c r="L199" s="14">
        <f t="shared" si="34"/>
        <v>632.4456279086146</v>
      </c>
      <c r="M199" s="14">
        <f t="shared" si="28"/>
        <v>0.13484653492001711</v>
      </c>
      <c r="N199" s="14">
        <f t="shared" si="35"/>
        <v>3.4507602859740487</v>
      </c>
      <c r="O199" s="4">
        <v>1.6</v>
      </c>
      <c r="P199" s="14">
        <f t="shared" si="38"/>
        <v>3.4253136361387422</v>
      </c>
      <c r="Q199" s="14">
        <f t="shared" si="36"/>
        <v>24.34089239849234</v>
      </c>
    </row>
    <row r="200" spans="1:17" x14ac:dyDescent="0.25">
      <c r="A200" s="5" t="s">
        <v>257</v>
      </c>
      <c r="B200" s="6">
        <f t="shared" si="37"/>
        <v>10</v>
      </c>
      <c r="C200" s="70">
        <v>16.11373901</v>
      </c>
      <c r="D200" s="4">
        <v>0</v>
      </c>
      <c r="E200" s="12">
        <f t="shared" si="26"/>
        <v>0</v>
      </c>
      <c r="F200" s="12">
        <f t="shared" si="27"/>
        <v>0</v>
      </c>
      <c r="G200" s="16">
        <f t="shared" si="29"/>
        <v>5.7887236834918347</v>
      </c>
      <c r="H200" s="14">
        <f t="shared" si="30"/>
        <v>0</v>
      </c>
      <c r="I200" s="14">
        <f t="shared" si="31"/>
        <v>5.0021256272303933</v>
      </c>
      <c r="J200" s="14">
        <f t="shared" si="32"/>
        <v>0.43594736661942718</v>
      </c>
      <c r="K200" s="14">
        <f t="shared" si="33"/>
        <v>0.52958656968859363</v>
      </c>
      <c r="L200" s="14">
        <f t="shared" si="34"/>
        <v>632.33833392247254</v>
      </c>
      <c r="M200" s="14">
        <f t="shared" si="28"/>
        <v>0.13481780899822479</v>
      </c>
      <c r="N200" s="14">
        <f t="shared" si="35"/>
        <v>3.4500251816559606</v>
      </c>
      <c r="O200" s="4">
        <v>1.61</v>
      </c>
      <c r="P200" s="14">
        <f t="shared" si="38"/>
        <v>3.3856926691280504</v>
      </c>
      <c r="Q200" s="14">
        <f t="shared" si="36"/>
        <v>24.242319418607284</v>
      </c>
    </row>
    <row r="201" spans="1:17" x14ac:dyDescent="0.25">
      <c r="A201" s="5" t="s">
        <v>258</v>
      </c>
      <c r="B201" s="6">
        <f t="shared" si="37"/>
        <v>10</v>
      </c>
      <c r="C201" s="70">
        <v>15.87523079</v>
      </c>
      <c r="D201" s="4">
        <v>0</v>
      </c>
      <c r="E201" s="12">
        <f t="shared" si="26"/>
        <v>0</v>
      </c>
      <c r="F201" s="12">
        <f t="shared" si="27"/>
        <v>0</v>
      </c>
      <c r="G201" s="16">
        <f t="shared" si="29"/>
        <v>5.4105791977115913</v>
      </c>
      <c r="H201" s="14">
        <f t="shared" si="30"/>
        <v>0</v>
      </c>
      <c r="I201" s="14">
        <f t="shared" si="31"/>
        <v>4.6656471782786664</v>
      </c>
      <c r="J201" s="14">
        <f t="shared" si="32"/>
        <v>0.37814448578024329</v>
      </c>
      <c r="K201" s="14">
        <f t="shared" si="33"/>
        <v>0.50339659431282202</v>
      </c>
      <c r="L201" s="14">
        <f t="shared" si="34"/>
        <v>632.22970608885009</v>
      </c>
      <c r="M201" s="14">
        <f t="shared" si="28"/>
        <v>0.13478908919582283</v>
      </c>
      <c r="N201" s="14">
        <f t="shared" si="35"/>
        <v>3.449290233934772</v>
      </c>
      <c r="O201" s="4">
        <v>1.57</v>
      </c>
      <c r="P201" s="14">
        <f t="shared" si="38"/>
        <v>3.5317317833626096</v>
      </c>
      <c r="Q201" s="14">
        <f t="shared" si="36"/>
        <v>24.637811338147515</v>
      </c>
    </row>
    <row r="202" spans="1:17" x14ac:dyDescent="0.25">
      <c r="A202" s="5" t="s">
        <v>259</v>
      </c>
      <c r="B202" s="6">
        <f t="shared" si="37"/>
        <v>10</v>
      </c>
      <c r="C202" s="70">
        <v>16.205320360000002</v>
      </c>
      <c r="D202" s="4">
        <v>0</v>
      </c>
      <c r="E202" s="12">
        <f t="shared" si="26"/>
        <v>0</v>
      </c>
      <c r="F202" s="12">
        <f t="shared" si="27"/>
        <v>0</v>
      </c>
      <c r="G202" s="16">
        <f t="shared" si="29"/>
        <v>5.0218596752956373</v>
      </c>
      <c r="H202" s="14">
        <f t="shared" si="30"/>
        <v>0</v>
      </c>
      <c r="I202" s="14">
        <f t="shared" si="31"/>
        <v>5.1313251600637102</v>
      </c>
      <c r="J202" s="14">
        <f t="shared" si="32"/>
        <v>0.38871952241595398</v>
      </c>
      <c r="K202" s="14">
        <f t="shared" si="33"/>
        <v>0.47850180814584564</v>
      </c>
      <c r="L202" s="14">
        <f t="shared" si="34"/>
        <v>632.11981178582118</v>
      </c>
      <c r="M202" s="14">
        <f t="shared" si="28"/>
        <v>0.13476037551150757</v>
      </c>
      <c r="N202" s="14">
        <f t="shared" si="35"/>
        <v>3.4485554427771214</v>
      </c>
      <c r="O202" s="4">
        <v>1.56</v>
      </c>
      <c r="P202" s="14">
        <f t="shared" si="38"/>
        <v>3.5666416604430888</v>
      </c>
      <c r="Q202" s="14">
        <f t="shared" si="36"/>
        <v>24.737184318032579</v>
      </c>
    </row>
    <row r="203" spans="1:17" x14ac:dyDescent="0.25">
      <c r="A203" s="5" t="s">
        <v>260</v>
      </c>
      <c r="B203" s="6">
        <f t="shared" si="37"/>
        <v>10</v>
      </c>
      <c r="C203" s="70">
        <v>15.87618256</v>
      </c>
      <c r="D203" s="4">
        <v>0</v>
      </c>
      <c r="E203" s="12">
        <f t="shared" si="26"/>
        <v>0</v>
      </c>
      <c r="F203" s="12">
        <f t="shared" si="27"/>
        <v>0</v>
      </c>
      <c r="G203" s="16">
        <f t="shared" si="29"/>
        <v>4.6937156566422074</v>
      </c>
      <c r="H203" s="14">
        <f t="shared" si="30"/>
        <v>0</v>
      </c>
      <c r="I203" s="14">
        <f t="shared" si="31"/>
        <v>4.6669898996882635</v>
      </c>
      <c r="J203" s="14">
        <f t="shared" si="32"/>
        <v>0.32814401865342968</v>
      </c>
      <c r="K203" s="14">
        <f t="shared" si="33"/>
        <v>0.45483815938683181</v>
      </c>
      <c r="L203" s="14">
        <f t="shared" si="34"/>
        <v>632.00871505906878</v>
      </c>
      <c r="M203" s="14">
        <f t="shared" si="28"/>
        <v>0.13473166794397579</v>
      </c>
      <c r="N203" s="14">
        <f t="shared" si="35"/>
        <v>3.4478208081496584</v>
      </c>
      <c r="O203" s="4">
        <v>1.54</v>
      </c>
      <c r="P203" s="14">
        <f t="shared" si="38"/>
        <v>3.6397802360088156</v>
      </c>
      <c r="Q203" s="14">
        <f t="shared" si="36"/>
        <v>24.936530277802689</v>
      </c>
    </row>
    <row r="204" spans="1:17" x14ac:dyDescent="0.25">
      <c r="A204" s="5" t="s">
        <v>261</v>
      </c>
      <c r="B204" s="6">
        <f t="shared" si="37"/>
        <v>10</v>
      </c>
      <c r="C204" s="70">
        <v>16.149660109999999</v>
      </c>
      <c r="D204" s="4">
        <v>0</v>
      </c>
      <c r="E204" s="12">
        <f t="shared" si="26"/>
        <v>0</v>
      </c>
      <c r="F204" s="12">
        <f t="shared" si="27"/>
        <v>0</v>
      </c>
      <c r="G204" s="16">
        <f t="shared" si="29"/>
        <v>4.3616590731094345</v>
      </c>
      <c r="H204" s="14">
        <f t="shared" si="30"/>
        <v>0</v>
      </c>
      <c r="I204" s="14">
        <f t="shared" si="31"/>
        <v>5.0528017675019514</v>
      </c>
      <c r="J204" s="14">
        <f t="shared" si="32"/>
        <v>0.33205658353277268</v>
      </c>
      <c r="K204" s="14">
        <f t="shared" si="33"/>
        <v>0.43234476382865711</v>
      </c>
      <c r="L204" s="14">
        <f t="shared" si="34"/>
        <v>631.89647678668291</v>
      </c>
      <c r="M204" s="14">
        <f t="shared" si="28"/>
        <v>0.13470296649192434</v>
      </c>
      <c r="N204" s="14">
        <f t="shared" si="35"/>
        <v>3.4470863300190357</v>
      </c>
      <c r="O204" s="4">
        <v>1.53</v>
      </c>
      <c r="P204" s="14">
        <f t="shared" si="38"/>
        <v>3.675219996745855</v>
      </c>
      <c r="Q204" s="14">
        <f t="shared" si="36"/>
        <v>25.036503257687745</v>
      </c>
    </row>
    <row r="205" spans="1:17" x14ac:dyDescent="0.25">
      <c r="A205" s="5" t="s">
        <v>262</v>
      </c>
      <c r="B205" s="6">
        <f t="shared" si="37"/>
        <v>10</v>
      </c>
      <c r="C205" s="70">
        <v>16.49484253</v>
      </c>
      <c r="D205" s="4">
        <v>0</v>
      </c>
      <c r="E205" s="12">
        <f t="shared" si="26"/>
        <v>0</v>
      </c>
      <c r="F205" s="12">
        <f t="shared" si="27"/>
        <v>0</v>
      </c>
      <c r="G205" s="16">
        <f t="shared" si="29"/>
        <v>4.0233554265099967</v>
      </c>
      <c r="H205" s="14">
        <f t="shared" si="30"/>
        <v>0</v>
      </c>
      <c r="I205" s="14">
        <f t="shared" si="31"/>
        <v>5.5397721758468039</v>
      </c>
      <c r="J205" s="14">
        <f t="shared" si="32"/>
        <v>0.33830364659943807</v>
      </c>
      <c r="K205" s="14">
        <f t="shared" si="33"/>
        <v>0.41096374820891718</v>
      </c>
      <c r="L205" s="14">
        <f t="shared" si="34"/>
        <v>631.78315483581071</v>
      </c>
      <c r="M205" s="14">
        <f t="shared" si="28"/>
        <v>0.13467427115405056</v>
      </c>
      <c r="N205" s="14">
        <f t="shared" si="35"/>
        <v>3.4463520083519188</v>
      </c>
      <c r="O205" s="4">
        <v>1.54</v>
      </c>
      <c r="P205" s="14">
        <f t="shared" si="38"/>
        <v>3.6341779797473941</v>
      </c>
      <c r="Q205" s="14">
        <f t="shared" si="36"/>
        <v>24.936530277802689</v>
      </c>
    </row>
    <row r="206" spans="1:17" x14ac:dyDescent="0.25">
      <c r="A206" s="5" t="s">
        <v>263</v>
      </c>
      <c r="B206" s="6">
        <f t="shared" si="37"/>
        <v>10</v>
      </c>
      <c r="C206" s="70">
        <v>16.560878750000001</v>
      </c>
      <c r="D206" s="4">
        <v>0</v>
      </c>
      <c r="E206" s="12">
        <f t="shared" si="26"/>
        <v>0</v>
      </c>
      <c r="F206" s="12">
        <f t="shared" si="27"/>
        <v>0</v>
      </c>
      <c r="G206" s="16">
        <f t="shared" si="29"/>
        <v>3.7060437233181514</v>
      </c>
      <c r="H206" s="14">
        <f t="shared" si="30"/>
        <v>0</v>
      </c>
      <c r="I206" s="14">
        <f t="shared" si="31"/>
        <v>5.6329335976218484</v>
      </c>
      <c r="J206" s="14">
        <f t="shared" si="32"/>
        <v>0.3173117031918451</v>
      </c>
      <c r="K206" s="14">
        <f t="shared" si="33"/>
        <v>0.39064010130779719</v>
      </c>
      <c r="L206" s="14">
        <f t="shared" si="34"/>
        <v>631.66880421155781</v>
      </c>
      <c r="M206" s="14">
        <f t="shared" si="28"/>
        <v>0.13464558192905193</v>
      </c>
      <c r="N206" s="14">
        <f t="shared" si="35"/>
        <v>3.4456178431149751</v>
      </c>
      <c r="O206" s="4">
        <v>1.58</v>
      </c>
      <c r="P206" s="14">
        <f t="shared" si="38"/>
        <v>3.4805299365489715</v>
      </c>
      <c r="Q206" s="14">
        <f t="shared" si="36"/>
        <v>24.538638358262457</v>
      </c>
    </row>
    <row r="207" spans="1:17" x14ac:dyDescent="0.25">
      <c r="A207" s="5" t="s">
        <v>264</v>
      </c>
      <c r="B207" s="6">
        <f t="shared" si="37"/>
        <v>10</v>
      </c>
      <c r="C207" s="70">
        <v>16.797470090000001</v>
      </c>
      <c r="D207" s="4">
        <v>0.6</v>
      </c>
      <c r="E207" s="12">
        <f t="shared" si="26"/>
        <v>0</v>
      </c>
      <c r="F207" s="12">
        <f t="shared" si="27"/>
        <v>0.6</v>
      </c>
      <c r="G207" s="16">
        <f t="shared" si="29"/>
        <v>3.9478948498782542</v>
      </c>
      <c r="H207" s="14">
        <f t="shared" si="30"/>
        <v>4.8543588034188519E-2</v>
      </c>
      <c r="I207" s="14">
        <f t="shared" si="31"/>
        <v>5.9667077841828435</v>
      </c>
      <c r="J207" s="14">
        <f t="shared" si="32"/>
        <v>0.30960528540570775</v>
      </c>
      <c r="K207" s="14">
        <f t="shared" si="33"/>
        <v>0.4198651204438808</v>
      </c>
      <c r="L207" s="14">
        <f t="shared" si="34"/>
        <v>631.55347719852682</v>
      </c>
      <c r="M207" s="14">
        <f t="shared" si="28"/>
        <v>0.1346272398993939</v>
      </c>
      <c r="N207" s="14">
        <f t="shared" si="35"/>
        <v>3.4451484654810178</v>
      </c>
      <c r="O207" s="4">
        <v>1.58</v>
      </c>
      <c r="P207" s="14">
        <f t="shared" si="38"/>
        <v>3.4787787982861951</v>
      </c>
      <c r="Q207" s="14">
        <f t="shared" si="36"/>
        <v>24.538638358262457</v>
      </c>
    </row>
    <row r="208" spans="1:17" x14ac:dyDescent="0.25">
      <c r="A208" s="5" t="s">
        <v>265</v>
      </c>
      <c r="B208" s="6">
        <f t="shared" si="37"/>
        <v>10</v>
      </c>
      <c r="C208" s="70">
        <v>16.500814439999999</v>
      </c>
      <c r="D208" s="4">
        <v>0</v>
      </c>
      <c r="E208" s="12">
        <f t="shared" si="26"/>
        <v>0</v>
      </c>
      <c r="F208" s="12">
        <f t="shared" si="27"/>
        <v>0</v>
      </c>
      <c r="G208" s="16">
        <f t="shared" si="29"/>
        <v>3.6412183358600982</v>
      </c>
      <c r="H208" s="14">
        <f t="shared" si="30"/>
        <v>0</v>
      </c>
      <c r="I208" s="14">
        <f t="shared" si="31"/>
        <v>5.5481971224338826</v>
      </c>
      <c r="J208" s="14">
        <f t="shared" si="32"/>
        <v>0.30667651401815588</v>
      </c>
      <c r="K208" s="14">
        <f t="shared" si="33"/>
        <v>0.39910126842241311</v>
      </c>
      <c r="L208" s="14">
        <f t="shared" si="34"/>
        <v>631.43961381064889</v>
      </c>
      <c r="M208" s="14">
        <f t="shared" si="28"/>
        <v>0.13459856069331153</v>
      </c>
      <c r="N208" s="14">
        <f t="shared" si="35"/>
        <v>3.4444145566309237</v>
      </c>
      <c r="O208" s="4">
        <v>1.58</v>
      </c>
      <c r="P208" s="14">
        <f t="shared" si="38"/>
        <v>3.4760416389772835</v>
      </c>
      <c r="Q208" s="14">
        <f t="shared" si="36"/>
        <v>24.538638358262457</v>
      </c>
    </row>
    <row r="209" spans="1:17" x14ac:dyDescent="0.25">
      <c r="A209" s="5" t="s">
        <v>266</v>
      </c>
      <c r="B209" s="6">
        <f t="shared" si="37"/>
        <v>10</v>
      </c>
      <c r="C209" s="70">
        <v>17.512609479999998</v>
      </c>
      <c r="D209" s="4">
        <v>0</v>
      </c>
      <c r="E209" s="12">
        <f t="shared" si="26"/>
        <v>0</v>
      </c>
      <c r="F209" s="12">
        <f t="shared" si="27"/>
        <v>0</v>
      </c>
      <c r="G209" s="16">
        <f t="shared" si="29"/>
        <v>3.2855941218995759</v>
      </c>
      <c r="H209" s="14">
        <f t="shared" si="30"/>
        <v>0</v>
      </c>
      <c r="I209" s="14">
        <f t="shared" si="31"/>
        <v>6.9755996065757291</v>
      </c>
      <c r="J209" s="14">
        <f t="shared" si="32"/>
        <v>0.3556242139605223</v>
      </c>
      <c r="K209" s="14">
        <f t="shared" si="33"/>
        <v>0.3793642641427003</v>
      </c>
      <c r="L209" s="14">
        <f t="shared" si="34"/>
        <v>631.32475225423536</v>
      </c>
      <c r="M209" s="14">
        <f t="shared" si="28"/>
        <v>0.13456988759666783</v>
      </c>
      <c r="N209" s="14">
        <f t="shared" si="35"/>
        <v>3.443680804123062</v>
      </c>
      <c r="O209" s="4">
        <v>1.54</v>
      </c>
      <c r="P209" s="14">
        <f t="shared" si="38"/>
        <v>3.6240006039866279</v>
      </c>
      <c r="Q209" s="14">
        <f t="shared" si="36"/>
        <v>24.936530277802689</v>
      </c>
    </row>
    <row r="210" spans="1:17" x14ac:dyDescent="0.25">
      <c r="A210" s="5" t="s">
        <v>267</v>
      </c>
      <c r="B210" s="6">
        <f t="shared" si="37"/>
        <v>10</v>
      </c>
      <c r="C210" s="70">
        <v>16.000419619999999</v>
      </c>
      <c r="D210" s="4">
        <v>0</v>
      </c>
      <c r="E210" s="12">
        <f t="shared" si="26"/>
        <v>0</v>
      </c>
      <c r="F210" s="12">
        <f t="shared" si="27"/>
        <v>0</v>
      </c>
      <c r="G210" s="16">
        <f t="shared" si="29"/>
        <v>3.0628403966748312</v>
      </c>
      <c r="H210" s="14">
        <f t="shared" si="30"/>
        <v>0</v>
      </c>
      <c r="I210" s="14">
        <f t="shared" si="31"/>
        <v>4.8422588830848206</v>
      </c>
      <c r="J210" s="14">
        <f t="shared" si="32"/>
        <v>0.22275372522474488</v>
      </c>
      <c r="K210" s="14">
        <f t="shared" si="33"/>
        <v>0.36060332626206765</v>
      </c>
      <c r="L210" s="14">
        <f t="shared" si="34"/>
        <v>631.20894330451927</v>
      </c>
      <c r="M210" s="14">
        <f t="shared" si="28"/>
        <v>0.13454122060816123</v>
      </c>
      <c r="N210" s="14">
        <f t="shared" si="35"/>
        <v>3.4429472079241261</v>
      </c>
      <c r="O210" s="4">
        <v>1.55</v>
      </c>
      <c r="P210" s="14">
        <f t="shared" si="38"/>
        <v>3.5832491319877446</v>
      </c>
      <c r="Q210" s="14">
        <f t="shared" si="36"/>
        <v>24.836757297917632</v>
      </c>
    </row>
    <row r="211" spans="1:17" x14ac:dyDescent="0.25">
      <c r="A211" s="5" t="s">
        <v>268</v>
      </c>
      <c r="B211" s="6">
        <f t="shared" si="37"/>
        <v>10</v>
      </c>
      <c r="C211" s="70">
        <v>16.235469819999999</v>
      </c>
      <c r="D211" s="4">
        <v>0</v>
      </c>
      <c r="E211" s="12">
        <f t="shared" si="26"/>
        <v>0</v>
      </c>
      <c r="F211" s="12">
        <f t="shared" si="27"/>
        <v>0</v>
      </c>
      <c r="G211" s="16">
        <f t="shared" si="29"/>
        <v>2.8409686490061943</v>
      </c>
      <c r="H211" s="14">
        <f t="shared" si="30"/>
        <v>0</v>
      </c>
      <c r="I211" s="14">
        <f t="shared" si="31"/>
        <v>5.1738588871508986</v>
      </c>
      <c r="J211" s="14">
        <f t="shared" si="32"/>
        <v>0.22187174766863696</v>
      </c>
      <c r="K211" s="14">
        <f t="shared" si="33"/>
        <v>0.34277018475929455</v>
      </c>
      <c r="L211" s="14">
        <f t="shared" si="34"/>
        <v>631.0922352254139</v>
      </c>
      <c r="M211" s="14">
        <f t="shared" si="28"/>
        <v>0.13451255972649065</v>
      </c>
      <c r="N211" s="14">
        <f t="shared" si="35"/>
        <v>3.44221376800082</v>
      </c>
      <c r="O211" s="4">
        <v>1.55</v>
      </c>
      <c r="P211" s="14">
        <f t="shared" si="38"/>
        <v>3.580472943811861</v>
      </c>
      <c r="Q211" s="14">
        <f t="shared" si="36"/>
        <v>24.836757297917632</v>
      </c>
    </row>
    <row r="212" spans="1:17" x14ac:dyDescent="0.25">
      <c r="A212" s="5" t="s">
        <v>269</v>
      </c>
      <c r="B212" s="6">
        <f t="shared" si="37"/>
        <v>11</v>
      </c>
      <c r="C212" s="70">
        <v>15.359095569999999</v>
      </c>
      <c r="D212" s="4">
        <v>0</v>
      </c>
      <c r="E212" s="12">
        <f t="shared" si="26"/>
        <v>0</v>
      </c>
      <c r="F212" s="12">
        <f t="shared" si="27"/>
        <v>0</v>
      </c>
      <c r="G212" s="16">
        <f t="shared" si="29"/>
        <v>2.7067097177679096</v>
      </c>
      <c r="H212" s="14">
        <f t="shared" si="30"/>
        <v>0</v>
      </c>
      <c r="I212" s="14">
        <f t="shared" si="31"/>
        <v>3.3753101564718118</v>
      </c>
      <c r="J212" s="14">
        <f t="shared" si="32"/>
        <v>0.13425893123828489</v>
      </c>
      <c r="K212" s="14">
        <f t="shared" si="33"/>
        <v>0.32581895674066608</v>
      </c>
      <c r="L212" s="14">
        <f t="shared" si="34"/>
        <v>630.97467389370604</v>
      </c>
      <c r="M212" s="14">
        <f t="shared" si="28"/>
        <v>0.13448390495035509</v>
      </c>
      <c r="N212" s="14">
        <f t="shared" si="35"/>
        <v>3.4414804843198503</v>
      </c>
      <c r="O212" s="4">
        <v>1.56</v>
      </c>
      <c r="P212" s="14">
        <f t="shared" si="38"/>
        <v>3.5399688128764581</v>
      </c>
      <c r="Q212" s="14">
        <f t="shared" si="36"/>
        <v>24.737184318032579</v>
      </c>
    </row>
    <row r="213" spans="1:17" x14ac:dyDescent="0.25">
      <c r="A213" s="5" t="s">
        <v>270</v>
      </c>
      <c r="B213" s="6">
        <f t="shared" si="37"/>
        <v>11</v>
      </c>
      <c r="C213" s="70">
        <v>16.002126690000001</v>
      </c>
      <c r="D213" s="4">
        <v>0</v>
      </c>
      <c r="E213" s="12">
        <f t="shared" si="26"/>
        <v>0</v>
      </c>
      <c r="F213" s="12">
        <f t="shared" si="27"/>
        <v>0</v>
      </c>
      <c r="G213" s="16">
        <f t="shared" si="29"/>
        <v>2.5485546171139051</v>
      </c>
      <c r="H213" s="14">
        <f t="shared" si="30"/>
        <v>0</v>
      </c>
      <c r="I213" s="14">
        <f t="shared" si="31"/>
        <v>4.1732890174029356</v>
      </c>
      <c r="J213" s="14">
        <f t="shared" si="32"/>
        <v>0.15815510065400459</v>
      </c>
      <c r="K213" s="14">
        <f t="shared" si="33"/>
        <v>0.30970602838786571</v>
      </c>
      <c r="L213" s="14">
        <f t="shared" si="34"/>
        <v>630.85630291710856</v>
      </c>
      <c r="M213" s="14">
        <f t="shared" si="28"/>
        <v>0.13445525627845401</v>
      </c>
      <c r="N213" s="14">
        <f t="shared" si="35"/>
        <v>3.4407473568479374</v>
      </c>
      <c r="O213" s="4">
        <v>1.58</v>
      </c>
      <c r="P213" s="14">
        <f t="shared" si="38"/>
        <v>3.4623807260165851</v>
      </c>
      <c r="Q213" s="14">
        <f t="shared" si="36"/>
        <v>24.538638358262457</v>
      </c>
    </row>
    <row r="214" spans="1:17" x14ac:dyDescent="0.25">
      <c r="A214" s="5" t="s">
        <v>271</v>
      </c>
      <c r="B214" s="6">
        <f t="shared" si="37"/>
        <v>11</v>
      </c>
      <c r="C214" s="70">
        <v>13.744747159999999</v>
      </c>
      <c r="D214" s="4">
        <v>0</v>
      </c>
      <c r="E214" s="12">
        <f t="shared" si="26"/>
        <v>0</v>
      </c>
      <c r="F214" s="12">
        <f t="shared" si="27"/>
        <v>0</v>
      </c>
      <c r="G214" s="16">
        <f t="shared" si="29"/>
        <v>2.4995994267969319</v>
      </c>
      <c r="H214" s="14">
        <f t="shared" si="30"/>
        <v>0</v>
      </c>
      <c r="I214" s="14">
        <f t="shared" si="31"/>
        <v>1.3719609167681917</v>
      </c>
      <c r="J214" s="14">
        <f t="shared" si="32"/>
        <v>4.895519031697311E-2</v>
      </c>
      <c r="K214" s="14">
        <f t="shared" si="33"/>
        <v>0.29438994274397229</v>
      </c>
      <c r="L214" s="14">
        <f t="shared" si="34"/>
        <v>630.73716374647404</v>
      </c>
      <c r="M214" s="14">
        <f t="shared" si="28"/>
        <v>0.13442661370948691</v>
      </c>
      <c r="N214" s="14">
        <f t="shared" si="35"/>
        <v>3.4400143855518004</v>
      </c>
      <c r="O214" s="4">
        <v>1.58</v>
      </c>
      <c r="P214" s="14">
        <f t="shared" si="38"/>
        <v>3.4596535144596414</v>
      </c>
      <c r="Q214" s="14">
        <f t="shared" si="36"/>
        <v>24.538638358262457</v>
      </c>
    </row>
    <row r="215" spans="1:17" x14ac:dyDescent="0.25">
      <c r="A215" s="5" t="s">
        <v>272</v>
      </c>
      <c r="B215" s="6">
        <f t="shared" si="37"/>
        <v>11</v>
      </c>
      <c r="C215" s="70">
        <v>12.6579771</v>
      </c>
      <c r="D215" s="4">
        <v>0</v>
      </c>
      <c r="E215" s="12">
        <f t="shared" si="26"/>
        <v>0</v>
      </c>
      <c r="F215" s="12">
        <f t="shared" si="27"/>
        <v>0</v>
      </c>
      <c r="G215" s="16">
        <f t="shared" si="29"/>
        <v>2.4987833709734337</v>
      </c>
      <c r="H215" s="14">
        <f t="shared" si="30"/>
        <v>0</v>
      </c>
      <c r="I215" s="14">
        <f t="shared" si="31"/>
        <v>2.3317736679417753E-2</v>
      </c>
      <c r="J215" s="14">
        <f t="shared" si="32"/>
        <v>8.1605582349812494E-4</v>
      </c>
      <c r="K215" s="14">
        <f t="shared" si="33"/>
        <v>0.27983129304884674</v>
      </c>
      <c r="L215" s="14">
        <f t="shared" si="34"/>
        <v>630.61729578245968</v>
      </c>
      <c r="M215" s="14">
        <f t="shared" si="28"/>
        <v>0.13439797724215377</v>
      </c>
      <c r="N215" s="14">
        <f t="shared" si="35"/>
        <v>3.4392815703981716</v>
      </c>
      <c r="O215" s="4">
        <v>1.58</v>
      </c>
      <c r="P215" s="14">
        <f t="shared" si="38"/>
        <v>3.4569279580222911</v>
      </c>
      <c r="Q215" s="14">
        <f t="shared" si="36"/>
        <v>24.538638358262457</v>
      </c>
    </row>
    <row r="216" spans="1:17" x14ac:dyDescent="0.25">
      <c r="A216" s="5" t="s">
        <v>273</v>
      </c>
      <c r="B216" s="6">
        <f t="shared" si="37"/>
        <v>11</v>
      </c>
      <c r="C216" s="70">
        <v>13.161752699999999</v>
      </c>
      <c r="D216" s="4">
        <v>0</v>
      </c>
      <c r="E216" s="12">
        <f t="shared" si="26"/>
        <v>0</v>
      </c>
      <c r="F216" s="12">
        <f t="shared" si="27"/>
        <v>0</v>
      </c>
      <c r="G216" s="16">
        <f t="shared" si="29"/>
        <v>2.4760955970640013</v>
      </c>
      <c r="H216" s="14">
        <f t="shared" si="30"/>
        <v>0</v>
      </c>
      <c r="I216" s="14">
        <f t="shared" si="31"/>
        <v>0.64848542600196801</v>
      </c>
      <c r="J216" s="14">
        <f t="shared" si="32"/>
        <v>2.2687773909432461E-2</v>
      </c>
      <c r="K216" s="14">
        <f t="shared" si="33"/>
        <v>0.26599262134946983</v>
      </c>
      <c r="L216" s="14">
        <f t="shared" si="34"/>
        <v>630.49673647691691</v>
      </c>
      <c r="M216" s="14">
        <f t="shared" si="28"/>
        <v>0.13436934687515478</v>
      </c>
      <c r="N216" s="14">
        <f t="shared" si="35"/>
        <v>3.4385489113537875</v>
      </c>
      <c r="O216" s="4">
        <v>1.56</v>
      </c>
      <c r="P216" s="14">
        <f t="shared" si="38"/>
        <v>3.5289460123484999</v>
      </c>
      <c r="Q216" s="14">
        <f t="shared" si="36"/>
        <v>24.737184318032579</v>
      </c>
    </row>
    <row r="217" spans="1:17" x14ac:dyDescent="0.25">
      <c r="A217" s="5" t="s">
        <v>274</v>
      </c>
      <c r="B217" s="6">
        <f t="shared" si="37"/>
        <v>11</v>
      </c>
      <c r="C217" s="70">
        <v>15.37517929</v>
      </c>
      <c r="D217" s="4">
        <v>0</v>
      </c>
      <c r="E217" s="12">
        <f t="shared" si="26"/>
        <v>0</v>
      </c>
      <c r="F217" s="12">
        <f t="shared" si="27"/>
        <v>0</v>
      </c>
      <c r="G217" s="16">
        <f t="shared" si="29"/>
        <v>2.3583879397283289</v>
      </c>
      <c r="H217" s="14">
        <f t="shared" si="30"/>
        <v>0</v>
      </c>
      <c r="I217" s="14">
        <f t="shared" si="31"/>
        <v>3.3952694837359969</v>
      </c>
      <c r="J217" s="14">
        <f t="shared" si="32"/>
        <v>0.11770765733567246</v>
      </c>
      <c r="K217" s="14">
        <f t="shared" si="33"/>
        <v>0.25283832212436697</v>
      </c>
      <c r="L217" s="14">
        <f t="shared" si="34"/>
        <v>630.37552142926688</v>
      </c>
      <c r="M217" s="14">
        <f t="shared" si="28"/>
        <v>0.1343407226071904</v>
      </c>
      <c r="N217" s="14">
        <f t="shared" si="35"/>
        <v>3.4378164083853933</v>
      </c>
      <c r="O217" s="4">
        <v>1.59</v>
      </c>
      <c r="P217" s="14">
        <f t="shared" si="38"/>
        <v>3.414425479098294</v>
      </c>
      <c r="Q217" s="14">
        <f t="shared" si="36"/>
        <v>24.439665378377402</v>
      </c>
    </row>
    <row r="218" spans="1:17" x14ac:dyDescent="0.25">
      <c r="A218" s="5" t="s">
        <v>275</v>
      </c>
      <c r="B218" s="6">
        <f t="shared" si="37"/>
        <v>11</v>
      </c>
      <c r="C218" s="70">
        <v>16.193429949999999</v>
      </c>
      <c r="D218" s="4">
        <v>0</v>
      </c>
      <c r="E218" s="12">
        <f t="shared" si="26"/>
        <v>0</v>
      </c>
      <c r="F218" s="12">
        <f t="shared" si="27"/>
        <v>0</v>
      </c>
      <c r="G218" s="16">
        <f t="shared" si="29"/>
        <v>2.2127465553478185</v>
      </c>
      <c r="H218" s="14">
        <f t="shared" si="30"/>
        <v>0</v>
      </c>
      <c r="I218" s="14">
        <f t="shared" si="31"/>
        <v>4.4106895922105878</v>
      </c>
      <c r="J218" s="14">
        <f t="shared" si="32"/>
        <v>0.14564138438051027</v>
      </c>
      <c r="K218" s="14">
        <f t="shared" si="33"/>
        <v>0.24033455067415377</v>
      </c>
      <c r="L218" s="14">
        <f t="shared" si="34"/>
        <v>630.2536844781099</v>
      </c>
      <c r="M218" s="14">
        <f t="shared" si="28"/>
        <v>0.13431210443696137</v>
      </c>
      <c r="N218" s="14">
        <f t="shared" si="35"/>
        <v>3.4370840614597404</v>
      </c>
      <c r="O218" s="4">
        <v>1.62</v>
      </c>
      <c r="P218" s="14">
        <f t="shared" si="38"/>
        <v>3.3017944864110254</v>
      </c>
      <c r="Q218" s="14">
        <f t="shared" si="36"/>
        <v>24.143946438722228</v>
      </c>
    </row>
    <row r="219" spans="1:17" x14ac:dyDescent="0.25">
      <c r="A219" s="5" t="s">
        <v>276</v>
      </c>
      <c r="B219" s="6">
        <f t="shared" si="37"/>
        <v>11</v>
      </c>
      <c r="C219" s="70">
        <v>15.474354740000001</v>
      </c>
      <c r="D219" s="4">
        <v>0.7</v>
      </c>
      <c r="E219" s="12">
        <f t="shared" ref="E219:E282" si="39">IF(C219&gt;$C$9,MAX(E218-$C$10*(C219-$C$9),0),E218+D219)</f>
        <v>0</v>
      </c>
      <c r="F219" s="12">
        <f t="shared" ref="F219:F282" si="40">IF(C219&gt;$C$9,D219+MIN(E218,$C$10*(C219-$C$9)),0)</f>
        <v>0.7</v>
      </c>
      <c r="G219" s="16">
        <f t="shared" si="29"/>
        <v>2.760723417475186</v>
      </c>
      <c r="H219" s="14">
        <f t="shared" si="30"/>
        <v>4.3021538183131536E-2</v>
      </c>
      <c r="I219" s="14">
        <f t="shared" si="31"/>
        <v>3.5183427070402318</v>
      </c>
      <c r="J219" s="14">
        <f t="shared" si="32"/>
        <v>0.10900159968950143</v>
      </c>
      <c r="K219" s="14">
        <f t="shared" si="33"/>
        <v>0.27147067422563326</v>
      </c>
      <c r="L219" s="14">
        <f t="shared" si="34"/>
        <v>630.13125778830465</v>
      </c>
      <c r="M219" s="14">
        <f t="shared" si="28"/>
        <v>0.13429265710249233</v>
      </c>
      <c r="N219" s="14">
        <f t="shared" si="35"/>
        <v>3.4365863987686405</v>
      </c>
      <c r="O219" s="4">
        <v>1.62</v>
      </c>
      <c r="P219" s="14">
        <f t="shared" si="38"/>
        <v>3.2999861441912177</v>
      </c>
      <c r="Q219" s="14">
        <f t="shared" si="36"/>
        <v>24.143946438722228</v>
      </c>
    </row>
    <row r="220" spans="1:17" x14ac:dyDescent="0.25">
      <c r="A220" s="5" t="s">
        <v>277</v>
      </c>
      <c r="B220" s="6">
        <f t="shared" si="37"/>
        <v>11</v>
      </c>
      <c r="C220" s="70">
        <v>15.944391250000001</v>
      </c>
      <c r="D220" s="4">
        <v>0</v>
      </c>
      <c r="E220" s="12">
        <f t="shared" si="39"/>
        <v>0</v>
      </c>
      <c r="F220" s="12">
        <f t="shared" si="40"/>
        <v>0</v>
      </c>
      <c r="G220" s="16">
        <f t="shared" si="29"/>
        <v>2.6021816690780164</v>
      </c>
      <c r="H220" s="14">
        <f t="shared" si="30"/>
        <v>0</v>
      </c>
      <c r="I220" s="14">
        <f t="shared" si="31"/>
        <v>4.1016413798102827</v>
      </c>
      <c r="J220" s="14">
        <f t="shared" si="32"/>
        <v>0.15854174839716956</v>
      </c>
      <c r="K220" s="14">
        <f t="shared" si="33"/>
        <v>0.25804546543041368</v>
      </c>
      <c r="L220" s="14">
        <f t="shared" si="34"/>
        <v>630.01039033999734</v>
      </c>
      <c r="M220" s="14">
        <f t="shared" si="28"/>
        <v>0.1342640491715025</v>
      </c>
      <c r="N220" s="14">
        <f t="shared" si="35"/>
        <v>3.4358543138679631</v>
      </c>
      <c r="O220" s="4">
        <v>1.65</v>
      </c>
      <c r="P220" s="14">
        <f t="shared" si="38"/>
        <v>3.1892756303608136</v>
      </c>
      <c r="Q220" s="14">
        <f t="shared" si="36"/>
        <v>23.850027499067064</v>
      </c>
    </row>
    <row r="221" spans="1:17" x14ac:dyDescent="0.25">
      <c r="A221" s="5" t="s">
        <v>278</v>
      </c>
      <c r="B221" s="6">
        <f t="shared" si="37"/>
        <v>11</v>
      </c>
      <c r="C221" s="70">
        <v>16.357370379999999</v>
      </c>
      <c r="D221" s="4">
        <v>0</v>
      </c>
      <c r="E221" s="12">
        <f t="shared" si="39"/>
        <v>0</v>
      </c>
      <c r="F221" s="12">
        <f t="shared" si="40"/>
        <v>0</v>
      </c>
      <c r="G221" s="16">
        <f t="shared" si="29"/>
        <v>2.4340727090763026</v>
      </c>
      <c r="H221" s="14">
        <f t="shared" si="30"/>
        <v>0</v>
      </c>
      <c r="I221" s="14">
        <f t="shared" si="31"/>
        <v>4.6141338634489042</v>
      </c>
      <c r="J221" s="14">
        <f t="shared" si="32"/>
        <v>0.16810896000171371</v>
      </c>
      <c r="K221" s="14">
        <f t="shared" si="33"/>
        <v>0.24528418187024711</v>
      </c>
      <c r="L221" s="14">
        <f t="shared" si="34"/>
        <v>629.88888757438599</v>
      </c>
      <c r="M221" s="14">
        <f t="shared" si="28"/>
        <v>0.1342354473347678</v>
      </c>
      <c r="N221" s="14">
        <f t="shared" si="35"/>
        <v>3.4351223849209682</v>
      </c>
      <c r="O221" s="4">
        <v>1.67</v>
      </c>
      <c r="P221" s="14">
        <f t="shared" si="38"/>
        <v>3.1156570337490868</v>
      </c>
      <c r="Q221" s="14">
        <f t="shared" si="36"/>
        <v>23.655081539296944</v>
      </c>
    </row>
    <row r="222" spans="1:17" x14ac:dyDescent="0.25">
      <c r="A222" s="5" t="s">
        <v>279</v>
      </c>
      <c r="B222" s="6">
        <f t="shared" si="37"/>
        <v>11</v>
      </c>
      <c r="C222" s="70">
        <v>16.80245781</v>
      </c>
      <c r="D222" s="4">
        <v>0.6</v>
      </c>
      <c r="E222" s="12">
        <f t="shared" si="39"/>
        <v>0</v>
      </c>
      <c r="F222" s="12">
        <f t="shared" si="40"/>
        <v>0.6</v>
      </c>
      <c r="G222" s="16">
        <f t="shared" si="29"/>
        <v>2.8192026345940882</v>
      </c>
      <c r="H222" s="14">
        <f t="shared" si="30"/>
        <v>3.8797930442228283E-2</v>
      </c>
      <c r="I222" s="14">
        <f t="shared" si="31"/>
        <v>5.1664716109690563</v>
      </c>
      <c r="J222" s="14">
        <f t="shared" si="32"/>
        <v>0.17607214403998631</v>
      </c>
      <c r="K222" s="14">
        <f t="shared" si="33"/>
        <v>0.2719519204780686</v>
      </c>
      <c r="L222" s="14">
        <f t="shared" si="34"/>
        <v>629.7667823188857</v>
      </c>
      <c r="M222" s="14">
        <f t="shared" si="28"/>
        <v>0.13421511658879848</v>
      </c>
      <c r="N222" s="14">
        <f t="shared" si="35"/>
        <v>3.434602115484183</v>
      </c>
      <c r="O222" s="4">
        <v>1.7</v>
      </c>
      <c r="P222" s="14">
        <f t="shared" si="38"/>
        <v>3.0088444990422034</v>
      </c>
      <c r="Q222" s="14">
        <f t="shared" si="36"/>
        <v>23.364162599641769</v>
      </c>
    </row>
    <row r="223" spans="1:17" x14ac:dyDescent="0.25">
      <c r="A223" s="5" t="s">
        <v>280</v>
      </c>
      <c r="B223" s="6">
        <f t="shared" si="37"/>
        <v>11</v>
      </c>
      <c r="C223" s="70">
        <v>15.39704895</v>
      </c>
      <c r="D223" s="4">
        <v>0</v>
      </c>
      <c r="E223" s="12">
        <f t="shared" si="39"/>
        <v>0</v>
      </c>
      <c r="F223" s="12">
        <f t="shared" si="40"/>
        <v>0</v>
      </c>
      <c r="G223" s="16">
        <f t="shared" si="29"/>
        <v>2.684113240175634</v>
      </c>
      <c r="H223" s="14">
        <f t="shared" si="30"/>
        <v>0</v>
      </c>
      <c r="I223" s="14">
        <f t="shared" si="31"/>
        <v>3.4224089577567121</v>
      </c>
      <c r="J223" s="14">
        <f t="shared" si="32"/>
        <v>0.1350893944184543</v>
      </c>
      <c r="K223" s="14">
        <f t="shared" si="33"/>
        <v>0.25850291231137257</v>
      </c>
      <c r="L223" s="14">
        <f t="shared" si="34"/>
        <v>629.64601621046359</v>
      </c>
      <c r="M223" s="14">
        <f t="shared" ref="M223:M286" si="41">MAX(0,K223-$F$9)*$F$8+K223*$F$10+L223*$F$11</f>
        <v>0.13418652517601384</v>
      </c>
      <c r="N223" s="14">
        <f t="shared" si="35"/>
        <v>3.4338704532889657</v>
      </c>
      <c r="O223" s="4">
        <v>1.71</v>
      </c>
      <c r="P223" s="14">
        <f t="shared" si="38"/>
        <v>2.971729339722704</v>
      </c>
      <c r="Q223" s="14">
        <f t="shared" si="36"/>
        <v>23.267589619756713</v>
      </c>
    </row>
    <row r="224" spans="1:17" x14ac:dyDescent="0.25">
      <c r="A224" s="5" t="s">
        <v>281</v>
      </c>
      <c r="B224" s="6">
        <f t="shared" si="37"/>
        <v>11</v>
      </c>
      <c r="C224" s="70">
        <v>17.004144669999999</v>
      </c>
      <c r="D224" s="4">
        <v>0</v>
      </c>
      <c r="E224" s="12">
        <f t="shared" si="39"/>
        <v>0</v>
      </c>
      <c r="F224" s="12">
        <f t="shared" si="40"/>
        <v>0</v>
      </c>
      <c r="G224" s="16">
        <f t="shared" ref="G224:G287" si="42">G223+F224-H224-J224</f>
        <v>2.4805481437376864</v>
      </c>
      <c r="H224" s="14">
        <f t="shared" ref="H224:H287" si="43">(F224*(G223/$C$11)^$C$12)</f>
        <v>0</v>
      </c>
      <c r="I224" s="14">
        <f t="shared" ref="I224:I287" si="44">(1+$C$13*(C224-INDEX($A$16:$A$27,B224)))*INDEX($C$16:$C$27,B224)</f>
        <v>5.4167578658669129</v>
      </c>
      <c r="J224" s="14">
        <f t="shared" ref="J224:J287" si="45">IF(G223&gt;$F$13,I224,I224*(G223/$F$13))</f>
        <v>0.2035650964379474</v>
      </c>
      <c r="K224" s="14">
        <f t="shared" ref="K224:K287" si="46">K223+H224-MAX(0,K223-$F$9)*$F$8-K223*$F$10-K223*$F$12</f>
        <v>0.24571900634491067</v>
      </c>
      <c r="L224" s="14">
        <f t="shared" ref="L224:L287" si="47">L223+K223*$F$12-L223*$F$11</f>
        <v>629.52461359125402</v>
      </c>
      <c r="M224" s="14">
        <f t="shared" si="41"/>
        <v>0.13415793985396554</v>
      </c>
      <c r="N224" s="14">
        <f t="shared" ref="N224:N287" si="48">M224*$C$8*1000/(24*3600)</f>
        <v>3.4331389469573819</v>
      </c>
      <c r="O224" s="4">
        <v>1.69</v>
      </c>
      <c r="P224" s="14">
        <f t="shared" si="38"/>
        <v>3.0385333883996903</v>
      </c>
      <c r="Q224" s="14">
        <f t="shared" ref="Q224:Q287" si="49">(O224-$F$23)^2</f>
        <v>23.460935579526822</v>
      </c>
    </row>
    <row r="225" spans="1:17" x14ac:dyDescent="0.25">
      <c r="A225" s="5" t="s">
        <v>282</v>
      </c>
      <c r="B225" s="6">
        <f t="shared" ref="B225:B288" si="50">MONTH(A225)</f>
        <v>11</v>
      </c>
      <c r="C225" s="70">
        <v>16.535930629999999</v>
      </c>
      <c r="D225" s="4">
        <v>0</v>
      </c>
      <c r="E225" s="12">
        <f t="shared" si="39"/>
        <v>0</v>
      </c>
      <c r="F225" s="12">
        <f t="shared" si="40"/>
        <v>0</v>
      </c>
      <c r="G225" s="16">
        <f t="shared" si="42"/>
        <v>2.3126012645815175</v>
      </c>
      <c r="H225" s="14">
        <f t="shared" si="43"/>
        <v>0</v>
      </c>
      <c r="I225" s="14">
        <f t="shared" si="44"/>
        <v>4.8357208138636469</v>
      </c>
      <c r="J225" s="14">
        <f t="shared" si="45"/>
        <v>0.16794687915616902</v>
      </c>
      <c r="K225" s="14">
        <f t="shared" si="46"/>
        <v>0.2335673108641956</v>
      </c>
      <c r="L225" s="14">
        <f t="shared" si="47"/>
        <v>629.4026073468807</v>
      </c>
      <c r="M225" s="14">
        <f t="shared" si="41"/>
        <v>0.13412936062135603</v>
      </c>
      <c r="N225" s="14">
        <f t="shared" si="48"/>
        <v>3.4324075964562284</v>
      </c>
      <c r="O225" s="4">
        <v>1.68</v>
      </c>
      <c r="P225" s="14">
        <f t="shared" ref="P225:P288" si="51">(O225-N225)^2</f>
        <v>3.0709323841174956</v>
      </c>
      <c r="Q225" s="14">
        <f t="shared" si="49"/>
        <v>23.557908559411889</v>
      </c>
    </row>
    <row r="226" spans="1:17" x14ac:dyDescent="0.25">
      <c r="A226" s="5" t="s">
        <v>283</v>
      </c>
      <c r="B226" s="6">
        <f t="shared" si="50"/>
        <v>11</v>
      </c>
      <c r="C226" s="70">
        <v>16.239482880000001</v>
      </c>
      <c r="D226" s="4">
        <v>0</v>
      </c>
      <c r="E226" s="12">
        <f t="shared" si="39"/>
        <v>0</v>
      </c>
      <c r="F226" s="12">
        <f t="shared" si="40"/>
        <v>0</v>
      </c>
      <c r="G226" s="16">
        <f t="shared" si="42"/>
        <v>2.16793695626296</v>
      </c>
      <c r="H226" s="14">
        <f t="shared" si="43"/>
        <v>0</v>
      </c>
      <c r="I226" s="14">
        <f t="shared" si="44"/>
        <v>4.4678396483757421</v>
      </c>
      <c r="J226" s="14">
        <f t="shared" si="45"/>
        <v>0.14466430831855753</v>
      </c>
      <c r="K226" s="14">
        <f t="shared" si="46"/>
        <v>0.22201656076923859</v>
      </c>
      <c r="L226" s="14">
        <f t="shared" si="47"/>
        <v>629.28002873635432</v>
      </c>
      <c r="M226" s="14">
        <f t="shared" si="41"/>
        <v>0.13410078747688817</v>
      </c>
      <c r="N226" s="14">
        <f t="shared" si="48"/>
        <v>3.4316764017523118</v>
      </c>
      <c r="O226" s="4">
        <v>1.66</v>
      </c>
      <c r="P226" s="14">
        <f t="shared" si="51"/>
        <v>3.1388372725260192</v>
      </c>
      <c r="Q226" s="14">
        <f t="shared" si="49"/>
        <v>23.752454519181999</v>
      </c>
    </row>
    <row r="227" spans="1:17" x14ac:dyDescent="0.25">
      <c r="A227" s="5" t="s">
        <v>284</v>
      </c>
      <c r="B227" s="6">
        <f t="shared" si="50"/>
        <v>11</v>
      </c>
      <c r="C227" s="70">
        <v>15.237114910000001</v>
      </c>
      <c r="D227" s="4">
        <v>0</v>
      </c>
      <c r="E227" s="12">
        <f t="shared" si="39"/>
        <v>0</v>
      </c>
      <c r="F227" s="12">
        <f t="shared" si="40"/>
        <v>0</v>
      </c>
      <c r="G227" s="16">
        <f t="shared" si="42"/>
        <v>2.0700789906714263</v>
      </c>
      <c r="H227" s="14">
        <f t="shared" si="43"/>
        <v>0</v>
      </c>
      <c r="I227" s="14">
        <f t="shared" si="44"/>
        <v>3.2239364747090611</v>
      </c>
      <c r="J227" s="14">
        <f t="shared" si="45"/>
        <v>9.7857965591533591E-2</v>
      </c>
      <c r="K227" s="14">
        <f t="shared" si="46"/>
        <v>0.21103703713256677</v>
      </c>
      <c r="L227" s="14">
        <f t="shared" si="47"/>
        <v>629.15690747251415</v>
      </c>
      <c r="M227" s="14">
        <f t="shared" si="41"/>
        <v>0.13407222041926498</v>
      </c>
      <c r="N227" s="14">
        <f t="shared" si="48"/>
        <v>3.4309453628124404</v>
      </c>
      <c r="O227" s="4">
        <v>1.65</v>
      </c>
      <c r="P227" s="14">
        <f t="shared" si="51"/>
        <v>3.1717663853231355</v>
      </c>
      <c r="Q227" s="14">
        <f t="shared" si="49"/>
        <v>23.850027499067064</v>
      </c>
    </row>
    <row r="228" spans="1:17" x14ac:dyDescent="0.25">
      <c r="A228" s="5" t="s">
        <v>285</v>
      </c>
      <c r="B228" s="6">
        <f t="shared" si="50"/>
        <v>11</v>
      </c>
      <c r="C228" s="70">
        <v>15.74944782</v>
      </c>
      <c r="D228" s="4">
        <v>0</v>
      </c>
      <c r="E228" s="12">
        <f t="shared" si="39"/>
        <v>0</v>
      </c>
      <c r="F228" s="12">
        <f t="shared" si="40"/>
        <v>0</v>
      </c>
      <c r="G228" s="16">
        <f t="shared" si="42"/>
        <v>1.9582109148251508</v>
      </c>
      <c r="H228" s="14">
        <f t="shared" si="43"/>
        <v>0</v>
      </c>
      <c r="I228" s="14">
        <f t="shared" si="44"/>
        <v>3.8597234828702311</v>
      </c>
      <c r="J228" s="14">
        <f t="shared" si="45"/>
        <v>0.11186807584627548</v>
      </c>
      <c r="K228" s="14">
        <f t="shared" si="46"/>
        <v>0.20060049073538805</v>
      </c>
      <c r="L228" s="14">
        <f t="shared" si="47"/>
        <v>629.03327179849214</v>
      </c>
      <c r="M228" s="14">
        <f t="shared" si="41"/>
        <v>0.13404365944718982</v>
      </c>
      <c r="N228" s="14">
        <f t="shared" si="48"/>
        <v>3.4302144796034346</v>
      </c>
      <c r="O228" s="4">
        <v>1.65</v>
      </c>
      <c r="P228" s="14">
        <f t="shared" si="51"/>
        <v>3.1691635933897278</v>
      </c>
      <c r="Q228" s="14">
        <f t="shared" si="49"/>
        <v>23.850027499067064</v>
      </c>
    </row>
    <row r="229" spans="1:17" x14ac:dyDescent="0.25">
      <c r="A229" s="5" t="s">
        <v>286</v>
      </c>
      <c r="B229" s="6">
        <f t="shared" si="50"/>
        <v>11</v>
      </c>
      <c r="C229" s="70">
        <v>16.079292299999999</v>
      </c>
      <c r="D229" s="4">
        <v>0</v>
      </c>
      <c r="E229" s="12">
        <f t="shared" si="39"/>
        <v>0</v>
      </c>
      <c r="F229" s="12">
        <f t="shared" si="40"/>
        <v>0</v>
      </c>
      <c r="G229" s="16">
        <f t="shared" si="42"/>
        <v>1.8411657047703009</v>
      </c>
      <c r="H229" s="14">
        <f t="shared" si="43"/>
        <v>0</v>
      </c>
      <c r="I229" s="14">
        <f t="shared" si="44"/>
        <v>4.2690488082678835</v>
      </c>
      <c r="J229" s="14">
        <f t="shared" si="45"/>
        <v>0.1170452100548498</v>
      </c>
      <c r="K229" s="14">
        <f t="shared" si="46"/>
        <v>0.1906800693851699</v>
      </c>
      <c r="L229" s="14">
        <f t="shared" si="47"/>
        <v>628.90914856039512</v>
      </c>
      <c r="M229" s="14">
        <f t="shared" si="41"/>
        <v>0.13401510455936624</v>
      </c>
      <c r="N229" s="14">
        <f t="shared" si="48"/>
        <v>3.4294837520921155</v>
      </c>
      <c r="O229" s="4">
        <v>1.62</v>
      </c>
      <c r="P229" s="14">
        <f t="shared" si="51"/>
        <v>3.2742314490853603</v>
      </c>
      <c r="Q229" s="14">
        <f t="shared" si="49"/>
        <v>24.143946438722228</v>
      </c>
    </row>
    <row r="230" spans="1:17" x14ac:dyDescent="0.25">
      <c r="A230" s="5" t="s">
        <v>287</v>
      </c>
      <c r="B230" s="6">
        <f t="shared" si="50"/>
        <v>11</v>
      </c>
      <c r="C230" s="70">
        <v>16.494087220000001</v>
      </c>
      <c r="D230" s="4">
        <v>0</v>
      </c>
      <c r="E230" s="12">
        <f t="shared" si="39"/>
        <v>0</v>
      </c>
      <c r="F230" s="12">
        <f t="shared" si="40"/>
        <v>0</v>
      </c>
      <c r="G230" s="16">
        <f t="shared" si="42"/>
        <v>1.7178471400681485</v>
      </c>
      <c r="H230" s="14">
        <f t="shared" si="43"/>
        <v>0</v>
      </c>
      <c r="I230" s="14">
        <f t="shared" si="44"/>
        <v>4.7837946230297215</v>
      </c>
      <c r="J230" s="14">
        <f t="shared" si="45"/>
        <v>0.12331856470215248</v>
      </c>
      <c r="K230" s="14">
        <f t="shared" si="46"/>
        <v>0.18125024882762719</v>
      </c>
      <c r="L230" s="14">
        <f t="shared" si="47"/>
        <v>628.78456327639321</v>
      </c>
      <c r="M230" s="14">
        <f t="shared" si="41"/>
        <v>0.13398655575449819</v>
      </c>
      <c r="N230" s="14">
        <f t="shared" si="48"/>
        <v>3.4287531802453182</v>
      </c>
      <c r="O230" s="4">
        <v>1.6</v>
      </c>
      <c r="P230" s="14">
        <f t="shared" si="51"/>
        <v>3.3443381942573649</v>
      </c>
      <c r="Q230" s="14">
        <f t="shared" si="49"/>
        <v>24.34089239849234</v>
      </c>
    </row>
    <row r="231" spans="1:17" x14ac:dyDescent="0.25">
      <c r="A231" s="5" t="s">
        <v>288</v>
      </c>
      <c r="B231" s="6">
        <f t="shared" si="50"/>
        <v>11</v>
      </c>
      <c r="C231" s="70">
        <v>15.52402592</v>
      </c>
      <c r="D231" s="4">
        <v>0</v>
      </c>
      <c r="E231" s="12">
        <f t="shared" si="39"/>
        <v>0</v>
      </c>
      <c r="F231" s="12">
        <f t="shared" si="40"/>
        <v>0</v>
      </c>
      <c r="G231" s="16">
        <f t="shared" si="42"/>
        <v>1.6317421096110949</v>
      </c>
      <c r="H231" s="14">
        <f t="shared" si="43"/>
        <v>0</v>
      </c>
      <c r="I231" s="14">
        <f t="shared" si="44"/>
        <v>3.5799828833935994</v>
      </c>
      <c r="J231" s="14">
        <f t="shared" si="45"/>
        <v>8.6105030457053588E-2</v>
      </c>
      <c r="K231" s="14">
        <f t="shared" si="46"/>
        <v>0.17228676707536275</v>
      </c>
      <c r="L231" s="14">
        <f t="shared" si="47"/>
        <v>628.65954020239099</v>
      </c>
      <c r="M231" s="14">
        <f t="shared" si="41"/>
        <v>0.13395801303128987</v>
      </c>
      <c r="N231" s="14">
        <f t="shared" si="48"/>
        <v>3.4280227640298837</v>
      </c>
      <c r="O231" s="4">
        <v>1.59</v>
      </c>
      <c r="P231" s="14">
        <f t="shared" si="51"/>
        <v>3.3783276810920531</v>
      </c>
      <c r="Q231" s="14">
        <f t="shared" si="49"/>
        <v>24.439665378377402</v>
      </c>
    </row>
    <row r="232" spans="1:17" x14ac:dyDescent="0.25">
      <c r="A232" s="5" t="s">
        <v>289</v>
      </c>
      <c r="B232" s="6">
        <f t="shared" si="50"/>
        <v>11</v>
      </c>
      <c r="C232" s="70">
        <v>17.502202990000001</v>
      </c>
      <c r="D232" s="4">
        <v>0</v>
      </c>
      <c r="E232" s="12">
        <f t="shared" si="39"/>
        <v>0</v>
      </c>
      <c r="F232" s="12">
        <f t="shared" si="40"/>
        <v>0</v>
      </c>
      <c r="G232" s="16">
        <f t="shared" si="42"/>
        <v>1.4938689703186796</v>
      </c>
      <c r="H232" s="14">
        <f t="shared" si="43"/>
        <v>0</v>
      </c>
      <c r="I232" s="14">
        <f t="shared" si="44"/>
        <v>6.0348306130628337</v>
      </c>
      <c r="J232" s="14">
        <f t="shared" si="45"/>
        <v>0.13787313929241521</v>
      </c>
      <c r="K232" s="14">
        <f t="shared" si="46"/>
        <v>0.16376656198419456</v>
      </c>
      <c r="L232" s="14">
        <f t="shared" si="47"/>
        <v>628.53410239445088</v>
      </c>
      <c r="M232" s="14">
        <f t="shared" si="41"/>
        <v>0.13392947638844568</v>
      </c>
      <c r="N232" s="14">
        <f t="shared" si="48"/>
        <v>3.4272925034126551</v>
      </c>
      <c r="O232" s="4">
        <v>1.59</v>
      </c>
      <c r="P232" s="14">
        <f t="shared" si="51"/>
        <v>3.3756437430963411</v>
      </c>
      <c r="Q232" s="14">
        <f t="shared" si="49"/>
        <v>24.439665378377402</v>
      </c>
    </row>
    <row r="233" spans="1:17" x14ac:dyDescent="0.25">
      <c r="A233" s="5" t="s">
        <v>290</v>
      </c>
      <c r="B233" s="6">
        <f t="shared" si="50"/>
        <v>11</v>
      </c>
      <c r="C233" s="70">
        <v>17.147035599999999</v>
      </c>
      <c r="D233" s="4">
        <v>0</v>
      </c>
      <c r="E233" s="12">
        <f t="shared" si="39"/>
        <v>0</v>
      </c>
      <c r="F233" s="12">
        <f t="shared" si="40"/>
        <v>0</v>
      </c>
      <c r="G233" s="16">
        <f t="shared" si="42"/>
        <v>1.3768640102425425</v>
      </c>
      <c r="H233" s="14">
        <f t="shared" si="43"/>
        <v>0</v>
      </c>
      <c r="I233" s="14">
        <f t="shared" si="44"/>
        <v>5.5940804526163515</v>
      </c>
      <c r="J233" s="14">
        <f t="shared" si="45"/>
        <v>0.11700496007613713</v>
      </c>
      <c r="K233" s="14">
        <f t="shared" si="46"/>
        <v>0.15566771191655998</v>
      </c>
      <c r="L233" s="14">
        <f t="shared" si="47"/>
        <v>628.40827176813013</v>
      </c>
      <c r="M233" s="14">
        <f t="shared" si="41"/>
        <v>0.13390094582467038</v>
      </c>
      <c r="N233" s="14">
        <f t="shared" si="48"/>
        <v>3.4265623983604887</v>
      </c>
      <c r="O233" s="4">
        <v>1.58</v>
      </c>
      <c r="P233" s="14">
        <f t="shared" si="51"/>
        <v>3.4097926910388399</v>
      </c>
      <c r="Q233" s="14">
        <f t="shared" si="49"/>
        <v>24.538638358262457</v>
      </c>
    </row>
    <row r="234" spans="1:17" x14ac:dyDescent="0.25">
      <c r="A234" s="5" t="s">
        <v>291</v>
      </c>
      <c r="B234" s="6">
        <f t="shared" si="50"/>
        <v>11</v>
      </c>
      <c r="C234" s="70">
        <v>17.986055369999999</v>
      </c>
      <c r="D234" s="4">
        <v>1.5</v>
      </c>
      <c r="E234" s="12">
        <f t="shared" si="39"/>
        <v>0</v>
      </c>
      <c r="F234" s="12">
        <f t="shared" si="40"/>
        <v>1.5</v>
      </c>
      <c r="G234" s="16">
        <f t="shared" si="42"/>
        <v>2.6773621524929765</v>
      </c>
      <c r="H234" s="14">
        <f t="shared" si="43"/>
        <v>7.1589357794916209E-2</v>
      </c>
      <c r="I234" s="14">
        <f t="shared" si="44"/>
        <v>6.6352742915137473</v>
      </c>
      <c r="J234" s="14">
        <f t="shared" si="45"/>
        <v>0.12791249995464932</v>
      </c>
      <c r="K234" s="14">
        <f t="shared" si="46"/>
        <v>0.21955873713424573</v>
      </c>
      <c r="L234" s="14">
        <f t="shared" si="47"/>
        <v>628.28206915488272</v>
      </c>
      <c r="M234" s="14">
        <f t="shared" si="41"/>
        <v>0.133887671788333</v>
      </c>
      <c r="N234" s="14">
        <f t="shared" si="48"/>
        <v>3.4262227120833826</v>
      </c>
      <c r="O234" s="4">
        <v>1.57</v>
      </c>
      <c r="P234" s="14">
        <f t="shared" si="51"/>
        <v>3.445562756854188</v>
      </c>
      <c r="Q234" s="14">
        <f t="shared" si="49"/>
        <v>24.637811338147515</v>
      </c>
    </row>
    <row r="235" spans="1:17" x14ac:dyDescent="0.25">
      <c r="A235" s="5" t="s">
        <v>292</v>
      </c>
      <c r="B235" s="6">
        <f t="shared" si="50"/>
        <v>11</v>
      </c>
      <c r="C235" s="70">
        <v>17.30678558</v>
      </c>
      <c r="D235" s="4">
        <v>4.0999999999999996</v>
      </c>
      <c r="E235" s="12">
        <f t="shared" si="39"/>
        <v>0</v>
      </c>
      <c r="F235" s="12">
        <f t="shared" si="40"/>
        <v>4.0999999999999996</v>
      </c>
      <c r="G235" s="16">
        <f t="shared" si="42"/>
        <v>6.2813003637521012</v>
      </c>
      <c r="H235" s="14">
        <f t="shared" si="43"/>
        <v>0.27893017303413176</v>
      </c>
      <c r="I235" s="14">
        <f t="shared" si="44"/>
        <v>5.7923245237184933</v>
      </c>
      <c r="J235" s="14">
        <f t="shared" si="45"/>
        <v>0.21713161570674355</v>
      </c>
      <c r="K235" s="14">
        <f t="shared" si="46"/>
        <v>0.48763093481892206</v>
      </c>
      <c r="L235" s="14">
        <f t="shared" si="47"/>
        <v>628.15903945844389</v>
      </c>
      <c r="M235" s="14">
        <f t="shared" si="41"/>
        <v>0.13391856972389965</v>
      </c>
      <c r="N235" s="14">
        <f t="shared" si="48"/>
        <v>3.4270133988372935</v>
      </c>
      <c r="O235" s="4">
        <v>1.58</v>
      </c>
      <c r="P235" s="14">
        <f t="shared" si="51"/>
        <v>3.4114584954844909</v>
      </c>
      <c r="Q235" s="14">
        <f t="shared" si="49"/>
        <v>24.538638358262457</v>
      </c>
    </row>
    <row r="236" spans="1:17" x14ac:dyDescent="0.25">
      <c r="A236" s="5" t="s">
        <v>293</v>
      </c>
      <c r="B236" s="6">
        <f t="shared" si="50"/>
        <v>11</v>
      </c>
      <c r="C236" s="70">
        <v>17.7207756</v>
      </c>
      <c r="D236" s="4">
        <v>4.5</v>
      </c>
      <c r="E236" s="12">
        <f t="shared" si="39"/>
        <v>0</v>
      </c>
      <c r="F236" s="12">
        <f t="shared" si="40"/>
        <v>4.5</v>
      </c>
      <c r="G236" s="16">
        <f t="shared" si="42"/>
        <v>9.7443896626025683</v>
      </c>
      <c r="H236" s="14">
        <f t="shared" si="43"/>
        <v>0.482321371787784</v>
      </c>
      <c r="I236" s="14">
        <f t="shared" si="44"/>
        <v>6.3060714860683911</v>
      </c>
      <c r="J236" s="14">
        <f t="shared" si="45"/>
        <v>0.55458932936174965</v>
      </c>
      <c r="K236" s="14">
        <f t="shared" si="46"/>
        <v>0.94583718944487605</v>
      </c>
      <c r="L236" s="14">
        <f t="shared" si="47"/>
        <v>628.04923600588188</v>
      </c>
      <c r="M236" s="14">
        <f t="shared" si="41"/>
        <v>0.13399278884751487</v>
      </c>
      <c r="N236" s="14">
        <f t="shared" si="48"/>
        <v>3.4289126868270299</v>
      </c>
      <c r="O236" s="4">
        <v>1.62</v>
      </c>
      <c r="P236" s="14">
        <f t="shared" si="51"/>
        <v>3.272165108563784</v>
      </c>
      <c r="Q236" s="14">
        <f t="shared" si="49"/>
        <v>24.143946438722228</v>
      </c>
    </row>
    <row r="237" spans="1:17" x14ac:dyDescent="0.25">
      <c r="A237" s="5" t="s">
        <v>294</v>
      </c>
      <c r="B237" s="6">
        <f t="shared" si="50"/>
        <v>11</v>
      </c>
      <c r="C237" s="70">
        <v>18.21348953</v>
      </c>
      <c r="D237" s="4">
        <v>3.7</v>
      </c>
      <c r="E237" s="12">
        <f t="shared" si="39"/>
        <v>0</v>
      </c>
      <c r="F237" s="12">
        <f t="shared" si="40"/>
        <v>3.7</v>
      </c>
      <c r="G237" s="16">
        <f t="shared" si="42"/>
        <v>11.999450341124433</v>
      </c>
      <c r="H237" s="14">
        <f t="shared" si="43"/>
        <v>0.50116615764777339</v>
      </c>
      <c r="I237" s="14">
        <f t="shared" si="44"/>
        <v>6.9175120344298708</v>
      </c>
      <c r="J237" s="14">
        <f t="shared" si="45"/>
        <v>0.94377316383036036</v>
      </c>
      <c r="K237" s="14">
        <f t="shared" si="46"/>
        <v>1.4002282698552933</v>
      </c>
      <c r="L237" s="14">
        <f t="shared" si="47"/>
        <v>627.96201829427173</v>
      </c>
      <c r="M237" s="14">
        <f t="shared" si="41"/>
        <v>0.13407100660433474</v>
      </c>
      <c r="N237" s="14">
        <f t="shared" si="48"/>
        <v>3.4309143009512049</v>
      </c>
      <c r="O237" s="4">
        <v>1.62</v>
      </c>
      <c r="P237" s="14">
        <f t="shared" si="51"/>
        <v>3.2794106053895904</v>
      </c>
      <c r="Q237" s="14">
        <f t="shared" si="49"/>
        <v>24.143946438722228</v>
      </c>
    </row>
    <row r="238" spans="1:17" x14ac:dyDescent="0.25">
      <c r="A238" s="5" t="s">
        <v>295</v>
      </c>
      <c r="B238" s="6">
        <f t="shared" si="50"/>
        <v>11</v>
      </c>
      <c r="C238" s="70">
        <v>18.152627939999999</v>
      </c>
      <c r="D238" s="4">
        <v>0.6</v>
      </c>
      <c r="E238" s="12">
        <f t="shared" si="39"/>
        <v>0</v>
      </c>
      <c r="F238" s="12">
        <f t="shared" si="40"/>
        <v>0.6</v>
      </c>
      <c r="G238" s="16">
        <f t="shared" si="42"/>
        <v>11.359149082056534</v>
      </c>
      <c r="H238" s="14">
        <f t="shared" si="43"/>
        <v>9.0807742835669877E-2</v>
      </c>
      <c r="I238" s="14">
        <f t="shared" si="44"/>
        <v>6.8419849553319612</v>
      </c>
      <c r="J238" s="14">
        <f t="shared" si="45"/>
        <v>1.1494935162322282</v>
      </c>
      <c r="K238" s="14">
        <f t="shared" si="46"/>
        <v>1.4217896495712694</v>
      </c>
      <c r="L238" s="14">
        <f t="shared" si="47"/>
        <v>627.89719365078702</v>
      </c>
      <c r="M238" s="14">
        <f t="shared" si="41"/>
        <v>0.13406179037099036</v>
      </c>
      <c r="N238" s="14">
        <f t="shared" si="48"/>
        <v>3.4306784549798572</v>
      </c>
      <c r="O238" s="4">
        <v>1.64</v>
      </c>
      <c r="P238" s="14">
        <f t="shared" si="51"/>
        <v>3.2065293291290491</v>
      </c>
      <c r="Q238" s="14">
        <f t="shared" si="49"/>
        <v>23.947800478952118</v>
      </c>
    </row>
    <row r="239" spans="1:17" x14ac:dyDescent="0.25">
      <c r="A239" s="5" t="s">
        <v>296</v>
      </c>
      <c r="B239" s="6">
        <f t="shared" si="50"/>
        <v>11</v>
      </c>
      <c r="C239" s="70">
        <v>16.75823784</v>
      </c>
      <c r="D239" s="4">
        <v>0</v>
      </c>
      <c r="E239" s="12">
        <f t="shared" si="39"/>
        <v>0</v>
      </c>
      <c r="F239" s="12">
        <f t="shared" si="40"/>
        <v>0</v>
      </c>
      <c r="G239" s="16">
        <f t="shared" si="42"/>
        <v>10.546196161211469</v>
      </c>
      <c r="H239" s="14">
        <f t="shared" si="43"/>
        <v>0</v>
      </c>
      <c r="I239" s="14">
        <f t="shared" si="44"/>
        <v>5.1115961932894143</v>
      </c>
      <c r="J239" s="14">
        <f t="shared" si="45"/>
        <v>0.8129529208450651</v>
      </c>
      <c r="K239" s="14">
        <f t="shared" si="46"/>
        <v>1.3514769980746608</v>
      </c>
      <c r="L239" s="14">
        <f t="shared" si="47"/>
        <v>627.8334445119126</v>
      </c>
      <c r="M239" s="14">
        <f t="shared" si="41"/>
        <v>0.1340332316207947</v>
      </c>
      <c r="N239" s="14">
        <f t="shared" si="48"/>
        <v>3.429947628629364</v>
      </c>
      <c r="O239" s="4">
        <v>1.75</v>
      </c>
      <c r="P239" s="14">
        <f t="shared" si="51"/>
        <v>2.8222240349374235</v>
      </c>
      <c r="Q239" s="14">
        <f t="shared" si="49"/>
        <v>22.883297700216485</v>
      </c>
    </row>
    <row r="240" spans="1:17" x14ac:dyDescent="0.25">
      <c r="A240" s="5" t="s">
        <v>297</v>
      </c>
      <c r="B240" s="6">
        <f t="shared" si="50"/>
        <v>11</v>
      </c>
      <c r="C240" s="70">
        <v>17.042087550000002</v>
      </c>
      <c r="D240" s="4">
        <v>0</v>
      </c>
      <c r="E240" s="12">
        <f t="shared" si="39"/>
        <v>0</v>
      </c>
      <c r="F240" s="12">
        <f t="shared" si="40"/>
        <v>0</v>
      </c>
      <c r="G240" s="16">
        <f t="shared" si="42"/>
        <v>9.7394123676730224</v>
      </c>
      <c r="H240" s="14">
        <f t="shared" si="43"/>
        <v>0</v>
      </c>
      <c r="I240" s="14">
        <f t="shared" si="44"/>
        <v>5.4638436370234444</v>
      </c>
      <c r="J240" s="14">
        <f t="shared" si="45"/>
        <v>0.80678379353844676</v>
      </c>
      <c r="K240" s="14">
        <f t="shared" si="46"/>
        <v>1.2846415620451745</v>
      </c>
      <c r="L240" s="14">
        <f t="shared" si="47"/>
        <v>627.76624671632123</v>
      </c>
      <c r="M240" s="14">
        <f t="shared" si="41"/>
        <v>0.13400467895437732</v>
      </c>
      <c r="N240" s="14">
        <f t="shared" si="48"/>
        <v>3.4292169579644476</v>
      </c>
      <c r="O240" s="4">
        <v>1.75</v>
      </c>
      <c r="P240" s="14">
        <f t="shared" si="51"/>
        <v>2.8197695919153731</v>
      </c>
      <c r="Q240" s="14">
        <f t="shared" si="49"/>
        <v>22.883297700216485</v>
      </c>
    </row>
    <row r="241" spans="1:17" x14ac:dyDescent="0.25">
      <c r="A241" s="5" t="s">
        <v>298</v>
      </c>
      <c r="B241" s="6">
        <f t="shared" si="50"/>
        <v>11</v>
      </c>
      <c r="C241" s="70">
        <v>16.671823499999999</v>
      </c>
      <c r="D241" s="4">
        <v>0.4</v>
      </c>
      <c r="E241" s="12">
        <f t="shared" si="39"/>
        <v>0</v>
      </c>
      <c r="F241" s="12">
        <f t="shared" si="40"/>
        <v>0.4</v>
      </c>
      <c r="G241" s="16">
        <f t="shared" si="42"/>
        <v>9.4028387365867498</v>
      </c>
      <c r="H241" s="14">
        <f t="shared" si="43"/>
        <v>5.4165371436519776E-2</v>
      </c>
      <c r="I241" s="14">
        <f t="shared" si="44"/>
        <v>5.0043590558374733</v>
      </c>
      <c r="J241" s="14">
        <f t="shared" si="45"/>
        <v>0.68240825964975282</v>
      </c>
      <c r="K241" s="14">
        <f t="shared" si="46"/>
        <v>1.2752767520111945</v>
      </c>
      <c r="L241" s="14">
        <f t="shared" si="47"/>
        <v>627.69577221883731</v>
      </c>
      <c r="M241" s="14">
        <f t="shared" si="41"/>
        <v>0.13398767104457029</v>
      </c>
      <c r="N241" s="14">
        <f t="shared" si="48"/>
        <v>3.4287817208280664</v>
      </c>
      <c r="O241" s="4">
        <v>1.75</v>
      </c>
      <c r="P241" s="14">
        <f t="shared" si="51"/>
        <v>2.8183080661864439</v>
      </c>
      <c r="Q241" s="14">
        <f t="shared" si="49"/>
        <v>22.883297700216485</v>
      </c>
    </row>
    <row r="242" spans="1:17" x14ac:dyDescent="0.25">
      <c r="A242" s="5" t="s">
        <v>299</v>
      </c>
      <c r="B242" s="6">
        <f t="shared" si="50"/>
        <v>12</v>
      </c>
      <c r="C242" s="70">
        <v>15.993962290000001</v>
      </c>
      <c r="D242" s="4">
        <v>1.4</v>
      </c>
      <c r="E242" s="12">
        <f t="shared" si="39"/>
        <v>0</v>
      </c>
      <c r="F242" s="12">
        <f t="shared" si="40"/>
        <v>1.4</v>
      </c>
      <c r="G242" s="16">
        <f t="shared" si="42"/>
        <v>9.8937180442828474</v>
      </c>
      <c r="H242" s="14">
        <f t="shared" si="43"/>
        <v>0.18605786560417914</v>
      </c>
      <c r="I242" s="14">
        <f t="shared" si="44"/>
        <v>5.4922966782282989</v>
      </c>
      <c r="J242" s="14">
        <f t="shared" si="45"/>
        <v>0.72306282669972355</v>
      </c>
      <c r="K242" s="14">
        <f t="shared" si="46"/>
        <v>1.398267559944129</v>
      </c>
      <c r="L242" s="14">
        <f t="shared" si="47"/>
        <v>627.62485160546396</v>
      </c>
      <c r="M242" s="14">
        <f t="shared" si="41"/>
        <v>0.13399876338993544</v>
      </c>
      <c r="N242" s="14">
        <f t="shared" si="48"/>
        <v>3.4290655770271674</v>
      </c>
      <c r="O242" s="4">
        <v>2.89</v>
      </c>
      <c r="P242" s="14">
        <f t="shared" si="51"/>
        <v>0.29059169633563281</v>
      </c>
      <c r="Q242" s="14">
        <f t="shared" si="49"/>
        <v>13.276177993319942</v>
      </c>
    </row>
    <row r="243" spans="1:17" x14ac:dyDescent="0.25">
      <c r="A243" s="5" t="s">
        <v>300</v>
      </c>
      <c r="B243" s="6">
        <f t="shared" si="50"/>
        <v>12</v>
      </c>
      <c r="C243" s="70">
        <v>16.433248519999999</v>
      </c>
      <c r="D243" s="4">
        <v>0</v>
      </c>
      <c r="E243" s="12">
        <f t="shared" si="39"/>
        <v>0</v>
      </c>
      <c r="F243" s="12">
        <f t="shared" si="40"/>
        <v>0</v>
      </c>
      <c r="G243" s="16">
        <f t="shared" si="42"/>
        <v>9.0488781048221512</v>
      </c>
      <c r="H243" s="14">
        <f t="shared" si="43"/>
        <v>0</v>
      </c>
      <c r="I243" s="14">
        <f t="shared" si="44"/>
        <v>6.0989047247943518</v>
      </c>
      <c r="J243" s="14">
        <f t="shared" si="45"/>
        <v>0.84483993946069613</v>
      </c>
      <c r="K243" s="14">
        <f t="shared" si="46"/>
        <v>1.3291181610362024</v>
      </c>
      <c r="L243" s="14">
        <f t="shared" si="47"/>
        <v>627.56000224098193</v>
      </c>
      <c r="M243" s="14">
        <f t="shared" si="41"/>
        <v>0.13397021806617396</v>
      </c>
      <c r="N243" s="14">
        <f t="shared" si="48"/>
        <v>3.4283350942628545</v>
      </c>
      <c r="O243" s="4">
        <v>2.97</v>
      </c>
      <c r="P243" s="14">
        <f t="shared" si="51"/>
        <v>0.21007105863293957</v>
      </c>
      <c r="Q243" s="14">
        <f t="shared" si="49"/>
        <v>12.699594154239483</v>
      </c>
    </row>
    <row r="244" spans="1:17" x14ac:dyDescent="0.25">
      <c r="A244" s="5" t="s">
        <v>301</v>
      </c>
      <c r="B244" s="6">
        <f t="shared" si="50"/>
        <v>12</v>
      </c>
      <c r="C244" s="70">
        <v>17.311529159999999</v>
      </c>
      <c r="D244" s="4">
        <v>0</v>
      </c>
      <c r="E244" s="12">
        <f t="shared" si="39"/>
        <v>0</v>
      </c>
      <c r="F244" s="12">
        <f t="shared" si="40"/>
        <v>0</v>
      </c>
      <c r="G244" s="16">
        <f t="shared" si="42"/>
        <v>8.1225235949931953</v>
      </c>
      <c r="H244" s="14">
        <f t="shared" si="43"/>
        <v>0</v>
      </c>
      <c r="I244" s="14">
        <f t="shared" si="44"/>
        <v>7.3117178452219695</v>
      </c>
      <c r="J244" s="14">
        <f t="shared" si="45"/>
        <v>0.92635450982895606</v>
      </c>
      <c r="K244" s="14">
        <f t="shared" si="46"/>
        <v>1.263388450538639</v>
      </c>
      <c r="L244" s="14">
        <f t="shared" si="47"/>
        <v>627.49176173341334</v>
      </c>
      <c r="M244" s="14">
        <f t="shared" si="41"/>
        <v>0.13394167882333058</v>
      </c>
      <c r="N244" s="14">
        <f t="shared" si="48"/>
        <v>3.4276047671109247</v>
      </c>
      <c r="O244" s="4">
        <v>3.9</v>
      </c>
      <c r="P244" s="14">
        <f t="shared" si="51"/>
        <v>0.22315725605632364</v>
      </c>
      <c r="Q244" s="14">
        <f t="shared" si="49"/>
        <v>6.9361070249291483</v>
      </c>
    </row>
    <row r="245" spans="1:17" x14ac:dyDescent="0.25">
      <c r="A245" s="5" t="s">
        <v>302</v>
      </c>
      <c r="B245" s="6">
        <f t="shared" si="50"/>
        <v>12</v>
      </c>
      <c r="C245" s="70">
        <v>17.740880969999999</v>
      </c>
      <c r="D245" s="4">
        <v>9.4</v>
      </c>
      <c r="E245" s="12">
        <f t="shared" si="39"/>
        <v>0</v>
      </c>
      <c r="F245" s="12">
        <f t="shared" si="40"/>
        <v>9.4</v>
      </c>
      <c r="G245" s="16">
        <f t="shared" si="42"/>
        <v>15.46809533696366</v>
      </c>
      <c r="H245" s="14">
        <f t="shared" si="43"/>
        <v>1.1554807141555752</v>
      </c>
      <c r="I245" s="14">
        <f t="shared" si="44"/>
        <v>7.9046075034152166</v>
      </c>
      <c r="J245" s="14">
        <f t="shared" si="45"/>
        <v>0.89894754387395803</v>
      </c>
      <c r="K245" s="14">
        <f t="shared" si="46"/>
        <v>2.3563900266203435</v>
      </c>
      <c r="L245" s="14">
        <f t="shared" si="47"/>
        <v>627.42029919266383</v>
      </c>
      <c r="M245" s="14">
        <f t="shared" si="41"/>
        <v>0.1479978542641375</v>
      </c>
      <c r="N245" s="14">
        <f t="shared" si="48"/>
        <v>3.7873062011343523</v>
      </c>
      <c r="O245" s="4">
        <v>3.95</v>
      </c>
      <c r="P245" s="14">
        <f t="shared" si="51"/>
        <v>2.6469272189335872E-2</v>
      </c>
      <c r="Q245" s="14">
        <f t="shared" si="49"/>
        <v>6.6752421255038596</v>
      </c>
    </row>
    <row r="246" spans="1:17" x14ac:dyDescent="0.25">
      <c r="A246" s="5" t="s">
        <v>303</v>
      </c>
      <c r="B246" s="6">
        <f t="shared" si="50"/>
        <v>12</v>
      </c>
      <c r="C246" s="70">
        <v>17.987325670000001</v>
      </c>
      <c r="D246" s="4">
        <v>0</v>
      </c>
      <c r="E246" s="12">
        <f t="shared" si="39"/>
        <v>0</v>
      </c>
      <c r="F246" s="12">
        <f t="shared" si="40"/>
        <v>0</v>
      </c>
      <c r="G246" s="16">
        <f t="shared" si="42"/>
        <v>13.682486059246475</v>
      </c>
      <c r="H246" s="14">
        <f t="shared" si="43"/>
        <v>0</v>
      </c>
      <c r="I246" s="14">
        <f t="shared" si="44"/>
        <v>8.2449216945829171</v>
      </c>
      <c r="J246" s="14">
        <f t="shared" si="45"/>
        <v>1.7856092777171848</v>
      </c>
      <c r="K246" s="14">
        <f t="shared" si="46"/>
        <v>2.2260194387079775</v>
      </c>
      <c r="L246" s="14">
        <f t="shared" si="47"/>
        <v>627.40267192631211</v>
      </c>
      <c r="M246" s="14">
        <f t="shared" si="41"/>
        <v>0.14290406040849254</v>
      </c>
      <c r="N246" s="14">
        <f t="shared" si="48"/>
        <v>3.6569546014256602</v>
      </c>
      <c r="O246" s="4">
        <v>3.99</v>
      </c>
      <c r="P246" s="14">
        <f t="shared" si="51"/>
        <v>0.11091923751154099</v>
      </c>
      <c r="Q246" s="14">
        <f t="shared" si="49"/>
        <v>6.4701502059636304</v>
      </c>
    </row>
    <row r="247" spans="1:17" x14ac:dyDescent="0.25">
      <c r="A247" s="5" t="s">
        <v>304</v>
      </c>
      <c r="B247" s="6">
        <f t="shared" si="50"/>
        <v>12</v>
      </c>
      <c r="C247" s="70">
        <v>15.45426655</v>
      </c>
      <c r="D247" s="4">
        <v>0</v>
      </c>
      <c r="E247" s="12">
        <f t="shared" si="39"/>
        <v>0</v>
      </c>
      <c r="F247" s="12">
        <f t="shared" si="40"/>
        <v>0</v>
      </c>
      <c r="G247" s="16">
        <f t="shared" si="42"/>
        <v>12.773095619051761</v>
      </c>
      <c r="H247" s="14">
        <f t="shared" si="43"/>
        <v>0</v>
      </c>
      <c r="I247" s="14">
        <f t="shared" si="44"/>
        <v>4.7470336669533442</v>
      </c>
      <c r="J247" s="14">
        <f t="shared" si="45"/>
        <v>0.90939044019471416</v>
      </c>
      <c r="K247" s="14">
        <f t="shared" si="46"/>
        <v>2.1071584152513121</v>
      </c>
      <c r="L247" s="14">
        <f t="shared" si="47"/>
        <v>627.37862888936036</v>
      </c>
      <c r="M247" s="14">
        <f t="shared" si="41"/>
        <v>0.13825826597357976</v>
      </c>
      <c r="N247" s="14">
        <f t="shared" si="48"/>
        <v>3.538067431337788</v>
      </c>
      <c r="O247" s="4">
        <v>3.28</v>
      </c>
      <c r="P247" s="14">
        <f t="shared" si="51"/>
        <v>6.659879911728403E-2</v>
      </c>
      <c r="Q247" s="14">
        <f t="shared" si="49"/>
        <v>10.586231777802706</v>
      </c>
    </row>
    <row r="248" spans="1:17" x14ac:dyDescent="0.25">
      <c r="A248" s="5" t="s">
        <v>305</v>
      </c>
      <c r="B248" s="6">
        <f t="shared" si="50"/>
        <v>12</v>
      </c>
      <c r="C248" s="70">
        <v>17.26185036</v>
      </c>
      <c r="D248" s="4">
        <v>0.2</v>
      </c>
      <c r="E248" s="12">
        <f t="shared" si="39"/>
        <v>0</v>
      </c>
      <c r="F248" s="12">
        <f t="shared" si="40"/>
        <v>0.2</v>
      </c>
      <c r="G248" s="16">
        <f t="shared" si="42"/>
        <v>11.646458511747927</v>
      </c>
      <c r="H248" s="14">
        <f t="shared" si="43"/>
        <v>3.1294349829696574E-2</v>
      </c>
      <c r="I248" s="14">
        <f t="shared" si="44"/>
        <v>7.2431166513631382</v>
      </c>
      <c r="J248" s="14">
        <f t="shared" si="45"/>
        <v>1.2953427574741374</v>
      </c>
      <c r="K248" s="14">
        <f t="shared" si="46"/>
        <v>2.030085202094619</v>
      </c>
      <c r="L248" s="14">
        <f t="shared" si="47"/>
        <v>627.34873818637311</v>
      </c>
      <c r="M248" s="14">
        <f t="shared" si="41"/>
        <v>0.13524274086802787</v>
      </c>
      <c r="N248" s="14">
        <f t="shared" si="48"/>
        <v>3.4608993062408526</v>
      </c>
      <c r="O248" s="4">
        <v>3.09</v>
      </c>
      <c r="P248" s="14">
        <f t="shared" si="51"/>
        <v>0.13756629536994588</v>
      </c>
      <c r="Q248" s="14">
        <f t="shared" si="49"/>
        <v>11.858718395618796</v>
      </c>
    </row>
    <row r="249" spans="1:17" x14ac:dyDescent="0.25">
      <c r="A249" s="5" t="s">
        <v>306</v>
      </c>
      <c r="B249" s="6">
        <f t="shared" si="50"/>
        <v>12</v>
      </c>
      <c r="C249" s="70">
        <v>17.1270256</v>
      </c>
      <c r="D249" s="4">
        <v>0.3</v>
      </c>
      <c r="E249" s="12">
        <f t="shared" si="39"/>
        <v>0</v>
      </c>
      <c r="F249" s="12">
        <f t="shared" si="40"/>
        <v>0.3</v>
      </c>
      <c r="G249" s="16">
        <f t="shared" si="42"/>
        <v>10.751042112422205</v>
      </c>
      <c r="H249" s="14">
        <f t="shared" si="43"/>
        <v>4.4686931053045748E-2</v>
      </c>
      <c r="I249" s="14">
        <f t="shared" si="44"/>
        <v>7.0569378487807359</v>
      </c>
      <c r="J249" s="14">
        <f t="shared" si="45"/>
        <v>1.1507294682726779</v>
      </c>
      <c r="K249" s="14">
        <f t="shared" si="46"/>
        <v>1.973208858834355</v>
      </c>
      <c r="L249" s="14">
        <f t="shared" si="47"/>
        <v>627.31505871981847</v>
      </c>
      <c r="M249" s="14">
        <f t="shared" si="41"/>
        <v>0.13405524710000438</v>
      </c>
      <c r="N249" s="14">
        <f t="shared" si="48"/>
        <v>3.4305110108577512</v>
      </c>
      <c r="O249" s="4">
        <v>3.29</v>
      </c>
      <c r="P249" s="14">
        <f t="shared" si="51"/>
        <v>1.9743344172267075E-2</v>
      </c>
      <c r="Q249" s="14">
        <f t="shared" si="49"/>
        <v>10.521258797917648</v>
      </c>
    </row>
    <row r="250" spans="1:17" x14ac:dyDescent="0.25">
      <c r="A250" s="5" t="s">
        <v>307</v>
      </c>
      <c r="B250" s="6">
        <f t="shared" si="50"/>
        <v>12</v>
      </c>
      <c r="C250" s="70">
        <v>17.35679245</v>
      </c>
      <c r="D250" s="4">
        <v>4</v>
      </c>
      <c r="E250" s="12">
        <f t="shared" si="39"/>
        <v>0</v>
      </c>
      <c r="F250" s="12">
        <f t="shared" si="40"/>
        <v>4</v>
      </c>
      <c r="G250" s="16">
        <f t="shared" si="42"/>
        <v>13.070073154236521</v>
      </c>
      <c r="H250" s="14">
        <f t="shared" si="43"/>
        <v>0.57095149688845737</v>
      </c>
      <c r="I250" s="14">
        <f t="shared" si="44"/>
        <v>7.3742216845252262</v>
      </c>
      <c r="J250" s="14">
        <f t="shared" si="45"/>
        <v>1.1100174612972264</v>
      </c>
      <c r="K250" s="14">
        <f t="shared" si="46"/>
        <v>2.4465780256903233</v>
      </c>
      <c r="L250" s="14">
        <f t="shared" si="47"/>
        <v>627.27858580275097</v>
      </c>
      <c r="M250" s="14">
        <f t="shared" si="41"/>
        <v>0.15148886166969674</v>
      </c>
      <c r="N250" s="14">
        <f t="shared" si="48"/>
        <v>3.8766420503668924</v>
      </c>
      <c r="O250" s="4">
        <v>4</v>
      </c>
      <c r="P250" s="14">
        <f t="shared" si="51"/>
        <v>1.5217183737684322E-2</v>
      </c>
      <c r="Q250" s="14">
        <f t="shared" si="49"/>
        <v>6.4193772260785735</v>
      </c>
    </row>
    <row r="251" spans="1:17" x14ac:dyDescent="0.25">
      <c r="A251" s="5" t="s">
        <v>308</v>
      </c>
      <c r="B251" s="6">
        <f t="shared" si="50"/>
        <v>12</v>
      </c>
      <c r="C251" s="70">
        <v>18.179258350000001</v>
      </c>
      <c r="D251" s="4">
        <v>2.7</v>
      </c>
      <c r="E251" s="12">
        <f t="shared" si="39"/>
        <v>0</v>
      </c>
      <c r="F251" s="12">
        <f t="shared" si="40"/>
        <v>2.7</v>
      </c>
      <c r="G251" s="16">
        <f t="shared" si="42"/>
        <v>13.785104684801649</v>
      </c>
      <c r="H251" s="14">
        <f t="shared" si="43"/>
        <v>0.42768159872298483</v>
      </c>
      <c r="I251" s="14">
        <f t="shared" si="44"/>
        <v>8.5099605237922642</v>
      </c>
      <c r="J251" s="14">
        <f t="shared" si="45"/>
        <v>1.5572868707118861</v>
      </c>
      <c r="K251" s="14">
        <f t="shared" si="46"/>
        <v>2.7359269293642901</v>
      </c>
      <c r="L251" s="14">
        <f t="shared" si="47"/>
        <v>627.26542963613031</v>
      </c>
      <c r="M251" s="14">
        <f t="shared" si="41"/>
        <v>0.16278306371653739</v>
      </c>
      <c r="N251" s="14">
        <f t="shared" si="48"/>
        <v>4.1656638180238907</v>
      </c>
      <c r="O251" s="4">
        <v>7.3</v>
      </c>
      <c r="P251" s="14">
        <f t="shared" si="51"/>
        <v>9.8240633016445731</v>
      </c>
      <c r="Q251" s="14">
        <f t="shared" si="49"/>
        <v>0.58729386400963923</v>
      </c>
    </row>
    <row r="252" spans="1:17" x14ac:dyDescent="0.25">
      <c r="A252" s="5" t="s">
        <v>309</v>
      </c>
      <c r="B252" s="6">
        <f t="shared" si="50"/>
        <v>12</v>
      </c>
      <c r="C252" s="70">
        <v>17.775098799999999</v>
      </c>
      <c r="D252" s="4">
        <v>3.9</v>
      </c>
      <c r="E252" s="12">
        <f t="shared" si="39"/>
        <v>0</v>
      </c>
      <c r="F252" s="12">
        <f t="shared" si="40"/>
        <v>3.9</v>
      </c>
      <c r="G252" s="16">
        <f t="shared" si="42"/>
        <v>15.514786678214103</v>
      </c>
      <c r="H252" s="14">
        <f t="shared" si="43"/>
        <v>0.63555337476231832</v>
      </c>
      <c r="I252" s="14">
        <f t="shared" si="44"/>
        <v>7.9518587250481563</v>
      </c>
      <c r="J252" s="14">
        <f t="shared" si="45"/>
        <v>1.534764631825227</v>
      </c>
      <c r="K252" s="14">
        <f t="shared" si="46"/>
        <v>3.2076028914357519</v>
      </c>
      <c r="L252" s="14">
        <f t="shared" si="47"/>
        <v>627.26652398510464</v>
      </c>
      <c r="M252" s="14">
        <f t="shared" si="41"/>
        <v>0.18119886875228075</v>
      </c>
      <c r="N252" s="14">
        <f t="shared" si="48"/>
        <v>4.6369293843899628</v>
      </c>
      <c r="O252" s="4">
        <v>8.74</v>
      </c>
      <c r="P252" s="14">
        <f t="shared" si="51"/>
        <v>16.835188476682532</v>
      </c>
      <c r="Q252" s="14">
        <f t="shared" si="49"/>
        <v>4.8679847605613782</v>
      </c>
    </row>
    <row r="253" spans="1:17" x14ac:dyDescent="0.25">
      <c r="A253" s="5" t="s">
        <v>310</v>
      </c>
      <c r="B253" s="6">
        <f t="shared" si="50"/>
        <v>12</v>
      </c>
      <c r="C253" s="70">
        <v>16.876489639999999</v>
      </c>
      <c r="D253" s="4">
        <v>3.7</v>
      </c>
      <c r="E253" s="12">
        <f t="shared" si="39"/>
        <v>0</v>
      </c>
      <c r="F253" s="12">
        <f t="shared" si="40"/>
        <v>3.7</v>
      </c>
      <c r="G253" s="16">
        <f t="shared" si="42"/>
        <v>17.114822824628735</v>
      </c>
      <c r="H253" s="14">
        <f t="shared" si="43"/>
        <v>0.6421756657564337</v>
      </c>
      <c r="I253" s="14">
        <f t="shared" si="44"/>
        <v>6.7109740581785324</v>
      </c>
      <c r="J253" s="14">
        <f t="shared" si="45"/>
        <v>1.4577881878289365</v>
      </c>
      <c r="K253" s="14">
        <f t="shared" si="46"/>
        <v>3.6442599662678217</v>
      </c>
      <c r="L253" s="14">
        <f t="shared" si="47"/>
        <v>627.29084370727674</v>
      </c>
      <c r="M253" s="14">
        <f t="shared" si="41"/>
        <v>0.19825238439557286</v>
      </c>
      <c r="N253" s="14">
        <f t="shared" si="48"/>
        <v>5.0733335867894853</v>
      </c>
      <c r="O253" s="4">
        <v>10.58</v>
      </c>
      <c r="P253" s="14">
        <f t="shared" si="51"/>
        <v>30.323374986380756</v>
      </c>
      <c r="Q253" s="14">
        <f t="shared" si="49"/>
        <v>16.372956461710821</v>
      </c>
    </row>
    <row r="254" spans="1:17" x14ac:dyDescent="0.25">
      <c r="A254" s="5" t="s">
        <v>311</v>
      </c>
      <c r="B254" s="6">
        <f t="shared" si="50"/>
        <v>12</v>
      </c>
      <c r="C254" s="70">
        <v>17.171602249999999</v>
      </c>
      <c r="D254" s="4">
        <v>3.8</v>
      </c>
      <c r="E254" s="12">
        <f t="shared" si="39"/>
        <v>0</v>
      </c>
      <c r="F254" s="12">
        <f t="shared" si="40"/>
        <v>3.8</v>
      </c>
      <c r="G254" s="16">
        <f t="shared" si="42"/>
        <v>18.514083629280137</v>
      </c>
      <c r="H254" s="14">
        <f t="shared" si="43"/>
        <v>0.69495706933247559</v>
      </c>
      <c r="I254" s="14">
        <f t="shared" si="44"/>
        <v>7.1184935105162719</v>
      </c>
      <c r="J254" s="14">
        <f t="shared" si="45"/>
        <v>1.7057821260161239</v>
      </c>
      <c r="K254" s="14">
        <f t="shared" si="46"/>
        <v>4.0951488544018178</v>
      </c>
      <c r="L254" s="14">
        <f t="shared" si="47"/>
        <v>627.33665950407965</v>
      </c>
      <c r="M254" s="14">
        <f t="shared" si="41"/>
        <v>0.21586612977208613</v>
      </c>
      <c r="N254" s="14">
        <f t="shared" si="48"/>
        <v>5.5240742236815104</v>
      </c>
      <c r="O254" s="4">
        <v>11.1</v>
      </c>
      <c r="P254" s="14">
        <f t="shared" si="51"/>
        <v>31.090948263012947</v>
      </c>
      <c r="Q254" s="14">
        <f t="shared" si="49"/>
        <v>20.851561507687833</v>
      </c>
    </row>
    <row r="255" spans="1:17" x14ac:dyDescent="0.25">
      <c r="A255" s="5" t="s">
        <v>312</v>
      </c>
      <c r="B255" s="6">
        <f t="shared" si="50"/>
        <v>12</v>
      </c>
      <c r="C255" s="70">
        <v>17.098239899999999</v>
      </c>
      <c r="D255" s="4">
        <v>8.6999999999999993</v>
      </c>
      <c r="E255" s="12">
        <f t="shared" si="39"/>
        <v>0</v>
      </c>
      <c r="F255" s="12">
        <f t="shared" si="40"/>
        <v>8.6999999999999993</v>
      </c>
      <c r="G255" s="16">
        <f t="shared" si="42"/>
        <v>23.735947896081843</v>
      </c>
      <c r="H255" s="14">
        <f t="shared" si="43"/>
        <v>1.6591538200026366</v>
      </c>
      <c r="I255" s="14">
        <f t="shared" si="44"/>
        <v>7.0171878269190531</v>
      </c>
      <c r="J255" s="14">
        <f t="shared" si="45"/>
        <v>1.8189819131956557</v>
      </c>
      <c r="K255" s="14">
        <f t="shared" si="46"/>
        <v>5.4704284694437311</v>
      </c>
      <c r="L255" s="14">
        <f t="shared" si="47"/>
        <v>627.40466757926822</v>
      </c>
      <c r="M255" s="14">
        <f t="shared" si="41"/>
        <v>0.26957544741616041</v>
      </c>
      <c r="N255" s="14">
        <f t="shared" si="48"/>
        <v>6.8985105814482717</v>
      </c>
      <c r="O255" s="4">
        <v>12.97</v>
      </c>
      <c r="P255" s="14">
        <f t="shared" si="51"/>
        <v>36.86298375958561</v>
      </c>
      <c r="Q255" s="14">
        <f t="shared" si="49"/>
        <v>41.426614269182117</v>
      </c>
    </row>
    <row r="256" spans="1:17" x14ac:dyDescent="0.25">
      <c r="A256" s="5" t="s">
        <v>313</v>
      </c>
      <c r="B256" s="6">
        <f t="shared" si="50"/>
        <v>12</v>
      </c>
      <c r="C256" s="70">
        <v>16.843784329999998</v>
      </c>
      <c r="D256" s="4">
        <v>5.5</v>
      </c>
      <c r="E256" s="12">
        <f t="shared" si="39"/>
        <v>0</v>
      </c>
      <c r="F256" s="12">
        <f t="shared" si="40"/>
        <v>5.5</v>
      </c>
      <c r="G256" s="16">
        <f t="shared" si="42"/>
        <v>25.823271741171268</v>
      </c>
      <c r="H256" s="14">
        <f t="shared" si="43"/>
        <v>1.1974265672727815</v>
      </c>
      <c r="I256" s="14">
        <f t="shared" si="44"/>
        <v>6.6658114674653257</v>
      </c>
      <c r="J256" s="14">
        <f t="shared" si="45"/>
        <v>2.2152495876377922</v>
      </c>
      <c r="K256" s="14">
        <f t="shared" si="46"/>
        <v>6.2625664113147614</v>
      </c>
      <c r="L256" s="14">
        <f t="shared" si="47"/>
        <v>627.54038075725384</v>
      </c>
      <c r="M256" s="14">
        <f t="shared" si="41"/>
        <v>0.30053167756595389</v>
      </c>
      <c r="N256" s="14">
        <f t="shared" si="48"/>
        <v>7.690689109934306</v>
      </c>
      <c r="O256" s="4">
        <v>13.46</v>
      </c>
      <c r="P256" s="14">
        <f t="shared" si="51"/>
        <v>33.284948146230619</v>
      </c>
      <c r="Q256" s="14">
        <f t="shared" si="49"/>
        <v>47.974338254814306</v>
      </c>
    </row>
    <row r="257" spans="1:17" x14ac:dyDescent="0.25">
      <c r="A257" s="5" t="s">
        <v>314</v>
      </c>
      <c r="B257" s="6">
        <f t="shared" si="50"/>
        <v>12</v>
      </c>
      <c r="C257" s="70">
        <v>16.541385649999999</v>
      </c>
      <c r="D257" s="4">
        <v>1.5</v>
      </c>
      <c r="E257" s="12">
        <f t="shared" si="39"/>
        <v>0</v>
      </c>
      <c r="F257" s="12">
        <f t="shared" si="40"/>
        <v>1.5</v>
      </c>
      <c r="G257" s="16">
        <f t="shared" si="42"/>
        <v>24.722615071310454</v>
      </c>
      <c r="H257" s="14">
        <f t="shared" si="43"/>
        <v>0.34157786259846057</v>
      </c>
      <c r="I257" s="14">
        <f t="shared" si="44"/>
        <v>6.2482307193527493</v>
      </c>
      <c r="J257" s="14">
        <f t="shared" si="45"/>
        <v>2.259078807262354</v>
      </c>
      <c r="K257" s="14">
        <f t="shared" si="46"/>
        <v>6.1289229831322301</v>
      </c>
      <c r="L257" s="14">
        <f t="shared" si="47"/>
        <v>627.71507037046888</v>
      </c>
      <c r="M257" s="14">
        <f t="shared" si="41"/>
        <v>0.295351071355617</v>
      </c>
      <c r="N257" s="14">
        <f t="shared" si="48"/>
        <v>7.5581159579545041</v>
      </c>
      <c r="O257" s="4">
        <v>14.7</v>
      </c>
      <c r="P257" s="14">
        <f t="shared" si="51"/>
        <v>51.006507670024099</v>
      </c>
      <c r="Q257" s="14">
        <f t="shared" si="49"/>
        <v>66.689288749067188</v>
      </c>
    </row>
    <row r="258" spans="1:17" x14ac:dyDescent="0.25">
      <c r="A258" s="5" t="s">
        <v>315</v>
      </c>
      <c r="B258" s="6">
        <f t="shared" si="50"/>
        <v>12</v>
      </c>
      <c r="C258" s="70">
        <v>15.471007350000001</v>
      </c>
      <c r="D258" s="4">
        <v>0</v>
      </c>
      <c r="E258" s="12">
        <f t="shared" si="39"/>
        <v>0</v>
      </c>
      <c r="F258" s="12">
        <f t="shared" si="40"/>
        <v>0</v>
      </c>
      <c r="G258" s="16">
        <f t="shared" si="42"/>
        <v>23.071453442142214</v>
      </c>
      <c r="H258" s="14">
        <f t="shared" si="43"/>
        <v>0</v>
      </c>
      <c r="I258" s="14">
        <f t="shared" si="44"/>
        <v>4.7701509497007537</v>
      </c>
      <c r="J258" s="14">
        <f t="shared" si="45"/>
        <v>1.6511616291682385</v>
      </c>
      <c r="K258" s="14">
        <f t="shared" si="46"/>
        <v>5.6655001944166088</v>
      </c>
      <c r="L258" s="14">
        <f t="shared" si="47"/>
        <v>627.88314208782879</v>
      </c>
      <c r="M258" s="14">
        <f t="shared" si="41"/>
        <v>0.27729353059625628</v>
      </c>
      <c r="N258" s="14">
        <f t="shared" si="48"/>
        <v>7.09601847393892</v>
      </c>
      <c r="O258" s="4">
        <v>13.15</v>
      </c>
      <c r="P258" s="14">
        <f t="shared" si="51"/>
        <v>36.650692317888847</v>
      </c>
      <c r="Q258" s="14">
        <f t="shared" si="49"/>
        <v>43.776100631251076</v>
      </c>
    </row>
    <row r="259" spans="1:17" x14ac:dyDescent="0.25">
      <c r="A259" s="5" t="s">
        <v>316</v>
      </c>
      <c r="B259" s="6">
        <f t="shared" si="50"/>
        <v>12</v>
      </c>
      <c r="C259" s="70">
        <v>16.625455859999999</v>
      </c>
      <c r="D259" s="4">
        <v>0</v>
      </c>
      <c r="E259" s="12">
        <f t="shared" si="39"/>
        <v>0</v>
      </c>
      <c r="F259" s="12">
        <f t="shared" si="40"/>
        <v>0</v>
      </c>
      <c r="G259" s="16">
        <f t="shared" si="42"/>
        <v>21.015609170049949</v>
      </c>
      <c r="H259" s="14">
        <f t="shared" si="43"/>
        <v>0</v>
      </c>
      <c r="I259" s="14">
        <f t="shared" si="44"/>
        <v>6.3643228305543635</v>
      </c>
      <c r="J259" s="14">
        <f t="shared" si="45"/>
        <v>2.0558442720922652</v>
      </c>
      <c r="K259" s="14">
        <f t="shared" si="46"/>
        <v>5.2429899653693397</v>
      </c>
      <c r="L259" s="14">
        <f t="shared" si="47"/>
        <v>628.0283587862798</v>
      </c>
      <c r="M259" s="14">
        <f t="shared" si="41"/>
        <v>0.2608284638692564</v>
      </c>
      <c r="N259" s="14">
        <f t="shared" si="48"/>
        <v>6.6746728427653457</v>
      </c>
      <c r="O259" s="4">
        <v>11.54</v>
      </c>
      <c r="P259" s="14">
        <f t="shared" si="51"/>
        <v>23.671408346925034</v>
      </c>
      <c r="Q259" s="14">
        <f t="shared" si="49"/>
        <v>25.063550392745302</v>
      </c>
    </row>
    <row r="260" spans="1:17" x14ac:dyDescent="0.25">
      <c r="A260" s="5" t="s">
        <v>317</v>
      </c>
      <c r="B260" s="6">
        <f t="shared" si="50"/>
        <v>12</v>
      </c>
      <c r="C260" s="70">
        <v>17.897607799999999</v>
      </c>
      <c r="D260" s="4">
        <v>0.4</v>
      </c>
      <c r="E260" s="12">
        <f t="shared" si="39"/>
        <v>0</v>
      </c>
      <c r="F260" s="12">
        <f t="shared" si="40"/>
        <v>0.4</v>
      </c>
      <c r="G260" s="16">
        <f t="shared" si="42"/>
        <v>18.94444440861302</v>
      </c>
      <c r="H260" s="14">
        <f t="shared" si="43"/>
        <v>8.1614350825019666E-2</v>
      </c>
      <c r="I260" s="14">
        <f t="shared" si="44"/>
        <v>8.1210307593656488</v>
      </c>
      <c r="J260" s="14">
        <f t="shared" si="45"/>
        <v>2.3895504106119057</v>
      </c>
      <c r="K260" s="14">
        <f t="shared" si="46"/>
        <v>4.9393947451580908</v>
      </c>
      <c r="L260" s="14">
        <f t="shared" si="47"/>
        <v>628.15273989344678</v>
      </c>
      <c r="M260" s="14">
        <f t="shared" si="41"/>
        <v>0.24900173897079805</v>
      </c>
      <c r="N260" s="14">
        <f t="shared" si="48"/>
        <v>6.3720236674124369</v>
      </c>
      <c r="O260" s="4">
        <v>11.48</v>
      </c>
      <c r="P260" s="14">
        <f t="shared" si="51"/>
        <v>26.091422214274697</v>
      </c>
      <c r="Q260" s="14">
        <f t="shared" si="49"/>
        <v>24.46638827205566</v>
      </c>
    </row>
    <row r="261" spans="1:17" x14ac:dyDescent="0.25">
      <c r="A261" s="5" t="s">
        <v>318</v>
      </c>
      <c r="B261" s="6">
        <f t="shared" si="50"/>
        <v>12</v>
      </c>
      <c r="C261" s="70">
        <v>17.755359649999999</v>
      </c>
      <c r="D261" s="4">
        <v>8.1</v>
      </c>
      <c r="E261" s="12">
        <f t="shared" si="39"/>
        <v>0</v>
      </c>
      <c r="F261" s="12">
        <f t="shared" si="40"/>
        <v>8.1</v>
      </c>
      <c r="G261" s="16">
        <f t="shared" si="42"/>
        <v>23.378727390977716</v>
      </c>
      <c r="H261" s="14">
        <f t="shared" si="43"/>
        <v>1.5637672247280761</v>
      </c>
      <c r="I261" s="14">
        <f t="shared" si="44"/>
        <v>7.9246010365420219</v>
      </c>
      <c r="J261" s="14">
        <f t="shared" si="45"/>
        <v>2.1019497929072273</v>
      </c>
      <c r="K261" s="14">
        <f t="shared" si="46"/>
        <v>6.144754830375426</v>
      </c>
      <c r="L261" s="14">
        <f t="shared" si="47"/>
        <v>628.26214529398669</v>
      </c>
      <c r="M261" s="14">
        <f t="shared" si="41"/>
        <v>0.29608573333207766</v>
      </c>
      <c r="N261" s="14">
        <f t="shared" si="48"/>
        <v>7.5769161620049044</v>
      </c>
      <c r="O261" s="4">
        <v>12.31</v>
      </c>
      <c r="P261" s="14">
        <f t="shared" si="51"/>
        <v>22.40208261749039</v>
      </c>
      <c r="Q261" s="14">
        <f t="shared" si="49"/>
        <v>33.366230941595902</v>
      </c>
    </row>
    <row r="262" spans="1:17" x14ac:dyDescent="0.25">
      <c r="A262" s="5" t="s">
        <v>319</v>
      </c>
      <c r="B262" s="6">
        <f t="shared" si="50"/>
        <v>12</v>
      </c>
      <c r="C262" s="70">
        <v>17.400615689999999</v>
      </c>
      <c r="D262" s="4">
        <v>0.5</v>
      </c>
      <c r="E262" s="12">
        <f t="shared" si="39"/>
        <v>0</v>
      </c>
      <c r="F262" s="12">
        <f t="shared" si="40"/>
        <v>0.5</v>
      </c>
      <c r="G262" s="16">
        <f t="shared" si="42"/>
        <v>21.337144921712234</v>
      </c>
      <c r="H262" s="14">
        <f t="shared" si="43"/>
        <v>0.10798058268943349</v>
      </c>
      <c r="I262" s="14">
        <f t="shared" si="44"/>
        <v>7.4347369663509149</v>
      </c>
      <c r="J262" s="14">
        <f t="shared" si="45"/>
        <v>2.4336018865760498</v>
      </c>
      <c r="K262" s="14">
        <f t="shared" si="46"/>
        <v>5.7879149343547667</v>
      </c>
      <c r="L262" s="14">
        <f t="shared" si="47"/>
        <v>628.43088003936475</v>
      </c>
      <c r="M262" s="14">
        <f t="shared" si="41"/>
        <v>0.28218963327235846</v>
      </c>
      <c r="N262" s="14">
        <f t="shared" si="48"/>
        <v>7.2213111014488955</v>
      </c>
      <c r="O262" s="4">
        <v>14.24</v>
      </c>
      <c r="P262" s="14">
        <f t="shared" si="51"/>
        <v>49.261993854644516</v>
      </c>
      <c r="Q262" s="14">
        <f t="shared" si="49"/>
        <v>59.387845823779827</v>
      </c>
    </row>
    <row r="263" spans="1:17" x14ac:dyDescent="0.25">
      <c r="A263" s="5" t="s">
        <v>320</v>
      </c>
      <c r="B263" s="6">
        <f t="shared" si="50"/>
        <v>12</v>
      </c>
      <c r="C263" s="70">
        <v>16.91108131</v>
      </c>
      <c r="D263" s="4">
        <v>0</v>
      </c>
      <c r="E263" s="12">
        <f t="shared" si="39"/>
        <v>0</v>
      </c>
      <c r="F263" s="12">
        <f t="shared" si="40"/>
        <v>0</v>
      </c>
      <c r="G263" s="16">
        <f t="shared" si="42"/>
        <v>19.318010639882143</v>
      </c>
      <c r="H263" s="14">
        <f t="shared" si="43"/>
        <v>0</v>
      </c>
      <c r="I263" s="14">
        <f t="shared" si="44"/>
        <v>6.7587415135029536</v>
      </c>
      <c r="J263" s="14">
        <f t="shared" si="45"/>
        <v>2.0191342818300897</v>
      </c>
      <c r="K263" s="14">
        <f t="shared" si="46"/>
        <v>5.3545975105083672</v>
      </c>
      <c r="L263" s="14">
        <f t="shared" si="47"/>
        <v>628.58200782993879</v>
      </c>
      <c r="M263" s="14">
        <f t="shared" si="41"/>
        <v>0.2653038821248791</v>
      </c>
      <c r="N263" s="14">
        <f t="shared" si="48"/>
        <v>6.7892000390984686</v>
      </c>
      <c r="O263" s="4">
        <v>14.66</v>
      </c>
      <c r="P263" s="14">
        <f t="shared" si="51"/>
        <v>61.949492024527551</v>
      </c>
      <c r="Q263" s="14">
        <f t="shared" si="49"/>
        <v>66.037580668607433</v>
      </c>
    </row>
    <row r="264" spans="1:17" x14ac:dyDescent="0.25">
      <c r="A264" s="5" t="s">
        <v>321</v>
      </c>
      <c r="B264" s="6">
        <f t="shared" si="50"/>
        <v>12</v>
      </c>
      <c r="C264" s="70">
        <v>15.86982822</v>
      </c>
      <c r="D264" s="4">
        <v>0.4</v>
      </c>
      <c r="E264" s="12">
        <f t="shared" si="39"/>
        <v>0</v>
      </c>
      <c r="F264" s="12">
        <f t="shared" si="40"/>
        <v>0.4</v>
      </c>
      <c r="G264" s="16">
        <f t="shared" si="42"/>
        <v>18.20081990970386</v>
      </c>
      <c r="H264" s="14">
        <f t="shared" si="43"/>
        <v>7.8031086555960277E-2</v>
      </c>
      <c r="I264" s="14">
        <f t="shared" si="44"/>
        <v>5.3208805932875203</v>
      </c>
      <c r="J264" s="14">
        <f t="shared" si="45"/>
        <v>1.4391596436223202</v>
      </c>
      <c r="K264" s="14">
        <f t="shared" si="46"/>
        <v>5.0375659276023343</v>
      </c>
      <c r="L264" s="14">
        <f t="shared" si="47"/>
        <v>628.71176661727588</v>
      </c>
      <c r="M264" s="14">
        <f t="shared" si="41"/>
        <v>0.25295370897787472</v>
      </c>
      <c r="N264" s="14">
        <f t="shared" si="48"/>
        <v>6.473155677662974</v>
      </c>
      <c r="O264" s="4">
        <v>12.89</v>
      </c>
      <c r="P264" s="14">
        <f t="shared" si="51"/>
        <v>41.175891057108934</v>
      </c>
      <c r="Q264" s="14">
        <f t="shared" si="49"/>
        <v>40.403198108262572</v>
      </c>
    </row>
    <row r="265" spans="1:17" x14ac:dyDescent="0.25">
      <c r="A265" s="5" t="s">
        <v>322</v>
      </c>
      <c r="B265" s="6">
        <f t="shared" si="50"/>
        <v>12</v>
      </c>
      <c r="C265" s="70">
        <v>16.995878220000002</v>
      </c>
      <c r="D265" s="4">
        <v>2.1</v>
      </c>
      <c r="E265" s="12">
        <f t="shared" si="39"/>
        <v>0</v>
      </c>
      <c r="F265" s="12">
        <f t="shared" si="40"/>
        <v>2.1</v>
      </c>
      <c r="G265" s="16">
        <f t="shared" si="42"/>
        <v>18.151777521533056</v>
      </c>
      <c r="H265" s="14">
        <f t="shared" si="43"/>
        <v>0.39685886900227052</v>
      </c>
      <c r="I265" s="14">
        <f t="shared" si="44"/>
        <v>6.8758371209157749</v>
      </c>
      <c r="J265" s="14">
        <f t="shared" si="45"/>
        <v>1.7521835191685362</v>
      </c>
      <c r="K265" s="14">
        <f t="shared" si="46"/>
        <v>5.0673507670373894</v>
      </c>
      <c r="L265" s="14">
        <f t="shared" si="47"/>
        <v>628.82588693786522</v>
      </c>
      <c r="M265" s="14">
        <f t="shared" si="41"/>
        <v>0.25414090455791039</v>
      </c>
      <c r="N265" s="14">
        <f t="shared" si="48"/>
        <v>6.5035363423326382</v>
      </c>
      <c r="O265" s="4">
        <v>11.82</v>
      </c>
      <c r="P265" s="14">
        <f t="shared" si="51"/>
        <v>28.264785823297824</v>
      </c>
      <c r="Q265" s="14">
        <f t="shared" si="49"/>
        <v>27.945506955963708</v>
      </c>
    </row>
    <row r="266" spans="1:17" x14ac:dyDescent="0.25">
      <c r="A266" s="5" t="s">
        <v>323</v>
      </c>
      <c r="B266" s="6">
        <f t="shared" si="50"/>
        <v>12</v>
      </c>
      <c r="C266" s="70">
        <v>16.987993240000002</v>
      </c>
      <c r="D266" s="4">
        <v>0</v>
      </c>
      <c r="E266" s="12">
        <f t="shared" si="39"/>
        <v>0</v>
      </c>
      <c r="F266" s="12">
        <f t="shared" si="40"/>
        <v>0</v>
      </c>
      <c r="G266" s="16">
        <f t="shared" si="42"/>
        <v>16.407082505818799</v>
      </c>
      <c r="H266" s="14">
        <f t="shared" si="43"/>
        <v>0</v>
      </c>
      <c r="I266" s="14">
        <f t="shared" si="44"/>
        <v>6.864948793469198</v>
      </c>
      <c r="J266" s="14">
        <f t="shared" si="45"/>
        <v>1.7446950157142576</v>
      </c>
      <c r="K266" s="14">
        <f t="shared" si="46"/>
        <v>4.6976472292753444</v>
      </c>
      <c r="L266" s="14">
        <f t="shared" si="47"/>
        <v>628.94144957106937</v>
      </c>
      <c r="M266" s="14">
        <f t="shared" si="41"/>
        <v>0.2397312442324297</v>
      </c>
      <c r="N266" s="14">
        <f t="shared" si="48"/>
        <v>6.1347891319201624</v>
      </c>
      <c r="O266" s="4">
        <v>10.58</v>
      </c>
      <c r="P266" s="14">
        <f t="shared" si="51"/>
        <v>19.759899661695105</v>
      </c>
      <c r="Q266" s="14">
        <f t="shared" si="49"/>
        <v>16.372956461710821</v>
      </c>
    </row>
    <row r="267" spans="1:17" x14ac:dyDescent="0.25">
      <c r="A267" s="5" t="s">
        <v>324</v>
      </c>
      <c r="B267" s="6">
        <f t="shared" si="50"/>
        <v>12</v>
      </c>
      <c r="C267" s="70">
        <v>16.867870329999999</v>
      </c>
      <c r="D267" s="4">
        <v>0</v>
      </c>
      <c r="E267" s="12">
        <f t="shared" si="39"/>
        <v>0</v>
      </c>
      <c r="F267" s="12">
        <f t="shared" si="40"/>
        <v>0</v>
      </c>
      <c r="G267" s="16">
        <f t="shared" si="42"/>
        <v>14.868187301468474</v>
      </c>
      <c r="H267" s="14">
        <f t="shared" si="43"/>
        <v>0</v>
      </c>
      <c r="I267" s="14">
        <f t="shared" si="44"/>
        <v>6.6990716982938459</v>
      </c>
      <c r="J267" s="14">
        <f t="shared" si="45"/>
        <v>1.5388952043503255</v>
      </c>
      <c r="K267" s="14">
        <f t="shared" si="46"/>
        <v>4.360582392968209</v>
      </c>
      <c r="L267" s="14">
        <f t="shared" si="47"/>
        <v>629.0387831631441</v>
      </c>
      <c r="M267" s="14">
        <f t="shared" si="41"/>
        <v>0.22659200842504462</v>
      </c>
      <c r="N267" s="14">
        <f t="shared" si="48"/>
        <v>5.7985524378214546</v>
      </c>
      <c r="O267" s="4">
        <v>8.92</v>
      </c>
      <c r="P267" s="14">
        <f t="shared" si="51"/>
        <v>9.7434348834303837</v>
      </c>
      <c r="Q267" s="14">
        <f t="shared" si="49"/>
        <v>5.6946711226303446</v>
      </c>
    </row>
    <row r="268" spans="1:17" x14ac:dyDescent="0.25">
      <c r="A268" s="5" t="s">
        <v>325</v>
      </c>
      <c r="B268" s="6">
        <f t="shared" si="50"/>
        <v>12</v>
      </c>
      <c r="C268" s="70">
        <v>17.930776600000002</v>
      </c>
      <c r="D268" s="4">
        <v>0</v>
      </c>
      <c r="E268" s="12">
        <f t="shared" si="39"/>
        <v>0</v>
      </c>
      <c r="F268" s="12">
        <f t="shared" si="40"/>
        <v>0</v>
      </c>
      <c r="G268" s="16">
        <f t="shared" si="42"/>
        <v>13.168086089350791</v>
      </c>
      <c r="H268" s="14">
        <f t="shared" si="43"/>
        <v>0</v>
      </c>
      <c r="I268" s="14">
        <f t="shared" si="44"/>
        <v>8.1668333809842242</v>
      </c>
      <c r="J268" s="14">
        <f t="shared" si="45"/>
        <v>1.7001012121176833</v>
      </c>
      <c r="K268" s="14">
        <f t="shared" si="46"/>
        <v>4.053274801154247</v>
      </c>
      <c r="L268" s="14">
        <f t="shared" si="47"/>
        <v>629.11949874653305</v>
      </c>
      <c r="M268" s="14">
        <f t="shared" si="41"/>
        <v>0.21461104004861836</v>
      </c>
      <c r="N268" s="14">
        <f t="shared" si="48"/>
        <v>5.4919561290219354</v>
      </c>
      <c r="O268" s="4">
        <v>8.65</v>
      </c>
      <c r="P268" s="14">
        <f t="shared" si="51"/>
        <v>9.9732410910221212</v>
      </c>
      <c r="Q268" s="14">
        <f t="shared" si="49"/>
        <v>4.4789415795268948</v>
      </c>
    </row>
    <row r="269" spans="1:17" x14ac:dyDescent="0.25">
      <c r="A269" s="5" t="s">
        <v>326</v>
      </c>
      <c r="B269" s="6">
        <f t="shared" si="50"/>
        <v>12</v>
      </c>
      <c r="C269" s="70">
        <v>17.032892230000002</v>
      </c>
      <c r="D269" s="4">
        <v>0</v>
      </c>
      <c r="E269" s="12">
        <f t="shared" si="39"/>
        <v>0</v>
      </c>
      <c r="F269" s="12">
        <f t="shared" si="40"/>
        <v>0</v>
      </c>
      <c r="G269" s="16">
        <f t="shared" si="42"/>
        <v>11.890977747876166</v>
      </c>
      <c r="H269" s="14">
        <f t="shared" si="43"/>
        <v>0</v>
      </c>
      <c r="I269" s="14">
        <f t="shared" si="44"/>
        <v>6.9269495728168433</v>
      </c>
      <c r="J269" s="14">
        <f t="shared" si="45"/>
        <v>1.2771083414746245</v>
      </c>
      <c r="K269" s="14">
        <f t="shared" si="46"/>
        <v>3.7730973818151261</v>
      </c>
      <c r="L269" s="14">
        <f t="shared" si="47"/>
        <v>629.18506512582348</v>
      </c>
      <c r="M269" s="14">
        <f t="shared" si="41"/>
        <v>0.20368608362982227</v>
      </c>
      <c r="N269" s="14">
        <f t="shared" si="48"/>
        <v>5.2123834595548262</v>
      </c>
      <c r="O269" s="4">
        <v>7.76</v>
      </c>
      <c r="P269" s="14">
        <f t="shared" si="51"/>
        <v>6.4903500371498346</v>
      </c>
      <c r="Q269" s="14">
        <f t="shared" si="49"/>
        <v>1.5039367892969997</v>
      </c>
    </row>
    <row r="270" spans="1:17" x14ac:dyDescent="0.25">
      <c r="A270" s="5" t="s">
        <v>327</v>
      </c>
      <c r="B270" s="6">
        <f t="shared" si="50"/>
        <v>12</v>
      </c>
      <c r="C270" s="70">
        <v>17.32007217</v>
      </c>
      <c r="D270" s="4">
        <v>2.2999999999999998</v>
      </c>
      <c r="E270" s="12">
        <f t="shared" si="39"/>
        <v>0</v>
      </c>
      <c r="F270" s="12">
        <f t="shared" si="40"/>
        <v>2.2999999999999998</v>
      </c>
      <c r="G270" s="16">
        <f t="shared" si="42"/>
        <v>12.625291477060141</v>
      </c>
      <c r="H270" s="14">
        <f t="shared" si="43"/>
        <v>0.34641542122217811</v>
      </c>
      <c r="I270" s="14">
        <f t="shared" si="44"/>
        <v>7.3235148428376116</v>
      </c>
      <c r="J270" s="14">
        <f t="shared" si="45"/>
        <v>1.2192708495938458</v>
      </c>
      <c r="K270" s="14">
        <f t="shared" si="46"/>
        <v>3.8640704111192687</v>
      </c>
      <c r="L270" s="14">
        <f t="shared" si="47"/>
        <v>629.23682143411179</v>
      </c>
      <c r="M270" s="14">
        <f t="shared" si="41"/>
        <v>0.2072489550747732</v>
      </c>
      <c r="N270" s="14">
        <f t="shared" si="48"/>
        <v>5.3035583295176334</v>
      </c>
      <c r="O270" s="4">
        <v>7.52</v>
      </c>
      <c r="P270" s="14">
        <f t="shared" si="51"/>
        <v>4.9126136786506622</v>
      </c>
      <c r="Q270" s="14">
        <f t="shared" si="49"/>
        <v>0.97288830653837632</v>
      </c>
    </row>
    <row r="271" spans="1:17" x14ac:dyDescent="0.25">
      <c r="A271" s="5" t="s">
        <v>328</v>
      </c>
      <c r="B271" s="6">
        <f t="shared" si="50"/>
        <v>12</v>
      </c>
      <c r="C271" s="70">
        <v>17.603984830000002</v>
      </c>
      <c r="D271" s="4">
        <v>0.5</v>
      </c>
      <c r="E271" s="12">
        <f t="shared" si="39"/>
        <v>0</v>
      </c>
      <c r="F271" s="12">
        <f t="shared" si="40"/>
        <v>0.5</v>
      </c>
      <c r="G271" s="16">
        <f t="shared" si="42"/>
        <v>11.683671320576421</v>
      </c>
      <c r="H271" s="14">
        <f t="shared" si="43"/>
        <v>7.7751985722815983E-2</v>
      </c>
      <c r="I271" s="14">
        <f t="shared" si="44"/>
        <v>7.7155683430758817</v>
      </c>
      <c r="J271" s="14">
        <f t="shared" si="45"/>
        <v>1.3638681707609035</v>
      </c>
      <c r="K271" s="14">
        <f t="shared" si="46"/>
        <v>3.6783485926149311</v>
      </c>
      <c r="L271" s="14">
        <f t="shared" si="47"/>
        <v>629.29304628326418</v>
      </c>
      <c r="M271" s="14">
        <f t="shared" si="41"/>
        <v>0.20000982412941565</v>
      </c>
      <c r="N271" s="14">
        <f t="shared" si="48"/>
        <v>5.1183069577562268</v>
      </c>
      <c r="O271" s="4">
        <v>7.05</v>
      </c>
      <c r="P271" s="14">
        <f t="shared" si="51"/>
        <v>3.7314380094530031</v>
      </c>
      <c r="Q271" s="14">
        <f t="shared" si="49"/>
        <v>0.26661836113607373</v>
      </c>
    </row>
    <row r="272" spans="1:17" x14ac:dyDescent="0.25">
      <c r="A272" s="5" t="s">
        <v>329</v>
      </c>
      <c r="B272" s="6">
        <f t="shared" si="50"/>
        <v>12</v>
      </c>
      <c r="C272" s="70">
        <v>17.83678055</v>
      </c>
      <c r="D272" s="4">
        <v>0</v>
      </c>
      <c r="E272" s="12">
        <f t="shared" si="39"/>
        <v>0</v>
      </c>
      <c r="F272" s="12">
        <f t="shared" si="40"/>
        <v>0</v>
      </c>
      <c r="G272" s="16">
        <f t="shared" si="42"/>
        <v>10.368936290873126</v>
      </c>
      <c r="H272" s="14">
        <f t="shared" si="43"/>
        <v>0</v>
      </c>
      <c r="I272" s="14">
        <f t="shared" si="44"/>
        <v>8.0370347294867148</v>
      </c>
      <c r="J272" s="14">
        <f t="shared" si="45"/>
        <v>1.3147350297032949</v>
      </c>
      <c r="K272" s="14">
        <f t="shared" si="46"/>
        <v>3.4312709500921525</v>
      </c>
      <c r="L272" s="14">
        <f t="shared" si="47"/>
        <v>629.3401141016576</v>
      </c>
      <c r="M272" s="14">
        <f t="shared" si="41"/>
        <v>0.19037323650808241</v>
      </c>
      <c r="N272" s="14">
        <f t="shared" si="48"/>
        <v>4.8717040036964141</v>
      </c>
      <c r="O272" s="4">
        <v>6.29</v>
      </c>
      <c r="P272" s="14">
        <f t="shared" si="51"/>
        <v>2.0115635331307815</v>
      </c>
      <c r="Q272" s="14">
        <f t="shared" si="49"/>
        <v>5.936483240043449E-2</v>
      </c>
    </row>
    <row r="273" spans="1:17" x14ac:dyDescent="0.25">
      <c r="A273" s="5" t="s">
        <v>330</v>
      </c>
      <c r="B273" s="6">
        <f t="shared" si="50"/>
        <v>1</v>
      </c>
      <c r="C273" s="70">
        <v>18.053569790000001</v>
      </c>
      <c r="D273" s="4">
        <v>0</v>
      </c>
      <c r="E273" s="12">
        <f t="shared" si="39"/>
        <v>0</v>
      </c>
      <c r="F273" s="12">
        <f t="shared" si="40"/>
        <v>0</v>
      </c>
      <c r="G273" s="16">
        <f t="shared" si="42"/>
        <v>8.5318409144189538</v>
      </c>
      <c r="H273" s="14">
        <f t="shared" si="43"/>
        <v>0</v>
      </c>
      <c r="I273" s="14">
        <f t="shared" si="44"/>
        <v>12.654192586464681</v>
      </c>
      <c r="J273" s="14">
        <f t="shared" si="45"/>
        <v>1.837095376454172</v>
      </c>
      <c r="K273" s="14">
        <f t="shared" si="46"/>
        <v>3.2060061727080198</v>
      </c>
      <c r="L273" s="14">
        <f t="shared" si="47"/>
        <v>629.37500564253367</v>
      </c>
      <c r="M273" s="14">
        <f t="shared" si="41"/>
        <v>0.18158569134630387</v>
      </c>
      <c r="N273" s="14">
        <f t="shared" si="48"/>
        <v>4.646828282021735</v>
      </c>
      <c r="O273" s="4">
        <v>5.94</v>
      </c>
      <c r="P273" s="14">
        <f t="shared" si="51"/>
        <v>1.6722930921788584</v>
      </c>
      <c r="Q273" s="14">
        <f t="shared" si="49"/>
        <v>0.35241912837744221</v>
      </c>
    </row>
    <row r="274" spans="1:17" x14ac:dyDescent="0.25">
      <c r="A274" s="5" t="s">
        <v>331</v>
      </c>
      <c r="B274" s="6">
        <f t="shared" si="50"/>
        <v>1</v>
      </c>
      <c r="C274" s="70">
        <v>17.40297318</v>
      </c>
      <c r="D274" s="4">
        <v>0</v>
      </c>
      <c r="E274" s="12">
        <f t="shared" si="39"/>
        <v>0</v>
      </c>
      <c r="F274" s="12">
        <f t="shared" si="40"/>
        <v>0</v>
      </c>
      <c r="G274" s="16">
        <f t="shared" si="42"/>
        <v>7.175066340781985</v>
      </c>
      <c r="H274" s="14">
        <f t="shared" si="43"/>
        <v>0</v>
      </c>
      <c r="I274" s="14">
        <f t="shared" si="44"/>
        <v>11.358000643055764</v>
      </c>
      <c r="J274" s="14">
        <f t="shared" si="45"/>
        <v>1.356774573636969</v>
      </c>
      <c r="K274" s="14">
        <f t="shared" si="46"/>
        <v>3.0006285456115309</v>
      </c>
      <c r="L274" s="14">
        <f t="shared" si="47"/>
        <v>629.39879757828385</v>
      </c>
      <c r="M274" s="14">
        <f t="shared" si="41"/>
        <v>0.17357223261591348</v>
      </c>
      <c r="N274" s="14">
        <f t="shared" si="48"/>
        <v>4.4417616471502868</v>
      </c>
      <c r="O274" s="4">
        <v>5.09</v>
      </c>
      <c r="P274" s="14">
        <f t="shared" si="51"/>
        <v>0.42021296210530912</v>
      </c>
      <c r="Q274" s="14">
        <f t="shared" si="49"/>
        <v>2.0841224186073202</v>
      </c>
    </row>
    <row r="275" spans="1:17" x14ac:dyDescent="0.25">
      <c r="A275" s="5" t="s">
        <v>332</v>
      </c>
      <c r="B275" s="6">
        <f t="shared" si="50"/>
        <v>1</v>
      </c>
      <c r="C275" s="70">
        <v>17.943342210000001</v>
      </c>
      <c r="D275" s="4">
        <v>0</v>
      </c>
      <c r="E275" s="12">
        <f t="shared" si="39"/>
        <v>0</v>
      </c>
      <c r="F275" s="12">
        <f t="shared" si="40"/>
        <v>0</v>
      </c>
      <c r="G275" s="16">
        <f t="shared" si="42"/>
        <v>5.9259000198981484</v>
      </c>
      <c r="H275" s="14">
        <f t="shared" si="43"/>
        <v>0</v>
      </c>
      <c r="I275" s="14">
        <f t="shared" si="44"/>
        <v>12.434584769667939</v>
      </c>
      <c r="J275" s="14">
        <f t="shared" si="45"/>
        <v>1.2491663208838366</v>
      </c>
      <c r="K275" s="14">
        <f t="shared" si="46"/>
        <v>2.813382362690279</v>
      </c>
      <c r="L275" s="14">
        <f t="shared" si="47"/>
        <v>629.41247152858921</v>
      </c>
      <c r="M275" s="14">
        <f t="shared" si="41"/>
        <v>0.16626452166495836</v>
      </c>
      <c r="N275" s="14">
        <f t="shared" si="48"/>
        <v>4.2547552939956361</v>
      </c>
      <c r="O275" s="4">
        <v>4.42</v>
      </c>
      <c r="P275" s="14">
        <f t="shared" si="51"/>
        <v>2.7305812862468627E-2</v>
      </c>
      <c r="Q275" s="14">
        <f t="shared" si="49"/>
        <v>4.4675120709061646</v>
      </c>
    </row>
    <row r="276" spans="1:17" x14ac:dyDescent="0.25">
      <c r="A276" s="5" t="s">
        <v>333</v>
      </c>
      <c r="B276" s="6">
        <f t="shared" si="50"/>
        <v>1</v>
      </c>
      <c r="C276" s="70">
        <v>18.60569954</v>
      </c>
      <c r="D276" s="4">
        <v>0</v>
      </c>
      <c r="E276" s="12">
        <f t="shared" si="39"/>
        <v>0</v>
      </c>
      <c r="F276" s="12">
        <f t="shared" si="40"/>
        <v>0</v>
      </c>
      <c r="G276" s="16">
        <f t="shared" si="42"/>
        <v>4.7847231568319391</v>
      </c>
      <c r="H276" s="14">
        <f t="shared" si="43"/>
        <v>0</v>
      </c>
      <c r="I276" s="14">
        <f t="shared" si="44"/>
        <v>13.754207745883322</v>
      </c>
      <c r="J276" s="14">
        <f t="shared" si="45"/>
        <v>1.1411768630662091</v>
      </c>
      <c r="K276" s="14">
        <f t="shared" si="46"/>
        <v>2.6426669176135529</v>
      </c>
      <c r="L276" s="14">
        <f t="shared" si="47"/>
        <v>629.41692245200102</v>
      </c>
      <c r="M276" s="14">
        <f t="shared" si="41"/>
        <v>0.15960025301293904</v>
      </c>
      <c r="N276" s="14">
        <f t="shared" si="48"/>
        <v>4.0842148080047247</v>
      </c>
      <c r="O276" s="4">
        <v>3.86</v>
      </c>
      <c r="P276" s="14">
        <f t="shared" si="51"/>
        <v>5.0272280128595616E-2</v>
      </c>
      <c r="Q276" s="14">
        <f t="shared" si="49"/>
        <v>7.1483989444693776</v>
      </c>
    </row>
    <row r="277" spans="1:17" x14ac:dyDescent="0.25">
      <c r="A277" s="5" t="s">
        <v>334</v>
      </c>
      <c r="B277" s="6">
        <f t="shared" si="50"/>
        <v>1</v>
      </c>
      <c r="C277" s="70">
        <v>18.026844019999999</v>
      </c>
      <c r="D277" s="4">
        <v>1.2</v>
      </c>
      <c r="E277" s="12">
        <f t="shared" si="39"/>
        <v>0</v>
      </c>
      <c r="F277" s="12">
        <f t="shared" si="40"/>
        <v>1.2</v>
      </c>
      <c r="G277" s="16">
        <f t="shared" si="42"/>
        <v>5.0293159656738151</v>
      </c>
      <c r="H277" s="14">
        <f t="shared" si="43"/>
        <v>0.11125055218504513</v>
      </c>
      <c r="I277" s="14">
        <f t="shared" si="44"/>
        <v>12.600946493228193</v>
      </c>
      <c r="J277" s="14">
        <f t="shared" si="45"/>
        <v>0.84415663897307847</v>
      </c>
      <c r="K277" s="14">
        <f t="shared" si="46"/>
        <v>2.5982733721028848</v>
      </c>
      <c r="L277" s="14">
        <f t="shared" si="47"/>
        <v>629.41296629668386</v>
      </c>
      <c r="M277" s="14">
        <f t="shared" si="41"/>
        <v>0.157866159888848</v>
      </c>
      <c r="N277" s="14">
        <f t="shared" si="48"/>
        <v>4.0398388832667012</v>
      </c>
      <c r="O277" s="4">
        <v>3.69</v>
      </c>
      <c r="P277" s="14">
        <f t="shared" si="51"/>
        <v>0.1223872442452926</v>
      </c>
      <c r="Q277" s="14">
        <f t="shared" si="49"/>
        <v>8.086339602515352</v>
      </c>
    </row>
    <row r="278" spans="1:17" x14ac:dyDescent="0.25">
      <c r="A278" s="5" t="s">
        <v>335</v>
      </c>
      <c r="B278" s="6">
        <f t="shared" si="50"/>
        <v>1</v>
      </c>
      <c r="C278" s="70">
        <v>18.229375839999999</v>
      </c>
      <c r="D278" s="4">
        <v>2.4</v>
      </c>
      <c r="E278" s="12">
        <f t="shared" si="39"/>
        <v>0</v>
      </c>
      <c r="F278" s="12">
        <f t="shared" si="40"/>
        <v>2.4</v>
      </c>
      <c r="G278" s="16">
        <f t="shared" si="42"/>
        <v>6.2850995352157373</v>
      </c>
      <c r="H278" s="14">
        <f t="shared" si="43"/>
        <v>0.22849352782985966</v>
      </c>
      <c r="I278" s="14">
        <f t="shared" si="44"/>
        <v>13.004453227405531</v>
      </c>
      <c r="J278" s="14">
        <f t="shared" si="45"/>
        <v>0.91572290262821787</v>
      </c>
      <c r="K278" s="14">
        <f t="shared" si="46"/>
        <v>2.6750420173119496</v>
      </c>
      <c r="L278" s="14">
        <f t="shared" si="47"/>
        <v>629.40682501941581</v>
      </c>
      <c r="M278" s="14">
        <f t="shared" si="41"/>
        <v>0.16086211801857542</v>
      </c>
      <c r="N278" s="14">
        <f t="shared" si="48"/>
        <v>4.1165062840170163</v>
      </c>
      <c r="O278" s="4">
        <v>3.44</v>
      </c>
      <c r="P278" s="14">
        <f t="shared" si="51"/>
        <v>0.45766075231451209</v>
      </c>
      <c r="Q278" s="14">
        <f t="shared" si="49"/>
        <v>9.5706640996417871</v>
      </c>
    </row>
    <row r="279" spans="1:17" x14ac:dyDescent="0.25">
      <c r="A279" s="5" t="s">
        <v>336</v>
      </c>
      <c r="B279" s="6">
        <f t="shared" si="50"/>
        <v>1</v>
      </c>
      <c r="C279" s="70">
        <v>18.364072799999999</v>
      </c>
      <c r="D279" s="4">
        <v>0</v>
      </c>
      <c r="E279" s="12">
        <f t="shared" si="39"/>
        <v>0</v>
      </c>
      <c r="F279" s="12">
        <f t="shared" si="40"/>
        <v>0</v>
      </c>
      <c r="G279" s="16">
        <f t="shared" si="42"/>
        <v>5.1171121522388594</v>
      </c>
      <c r="H279" s="14">
        <f t="shared" si="43"/>
        <v>0</v>
      </c>
      <c r="I279" s="14">
        <f t="shared" si="44"/>
        <v>13.27281170279579</v>
      </c>
      <c r="J279" s="14">
        <f t="shared" si="45"/>
        <v>1.1679873829768779</v>
      </c>
      <c r="K279" s="14">
        <f t="shared" si="46"/>
        <v>2.5165397343253262</v>
      </c>
      <c r="L279" s="14">
        <f t="shared" si="47"/>
        <v>629.40446518438387</v>
      </c>
      <c r="M279" s="14">
        <f t="shared" si="41"/>
        <v>0.15467323509833153</v>
      </c>
      <c r="N279" s="14">
        <f t="shared" si="48"/>
        <v>3.9581310509538317</v>
      </c>
      <c r="O279" s="4">
        <v>3.12</v>
      </c>
      <c r="P279" s="14">
        <f t="shared" si="51"/>
        <v>0.70246365857297421</v>
      </c>
      <c r="Q279" s="14">
        <f t="shared" si="49"/>
        <v>11.652999455963622</v>
      </c>
    </row>
    <row r="280" spans="1:17" x14ac:dyDescent="0.25">
      <c r="A280" s="5" t="s">
        <v>337</v>
      </c>
      <c r="B280" s="6">
        <f t="shared" si="50"/>
        <v>1</v>
      </c>
      <c r="C280" s="70">
        <v>18.40358543</v>
      </c>
      <c r="D280" s="4">
        <v>0</v>
      </c>
      <c r="E280" s="12">
        <f t="shared" si="39"/>
        <v>0</v>
      </c>
      <c r="F280" s="12">
        <f t="shared" si="40"/>
        <v>0</v>
      </c>
      <c r="G280" s="16">
        <f t="shared" si="42"/>
        <v>4.1605369141636528</v>
      </c>
      <c r="H280" s="14">
        <f t="shared" si="43"/>
        <v>0</v>
      </c>
      <c r="I280" s="14">
        <f t="shared" si="44"/>
        <v>13.351533220679043</v>
      </c>
      <c r="J280" s="14">
        <f t="shared" si="45"/>
        <v>0.95657523807520684</v>
      </c>
      <c r="K280" s="14">
        <f t="shared" si="46"/>
        <v>2.3720305787121601</v>
      </c>
      <c r="L280" s="14">
        <f t="shared" si="47"/>
        <v>629.39430110489877</v>
      </c>
      <c r="M280" s="14">
        <f t="shared" si="41"/>
        <v>0.14902902118104375</v>
      </c>
      <c r="N280" s="14">
        <f t="shared" si="48"/>
        <v>3.8136940489732378</v>
      </c>
      <c r="O280" s="4">
        <v>2.92</v>
      </c>
      <c r="P280" s="14">
        <f t="shared" si="51"/>
        <v>0.79868905317018013</v>
      </c>
      <c r="Q280" s="14">
        <f t="shared" si="49"/>
        <v>13.058459053664771</v>
      </c>
    </row>
    <row r="281" spans="1:17" x14ac:dyDescent="0.25">
      <c r="A281" s="5" t="s">
        <v>338</v>
      </c>
      <c r="B281" s="6">
        <f t="shared" si="50"/>
        <v>1</v>
      </c>
      <c r="C281" s="70">
        <v>18.518865590000001</v>
      </c>
      <c r="D281" s="4">
        <v>0</v>
      </c>
      <c r="E281" s="12">
        <f t="shared" si="39"/>
        <v>0</v>
      </c>
      <c r="F281" s="12">
        <f t="shared" si="40"/>
        <v>0</v>
      </c>
      <c r="G281" s="16">
        <f t="shared" si="42"/>
        <v>3.36940151388416</v>
      </c>
      <c r="H281" s="14">
        <f t="shared" si="43"/>
        <v>0</v>
      </c>
      <c r="I281" s="14">
        <f t="shared" si="44"/>
        <v>13.581207357202583</v>
      </c>
      <c r="J281" s="14">
        <f t="shared" si="45"/>
        <v>0.79113540027949303</v>
      </c>
      <c r="K281" s="14">
        <f t="shared" si="46"/>
        <v>2.2402791890000464</v>
      </c>
      <c r="L281" s="14">
        <f t="shared" si="47"/>
        <v>629.37702347342974</v>
      </c>
      <c r="M281" s="14">
        <f t="shared" si="41"/>
        <v>0.14388139137507849</v>
      </c>
      <c r="N281" s="14">
        <f t="shared" si="48"/>
        <v>3.6819647723414186</v>
      </c>
      <c r="O281" s="4">
        <v>2.91</v>
      </c>
      <c r="P281" s="14">
        <f t="shared" si="51"/>
        <v>0.59592960973613807</v>
      </c>
      <c r="Q281" s="14">
        <f t="shared" si="49"/>
        <v>13.130832033549826</v>
      </c>
    </row>
    <row r="282" spans="1:17" x14ac:dyDescent="0.25">
      <c r="A282" s="5" t="s">
        <v>339</v>
      </c>
      <c r="B282" s="6">
        <f t="shared" si="50"/>
        <v>1</v>
      </c>
      <c r="C282" s="70">
        <v>18.85099602</v>
      </c>
      <c r="D282" s="4">
        <v>1.2</v>
      </c>
      <c r="E282" s="12">
        <f t="shared" si="39"/>
        <v>0</v>
      </c>
      <c r="F282" s="12">
        <f t="shared" si="40"/>
        <v>1.2</v>
      </c>
      <c r="G282" s="16">
        <f t="shared" si="42"/>
        <v>3.8052041574331414</v>
      </c>
      <c r="H282" s="14">
        <f t="shared" si="43"/>
        <v>9.2281779792074567E-2</v>
      </c>
      <c r="I282" s="14">
        <f t="shared" si="44"/>
        <v>14.242915058887254</v>
      </c>
      <c r="J282" s="14">
        <f t="shared" si="45"/>
        <v>0.67191557665894452</v>
      </c>
      <c r="K282" s="14">
        <f t="shared" si="46"/>
        <v>2.2124410454736312</v>
      </c>
      <c r="L282" s="14">
        <f t="shared" si="47"/>
        <v>629.35326200537315</v>
      </c>
      <c r="M282" s="14">
        <f t="shared" si="41"/>
        <v>0.14278944919795633</v>
      </c>
      <c r="N282" s="14">
        <f t="shared" si="48"/>
        <v>3.6540216687115907</v>
      </c>
      <c r="O282" s="4">
        <v>2.89</v>
      </c>
      <c r="P282" s="14">
        <f t="shared" si="51"/>
        <v>0.58372911026084351</v>
      </c>
      <c r="Q282" s="14">
        <f t="shared" si="49"/>
        <v>13.276177993319942</v>
      </c>
    </row>
    <row r="283" spans="1:17" x14ac:dyDescent="0.25">
      <c r="A283" s="5" t="s">
        <v>340</v>
      </c>
      <c r="B283" s="6">
        <f t="shared" si="50"/>
        <v>1</v>
      </c>
      <c r="C283" s="70">
        <v>17.576938630000001</v>
      </c>
      <c r="D283" s="4">
        <v>4.4000000000000004</v>
      </c>
      <c r="E283" s="12">
        <f t="shared" ref="E283:E346" si="52">IF(C283&gt;$C$9,MAX(E282-$C$10*(C283-$C$9),0),E282+D283)</f>
        <v>0</v>
      </c>
      <c r="F283" s="12">
        <f t="shared" ref="F283:F346" si="53">IF(C283&gt;$C$9,D283+MIN(E282,$C$10*(C283-$C$9)),0)</f>
        <v>4.4000000000000004</v>
      </c>
      <c r="G283" s="16">
        <f t="shared" si="42"/>
        <v>7.2205843891419388</v>
      </c>
      <c r="H283" s="14">
        <f t="shared" si="43"/>
        <v>0.36103229372249906</v>
      </c>
      <c r="I283" s="14">
        <f t="shared" si="44"/>
        <v>11.704594233086164</v>
      </c>
      <c r="J283" s="14">
        <f t="shared" si="45"/>
        <v>0.62358747456870389</v>
      </c>
      <c r="K283" s="14">
        <f t="shared" si="46"/>
        <v>2.4558110630538557</v>
      </c>
      <c r="L283" s="14">
        <f t="shared" si="47"/>
        <v>629.32813483231746</v>
      </c>
      <c r="M283" s="14">
        <f t="shared" si="41"/>
        <v>0.15228595453474786</v>
      </c>
      <c r="N283" s="14">
        <f t="shared" si="48"/>
        <v>3.8970398781982349</v>
      </c>
      <c r="O283" s="4">
        <v>2.86</v>
      </c>
      <c r="P283" s="14">
        <f t="shared" si="51"/>
        <v>1.0754517089734101</v>
      </c>
      <c r="Q283" s="14">
        <f t="shared" si="49"/>
        <v>13.495696932975116</v>
      </c>
    </row>
    <row r="284" spans="1:17" x14ac:dyDescent="0.25">
      <c r="A284" s="5" t="s">
        <v>341</v>
      </c>
      <c r="B284" s="6">
        <f t="shared" si="50"/>
        <v>1</v>
      </c>
      <c r="C284" s="70">
        <v>16.62981796</v>
      </c>
      <c r="D284" s="4">
        <v>0</v>
      </c>
      <c r="E284" s="12">
        <f t="shared" si="52"/>
        <v>0</v>
      </c>
      <c r="F284" s="12">
        <f t="shared" si="53"/>
        <v>0</v>
      </c>
      <c r="G284" s="16">
        <f t="shared" si="42"/>
        <v>6.2280576243088044</v>
      </c>
      <c r="H284" s="14">
        <f t="shared" si="43"/>
        <v>0</v>
      </c>
      <c r="I284" s="14">
        <f t="shared" si="44"/>
        <v>9.8176336141397247</v>
      </c>
      <c r="J284" s="14">
        <f t="shared" si="45"/>
        <v>0.99252676483313418</v>
      </c>
      <c r="K284" s="14">
        <f t="shared" si="46"/>
        <v>2.3166632436707437</v>
      </c>
      <c r="L284" s="14">
        <f t="shared" si="47"/>
        <v>629.31499669716584</v>
      </c>
      <c r="M284" s="14">
        <f t="shared" si="41"/>
        <v>0.14685042888832897</v>
      </c>
      <c r="N284" s="14">
        <f t="shared" si="48"/>
        <v>3.757943267038141</v>
      </c>
      <c r="O284" s="4">
        <v>3.05</v>
      </c>
      <c r="P284" s="14">
        <f t="shared" si="51"/>
        <v>0.50118366934463687</v>
      </c>
      <c r="Q284" s="14">
        <f t="shared" si="49"/>
        <v>12.135810315159025</v>
      </c>
    </row>
    <row r="285" spans="1:17" x14ac:dyDescent="0.25">
      <c r="A285" s="5" t="s">
        <v>342</v>
      </c>
      <c r="B285" s="6">
        <f t="shared" si="50"/>
        <v>1</v>
      </c>
      <c r="C285" s="70">
        <v>17.51444244</v>
      </c>
      <c r="D285" s="4">
        <v>4.2</v>
      </c>
      <c r="E285" s="12">
        <f t="shared" si="52"/>
        <v>0</v>
      </c>
      <c r="F285" s="12">
        <f t="shared" si="53"/>
        <v>4.2</v>
      </c>
      <c r="G285" s="16">
        <f t="shared" si="42"/>
        <v>8.970147767636707</v>
      </c>
      <c r="H285" s="14">
        <f t="shared" si="43"/>
        <v>0.44812855279830643</v>
      </c>
      <c r="I285" s="14">
        <f t="shared" si="44"/>
        <v>11.580082274790295</v>
      </c>
      <c r="J285" s="14">
        <f t="shared" si="45"/>
        <v>1.0097813038737913</v>
      </c>
      <c r="K285" s="14">
        <f t="shared" si="46"/>
        <v>2.6379284257618663</v>
      </c>
      <c r="L285" s="14">
        <f t="shared" si="47"/>
        <v>629.29500963898465</v>
      </c>
      <c r="M285" s="14">
        <f t="shared" si="41"/>
        <v>0.15938927811290274</v>
      </c>
      <c r="N285" s="14">
        <f t="shared" si="48"/>
        <v>4.0788159017086567</v>
      </c>
      <c r="O285" s="4">
        <v>3.1</v>
      </c>
      <c r="P285" s="14">
        <f t="shared" si="51"/>
        <v>0.95808056943773057</v>
      </c>
      <c r="Q285" s="14">
        <f t="shared" si="49"/>
        <v>11.789945415733737</v>
      </c>
    </row>
    <row r="286" spans="1:17" x14ac:dyDescent="0.25">
      <c r="A286" s="5" t="s">
        <v>343</v>
      </c>
      <c r="B286" s="6">
        <f t="shared" si="50"/>
        <v>1</v>
      </c>
      <c r="C286" s="70">
        <v>17.888519290000001</v>
      </c>
      <c r="D286" s="4">
        <v>8.1999999999999993</v>
      </c>
      <c r="E286" s="12">
        <f t="shared" si="52"/>
        <v>0</v>
      </c>
      <c r="F286" s="12">
        <f t="shared" si="53"/>
        <v>8.1999999999999993</v>
      </c>
      <c r="G286" s="16">
        <f t="shared" si="42"/>
        <v>14.55943655034212</v>
      </c>
      <c r="H286" s="14">
        <f t="shared" si="43"/>
        <v>1.0627421374373696</v>
      </c>
      <c r="I286" s="14">
        <f t="shared" si="44"/>
        <v>12.325360365289084</v>
      </c>
      <c r="J286" s="14">
        <f t="shared" si="45"/>
        <v>1.5479690798572181</v>
      </c>
      <c r="K286" s="14">
        <f t="shared" si="46"/>
        <v>3.5454447958820468</v>
      </c>
      <c r="L286" s="14">
        <f t="shared" si="47"/>
        <v>629.29084612818883</v>
      </c>
      <c r="M286" s="14">
        <f t="shared" si="41"/>
        <v>0.1948204129798016</v>
      </c>
      <c r="N286" s="14">
        <f t="shared" si="48"/>
        <v>4.9855084849345062</v>
      </c>
      <c r="O286" s="4">
        <v>3.38</v>
      </c>
      <c r="P286" s="14">
        <f t="shared" si="51"/>
        <v>2.5776574951966937</v>
      </c>
      <c r="Q286" s="14">
        <f t="shared" si="49"/>
        <v>9.9455019789521319</v>
      </c>
    </row>
    <row r="287" spans="1:17" x14ac:dyDescent="0.25">
      <c r="A287" s="5" t="s">
        <v>344</v>
      </c>
      <c r="B287" s="6">
        <f t="shared" si="50"/>
        <v>1</v>
      </c>
      <c r="C287" s="70">
        <v>18.14272308</v>
      </c>
      <c r="D287" s="4">
        <v>0.6</v>
      </c>
      <c r="E287" s="12">
        <f t="shared" si="52"/>
        <v>0</v>
      </c>
      <c r="F287" s="12">
        <f t="shared" si="53"/>
        <v>0.6</v>
      </c>
      <c r="G287" s="16">
        <f t="shared" si="42"/>
        <v>12.44302214305938</v>
      </c>
      <c r="H287" s="14">
        <f t="shared" si="43"/>
        <v>0.10066776619010739</v>
      </c>
      <c r="I287" s="14">
        <f t="shared" si="44"/>
        <v>12.831813825878143</v>
      </c>
      <c r="J287" s="14">
        <f t="shared" si="45"/>
        <v>2.6157466410926338</v>
      </c>
      <c r="K287" s="14">
        <f t="shared" si="46"/>
        <v>3.4107681244033161</v>
      </c>
      <c r="L287" s="14">
        <f t="shared" si="47"/>
        <v>629.33137015287787</v>
      </c>
      <c r="M287" s="14">
        <f t="shared" ref="M287:M350" si="54">MAX(0,K287-$F$9)*$F$8+K287*$F$10+L287*$F$11</f>
        <v>0.18957088514867462</v>
      </c>
      <c r="N287" s="14">
        <f t="shared" si="48"/>
        <v>4.8511716095337913</v>
      </c>
      <c r="O287" s="4">
        <v>4.96</v>
      </c>
      <c r="P287" s="14">
        <f t="shared" si="51"/>
        <v>1.1843618571465568E-2</v>
      </c>
      <c r="Q287" s="14">
        <f t="shared" si="49"/>
        <v>2.4763711571130655</v>
      </c>
    </row>
    <row r="288" spans="1:17" x14ac:dyDescent="0.25">
      <c r="A288" s="5" t="s">
        <v>345</v>
      </c>
      <c r="B288" s="6">
        <f t="shared" si="50"/>
        <v>1</v>
      </c>
      <c r="C288" s="70">
        <v>17.728357320000001</v>
      </c>
      <c r="D288" s="4">
        <v>0</v>
      </c>
      <c r="E288" s="12">
        <f t="shared" si="52"/>
        <v>0</v>
      </c>
      <c r="F288" s="12">
        <f t="shared" si="53"/>
        <v>0</v>
      </c>
      <c r="G288" s="16">
        <f t="shared" ref="G288:G351" si="55">G287+F288-H288-J288</f>
        <v>10.351333916023806</v>
      </c>
      <c r="H288" s="14">
        <f t="shared" ref="H288:H351" si="56">(F288*(G287/$C$11)^$C$12)</f>
        <v>0</v>
      </c>
      <c r="I288" s="14">
        <f t="shared" ref="I288:I351" si="57">(1+$C$13*(C288-INDEX($A$16:$A$27,B288)))*INDEX($C$16:$C$27,B288)</f>
        <v>12.00626762492805</v>
      </c>
      <c r="J288" s="14">
        <f t="shared" ref="J288:J351" si="58">IF(G287&gt;$F$13,I288,I288*(G287/$F$13))</f>
        <v>2.0916882270355743</v>
      </c>
      <c r="K288" s="14">
        <f t="shared" ref="K288:K351" si="59">K287+H288-MAX(0,K287-$F$9)*$F$8-K287*$F$10-K287*$F$12</f>
        <v>3.1873134070761981</v>
      </c>
      <c r="L288" s="14">
        <f t="shared" ref="L288:L351" si="60">L287+K287*$F$12-L287*$F$11</f>
        <v>629.36525398505626</v>
      </c>
      <c r="M288" s="14">
        <f t="shared" si="54"/>
        <v>0.18085379521387437</v>
      </c>
      <c r="N288" s="14">
        <f t="shared" ref="N288:N351" si="61">M288*$C$8*1000/(24*3600)</f>
        <v>4.6280988566883829</v>
      </c>
      <c r="O288" s="4">
        <v>6.32</v>
      </c>
      <c r="P288" s="14">
        <f t="shared" si="51"/>
        <v>2.862529478739158</v>
      </c>
      <c r="Q288" s="14">
        <f t="shared" ref="Q288:Q351" si="62">(O288-$F$23)^2</f>
        <v>4.5645892745262255E-2</v>
      </c>
    </row>
    <row r="289" spans="1:17" x14ac:dyDescent="0.25">
      <c r="A289" s="5" t="s">
        <v>346</v>
      </c>
      <c r="B289" s="6">
        <f t="shared" ref="B289:B352" si="63">MONTH(A289)</f>
        <v>1</v>
      </c>
      <c r="C289" s="70">
        <v>18.502887730000001</v>
      </c>
      <c r="D289" s="4">
        <v>0</v>
      </c>
      <c r="E289" s="12">
        <f t="shared" si="52"/>
        <v>0</v>
      </c>
      <c r="F289" s="12">
        <f t="shared" si="53"/>
        <v>0</v>
      </c>
      <c r="G289" s="16">
        <f t="shared" si="55"/>
        <v>8.3876181715748821</v>
      </c>
      <c r="H289" s="14">
        <f t="shared" si="56"/>
        <v>0</v>
      </c>
      <c r="I289" s="14">
        <f t="shared" si="57"/>
        <v>13.549374462461685</v>
      </c>
      <c r="J289" s="14">
        <f t="shared" si="58"/>
        <v>1.963715744448925</v>
      </c>
      <c r="K289" s="14">
        <f t="shared" si="59"/>
        <v>2.9835860417016198</v>
      </c>
      <c r="L289" s="14">
        <f t="shared" si="60"/>
        <v>629.38812755521701</v>
      </c>
      <c r="M289" s="14">
        <f t="shared" si="54"/>
        <v>0.17290457176116072</v>
      </c>
      <c r="N289" s="14">
        <f t="shared" si="61"/>
        <v>4.4246760204158146</v>
      </c>
      <c r="O289" s="4">
        <v>7.18</v>
      </c>
      <c r="P289" s="14">
        <f t="shared" ref="P289:P352" si="64">(O289-N289)^2</f>
        <v>7.591810232471631</v>
      </c>
      <c r="Q289" s="14">
        <f t="shared" si="62"/>
        <v>0.41776962263032763</v>
      </c>
    </row>
    <row r="290" spans="1:17" x14ac:dyDescent="0.25">
      <c r="A290" s="5" t="s">
        <v>347</v>
      </c>
      <c r="B290" s="6">
        <f t="shared" si="63"/>
        <v>1</v>
      </c>
      <c r="C290" s="70">
        <v>18.10128212</v>
      </c>
      <c r="D290" s="4">
        <v>0</v>
      </c>
      <c r="E290" s="12">
        <f t="shared" si="52"/>
        <v>0</v>
      </c>
      <c r="F290" s="12">
        <f t="shared" si="53"/>
        <v>0</v>
      </c>
      <c r="G290" s="16">
        <f t="shared" si="55"/>
        <v>6.8903956076049848</v>
      </c>
      <c r="H290" s="14">
        <f t="shared" si="56"/>
        <v>0</v>
      </c>
      <c r="I290" s="14">
        <f t="shared" si="57"/>
        <v>12.74925047148389</v>
      </c>
      <c r="J290" s="14">
        <f t="shared" si="58"/>
        <v>1.4972225639698975</v>
      </c>
      <c r="K290" s="14">
        <f t="shared" si="59"/>
        <v>2.797844429714492</v>
      </c>
      <c r="L290" s="14">
        <f t="shared" si="60"/>
        <v>629.40096459544293</v>
      </c>
      <c r="M290" s="14">
        <f t="shared" si="54"/>
        <v>0.16565542525710739</v>
      </c>
      <c r="N290" s="14">
        <f t="shared" si="61"/>
        <v>4.2391683477252826</v>
      </c>
      <c r="O290" s="4">
        <v>5.87</v>
      </c>
      <c r="P290" s="14">
        <f t="shared" si="64"/>
        <v>2.6596118780610851</v>
      </c>
      <c r="Q290" s="14">
        <f t="shared" si="62"/>
        <v>0.44042998757284418</v>
      </c>
    </row>
    <row r="291" spans="1:17" x14ac:dyDescent="0.25">
      <c r="A291" s="5" t="s">
        <v>348</v>
      </c>
      <c r="B291" s="6">
        <f t="shared" si="63"/>
        <v>1</v>
      </c>
      <c r="C291" s="70">
        <v>17.450748440000002</v>
      </c>
      <c r="D291" s="4">
        <v>9.9</v>
      </c>
      <c r="E291" s="12">
        <f t="shared" si="52"/>
        <v>0</v>
      </c>
      <c r="F291" s="12">
        <f t="shared" si="53"/>
        <v>9.9</v>
      </c>
      <c r="G291" s="16">
        <f t="shared" si="55"/>
        <v>14.570699502910044</v>
      </c>
      <c r="H291" s="14">
        <f t="shared" si="56"/>
        <v>1.1147694512464967</v>
      </c>
      <c r="I291" s="14">
        <f t="shared" si="57"/>
        <v>11.453183904318481</v>
      </c>
      <c r="J291" s="14">
        <f t="shared" si="58"/>
        <v>1.1049266534484443</v>
      </c>
      <c r="K291" s="14">
        <f t="shared" si="59"/>
        <v>3.7432701781150595</v>
      </c>
      <c r="L291" s="14">
        <f t="shared" si="60"/>
        <v>629.40465287303175</v>
      </c>
      <c r="M291" s="14">
        <f t="shared" si="54"/>
        <v>0.20256832278015235</v>
      </c>
      <c r="N291" s="14">
        <f t="shared" si="61"/>
        <v>5.1837796489226493</v>
      </c>
      <c r="O291" s="4">
        <v>5.49</v>
      </c>
      <c r="P291" s="14">
        <f t="shared" si="64"/>
        <v>9.3770903413936041E-2</v>
      </c>
      <c r="Q291" s="14">
        <f t="shared" si="62"/>
        <v>1.0892032232050242</v>
      </c>
    </row>
    <row r="292" spans="1:17" x14ac:dyDescent="0.25">
      <c r="A292" s="5" t="s">
        <v>349</v>
      </c>
      <c r="B292" s="6">
        <f t="shared" si="63"/>
        <v>1</v>
      </c>
      <c r="C292" s="70">
        <v>15.158702849999999</v>
      </c>
      <c r="D292" s="4">
        <v>2.7</v>
      </c>
      <c r="E292" s="12">
        <f t="shared" si="52"/>
        <v>0</v>
      </c>
      <c r="F292" s="12">
        <f t="shared" si="53"/>
        <v>2.7</v>
      </c>
      <c r="G292" s="16">
        <f t="shared" si="55"/>
        <v>15.412575503036752</v>
      </c>
      <c r="H292" s="14">
        <f t="shared" si="56"/>
        <v>0.4531917161082053</v>
      </c>
      <c r="I292" s="14">
        <f t="shared" si="57"/>
        <v>6.886712173572854</v>
      </c>
      <c r="J292" s="14">
        <f t="shared" si="58"/>
        <v>1.4049322837650875</v>
      </c>
      <c r="K292" s="14">
        <f t="shared" si="59"/>
        <v>3.9436527505632637</v>
      </c>
      <c r="L292" s="14">
        <f t="shared" si="60"/>
        <v>629.45489369391157</v>
      </c>
      <c r="M292" s="14">
        <f t="shared" si="54"/>
        <v>0.21040253132058659</v>
      </c>
      <c r="N292" s="14">
        <f t="shared" si="61"/>
        <v>5.3842592216413996</v>
      </c>
      <c r="O292" s="4">
        <v>6.08</v>
      </c>
      <c r="P292" s="14">
        <f t="shared" si="64"/>
        <v>0.48405523067103123</v>
      </c>
      <c r="Q292" s="14">
        <f t="shared" si="62"/>
        <v>0.20579740998663934</v>
      </c>
    </row>
    <row r="293" spans="1:17" x14ac:dyDescent="0.25">
      <c r="A293" s="5" t="s">
        <v>350</v>
      </c>
      <c r="B293" s="6">
        <f t="shared" si="63"/>
        <v>1</v>
      </c>
      <c r="C293" s="70">
        <v>16.875112529999999</v>
      </c>
      <c r="D293" s="4">
        <v>1.9</v>
      </c>
      <c r="E293" s="12">
        <f t="shared" si="52"/>
        <v>0</v>
      </c>
      <c r="F293" s="12">
        <f t="shared" si="53"/>
        <v>1.9</v>
      </c>
      <c r="G293" s="16">
        <f t="shared" si="55"/>
        <v>14.759929330744772</v>
      </c>
      <c r="H293" s="14">
        <f t="shared" si="56"/>
        <v>0.32860604056842313</v>
      </c>
      <c r="I293" s="14">
        <f t="shared" si="57"/>
        <v>10.306337121826235</v>
      </c>
      <c r="J293" s="14">
        <f t="shared" si="58"/>
        <v>2.2240401317235543</v>
      </c>
      <c r="K293" s="14">
        <f t="shared" si="59"/>
        <v>4.0017591839221778</v>
      </c>
      <c r="L293" s="14">
        <f t="shared" si="60"/>
        <v>629.51499076980053</v>
      </c>
      <c r="M293" s="14">
        <f t="shared" si="54"/>
        <v>0.21268397413099929</v>
      </c>
      <c r="N293" s="14">
        <f t="shared" si="61"/>
        <v>5.4426419768939756</v>
      </c>
      <c r="O293" s="4">
        <v>7.45</v>
      </c>
      <c r="P293" s="14">
        <f t="shared" si="64"/>
        <v>4.0294862329281269</v>
      </c>
      <c r="Q293" s="14">
        <f t="shared" si="62"/>
        <v>0.83969916573377912</v>
      </c>
    </row>
    <row r="294" spans="1:17" x14ac:dyDescent="0.25">
      <c r="A294" s="5" t="s">
        <v>351</v>
      </c>
      <c r="B294" s="6">
        <f t="shared" si="63"/>
        <v>1</v>
      </c>
      <c r="C294" s="70">
        <v>17.689655299999998</v>
      </c>
      <c r="D294" s="4">
        <v>11.5</v>
      </c>
      <c r="E294" s="12">
        <f t="shared" si="52"/>
        <v>0</v>
      </c>
      <c r="F294" s="12">
        <f t="shared" si="53"/>
        <v>11.5</v>
      </c>
      <c r="G294" s="16">
        <f t="shared" si="55"/>
        <v>21.851116982128111</v>
      </c>
      <c r="H294" s="14">
        <f t="shared" si="56"/>
        <v>1.943583507835922</v>
      </c>
      <c r="I294" s="14">
        <f t="shared" si="57"/>
        <v>11.929161095710729</v>
      </c>
      <c r="J294" s="14">
        <f t="shared" si="58"/>
        <v>2.465228840780739</v>
      </c>
      <c r="K294" s="14">
        <f t="shared" si="59"/>
        <v>5.6697132485116093</v>
      </c>
      <c r="L294" s="14">
        <f t="shared" si="60"/>
        <v>629.5779362389161</v>
      </c>
      <c r="M294" s="14">
        <f t="shared" si="54"/>
        <v>0.27781905674210861</v>
      </c>
      <c r="N294" s="14">
        <f t="shared" si="61"/>
        <v>7.1094668339907647</v>
      </c>
      <c r="O294" s="4">
        <v>8.41</v>
      </c>
      <c r="P294" s="14">
        <f t="shared" si="64"/>
        <v>1.6913865158900054</v>
      </c>
      <c r="Q294" s="14">
        <f t="shared" si="62"/>
        <v>3.5206930967682712</v>
      </c>
    </row>
    <row r="295" spans="1:17" x14ac:dyDescent="0.25">
      <c r="A295" s="5" t="s">
        <v>352</v>
      </c>
      <c r="B295" s="6">
        <f t="shared" si="63"/>
        <v>1</v>
      </c>
      <c r="C295" s="70">
        <v>18.847019199999998</v>
      </c>
      <c r="D295" s="4">
        <v>2.5</v>
      </c>
      <c r="E295" s="12">
        <f t="shared" si="52"/>
        <v>0</v>
      </c>
      <c r="F295" s="12">
        <f t="shared" si="53"/>
        <v>2.5</v>
      </c>
      <c r="G295" s="16">
        <f t="shared" si="55"/>
        <v>19.475257877572556</v>
      </c>
      <c r="H295" s="14">
        <f t="shared" si="56"/>
        <v>0.52080126291816109</v>
      </c>
      <c r="I295" s="14">
        <f t="shared" si="57"/>
        <v>14.234991989561102</v>
      </c>
      <c r="J295" s="14">
        <f t="shared" si="58"/>
        <v>4.3550578416373931</v>
      </c>
      <c r="K295" s="14">
        <f t="shared" si="59"/>
        <v>5.7676323394585767</v>
      </c>
      <c r="L295" s="14">
        <f t="shared" si="60"/>
        <v>629.72299935414514</v>
      </c>
      <c r="M295" s="14">
        <f t="shared" si="54"/>
        <v>0.28167299904922377</v>
      </c>
      <c r="N295" s="14">
        <f t="shared" si="61"/>
        <v>7.2080902881693723</v>
      </c>
      <c r="O295" s="4">
        <v>8.1300000000000008</v>
      </c>
      <c r="P295" s="14">
        <f t="shared" si="64"/>
        <v>0.8499175167676325</v>
      </c>
      <c r="Q295" s="14">
        <f t="shared" si="62"/>
        <v>2.5483365335498798</v>
      </c>
    </row>
    <row r="296" spans="1:17" x14ac:dyDescent="0.25">
      <c r="A296" s="5" t="s">
        <v>353</v>
      </c>
      <c r="B296" s="6">
        <f t="shared" si="63"/>
        <v>1</v>
      </c>
      <c r="C296" s="70">
        <v>18.92252731</v>
      </c>
      <c r="D296" s="4">
        <v>12.7</v>
      </c>
      <c r="E296" s="12">
        <f t="shared" si="52"/>
        <v>0</v>
      </c>
      <c r="F296" s="12">
        <f t="shared" si="53"/>
        <v>12.7</v>
      </c>
      <c r="G296" s="16">
        <f t="shared" si="55"/>
        <v>25.764486240171717</v>
      </c>
      <c r="H296" s="14">
        <f t="shared" si="56"/>
        <v>2.488216510394385</v>
      </c>
      <c r="I296" s="14">
        <f t="shared" si="57"/>
        <v>14.385427762418933</v>
      </c>
      <c r="J296" s="14">
        <f t="shared" si="58"/>
        <v>3.9225551270064551</v>
      </c>
      <c r="K296" s="14">
        <f t="shared" si="59"/>
        <v>7.8243220433307963</v>
      </c>
      <c r="L296" s="14">
        <f t="shared" si="60"/>
        <v>629.87285316161808</v>
      </c>
      <c r="M296" s="14">
        <f t="shared" si="54"/>
        <v>0.36200394113008272</v>
      </c>
      <c r="N296" s="14">
        <f t="shared" si="61"/>
        <v>9.2637814101691305</v>
      </c>
      <c r="O296" s="4">
        <v>7.57</v>
      </c>
      <c r="P296" s="14">
        <f t="shared" si="64"/>
        <v>2.8688954654345271</v>
      </c>
      <c r="Q296" s="14">
        <f t="shared" si="62"/>
        <v>1.074023407113091</v>
      </c>
    </row>
    <row r="297" spans="1:17" x14ac:dyDescent="0.25">
      <c r="A297" s="5" t="s">
        <v>354</v>
      </c>
      <c r="B297" s="6">
        <f t="shared" si="63"/>
        <v>1</v>
      </c>
      <c r="C297" s="70">
        <v>18.647533419999998</v>
      </c>
      <c r="D297" s="4">
        <v>3.7</v>
      </c>
      <c r="E297" s="12">
        <f t="shared" si="52"/>
        <v>0</v>
      </c>
      <c r="F297" s="12">
        <f t="shared" si="53"/>
        <v>3.7</v>
      </c>
      <c r="G297" s="16">
        <f t="shared" si="55"/>
        <v>23.631303409156455</v>
      </c>
      <c r="H297" s="14">
        <f t="shared" si="56"/>
        <v>0.84153576221558579</v>
      </c>
      <c r="I297" s="14">
        <f t="shared" si="57"/>
        <v>13.837553919816711</v>
      </c>
      <c r="J297" s="14">
        <f t="shared" si="58"/>
        <v>4.9916470687996757</v>
      </c>
      <c r="K297" s="14">
        <f t="shared" si="59"/>
        <v>8.0527593493818568</v>
      </c>
      <c r="L297" s="14">
        <f t="shared" si="60"/>
        <v>630.12394767665251</v>
      </c>
      <c r="M297" s="14">
        <f t="shared" si="54"/>
        <v>0.37097627352555518</v>
      </c>
      <c r="N297" s="14">
        <f t="shared" si="61"/>
        <v>9.4933858884838269</v>
      </c>
      <c r="O297" s="4">
        <v>10.42</v>
      </c>
      <c r="P297" s="14">
        <f t="shared" si="64"/>
        <v>0.85861371166090672</v>
      </c>
      <c r="Q297" s="14">
        <f t="shared" si="62"/>
        <v>15.103724139871737</v>
      </c>
    </row>
    <row r="298" spans="1:17" x14ac:dyDescent="0.25">
      <c r="A298" s="5" t="s">
        <v>355</v>
      </c>
      <c r="B298" s="6">
        <f t="shared" si="63"/>
        <v>1</v>
      </c>
      <c r="C298" s="70">
        <v>16.9660759</v>
      </c>
      <c r="D298" s="4">
        <v>1</v>
      </c>
      <c r="E298" s="12">
        <f t="shared" si="52"/>
        <v>0</v>
      </c>
      <c r="F298" s="12">
        <f t="shared" si="53"/>
        <v>1</v>
      </c>
      <c r="G298" s="16">
        <f t="shared" si="55"/>
        <v>20.944134345197202</v>
      </c>
      <c r="H298" s="14">
        <f t="shared" si="56"/>
        <v>0.21720175080858342</v>
      </c>
      <c r="I298" s="14">
        <f t="shared" si="57"/>
        <v>10.487564606763984</v>
      </c>
      <c r="J298" s="14">
        <f t="shared" si="58"/>
        <v>3.4699673131506681</v>
      </c>
      <c r="K298" s="14">
        <f t="shared" si="59"/>
        <v>7.6366954119823749</v>
      </c>
      <c r="L298" s="14">
        <f t="shared" si="60"/>
        <v>630.38623709133503</v>
      </c>
      <c r="M298" s="14">
        <f t="shared" si="54"/>
        <v>0.35478782799270359</v>
      </c>
      <c r="N298" s="14">
        <f t="shared" si="61"/>
        <v>9.079119070507728</v>
      </c>
      <c r="O298" s="4">
        <v>9.1199999999999992</v>
      </c>
      <c r="P298" s="14">
        <f t="shared" si="64"/>
        <v>1.6712503961520474E-3</v>
      </c>
      <c r="Q298" s="14">
        <f t="shared" si="62"/>
        <v>6.6892115249291928</v>
      </c>
    </row>
    <row r="299" spans="1:17" x14ac:dyDescent="0.25">
      <c r="A299" s="5" t="s">
        <v>356</v>
      </c>
      <c r="B299" s="6">
        <f t="shared" si="63"/>
        <v>1</v>
      </c>
      <c r="C299" s="70">
        <v>17.846897129999999</v>
      </c>
      <c r="D299" s="4">
        <v>0.7</v>
      </c>
      <c r="E299" s="12">
        <f t="shared" si="52"/>
        <v>0</v>
      </c>
      <c r="F299" s="12">
        <f t="shared" si="53"/>
        <v>0.7</v>
      </c>
      <c r="G299" s="16">
        <f t="shared" si="55"/>
        <v>17.911577734105045</v>
      </c>
      <c r="H299" s="14">
        <f t="shared" si="56"/>
        <v>0.14256597551323857</v>
      </c>
      <c r="I299" s="14">
        <f t="shared" si="57"/>
        <v>12.242436003818343</v>
      </c>
      <c r="J299" s="14">
        <f t="shared" si="58"/>
        <v>3.5899906355789186</v>
      </c>
      <c r="K299" s="14">
        <f t="shared" si="59"/>
        <v>7.1827272564729068</v>
      </c>
      <c r="L299" s="14">
        <f t="shared" si="60"/>
        <v>630.62798339436506</v>
      </c>
      <c r="M299" s="14">
        <f t="shared" si="54"/>
        <v>0.33711511767983993</v>
      </c>
      <c r="N299" s="14">
        <f t="shared" si="61"/>
        <v>8.6268695045153478</v>
      </c>
      <c r="O299" s="4">
        <v>7.99</v>
      </c>
      <c r="P299" s="14">
        <f t="shared" si="64"/>
        <v>0.40560276578162441</v>
      </c>
      <c r="Q299" s="14">
        <f t="shared" si="62"/>
        <v>2.1209582519406811</v>
      </c>
    </row>
    <row r="300" spans="1:17" x14ac:dyDescent="0.25">
      <c r="A300" s="5" t="s">
        <v>357</v>
      </c>
      <c r="B300" s="6">
        <f t="shared" si="63"/>
        <v>1</v>
      </c>
      <c r="C300" s="70">
        <v>19.132982250000001</v>
      </c>
      <c r="D300" s="4">
        <v>0.2</v>
      </c>
      <c r="E300" s="12">
        <f t="shared" si="52"/>
        <v>0</v>
      </c>
      <c r="F300" s="12">
        <f t="shared" si="53"/>
        <v>0.2</v>
      </c>
      <c r="G300" s="16">
        <f t="shared" si="55"/>
        <v>14.361341168865863</v>
      </c>
      <c r="H300" s="14">
        <f t="shared" si="56"/>
        <v>3.7474709846964903E-2</v>
      </c>
      <c r="I300" s="14">
        <f t="shared" si="57"/>
        <v>14.804719829862398</v>
      </c>
      <c r="J300" s="14">
        <f t="shared" si="58"/>
        <v>3.7127618553922161</v>
      </c>
      <c r="K300" s="14">
        <f t="shared" si="59"/>
        <v>6.6637457073873332</v>
      </c>
      <c r="L300" s="14">
        <f t="shared" si="60"/>
        <v>630.84732453561776</v>
      </c>
      <c r="M300" s="14">
        <f t="shared" si="54"/>
        <v>0.3168993265597676</v>
      </c>
      <c r="N300" s="14">
        <f t="shared" si="61"/>
        <v>8.1095417942551631</v>
      </c>
      <c r="O300" s="4">
        <v>7.02</v>
      </c>
      <c r="P300" s="14">
        <f t="shared" si="64"/>
        <v>1.1871013214287611</v>
      </c>
      <c r="Q300" s="14">
        <f t="shared" si="62"/>
        <v>0.2365373007912456</v>
      </c>
    </row>
    <row r="301" spans="1:17" x14ac:dyDescent="0.25">
      <c r="A301" s="5" t="s">
        <v>358</v>
      </c>
      <c r="B301" s="6">
        <f t="shared" si="63"/>
        <v>1</v>
      </c>
      <c r="C301" s="70">
        <v>17.83465576</v>
      </c>
      <c r="D301" s="4">
        <v>6</v>
      </c>
      <c r="E301" s="12">
        <f t="shared" si="52"/>
        <v>0</v>
      </c>
      <c r="F301" s="12">
        <f t="shared" si="53"/>
        <v>6</v>
      </c>
      <c r="G301" s="16">
        <f t="shared" si="55"/>
        <v>16.905244238943283</v>
      </c>
      <c r="H301" s="14">
        <f t="shared" si="56"/>
        <v>0.99935316690001463</v>
      </c>
      <c r="I301" s="14">
        <f t="shared" si="57"/>
        <v>12.218047365872188</v>
      </c>
      <c r="J301" s="14">
        <f t="shared" si="58"/>
        <v>2.4567437630225668</v>
      </c>
      <c r="K301" s="14">
        <f t="shared" si="59"/>
        <v>7.1524600937153027</v>
      </c>
      <c r="L301" s="14">
        <f t="shared" si="60"/>
        <v>631.04106398962995</v>
      </c>
      <c r="M301" s="14">
        <f t="shared" si="54"/>
        <v>0.3360213987329343</v>
      </c>
      <c r="N301" s="14">
        <f t="shared" si="61"/>
        <v>8.5988809328532145</v>
      </c>
      <c r="O301" s="4">
        <v>6.36</v>
      </c>
      <c r="P301" s="14">
        <f t="shared" si="64"/>
        <v>5.0125878314936783</v>
      </c>
      <c r="Q301" s="14">
        <f t="shared" si="62"/>
        <v>3.0153973205032759E-2</v>
      </c>
    </row>
    <row r="302" spans="1:17" x14ac:dyDescent="0.25">
      <c r="A302" s="5" t="s">
        <v>359</v>
      </c>
      <c r="B302" s="6">
        <f t="shared" si="63"/>
        <v>1</v>
      </c>
      <c r="C302" s="70">
        <v>18.423460009999999</v>
      </c>
      <c r="D302" s="4">
        <v>0.6</v>
      </c>
      <c r="E302" s="12">
        <f t="shared" si="52"/>
        <v>0</v>
      </c>
      <c r="F302" s="12">
        <f t="shared" si="53"/>
        <v>0.6</v>
      </c>
      <c r="G302" s="16">
        <f t="shared" si="55"/>
        <v>14.226652471802899</v>
      </c>
      <c r="H302" s="14">
        <f t="shared" si="56"/>
        <v>0.10901174300320715</v>
      </c>
      <c r="I302" s="14">
        <f t="shared" si="57"/>
        <v>13.391129600492082</v>
      </c>
      <c r="J302" s="14">
        <f t="shared" si="58"/>
        <v>3.1695800241371774</v>
      </c>
      <c r="K302" s="14">
        <f t="shared" si="59"/>
        <v>6.7076876671446843</v>
      </c>
      <c r="L302" s="14">
        <f t="shared" si="60"/>
        <v>631.25882676047081</v>
      </c>
      <c r="M302" s="14">
        <f t="shared" si="54"/>
        <v>0.31870260671373096</v>
      </c>
      <c r="N302" s="14">
        <f t="shared" si="61"/>
        <v>8.1556882343062398</v>
      </c>
      <c r="O302" s="4">
        <v>6.32</v>
      </c>
      <c r="P302" s="14">
        <f t="shared" si="64"/>
        <v>3.3697512935703591</v>
      </c>
      <c r="Q302" s="14">
        <f t="shared" si="62"/>
        <v>4.5645892745262255E-2</v>
      </c>
    </row>
    <row r="303" spans="1:17" x14ac:dyDescent="0.25">
      <c r="A303" s="5" t="s">
        <v>360</v>
      </c>
      <c r="B303" s="6">
        <f t="shared" si="63"/>
        <v>1</v>
      </c>
      <c r="C303" s="70">
        <v>18.424646379999999</v>
      </c>
      <c r="D303" s="4">
        <v>0</v>
      </c>
      <c r="E303" s="12">
        <f t="shared" si="52"/>
        <v>0</v>
      </c>
      <c r="F303" s="12">
        <f t="shared" si="53"/>
        <v>0</v>
      </c>
      <c r="G303" s="16">
        <f t="shared" si="55"/>
        <v>11.558813311074854</v>
      </c>
      <c r="H303" s="14">
        <f t="shared" si="56"/>
        <v>0</v>
      </c>
      <c r="I303" s="14">
        <f t="shared" si="57"/>
        <v>13.393493220609779</v>
      </c>
      <c r="J303" s="14">
        <f t="shared" si="58"/>
        <v>2.6678391607280454</v>
      </c>
      <c r="K303" s="14">
        <f t="shared" si="59"/>
        <v>6.1931695390431418</v>
      </c>
      <c r="L303" s="14">
        <f t="shared" si="60"/>
        <v>631.45464228185858</v>
      </c>
      <c r="M303" s="14">
        <f t="shared" si="54"/>
        <v>0.29865606866458855</v>
      </c>
      <c r="N303" s="14">
        <f t="shared" si="61"/>
        <v>7.6426917571458954</v>
      </c>
      <c r="O303" s="4">
        <v>6.6</v>
      </c>
      <c r="P303" s="14">
        <f t="shared" si="64"/>
        <v>1.0872061004199958</v>
      </c>
      <c r="Q303" s="14">
        <f t="shared" si="62"/>
        <v>4.4024559636557875E-3</v>
      </c>
    </row>
    <row r="304" spans="1:17" x14ac:dyDescent="0.25">
      <c r="A304" s="5" t="s">
        <v>361</v>
      </c>
      <c r="B304" s="6">
        <f t="shared" si="63"/>
        <v>2</v>
      </c>
      <c r="C304" s="70">
        <v>18.920186999999999</v>
      </c>
      <c r="D304" s="4">
        <v>11.6</v>
      </c>
      <c r="E304" s="12">
        <f t="shared" si="52"/>
        <v>0</v>
      </c>
      <c r="F304" s="12">
        <f t="shared" si="53"/>
        <v>11.6</v>
      </c>
      <c r="G304" s="16">
        <f t="shared" si="55"/>
        <v>18.733475736423493</v>
      </c>
      <c r="H304" s="14">
        <f t="shared" si="56"/>
        <v>1.7209510215629564</v>
      </c>
      <c r="I304" s="14">
        <f t="shared" si="57"/>
        <v>16.71061602514159</v>
      </c>
      <c r="J304" s="14">
        <f t="shared" si="58"/>
        <v>2.7043865530884004</v>
      </c>
      <c r="K304" s="14">
        <f t="shared" si="59"/>
        <v>7.4450258646899776</v>
      </c>
      <c r="L304" s="14">
        <f t="shared" si="60"/>
        <v>631.62508090911012</v>
      </c>
      <c r="M304" s="14">
        <f t="shared" si="54"/>
        <v>0.34756841028785213</v>
      </c>
      <c r="N304" s="14">
        <f t="shared" si="61"/>
        <v>8.8943721660467716</v>
      </c>
      <c r="O304" s="4">
        <v>9.1</v>
      </c>
      <c r="P304" s="14">
        <f t="shared" si="64"/>
        <v>4.2282806096296317E-2</v>
      </c>
      <c r="Q304" s="14">
        <f t="shared" si="62"/>
        <v>6.5861574846993101</v>
      </c>
    </row>
    <row r="305" spans="1:17" x14ac:dyDescent="0.25">
      <c r="A305" s="5" t="s">
        <v>362</v>
      </c>
      <c r="B305" s="6">
        <f t="shared" si="63"/>
        <v>2</v>
      </c>
      <c r="C305" s="70">
        <v>18.705507279999999</v>
      </c>
      <c r="D305" s="4">
        <v>5.5</v>
      </c>
      <c r="E305" s="12">
        <f t="shared" si="52"/>
        <v>0</v>
      </c>
      <c r="F305" s="12">
        <f t="shared" si="53"/>
        <v>5.5</v>
      </c>
      <c r="G305" s="16">
        <f t="shared" si="55"/>
        <v>18.910748193038742</v>
      </c>
      <c r="H305" s="14">
        <f t="shared" si="56"/>
        <v>1.0554976368470792</v>
      </c>
      <c r="I305" s="14">
        <f t="shared" si="57"/>
        <v>16.269140945358959</v>
      </c>
      <c r="J305" s="14">
        <f t="shared" si="58"/>
        <v>4.267229906537672</v>
      </c>
      <c r="K305" s="14">
        <f t="shared" si="59"/>
        <v>7.9209106181982198</v>
      </c>
      <c r="L305" s="14">
        <f t="shared" si="60"/>
        <v>631.85712538216114</v>
      </c>
      <c r="M305" s="14">
        <f t="shared" si="54"/>
        <v>0.36619773707814507</v>
      </c>
      <c r="N305" s="14">
        <f t="shared" si="61"/>
        <v>9.3711018134233655</v>
      </c>
      <c r="O305" s="4">
        <v>12.44</v>
      </c>
      <c r="P305" s="14">
        <f t="shared" si="64"/>
        <v>9.4181360795733529</v>
      </c>
      <c r="Q305" s="14">
        <f t="shared" si="62"/>
        <v>34.884982203090139</v>
      </c>
    </row>
    <row r="306" spans="1:17" x14ac:dyDescent="0.25">
      <c r="A306" s="5" t="s">
        <v>363</v>
      </c>
      <c r="B306" s="6">
        <f t="shared" si="63"/>
        <v>2</v>
      </c>
      <c r="C306" s="70">
        <v>18.38284874</v>
      </c>
      <c r="D306" s="4">
        <v>9</v>
      </c>
      <c r="E306" s="12">
        <f t="shared" si="52"/>
        <v>0</v>
      </c>
      <c r="F306" s="12">
        <f t="shared" si="53"/>
        <v>9</v>
      </c>
      <c r="G306" s="16">
        <f t="shared" si="55"/>
        <v>22.042950139913899</v>
      </c>
      <c r="H306" s="14">
        <f t="shared" si="56"/>
        <v>1.7358710514777573</v>
      </c>
      <c r="I306" s="14">
        <f t="shared" si="57"/>
        <v>15.605614345412551</v>
      </c>
      <c r="J306" s="14">
        <f t="shared" si="58"/>
        <v>4.1319270016470844</v>
      </c>
      <c r="K306" s="14">
        <f t="shared" si="59"/>
        <v>9.0351560415018568</v>
      </c>
      <c r="L306" s="14">
        <f t="shared" si="60"/>
        <v>632.11255327325716</v>
      </c>
      <c r="M306" s="14">
        <f t="shared" si="54"/>
        <v>0.40975546243303285</v>
      </c>
      <c r="N306" s="14">
        <f t="shared" si="61"/>
        <v>10.485756104623096</v>
      </c>
      <c r="O306" s="4">
        <v>15.1</v>
      </c>
      <c r="P306" s="14">
        <f t="shared" si="64"/>
        <v>21.291246726023019</v>
      </c>
      <c r="Q306" s="14">
        <f t="shared" si="62"/>
        <v>73.382369553664859</v>
      </c>
    </row>
    <row r="307" spans="1:17" x14ac:dyDescent="0.25">
      <c r="A307" s="5" t="s">
        <v>364</v>
      </c>
      <c r="B307" s="6">
        <f t="shared" si="63"/>
        <v>2</v>
      </c>
      <c r="C307" s="70">
        <v>18.629461289999998</v>
      </c>
      <c r="D307" s="4">
        <v>6.2</v>
      </c>
      <c r="E307" s="12">
        <f t="shared" si="52"/>
        <v>0</v>
      </c>
      <c r="F307" s="12">
        <f t="shared" si="53"/>
        <v>6.2</v>
      </c>
      <c r="G307" s="16">
        <f t="shared" si="55"/>
        <v>21.972512195903569</v>
      </c>
      <c r="H307" s="14">
        <f t="shared" si="56"/>
        <v>1.297619076171115</v>
      </c>
      <c r="I307" s="14">
        <f t="shared" si="57"/>
        <v>16.112757242685973</v>
      </c>
      <c r="J307" s="14">
        <f t="shared" si="58"/>
        <v>4.972818867839214</v>
      </c>
      <c r="K307" s="14">
        <f t="shared" si="59"/>
        <v>9.6127800664231255</v>
      </c>
      <c r="L307" s="14">
        <f t="shared" si="60"/>
        <v>632.42279286207395</v>
      </c>
      <c r="M307" s="14">
        <f t="shared" si="54"/>
        <v>0.4323736375738057</v>
      </c>
      <c r="N307" s="14">
        <f t="shared" si="61"/>
        <v>11.064561489301903</v>
      </c>
      <c r="O307" s="4">
        <v>17.39</v>
      </c>
      <c r="P307" s="14">
        <f t="shared" si="64"/>
        <v>40.011172352622566</v>
      </c>
      <c r="Q307" s="14">
        <f t="shared" si="62"/>
        <v>117.86035715998678</v>
      </c>
    </row>
    <row r="308" spans="1:17" x14ac:dyDescent="0.25">
      <c r="A308" s="5" t="s">
        <v>365</v>
      </c>
      <c r="B308" s="6">
        <f t="shared" si="63"/>
        <v>2</v>
      </c>
      <c r="C308" s="70">
        <v>18.512870790000001</v>
      </c>
      <c r="D308" s="4">
        <v>0</v>
      </c>
      <c r="E308" s="12">
        <f t="shared" si="52"/>
        <v>0</v>
      </c>
      <c r="F308" s="12">
        <f t="shared" si="53"/>
        <v>0</v>
      </c>
      <c r="G308" s="16">
        <f t="shared" si="55"/>
        <v>17.089343936801615</v>
      </c>
      <c r="H308" s="14">
        <f t="shared" si="56"/>
        <v>0</v>
      </c>
      <c r="I308" s="14">
        <f t="shared" si="57"/>
        <v>15.872996354748373</v>
      </c>
      <c r="J308" s="14">
        <f t="shared" si="58"/>
        <v>4.8831682591019545</v>
      </c>
      <c r="K308" s="14">
        <f t="shared" si="59"/>
        <v>8.8417903770999935</v>
      </c>
      <c r="L308" s="14">
        <f t="shared" si="60"/>
        <v>632.76140891382329</v>
      </c>
      <c r="M308" s="14">
        <f t="shared" si="54"/>
        <v>0.40234414021343434</v>
      </c>
      <c r="N308" s="14">
        <f t="shared" si="61"/>
        <v>10.296098310322956</v>
      </c>
      <c r="O308" s="4">
        <v>15.11</v>
      </c>
      <c r="P308" s="14">
        <f t="shared" si="64"/>
        <v>23.173649477875497</v>
      </c>
      <c r="Q308" s="14">
        <f t="shared" si="62"/>
        <v>73.553796573779834</v>
      </c>
    </row>
    <row r="309" spans="1:17" x14ac:dyDescent="0.25">
      <c r="A309" s="5" t="s">
        <v>366</v>
      </c>
      <c r="B309" s="6">
        <f t="shared" si="63"/>
        <v>2</v>
      </c>
      <c r="C309" s="70">
        <v>18.647932050000001</v>
      </c>
      <c r="D309" s="4">
        <v>0.4</v>
      </c>
      <c r="E309" s="12">
        <f t="shared" si="52"/>
        <v>0</v>
      </c>
      <c r="F309" s="12">
        <f t="shared" si="53"/>
        <v>0.4</v>
      </c>
      <c r="G309" s="16">
        <f t="shared" si="55"/>
        <v>13.551859019944386</v>
      </c>
      <c r="H309" s="14">
        <f t="shared" si="56"/>
        <v>7.3095304050933604E-2</v>
      </c>
      <c r="I309" s="14">
        <f t="shared" si="57"/>
        <v>16.150741176355385</v>
      </c>
      <c r="J309" s="14">
        <f t="shared" si="58"/>
        <v>3.8643896128062938</v>
      </c>
      <c r="K309" s="14">
        <f t="shared" si="59"/>
        <v>8.2119616166442615</v>
      </c>
      <c r="L309" s="14">
        <f t="shared" si="60"/>
        <v>633.06198883811658</v>
      </c>
      <c r="M309" s="14">
        <f t="shared" si="54"/>
        <v>0.37781786453501659</v>
      </c>
      <c r="N309" s="14">
        <f t="shared" si="61"/>
        <v>9.6684641028578895</v>
      </c>
      <c r="O309" s="4">
        <v>11.91</v>
      </c>
      <c r="P309" s="14">
        <f t="shared" si="64"/>
        <v>5.0244831781766868</v>
      </c>
      <c r="Q309" s="14">
        <f t="shared" si="62"/>
        <v>28.905150136998191</v>
      </c>
    </row>
    <row r="310" spans="1:17" x14ac:dyDescent="0.25">
      <c r="A310" s="5" t="s">
        <v>367</v>
      </c>
      <c r="B310" s="6">
        <f t="shared" si="63"/>
        <v>2</v>
      </c>
      <c r="C310" s="70">
        <v>18.96616745</v>
      </c>
      <c r="D310" s="4">
        <v>4.5</v>
      </c>
      <c r="E310" s="12">
        <f t="shared" si="52"/>
        <v>0</v>
      </c>
      <c r="F310" s="12">
        <f t="shared" si="53"/>
        <v>4.5</v>
      </c>
      <c r="G310" s="16">
        <f t="shared" si="55"/>
        <v>14.136533094032746</v>
      </c>
      <c r="H310" s="14">
        <f t="shared" si="56"/>
        <v>0.72669031628272407</v>
      </c>
      <c r="I310" s="14">
        <f t="shared" si="57"/>
        <v>16.80517187248568</v>
      </c>
      <c r="J310" s="14">
        <f t="shared" si="58"/>
        <v>3.1886356096289168</v>
      </c>
      <c r="K310" s="14">
        <f t="shared" si="59"/>
        <v>8.2913313203230743</v>
      </c>
      <c r="L310" s="14">
        <f t="shared" si="60"/>
        <v>633.33149158618551</v>
      </c>
      <c r="M310" s="14">
        <f t="shared" si="54"/>
        <v>0.3809740949462137</v>
      </c>
      <c r="N310" s="14">
        <f t="shared" si="61"/>
        <v>9.7492329158110937</v>
      </c>
      <c r="O310" s="4">
        <v>9.39</v>
      </c>
      <c r="P310" s="14">
        <f t="shared" si="64"/>
        <v>0.12904828780213995</v>
      </c>
      <c r="Q310" s="14">
        <f t="shared" si="62"/>
        <v>8.1587410680326506</v>
      </c>
    </row>
    <row r="311" spans="1:17" x14ac:dyDescent="0.25">
      <c r="A311" s="5" t="s">
        <v>368</v>
      </c>
      <c r="B311" s="6">
        <f t="shared" si="63"/>
        <v>2</v>
      </c>
      <c r="C311" s="70">
        <v>16.500787729999999</v>
      </c>
      <c r="D311" s="4">
        <v>1.6</v>
      </c>
      <c r="E311" s="12">
        <f t="shared" si="52"/>
        <v>0</v>
      </c>
      <c r="F311" s="12">
        <f t="shared" si="53"/>
        <v>1.6</v>
      </c>
      <c r="G311" s="16">
        <f t="shared" si="55"/>
        <v>13.149537744591486</v>
      </c>
      <c r="H311" s="14">
        <f t="shared" si="56"/>
        <v>0.26426229175049959</v>
      </c>
      <c r="I311" s="14">
        <f t="shared" si="57"/>
        <v>11.735276548505</v>
      </c>
      <c r="J311" s="14">
        <f t="shared" si="58"/>
        <v>2.3227330576907597</v>
      </c>
      <c r="K311" s="14">
        <f t="shared" si="59"/>
        <v>7.9012659687049078</v>
      </c>
      <c r="L311" s="14">
        <f t="shared" si="60"/>
        <v>633.6048451346079</v>
      </c>
      <c r="M311" s="14">
        <f t="shared" si="54"/>
        <v>0.36580306514876793</v>
      </c>
      <c r="N311" s="14">
        <f t="shared" si="61"/>
        <v>9.3610020491195129</v>
      </c>
      <c r="O311" s="4">
        <v>8.48</v>
      </c>
      <c r="P311" s="14">
        <f t="shared" si="64"/>
        <v>0.77616461055277997</v>
      </c>
      <c r="Q311" s="14">
        <f t="shared" si="62"/>
        <v>3.7882822375728709</v>
      </c>
    </row>
    <row r="312" spans="1:17" x14ac:dyDescent="0.25">
      <c r="A312" s="5" t="s">
        <v>369</v>
      </c>
      <c r="B312" s="6">
        <f t="shared" si="63"/>
        <v>2</v>
      </c>
      <c r="C312" s="70">
        <v>16.500347139999999</v>
      </c>
      <c r="D312" s="4">
        <v>4.5999999999999996</v>
      </c>
      <c r="E312" s="12">
        <f t="shared" si="52"/>
        <v>0</v>
      </c>
      <c r="F312" s="12">
        <f t="shared" si="53"/>
        <v>4.5999999999999996</v>
      </c>
      <c r="G312" s="16">
        <f t="shared" si="55"/>
        <v>14.858141017613786</v>
      </c>
      <c r="H312" s="14">
        <f t="shared" si="56"/>
        <v>0.73100084436781132</v>
      </c>
      <c r="I312" s="14">
        <f t="shared" si="57"/>
        <v>11.734370503418852</v>
      </c>
      <c r="J312" s="14">
        <f t="shared" si="58"/>
        <v>2.1603958826098864</v>
      </c>
      <c r="K312" s="14">
        <f t="shared" si="59"/>
        <v>8.0123754822057869</v>
      </c>
      <c r="L312" s="14">
        <f t="shared" si="60"/>
        <v>633.85893340032612</v>
      </c>
      <c r="M312" s="14">
        <f t="shared" si="54"/>
        <v>0.37019522436690899</v>
      </c>
      <c r="N312" s="14">
        <f t="shared" si="61"/>
        <v>9.4733986235559691</v>
      </c>
      <c r="O312" s="4">
        <v>7.46</v>
      </c>
      <c r="P312" s="14">
        <f t="shared" si="64"/>
        <v>4.0537740173370711</v>
      </c>
      <c r="Q312" s="14">
        <f t="shared" si="62"/>
        <v>0.85812618584872136</v>
      </c>
    </row>
    <row r="313" spans="1:17" x14ac:dyDescent="0.25">
      <c r="A313" s="5" t="s">
        <v>370</v>
      </c>
      <c r="B313" s="6">
        <f t="shared" si="63"/>
        <v>2</v>
      </c>
      <c r="C313" s="70">
        <v>16.004978179999998</v>
      </c>
      <c r="D313" s="4">
        <v>5.2</v>
      </c>
      <c r="E313" s="12">
        <f t="shared" si="52"/>
        <v>0</v>
      </c>
      <c r="F313" s="12">
        <f t="shared" si="53"/>
        <v>5.2</v>
      </c>
      <c r="G313" s="16">
        <f t="shared" si="55"/>
        <v>16.947000817661259</v>
      </c>
      <c r="H313" s="14">
        <f t="shared" si="56"/>
        <v>0.88195008850456791</v>
      </c>
      <c r="I313" s="14">
        <f t="shared" si="57"/>
        <v>10.71567599823765</v>
      </c>
      <c r="J313" s="14">
        <f t="shared" si="58"/>
        <v>2.2291901114479593</v>
      </c>
      <c r="K313" s="14">
        <f t="shared" si="59"/>
        <v>8.2646251093657739</v>
      </c>
      <c r="L313" s="14">
        <f t="shared" si="60"/>
        <v>634.11843863730383</v>
      </c>
      <c r="M313" s="14">
        <f t="shared" si="54"/>
        <v>0.38009904925530358</v>
      </c>
      <c r="N313" s="14">
        <f t="shared" si="61"/>
        <v>9.7268402535124565</v>
      </c>
      <c r="O313" s="4">
        <v>9.06</v>
      </c>
      <c r="P313" s="14">
        <f t="shared" si="64"/>
        <v>0.44467592370455661</v>
      </c>
      <c r="Q313" s="14">
        <f t="shared" si="62"/>
        <v>6.3824494042395434</v>
      </c>
    </row>
    <row r="314" spans="1:17" x14ac:dyDescent="0.25">
      <c r="A314" s="5" t="s">
        <v>371</v>
      </c>
      <c r="B314" s="6">
        <f t="shared" si="63"/>
        <v>2</v>
      </c>
      <c r="C314" s="70">
        <v>16.470199579999999</v>
      </c>
      <c r="D314" s="4">
        <v>1.5</v>
      </c>
      <c r="E314" s="12">
        <f t="shared" si="52"/>
        <v>0</v>
      </c>
      <c r="F314" s="12">
        <f t="shared" si="53"/>
        <v>1.5</v>
      </c>
      <c r="G314" s="16">
        <f t="shared" si="55"/>
        <v>15.404525261026706</v>
      </c>
      <c r="H314" s="14">
        <f t="shared" si="56"/>
        <v>0.27288797987085439</v>
      </c>
      <c r="I314" s="14">
        <f t="shared" si="57"/>
        <v>11.672373979218749</v>
      </c>
      <c r="J314" s="14">
        <f t="shared" si="58"/>
        <v>2.7695875767636973</v>
      </c>
      <c r="K314" s="14">
        <f t="shared" si="59"/>
        <v>7.8855431621389593</v>
      </c>
      <c r="L314" s="14">
        <f t="shared" si="60"/>
        <v>634.39030951514621</v>
      </c>
      <c r="M314" s="14">
        <f t="shared" si="54"/>
        <v>0.36535652697463339</v>
      </c>
      <c r="N314" s="14">
        <f t="shared" si="61"/>
        <v>9.3495750132050279</v>
      </c>
      <c r="O314" s="4">
        <v>9.0399999999999991</v>
      </c>
      <c r="P314" s="14">
        <f t="shared" si="64"/>
        <v>9.5836688800893743E-2</v>
      </c>
      <c r="Q314" s="14">
        <f t="shared" si="62"/>
        <v>6.2817953640096515</v>
      </c>
    </row>
    <row r="315" spans="1:17" x14ac:dyDescent="0.25">
      <c r="A315" s="5" t="s">
        <v>372</v>
      </c>
      <c r="B315" s="6">
        <f t="shared" si="63"/>
        <v>2</v>
      </c>
      <c r="C315" s="70">
        <v>17.869602199999999</v>
      </c>
      <c r="D315" s="4">
        <v>0</v>
      </c>
      <c r="E315" s="12">
        <f t="shared" si="52"/>
        <v>0</v>
      </c>
      <c r="F315" s="12">
        <f t="shared" si="53"/>
        <v>0</v>
      </c>
      <c r="G315" s="16">
        <f t="shared" si="55"/>
        <v>12.266336815955668</v>
      </c>
      <c r="H315" s="14">
        <f t="shared" si="56"/>
        <v>0</v>
      </c>
      <c r="I315" s="14">
        <f t="shared" si="57"/>
        <v>14.550155743199637</v>
      </c>
      <c r="J315" s="14">
        <f t="shared" si="58"/>
        <v>3.1381884450710382</v>
      </c>
      <c r="K315" s="14">
        <f t="shared" si="59"/>
        <v>7.267039894780007</v>
      </c>
      <c r="L315" s="14">
        <f t="shared" si="60"/>
        <v>634.64345625553062</v>
      </c>
      <c r="M315" s="14">
        <f t="shared" si="54"/>
        <v>0.34126232624016895</v>
      </c>
      <c r="N315" s="14">
        <f t="shared" si="61"/>
        <v>8.7329977235765455</v>
      </c>
      <c r="O315" s="4">
        <v>10.25</v>
      </c>
      <c r="P315" s="14">
        <f t="shared" si="64"/>
        <v>2.3012959066739431</v>
      </c>
      <c r="Q315" s="14">
        <f t="shared" si="62"/>
        <v>13.811264797917714</v>
      </c>
    </row>
    <row r="316" spans="1:17" x14ac:dyDescent="0.25">
      <c r="A316" s="5" t="s">
        <v>373</v>
      </c>
      <c r="B316" s="6">
        <f t="shared" si="63"/>
        <v>2</v>
      </c>
      <c r="C316" s="70">
        <v>16.700529100000001</v>
      </c>
      <c r="D316" s="4">
        <v>9.6</v>
      </c>
      <c r="E316" s="12">
        <f t="shared" si="52"/>
        <v>0</v>
      </c>
      <c r="F316" s="12">
        <f t="shared" si="53"/>
        <v>9.6</v>
      </c>
      <c r="G316" s="16">
        <f t="shared" si="55"/>
        <v>18.31028497710313</v>
      </c>
      <c r="H316" s="14">
        <f t="shared" si="56"/>
        <v>1.4700611756329514</v>
      </c>
      <c r="I316" s="14">
        <f t="shared" si="57"/>
        <v>12.146031869299357</v>
      </c>
      <c r="J316" s="14">
        <f t="shared" si="58"/>
        <v>2.0859906632195853</v>
      </c>
      <c r="K316" s="14">
        <f t="shared" si="59"/>
        <v>8.1732014014247856</v>
      </c>
      <c r="L316" s="14">
        <f t="shared" si="60"/>
        <v>634.86609359827867</v>
      </c>
      <c r="M316" s="14">
        <f t="shared" si="54"/>
        <v>0.3766888780344434</v>
      </c>
      <c r="N316" s="14">
        <f t="shared" si="61"/>
        <v>9.6395730247008604</v>
      </c>
      <c r="O316" s="4">
        <v>11.63</v>
      </c>
      <c r="P316" s="14">
        <f t="shared" si="64"/>
        <v>3.9617995439984846</v>
      </c>
      <c r="Q316" s="14">
        <f t="shared" si="62"/>
        <v>25.972793573779803</v>
      </c>
    </row>
    <row r="317" spans="1:17" x14ac:dyDescent="0.25">
      <c r="A317" s="5" t="s">
        <v>374</v>
      </c>
      <c r="B317" s="6">
        <f t="shared" si="63"/>
        <v>2</v>
      </c>
      <c r="C317" s="70">
        <v>17.028242110000001</v>
      </c>
      <c r="D317" s="4">
        <v>1.7</v>
      </c>
      <c r="E317" s="12">
        <f t="shared" si="52"/>
        <v>0</v>
      </c>
      <c r="F317" s="12">
        <f t="shared" si="53"/>
        <v>1.7</v>
      </c>
      <c r="G317" s="16">
        <f t="shared" si="55"/>
        <v>16.401406912969176</v>
      </c>
      <c r="H317" s="14">
        <f t="shared" si="56"/>
        <v>0.32229522335012178</v>
      </c>
      <c r="I317" s="14">
        <f t="shared" si="57"/>
        <v>12.819952662728546</v>
      </c>
      <c r="J317" s="14">
        <f t="shared" si="58"/>
        <v>3.2865828407838338</v>
      </c>
      <c r="K317" s="14">
        <f t="shared" si="59"/>
        <v>7.8515978974484115</v>
      </c>
      <c r="L317" s="14">
        <f t="shared" si="60"/>
        <v>635.13330344757071</v>
      </c>
      <c r="M317" s="14">
        <f t="shared" si="54"/>
        <v>0.36418948483331715</v>
      </c>
      <c r="N317" s="14">
        <f t="shared" si="61"/>
        <v>9.3197100806303723</v>
      </c>
      <c r="O317" s="4">
        <v>13.7</v>
      </c>
      <c r="P317" s="14">
        <f t="shared" si="64"/>
        <v>19.186939777731173</v>
      </c>
      <c r="Q317" s="14">
        <f t="shared" si="62"/>
        <v>51.356586737572911</v>
      </c>
    </row>
    <row r="318" spans="1:17" x14ac:dyDescent="0.25">
      <c r="A318" s="5" t="s">
        <v>375</v>
      </c>
      <c r="B318" s="6">
        <f t="shared" si="63"/>
        <v>2</v>
      </c>
      <c r="C318" s="70">
        <v>17.472137450000002</v>
      </c>
      <c r="D318" s="4">
        <v>0</v>
      </c>
      <c r="E318" s="12">
        <f t="shared" si="52"/>
        <v>0</v>
      </c>
      <c r="F318" s="12">
        <f t="shared" si="53"/>
        <v>0</v>
      </c>
      <c r="G318" s="16">
        <f t="shared" si="55"/>
        <v>13.247832394280627</v>
      </c>
      <c r="H318" s="14">
        <f t="shared" si="56"/>
        <v>0</v>
      </c>
      <c r="I318" s="14">
        <f t="shared" si="57"/>
        <v>13.732794968660558</v>
      </c>
      <c r="J318" s="14">
        <f t="shared" si="58"/>
        <v>3.1535745186885489</v>
      </c>
      <c r="K318" s="14">
        <f t="shared" si="59"/>
        <v>7.2360914349530256</v>
      </c>
      <c r="L318" s="14">
        <f t="shared" si="60"/>
        <v>635.38462042523281</v>
      </c>
      <c r="M318" s="14">
        <f t="shared" si="54"/>
        <v>0.34021189810094277</v>
      </c>
      <c r="N318" s="14">
        <f t="shared" si="61"/>
        <v>8.706116975708154</v>
      </c>
      <c r="O318" s="4">
        <v>12.48</v>
      </c>
      <c r="P318" s="14">
        <f t="shared" si="64"/>
        <v>14.242193081038174</v>
      </c>
      <c r="Q318" s="14">
        <f t="shared" si="62"/>
        <v>35.359090283549925</v>
      </c>
    </row>
    <row r="319" spans="1:17" x14ac:dyDescent="0.25">
      <c r="A319" s="5" t="s">
        <v>376</v>
      </c>
      <c r="B319" s="6">
        <f t="shared" si="63"/>
        <v>2</v>
      </c>
      <c r="C319" s="70">
        <v>17.3540554</v>
      </c>
      <c r="D319" s="4">
        <v>3.6</v>
      </c>
      <c r="E319" s="12">
        <f t="shared" si="52"/>
        <v>0</v>
      </c>
      <c r="F319" s="12">
        <f t="shared" si="53"/>
        <v>3.6</v>
      </c>
      <c r="G319" s="16">
        <f t="shared" si="55"/>
        <v>13.771287928463344</v>
      </c>
      <c r="H319" s="14">
        <f t="shared" si="56"/>
        <v>0.57436322259712214</v>
      </c>
      <c r="I319" s="14">
        <f t="shared" si="57"/>
        <v>13.489966803780115</v>
      </c>
      <c r="J319" s="14">
        <f t="shared" si="58"/>
        <v>2.5021812432201611</v>
      </c>
      <c r="K319" s="14">
        <f t="shared" si="59"/>
        <v>7.249287225172143</v>
      </c>
      <c r="L319" s="14">
        <f t="shared" si="60"/>
        <v>635.60557595950991</v>
      </c>
      <c r="M319" s="14">
        <f t="shared" si="54"/>
        <v>0.34077416874902788</v>
      </c>
      <c r="N319" s="14">
        <f t="shared" si="61"/>
        <v>8.7205056377789418</v>
      </c>
      <c r="O319" s="4">
        <v>10.93</v>
      </c>
      <c r="P319" s="14">
        <f t="shared" si="64"/>
        <v>4.8818653366866389</v>
      </c>
      <c r="Q319" s="14">
        <f t="shared" si="62"/>
        <v>19.327902165733811</v>
      </c>
    </row>
    <row r="320" spans="1:17" x14ac:dyDescent="0.25">
      <c r="A320" s="5" t="s">
        <v>377</v>
      </c>
      <c r="B320" s="6">
        <f t="shared" si="63"/>
        <v>2</v>
      </c>
      <c r="C320" s="70">
        <v>16.761209489999999</v>
      </c>
      <c r="D320" s="4">
        <v>1.6</v>
      </c>
      <c r="E320" s="12">
        <f t="shared" si="52"/>
        <v>0</v>
      </c>
      <c r="F320" s="12">
        <f t="shared" si="53"/>
        <v>1.6</v>
      </c>
      <c r="G320" s="16">
        <f t="shared" si="55"/>
        <v>12.744707236432127</v>
      </c>
      <c r="H320" s="14">
        <f t="shared" si="56"/>
        <v>0.26060050601305851</v>
      </c>
      <c r="I320" s="14">
        <f t="shared" si="57"/>
        <v>12.270817200752605</v>
      </c>
      <c r="J320" s="14">
        <f t="shared" si="58"/>
        <v>2.3659801860181586</v>
      </c>
      <c r="K320" s="14">
        <f t="shared" si="59"/>
        <v>6.9475553290045529</v>
      </c>
      <c r="L320" s="14">
        <f t="shared" si="60"/>
        <v>635.82713419294157</v>
      </c>
      <c r="M320" s="14">
        <f t="shared" si="54"/>
        <v>0.3290408946534355</v>
      </c>
      <c r="N320" s="14">
        <f t="shared" si="61"/>
        <v>8.420247894429929</v>
      </c>
      <c r="O320" s="4">
        <v>10.09</v>
      </c>
      <c r="P320" s="14">
        <f t="shared" si="64"/>
        <v>2.7880720940556847</v>
      </c>
      <c r="Q320" s="14">
        <f t="shared" si="62"/>
        <v>12.647632476078631</v>
      </c>
    </row>
    <row r="321" spans="1:17" x14ac:dyDescent="0.25">
      <c r="A321" s="5" t="s">
        <v>378</v>
      </c>
      <c r="B321" s="6">
        <f t="shared" si="63"/>
        <v>2</v>
      </c>
      <c r="C321" s="70">
        <v>15.26393032</v>
      </c>
      <c r="D321" s="4">
        <v>13.5</v>
      </c>
      <c r="E321" s="12">
        <f t="shared" si="52"/>
        <v>0</v>
      </c>
      <c r="F321" s="12">
        <f t="shared" si="53"/>
        <v>13.5</v>
      </c>
      <c r="G321" s="16">
        <f t="shared" si="55"/>
        <v>22.494662412488257</v>
      </c>
      <c r="H321" s="14">
        <f t="shared" si="56"/>
        <v>2.1098647504455506</v>
      </c>
      <c r="I321" s="14">
        <f t="shared" si="57"/>
        <v>9.1917585871461522</v>
      </c>
      <c r="J321" s="14">
        <f t="shared" si="58"/>
        <v>1.6401800734983212</v>
      </c>
      <c r="K321" s="14">
        <f t="shared" si="59"/>
        <v>8.5217256081317156</v>
      </c>
      <c r="L321" s="14">
        <f t="shared" si="60"/>
        <v>636.03378776960653</v>
      </c>
      <c r="M321" s="14">
        <f t="shared" si="54"/>
        <v>0.39054500505317474</v>
      </c>
      <c r="N321" s="14">
        <f t="shared" si="61"/>
        <v>9.9941551640343675</v>
      </c>
      <c r="O321" s="4">
        <v>10.72</v>
      </c>
      <c r="P321" s="14">
        <f t="shared" si="64"/>
        <v>0.52685072589797677</v>
      </c>
      <c r="Q321" s="14">
        <f t="shared" si="62"/>
        <v>17.525534743320023</v>
      </c>
    </row>
    <row r="322" spans="1:17" x14ac:dyDescent="0.25">
      <c r="A322" s="5" t="s">
        <v>379</v>
      </c>
      <c r="B322" s="6">
        <f t="shared" si="63"/>
        <v>2</v>
      </c>
      <c r="C322" s="70">
        <v>16.387804030000002</v>
      </c>
      <c r="D322" s="4">
        <v>6.5</v>
      </c>
      <c r="E322" s="12">
        <f t="shared" si="52"/>
        <v>0</v>
      </c>
      <c r="F322" s="12">
        <f t="shared" si="53"/>
        <v>6.5</v>
      </c>
      <c r="G322" s="16">
        <f t="shared" si="55"/>
        <v>23.996608853567597</v>
      </c>
      <c r="H322" s="14">
        <f t="shared" si="56"/>
        <v>1.3751971488297934</v>
      </c>
      <c r="I322" s="14">
        <f t="shared" si="57"/>
        <v>11.502932813513937</v>
      </c>
      <c r="J322" s="14">
        <f t="shared" si="58"/>
        <v>3.6228564100908649</v>
      </c>
      <c r="K322" s="14">
        <f t="shared" si="59"/>
        <v>9.2222551124605232</v>
      </c>
      <c r="L322" s="14">
        <f t="shared" si="60"/>
        <v>636.31791040905432</v>
      </c>
      <c r="M322" s="14">
        <f t="shared" si="54"/>
        <v>0.41795619627949654</v>
      </c>
      <c r="N322" s="14">
        <f t="shared" si="61"/>
        <v>10.695615161735727</v>
      </c>
      <c r="O322" s="4">
        <v>13.32</v>
      </c>
      <c r="P322" s="14">
        <f t="shared" si="64"/>
        <v>6.8873957793113956</v>
      </c>
      <c r="Q322" s="14">
        <f t="shared" si="62"/>
        <v>46.054559973205102</v>
      </c>
    </row>
    <row r="323" spans="1:17" x14ac:dyDescent="0.25">
      <c r="A323" s="5" t="s">
        <v>380</v>
      </c>
      <c r="B323" s="6">
        <f t="shared" si="63"/>
        <v>2</v>
      </c>
      <c r="C323" s="70">
        <v>17.728237149999998</v>
      </c>
      <c r="D323" s="4">
        <v>0</v>
      </c>
      <c r="E323" s="12">
        <f t="shared" si="52"/>
        <v>0</v>
      </c>
      <c r="F323" s="12">
        <f t="shared" si="53"/>
        <v>0</v>
      </c>
      <c r="G323" s="16">
        <f t="shared" si="55"/>
        <v>19.205725114906596</v>
      </c>
      <c r="H323" s="14">
        <f t="shared" si="56"/>
        <v>0</v>
      </c>
      <c r="I323" s="14">
        <f t="shared" si="57"/>
        <v>14.259447581631203</v>
      </c>
      <c r="J323" s="14">
        <f t="shared" si="58"/>
        <v>4.7908837386610026</v>
      </c>
      <c r="K323" s="14">
        <f t="shared" si="59"/>
        <v>8.485742310916816</v>
      </c>
      <c r="L323" s="14">
        <f t="shared" si="60"/>
        <v>636.63646701431855</v>
      </c>
      <c r="M323" s="14">
        <f t="shared" si="54"/>
        <v>0.3892685015373154</v>
      </c>
      <c r="N323" s="14">
        <f t="shared" si="61"/>
        <v>9.9614890844792168</v>
      </c>
      <c r="O323" s="4">
        <v>13.96</v>
      </c>
      <c r="P323" s="14">
        <f t="shared" si="64"/>
        <v>15.988089541538859</v>
      </c>
      <c r="Q323" s="14">
        <f t="shared" si="62"/>
        <v>55.150689260561442</v>
      </c>
    </row>
    <row r="324" spans="1:17" x14ac:dyDescent="0.25">
      <c r="A324" s="5" t="s">
        <v>381</v>
      </c>
      <c r="B324" s="6">
        <f t="shared" si="63"/>
        <v>2</v>
      </c>
      <c r="C324" s="70">
        <v>17.22692108</v>
      </c>
      <c r="D324" s="4">
        <v>2</v>
      </c>
      <c r="E324" s="12">
        <f t="shared" si="52"/>
        <v>0</v>
      </c>
      <c r="F324" s="12">
        <f t="shared" si="53"/>
        <v>2</v>
      </c>
      <c r="G324" s="16">
        <f t="shared" si="55"/>
        <v>17.259605991605476</v>
      </c>
      <c r="H324" s="14">
        <f t="shared" si="56"/>
        <v>0.38894494471175278</v>
      </c>
      <c r="I324" s="14">
        <f t="shared" si="57"/>
        <v>13.2285232260397</v>
      </c>
      <c r="J324" s="14">
        <f t="shared" si="58"/>
        <v>3.5571741785893658</v>
      </c>
      <c r="K324" s="14">
        <f t="shared" si="59"/>
        <v>8.2031963405207335</v>
      </c>
      <c r="L324" s="14">
        <f t="shared" si="60"/>
        <v>636.91868942788915</v>
      </c>
      <c r="M324" s="14">
        <f t="shared" si="54"/>
        <v>0.37829722367975882</v>
      </c>
      <c r="N324" s="14">
        <f t="shared" si="61"/>
        <v>9.6807310365271615</v>
      </c>
      <c r="O324" s="4">
        <v>11.25</v>
      </c>
      <c r="P324" s="14">
        <f t="shared" si="64"/>
        <v>2.462605079719117</v>
      </c>
      <c r="Q324" s="14">
        <f t="shared" si="62"/>
        <v>22.243966809411976</v>
      </c>
    </row>
    <row r="325" spans="1:17" x14ac:dyDescent="0.25">
      <c r="A325" s="5" t="s">
        <v>382</v>
      </c>
      <c r="B325" s="6">
        <f t="shared" si="63"/>
        <v>2</v>
      </c>
      <c r="C325" s="70">
        <v>16.606975559999999</v>
      </c>
      <c r="D325" s="4">
        <v>0</v>
      </c>
      <c r="E325" s="12">
        <f t="shared" si="52"/>
        <v>0</v>
      </c>
      <c r="F325" s="12">
        <f t="shared" si="53"/>
        <v>0</v>
      </c>
      <c r="G325" s="16">
        <f t="shared" si="55"/>
        <v>14.370960210124972</v>
      </c>
      <c r="H325" s="14">
        <f t="shared" si="56"/>
        <v>0</v>
      </c>
      <c r="I325" s="14">
        <f t="shared" si="57"/>
        <v>11.953645012564829</v>
      </c>
      <c r="J325" s="14">
        <f t="shared" si="58"/>
        <v>2.8886457814805033</v>
      </c>
      <c r="K325" s="14">
        <f t="shared" si="59"/>
        <v>7.5566495566778284</v>
      </c>
      <c r="L325" s="14">
        <f t="shared" si="60"/>
        <v>637.18693898805236</v>
      </c>
      <c r="M325" s="14">
        <f t="shared" si="54"/>
        <v>0.35311134155714496</v>
      </c>
      <c r="N325" s="14">
        <f t="shared" si="61"/>
        <v>9.0362173169311042</v>
      </c>
      <c r="O325" s="4">
        <v>9.4600000000000009</v>
      </c>
      <c r="P325" s="14">
        <f t="shared" si="64"/>
        <v>0.17959176246907291</v>
      </c>
      <c r="Q325" s="14">
        <f t="shared" si="62"/>
        <v>8.5635302088372516</v>
      </c>
    </row>
    <row r="326" spans="1:17" x14ac:dyDescent="0.25">
      <c r="A326" s="5" t="s">
        <v>383</v>
      </c>
      <c r="B326" s="6">
        <f t="shared" si="63"/>
        <v>2</v>
      </c>
      <c r="C326" s="70">
        <v>17.479600909999998</v>
      </c>
      <c r="D326" s="4">
        <v>0</v>
      </c>
      <c r="E326" s="12">
        <f t="shared" si="52"/>
        <v>0</v>
      </c>
      <c r="F326" s="12">
        <f t="shared" si="53"/>
        <v>0</v>
      </c>
      <c r="G326" s="16">
        <f t="shared" si="55"/>
        <v>11.604700897463935</v>
      </c>
      <c r="H326" s="14">
        <f t="shared" si="56"/>
        <v>0</v>
      </c>
      <c r="I326" s="14">
        <f t="shared" si="57"/>
        <v>13.748143095623613</v>
      </c>
      <c r="J326" s="14">
        <f t="shared" si="58"/>
        <v>2.7662593126610355</v>
      </c>
      <c r="K326" s="14">
        <f t="shared" si="59"/>
        <v>6.9671821494138477</v>
      </c>
      <c r="L326" s="14">
        <f t="shared" si="60"/>
        <v>637.42329505375926</v>
      </c>
      <c r="M326" s="14">
        <f t="shared" si="54"/>
        <v>0.33014720657125446</v>
      </c>
      <c r="N326" s="14">
        <f t="shared" si="61"/>
        <v>8.4485587237157826</v>
      </c>
      <c r="O326" s="4">
        <v>8.31</v>
      </c>
      <c r="P326" s="14">
        <f t="shared" si="64"/>
        <v>1.9198519917746452E-2</v>
      </c>
      <c r="Q326" s="14">
        <f t="shared" si="62"/>
        <v>3.1554228956188464</v>
      </c>
    </row>
    <row r="327" spans="1:17" x14ac:dyDescent="0.25">
      <c r="A327" s="5" t="s">
        <v>384</v>
      </c>
      <c r="B327" s="6">
        <f t="shared" si="63"/>
        <v>2</v>
      </c>
      <c r="C327" s="70">
        <v>17.846721649999999</v>
      </c>
      <c r="D327" s="4">
        <v>0</v>
      </c>
      <c r="E327" s="12">
        <f t="shared" si="52"/>
        <v>0</v>
      </c>
      <c r="F327" s="12">
        <f t="shared" si="53"/>
        <v>0</v>
      </c>
      <c r="G327" s="16">
        <f t="shared" si="55"/>
        <v>9.2482524031737015</v>
      </c>
      <c r="H327" s="14">
        <f t="shared" si="56"/>
        <v>0</v>
      </c>
      <c r="I327" s="14">
        <f t="shared" si="57"/>
        <v>14.503103359133174</v>
      </c>
      <c r="J327" s="14">
        <f t="shared" si="58"/>
        <v>2.3564484942902348</v>
      </c>
      <c r="K327" s="14">
        <f t="shared" si="59"/>
        <v>6.4297549548012043</v>
      </c>
      <c r="L327" s="14">
        <f t="shared" si="60"/>
        <v>637.63057504180063</v>
      </c>
      <c r="M327" s="14">
        <f t="shared" si="54"/>
        <v>0.30920867560650889</v>
      </c>
      <c r="N327" s="14">
        <f t="shared" si="61"/>
        <v>7.9127359000693414</v>
      </c>
      <c r="O327" s="4">
        <v>6.77</v>
      </c>
      <c r="P327" s="14">
        <f t="shared" si="64"/>
        <v>1.3058453373072887</v>
      </c>
      <c r="Q327" s="14">
        <f t="shared" si="62"/>
        <v>5.5861797917680235E-2</v>
      </c>
    </row>
    <row r="328" spans="1:17" x14ac:dyDescent="0.25">
      <c r="A328" s="5" t="s">
        <v>385</v>
      </c>
      <c r="B328" s="6">
        <f t="shared" si="63"/>
        <v>2</v>
      </c>
      <c r="C328" s="70">
        <v>17.628337859999998</v>
      </c>
      <c r="D328" s="4">
        <v>0</v>
      </c>
      <c r="E328" s="12">
        <f t="shared" si="52"/>
        <v>0</v>
      </c>
      <c r="F328" s="12">
        <f t="shared" si="53"/>
        <v>0</v>
      </c>
      <c r="G328" s="16">
        <f t="shared" si="55"/>
        <v>7.4284550693883231</v>
      </c>
      <c r="H328" s="14">
        <f t="shared" si="56"/>
        <v>0</v>
      </c>
      <c r="I328" s="14">
        <f t="shared" si="57"/>
        <v>14.054011096885564</v>
      </c>
      <c r="J328" s="14">
        <f t="shared" si="58"/>
        <v>1.8197973337853786</v>
      </c>
      <c r="K328" s="14">
        <f t="shared" si="59"/>
        <v>5.9397736836571156</v>
      </c>
      <c r="L328" s="14">
        <f t="shared" si="60"/>
        <v>637.81134763733814</v>
      </c>
      <c r="M328" s="14">
        <f t="shared" si="54"/>
        <v>0.29011692173694797</v>
      </c>
      <c r="N328" s="14">
        <f t="shared" si="61"/>
        <v>7.4241726152823144</v>
      </c>
      <c r="O328" s="4">
        <v>5.74</v>
      </c>
      <c r="P328" s="14">
        <f t="shared" si="64"/>
        <v>2.8364373980668698</v>
      </c>
      <c r="Q328" s="14">
        <f t="shared" si="62"/>
        <v>0.62987872607858986</v>
      </c>
    </row>
    <row r="329" spans="1:17" x14ac:dyDescent="0.25">
      <c r="A329" s="5" t="s">
        <v>386</v>
      </c>
      <c r="B329" s="6">
        <f t="shared" si="63"/>
        <v>2</v>
      </c>
      <c r="C329" s="70">
        <v>18.63766098</v>
      </c>
      <c r="D329" s="4">
        <v>0</v>
      </c>
      <c r="E329" s="12">
        <f t="shared" si="52"/>
        <v>0</v>
      </c>
      <c r="F329" s="12">
        <f t="shared" si="53"/>
        <v>0</v>
      </c>
      <c r="G329" s="16">
        <f t="shared" si="55"/>
        <v>5.7508656499116464</v>
      </c>
      <c r="H329" s="14">
        <f t="shared" si="56"/>
        <v>0</v>
      </c>
      <c r="I329" s="14">
        <f t="shared" si="57"/>
        <v>16.129619379439941</v>
      </c>
      <c r="J329" s="14">
        <f t="shared" si="58"/>
        <v>1.6775894194766767</v>
      </c>
      <c r="K329" s="14">
        <f t="shared" si="59"/>
        <v>5.4930496464691219</v>
      </c>
      <c r="L329" s="14">
        <f t="shared" si="60"/>
        <v>637.96795475278918</v>
      </c>
      <c r="M329" s="14">
        <f t="shared" si="54"/>
        <v>0.27270890549337895</v>
      </c>
      <c r="N329" s="14">
        <f t="shared" si="61"/>
        <v>6.9786966440493163</v>
      </c>
      <c r="O329" s="4">
        <v>4.97</v>
      </c>
      <c r="P329" s="14">
        <f t="shared" si="64"/>
        <v>4.0348622078149869</v>
      </c>
      <c r="Q329" s="14">
        <f t="shared" si="62"/>
        <v>2.4449981772280092</v>
      </c>
    </row>
    <row r="330" spans="1:17" x14ac:dyDescent="0.25">
      <c r="A330" s="5" t="s">
        <v>387</v>
      </c>
      <c r="B330" s="6">
        <f t="shared" si="63"/>
        <v>2</v>
      </c>
      <c r="C330" s="70">
        <v>18.706289290000001</v>
      </c>
      <c r="D330" s="4">
        <v>0</v>
      </c>
      <c r="E330" s="12">
        <f t="shared" si="52"/>
        <v>0</v>
      </c>
      <c r="F330" s="12">
        <f t="shared" si="53"/>
        <v>0</v>
      </c>
      <c r="G330" s="16">
        <f t="shared" si="55"/>
        <v>4.4407675152561801</v>
      </c>
      <c r="H330" s="14">
        <f t="shared" si="56"/>
        <v>0</v>
      </c>
      <c r="I330" s="14">
        <f t="shared" si="57"/>
        <v>16.270749098784638</v>
      </c>
      <c r="J330" s="14">
        <f t="shared" si="58"/>
        <v>1.3100981346554661</v>
      </c>
      <c r="K330" s="14">
        <f t="shared" si="59"/>
        <v>5.0857639456594388</v>
      </c>
      <c r="L330" s="14">
        <f t="shared" si="60"/>
        <v>638.1025315481055</v>
      </c>
      <c r="M330" s="14">
        <f t="shared" si="54"/>
        <v>0.25683598109232597</v>
      </c>
      <c r="N330" s="14">
        <f t="shared" si="61"/>
        <v>6.5725040994807031</v>
      </c>
      <c r="O330" s="4">
        <v>4.47</v>
      </c>
      <c r="P330" s="14">
        <f t="shared" si="64"/>
        <v>4.4205234883331634</v>
      </c>
      <c r="Q330" s="14">
        <f t="shared" si="62"/>
        <v>4.2586471714808782</v>
      </c>
    </row>
    <row r="331" spans="1:17" x14ac:dyDescent="0.25">
      <c r="A331" s="5" t="s">
        <v>388</v>
      </c>
      <c r="B331" s="6">
        <f t="shared" si="63"/>
        <v>2</v>
      </c>
      <c r="C331" s="70">
        <v>15.87389374</v>
      </c>
      <c r="D331" s="4">
        <v>0</v>
      </c>
      <c r="E331" s="12">
        <f t="shared" si="52"/>
        <v>0</v>
      </c>
      <c r="F331" s="12">
        <f t="shared" si="53"/>
        <v>0</v>
      </c>
      <c r="G331" s="16">
        <f t="shared" si="55"/>
        <v>3.7912727436783289</v>
      </c>
      <c r="H331" s="14">
        <f t="shared" si="56"/>
        <v>0</v>
      </c>
      <c r="I331" s="14">
        <f t="shared" si="57"/>
        <v>10.446109251982991</v>
      </c>
      <c r="J331" s="14">
        <f t="shared" si="58"/>
        <v>0.64949477157785096</v>
      </c>
      <c r="K331" s="14">
        <f t="shared" si="59"/>
        <v>4.7144348290795142</v>
      </c>
      <c r="L331" s="14">
        <f t="shared" si="60"/>
        <v>638.21702468359308</v>
      </c>
      <c r="M331" s="14">
        <f t="shared" si="54"/>
        <v>0.24236262571188796</v>
      </c>
      <c r="N331" s="14">
        <f t="shared" si="61"/>
        <v>6.2021269149187992</v>
      </c>
      <c r="O331" s="4">
        <v>9.4600000000000009</v>
      </c>
      <c r="P331" s="14">
        <f t="shared" si="64"/>
        <v>10.613737038496506</v>
      </c>
      <c r="Q331" s="14">
        <f t="shared" si="62"/>
        <v>8.5635302088372516</v>
      </c>
    </row>
    <row r="332" spans="1:17" x14ac:dyDescent="0.25">
      <c r="A332" s="5" t="s">
        <v>389</v>
      </c>
      <c r="B332" s="6">
        <f t="shared" si="63"/>
        <v>3</v>
      </c>
      <c r="C332" s="70">
        <v>18.16034698</v>
      </c>
      <c r="D332" s="4">
        <v>2.1</v>
      </c>
      <c r="E332" s="12">
        <f t="shared" si="52"/>
        <v>0</v>
      </c>
      <c r="F332" s="12">
        <f t="shared" si="53"/>
        <v>2.1</v>
      </c>
      <c r="G332" s="16">
        <f t="shared" si="55"/>
        <v>4.8766335585257474</v>
      </c>
      <c r="H332" s="14">
        <f t="shared" si="56"/>
        <v>0.17197429973186973</v>
      </c>
      <c r="I332" s="14">
        <f t="shared" si="57"/>
        <v>15.874746904389868</v>
      </c>
      <c r="J332" s="14">
        <f t="shared" si="58"/>
        <v>0.84266488542071116</v>
      </c>
      <c r="K332" s="14">
        <f t="shared" si="59"/>
        <v>4.5478622253823877</v>
      </c>
      <c r="L332" s="14">
        <f t="shared" si="60"/>
        <v>638.31320896131012</v>
      </c>
      <c r="M332" s="14">
        <f t="shared" si="54"/>
        <v>0.23587964703769021</v>
      </c>
      <c r="N332" s="14">
        <f t="shared" si="61"/>
        <v>6.0362256898186688</v>
      </c>
      <c r="O332" s="4">
        <v>7.34</v>
      </c>
      <c r="P332" s="14">
        <f t="shared" si="64"/>
        <v>1.6998274518888057</v>
      </c>
      <c r="Q332" s="14">
        <f t="shared" si="62"/>
        <v>0.65020194446940971</v>
      </c>
    </row>
    <row r="333" spans="1:17" x14ac:dyDescent="0.25">
      <c r="A333" s="5" t="s">
        <v>390</v>
      </c>
      <c r="B333" s="6">
        <f t="shared" si="63"/>
        <v>3</v>
      </c>
      <c r="C333" s="70">
        <v>18.144813540000001</v>
      </c>
      <c r="D333" s="4">
        <v>17.2</v>
      </c>
      <c r="E333" s="12">
        <f t="shared" si="52"/>
        <v>0</v>
      </c>
      <c r="F333" s="12">
        <f t="shared" si="53"/>
        <v>17.2</v>
      </c>
      <c r="G333" s="16">
        <f t="shared" si="55"/>
        <v>19.384041749539676</v>
      </c>
      <c r="H333" s="14">
        <f t="shared" si="56"/>
        <v>1.6108465152330342</v>
      </c>
      <c r="I333" s="14">
        <f t="shared" si="57"/>
        <v>15.843160913532351</v>
      </c>
      <c r="J333" s="14">
        <f t="shared" si="58"/>
        <v>1.0817452937530356</v>
      </c>
      <c r="K333" s="14">
        <f t="shared" si="59"/>
        <v>5.834867440263821</v>
      </c>
      <c r="L333" s="14">
        <f t="shared" si="60"/>
        <v>638.40117061462411</v>
      </c>
      <c r="M333" s="14">
        <f t="shared" si="54"/>
        <v>0.28614673152414438</v>
      </c>
      <c r="N333" s="14">
        <f t="shared" si="61"/>
        <v>7.3225743449060552</v>
      </c>
      <c r="O333" s="4">
        <v>7.43</v>
      </c>
      <c r="P333" s="14">
        <f t="shared" si="64"/>
        <v>1.1540271372363129E-2</v>
      </c>
      <c r="Q333" s="14">
        <f t="shared" si="62"/>
        <v>0.80344512550389302</v>
      </c>
    </row>
    <row r="334" spans="1:17" x14ac:dyDescent="0.25">
      <c r="A334" s="5" t="s">
        <v>391</v>
      </c>
      <c r="B334" s="6">
        <f t="shared" si="63"/>
        <v>3</v>
      </c>
      <c r="C334" s="70">
        <v>18.314704899999999</v>
      </c>
      <c r="D334" s="4">
        <v>0</v>
      </c>
      <c r="E334" s="12">
        <f t="shared" si="52"/>
        <v>0</v>
      </c>
      <c r="F334" s="12">
        <f t="shared" si="53"/>
        <v>0</v>
      </c>
      <c r="G334" s="16">
        <f t="shared" si="55"/>
        <v>14.990474721040369</v>
      </c>
      <c r="H334" s="14">
        <f t="shared" si="56"/>
        <v>0</v>
      </c>
      <c r="I334" s="14">
        <f t="shared" si="57"/>
        <v>16.188621220053736</v>
      </c>
      <c r="J334" s="14">
        <f t="shared" si="58"/>
        <v>4.3935670284993069</v>
      </c>
      <c r="K334" s="14">
        <f t="shared" si="59"/>
        <v>5.3974048875062888</v>
      </c>
      <c r="L334" s="14">
        <f t="shared" si="60"/>
        <v>638.55248643585753</v>
      </c>
      <c r="M334" s="14">
        <f t="shared" si="54"/>
        <v>0.26909918280284373</v>
      </c>
      <c r="N334" s="14">
        <f t="shared" si="61"/>
        <v>6.8863228376977714</v>
      </c>
      <c r="O334" s="4">
        <v>6.96</v>
      </c>
      <c r="P334" s="14">
        <f t="shared" si="64"/>
        <v>5.4283242449089265E-3</v>
      </c>
      <c r="Q334" s="14">
        <f t="shared" si="62"/>
        <v>0.18177518010159024</v>
      </c>
    </row>
    <row r="335" spans="1:17" x14ac:dyDescent="0.25">
      <c r="A335" s="5" t="s">
        <v>392</v>
      </c>
      <c r="B335" s="6">
        <f t="shared" si="63"/>
        <v>3</v>
      </c>
      <c r="C335" s="70">
        <v>17.384624479999999</v>
      </c>
      <c r="D335" s="4">
        <v>1.3</v>
      </c>
      <c r="E335" s="12">
        <f t="shared" si="52"/>
        <v>0</v>
      </c>
      <c r="F335" s="12">
        <f t="shared" si="53"/>
        <v>1.3</v>
      </c>
      <c r="G335" s="16">
        <f t="shared" si="55"/>
        <v>13.068157803681929</v>
      </c>
      <c r="H335" s="14">
        <f t="shared" si="56"/>
        <v>0.22153214791641546</v>
      </c>
      <c r="I335" s="14">
        <f t="shared" si="57"/>
        <v>14.29737809278261</v>
      </c>
      <c r="J335" s="14">
        <f t="shared" si="58"/>
        <v>3.0007847694420229</v>
      </c>
      <c r="K335" s="14">
        <f t="shared" si="59"/>
        <v>5.2200951833043581</v>
      </c>
      <c r="L335" s="14">
        <f t="shared" si="60"/>
        <v>638.68222910517306</v>
      </c>
      <c r="M335" s="14">
        <f t="shared" si="54"/>
        <v>0.2622041460038087</v>
      </c>
      <c r="N335" s="14">
        <f t="shared" si="61"/>
        <v>6.7098769307224657</v>
      </c>
      <c r="O335" s="4">
        <v>6.94</v>
      </c>
      <c r="P335" s="14">
        <f t="shared" si="64"/>
        <v>5.2956627013713023E-2</v>
      </c>
      <c r="Q335" s="14">
        <f t="shared" si="62"/>
        <v>0.16512113987170535</v>
      </c>
    </row>
    <row r="336" spans="1:17" x14ac:dyDescent="0.25">
      <c r="A336" s="5" t="s">
        <v>393</v>
      </c>
      <c r="B336" s="6">
        <f t="shared" si="63"/>
        <v>3</v>
      </c>
      <c r="C336" s="70">
        <v>18.787710189999999</v>
      </c>
      <c r="D336" s="4">
        <v>0.6</v>
      </c>
      <c r="E336" s="12">
        <f t="shared" si="52"/>
        <v>0</v>
      </c>
      <c r="F336" s="12">
        <f t="shared" si="53"/>
        <v>0.6</v>
      </c>
      <c r="G336" s="16">
        <f t="shared" si="55"/>
        <v>10.43512679790989</v>
      </c>
      <c r="H336" s="14">
        <f t="shared" si="56"/>
        <v>9.5032930826617734E-2</v>
      </c>
      <c r="I336" s="14">
        <f t="shared" si="57"/>
        <v>17.150439128095911</v>
      </c>
      <c r="J336" s="14">
        <f t="shared" si="58"/>
        <v>3.1379980749454224</v>
      </c>
      <c r="K336" s="14">
        <f t="shared" si="59"/>
        <v>4.9319397732977439</v>
      </c>
      <c r="L336" s="14">
        <f t="shared" si="60"/>
        <v>638.80321330000254</v>
      </c>
      <c r="M336" s="14">
        <f t="shared" si="54"/>
        <v>0.25097951160290083</v>
      </c>
      <c r="N336" s="14">
        <f t="shared" si="61"/>
        <v>6.4226354184492322</v>
      </c>
      <c r="O336" s="4">
        <v>5.83</v>
      </c>
      <c r="P336" s="14">
        <f t="shared" si="64"/>
        <v>0.35121673920049651</v>
      </c>
      <c r="Q336" s="14">
        <f t="shared" si="62"/>
        <v>0.49512190711307374</v>
      </c>
    </row>
    <row r="337" spans="1:17" x14ac:dyDescent="0.25">
      <c r="A337" s="5" t="s">
        <v>394</v>
      </c>
      <c r="B337" s="6">
        <f t="shared" si="63"/>
        <v>3</v>
      </c>
      <c r="C337" s="70">
        <v>19.23302078</v>
      </c>
      <c r="D337" s="4">
        <v>4.5</v>
      </c>
      <c r="E337" s="12">
        <f t="shared" si="52"/>
        <v>0</v>
      </c>
      <c r="F337" s="12">
        <f t="shared" si="53"/>
        <v>4.5</v>
      </c>
      <c r="G337" s="16">
        <f t="shared" si="55"/>
        <v>11.664900069228572</v>
      </c>
      <c r="H337" s="14">
        <f t="shared" si="56"/>
        <v>0.63218936412050608</v>
      </c>
      <c r="I337" s="14">
        <f t="shared" si="57"/>
        <v>18.055942109051642</v>
      </c>
      <c r="J337" s="14">
        <f t="shared" si="58"/>
        <v>2.6380373645608097</v>
      </c>
      <c r="K337" s="14">
        <f t="shared" si="59"/>
        <v>5.2063801484958914</v>
      </c>
      <c r="L337" s="14">
        <f t="shared" si="60"/>
        <v>638.90998277732206</v>
      </c>
      <c r="M337" s="14">
        <f t="shared" si="54"/>
        <v>0.26171718964218421</v>
      </c>
      <c r="N337" s="14">
        <f t="shared" si="61"/>
        <v>6.6974155821628383</v>
      </c>
      <c r="O337" s="4">
        <v>5.53</v>
      </c>
      <c r="P337" s="14">
        <f t="shared" si="64"/>
        <v>1.362859141476598</v>
      </c>
      <c r="Q337" s="14">
        <f t="shared" si="62"/>
        <v>1.0073113036647947</v>
      </c>
    </row>
    <row r="338" spans="1:17" x14ac:dyDescent="0.25">
      <c r="A338" s="5" t="s">
        <v>395</v>
      </c>
      <c r="B338" s="6">
        <f t="shared" si="63"/>
        <v>3</v>
      </c>
      <c r="C338" s="70">
        <v>18.76079369</v>
      </c>
      <c r="D338" s="4">
        <v>2.2999999999999998</v>
      </c>
      <c r="E338" s="12">
        <f t="shared" si="52"/>
        <v>0</v>
      </c>
      <c r="F338" s="12">
        <f t="shared" si="53"/>
        <v>2.2999999999999998</v>
      </c>
      <c r="G338" s="16">
        <f t="shared" si="55"/>
        <v>10.829910113971835</v>
      </c>
      <c r="H338" s="14">
        <f t="shared" si="56"/>
        <v>0.34288887352830716</v>
      </c>
      <c r="I338" s="14">
        <f t="shared" si="57"/>
        <v>17.095706607616457</v>
      </c>
      <c r="J338" s="14">
        <f t="shared" si="58"/>
        <v>2.79210108172843</v>
      </c>
      <c r="K338" s="14">
        <f t="shared" si="59"/>
        <v>5.1672914916940718</v>
      </c>
      <c r="L338" s="14">
        <f t="shared" si="60"/>
        <v>639.03024311800993</v>
      </c>
      <c r="M338" s="14">
        <f t="shared" si="54"/>
        <v>0.26021667590949821</v>
      </c>
      <c r="N338" s="14">
        <f t="shared" si="61"/>
        <v>6.6590170189340343</v>
      </c>
      <c r="O338" s="4">
        <v>6.4</v>
      </c>
      <c r="P338" s="14">
        <f t="shared" si="64"/>
        <v>6.7089816097473706E-2</v>
      </c>
      <c r="Q338" s="14">
        <f t="shared" si="62"/>
        <v>1.7862053664803271E-2</v>
      </c>
    </row>
    <row r="339" spans="1:17" x14ac:dyDescent="0.25">
      <c r="A339" s="5" t="s">
        <v>396</v>
      </c>
      <c r="B339" s="6">
        <f t="shared" si="63"/>
        <v>3</v>
      </c>
      <c r="C339" s="70">
        <v>19.408327100000001</v>
      </c>
      <c r="D339" s="4">
        <v>1.2</v>
      </c>
      <c r="E339" s="12">
        <f t="shared" si="52"/>
        <v>0</v>
      </c>
      <c r="F339" s="12">
        <f t="shared" si="53"/>
        <v>1.2</v>
      </c>
      <c r="G339" s="16">
        <f t="shared" si="55"/>
        <v>9.0660639433311125</v>
      </c>
      <c r="H339" s="14">
        <f t="shared" si="56"/>
        <v>0.17195410049928858</v>
      </c>
      <c r="I339" s="14">
        <f t="shared" si="57"/>
        <v>18.412413297712071</v>
      </c>
      <c r="J339" s="14">
        <f t="shared" si="58"/>
        <v>2.791892070141432</v>
      </c>
      <c r="K339" s="14">
        <f t="shared" si="59"/>
        <v>4.9607189430945873</v>
      </c>
      <c r="L339" s="14">
        <f t="shared" si="60"/>
        <v>639.14855309119923</v>
      </c>
      <c r="M339" s="14">
        <f t="shared" si="54"/>
        <v>0.25217669891521416</v>
      </c>
      <c r="N339" s="14">
        <f t="shared" si="61"/>
        <v>6.4532717743233619</v>
      </c>
      <c r="O339" s="4">
        <v>7.54</v>
      </c>
      <c r="P339" s="14">
        <f t="shared" si="64"/>
        <v>1.1809782364822943</v>
      </c>
      <c r="Q339" s="14">
        <f t="shared" si="62"/>
        <v>1.0127423467682626</v>
      </c>
    </row>
    <row r="340" spans="1:17" x14ac:dyDescent="0.25">
      <c r="A340" s="5" t="s">
        <v>397</v>
      </c>
      <c r="B340" s="6">
        <f t="shared" si="63"/>
        <v>3</v>
      </c>
      <c r="C340" s="70">
        <v>19.484584810000001</v>
      </c>
      <c r="D340" s="4">
        <v>0</v>
      </c>
      <c r="E340" s="12">
        <f t="shared" si="52"/>
        <v>0</v>
      </c>
      <c r="F340" s="12">
        <f t="shared" si="53"/>
        <v>0</v>
      </c>
      <c r="G340" s="16">
        <f t="shared" si="55"/>
        <v>6.709198793544827</v>
      </c>
      <c r="H340" s="14">
        <f t="shared" si="56"/>
        <v>0</v>
      </c>
      <c r="I340" s="14">
        <f t="shared" si="57"/>
        <v>18.567477168359876</v>
      </c>
      <c r="J340" s="14">
        <f t="shared" si="58"/>
        <v>2.356865149786286</v>
      </c>
      <c r="K340" s="14">
        <f t="shared" si="59"/>
        <v>4.6004292299562648</v>
      </c>
      <c r="L340" s="14">
        <f t="shared" si="60"/>
        <v>639.25666610542225</v>
      </c>
      <c r="M340" s="14">
        <f t="shared" si="54"/>
        <v>0.23813299412574127</v>
      </c>
      <c r="N340" s="14">
        <f t="shared" si="61"/>
        <v>6.0938894677316418</v>
      </c>
      <c r="O340" s="4">
        <v>5.46</v>
      </c>
      <c r="P340" s="14">
        <f t="shared" si="64"/>
        <v>0.40181585730110414</v>
      </c>
      <c r="Q340" s="14">
        <f t="shared" si="62"/>
        <v>1.1527221628601969</v>
      </c>
    </row>
    <row r="341" spans="1:17" x14ac:dyDescent="0.25">
      <c r="A341" s="5" t="s">
        <v>398</v>
      </c>
      <c r="B341" s="6">
        <f t="shared" si="63"/>
        <v>3</v>
      </c>
      <c r="C341" s="70">
        <v>19.43062973</v>
      </c>
      <c r="D341" s="4">
        <v>0</v>
      </c>
      <c r="E341" s="12">
        <f t="shared" si="52"/>
        <v>0</v>
      </c>
      <c r="F341" s="12">
        <f t="shared" si="53"/>
        <v>0</v>
      </c>
      <c r="G341" s="16">
        <f t="shared" si="55"/>
        <v>4.9753436758042096</v>
      </c>
      <c r="H341" s="14">
        <f t="shared" si="56"/>
        <v>0</v>
      </c>
      <c r="I341" s="14">
        <f t="shared" si="57"/>
        <v>18.457763887618661</v>
      </c>
      <c r="J341" s="14">
        <f t="shared" si="58"/>
        <v>1.7338551177406172</v>
      </c>
      <c r="K341" s="14">
        <f t="shared" si="59"/>
        <v>4.2719471334168553</v>
      </c>
      <c r="L341" s="14">
        <f t="shared" si="60"/>
        <v>639.34701520783597</v>
      </c>
      <c r="M341" s="14">
        <f t="shared" si="54"/>
        <v>0.22532736502138373</v>
      </c>
      <c r="N341" s="14">
        <f t="shared" si="61"/>
        <v>5.7661898618319372</v>
      </c>
      <c r="O341" s="4">
        <v>4.55</v>
      </c>
      <c r="P341" s="14">
        <f t="shared" si="64"/>
        <v>1.4791177800227868</v>
      </c>
      <c r="Q341" s="14">
        <f t="shared" si="62"/>
        <v>3.9348633324004187</v>
      </c>
    </row>
    <row r="342" spans="1:17" x14ac:dyDescent="0.25">
      <c r="A342" s="5" t="s">
        <v>399</v>
      </c>
      <c r="B342" s="6">
        <f t="shared" si="63"/>
        <v>3</v>
      </c>
      <c r="C342" s="70">
        <v>17.66516876</v>
      </c>
      <c r="D342" s="4">
        <v>0</v>
      </c>
      <c r="E342" s="12">
        <f t="shared" si="52"/>
        <v>0</v>
      </c>
      <c r="F342" s="12">
        <f t="shared" si="53"/>
        <v>0</v>
      </c>
      <c r="G342" s="16">
        <f t="shared" si="55"/>
        <v>3.939643416508547</v>
      </c>
      <c r="H342" s="14">
        <f t="shared" si="56"/>
        <v>0</v>
      </c>
      <c r="I342" s="14">
        <f t="shared" si="57"/>
        <v>14.867842140875601</v>
      </c>
      <c r="J342" s="14">
        <f t="shared" si="58"/>
        <v>1.0357002592956626</v>
      </c>
      <c r="K342" s="14">
        <f t="shared" si="59"/>
        <v>3.9724645675477008</v>
      </c>
      <c r="L342" s="14">
        <f t="shared" si="60"/>
        <v>639.42117040868368</v>
      </c>
      <c r="M342" s="14">
        <f t="shared" si="54"/>
        <v>0.2136505103901172</v>
      </c>
      <c r="N342" s="14">
        <f t="shared" si="61"/>
        <v>5.4673759082470959</v>
      </c>
      <c r="O342" s="4">
        <v>3.9</v>
      </c>
      <c r="P342" s="14">
        <f t="shared" si="64"/>
        <v>2.4566672377534089</v>
      </c>
      <c r="Q342" s="14">
        <f t="shared" si="62"/>
        <v>6.9361070249291483</v>
      </c>
    </row>
    <row r="343" spans="1:17" x14ac:dyDescent="0.25">
      <c r="A343" s="5" t="s">
        <v>400</v>
      </c>
      <c r="B343" s="6">
        <f t="shared" si="63"/>
        <v>3</v>
      </c>
      <c r="C343" s="70">
        <v>19.146678919999999</v>
      </c>
      <c r="D343" s="4">
        <v>8.1</v>
      </c>
      <c r="E343" s="12">
        <f t="shared" si="52"/>
        <v>0</v>
      </c>
      <c r="F343" s="12">
        <f t="shared" si="53"/>
        <v>8.1</v>
      </c>
      <c r="G343" s="16">
        <f t="shared" si="55"/>
        <v>10.376328728519249</v>
      </c>
      <c r="H343" s="14">
        <f t="shared" si="56"/>
        <v>0.67704304637969104</v>
      </c>
      <c r="I343" s="14">
        <f t="shared" si="57"/>
        <v>17.880372936957027</v>
      </c>
      <c r="J343" s="14">
        <f t="shared" si="58"/>
        <v>0.98627164160960701</v>
      </c>
      <c r="K343" s="14">
        <f t="shared" si="59"/>
        <v>4.3764644002957738</v>
      </c>
      <c r="L343" s="14">
        <f t="shared" si="60"/>
        <v>639.48056311192522</v>
      </c>
      <c r="M343" s="14">
        <f t="shared" si="54"/>
        <v>0.22943646584651012</v>
      </c>
      <c r="N343" s="14">
        <f t="shared" si="61"/>
        <v>5.8713428933638188</v>
      </c>
      <c r="O343" s="4">
        <v>3.89</v>
      </c>
      <c r="P343" s="14">
        <f t="shared" si="64"/>
        <v>3.9257196610833085</v>
      </c>
      <c r="Q343" s="14">
        <f t="shared" si="62"/>
        <v>6.9888800048142041</v>
      </c>
    </row>
    <row r="344" spans="1:17" x14ac:dyDescent="0.25">
      <c r="A344" s="5" t="s">
        <v>401</v>
      </c>
      <c r="B344" s="6">
        <f t="shared" si="63"/>
        <v>3</v>
      </c>
      <c r="C344" s="70">
        <v>19.551376340000001</v>
      </c>
      <c r="D344" s="4">
        <v>0</v>
      </c>
      <c r="E344" s="12">
        <f t="shared" si="52"/>
        <v>0</v>
      </c>
      <c r="F344" s="12">
        <f t="shared" si="53"/>
        <v>0</v>
      </c>
      <c r="G344" s="16">
        <f t="shared" si="55"/>
        <v>7.6591084805740621</v>
      </c>
      <c r="H344" s="14">
        <f t="shared" si="56"/>
        <v>0</v>
      </c>
      <c r="I344" s="14">
        <f t="shared" si="57"/>
        <v>18.703292329453603</v>
      </c>
      <c r="J344" s="14">
        <f t="shared" si="58"/>
        <v>2.7172202479451872</v>
      </c>
      <c r="K344" s="14">
        <f t="shared" si="59"/>
        <v>4.0677546901823574</v>
      </c>
      <c r="L344" s="14">
        <f t="shared" si="60"/>
        <v>639.55983635619214</v>
      </c>
      <c r="M344" s="14">
        <f t="shared" si="54"/>
        <v>0.21740044752451568</v>
      </c>
      <c r="N344" s="14">
        <f t="shared" si="61"/>
        <v>5.5633378411655574</v>
      </c>
      <c r="O344" s="4">
        <v>5.44</v>
      </c>
      <c r="P344" s="14">
        <f t="shared" si="64"/>
        <v>1.5212223063380171E-2</v>
      </c>
      <c r="Q344" s="14">
        <f t="shared" si="62"/>
        <v>1.1960681226303107</v>
      </c>
    </row>
    <row r="345" spans="1:17" x14ac:dyDescent="0.25">
      <c r="A345" s="5" t="s">
        <v>402</v>
      </c>
      <c r="B345" s="6">
        <f t="shared" si="63"/>
        <v>3</v>
      </c>
      <c r="C345" s="70">
        <v>19.565719600000001</v>
      </c>
      <c r="D345" s="4">
        <v>1.5</v>
      </c>
      <c r="E345" s="12">
        <f t="shared" si="52"/>
        <v>0</v>
      </c>
      <c r="F345" s="12">
        <f t="shared" si="53"/>
        <v>1.5</v>
      </c>
      <c r="G345" s="16">
        <f t="shared" si="55"/>
        <v>6.9716107054604883</v>
      </c>
      <c r="H345" s="14">
        <f t="shared" si="56"/>
        <v>0.17870077620532385</v>
      </c>
      <c r="I345" s="14">
        <f t="shared" si="57"/>
        <v>18.732458185775645</v>
      </c>
      <c r="J345" s="14">
        <f t="shared" si="58"/>
        <v>2.008796998908251</v>
      </c>
      <c r="K345" s="14">
        <f t="shared" si="59"/>
        <v>3.9649997125810312</v>
      </c>
      <c r="L345" s="14">
        <f t="shared" si="60"/>
        <v>639.62389166247431</v>
      </c>
      <c r="M345" s="14">
        <f t="shared" si="54"/>
        <v>0.21340224626178184</v>
      </c>
      <c r="N345" s="14">
        <f t="shared" si="61"/>
        <v>5.4610227602407369</v>
      </c>
      <c r="O345" s="4">
        <v>5.71</v>
      </c>
      <c r="P345" s="14">
        <f t="shared" si="64"/>
        <v>6.198966591814159E-2</v>
      </c>
      <c r="Q345" s="14">
        <f t="shared" si="62"/>
        <v>0.67839766573376237</v>
      </c>
    </row>
    <row r="346" spans="1:17" x14ac:dyDescent="0.25">
      <c r="A346" s="5" t="s">
        <v>403</v>
      </c>
      <c r="B346" s="6">
        <f t="shared" si="63"/>
        <v>3</v>
      </c>
      <c r="C346" s="70">
        <v>18.785207750000001</v>
      </c>
      <c r="D346" s="4">
        <v>0.5</v>
      </c>
      <c r="E346" s="12">
        <f t="shared" si="52"/>
        <v>0</v>
      </c>
      <c r="F346" s="12">
        <f t="shared" si="53"/>
        <v>0.5</v>
      </c>
      <c r="G346" s="16">
        <f t="shared" si="55"/>
        <v>5.7413915525394392</v>
      </c>
      <c r="H346" s="14">
        <f t="shared" si="56"/>
        <v>5.6654258866525094E-2</v>
      </c>
      <c r="I346" s="14">
        <f t="shared" si="57"/>
        <v>17.145350619242663</v>
      </c>
      <c r="J346" s="14">
        <f t="shared" si="58"/>
        <v>1.6735648940545238</v>
      </c>
      <c r="K346" s="14">
        <f t="shared" si="59"/>
        <v>3.7492697809189788</v>
      </c>
      <c r="L346" s="14">
        <f t="shared" si="60"/>
        <v>639.68287360674117</v>
      </c>
      <c r="M346" s="14">
        <f t="shared" si="54"/>
        <v>0.20499210051320163</v>
      </c>
      <c r="N346" s="14">
        <f t="shared" si="61"/>
        <v>5.2458047943829724</v>
      </c>
      <c r="O346" s="4">
        <v>6.49</v>
      </c>
      <c r="P346" s="14">
        <f t="shared" si="64"/>
        <v>1.5480217096803981</v>
      </c>
      <c r="Q346" s="14">
        <f t="shared" si="62"/>
        <v>1.9052346992869571E-3</v>
      </c>
    </row>
    <row r="347" spans="1:17" x14ac:dyDescent="0.25">
      <c r="A347" s="5" t="s">
        <v>404</v>
      </c>
      <c r="B347" s="6">
        <f t="shared" si="63"/>
        <v>9</v>
      </c>
      <c r="C347" s="70">
        <v>15.648930549999999</v>
      </c>
      <c r="D347" s="4">
        <v>0</v>
      </c>
      <c r="E347" s="12">
        <f t="shared" ref="E347:E410" si="65">IF(C347&gt;$C$9,MAX(E346-$C$10*(C347-$C$9),0),E346+D347)</f>
        <v>0</v>
      </c>
      <c r="F347" s="12">
        <f t="shared" ref="F347:F410" si="66">IF(C347&gt;$C$9,D347+MIN(E346,$C$10*(C347-$C$9)),0)</f>
        <v>0</v>
      </c>
      <c r="G347" s="16">
        <f t="shared" si="55"/>
        <v>5.409523730152233</v>
      </c>
      <c r="H347" s="14">
        <f t="shared" si="56"/>
        <v>0</v>
      </c>
      <c r="I347" s="14">
        <f t="shared" si="57"/>
        <v>4.1284299629129251</v>
      </c>
      <c r="J347" s="14">
        <f t="shared" si="58"/>
        <v>0.33186782238720636</v>
      </c>
      <c r="K347" s="14">
        <f t="shared" si="59"/>
        <v>3.4959309716627267</v>
      </c>
      <c r="L347" s="14">
        <f t="shared" si="60"/>
        <v>639.73122031548428</v>
      </c>
      <c r="M347" s="14">
        <f t="shared" si="54"/>
        <v>0.19511133156171045</v>
      </c>
      <c r="N347" s="14">
        <f t="shared" si="61"/>
        <v>4.9929531722562714</v>
      </c>
      <c r="O347" s="4">
        <v>1.81</v>
      </c>
      <c r="P347" s="14">
        <f t="shared" si="64"/>
        <v>10.131190896776261</v>
      </c>
      <c r="Q347" s="14">
        <f t="shared" si="62"/>
        <v>22.312859820906144</v>
      </c>
    </row>
    <row r="348" spans="1:17" x14ac:dyDescent="0.25">
      <c r="A348" s="5" t="s">
        <v>405</v>
      </c>
      <c r="B348" s="6">
        <f t="shared" si="63"/>
        <v>9</v>
      </c>
      <c r="C348" s="70">
        <v>17.786622999999999</v>
      </c>
      <c r="D348" s="4">
        <v>0</v>
      </c>
      <c r="E348" s="12">
        <f t="shared" si="65"/>
        <v>0</v>
      </c>
      <c r="F348" s="12">
        <f t="shared" si="66"/>
        <v>0</v>
      </c>
      <c r="G348" s="16">
        <f t="shared" si="55"/>
        <v>4.8557157659136179</v>
      </c>
      <c r="H348" s="14">
        <f t="shared" si="56"/>
        <v>0</v>
      </c>
      <c r="I348" s="14">
        <f t="shared" si="57"/>
        <v>7.3120155855733886</v>
      </c>
      <c r="J348" s="14">
        <f t="shared" si="58"/>
        <v>0.55380796423861534</v>
      </c>
      <c r="K348" s="14">
        <f t="shared" si="59"/>
        <v>3.2649577849058167</v>
      </c>
      <c r="L348" s="14">
        <f t="shared" si="60"/>
        <v>639.76708217067949</v>
      </c>
      <c r="M348" s="14">
        <f t="shared" si="54"/>
        <v>0.18610112055528227</v>
      </c>
      <c r="N348" s="14">
        <f t="shared" si="61"/>
        <v>4.7623793697653829</v>
      </c>
      <c r="O348" s="4">
        <v>1.83</v>
      </c>
      <c r="P348" s="14">
        <f t="shared" si="64"/>
        <v>8.5988487682256238</v>
      </c>
      <c r="Q348" s="14">
        <f t="shared" si="62"/>
        <v>22.124313861136024</v>
      </c>
    </row>
    <row r="349" spans="1:17" x14ac:dyDescent="0.25">
      <c r="A349" s="5" t="s">
        <v>406</v>
      </c>
      <c r="B349" s="6">
        <f t="shared" si="63"/>
        <v>9</v>
      </c>
      <c r="C349" s="70">
        <v>17.599859240000001</v>
      </c>
      <c r="D349" s="4">
        <v>0</v>
      </c>
      <c r="E349" s="12">
        <f t="shared" si="65"/>
        <v>0</v>
      </c>
      <c r="F349" s="12">
        <f t="shared" si="66"/>
        <v>0</v>
      </c>
      <c r="G349" s="16">
        <f t="shared" si="55"/>
        <v>4.3775142164615577</v>
      </c>
      <c r="H349" s="14">
        <f t="shared" si="56"/>
        <v>0</v>
      </c>
      <c r="I349" s="14">
        <f t="shared" si="57"/>
        <v>7.0338752847223454</v>
      </c>
      <c r="J349" s="14">
        <f t="shared" si="58"/>
        <v>0.47820154945205995</v>
      </c>
      <c r="K349" s="14">
        <f t="shared" si="59"/>
        <v>3.0543757064739232</v>
      </c>
      <c r="L349" s="14">
        <f t="shared" si="60"/>
        <v>639.79156312855616</v>
      </c>
      <c r="M349" s="14">
        <f t="shared" si="54"/>
        <v>0.17788461201347699</v>
      </c>
      <c r="N349" s="14">
        <f t="shared" si="61"/>
        <v>4.5521166338171026</v>
      </c>
      <c r="O349" s="4">
        <v>1.82</v>
      </c>
      <c r="P349" s="14">
        <f t="shared" si="64"/>
        <v>7.4644613007800942</v>
      </c>
      <c r="Q349" s="14">
        <f t="shared" si="62"/>
        <v>22.218486841021079</v>
      </c>
    </row>
    <row r="350" spans="1:17" x14ac:dyDescent="0.25">
      <c r="A350" s="5" t="s">
        <v>407</v>
      </c>
      <c r="B350" s="6">
        <f t="shared" si="63"/>
        <v>9</v>
      </c>
      <c r="C350" s="70">
        <v>17.504093170000001</v>
      </c>
      <c r="D350" s="4">
        <v>0</v>
      </c>
      <c r="E350" s="12">
        <f t="shared" si="65"/>
        <v>0</v>
      </c>
      <c r="F350" s="12">
        <f t="shared" si="66"/>
        <v>0</v>
      </c>
      <c r="G350" s="16">
        <f t="shared" si="55"/>
        <v>3.9551482566882568</v>
      </c>
      <c r="H350" s="14">
        <f t="shared" si="56"/>
        <v>0</v>
      </c>
      <c r="I350" s="14">
        <f t="shared" si="57"/>
        <v>6.8912544490681356</v>
      </c>
      <c r="J350" s="14">
        <f t="shared" si="58"/>
        <v>0.42236595977330088</v>
      </c>
      <c r="K350" s="14">
        <f t="shared" si="59"/>
        <v>2.8623845391036298</v>
      </c>
      <c r="L350" s="14">
        <f t="shared" si="60"/>
        <v>639.80566968391292</v>
      </c>
      <c r="M350" s="14">
        <f t="shared" si="54"/>
        <v>0.17039173552225417</v>
      </c>
      <c r="N350" s="14">
        <f t="shared" si="61"/>
        <v>4.3603718430521301</v>
      </c>
      <c r="O350" s="4">
        <v>1.79</v>
      </c>
      <c r="P350" s="14">
        <f t="shared" si="64"/>
        <v>6.6068114115552037</v>
      </c>
      <c r="Q350" s="14">
        <f t="shared" si="62"/>
        <v>22.502205780676253</v>
      </c>
    </row>
    <row r="351" spans="1:17" x14ac:dyDescent="0.25">
      <c r="A351" s="5" t="s">
        <v>408</v>
      </c>
      <c r="B351" s="6">
        <f t="shared" si="63"/>
        <v>9</v>
      </c>
      <c r="C351" s="70">
        <v>17.204877849999999</v>
      </c>
      <c r="D351" s="4">
        <v>0</v>
      </c>
      <c r="E351" s="12">
        <f t="shared" si="65"/>
        <v>0</v>
      </c>
      <c r="F351" s="12">
        <f t="shared" si="66"/>
        <v>0</v>
      </c>
      <c r="G351" s="16">
        <f t="shared" si="55"/>
        <v>3.5982107736865987</v>
      </c>
      <c r="H351" s="14">
        <f t="shared" si="56"/>
        <v>0</v>
      </c>
      <c r="I351" s="14">
        <f t="shared" si="57"/>
        <v>6.4456442347308229</v>
      </c>
      <c r="J351" s="14">
        <f t="shared" si="58"/>
        <v>0.35693748300165812</v>
      </c>
      <c r="K351" s="14">
        <f t="shared" si="59"/>
        <v>2.6873430131452385</v>
      </c>
      <c r="L351" s="14">
        <f t="shared" si="60"/>
        <v>639.81031947434906</v>
      </c>
      <c r="M351" s="14">
        <f t="shared" ref="M351:M414" si="67">MAX(0,K351-$F$9)*$F$8+K351*$F$10+L351*$F$11</f>
        <v>0.16355860672494546</v>
      </c>
      <c r="N351" s="14">
        <f t="shared" si="61"/>
        <v>4.1855101790376672</v>
      </c>
      <c r="O351" s="4">
        <v>1.78</v>
      </c>
      <c r="P351" s="14">
        <f t="shared" si="64"/>
        <v>5.7864792214538285</v>
      </c>
      <c r="Q351" s="14">
        <f t="shared" si="62"/>
        <v>22.597178760561309</v>
      </c>
    </row>
    <row r="352" spans="1:17" x14ac:dyDescent="0.25">
      <c r="A352" s="5" t="s">
        <v>409</v>
      </c>
      <c r="B352" s="6">
        <f t="shared" si="63"/>
        <v>9</v>
      </c>
      <c r="C352" s="70">
        <v>17.30035019</v>
      </c>
      <c r="D352" s="4">
        <v>0</v>
      </c>
      <c r="E352" s="12">
        <f t="shared" si="65"/>
        <v>0</v>
      </c>
      <c r="F352" s="12">
        <f t="shared" si="66"/>
        <v>0</v>
      </c>
      <c r="G352" s="16">
        <f t="shared" ref="G352:G415" si="68">G351+F352-H352-J352</f>
        <v>3.2663225175413291</v>
      </c>
      <c r="H352" s="14">
        <f t="shared" ref="H352:H415" si="69">(F352*(G351/$C$11)^$C$12)</f>
        <v>0</v>
      </c>
      <c r="I352" s="14">
        <f t="shared" ref="I352:I415" si="70">(1+$C$13*(C352-INDEX($A$16:$A$27,B352)))*INDEX($C$16:$C$27,B352)</f>
        <v>6.5878276292531508</v>
      </c>
      <c r="J352" s="14">
        <f t="shared" ref="J352:J415" si="71">IF(G351&gt;$F$13,I352,I352*(G351/$F$13))</f>
        <v>0.33188825614526951</v>
      </c>
      <c r="K352" s="14">
        <f t="shared" ref="K352:K415" si="72">K351+H352-MAX(0,K351-$F$9)*$F$8-K351*$F$10-K351*$F$12</f>
        <v>2.5277547558857396</v>
      </c>
      <c r="L352" s="14">
        <f t="shared" ref="L352:L415" si="73">L351+K351*$F$12-L351*$F$11</f>
        <v>639.80634912488358</v>
      </c>
      <c r="M352" s="14">
        <f t="shared" si="67"/>
        <v>0.15732698119580743</v>
      </c>
      <c r="N352" s="14">
        <f t="shared" ref="N352:N415" si="74">M352*$C$8*1000/(24*3600)</f>
        <v>4.0260411507399336</v>
      </c>
      <c r="O352" s="4">
        <v>1.79</v>
      </c>
      <c r="P352" s="14">
        <f t="shared" si="64"/>
        <v>4.9998800278023667</v>
      </c>
      <c r="Q352" s="14">
        <f t="shared" ref="Q352:Q415" si="75">(O352-$F$23)^2</f>
        <v>22.502205780676253</v>
      </c>
    </row>
    <row r="353" spans="1:17" x14ac:dyDescent="0.25">
      <c r="A353" s="5" t="s">
        <v>410</v>
      </c>
      <c r="B353" s="6">
        <f t="shared" ref="B353:B416" si="76">MONTH(A353)</f>
        <v>9</v>
      </c>
      <c r="C353" s="70">
        <v>15.61724854</v>
      </c>
      <c r="D353" s="4">
        <v>0</v>
      </c>
      <c r="E353" s="12">
        <f t="shared" si="65"/>
        <v>0</v>
      </c>
      <c r="F353" s="12">
        <f t="shared" si="66"/>
        <v>0</v>
      </c>
      <c r="G353" s="16">
        <f t="shared" si="68"/>
        <v>3.0796780951868334</v>
      </c>
      <c r="H353" s="14">
        <f t="shared" si="69"/>
        <v>0</v>
      </c>
      <c r="I353" s="14">
        <f t="shared" si="70"/>
        <v>4.0812471272655513</v>
      </c>
      <c r="J353" s="14">
        <f t="shared" si="71"/>
        <v>0.18664442235449552</v>
      </c>
      <c r="K353" s="14">
        <f t="shared" si="72"/>
        <v>2.3822554995482563</v>
      </c>
      <c r="L353" s="14">
        <f t="shared" si="73"/>
        <v>639.79452140002525</v>
      </c>
      <c r="M353" s="14">
        <f t="shared" si="67"/>
        <v>0.15164375652749695</v>
      </c>
      <c r="N353" s="14">
        <f t="shared" si="74"/>
        <v>3.880605852804349</v>
      </c>
      <c r="O353" s="4">
        <v>1.81</v>
      </c>
      <c r="P353" s="14">
        <f t="shared" ref="P353:P416" si="77">(O353-N353)^2</f>
        <v>4.2874085976676248</v>
      </c>
      <c r="Q353" s="14">
        <f t="shared" si="75"/>
        <v>22.312859820906144</v>
      </c>
    </row>
    <row r="354" spans="1:17" x14ac:dyDescent="0.25">
      <c r="A354" s="5" t="s">
        <v>411</v>
      </c>
      <c r="B354" s="6">
        <f t="shared" si="76"/>
        <v>9</v>
      </c>
      <c r="C354" s="70">
        <v>16.14885902</v>
      </c>
      <c r="D354" s="4">
        <v>0</v>
      </c>
      <c r="E354" s="12">
        <f t="shared" si="65"/>
        <v>0</v>
      </c>
      <c r="F354" s="12">
        <f t="shared" si="66"/>
        <v>0</v>
      </c>
      <c r="G354" s="16">
        <f t="shared" si="68"/>
        <v>2.8695613020057826</v>
      </c>
      <c r="H354" s="14">
        <f t="shared" si="69"/>
        <v>0</v>
      </c>
      <c r="I354" s="14">
        <f t="shared" si="70"/>
        <v>4.8729547842690764</v>
      </c>
      <c r="J354" s="14">
        <f t="shared" si="71"/>
        <v>0.21011679318105064</v>
      </c>
      <c r="K354" s="14">
        <f t="shared" si="72"/>
        <v>2.2496014186133606</v>
      </c>
      <c r="L354" s="14">
        <f t="shared" si="73"/>
        <v>639.77553172443265</v>
      </c>
      <c r="M354" s="14">
        <f t="shared" si="67"/>
        <v>0.1464605183759797</v>
      </c>
      <c r="N354" s="14">
        <f t="shared" si="74"/>
        <v>3.7479653487186471</v>
      </c>
      <c r="O354" s="4">
        <v>1.84</v>
      </c>
      <c r="P354" s="14">
        <f t="shared" si="77"/>
        <v>3.6403317719110682</v>
      </c>
      <c r="Q354" s="14">
        <f t="shared" si="75"/>
        <v>22.030340881250968</v>
      </c>
    </row>
    <row r="355" spans="1:17" x14ac:dyDescent="0.25">
      <c r="A355" s="5" t="s">
        <v>412</v>
      </c>
      <c r="B355" s="6">
        <f t="shared" si="76"/>
        <v>9</v>
      </c>
      <c r="C355" s="70">
        <v>17.69412041</v>
      </c>
      <c r="D355" s="4">
        <v>0</v>
      </c>
      <c r="E355" s="12">
        <f t="shared" si="65"/>
        <v>0</v>
      </c>
      <c r="F355" s="12">
        <f t="shared" si="66"/>
        <v>0</v>
      </c>
      <c r="G355" s="16">
        <f t="shared" si="68"/>
        <v>2.5813205580683038</v>
      </c>
      <c r="H355" s="14">
        <f t="shared" si="69"/>
        <v>0</v>
      </c>
      <c r="I355" s="14">
        <f t="shared" si="70"/>
        <v>7.1742549289443902</v>
      </c>
      <c r="J355" s="14">
        <f t="shared" si="71"/>
        <v>0.28824074393747895</v>
      </c>
      <c r="K355" s="14">
        <f t="shared" si="72"/>
        <v>2.1286584967618172</v>
      </c>
      <c r="L355" s="14">
        <f t="shared" si="73"/>
        <v>639.75001412790823</v>
      </c>
      <c r="M355" s="14">
        <f t="shared" si="67"/>
        <v>0.14173312658215687</v>
      </c>
      <c r="N355" s="14">
        <f t="shared" si="74"/>
        <v>3.6269900795503336</v>
      </c>
      <c r="O355" s="4">
        <v>1.84</v>
      </c>
      <c r="P355" s="14">
        <f t="shared" si="77"/>
        <v>3.1933335444113071</v>
      </c>
      <c r="Q355" s="14">
        <f t="shared" si="75"/>
        <v>22.030340881250968</v>
      </c>
    </row>
    <row r="356" spans="1:17" x14ac:dyDescent="0.25">
      <c r="A356" s="5" t="s">
        <v>413</v>
      </c>
      <c r="B356" s="6">
        <f t="shared" si="76"/>
        <v>9</v>
      </c>
      <c r="C356" s="70">
        <v>18.716814039999999</v>
      </c>
      <c r="D356" s="4">
        <v>0</v>
      </c>
      <c r="E356" s="12">
        <f t="shared" si="65"/>
        <v>0</v>
      </c>
      <c r="F356" s="12">
        <f t="shared" si="66"/>
        <v>0</v>
      </c>
      <c r="G356" s="16">
        <f t="shared" si="68"/>
        <v>2.2669874199371836</v>
      </c>
      <c r="H356" s="14">
        <f t="shared" si="69"/>
        <v>0</v>
      </c>
      <c r="I356" s="14">
        <f t="shared" si="70"/>
        <v>8.6973144021882796</v>
      </c>
      <c r="J356" s="14">
        <f t="shared" si="71"/>
        <v>0.31433313813112018</v>
      </c>
      <c r="K356" s="14">
        <f t="shared" si="72"/>
        <v>2.0183928325402443</v>
      </c>
      <c r="L356" s="14">
        <f t="shared" si="73"/>
        <v>639.71854666554759</v>
      </c>
      <c r="M356" s="14">
        <f t="shared" si="67"/>
        <v>0.13742133783210017</v>
      </c>
      <c r="N356" s="14">
        <f t="shared" si="74"/>
        <v>3.516650207717285</v>
      </c>
      <c r="O356" s="4">
        <v>1.82</v>
      </c>
      <c r="P356" s="14">
        <f t="shared" si="77"/>
        <v>2.8786219273471061</v>
      </c>
      <c r="Q356" s="14">
        <f t="shared" si="75"/>
        <v>22.218486841021079</v>
      </c>
    </row>
    <row r="357" spans="1:17" x14ac:dyDescent="0.25">
      <c r="A357" s="5" t="s">
        <v>414</v>
      </c>
      <c r="B357" s="6">
        <f t="shared" si="76"/>
        <v>9</v>
      </c>
      <c r="C357" s="70">
        <v>15.67895508</v>
      </c>
      <c r="D357" s="4">
        <v>0</v>
      </c>
      <c r="E357" s="12">
        <f t="shared" si="65"/>
        <v>0</v>
      </c>
      <c r="F357" s="12">
        <f t="shared" si="66"/>
        <v>0</v>
      </c>
      <c r="G357" s="16">
        <f t="shared" si="68"/>
        <v>2.1345302174725451</v>
      </c>
      <c r="H357" s="14">
        <f t="shared" si="69"/>
        <v>0</v>
      </c>
      <c r="I357" s="14">
        <f t="shared" si="70"/>
        <v>4.1731443754258848</v>
      </c>
      <c r="J357" s="14">
        <f t="shared" si="71"/>
        <v>0.13245720246463827</v>
      </c>
      <c r="K357" s="14">
        <f t="shared" si="72"/>
        <v>1.9178618008759929</v>
      </c>
      <c r="L357" s="14">
        <f t="shared" si="73"/>
        <v>639.68165635937976</v>
      </c>
      <c r="M357" s="14">
        <f t="shared" si="67"/>
        <v>0.13667787304721477</v>
      </c>
      <c r="N357" s="14">
        <f t="shared" si="74"/>
        <v>3.4976247373540725</v>
      </c>
      <c r="O357" s="4">
        <v>1.83</v>
      </c>
      <c r="P357" s="14">
        <f t="shared" si="77"/>
        <v>2.7809722646352393</v>
      </c>
      <c r="Q357" s="14">
        <f t="shared" si="75"/>
        <v>22.124313861136024</v>
      </c>
    </row>
    <row r="358" spans="1:17" x14ac:dyDescent="0.25">
      <c r="A358" s="5" t="s">
        <v>415</v>
      </c>
      <c r="B358" s="6">
        <f t="shared" si="76"/>
        <v>9</v>
      </c>
      <c r="C358" s="70">
        <v>15.207185750000001</v>
      </c>
      <c r="D358" s="4">
        <v>0.5</v>
      </c>
      <c r="E358" s="12">
        <f t="shared" si="65"/>
        <v>0</v>
      </c>
      <c r="F358" s="12">
        <f t="shared" si="66"/>
        <v>0.5</v>
      </c>
      <c r="G358" s="16">
        <f t="shared" si="68"/>
        <v>2.5006639772226529</v>
      </c>
      <c r="H358" s="14">
        <f t="shared" si="69"/>
        <v>3.0145785822069691E-2</v>
      </c>
      <c r="I358" s="14">
        <f t="shared" si="70"/>
        <v>3.47055591084102</v>
      </c>
      <c r="J358" s="14">
        <f t="shared" si="71"/>
        <v>0.10372045442782259</v>
      </c>
      <c r="K358" s="14">
        <f t="shared" si="72"/>
        <v>1.8531623692889228</v>
      </c>
      <c r="L358" s="14">
        <f t="shared" si="73"/>
        <v>639.63982370374174</v>
      </c>
      <c r="M358" s="14">
        <f t="shared" si="67"/>
        <v>0.13665517886076189</v>
      </c>
      <c r="N358" s="14">
        <f t="shared" si="74"/>
        <v>3.4970439868188024</v>
      </c>
      <c r="O358" s="4">
        <v>1.82</v>
      </c>
      <c r="P358" s="14">
        <f t="shared" si="77"/>
        <v>2.812476533725103</v>
      </c>
      <c r="Q358" s="14">
        <f t="shared" si="75"/>
        <v>22.218486841021079</v>
      </c>
    </row>
    <row r="359" spans="1:17" x14ac:dyDescent="0.25">
      <c r="A359" s="5" t="s">
        <v>416</v>
      </c>
      <c r="B359" s="6">
        <f t="shared" si="76"/>
        <v>9</v>
      </c>
      <c r="C359" s="70">
        <v>17.832603450000001</v>
      </c>
      <c r="D359" s="4">
        <v>0</v>
      </c>
      <c r="E359" s="12">
        <f t="shared" si="65"/>
        <v>0</v>
      </c>
      <c r="F359" s="12">
        <f t="shared" si="66"/>
        <v>0</v>
      </c>
      <c r="G359" s="16">
        <f t="shared" si="68"/>
        <v>2.2422572933763023</v>
      </c>
      <c r="H359" s="14">
        <f t="shared" si="69"/>
        <v>0</v>
      </c>
      <c r="I359" s="14">
        <f t="shared" si="70"/>
        <v>7.3804925545328208</v>
      </c>
      <c r="J359" s="14">
        <f t="shared" si="71"/>
        <v>0.2584066838463504</v>
      </c>
      <c r="K359" s="14">
        <f t="shared" si="72"/>
        <v>1.7615167732770705</v>
      </c>
      <c r="L359" s="14">
        <f t="shared" si="73"/>
        <v>639.59481412089281</v>
      </c>
      <c r="M359" s="14">
        <f t="shared" si="67"/>
        <v>0.13662606764939264</v>
      </c>
      <c r="N359" s="14">
        <f t="shared" si="74"/>
        <v>3.4962990228334152</v>
      </c>
      <c r="O359" s="4">
        <v>1.82</v>
      </c>
      <c r="P359" s="14">
        <f t="shared" si="77"/>
        <v>2.8099784139522623</v>
      </c>
      <c r="Q359" s="14">
        <f t="shared" si="75"/>
        <v>22.218486841021079</v>
      </c>
    </row>
    <row r="360" spans="1:17" x14ac:dyDescent="0.25">
      <c r="A360" s="5" t="s">
        <v>417</v>
      </c>
      <c r="B360" s="6">
        <f t="shared" si="76"/>
        <v>9</v>
      </c>
      <c r="C360" s="70">
        <v>18.174486160000001</v>
      </c>
      <c r="D360" s="4">
        <v>0</v>
      </c>
      <c r="E360" s="12">
        <f t="shared" si="65"/>
        <v>0</v>
      </c>
      <c r="F360" s="12">
        <f t="shared" si="66"/>
        <v>0</v>
      </c>
      <c r="G360" s="16">
        <f t="shared" si="68"/>
        <v>1.9945687006972133</v>
      </c>
      <c r="H360" s="14">
        <f t="shared" si="69"/>
        <v>0</v>
      </c>
      <c r="I360" s="14">
        <f t="shared" si="70"/>
        <v>7.8896457211598525</v>
      </c>
      <c r="J360" s="14">
        <f t="shared" si="71"/>
        <v>0.24768859267908905</v>
      </c>
      <c r="K360" s="14">
        <f t="shared" si="72"/>
        <v>1.6744033841606079</v>
      </c>
      <c r="L360" s="14">
        <f t="shared" si="73"/>
        <v>639.54530144235991</v>
      </c>
      <c r="M360" s="14">
        <f t="shared" si="67"/>
        <v>0.1365969626394907</v>
      </c>
      <c r="N360" s="14">
        <f t="shared" si="74"/>
        <v>3.4955542175452998</v>
      </c>
      <c r="O360" s="4">
        <v>1.79</v>
      </c>
      <c r="P360" s="14">
        <f t="shared" si="77"/>
        <v>2.9089151889865597</v>
      </c>
      <c r="Q360" s="14">
        <f t="shared" si="75"/>
        <v>22.502205780676253</v>
      </c>
    </row>
    <row r="361" spans="1:17" x14ac:dyDescent="0.25">
      <c r="A361" s="5" t="s">
        <v>418</v>
      </c>
      <c r="B361" s="6">
        <f t="shared" si="76"/>
        <v>9</v>
      </c>
      <c r="C361" s="70">
        <v>18.235157010000002</v>
      </c>
      <c r="D361" s="4">
        <v>1.1000000000000001</v>
      </c>
      <c r="E361" s="12">
        <f t="shared" si="65"/>
        <v>0</v>
      </c>
      <c r="F361" s="12">
        <f t="shared" si="66"/>
        <v>1.1000000000000001</v>
      </c>
      <c r="G361" s="16">
        <f t="shared" si="68"/>
        <v>2.8077515132100044</v>
      </c>
      <c r="H361" s="14">
        <f t="shared" si="69"/>
        <v>6.3965986188610061E-2</v>
      </c>
      <c r="I361" s="14">
        <f t="shared" si="70"/>
        <v>7.980000554837912</v>
      </c>
      <c r="J361" s="14">
        <f t="shared" si="71"/>
        <v>0.22285120129859903</v>
      </c>
      <c r="K361" s="14">
        <f t="shared" si="72"/>
        <v>1.6555640540700285</v>
      </c>
      <c r="L361" s="14">
        <f t="shared" si="73"/>
        <v>639.4915097959996</v>
      </c>
      <c r="M361" s="14">
        <f t="shared" si="67"/>
        <v>0.13658149029716865</v>
      </c>
      <c r="N361" s="14">
        <f t="shared" si="74"/>
        <v>3.4951582760074067</v>
      </c>
      <c r="O361" s="4">
        <v>1.8</v>
      </c>
      <c r="P361" s="14">
        <f t="shared" si="77"/>
        <v>2.873561580716403</v>
      </c>
      <c r="Q361" s="14">
        <f t="shared" si="75"/>
        <v>22.407432800791199</v>
      </c>
    </row>
    <row r="362" spans="1:17" x14ac:dyDescent="0.25">
      <c r="A362" s="5" t="s">
        <v>419</v>
      </c>
      <c r="B362" s="6">
        <f t="shared" si="76"/>
        <v>9</v>
      </c>
      <c r="C362" s="70">
        <v>17.01696587</v>
      </c>
      <c r="D362" s="4">
        <v>0</v>
      </c>
      <c r="E362" s="12">
        <f t="shared" si="65"/>
        <v>0</v>
      </c>
      <c r="F362" s="12">
        <f t="shared" si="66"/>
        <v>0</v>
      </c>
      <c r="G362" s="16">
        <f t="shared" si="68"/>
        <v>2.565363725805883</v>
      </c>
      <c r="H362" s="14">
        <f t="shared" si="69"/>
        <v>0</v>
      </c>
      <c r="I362" s="14">
        <f t="shared" si="70"/>
        <v>6.165793932666249</v>
      </c>
      <c r="J362" s="14">
        <f t="shared" si="71"/>
        <v>0.24238778740412126</v>
      </c>
      <c r="K362" s="14">
        <f t="shared" si="72"/>
        <v>1.5736904109476157</v>
      </c>
      <c r="L362" s="14">
        <f t="shared" si="73"/>
        <v>639.43680194882484</v>
      </c>
      <c r="M362" s="14">
        <f t="shared" si="67"/>
        <v>0.13655239478343609</v>
      </c>
      <c r="N362" s="14">
        <f t="shared" si="74"/>
        <v>3.4944137137289024</v>
      </c>
      <c r="O362" s="4">
        <v>1.85</v>
      </c>
      <c r="P362" s="14">
        <f t="shared" si="77"/>
        <v>2.7040964618996801</v>
      </c>
      <c r="Q362" s="14">
        <f t="shared" si="75"/>
        <v>21.936567901365905</v>
      </c>
    </row>
    <row r="363" spans="1:17" x14ac:dyDescent="0.25">
      <c r="A363" s="5" t="s">
        <v>420</v>
      </c>
      <c r="B363" s="6">
        <f t="shared" si="76"/>
        <v>12</v>
      </c>
      <c r="C363" s="70">
        <v>18.17324829</v>
      </c>
      <c r="D363" s="4">
        <v>1.3</v>
      </c>
      <c r="E363" s="12">
        <f t="shared" si="65"/>
        <v>0</v>
      </c>
      <c r="F363" s="12">
        <f t="shared" si="66"/>
        <v>1.3</v>
      </c>
      <c r="G363" s="16">
        <f t="shared" si="68"/>
        <v>3.4735516522881618</v>
      </c>
      <c r="H363" s="14">
        <f t="shared" si="69"/>
        <v>8.6449501492283212E-2</v>
      </c>
      <c r="I363" s="14">
        <f t="shared" si="70"/>
        <v>8.5016612635210151</v>
      </c>
      <c r="J363" s="14">
        <f t="shared" si="71"/>
        <v>0.30536257202543832</v>
      </c>
      <c r="K363" s="14">
        <f t="shared" si="72"/>
        <v>1.582315217723715</v>
      </c>
      <c r="L363" s="14">
        <f t="shared" si="73"/>
        <v>639.37807424875757</v>
      </c>
      <c r="M363" s="14">
        <f t="shared" si="67"/>
        <v>0.13654172152590593</v>
      </c>
      <c r="N363" s="14">
        <f t="shared" si="74"/>
        <v>3.494140582103912</v>
      </c>
      <c r="O363" s="4">
        <v>2.06</v>
      </c>
      <c r="P363" s="14">
        <f t="shared" si="77"/>
        <v>2.0567592092373475</v>
      </c>
      <c r="Q363" s="14">
        <f t="shared" si="75"/>
        <v>20.01353532377971</v>
      </c>
    </row>
    <row r="364" spans="1:17" x14ac:dyDescent="0.25">
      <c r="A364" s="5" t="s">
        <v>421</v>
      </c>
      <c r="B364" s="6">
        <f t="shared" si="76"/>
        <v>12</v>
      </c>
      <c r="C364" s="70">
        <v>19.06892204</v>
      </c>
      <c r="D364" s="4">
        <v>6.6</v>
      </c>
      <c r="E364" s="12">
        <f t="shared" si="65"/>
        <v>0</v>
      </c>
      <c r="F364" s="12">
        <f t="shared" si="66"/>
        <v>6.6</v>
      </c>
      <c r="G364" s="16">
        <f t="shared" si="68"/>
        <v>9.0840800445770071</v>
      </c>
      <c r="H364" s="14">
        <f t="shared" si="69"/>
        <v>0.51585322446882431</v>
      </c>
      <c r="I364" s="14">
        <f t="shared" si="70"/>
        <v>9.7384924381471656</v>
      </c>
      <c r="J364" s="14">
        <f t="shared" si="71"/>
        <v>0.47361838324233069</v>
      </c>
      <c r="K364" s="14">
        <f t="shared" si="72"/>
        <v>2.0199172195203694</v>
      </c>
      <c r="L364" s="14">
        <f t="shared" si="73"/>
        <v>639.31978374990388</v>
      </c>
      <c r="M364" s="14">
        <f t="shared" si="67"/>
        <v>0.13739590706213109</v>
      </c>
      <c r="N364" s="14">
        <f t="shared" si="74"/>
        <v>3.5159994272496737</v>
      </c>
      <c r="O364" s="4">
        <v>2.12</v>
      </c>
      <c r="P364" s="14">
        <f t="shared" si="77"/>
        <v>1.9488144008814168</v>
      </c>
      <c r="Q364" s="14">
        <f t="shared" si="75"/>
        <v>19.480297444469361</v>
      </c>
    </row>
    <row r="365" spans="1:17" x14ac:dyDescent="0.25">
      <c r="A365" s="5" t="s">
        <v>422</v>
      </c>
      <c r="B365" s="6">
        <f t="shared" si="76"/>
        <v>12</v>
      </c>
      <c r="C365" s="70">
        <v>20.075452800000001</v>
      </c>
      <c r="D365" s="4">
        <v>2.8</v>
      </c>
      <c r="E365" s="12">
        <f t="shared" si="65"/>
        <v>0</v>
      </c>
      <c r="F365" s="12">
        <f t="shared" si="66"/>
        <v>2.8</v>
      </c>
      <c r="G365" s="16">
        <f t="shared" si="68"/>
        <v>10.103350109738155</v>
      </c>
      <c r="H365" s="14">
        <f t="shared" si="69"/>
        <v>0.36533723308152743</v>
      </c>
      <c r="I365" s="14">
        <f t="shared" si="70"/>
        <v>11.128405475330794</v>
      </c>
      <c r="J365" s="14">
        <f t="shared" si="71"/>
        <v>1.4153927017573245</v>
      </c>
      <c r="K365" s="14">
        <f t="shared" si="72"/>
        <v>2.2845888428055368</v>
      </c>
      <c r="L365" s="14">
        <f t="shared" si="73"/>
        <v>639.28305345263811</v>
      </c>
      <c r="M365" s="14">
        <f t="shared" si="67"/>
        <v>0.1477216159321813</v>
      </c>
      <c r="N365" s="14">
        <f t="shared" si="74"/>
        <v>3.7802371854867234</v>
      </c>
      <c r="O365" s="4">
        <v>2.23</v>
      </c>
      <c r="P365" s="14">
        <f t="shared" si="77"/>
        <v>2.4032353312657975</v>
      </c>
      <c r="Q365" s="14">
        <f t="shared" si="75"/>
        <v>18.521394665733734</v>
      </c>
    </row>
    <row r="366" spans="1:17" x14ac:dyDescent="0.25">
      <c r="A366" s="5" t="s">
        <v>423</v>
      </c>
      <c r="B366" s="6">
        <f t="shared" si="76"/>
        <v>12</v>
      </c>
      <c r="C366" s="70">
        <v>16.75351143</v>
      </c>
      <c r="D366" s="4">
        <v>4.2</v>
      </c>
      <c r="E366" s="12">
        <f t="shared" si="65"/>
        <v>0</v>
      </c>
      <c r="F366" s="12">
        <f t="shared" si="66"/>
        <v>4.2</v>
      </c>
      <c r="G366" s="16">
        <f t="shared" si="68"/>
        <v>12.7980815848756</v>
      </c>
      <c r="H366" s="14">
        <f t="shared" si="69"/>
        <v>0.57996793017466719</v>
      </c>
      <c r="I366" s="14">
        <f t="shared" si="70"/>
        <v>6.5411540942377338</v>
      </c>
      <c r="J366" s="14">
        <f t="shared" si="71"/>
        <v>0.92530059468788695</v>
      </c>
      <c r="K366" s="14">
        <f t="shared" si="72"/>
        <v>2.7405250408354251</v>
      </c>
      <c r="L366" s="14">
        <f t="shared" si="73"/>
        <v>639.25936356885074</v>
      </c>
      <c r="M366" s="14">
        <f t="shared" si="67"/>
        <v>0.16551761608061819</v>
      </c>
      <c r="N366" s="14">
        <f t="shared" si="74"/>
        <v>4.2356417726185969</v>
      </c>
      <c r="O366" s="4">
        <v>3.25</v>
      </c>
      <c r="P366" s="14">
        <f t="shared" si="77"/>
        <v>0.97148970393072986</v>
      </c>
      <c r="Q366" s="14">
        <f t="shared" si="75"/>
        <v>10.782350717457877</v>
      </c>
    </row>
    <row r="367" spans="1:17" x14ac:dyDescent="0.25">
      <c r="A367" s="5" t="s">
        <v>424</v>
      </c>
      <c r="B367" s="6">
        <f t="shared" si="76"/>
        <v>12</v>
      </c>
      <c r="C367" s="70">
        <v>18.741397859999999</v>
      </c>
      <c r="D367" s="4">
        <v>4.0999999999999996</v>
      </c>
      <c r="E367" s="12">
        <f t="shared" si="65"/>
        <v>0</v>
      </c>
      <c r="F367" s="12">
        <f t="shared" si="66"/>
        <v>4.0999999999999996</v>
      </c>
      <c r="G367" s="16">
        <f t="shared" si="68"/>
        <v>14.59190408835156</v>
      </c>
      <c r="H367" s="14">
        <f t="shared" si="69"/>
        <v>0.64220281159657955</v>
      </c>
      <c r="I367" s="14">
        <f t="shared" si="70"/>
        <v>9.2862160191186192</v>
      </c>
      <c r="J367" s="14">
        <f t="shared" si="71"/>
        <v>1.6639746849274577</v>
      </c>
      <c r="K367" s="14">
        <f t="shared" si="72"/>
        <v>3.2184445026260446</v>
      </c>
      <c r="L367" s="14">
        <f t="shared" si="73"/>
        <v>639.25812930257609</v>
      </c>
      <c r="M367" s="14">
        <f t="shared" si="67"/>
        <v>0.1841766890564969</v>
      </c>
      <c r="N367" s="14">
        <f t="shared" si="74"/>
        <v>4.7131326331471595</v>
      </c>
      <c r="O367" s="4">
        <v>3.75</v>
      </c>
      <c r="P367" s="14">
        <f t="shared" si="77"/>
        <v>0.9276244690329809</v>
      </c>
      <c r="Q367" s="14">
        <f t="shared" si="75"/>
        <v>7.7487017232050084</v>
      </c>
    </row>
    <row r="368" spans="1:17" x14ac:dyDescent="0.25">
      <c r="A368" s="5" t="s">
        <v>425</v>
      </c>
      <c r="B368" s="6">
        <f t="shared" si="76"/>
        <v>12</v>
      </c>
      <c r="C368" s="70">
        <v>19.45051003</v>
      </c>
      <c r="D368" s="4">
        <v>9.1</v>
      </c>
      <c r="E368" s="12">
        <f t="shared" si="65"/>
        <v>0</v>
      </c>
      <c r="F368" s="12">
        <f t="shared" si="66"/>
        <v>9.1</v>
      </c>
      <c r="G368" s="16">
        <f t="shared" si="68"/>
        <v>20.066037125023158</v>
      </c>
      <c r="H368" s="14">
        <f t="shared" si="69"/>
        <v>1.5286084246192511</v>
      </c>
      <c r="I368" s="14">
        <f t="shared" si="70"/>
        <v>10.265425288300396</v>
      </c>
      <c r="J368" s="14">
        <f t="shared" si="71"/>
        <v>2.0972585387091516</v>
      </c>
      <c r="K368" s="14">
        <f t="shared" si="72"/>
        <v>4.5405772015499952</v>
      </c>
      <c r="L368" s="14">
        <f t="shared" si="73"/>
        <v>639.28042833921484</v>
      </c>
      <c r="M368" s="14">
        <f t="shared" si="67"/>
        <v>0.2358012625947441</v>
      </c>
      <c r="N368" s="14">
        <f t="shared" si="74"/>
        <v>6.0342198101502227</v>
      </c>
      <c r="O368" s="4">
        <v>4.51</v>
      </c>
      <c r="P368" s="14">
        <f t="shared" si="77"/>
        <v>2.3232460296543813</v>
      </c>
      <c r="Q368" s="14">
        <f t="shared" si="75"/>
        <v>4.095155251940648</v>
      </c>
    </row>
    <row r="369" spans="1:17" x14ac:dyDescent="0.25">
      <c r="A369" s="5" t="s">
        <v>426</v>
      </c>
      <c r="B369" s="6">
        <f t="shared" si="76"/>
        <v>12</v>
      </c>
      <c r="C369" s="70">
        <v>19.59343338</v>
      </c>
      <c r="D369" s="4">
        <v>12.1</v>
      </c>
      <c r="E369" s="12">
        <f t="shared" si="65"/>
        <v>0</v>
      </c>
      <c r="F369" s="12">
        <f t="shared" si="66"/>
        <v>12.1</v>
      </c>
      <c r="G369" s="16">
        <f t="shared" si="68"/>
        <v>26.817817260179982</v>
      </c>
      <c r="H369" s="14">
        <f t="shared" si="69"/>
        <v>2.408729303262672</v>
      </c>
      <c r="I369" s="14">
        <f t="shared" si="70"/>
        <v>10.462787391255857</v>
      </c>
      <c r="J369" s="14">
        <f t="shared" si="71"/>
        <v>2.9394905615805054</v>
      </c>
      <c r="K369" s="14">
        <f t="shared" si="72"/>
        <v>6.6261083514522925</v>
      </c>
      <c r="L369" s="14">
        <f t="shared" si="73"/>
        <v>639.36782522998044</v>
      </c>
      <c r="M369" s="14">
        <f t="shared" si="67"/>
        <v>0.31724495181375534</v>
      </c>
      <c r="N369" s="14">
        <f t="shared" si="74"/>
        <v>8.1183864405117259</v>
      </c>
      <c r="O369" s="4">
        <v>5.56</v>
      </c>
      <c r="P369" s="14">
        <f t="shared" si="77"/>
        <v>6.5453411789942608</v>
      </c>
      <c r="Q369" s="14">
        <f t="shared" si="75"/>
        <v>0.94799236400962372</v>
      </c>
    </row>
    <row r="370" spans="1:17" x14ac:dyDescent="0.25">
      <c r="A370" s="5" t="s">
        <v>427</v>
      </c>
      <c r="B370" s="6">
        <f t="shared" si="76"/>
        <v>12</v>
      </c>
      <c r="C370" s="70">
        <v>16.753501889999999</v>
      </c>
      <c r="D370" s="4">
        <v>6.1</v>
      </c>
      <c r="E370" s="12">
        <f t="shared" si="65"/>
        <v>0</v>
      </c>
      <c r="F370" s="12">
        <f t="shared" si="66"/>
        <v>6.1</v>
      </c>
      <c r="G370" s="16">
        <f t="shared" si="68"/>
        <v>29.044402328729568</v>
      </c>
      <c r="H370" s="14">
        <f t="shared" si="69"/>
        <v>1.4173491697350762</v>
      </c>
      <c r="I370" s="14">
        <f t="shared" si="70"/>
        <v>6.5411409205018654</v>
      </c>
      <c r="J370" s="14">
        <f t="shared" si="71"/>
        <v>2.4560657617153363</v>
      </c>
      <c r="K370" s="14">
        <f t="shared" si="72"/>
        <v>7.5361414960083399</v>
      </c>
      <c r="L370" s="14">
        <f t="shared" si="73"/>
        <v>639.55789630334573</v>
      </c>
      <c r="M370" s="14">
        <f t="shared" si="67"/>
        <v>0.35281572588326704</v>
      </c>
      <c r="N370" s="14">
        <f t="shared" si="74"/>
        <v>9.0286524297211042</v>
      </c>
      <c r="O370" s="4">
        <v>6.18</v>
      </c>
      <c r="P370" s="14">
        <f t="shared" si="77"/>
        <v>8.1148206653559516</v>
      </c>
      <c r="Q370" s="14">
        <f t="shared" si="75"/>
        <v>0.12506761113606585</v>
      </c>
    </row>
    <row r="371" spans="1:17" x14ac:dyDescent="0.25">
      <c r="A371" s="5" t="s">
        <v>428</v>
      </c>
      <c r="B371" s="6">
        <f t="shared" si="76"/>
        <v>12</v>
      </c>
      <c r="C371" s="70">
        <v>13.74723053</v>
      </c>
      <c r="D371" s="4">
        <v>5.8</v>
      </c>
      <c r="E371" s="12">
        <f t="shared" si="65"/>
        <v>0</v>
      </c>
      <c r="F371" s="12">
        <f t="shared" si="66"/>
        <v>5.8</v>
      </c>
      <c r="G371" s="16">
        <f t="shared" si="68"/>
        <v>32.466405674243219</v>
      </c>
      <c r="H371" s="14">
        <f t="shared" si="69"/>
        <v>1.4061752934853873</v>
      </c>
      <c r="I371" s="14">
        <f t="shared" si="70"/>
        <v>2.3897965973777899</v>
      </c>
      <c r="J371" s="14">
        <f t="shared" si="71"/>
        <v>0.9718213610009554</v>
      </c>
      <c r="K371" s="14">
        <f t="shared" si="72"/>
        <v>8.3546599044488801</v>
      </c>
      <c r="L371" s="14">
        <f t="shared" si="73"/>
        <v>639.79273746250726</v>
      </c>
      <c r="M371" s="14">
        <f t="shared" si="67"/>
        <v>0.38482304143821977</v>
      </c>
      <c r="N371" s="14">
        <f t="shared" si="74"/>
        <v>9.8477285256933325</v>
      </c>
      <c r="O371" s="4">
        <v>6.41</v>
      </c>
      <c r="P371" s="14">
        <f t="shared" si="77"/>
        <v>11.817977416365652</v>
      </c>
      <c r="Q371" s="14">
        <f t="shared" si="75"/>
        <v>1.5289073779745952E-2</v>
      </c>
    </row>
    <row r="372" spans="1:17" x14ac:dyDescent="0.25">
      <c r="A372" s="5" t="s">
        <v>429</v>
      </c>
      <c r="B372" s="6">
        <f t="shared" si="76"/>
        <v>12</v>
      </c>
      <c r="C372" s="70">
        <v>15.16594791</v>
      </c>
      <c r="D372" s="4">
        <v>1</v>
      </c>
      <c r="E372" s="12">
        <f t="shared" si="65"/>
        <v>0</v>
      </c>
      <c r="F372" s="12">
        <f t="shared" si="66"/>
        <v>1</v>
      </c>
      <c r="G372" s="16">
        <f t="shared" si="68"/>
        <v>31.232269784137888</v>
      </c>
      <c r="H372" s="14">
        <f t="shared" si="69"/>
        <v>0.25727418526629936</v>
      </c>
      <c r="I372" s="14">
        <f t="shared" si="70"/>
        <v>4.34889597208642</v>
      </c>
      <c r="J372" s="14">
        <f t="shared" si="71"/>
        <v>1.9768617048390333</v>
      </c>
      <c r="K372" s="14">
        <f t="shared" si="72"/>
        <v>7.9520155808564068</v>
      </c>
      <c r="L372" s="14">
        <f t="shared" si="73"/>
        <v>640.06783292992782</v>
      </c>
      <c r="M372" s="14">
        <f t="shared" si="67"/>
        <v>0.36916126385155928</v>
      </c>
      <c r="N372" s="14">
        <f t="shared" si="74"/>
        <v>9.4469392867569155</v>
      </c>
      <c r="O372" s="4">
        <v>5.03</v>
      </c>
      <c r="P372" s="14">
        <f t="shared" si="77"/>
        <v>19.509352662896688</v>
      </c>
      <c r="Q372" s="14">
        <f t="shared" si="75"/>
        <v>2.2609602979176633</v>
      </c>
    </row>
    <row r="373" spans="1:17" x14ac:dyDescent="0.25">
      <c r="A373" s="5" t="s">
        <v>430</v>
      </c>
      <c r="B373" s="6">
        <f t="shared" si="76"/>
        <v>12</v>
      </c>
      <c r="C373" s="70">
        <v>16.610958100000001</v>
      </c>
      <c r="D373" s="4">
        <v>2.2999999999999998</v>
      </c>
      <c r="E373" s="12">
        <f t="shared" si="65"/>
        <v>0</v>
      </c>
      <c r="F373" s="12">
        <f t="shared" si="66"/>
        <v>2.2999999999999998</v>
      </c>
      <c r="G373" s="16">
        <f t="shared" si="68"/>
        <v>30.178356264211882</v>
      </c>
      <c r="H373" s="14">
        <f t="shared" si="69"/>
        <v>0.57963206527496058</v>
      </c>
      <c r="I373" s="14">
        <f t="shared" si="70"/>
        <v>6.3443029499558259</v>
      </c>
      <c r="J373" s="14">
        <f t="shared" si="71"/>
        <v>2.7742814546510508</v>
      </c>
      <c r="K373" s="14">
        <f t="shared" si="72"/>
        <v>7.9072759647381918</v>
      </c>
      <c r="L373" s="14">
        <f t="shared" si="73"/>
        <v>640.32304334746948</v>
      </c>
      <c r="M373" s="14">
        <f t="shared" si="67"/>
        <v>0.36746886856399358</v>
      </c>
      <c r="N373" s="14">
        <f t="shared" si="74"/>
        <v>9.4036304212383079</v>
      </c>
      <c r="O373" s="4">
        <v>4.47</v>
      </c>
      <c r="P373" s="14">
        <f t="shared" si="77"/>
        <v>24.340709133368087</v>
      </c>
      <c r="Q373" s="14">
        <f t="shared" si="75"/>
        <v>4.2586471714808782</v>
      </c>
    </row>
    <row r="374" spans="1:17" x14ac:dyDescent="0.25">
      <c r="A374" s="5" t="s">
        <v>431</v>
      </c>
      <c r="B374" s="6">
        <f t="shared" si="76"/>
        <v>12</v>
      </c>
      <c r="C374" s="70">
        <v>16.178476329999999</v>
      </c>
      <c r="D374" s="4">
        <v>0.6</v>
      </c>
      <c r="E374" s="12">
        <f t="shared" si="65"/>
        <v>0</v>
      </c>
      <c r="F374" s="12">
        <f t="shared" si="66"/>
        <v>0.6</v>
      </c>
      <c r="G374" s="16">
        <f t="shared" si="68"/>
        <v>28.201565042543397</v>
      </c>
      <c r="H374" s="14">
        <f t="shared" si="69"/>
        <v>0.14846670589005892</v>
      </c>
      <c r="I374" s="14">
        <f t="shared" si="70"/>
        <v>5.7470911464464569</v>
      </c>
      <c r="J374" s="14">
        <f t="shared" si="71"/>
        <v>2.4283245157784266</v>
      </c>
      <c r="K374" s="14">
        <f t="shared" si="72"/>
        <v>7.4353207566149848</v>
      </c>
      <c r="L374" s="14">
        <f t="shared" si="73"/>
        <v>640.5759963929188</v>
      </c>
      <c r="M374" s="14">
        <f t="shared" si="67"/>
        <v>0.34909627986356362</v>
      </c>
      <c r="N374" s="14">
        <f t="shared" si="74"/>
        <v>8.9334707728974436</v>
      </c>
      <c r="O374" s="4">
        <v>4.04</v>
      </c>
      <c r="P374" s="14">
        <f t="shared" si="77"/>
        <v>23.946056205201504</v>
      </c>
      <c r="Q374" s="14">
        <f t="shared" si="75"/>
        <v>6.2182853065383439</v>
      </c>
    </row>
    <row r="375" spans="1:17" x14ac:dyDescent="0.25">
      <c r="A375" s="5" t="s">
        <v>432</v>
      </c>
      <c r="B375" s="6">
        <f t="shared" si="76"/>
        <v>12</v>
      </c>
      <c r="C375" s="70">
        <v>16.19091225</v>
      </c>
      <c r="D375" s="4">
        <v>1.1000000000000001</v>
      </c>
      <c r="E375" s="12">
        <f t="shared" si="65"/>
        <v>0</v>
      </c>
      <c r="F375" s="12">
        <f t="shared" si="66"/>
        <v>1.1000000000000001</v>
      </c>
      <c r="G375" s="16">
        <f t="shared" si="68"/>
        <v>26.762989083313084</v>
      </c>
      <c r="H375" s="14">
        <f t="shared" si="69"/>
        <v>0.26253475719586283</v>
      </c>
      <c r="I375" s="14">
        <f t="shared" si="70"/>
        <v>5.7642638430239321</v>
      </c>
      <c r="J375" s="14">
        <f t="shared" si="71"/>
        <v>2.276041202034452</v>
      </c>
      <c r="K375" s="14">
        <f t="shared" si="72"/>
        <v>7.119099430834174</v>
      </c>
      <c r="L375" s="14">
        <f t="shared" si="73"/>
        <v>640.80565619603192</v>
      </c>
      <c r="M375" s="14">
        <f t="shared" si="67"/>
        <v>0.33679902305137255</v>
      </c>
      <c r="N375" s="14">
        <f t="shared" si="74"/>
        <v>8.6187805551688044</v>
      </c>
      <c r="O375" s="4">
        <v>3.64</v>
      </c>
      <c r="P375" s="14">
        <f t="shared" si="77"/>
        <v>24.788255816526981</v>
      </c>
      <c r="Q375" s="14">
        <f t="shared" si="75"/>
        <v>8.3732045019406378</v>
      </c>
    </row>
    <row r="376" spans="1:17" x14ac:dyDescent="0.25">
      <c r="A376" s="5" t="s">
        <v>433</v>
      </c>
      <c r="B376" s="6">
        <f t="shared" si="76"/>
        <v>12</v>
      </c>
      <c r="C376" s="70">
        <v>16.330867770000001</v>
      </c>
      <c r="D376" s="4">
        <v>2.7</v>
      </c>
      <c r="E376" s="12">
        <f t="shared" si="65"/>
        <v>0</v>
      </c>
      <c r="F376" s="12">
        <f t="shared" si="66"/>
        <v>2.7</v>
      </c>
      <c r="G376" s="16">
        <f t="shared" si="68"/>
        <v>26.603964339160889</v>
      </c>
      <c r="H376" s="14">
        <f t="shared" si="69"/>
        <v>0.62666725081230346</v>
      </c>
      <c r="I376" s="14">
        <f t="shared" si="70"/>
        <v>5.9575276851282855</v>
      </c>
      <c r="J376" s="14">
        <f t="shared" si="71"/>
        <v>2.2323574933398889</v>
      </c>
      <c r="K376" s="14">
        <f t="shared" si="72"/>
        <v>7.1949277062752994</v>
      </c>
      <c r="L376" s="14">
        <f t="shared" si="73"/>
        <v>641.01969614835173</v>
      </c>
      <c r="M376" s="14">
        <f t="shared" si="67"/>
        <v>0.33980517096531926</v>
      </c>
      <c r="N376" s="14">
        <f t="shared" si="74"/>
        <v>8.6957087153277879</v>
      </c>
      <c r="O376" s="4">
        <v>3.51</v>
      </c>
      <c r="P376" s="14">
        <f t="shared" si="77"/>
        <v>26.891574880226578</v>
      </c>
      <c r="Q376" s="14">
        <f t="shared" si="75"/>
        <v>9.1424532404463861</v>
      </c>
    </row>
    <row r="377" spans="1:17" x14ac:dyDescent="0.25">
      <c r="A377" s="5" t="s">
        <v>434</v>
      </c>
      <c r="B377" s="6">
        <f t="shared" si="76"/>
        <v>12</v>
      </c>
      <c r="C377" s="70">
        <v>16.54676628</v>
      </c>
      <c r="D377" s="4">
        <v>4.3</v>
      </c>
      <c r="E377" s="12">
        <f t="shared" si="65"/>
        <v>0</v>
      </c>
      <c r="F377" s="12">
        <f t="shared" si="66"/>
        <v>4.3</v>
      </c>
      <c r="G377" s="16">
        <f t="shared" si="68"/>
        <v>27.578961069590846</v>
      </c>
      <c r="H377" s="14">
        <f t="shared" si="69"/>
        <v>0.9948600915611493</v>
      </c>
      <c r="I377" s="14">
        <f t="shared" si="70"/>
        <v>6.2556608030446412</v>
      </c>
      <c r="J377" s="14">
        <f t="shared" si="71"/>
        <v>2.3301431780088913</v>
      </c>
      <c r="K377" s="14">
        <f t="shared" si="72"/>
        <v>7.6322544411808897</v>
      </c>
      <c r="L377" s="14">
        <f t="shared" si="73"/>
        <v>641.23742433404198</v>
      </c>
      <c r="M377" s="14">
        <f t="shared" si="67"/>
        <v>0.35692603322397087</v>
      </c>
      <c r="N377" s="14">
        <f t="shared" si="74"/>
        <v>9.133836336321755</v>
      </c>
      <c r="O377" s="4">
        <v>3.62</v>
      </c>
      <c r="P377" s="14">
        <f t="shared" si="77"/>
        <v>30.402391143742111</v>
      </c>
      <c r="Q377" s="14">
        <f t="shared" si="75"/>
        <v>8.4893504617107531</v>
      </c>
    </row>
    <row r="378" spans="1:17" x14ac:dyDescent="0.25">
      <c r="A378" s="5" t="s">
        <v>435</v>
      </c>
      <c r="B378" s="6">
        <f t="shared" si="76"/>
        <v>12</v>
      </c>
      <c r="C378" s="70">
        <v>14.82399464</v>
      </c>
      <c r="D378" s="4">
        <v>3.2</v>
      </c>
      <c r="E378" s="12">
        <f t="shared" si="65"/>
        <v>0</v>
      </c>
      <c r="F378" s="12">
        <f t="shared" si="66"/>
        <v>3.2</v>
      </c>
      <c r="G378" s="16">
        <f t="shared" si="68"/>
        <v>28.527324627328777</v>
      </c>
      <c r="H378" s="14">
        <f t="shared" si="69"/>
        <v>0.75470283745355382</v>
      </c>
      <c r="I378" s="14">
        <f t="shared" si="70"/>
        <v>3.8766944985014766</v>
      </c>
      <c r="J378" s="14">
        <f t="shared" si="71"/>
        <v>1.4969336048085136</v>
      </c>
      <c r="K378" s="14">
        <f t="shared" si="72"/>
        <v>7.7908152118073826</v>
      </c>
      <c r="L378" s="14">
        <f t="shared" si="73"/>
        <v>641.47664036764513</v>
      </c>
      <c r="M378" s="14">
        <f t="shared" si="67"/>
        <v>0.36316765637908449</v>
      </c>
      <c r="N378" s="14">
        <f t="shared" si="74"/>
        <v>9.2935612066453217</v>
      </c>
      <c r="O378" s="4">
        <v>4.1500000000000004</v>
      </c>
      <c r="P378" s="14">
        <f t="shared" si="77"/>
        <v>26.456221886506675</v>
      </c>
      <c r="Q378" s="14">
        <f t="shared" si="75"/>
        <v>5.681782527802711</v>
      </c>
    </row>
    <row r="379" spans="1:17" x14ac:dyDescent="0.25">
      <c r="A379" s="5" t="s">
        <v>436</v>
      </c>
      <c r="B379" s="6">
        <f t="shared" si="76"/>
        <v>12</v>
      </c>
      <c r="C379" s="70">
        <v>16.528139110000001</v>
      </c>
      <c r="D379" s="4">
        <v>1.2</v>
      </c>
      <c r="E379" s="12">
        <f t="shared" si="65"/>
        <v>0</v>
      </c>
      <c r="F379" s="12">
        <f t="shared" si="66"/>
        <v>1.2</v>
      </c>
      <c r="G379" s="16">
        <f t="shared" si="68"/>
        <v>26.950834918849452</v>
      </c>
      <c r="H379" s="14">
        <f t="shared" si="69"/>
        <v>0.28816030272164828</v>
      </c>
      <c r="I379" s="14">
        <f t="shared" si="70"/>
        <v>6.2299386418770739</v>
      </c>
      <c r="J379" s="14">
        <f t="shared" si="71"/>
        <v>2.4883294057576739</v>
      </c>
      <c r="K379" s="14">
        <f t="shared" si="72"/>
        <v>7.4688351568382521</v>
      </c>
      <c r="L379" s="14">
        <f t="shared" si="73"/>
        <v>641.72361306895687</v>
      </c>
      <c r="M379" s="14">
        <f t="shared" si="67"/>
        <v>0.35064925050129786</v>
      </c>
      <c r="N379" s="14">
        <f t="shared" si="74"/>
        <v>8.9732117228977959</v>
      </c>
      <c r="O379" s="4">
        <v>5.19</v>
      </c>
      <c r="P379" s="14">
        <f t="shared" si="77"/>
        <v>14.312690940271306</v>
      </c>
      <c r="Q379" s="14">
        <f t="shared" si="75"/>
        <v>1.8053926197567449</v>
      </c>
    </row>
    <row r="380" spans="1:17" x14ac:dyDescent="0.25">
      <c r="A380" s="5" t="s">
        <v>437</v>
      </c>
      <c r="B380" s="6">
        <f t="shared" si="76"/>
        <v>12</v>
      </c>
      <c r="C380" s="70">
        <v>15.157526020000001</v>
      </c>
      <c r="D380" s="4">
        <v>10.6</v>
      </c>
      <c r="E380" s="12">
        <f t="shared" si="65"/>
        <v>0</v>
      </c>
      <c r="F380" s="12">
        <f t="shared" si="66"/>
        <v>10.6</v>
      </c>
      <c r="G380" s="16">
        <f t="shared" si="68"/>
        <v>33.444762668130068</v>
      </c>
      <c r="H380" s="14">
        <f t="shared" si="69"/>
        <v>2.4694390280666649</v>
      </c>
      <c r="I380" s="14">
        <f t="shared" si="70"/>
        <v>4.3372662284422958</v>
      </c>
      <c r="J380" s="14">
        <f t="shared" si="71"/>
        <v>1.63663322265272</v>
      </c>
      <c r="K380" s="14">
        <f t="shared" si="72"/>
        <v>9.3565593352636061</v>
      </c>
      <c r="L380" s="14">
        <f t="shared" si="73"/>
        <v>641.95467866809679</v>
      </c>
      <c r="M380" s="14">
        <f t="shared" si="67"/>
        <v>0.42440059789244799</v>
      </c>
      <c r="N380" s="14">
        <f t="shared" si="74"/>
        <v>10.860529189122714</v>
      </c>
      <c r="O380" s="4">
        <v>8.73</v>
      </c>
      <c r="P380" s="14">
        <f t="shared" si="77"/>
        <v>4.5391546257038859</v>
      </c>
      <c r="Q380" s="14">
        <f t="shared" si="75"/>
        <v>4.8239577404464367</v>
      </c>
    </row>
    <row r="381" spans="1:17" x14ac:dyDescent="0.25">
      <c r="A381" s="5" t="s">
        <v>438</v>
      </c>
      <c r="B381" s="6">
        <f t="shared" si="76"/>
        <v>12</v>
      </c>
      <c r="C381" s="70">
        <v>16.01475525</v>
      </c>
      <c r="D381" s="4">
        <v>6.9</v>
      </c>
      <c r="E381" s="12">
        <f t="shared" si="65"/>
        <v>0</v>
      </c>
      <c r="F381" s="12">
        <f t="shared" si="66"/>
        <v>6.9</v>
      </c>
      <c r="G381" s="16">
        <f t="shared" si="68"/>
        <v>35.95596068034282</v>
      </c>
      <c r="H381" s="14">
        <f t="shared" si="69"/>
        <v>1.8035095462368225</v>
      </c>
      <c r="I381" s="14">
        <f t="shared" si="70"/>
        <v>5.5210095674256809</v>
      </c>
      <c r="J381" s="14">
        <f t="shared" si="71"/>
        <v>2.5852924415504228</v>
      </c>
      <c r="K381" s="14">
        <f t="shared" si="72"/>
        <v>10.411699240666682</v>
      </c>
      <c r="L381" s="14">
        <f t="shared" si="73"/>
        <v>642.27864771103816</v>
      </c>
      <c r="M381" s="14">
        <f t="shared" si="67"/>
        <v>0.46566527671926972</v>
      </c>
      <c r="N381" s="14">
        <f t="shared" si="74"/>
        <v>11.916503782711866</v>
      </c>
      <c r="O381" s="4">
        <v>10.32</v>
      </c>
      <c r="P381" s="14">
        <f t="shared" si="77"/>
        <v>2.548824328213295</v>
      </c>
      <c r="Q381" s="14">
        <f t="shared" si="75"/>
        <v>14.336453938722315</v>
      </c>
    </row>
    <row r="382" spans="1:17" x14ac:dyDescent="0.25">
      <c r="A382" s="5" t="s">
        <v>439</v>
      </c>
      <c r="B382" s="6">
        <f t="shared" si="76"/>
        <v>12</v>
      </c>
      <c r="C382" s="70">
        <v>15.631896019999999</v>
      </c>
      <c r="D382" s="4">
        <v>2.2000000000000002</v>
      </c>
      <c r="E382" s="12">
        <f t="shared" si="65"/>
        <v>0</v>
      </c>
      <c r="F382" s="12">
        <f t="shared" si="66"/>
        <v>2.2000000000000002</v>
      </c>
      <c r="G382" s="16">
        <f t="shared" si="68"/>
        <v>35.045048135356339</v>
      </c>
      <c r="H382" s="14">
        <f t="shared" si="69"/>
        <v>0.59765797657122599</v>
      </c>
      <c r="I382" s="14">
        <f t="shared" si="70"/>
        <v>4.9923212686367924</v>
      </c>
      <c r="J382" s="14">
        <f t="shared" si="71"/>
        <v>2.5132545684152547</v>
      </c>
      <c r="K382" s="14">
        <f t="shared" si="72"/>
        <v>10.167836191989281</v>
      </c>
      <c r="L382" s="14">
        <f t="shared" si="73"/>
        <v>642.65450345956754</v>
      </c>
      <c r="M382" s="14">
        <f t="shared" si="67"/>
        <v>0.45622423662093131</v>
      </c>
      <c r="N382" s="14">
        <f t="shared" si="74"/>
        <v>11.674904944084251</v>
      </c>
      <c r="O382" s="4">
        <v>9.8800000000000008</v>
      </c>
      <c r="P382" s="14">
        <f t="shared" si="77"/>
        <v>3.2216837582980835</v>
      </c>
      <c r="Q382" s="14">
        <f t="shared" si="75"/>
        <v>11.198065053664841</v>
      </c>
    </row>
    <row r="383" spans="1:17" x14ac:dyDescent="0.25">
      <c r="A383" s="5" t="s">
        <v>440</v>
      </c>
      <c r="B383" s="6">
        <f t="shared" si="76"/>
        <v>12</v>
      </c>
      <c r="C383" s="70">
        <v>17.69680786</v>
      </c>
      <c r="D383" s="4">
        <v>0.4</v>
      </c>
      <c r="E383" s="12">
        <f t="shared" si="65"/>
        <v>0</v>
      </c>
      <c r="F383" s="12">
        <f t="shared" si="66"/>
        <v>0.4</v>
      </c>
      <c r="G383" s="16">
        <f t="shared" si="68"/>
        <v>31.489165979606121</v>
      </c>
      <c r="H383" s="14">
        <f t="shared" si="69"/>
        <v>0.10718883632065988</v>
      </c>
      <c r="I383" s="14">
        <f t="shared" si="70"/>
        <v>7.8437471774195879</v>
      </c>
      <c r="J383" s="14">
        <f t="shared" si="71"/>
        <v>3.8486933194295578</v>
      </c>
      <c r="K383" s="14">
        <f t="shared" si="72"/>
        <v>9.4550330727852536</v>
      </c>
      <c r="L383" s="14">
        <f t="shared" si="73"/>
        <v>643.01827117847131</v>
      </c>
      <c r="M383" s="14">
        <f t="shared" si="67"/>
        <v>0.42847186653060065</v>
      </c>
      <c r="N383" s="14">
        <f t="shared" si="74"/>
        <v>10.964714084480995</v>
      </c>
      <c r="O383" s="4">
        <v>7.75</v>
      </c>
      <c r="P383" s="14">
        <f t="shared" si="77"/>
        <v>10.334386644960484</v>
      </c>
      <c r="Q383" s="14">
        <f t="shared" si="75"/>
        <v>1.4795097691820576</v>
      </c>
    </row>
    <row r="384" spans="1:17" x14ac:dyDescent="0.25">
      <c r="A384" s="5" t="s">
        <v>441</v>
      </c>
      <c r="B384" s="6">
        <f t="shared" si="76"/>
        <v>12</v>
      </c>
      <c r="C384" s="70">
        <v>17.478988650000002</v>
      </c>
      <c r="D384" s="4">
        <v>0</v>
      </c>
      <c r="E384" s="12">
        <f t="shared" si="65"/>
        <v>0</v>
      </c>
      <c r="F384" s="12">
        <f t="shared" si="66"/>
        <v>0</v>
      </c>
      <c r="G384" s="16">
        <f t="shared" si="68"/>
        <v>28.163595753636123</v>
      </c>
      <c r="H384" s="14">
        <f t="shared" si="69"/>
        <v>0</v>
      </c>
      <c r="I384" s="14">
        <f t="shared" si="70"/>
        <v>7.5429617749664759</v>
      </c>
      <c r="J384" s="14">
        <f t="shared" si="71"/>
        <v>3.3255702259699991</v>
      </c>
      <c r="K384" s="14">
        <f t="shared" si="72"/>
        <v>8.6979698312908944</v>
      </c>
      <c r="L384" s="14">
        <f t="shared" si="73"/>
        <v>643.34686255343513</v>
      </c>
      <c r="M384" s="14">
        <f t="shared" si="67"/>
        <v>0.39898396180246848</v>
      </c>
      <c r="N384" s="14">
        <f t="shared" si="74"/>
        <v>10.210110411403447</v>
      </c>
      <c r="O384" s="4">
        <v>5.61</v>
      </c>
      <c r="P384" s="14">
        <f t="shared" si="77"/>
        <v>21.161015797102383</v>
      </c>
      <c r="Q384" s="14">
        <f t="shared" si="75"/>
        <v>0.85312746458433553</v>
      </c>
    </row>
    <row r="385" spans="1:17" x14ac:dyDescent="0.25">
      <c r="A385" s="5" t="s">
        <v>442</v>
      </c>
      <c r="B385" s="6">
        <f t="shared" si="76"/>
        <v>12</v>
      </c>
      <c r="C385" s="70">
        <v>15.528228759999999</v>
      </c>
      <c r="D385" s="4">
        <v>6.1</v>
      </c>
      <c r="E385" s="12">
        <f t="shared" si="65"/>
        <v>0</v>
      </c>
      <c r="F385" s="12">
        <f t="shared" si="66"/>
        <v>6.1</v>
      </c>
      <c r="G385" s="16">
        <f t="shared" si="68"/>
        <v>30.896632195272971</v>
      </c>
      <c r="H385" s="14">
        <f t="shared" si="69"/>
        <v>1.4548293837299682</v>
      </c>
      <c r="I385" s="14">
        <f t="shared" si="70"/>
        <v>4.8491676940723094</v>
      </c>
      <c r="J385" s="14">
        <f t="shared" si="71"/>
        <v>1.9121341746331868</v>
      </c>
      <c r="K385" s="14">
        <f t="shared" si="72"/>
        <v>9.4625721235703946</v>
      </c>
      <c r="L385" s="14">
        <f t="shared" si="73"/>
        <v>643.63810568308315</v>
      </c>
      <c r="M385" s="14">
        <f t="shared" si="67"/>
        <v>0.42889825387127867</v>
      </c>
      <c r="N385" s="14">
        <f t="shared" si="74"/>
        <v>10.975625454969874</v>
      </c>
      <c r="O385" s="4">
        <v>5.56</v>
      </c>
      <c r="P385" s="14">
        <f t="shared" si="77"/>
        <v>29.32899906851766</v>
      </c>
      <c r="Q385" s="14">
        <f t="shared" si="75"/>
        <v>0.94799236400962372</v>
      </c>
    </row>
    <row r="386" spans="1:17" x14ac:dyDescent="0.25">
      <c r="A386" s="5" t="s">
        <v>443</v>
      </c>
      <c r="B386" s="6">
        <f t="shared" si="76"/>
        <v>12</v>
      </c>
      <c r="C386" s="70">
        <v>16.63242722</v>
      </c>
      <c r="D386" s="4">
        <v>2.2999999999999998</v>
      </c>
      <c r="E386" s="12">
        <f t="shared" si="65"/>
        <v>0</v>
      </c>
      <c r="F386" s="12">
        <f t="shared" si="66"/>
        <v>2.2999999999999998</v>
      </c>
      <c r="G386" s="16">
        <f t="shared" si="68"/>
        <v>29.863036511902383</v>
      </c>
      <c r="H386" s="14">
        <f t="shared" si="69"/>
        <v>0.57630329116096868</v>
      </c>
      <c r="I386" s="14">
        <f t="shared" si="70"/>
        <v>6.3739495449439989</v>
      </c>
      <c r="J386" s="14">
        <f t="shared" si="71"/>
        <v>2.7572923922096186</v>
      </c>
      <c r="K386" s="14">
        <f t="shared" si="72"/>
        <v>9.2811465998716027</v>
      </c>
      <c r="L386" s="14">
        <f t="shared" si="73"/>
        <v>643.96693624407158</v>
      </c>
      <c r="M386" s="14">
        <f t="shared" si="67"/>
        <v>0.42188493481633144</v>
      </c>
      <c r="N386" s="14">
        <f t="shared" si="74"/>
        <v>10.796152672209592</v>
      </c>
      <c r="O386" s="4">
        <v>5.67</v>
      </c>
      <c r="P386" s="14">
        <f t="shared" si="77"/>
        <v>26.277441218801542</v>
      </c>
      <c r="Q386" s="14">
        <f t="shared" si="75"/>
        <v>0.74588958527399196</v>
      </c>
    </row>
    <row r="387" spans="1:17" x14ac:dyDescent="0.25">
      <c r="A387" s="5" t="s">
        <v>444</v>
      </c>
      <c r="B387" s="6">
        <f t="shared" si="76"/>
        <v>12</v>
      </c>
      <c r="C387" s="70">
        <v>16.288801190000001</v>
      </c>
      <c r="D387" s="4">
        <v>1.1000000000000001</v>
      </c>
      <c r="E387" s="12">
        <f t="shared" si="65"/>
        <v>0</v>
      </c>
      <c r="F387" s="12">
        <f t="shared" si="66"/>
        <v>1.1000000000000001</v>
      </c>
      <c r="G387" s="16">
        <f t="shared" si="68"/>
        <v>28.225716428590996</v>
      </c>
      <c r="H387" s="14">
        <f t="shared" si="69"/>
        <v>0.27066925147366411</v>
      </c>
      <c r="I387" s="14">
        <f t="shared" si="70"/>
        <v>5.8994381658653792</v>
      </c>
      <c r="J387" s="14">
        <f t="shared" si="71"/>
        <v>2.4666508318377254</v>
      </c>
      <c r="K387" s="14">
        <f t="shared" si="72"/>
        <v>8.8101039064893758</v>
      </c>
      <c r="L387" s="14">
        <f t="shared" si="73"/>
        <v>644.28676325411107</v>
      </c>
      <c r="M387" s="14">
        <f t="shared" si="67"/>
        <v>0.40356221923301089</v>
      </c>
      <c r="N387" s="14">
        <f t="shared" si="74"/>
        <v>10.327269290789202</v>
      </c>
      <c r="O387" s="4">
        <v>6.78</v>
      </c>
      <c r="P387" s="14">
        <f t="shared" si="77"/>
        <v>12.583119421376125</v>
      </c>
      <c r="Q387" s="14">
        <f t="shared" si="75"/>
        <v>6.068881803262318E-2</v>
      </c>
    </row>
    <row r="388" spans="1:17" x14ac:dyDescent="0.25">
      <c r="A388" s="5" t="s">
        <v>445</v>
      </c>
      <c r="B388" s="6">
        <f t="shared" si="76"/>
        <v>12</v>
      </c>
      <c r="C388" s="70">
        <v>17.589027399999999</v>
      </c>
      <c r="D388" s="4">
        <v>2.7</v>
      </c>
      <c r="E388" s="12">
        <f t="shared" si="65"/>
        <v>0</v>
      </c>
      <c r="F388" s="12">
        <f t="shared" si="66"/>
        <v>2.7</v>
      </c>
      <c r="G388" s="16">
        <f t="shared" si="68"/>
        <v>27.24005127037233</v>
      </c>
      <c r="H388" s="14">
        <f t="shared" si="69"/>
        <v>0.6446976055980117</v>
      </c>
      <c r="I388" s="14">
        <f t="shared" si="70"/>
        <v>7.6949137065898947</v>
      </c>
      <c r="J388" s="14">
        <f t="shared" si="71"/>
        <v>3.0409675526206548</v>
      </c>
      <c r="K388" s="14">
        <f t="shared" si="72"/>
        <v>8.7546748383243429</v>
      </c>
      <c r="L388" s="14">
        <f t="shared" si="73"/>
        <v>644.58332770864104</v>
      </c>
      <c r="M388" s="14">
        <f t="shared" si="67"/>
        <v>0.4014612868331694</v>
      </c>
      <c r="N388" s="14">
        <f t="shared" si="74"/>
        <v>10.273505847084923</v>
      </c>
      <c r="O388" s="4">
        <v>9.09</v>
      </c>
      <c r="P388" s="14">
        <f t="shared" si="77"/>
        <v>1.400686090084202</v>
      </c>
      <c r="Q388" s="14">
        <f t="shared" si="75"/>
        <v>6.5349304645843684</v>
      </c>
    </row>
    <row r="389" spans="1:17" x14ac:dyDescent="0.25">
      <c r="A389" s="5" t="s">
        <v>446</v>
      </c>
      <c r="B389" s="6">
        <f t="shared" si="76"/>
        <v>12</v>
      </c>
      <c r="C389" s="70">
        <v>18.4768486</v>
      </c>
      <c r="D389" s="4">
        <v>12.8</v>
      </c>
      <c r="E389" s="12">
        <f t="shared" si="65"/>
        <v>0</v>
      </c>
      <c r="F389" s="12">
        <f t="shared" si="66"/>
        <v>12.8</v>
      </c>
      <c r="G389" s="16">
        <f t="shared" si="68"/>
        <v>33.638716142063856</v>
      </c>
      <c r="H389" s="14">
        <f t="shared" si="69"/>
        <v>2.9989794278895037</v>
      </c>
      <c r="I389" s="14">
        <f t="shared" si="70"/>
        <v>8.9209013361860485</v>
      </c>
      <c r="J389" s="14">
        <f t="shared" si="71"/>
        <v>3.4023557004189731</v>
      </c>
      <c r="K389" s="14">
        <f t="shared" si="72"/>
        <v>11.058421061468472</v>
      </c>
      <c r="L389" s="14">
        <f t="shared" si="73"/>
        <v>644.87709962655322</v>
      </c>
      <c r="M389" s="14">
        <f t="shared" si="67"/>
        <v>0.49146867693908525</v>
      </c>
      <c r="N389" s="14">
        <f t="shared" si="74"/>
        <v>12.576819961948118</v>
      </c>
      <c r="O389" s="4">
        <v>10.45</v>
      </c>
      <c r="P389" s="14">
        <f t="shared" si="77"/>
        <v>4.5233631505409972</v>
      </c>
      <c r="Q389" s="14">
        <f t="shared" si="75"/>
        <v>15.337805200216561</v>
      </c>
    </row>
    <row r="390" spans="1:17" x14ac:dyDescent="0.25">
      <c r="A390" s="5" t="s">
        <v>447</v>
      </c>
      <c r="B390" s="6">
        <f t="shared" si="76"/>
        <v>12</v>
      </c>
      <c r="C390" s="70">
        <v>17.01703835</v>
      </c>
      <c r="D390" s="4">
        <v>0.2</v>
      </c>
      <c r="E390" s="12">
        <f t="shared" si="65"/>
        <v>0</v>
      </c>
      <c r="F390" s="12">
        <f t="shared" si="66"/>
        <v>0.2</v>
      </c>
      <c r="G390" s="16">
        <f t="shared" si="68"/>
        <v>30.534135322484893</v>
      </c>
      <c r="H390" s="14">
        <f t="shared" si="69"/>
        <v>5.2437020199197208E-2</v>
      </c>
      <c r="I390" s="14">
        <f t="shared" si="70"/>
        <v>6.9050570332366838</v>
      </c>
      <c r="J390" s="14">
        <f t="shared" si="71"/>
        <v>3.2521437993797662</v>
      </c>
      <c r="K390" s="14">
        <f t="shared" si="72"/>
        <v>10.212242226974617</v>
      </c>
      <c r="L390" s="14">
        <f t="shared" si="73"/>
        <v>645.28424680430726</v>
      </c>
      <c r="M390" s="14">
        <f t="shared" si="67"/>
        <v>0.45851818033357294</v>
      </c>
      <c r="N390" s="14">
        <f t="shared" si="74"/>
        <v>11.733607600897335</v>
      </c>
      <c r="O390" s="4">
        <v>13.31</v>
      </c>
      <c r="P390" s="14">
        <f t="shared" si="77"/>
        <v>2.4850129959486584</v>
      </c>
      <c r="Q390" s="14">
        <f t="shared" si="75"/>
        <v>45.918932953090163</v>
      </c>
    </row>
    <row r="391" spans="1:17" x14ac:dyDescent="0.25">
      <c r="A391" s="5" t="s">
        <v>448</v>
      </c>
      <c r="B391" s="6">
        <f t="shared" si="76"/>
        <v>12</v>
      </c>
      <c r="C391" s="70">
        <v>19.339767460000001</v>
      </c>
      <c r="D391" s="4">
        <v>0</v>
      </c>
      <c r="E391" s="12">
        <f t="shared" si="65"/>
        <v>0</v>
      </c>
      <c r="F391" s="12">
        <f t="shared" si="66"/>
        <v>0</v>
      </c>
      <c r="G391" s="16">
        <f t="shared" si="68"/>
        <v>26.210915870717127</v>
      </c>
      <c r="H391" s="14">
        <f t="shared" si="69"/>
        <v>0</v>
      </c>
      <c r="I391" s="14">
        <f t="shared" si="70"/>
        <v>10.112501455337537</v>
      </c>
      <c r="J391" s="14">
        <f t="shared" si="71"/>
        <v>4.3232194517677653</v>
      </c>
      <c r="K391" s="14">
        <f t="shared" si="72"/>
        <v>9.3883299537611791</v>
      </c>
      <c r="L391" s="14">
        <f t="shared" si="73"/>
        <v>645.64964089718717</v>
      </c>
      <c r="M391" s="14">
        <f t="shared" si="67"/>
        <v>0.426428139124431</v>
      </c>
      <c r="N391" s="14">
        <f t="shared" si="74"/>
        <v>10.912414532455058</v>
      </c>
      <c r="O391" s="4">
        <v>11.95</v>
      </c>
      <c r="P391" s="14">
        <f t="shared" si="77"/>
        <v>1.0765836024604547</v>
      </c>
      <c r="Q391" s="14">
        <f t="shared" si="75"/>
        <v>29.336858217457952</v>
      </c>
    </row>
    <row r="392" spans="1:17" x14ac:dyDescent="0.25">
      <c r="A392" s="5" t="s">
        <v>449</v>
      </c>
      <c r="B392" s="6">
        <f t="shared" si="76"/>
        <v>12</v>
      </c>
      <c r="C392" s="70">
        <v>17.843166350000001</v>
      </c>
      <c r="D392" s="4">
        <v>0</v>
      </c>
      <c r="E392" s="12">
        <f t="shared" si="65"/>
        <v>0</v>
      </c>
      <c r="F392" s="12">
        <f t="shared" si="66"/>
        <v>0</v>
      </c>
      <c r="G392" s="16">
        <f t="shared" si="68"/>
        <v>23.258229358975562</v>
      </c>
      <c r="H392" s="14">
        <f t="shared" si="69"/>
        <v>0</v>
      </c>
      <c r="I392" s="14">
        <f t="shared" si="70"/>
        <v>8.0458528471494546</v>
      </c>
      <c r="J392" s="14">
        <f t="shared" si="71"/>
        <v>2.9526865117415637</v>
      </c>
      <c r="K392" s="14">
        <f t="shared" si="72"/>
        <v>8.6371554933185699</v>
      </c>
      <c r="L392" s="14">
        <f t="shared" si="73"/>
        <v>645.97438721850529</v>
      </c>
      <c r="M392" s="14">
        <f t="shared" si="67"/>
        <v>0.39716933006818483</v>
      </c>
      <c r="N392" s="14">
        <f t="shared" si="74"/>
        <v>10.163673481258757</v>
      </c>
      <c r="O392" s="4">
        <v>8.85</v>
      </c>
      <c r="P392" s="14">
        <f t="shared" si="77"/>
        <v>1.7257380153625017</v>
      </c>
      <c r="Q392" s="14">
        <f t="shared" si="75"/>
        <v>5.3654819818257442</v>
      </c>
    </row>
    <row r="393" spans="1:17" x14ac:dyDescent="0.25">
      <c r="A393" s="5" t="s">
        <v>450</v>
      </c>
      <c r="B393" s="6">
        <f t="shared" si="76"/>
        <v>12</v>
      </c>
      <c r="C393" s="70">
        <v>18.868616100000001</v>
      </c>
      <c r="D393" s="4">
        <v>0</v>
      </c>
      <c r="E393" s="12">
        <f t="shared" si="65"/>
        <v>0</v>
      </c>
      <c r="F393" s="12">
        <f t="shared" si="66"/>
        <v>0</v>
      </c>
      <c r="G393" s="16">
        <f t="shared" si="68"/>
        <v>20.177045253871466</v>
      </c>
      <c r="H393" s="14">
        <f t="shared" si="69"/>
        <v>0</v>
      </c>
      <c r="I393" s="14">
        <f t="shared" si="70"/>
        <v>9.4618910182051437</v>
      </c>
      <c r="J393" s="14">
        <f t="shared" si="71"/>
        <v>3.0811841051040978</v>
      </c>
      <c r="K393" s="14">
        <f t="shared" si="72"/>
        <v>7.9522973010495157</v>
      </c>
      <c r="L393" s="14">
        <f t="shared" si="73"/>
        <v>646.26207608070615</v>
      </c>
      <c r="M393" s="14">
        <f t="shared" si="67"/>
        <v>0.37049180262123466</v>
      </c>
      <c r="N393" s="14">
        <f t="shared" si="74"/>
        <v>9.4809881434670125</v>
      </c>
      <c r="O393" s="4">
        <v>7.4</v>
      </c>
      <c r="P393" s="14">
        <f t="shared" si="77"/>
        <v>4.3305116532502819</v>
      </c>
      <c r="Q393" s="14">
        <f t="shared" si="75"/>
        <v>0.75056406515906637</v>
      </c>
    </row>
    <row r="394" spans="1:17" x14ac:dyDescent="0.25">
      <c r="A394" s="5" t="s">
        <v>451</v>
      </c>
      <c r="B394" s="6">
        <f t="shared" si="76"/>
        <v>1</v>
      </c>
      <c r="C394" s="70">
        <v>17.61058426</v>
      </c>
      <c r="D394" s="4">
        <v>1.2</v>
      </c>
      <c r="E394" s="12">
        <f t="shared" si="65"/>
        <v>0</v>
      </c>
      <c r="F394" s="12">
        <f t="shared" si="66"/>
        <v>1.2</v>
      </c>
      <c r="G394" s="16">
        <f t="shared" si="68"/>
        <v>17.811958236156698</v>
      </c>
      <c r="H394" s="14">
        <f t="shared" si="69"/>
        <v>0.23958578381989765</v>
      </c>
      <c r="I394" s="14">
        <f t="shared" si="70"/>
        <v>11.771626851864971</v>
      </c>
      <c r="J394" s="14">
        <f t="shared" si="71"/>
        <v>3.3255012338948671</v>
      </c>
      <c r="K394" s="14">
        <f t="shared" si="72"/>
        <v>7.5674865322474369</v>
      </c>
      <c r="L394" s="14">
        <f t="shared" si="73"/>
        <v>646.51598083070689</v>
      </c>
      <c r="M394" s="14">
        <f t="shared" si="67"/>
        <v>0.35552178357632785</v>
      </c>
      <c r="N394" s="14">
        <f t="shared" si="74"/>
        <v>9.0979011977692235</v>
      </c>
      <c r="O394" s="4">
        <v>7.12</v>
      </c>
      <c r="P394" s="14">
        <f t="shared" si="77"/>
        <v>3.9120931481369285</v>
      </c>
      <c r="Q394" s="14">
        <f t="shared" si="75"/>
        <v>0.34380750194067239</v>
      </c>
    </row>
    <row r="395" spans="1:17" x14ac:dyDescent="0.25">
      <c r="A395" s="5" t="s">
        <v>452</v>
      </c>
      <c r="B395" s="6">
        <f t="shared" si="76"/>
        <v>1</v>
      </c>
      <c r="C395" s="70">
        <v>17.11244774</v>
      </c>
      <c r="D395" s="4">
        <v>0</v>
      </c>
      <c r="E395" s="12">
        <f t="shared" si="65"/>
        <v>0</v>
      </c>
      <c r="F395" s="12">
        <f t="shared" si="66"/>
        <v>0</v>
      </c>
      <c r="G395" s="16">
        <f t="shared" si="68"/>
        <v>15.123764434637382</v>
      </c>
      <c r="H395" s="14">
        <f t="shared" si="69"/>
        <v>0</v>
      </c>
      <c r="I395" s="14">
        <f t="shared" si="70"/>
        <v>10.779183094831327</v>
      </c>
      <c r="J395" s="14">
        <f t="shared" si="71"/>
        <v>2.6881938015193168</v>
      </c>
      <c r="K395" s="14">
        <f t="shared" si="72"/>
        <v>6.9770623994610785</v>
      </c>
      <c r="L395" s="14">
        <f t="shared" si="73"/>
        <v>646.75088317991697</v>
      </c>
      <c r="M395" s="14">
        <f t="shared" si="67"/>
        <v>0.33251998562275198</v>
      </c>
      <c r="N395" s="14">
        <f t="shared" si="74"/>
        <v>8.5092787987488965</v>
      </c>
      <c r="O395" s="4">
        <v>8.86</v>
      </c>
      <c r="P395" s="14">
        <f t="shared" si="77"/>
        <v>0.12300536100701666</v>
      </c>
      <c r="Q395" s="14">
        <f t="shared" si="75"/>
        <v>5.4119090019406864</v>
      </c>
    </row>
    <row r="396" spans="1:17" x14ac:dyDescent="0.25">
      <c r="A396" s="5" t="s">
        <v>453</v>
      </c>
      <c r="B396" s="6">
        <f t="shared" si="76"/>
        <v>1</v>
      </c>
      <c r="C396" s="70">
        <v>16.82735443</v>
      </c>
      <c r="D396" s="4">
        <v>19.2</v>
      </c>
      <c r="E396" s="12">
        <f t="shared" si="65"/>
        <v>0</v>
      </c>
      <c r="F396" s="12">
        <f t="shared" si="66"/>
        <v>19.2</v>
      </c>
      <c r="G396" s="16">
        <f t="shared" si="68"/>
        <v>28.874212600516838</v>
      </c>
      <c r="H396" s="14">
        <f t="shared" si="69"/>
        <v>3.2873350374474852</v>
      </c>
      <c r="I396" s="14">
        <f t="shared" si="70"/>
        <v>10.211188048650898</v>
      </c>
      <c r="J396" s="14">
        <f t="shared" si="71"/>
        <v>2.1622167966730599</v>
      </c>
      <c r="K396" s="14">
        <f t="shared" si="72"/>
        <v>9.7260979797973146</v>
      </c>
      <c r="L396" s="14">
        <f t="shared" si="73"/>
        <v>646.9566626514054</v>
      </c>
      <c r="M396" s="14">
        <f t="shared" si="67"/>
        <v>0.43989399474354046</v>
      </c>
      <c r="N396" s="14">
        <f t="shared" si="74"/>
        <v>11.257009518263517</v>
      </c>
      <c r="O396" s="4">
        <v>14.43</v>
      </c>
      <c r="P396" s="14">
        <f t="shared" si="77"/>
        <v>10.067868597190314</v>
      </c>
      <c r="Q396" s="14">
        <f t="shared" si="75"/>
        <v>62.352359205963722</v>
      </c>
    </row>
    <row r="397" spans="1:17" x14ac:dyDescent="0.25">
      <c r="A397" s="5" t="s">
        <v>454</v>
      </c>
      <c r="B397" s="6">
        <f t="shared" si="76"/>
        <v>1</v>
      </c>
      <c r="C397" s="70">
        <v>17.746006009999999</v>
      </c>
      <c r="D397" s="4">
        <v>10.9</v>
      </c>
      <c r="E397" s="12">
        <f t="shared" si="65"/>
        <v>0</v>
      </c>
      <c r="F397" s="12">
        <f t="shared" si="66"/>
        <v>10.9</v>
      </c>
      <c r="G397" s="16">
        <f t="shared" si="68"/>
        <v>32.271830817627617</v>
      </c>
      <c r="H397" s="14">
        <f t="shared" si="69"/>
        <v>2.6343741610753479</v>
      </c>
      <c r="I397" s="14">
        <f t="shared" si="70"/>
        <v>12.041429335638036</v>
      </c>
      <c r="J397" s="14">
        <f t="shared" si="71"/>
        <v>4.8680076218138728</v>
      </c>
      <c r="K397" s="14">
        <f t="shared" si="72"/>
        <v>11.579478355926044</v>
      </c>
      <c r="L397" s="14">
        <f t="shared" si="73"/>
        <v>647.29776244160848</v>
      </c>
      <c r="M397" s="14">
        <f t="shared" si="67"/>
        <v>0.51232790258172656</v>
      </c>
      <c r="N397" s="14">
        <f t="shared" si="74"/>
        <v>13.110613340372653</v>
      </c>
      <c r="O397" s="4">
        <v>16</v>
      </c>
      <c r="P397" s="14">
        <f t="shared" si="77"/>
        <v>8.3485552688324756</v>
      </c>
      <c r="Q397" s="14">
        <f t="shared" si="75"/>
        <v>89.611801364009736</v>
      </c>
    </row>
    <row r="398" spans="1:17" x14ac:dyDescent="0.25">
      <c r="A398" s="5" t="s">
        <v>455</v>
      </c>
      <c r="B398" s="6">
        <f t="shared" si="76"/>
        <v>1</v>
      </c>
      <c r="C398" s="70">
        <v>17.784898760000001</v>
      </c>
      <c r="D398" s="4">
        <v>4.3</v>
      </c>
      <c r="E398" s="12">
        <f t="shared" si="65"/>
        <v>0</v>
      </c>
      <c r="F398" s="12">
        <f t="shared" si="66"/>
        <v>4.3</v>
      </c>
      <c r="G398" s="16">
        <f t="shared" si="68"/>
        <v>29.993254955839252</v>
      </c>
      <c r="H398" s="14">
        <f t="shared" si="69"/>
        <v>1.1027398622638247</v>
      </c>
      <c r="I398" s="14">
        <f t="shared" si="70"/>
        <v>12.118915858672672</v>
      </c>
      <c r="J398" s="14">
        <f t="shared" si="71"/>
        <v>5.4758359995245387</v>
      </c>
      <c r="K398" s="14">
        <f t="shared" si="72"/>
        <v>11.737601631186678</v>
      </c>
      <c r="L398" s="14">
        <f t="shared" si="73"/>
        <v>647.73005112603005</v>
      </c>
      <c r="M398" s="14">
        <f t="shared" si="67"/>
        <v>0.5185935743158786</v>
      </c>
      <c r="N398" s="14">
        <f t="shared" si="74"/>
        <v>13.270953620513977</v>
      </c>
      <c r="O398" s="4">
        <v>16.47</v>
      </c>
      <c r="P398" s="14">
        <f t="shared" si="77"/>
        <v>10.233897738102627</v>
      </c>
      <c r="Q398" s="14">
        <f t="shared" si="75"/>
        <v>98.731071309412016</v>
      </c>
    </row>
    <row r="399" spans="1:17" x14ac:dyDescent="0.25">
      <c r="A399" s="5" t="s">
        <v>456</v>
      </c>
      <c r="B399" s="6">
        <f t="shared" si="76"/>
        <v>1</v>
      </c>
      <c r="C399" s="70">
        <v>16.386520390000001</v>
      </c>
      <c r="D399" s="4">
        <v>7.7</v>
      </c>
      <c r="E399" s="12">
        <f t="shared" si="65"/>
        <v>0</v>
      </c>
      <c r="F399" s="12">
        <f t="shared" si="66"/>
        <v>7.7</v>
      </c>
      <c r="G399" s="16">
        <f t="shared" si="68"/>
        <v>31.874914268547158</v>
      </c>
      <c r="H399" s="14">
        <f t="shared" si="69"/>
        <v>1.8990842764328937</v>
      </c>
      <c r="I399" s="14">
        <f t="shared" si="70"/>
        <v>9.3329087550831034</v>
      </c>
      <c r="J399" s="14">
        <f t="shared" si="71"/>
        <v>3.9192564108591967</v>
      </c>
      <c r="K399" s="14">
        <f t="shared" si="72"/>
        <v>12.678109653350155</v>
      </c>
      <c r="L399" s="14">
        <f t="shared" si="73"/>
        <v>648.17003380598351</v>
      </c>
      <c r="M399" s="14">
        <f t="shared" si="67"/>
        <v>0.55540741219853029</v>
      </c>
      <c r="N399" s="14">
        <f t="shared" si="74"/>
        <v>14.213029957997113</v>
      </c>
      <c r="O399" s="4">
        <v>17.329999999999998</v>
      </c>
      <c r="P399" s="14">
        <f t="shared" si="77"/>
        <v>9.715502242743467</v>
      </c>
      <c r="Q399" s="14">
        <f t="shared" si="75"/>
        <v>116.56119503929708</v>
      </c>
    </row>
    <row r="400" spans="1:17" x14ac:dyDescent="0.25">
      <c r="A400" s="5" t="s">
        <v>457</v>
      </c>
      <c r="B400" s="6">
        <f t="shared" si="76"/>
        <v>1</v>
      </c>
      <c r="C400" s="70">
        <v>17.66108131</v>
      </c>
      <c r="D400" s="4">
        <v>5.8</v>
      </c>
      <c r="E400" s="12">
        <f t="shared" si="65"/>
        <v>0</v>
      </c>
      <c r="F400" s="12">
        <f t="shared" si="66"/>
        <v>5.8</v>
      </c>
      <c r="G400" s="16">
        <f t="shared" si="68"/>
        <v>30.898880670181814</v>
      </c>
      <c r="H400" s="14">
        <f t="shared" si="69"/>
        <v>1.4776367152414214</v>
      </c>
      <c r="I400" s="14">
        <f t="shared" si="70"/>
        <v>11.872232770140382</v>
      </c>
      <c r="J400" s="14">
        <f t="shared" si="71"/>
        <v>5.2983968831239165</v>
      </c>
      <c r="K400" s="14">
        <f t="shared" si="72"/>
        <v>13.114138827315383</v>
      </c>
      <c r="L400" s="14">
        <f t="shared" si="73"/>
        <v>648.65623393506121</v>
      </c>
      <c r="M400" s="14">
        <f t="shared" si="67"/>
        <v>0.57253480569627946</v>
      </c>
      <c r="N400" s="14">
        <f t="shared" si="74"/>
        <v>14.651324715213818</v>
      </c>
      <c r="O400" s="4">
        <v>21.07</v>
      </c>
      <c r="P400" s="14">
        <f t="shared" si="77"/>
        <v>41.199392411524983</v>
      </c>
      <c r="Q400" s="14">
        <f t="shared" si="75"/>
        <v>211.30550056228566</v>
      </c>
    </row>
    <row r="401" spans="1:17" x14ac:dyDescent="0.25">
      <c r="A401" s="5" t="s">
        <v>458</v>
      </c>
      <c r="B401" s="6">
        <f t="shared" si="76"/>
        <v>1</v>
      </c>
      <c r="C401" s="70">
        <v>14.368373869999999</v>
      </c>
      <c r="D401" s="4">
        <v>3.7</v>
      </c>
      <c r="E401" s="12">
        <f t="shared" si="65"/>
        <v>0</v>
      </c>
      <c r="F401" s="12">
        <f t="shared" si="66"/>
        <v>3.7</v>
      </c>
      <c r="G401" s="16">
        <f t="shared" si="68"/>
        <v>31.37361874881308</v>
      </c>
      <c r="H401" s="14">
        <f t="shared" si="69"/>
        <v>0.92713256260569954</v>
      </c>
      <c r="I401" s="14">
        <f t="shared" si="70"/>
        <v>5.3121296430573848</v>
      </c>
      <c r="J401" s="14">
        <f t="shared" si="71"/>
        <v>2.2981293587630365</v>
      </c>
      <c r="K401" s="14">
        <f t="shared" si="72"/>
        <v>12.961169691621588</v>
      </c>
      <c r="L401" s="14">
        <f t="shared" si="73"/>
        <v>649.16380082766443</v>
      </c>
      <c r="M401" s="14">
        <f t="shared" si="67"/>
        <v>0.56667058063700049</v>
      </c>
      <c r="N401" s="14">
        <f t="shared" si="74"/>
        <v>14.501257566995466</v>
      </c>
      <c r="O401" s="4">
        <v>20.079999999999998</v>
      </c>
      <c r="P401" s="14">
        <f t="shared" si="77"/>
        <v>31.122367133805323</v>
      </c>
      <c r="Q401" s="14">
        <f t="shared" si="75"/>
        <v>183.50362557090628</v>
      </c>
    </row>
    <row r="402" spans="1:17" x14ac:dyDescent="0.25">
      <c r="A402" s="5" t="s">
        <v>459</v>
      </c>
      <c r="B402" s="6">
        <f t="shared" si="76"/>
        <v>1</v>
      </c>
      <c r="C402" s="70">
        <v>17.15421486</v>
      </c>
      <c r="D402" s="4">
        <v>5.2</v>
      </c>
      <c r="E402" s="12">
        <f t="shared" si="65"/>
        <v>0</v>
      </c>
      <c r="F402" s="12">
        <f t="shared" si="66"/>
        <v>5.2</v>
      </c>
      <c r="G402" s="16">
        <f t="shared" si="68"/>
        <v>30.488505850260225</v>
      </c>
      <c r="H402" s="14">
        <f t="shared" si="69"/>
        <v>1.3136306232939765</v>
      </c>
      <c r="I402" s="14">
        <f t="shared" si="70"/>
        <v>10.862396261963251</v>
      </c>
      <c r="J402" s="14">
        <f t="shared" si="71"/>
        <v>4.7714822752588821</v>
      </c>
      <c r="K402" s="14">
        <f t="shared" si="72"/>
        <v>13.208203258692121</v>
      </c>
      <c r="L402" s="14">
        <f t="shared" si="73"/>
        <v>649.66372730325088</v>
      </c>
      <c r="M402" s="14">
        <f t="shared" si="67"/>
        <v>0.57642197185494903</v>
      </c>
      <c r="N402" s="14">
        <f t="shared" si="74"/>
        <v>14.750798376982553</v>
      </c>
      <c r="O402" s="4">
        <v>16.32</v>
      </c>
      <c r="P402" s="14">
        <f t="shared" si="77"/>
        <v>2.4623937336805901</v>
      </c>
      <c r="Q402" s="14">
        <f t="shared" si="75"/>
        <v>95.772666007687903</v>
      </c>
    </row>
    <row r="403" spans="1:17" x14ac:dyDescent="0.25">
      <c r="A403" s="5" t="s">
        <v>460</v>
      </c>
      <c r="B403" s="6">
        <f t="shared" si="76"/>
        <v>1</v>
      </c>
      <c r="C403" s="70">
        <v>15.742555619999999</v>
      </c>
      <c r="D403" s="4">
        <v>3.9</v>
      </c>
      <c r="E403" s="12">
        <f t="shared" si="65"/>
        <v>0</v>
      </c>
      <c r="F403" s="12">
        <f t="shared" si="66"/>
        <v>3.9</v>
      </c>
      <c r="G403" s="16">
        <f t="shared" si="68"/>
        <v>29.981896509578881</v>
      </c>
      <c r="H403" s="14">
        <f t="shared" si="69"/>
        <v>0.97030771775873959</v>
      </c>
      <c r="I403" s="14">
        <f t="shared" si="70"/>
        <v>8.0499295112884308</v>
      </c>
      <c r="J403" s="14">
        <f t="shared" si="71"/>
        <v>3.4363016229226049</v>
      </c>
      <c r="K403" s="14">
        <f t="shared" si="72"/>
        <v>13.090104946221476</v>
      </c>
      <c r="L403" s="14">
        <f t="shared" si="73"/>
        <v>650.1757113616253</v>
      </c>
      <c r="M403" s="14">
        <f t="shared" si="67"/>
        <v>0.5719201439483429</v>
      </c>
      <c r="N403" s="14">
        <f t="shared" si="74"/>
        <v>14.635595350344746</v>
      </c>
      <c r="O403" s="4">
        <v>14.85</v>
      </c>
      <c r="P403" s="14">
        <f t="shared" si="77"/>
        <v>4.5969353793792245E-2</v>
      </c>
      <c r="Q403" s="14">
        <f t="shared" si="75"/>
        <v>69.161694050791297</v>
      </c>
    </row>
    <row r="404" spans="1:17" x14ac:dyDescent="0.25">
      <c r="A404" s="5" t="s">
        <v>461</v>
      </c>
      <c r="B404" s="6">
        <f t="shared" si="76"/>
        <v>1</v>
      </c>
      <c r="C404" s="70">
        <v>17.023429870000001</v>
      </c>
      <c r="D404" s="4">
        <v>1.4</v>
      </c>
      <c r="E404" s="12">
        <f t="shared" si="65"/>
        <v>0</v>
      </c>
      <c r="F404" s="12">
        <f t="shared" si="66"/>
        <v>1.4</v>
      </c>
      <c r="G404" s="16">
        <f t="shared" si="68"/>
        <v>26.586237014804198</v>
      </c>
      <c r="H404" s="14">
        <f t="shared" si="69"/>
        <v>0.34521834169911497</v>
      </c>
      <c r="I404" s="14">
        <f t="shared" si="70"/>
        <v>10.60183165441509</v>
      </c>
      <c r="J404" s="14">
        <f t="shared" si="71"/>
        <v>4.4504411530755643</v>
      </c>
      <c r="K404" s="14">
        <f t="shared" si="72"/>
        <v>12.357343383409102</v>
      </c>
      <c r="L404" s="14">
        <f t="shared" si="73"/>
        <v>650.68177112218837</v>
      </c>
      <c r="M404" s="14">
        <f t="shared" si="67"/>
        <v>0.54341885143350444</v>
      </c>
      <c r="N404" s="14">
        <f t="shared" si="74"/>
        <v>13.906239357864333</v>
      </c>
      <c r="O404" s="4">
        <v>13.85</v>
      </c>
      <c r="P404" s="14">
        <f t="shared" si="77"/>
        <v>3.1628653729925621E-3</v>
      </c>
      <c r="Q404" s="14">
        <f t="shared" si="75"/>
        <v>53.528992039297052</v>
      </c>
    </row>
    <row r="405" spans="1:17" x14ac:dyDescent="0.25">
      <c r="A405" s="5" t="s">
        <v>462</v>
      </c>
      <c r="B405" s="6">
        <f t="shared" si="76"/>
        <v>1</v>
      </c>
      <c r="C405" s="70">
        <v>17.691558839999999</v>
      </c>
      <c r="D405" s="4">
        <v>12.3</v>
      </c>
      <c r="E405" s="12">
        <f t="shared" si="65"/>
        <v>0</v>
      </c>
      <c r="F405" s="12">
        <f t="shared" si="66"/>
        <v>12.3</v>
      </c>
      <c r="G405" s="16">
        <f t="shared" si="68"/>
        <v>31.599594559801872</v>
      </c>
      <c r="H405" s="14">
        <f t="shared" si="69"/>
        <v>2.8447516276112306</v>
      </c>
      <c r="I405" s="14">
        <f t="shared" si="70"/>
        <v>11.932953542787816</v>
      </c>
      <c r="J405" s="14">
        <f t="shared" si="71"/>
        <v>4.4418908273910924</v>
      </c>
      <c r="K405" s="14">
        <f t="shared" si="72"/>
        <v>14.188805820671442</v>
      </c>
      <c r="L405" s="14">
        <f t="shared" si="73"/>
        <v>651.15164146110374</v>
      </c>
      <c r="M405" s="14">
        <f t="shared" si="67"/>
        <v>0.6150244521357775</v>
      </c>
      <c r="N405" s="14">
        <f t="shared" si="74"/>
        <v>15.738646570280139</v>
      </c>
      <c r="O405" s="4">
        <v>12.57</v>
      </c>
      <c r="P405" s="14">
        <f t="shared" si="77"/>
        <v>10.040321087348085</v>
      </c>
      <c r="Q405" s="14">
        <f t="shared" si="75"/>
        <v>36.437533464584405</v>
      </c>
    </row>
    <row r="406" spans="1:17" x14ac:dyDescent="0.25">
      <c r="A406" s="5" t="s">
        <v>463</v>
      </c>
      <c r="B406" s="6">
        <f t="shared" si="76"/>
        <v>1</v>
      </c>
      <c r="C406" s="70">
        <v>18.310094830000001</v>
      </c>
      <c r="D406" s="4">
        <v>3.6</v>
      </c>
      <c r="E406" s="12">
        <f t="shared" si="65"/>
        <v>0</v>
      </c>
      <c r="F406" s="12">
        <f t="shared" si="66"/>
        <v>3.6</v>
      </c>
      <c r="G406" s="16">
        <f t="shared" si="68"/>
        <v>28.461961364755229</v>
      </c>
      <c r="H406" s="14">
        <f t="shared" si="69"/>
        <v>0.91292246365459384</v>
      </c>
      <c r="I406" s="14">
        <f t="shared" si="70"/>
        <v>13.165270703103884</v>
      </c>
      <c r="J406" s="14">
        <f t="shared" si="71"/>
        <v>5.8247107313920479</v>
      </c>
      <c r="K406" s="14">
        <f t="shared" si="72"/>
        <v>13.926751283042101</v>
      </c>
      <c r="L406" s="14">
        <f t="shared" si="73"/>
        <v>651.71159401025193</v>
      </c>
      <c r="M406" s="14">
        <f t="shared" si="67"/>
        <v>0.60491238208410014</v>
      </c>
      <c r="N406" s="14">
        <f t="shared" si="74"/>
        <v>15.479875888749369</v>
      </c>
      <c r="O406" s="4">
        <v>11.7</v>
      </c>
      <c r="P406" s="14">
        <f t="shared" si="77"/>
        <v>14.287461734348838</v>
      </c>
      <c r="Q406" s="14">
        <f t="shared" si="75"/>
        <v>26.691182714584386</v>
      </c>
    </row>
    <row r="407" spans="1:17" x14ac:dyDescent="0.25">
      <c r="A407" s="5" t="s">
        <v>464</v>
      </c>
      <c r="B407" s="6">
        <f t="shared" si="76"/>
        <v>1</v>
      </c>
      <c r="C407" s="70">
        <v>18.155456539999999</v>
      </c>
      <c r="D407" s="4">
        <v>8</v>
      </c>
      <c r="E407" s="12">
        <f t="shared" si="65"/>
        <v>0</v>
      </c>
      <c r="F407" s="12">
        <f t="shared" si="66"/>
        <v>8</v>
      </c>
      <c r="G407" s="16">
        <f t="shared" si="68"/>
        <v>29.419658104057287</v>
      </c>
      <c r="H407" s="14">
        <f t="shared" si="69"/>
        <v>1.918721112753107</v>
      </c>
      <c r="I407" s="14">
        <f t="shared" si="70"/>
        <v>12.857182861022238</v>
      </c>
      <c r="J407" s="14">
        <f t="shared" si="71"/>
        <v>5.1235821479448349</v>
      </c>
      <c r="K407" s="14">
        <f t="shared" si="72"/>
        <v>14.693630471525587</v>
      </c>
      <c r="L407" s="14">
        <f t="shared" si="73"/>
        <v>652.25852355243751</v>
      </c>
      <c r="M407" s="14">
        <f t="shared" si="67"/>
        <v>0.63497003871119218</v>
      </c>
      <c r="N407" s="14">
        <f t="shared" si="74"/>
        <v>16.249059671185716</v>
      </c>
      <c r="O407" s="4">
        <v>13.22</v>
      </c>
      <c r="P407" s="14">
        <f t="shared" si="77"/>
        <v>9.1752024916037129</v>
      </c>
      <c r="Q407" s="14">
        <f t="shared" si="75"/>
        <v>44.707289772055681</v>
      </c>
    </row>
    <row r="408" spans="1:17" x14ac:dyDescent="0.25">
      <c r="A408" s="5" t="s">
        <v>465</v>
      </c>
      <c r="B408" s="6">
        <f t="shared" si="76"/>
        <v>1</v>
      </c>
      <c r="C408" s="70">
        <v>18.33146477</v>
      </c>
      <c r="D408" s="4">
        <v>6.3</v>
      </c>
      <c r="E408" s="12">
        <f t="shared" si="65"/>
        <v>0</v>
      </c>
      <c r="F408" s="12">
        <f t="shared" si="66"/>
        <v>6.3</v>
      </c>
      <c r="G408" s="16">
        <f t="shared" si="68"/>
        <v>28.741349782663846</v>
      </c>
      <c r="H408" s="14">
        <f t="shared" si="69"/>
        <v>1.5378850921937497</v>
      </c>
      <c r="I408" s="14">
        <f t="shared" si="70"/>
        <v>13.207846307761784</v>
      </c>
      <c r="J408" s="14">
        <f t="shared" si="71"/>
        <v>5.4404232291996939</v>
      </c>
      <c r="K408" s="14">
        <f t="shared" si="72"/>
        <v>15.011970903802631</v>
      </c>
      <c r="L408" s="14">
        <f t="shared" si="73"/>
        <v>652.84309817364306</v>
      </c>
      <c r="M408" s="14">
        <f t="shared" si="67"/>
        <v>0.64752348520130976</v>
      </c>
      <c r="N408" s="14">
        <f t="shared" si="74"/>
        <v>16.570305853936294</v>
      </c>
      <c r="O408" s="4">
        <v>15.7</v>
      </c>
      <c r="P408" s="14">
        <f t="shared" si="77"/>
        <v>0.75743227939578228</v>
      </c>
      <c r="Q408" s="14">
        <f t="shared" si="75"/>
        <v>84.021990760561451</v>
      </c>
    </row>
    <row r="409" spans="1:17" x14ac:dyDescent="0.25">
      <c r="A409" s="5" t="s">
        <v>466</v>
      </c>
      <c r="B409" s="6">
        <f t="shared" si="76"/>
        <v>1</v>
      </c>
      <c r="C409" s="70">
        <v>17.710435870000001</v>
      </c>
      <c r="D409" s="4">
        <v>3.4</v>
      </c>
      <c r="E409" s="12">
        <f t="shared" si="65"/>
        <v>0</v>
      </c>
      <c r="F409" s="12">
        <f t="shared" si="66"/>
        <v>3.4</v>
      </c>
      <c r="G409" s="16">
        <f t="shared" si="68"/>
        <v>26.504545937444092</v>
      </c>
      <c r="H409" s="14">
        <f t="shared" si="69"/>
        <v>0.81971366739085116</v>
      </c>
      <c r="I409" s="14">
        <f t="shared" si="70"/>
        <v>11.97056249098306</v>
      </c>
      <c r="J409" s="14">
        <f t="shared" si="71"/>
        <v>4.8170901778289013</v>
      </c>
      <c r="K409" s="14">
        <f t="shared" si="72"/>
        <v>14.584035721652262</v>
      </c>
      <c r="L409" s="14">
        <f t="shared" si="73"/>
        <v>653.44322353798293</v>
      </c>
      <c r="M409" s="14">
        <f t="shared" si="67"/>
        <v>0.63094352058997816</v>
      </c>
      <c r="N409" s="14">
        <f t="shared" si="74"/>
        <v>16.146019953986595</v>
      </c>
      <c r="O409" s="4">
        <v>15.13</v>
      </c>
      <c r="P409" s="14">
        <f t="shared" si="77"/>
        <v>1.0322965468989218</v>
      </c>
      <c r="Q409" s="14">
        <f t="shared" si="75"/>
        <v>73.897250614009707</v>
      </c>
    </row>
    <row r="410" spans="1:17" x14ac:dyDescent="0.25">
      <c r="A410" s="5" t="s">
        <v>467</v>
      </c>
      <c r="B410" s="6">
        <f t="shared" si="76"/>
        <v>1</v>
      </c>
      <c r="C410" s="70">
        <v>17.316720960000001</v>
      </c>
      <c r="D410" s="4">
        <v>4.7</v>
      </c>
      <c r="E410" s="12">
        <f t="shared" si="65"/>
        <v>0</v>
      </c>
      <c r="F410" s="12">
        <f t="shared" si="66"/>
        <v>4.7</v>
      </c>
      <c r="G410" s="16">
        <f t="shared" si="68"/>
        <v>25.968196991441648</v>
      </c>
      <c r="H410" s="14">
        <f t="shared" si="69"/>
        <v>1.0852372021977639</v>
      </c>
      <c r="I410" s="14">
        <f t="shared" si="70"/>
        <v>11.186159242490934</v>
      </c>
      <c r="J410" s="14">
        <f t="shared" si="71"/>
        <v>4.1511117438046803</v>
      </c>
      <c r="K410" s="14">
        <f t="shared" si="72"/>
        <v>14.459403665861561</v>
      </c>
      <c r="L410" s="14">
        <f t="shared" si="73"/>
        <v>654.02214927538137</v>
      </c>
      <c r="M410" s="14">
        <f t="shared" si="67"/>
        <v>0.62620085711933016</v>
      </c>
      <c r="N410" s="14">
        <f t="shared" si="74"/>
        <v>16.024653878366195</v>
      </c>
      <c r="O410" s="4">
        <v>12.77</v>
      </c>
      <c r="P410" s="14">
        <f t="shared" si="77"/>
        <v>10.592771867964116</v>
      </c>
      <c r="Q410" s="14">
        <f t="shared" si="75"/>
        <v>38.892073866883251</v>
      </c>
    </row>
    <row r="411" spans="1:17" x14ac:dyDescent="0.25">
      <c r="A411" s="5" t="s">
        <v>468</v>
      </c>
      <c r="B411" s="6">
        <f t="shared" si="76"/>
        <v>1</v>
      </c>
      <c r="C411" s="70">
        <v>16.597394940000001</v>
      </c>
      <c r="D411" s="4">
        <v>3.8</v>
      </c>
      <c r="E411" s="12">
        <f t="shared" ref="E411:E474" si="78">IF(C411&gt;$C$9,MAX(E410-$C$10*(C411-$C$9),0),E410+D411)</f>
        <v>0</v>
      </c>
      <c r="F411" s="12">
        <f t="shared" ref="F411:F474" si="79">IF(C411&gt;$C$9,D411+MIN(E410,$C$10*(C411-$C$9)),0)</f>
        <v>3.8</v>
      </c>
      <c r="G411" s="16">
        <f t="shared" si="68"/>
        <v>25.354232175849987</v>
      </c>
      <c r="H411" s="14">
        <f t="shared" si="69"/>
        <v>0.86791592615204172</v>
      </c>
      <c r="I411" s="14">
        <f t="shared" si="70"/>
        <v>9.753036816893907</v>
      </c>
      <c r="J411" s="14">
        <f t="shared" si="71"/>
        <v>3.5460488894396218</v>
      </c>
      <c r="K411" s="14">
        <f t="shared" si="72"/>
        <v>14.128453281103461</v>
      </c>
      <c r="L411" s="14">
        <f t="shared" si="73"/>
        <v>654.59481472917219</v>
      </c>
      <c r="M411" s="14">
        <f t="shared" si="67"/>
        <v>0.61340160531286758</v>
      </c>
      <c r="N411" s="14">
        <f t="shared" si="74"/>
        <v>15.697117469291092</v>
      </c>
      <c r="O411" s="4">
        <v>13.6</v>
      </c>
      <c r="P411" s="14">
        <f t="shared" si="77"/>
        <v>4.3979016800058748</v>
      </c>
      <c r="Q411" s="14">
        <f t="shared" si="75"/>
        <v>49.93331653642349</v>
      </c>
    </row>
    <row r="412" spans="1:17" x14ac:dyDescent="0.25">
      <c r="A412" s="5" t="s">
        <v>469</v>
      </c>
      <c r="B412" s="6">
        <f t="shared" si="76"/>
        <v>1</v>
      </c>
      <c r="C412" s="70">
        <v>16.458806989999999</v>
      </c>
      <c r="D412" s="4">
        <v>2.7</v>
      </c>
      <c r="E412" s="12">
        <f t="shared" si="78"/>
        <v>0</v>
      </c>
      <c r="F412" s="12">
        <f t="shared" si="79"/>
        <v>2.7</v>
      </c>
      <c r="G412" s="16">
        <f t="shared" si="68"/>
        <v>24.081176498698376</v>
      </c>
      <c r="H412" s="14">
        <f t="shared" si="69"/>
        <v>0.60886174460158538</v>
      </c>
      <c r="I412" s="14">
        <f t="shared" si="70"/>
        <v>9.4769262723837553</v>
      </c>
      <c r="J412" s="14">
        <f t="shared" si="71"/>
        <v>3.3641939325500227</v>
      </c>
      <c r="K412" s="14">
        <f t="shared" si="72"/>
        <v>13.567666154449103</v>
      </c>
      <c r="L412" s="14">
        <f t="shared" si="73"/>
        <v>655.15106199511524</v>
      </c>
      <c r="M412" s="14">
        <f t="shared" si="67"/>
        <v>0.59162537549285521</v>
      </c>
      <c r="N412" s="14">
        <f t="shared" si="74"/>
        <v>15.139857699244246</v>
      </c>
      <c r="O412" s="4">
        <v>13.85</v>
      </c>
      <c r="P412" s="14">
        <f t="shared" si="77"/>
        <v>1.6637328842996599</v>
      </c>
      <c r="Q412" s="14">
        <f t="shared" si="75"/>
        <v>53.528992039297052</v>
      </c>
    </row>
    <row r="413" spans="1:17" x14ac:dyDescent="0.25">
      <c r="A413" s="5" t="s">
        <v>470</v>
      </c>
      <c r="B413" s="6">
        <f t="shared" si="76"/>
        <v>1</v>
      </c>
      <c r="C413" s="70">
        <v>16.52628326</v>
      </c>
      <c r="D413" s="4">
        <v>6.3</v>
      </c>
      <c r="E413" s="12">
        <f t="shared" si="78"/>
        <v>0</v>
      </c>
      <c r="F413" s="12">
        <f t="shared" si="79"/>
        <v>6.3</v>
      </c>
      <c r="G413" s="16">
        <f t="shared" si="68"/>
        <v>25.758379275098779</v>
      </c>
      <c r="H413" s="14">
        <f t="shared" si="69"/>
        <v>1.3821958757413322</v>
      </c>
      <c r="I413" s="14">
        <f t="shared" si="70"/>
        <v>9.6113601077295687</v>
      </c>
      <c r="J413" s="14">
        <f t="shared" si="71"/>
        <v>3.2406013478582656</v>
      </c>
      <c r="K413" s="14">
        <f t="shared" si="72"/>
        <v>13.829721377647857</v>
      </c>
      <c r="L413" s="14">
        <f t="shared" si="73"/>
        <v>655.67957727216503</v>
      </c>
      <c r="M413" s="14">
        <f t="shared" si="67"/>
        <v>0.60196934509647926</v>
      </c>
      <c r="N413" s="14">
        <f t="shared" si="74"/>
        <v>15.404562754725875</v>
      </c>
      <c r="O413" s="4">
        <v>15.33</v>
      </c>
      <c r="P413" s="14">
        <f t="shared" si="77"/>
        <v>5.5596043923109833E-3</v>
      </c>
      <c r="Q413" s="14">
        <f t="shared" si="75"/>
        <v>77.375791016308554</v>
      </c>
    </row>
    <row r="414" spans="1:17" x14ac:dyDescent="0.25">
      <c r="A414" s="5" t="s">
        <v>471</v>
      </c>
      <c r="B414" s="6">
        <f t="shared" si="76"/>
        <v>1</v>
      </c>
      <c r="C414" s="70">
        <v>16.490047449999999</v>
      </c>
      <c r="D414" s="4">
        <v>1.1000000000000001</v>
      </c>
      <c r="E414" s="12">
        <f t="shared" si="78"/>
        <v>0</v>
      </c>
      <c r="F414" s="12">
        <f t="shared" si="79"/>
        <v>1.1000000000000001</v>
      </c>
      <c r="G414" s="16">
        <f t="shared" si="68"/>
        <v>23.167958403266844</v>
      </c>
      <c r="H414" s="14">
        <f t="shared" si="69"/>
        <v>0.25015469492949011</v>
      </c>
      <c r="I414" s="14">
        <f t="shared" si="70"/>
        <v>9.5391670402235818</v>
      </c>
      <c r="J414" s="14">
        <f t="shared" si="71"/>
        <v>3.4402661769024467</v>
      </c>
      <c r="K414" s="14">
        <f t="shared" si="72"/>
        <v>12.936600282496029</v>
      </c>
      <c r="L414" s="14">
        <f t="shared" si="73"/>
        <v>656.22088371714995</v>
      </c>
      <c r="M414" s="14">
        <f t="shared" si="67"/>
        <v>0.56721466855645775</v>
      </c>
      <c r="N414" s="14">
        <f t="shared" si="74"/>
        <v>14.51518092798991</v>
      </c>
      <c r="O414" s="4">
        <v>15.76</v>
      </c>
      <c r="P414" s="14">
        <f t="shared" si="77"/>
        <v>1.5495745220400616</v>
      </c>
      <c r="Q414" s="14">
        <f t="shared" si="75"/>
        <v>85.125552881251082</v>
      </c>
    </row>
    <row r="415" spans="1:17" x14ac:dyDescent="0.25">
      <c r="A415" s="5" t="s">
        <v>472</v>
      </c>
      <c r="B415" s="6">
        <f t="shared" si="76"/>
        <v>1</v>
      </c>
      <c r="C415" s="70">
        <v>17.894515989999999</v>
      </c>
      <c r="D415" s="4">
        <v>0</v>
      </c>
      <c r="E415" s="12">
        <f t="shared" si="78"/>
        <v>0</v>
      </c>
      <c r="F415" s="12">
        <f t="shared" si="79"/>
        <v>0</v>
      </c>
      <c r="G415" s="16">
        <f t="shared" si="68"/>
        <v>19.166012457332695</v>
      </c>
      <c r="H415" s="14">
        <f t="shared" si="69"/>
        <v>0</v>
      </c>
      <c r="I415" s="14">
        <f t="shared" si="70"/>
        <v>12.337307667361621</v>
      </c>
      <c r="J415" s="14">
        <f t="shared" si="71"/>
        <v>4.0019459459341498</v>
      </c>
      <c r="K415" s="14">
        <f t="shared" si="72"/>
        <v>11.872172298319411</v>
      </c>
      <c r="L415" s="14">
        <f t="shared" si="73"/>
        <v>656.71809703277006</v>
      </c>
      <c r="M415" s="14">
        <f t="shared" ref="M415:M478" si="80">MAX(0,K415-$F$9)*$F$8+K415*$F$10+L415*$F$11</f>
        <v>0.52576229052671364</v>
      </c>
      <c r="N415" s="14">
        <f t="shared" si="74"/>
        <v>13.454403059659304</v>
      </c>
      <c r="O415" s="4">
        <v>13.45</v>
      </c>
      <c r="P415" s="14">
        <f t="shared" si="77"/>
        <v>1.9386934363398942E-5</v>
      </c>
      <c r="Q415" s="14">
        <f t="shared" si="75"/>
        <v>47.835911234699346</v>
      </c>
    </row>
    <row r="416" spans="1:17" x14ac:dyDescent="0.25">
      <c r="A416" s="5" t="s">
        <v>473</v>
      </c>
      <c r="B416" s="6">
        <f t="shared" si="76"/>
        <v>1</v>
      </c>
      <c r="C416" s="70">
        <v>16.282268519999999</v>
      </c>
      <c r="D416" s="4">
        <v>17.5</v>
      </c>
      <c r="E416" s="12">
        <f t="shared" si="78"/>
        <v>0</v>
      </c>
      <c r="F416" s="12">
        <f t="shared" si="79"/>
        <v>17.5</v>
      </c>
      <c r="G416" s="16">
        <f t="shared" ref="G416:G479" si="81">G415+F416-H416-J416</f>
        <v>30.817786219393398</v>
      </c>
      <c r="H416" s="14">
        <f t="shared" ref="H416:H479" si="82">(F416*(G415/$C$11)^$C$12)</f>
        <v>3.3995152962587971</v>
      </c>
      <c r="I416" s="14">
        <f t="shared" ref="I416:I479" si="83">(1+$C$13*(C416-INDEX($A$16:$A$27,B416)))*INDEX($C$16:$C$27,B416)</f>
        <v>9.1252064217135569</v>
      </c>
      <c r="J416" s="14">
        <f t="shared" ref="J416:J479" si="84">IF(G415&gt;$F$13,I416,I416*(G415/$F$13))</f>
        <v>2.4487109416805022</v>
      </c>
      <c r="K416" s="14">
        <f t="shared" ref="K416:K479" si="85">K415+H416-MAX(0,K415-$F$9)*$F$8-K415*$F$10-K415*$F$12</f>
        <v>14.301230978395781</v>
      </c>
      <c r="L416" s="14">
        <f t="shared" ref="L416:L479" si="86">L415+K415*$F$12-L415*$F$11</f>
        <v>657.16279135842581</v>
      </c>
      <c r="M416" s="14">
        <f t="shared" si="80"/>
        <v>0.62069438609322702</v>
      </c>
      <c r="N416" s="14">
        <f t="shared" ref="N416:N479" si="87">M416*$C$8*1000/(24*3600)</f>
        <v>15.883741755232927</v>
      </c>
      <c r="O416" s="4">
        <v>11.67</v>
      </c>
      <c r="P416" s="14">
        <f t="shared" si="77"/>
        <v>17.755619579793471</v>
      </c>
      <c r="Q416" s="14">
        <f t="shared" ref="Q416:Q479" si="88">(O416-$F$23)^2</f>
        <v>26.382101654239566</v>
      </c>
    </row>
    <row r="417" spans="1:17" x14ac:dyDescent="0.25">
      <c r="A417" s="5" t="s">
        <v>474</v>
      </c>
      <c r="B417" s="6">
        <f t="shared" ref="B417:B480" si="89">MONTH(A417)</f>
        <v>1</v>
      </c>
      <c r="C417" s="70">
        <v>16.657928470000002</v>
      </c>
      <c r="D417" s="4">
        <v>4.8</v>
      </c>
      <c r="E417" s="12">
        <f t="shared" si="78"/>
        <v>0</v>
      </c>
      <c r="F417" s="12">
        <f t="shared" si="79"/>
        <v>4.8</v>
      </c>
      <c r="G417" s="16">
        <f t="shared" si="81"/>
        <v>30.156388266196011</v>
      </c>
      <c r="H417" s="14">
        <f t="shared" si="82"/>
        <v>1.2010828590185045</v>
      </c>
      <c r="I417" s="14">
        <f t="shared" si="83"/>
        <v>9.8736385425808937</v>
      </c>
      <c r="J417" s="14">
        <f t="shared" si="84"/>
        <v>4.2603150941788783</v>
      </c>
      <c r="K417" s="14">
        <f t="shared" si="85"/>
        <v>14.317411556049997</v>
      </c>
      <c r="L417" s="14">
        <f t="shared" si="86"/>
        <v>657.72699925369682</v>
      </c>
      <c r="M417" s="14">
        <f t="shared" si="80"/>
        <v>0.62144631327902655</v>
      </c>
      <c r="N417" s="14">
        <f t="shared" si="87"/>
        <v>15.902983780786199</v>
      </c>
      <c r="O417" s="4">
        <v>12.37</v>
      </c>
      <c r="P417" s="14">
        <f t="shared" ref="P417:P480" si="90">(O417-N417)^2</f>
        <v>12.481974395298352</v>
      </c>
      <c r="Q417" s="14">
        <f t="shared" si="88"/>
        <v>34.062993062285543</v>
      </c>
    </row>
    <row r="418" spans="1:17" x14ac:dyDescent="0.25">
      <c r="A418" s="5" t="s">
        <v>475</v>
      </c>
      <c r="B418" s="6">
        <f t="shared" si="89"/>
        <v>1</v>
      </c>
      <c r="C418" s="70">
        <v>17.145580290000002</v>
      </c>
      <c r="D418" s="4">
        <v>5.3</v>
      </c>
      <c r="E418" s="12">
        <f t="shared" si="78"/>
        <v>0</v>
      </c>
      <c r="F418" s="12">
        <f t="shared" si="79"/>
        <v>5.3</v>
      </c>
      <c r="G418" s="16">
        <f t="shared" si="81"/>
        <v>29.566345957242451</v>
      </c>
      <c r="H418" s="14">
        <f t="shared" si="82"/>
        <v>1.3109469307677371</v>
      </c>
      <c r="I418" s="14">
        <f t="shared" si="83"/>
        <v>10.845193497766864</v>
      </c>
      <c r="J418" s="14">
        <f t="shared" si="84"/>
        <v>4.5790953781858237</v>
      </c>
      <c r="K418" s="14">
        <f t="shared" si="85"/>
        <v>14.442027728337376</v>
      </c>
      <c r="L418" s="14">
        <f t="shared" si="86"/>
        <v>658.29188369889812</v>
      </c>
      <c r="M418" s="14">
        <f t="shared" si="80"/>
        <v>0.62643201880130106</v>
      </c>
      <c r="N418" s="14">
        <f t="shared" si="87"/>
        <v>16.030569370019403</v>
      </c>
      <c r="O418" s="4">
        <v>15.6</v>
      </c>
      <c r="P418" s="14">
        <f t="shared" si="90"/>
        <v>0.18538998239890622</v>
      </c>
      <c r="Q418" s="14">
        <f t="shared" si="88"/>
        <v>82.198720559411996</v>
      </c>
    </row>
    <row r="419" spans="1:17" x14ac:dyDescent="0.25">
      <c r="A419" s="5" t="s">
        <v>476</v>
      </c>
      <c r="B419" s="6">
        <f t="shared" si="89"/>
        <v>1</v>
      </c>
      <c r="C419" s="70">
        <v>18.139575959999998</v>
      </c>
      <c r="D419" s="4">
        <v>3.4</v>
      </c>
      <c r="E419" s="12">
        <f t="shared" si="78"/>
        <v>0</v>
      </c>
      <c r="F419" s="12">
        <f t="shared" si="79"/>
        <v>3.4</v>
      </c>
      <c r="G419" s="16">
        <f t="shared" si="81"/>
        <v>26.82488222765074</v>
      </c>
      <c r="H419" s="14">
        <f t="shared" si="82"/>
        <v>0.83217308992980488</v>
      </c>
      <c r="I419" s="14">
        <f t="shared" si="83"/>
        <v>12.825543778468978</v>
      </c>
      <c r="J419" s="14">
        <f t="shared" si="84"/>
        <v>5.3092906396619091</v>
      </c>
      <c r="K419" s="14">
        <f t="shared" si="85"/>
        <v>14.076868514958869</v>
      </c>
      <c r="L419" s="14">
        <f t="shared" si="86"/>
        <v>658.86278398340505</v>
      </c>
      <c r="M419" s="14">
        <f t="shared" si="80"/>
        <v>0.6122967809416846</v>
      </c>
      <c r="N419" s="14">
        <f t="shared" si="87"/>
        <v>15.668844706736859</v>
      </c>
      <c r="O419" s="4">
        <v>19.62</v>
      </c>
      <c r="P419" s="14">
        <f t="shared" si="90"/>
        <v>15.611628151481344</v>
      </c>
      <c r="Q419" s="14">
        <f t="shared" si="88"/>
        <v>171.25258264561901</v>
      </c>
    </row>
    <row r="420" spans="1:17" x14ac:dyDescent="0.25">
      <c r="A420" s="5" t="s">
        <v>477</v>
      </c>
      <c r="B420" s="6">
        <f t="shared" si="89"/>
        <v>1</v>
      </c>
      <c r="C420" s="70">
        <v>17.828563689999999</v>
      </c>
      <c r="D420" s="4">
        <v>2.2999999999999998</v>
      </c>
      <c r="E420" s="12">
        <f t="shared" si="78"/>
        <v>0</v>
      </c>
      <c r="F420" s="12">
        <f t="shared" si="79"/>
        <v>2.2999999999999998</v>
      </c>
      <c r="G420" s="16">
        <f t="shared" si="81"/>
        <v>24.006117773091542</v>
      </c>
      <c r="H420" s="14">
        <f t="shared" si="82"/>
        <v>0.53448538491569098</v>
      </c>
      <c r="I420" s="14">
        <f t="shared" si="83"/>
        <v>12.205910056929424</v>
      </c>
      <c r="J420" s="14">
        <f t="shared" si="84"/>
        <v>4.5842790696435065</v>
      </c>
      <c r="K420" s="14">
        <f t="shared" si="85"/>
        <v>13.446259109415374</v>
      </c>
      <c r="L420" s="14">
        <f t="shared" si="86"/>
        <v>659.41558199292251</v>
      </c>
      <c r="M420" s="14">
        <f t="shared" si="80"/>
        <v>0.58779375586144367</v>
      </c>
      <c r="N420" s="14">
        <f t="shared" si="87"/>
        <v>15.041805488537639</v>
      </c>
      <c r="O420" s="4">
        <v>19.350000000000001</v>
      </c>
      <c r="P420" s="14">
        <f t="shared" si="90"/>
        <v>18.560539948594425</v>
      </c>
      <c r="Q420" s="14">
        <f t="shared" si="88"/>
        <v>164.25885310251556</v>
      </c>
    </row>
    <row r="421" spans="1:17" x14ac:dyDescent="0.25">
      <c r="A421" s="5" t="s">
        <v>478</v>
      </c>
      <c r="B421" s="6">
        <f t="shared" si="89"/>
        <v>1</v>
      </c>
      <c r="C421" s="70">
        <v>14.65079308</v>
      </c>
      <c r="D421" s="4">
        <v>2.8</v>
      </c>
      <c r="E421" s="12">
        <f t="shared" si="78"/>
        <v>0</v>
      </c>
      <c r="F421" s="12">
        <f t="shared" si="79"/>
        <v>2.8</v>
      </c>
      <c r="G421" s="16">
        <f t="shared" si="81"/>
        <v>24.218235692918164</v>
      </c>
      <c r="H421" s="14">
        <f t="shared" si="82"/>
        <v>0.6132878735086571</v>
      </c>
      <c r="I421" s="14">
        <f t="shared" si="83"/>
        <v>5.8747970456217971</v>
      </c>
      <c r="J421" s="14">
        <f t="shared" si="84"/>
        <v>1.9745942066647217</v>
      </c>
      <c r="K421" s="14">
        <f t="shared" si="85"/>
        <v>12.950124562404241</v>
      </c>
      <c r="L421" s="14">
        <f t="shared" si="86"/>
        <v>659.93721065758086</v>
      </c>
      <c r="M421" s="14">
        <f t="shared" si="80"/>
        <v>0.56853437205778978</v>
      </c>
      <c r="N421" s="14">
        <f t="shared" si="87"/>
        <v>14.548952507173302</v>
      </c>
      <c r="O421" s="4">
        <v>18.73</v>
      </c>
      <c r="P421" s="14">
        <f t="shared" si="90"/>
        <v>17.481158137272416</v>
      </c>
      <c r="Q421" s="14">
        <f t="shared" si="88"/>
        <v>148.7509778553891</v>
      </c>
    </row>
    <row r="422" spans="1:17" x14ac:dyDescent="0.25">
      <c r="A422" s="5" t="s">
        <v>479</v>
      </c>
      <c r="B422" s="6">
        <f t="shared" si="89"/>
        <v>1</v>
      </c>
      <c r="C422" s="70">
        <v>17.634323120000001</v>
      </c>
      <c r="D422" s="4">
        <v>6.6</v>
      </c>
      <c r="E422" s="12">
        <f t="shared" si="78"/>
        <v>0</v>
      </c>
      <c r="F422" s="12">
        <f t="shared" si="79"/>
        <v>6.6</v>
      </c>
      <c r="G422" s="16">
        <f t="shared" si="81"/>
        <v>25.358242315683746</v>
      </c>
      <c r="H422" s="14">
        <f t="shared" si="82"/>
        <v>1.4524020378484481</v>
      </c>
      <c r="I422" s="14">
        <f t="shared" si="83"/>
        <v>11.81892208612344</v>
      </c>
      <c r="J422" s="14">
        <f t="shared" si="84"/>
        <v>4.0075913393859706</v>
      </c>
      <c r="K422" s="14">
        <f t="shared" si="85"/>
        <v>13.33690464607246</v>
      </c>
      <c r="L422" s="14">
        <f t="shared" si="86"/>
        <v>660.43429823970337</v>
      </c>
      <c r="M422" s="14">
        <f t="shared" si="80"/>
        <v>0.58374126023045547</v>
      </c>
      <c r="N422" s="14">
        <f t="shared" si="87"/>
        <v>14.938100999647421</v>
      </c>
      <c r="O422" s="4">
        <v>16.59</v>
      </c>
      <c r="P422" s="14">
        <f t="shared" si="90"/>
        <v>2.7287703073658487</v>
      </c>
      <c r="Q422" s="14">
        <f t="shared" si="88"/>
        <v>101.13019555079136</v>
      </c>
    </row>
    <row r="423" spans="1:17" x14ac:dyDescent="0.25">
      <c r="A423" s="5" t="s">
        <v>480</v>
      </c>
      <c r="B423" s="6">
        <f t="shared" si="89"/>
        <v>1</v>
      </c>
      <c r="C423" s="70">
        <v>15.816758159999999</v>
      </c>
      <c r="D423" s="4">
        <v>2.7</v>
      </c>
      <c r="E423" s="12">
        <f t="shared" si="78"/>
        <v>0</v>
      </c>
      <c r="F423" s="12">
        <f t="shared" si="79"/>
        <v>2.7</v>
      </c>
      <c r="G423" s="16">
        <f t="shared" si="81"/>
        <v>24.538762066220112</v>
      </c>
      <c r="H423" s="14">
        <f t="shared" si="82"/>
        <v>0.60891307593481736</v>
      </c>
      <c r="I423" s="14">
        <f t="shared" si="83"/>
        <v>8.197764180344695</v>
      </c>
      <c r="J423" s="14">
        <f t="shared" si="84"/>
        <v>2.9105671735288139</v>
      </c>
      <c r="K423" s="14">
        <f t="shared" si="85"/>
        <v>12.846049490093353</v>
      </c>
      <c r="L423" s="14">
        <f t="shared" si="86"/>
        <v>660.95032521138683</v>
      </c>
      <c r="M423" s="14">
        <f t="shared" si="80"/>
        <v>0.56468680556684148</v>
      </c>
      <c r="N423" s="14">
        <f t="shared" si="87"/>
        <v>14.450492211901464</v>
      </c>
      <c r="O423" s="4">
        <v>15.45</v>
      </c>
      <c r="P423" s="14">
        <f t="shared" si="90"/>
        <v>0.99901581846962639</v>
      </c>
      <c r="Q423" s="14">
        <f t="shared" si="88"/>
        <v>79.501315257687878</v>
      </c>
    </row>
    <row r="424" spans="1:17" x14ac:dyDescent="0.25">
      <c r="A424" s="5" t="s">
        <v>481</v>
      </c>
      <c r="B424" s="6">
        <f t="shared" si="89"/>
        <v>1</v>
      </c>
      <c r="C424" s="70">
        <v>16.520645139999999</v>
      </c>
      <c r="D424" s="4">
        <v>2.8</v>
      </c>
      <c r="E424" s="12">
        <f t="shared" si="78"/>
        <v>0</v>
      </c>
      <c r="F424" s="12">
        <f t="shared" si="79"/>
        <v>2.8</v>
      </c>
      <c r="G424" s="16">
        <f t="shared" si="81"/>
        <v>23.419938519039505</v>
      </c>
      <c r="H424" s="14">
        <f t="shared" si="82"/>
        <v>0.62050424956310291</v>
      </c>
      <c r="I424" s="14">
        <f t="shared" si="83"/>
        <v>9.6001272091751595</v>
      </c>
      <c r="J424" s="14">
        <f t="shared" si="84"/>
        <v>3.298319297617506</v>
      </c>
      <c r="K424" s="14">
        <f t="shared" si="85"/>
        <v>12.410119891261246</v>
      </c>
      <c r="L424" s="14">
        <f t="shared" si="86"/>
        <v>661.44207225421519</v>
      </c>
      <c r="M424" s="14">
        <f t="shared" si="80"/>
        <v>0.54777162869302509</v>
      </c>
      <c r="N424" s="14">
        <f t="shared" si="87"/>
        <v>14.01762813704026</v>
      </c>
      <c r="O424" s="4">
        <v>18.97</v>
      </c>
      <c r="P424" s="14">
        <f t="shared" si="90"/>
        <v>24.525987069035313</v>
      </c>
      <c r="Q424" s="14">
        <f t="shared" si="88"/>
        <v>154.66282633814768</v>
      </c>
    </row>
    <row r="425" spans="1:17" x14ac:dyDescent="0.25">
      <c r="A425" s="5" t="s">
        <v>482</v>
      </c>
      <c r="B425" s="6">
        <f t="shared" si="89"/>
        <v>2</v>
      </c>
      <c r="C425" s="70">
        <v>16.519153589999998</v>
      </c>
      <c r="D425" s="4">
        <v>7.1</v>
      </c>
      <c r="E425" s="12">
        <f t="shared" si="78"/>
        <v>0</v>
      </c>
      <c r="F425" s="12">
        <f t="shared" si="79"/>
        <v>7.1</v>
      </c>
      <c r="G425" s="16">
        <f t="shared" si="81"/>
        <v>25.124726967748241</v>
      </c>
      <c r="H425" s="14">
        <f t="shared" si="82"/>
        <v>1.5347644644378855</v>
      </c>
      <c r="I425" s="14">
        <f t="shared" si="83"/>
        <v>11.773044762050166</v>
      </c>
      <c r="J425" s="14">
        <f t="shared" si="84"/>
        <v>3.8604470868533798</v>
      </c>
      <c r="K425" s="14">
        <f t="shared" si="85"/>
        <v>12.926935873491564</v>
      </c>
      <c r="L425" s="14">
        <f t="shared" si="86"/>
        <v>661.91224910772974</v>
      </c>
      <c r="M425" s="14">
        <f t="shared" si="80"/>
        <v>0.56804975571139038</v>
      </c>
      <c r="N425" s="14">
        <f t="shared" si="87"/>
        <v>14.536551040253288</v>
      </c>
      <c r="O425" s="4">
        <v>21.03</v>
      </c>
      <c r="P425" s="14">
        <f t="shared" si="90"/>
        <v>42.164879392835672</v>
      </c>
      <c r="Q425" s="14">
        <f t="shared" si="88"/>
        <v>210.14419248182591</v>
      </c>
    </row>
    <row r="426" spans="1:17" x14ac:dyDescent="0.25">
      <c r="A426" s="5" t="s">
        <v>483</v>
      </c>
      <c r="B426" s="6">
        <f t="shared" si="89"/>
        <v>2</v>
      </c>
      <c r="C426" s="70">
        <v>16.03761673</v>
      </c>
      <c r="D426" s="4">
        <v>3.7</v>
      </c>
      <c r="E426" s="12">
        <f t="shared" si="78"/>
        <v>0</v>
      </c>
      <c r="F426" s="12">
        <f t="shared" si="79"/>
        <v>3.7</v>
      </c>
      <c r="G426" s="16">
        <f t="shared" si="81"/>
        <v>24.20128255273012</v>
      </c>
      <c r="H426" s="14">
        <f t="shared" si="82"/>
        <v>0.83033158711333732</v>
      </c>
      <c r="I426" s="14">
        <f t="shared" si="83"/>
        <v>10.782795083660529</v>
      </c>
      <c r="J426" s="14">
        <f t="shared" si="84"/>
        <v>3.7931128279047832</v>
      </c>
      <c r="K426" s="14">
        <f t="shared" si="85"/>
        <v>12.693692683736344</v>
      </c>
      <c r="L426" s="14">
        <f t="shared" si="86"/>
        <v>662.4077741288869</v>
      </c>
      <c r="M426" s="14">
        <f t="shared" si="80"/>
        <v>0.55904883788724291</v>
      </c>
      <c r="N426" s="14">
        <f t="shared" si="87"/>
        <v>14.306215052878406</v>
      </c>
      <c r="O426" s="4">
        <v>19.260000000000002</v>
      </c>
      <c r="P426" s="14">
        <f t="shared" si="90"/>
        <v>24.539985302328514</v>
      </c>
      <c r="Q426" s="14">
        <f t="shared" si="88"/>
        <v>161.96000992148109</v>
      </c>
    </row>
    <row r="427" spans="1:17" x14ac:dyDescent="0.25">
      <c r="A427" s="5" t="s">
        <v>484</v>
      </c>
      <c r="B427" s="6">
        <f t="shared" si="89"/>
        <v>2</v>
      </c>
      <c r="C427" s="70">
        <v>16.87583351</v>
      </c>
      <c r="D427" s="4">
        <v>0</v>
      </c>
      <c r="E427" s="12">
        <f t="shared" si="78"/>
        <v>0</v>
      </c>
      <c r="F427" s="12">
        <f t="shared" si="79"/>
        <v>0</v>
      </c>
      <c r="G427" s="16">
        <f t="shared" si="81"/>
        <v>19.963502487522689</v>
      </c>
      <c r="H427" s="14">
        <f t="shared" si="82"/>
        <v>0</v>
      </c>
      <c r="I427" s="14">
        <f t="shared" si="83"/>
        <v>12.506534148652976</v>
      </c>
      <c r="J427" s="14">
        <f t="shared" si="84"/>
        <v>4.2377800652074313</v>
      </c>
      <c r="K427" s="14">
        <f t="shared" si="85"/>
        <v>11.650709418874664</v>
      </c>
      <c r="L427" s="14">
        <f t="shared" si="86"/>
        <v>662.89170855586133</v>
      </c>
      <c r="M427" s="14">
        <f t="shared" si="80"/>
        <v>0.51843089397069608</v>
      </c>
      <c r="N427" s="14">
        <f t="shared" si="87"/>
        <v>13.266790585291773</v>
      </c>
      <c r="O427" s="4">
        <v>16.78</v>
      </c>
      <c r="P427" s="14">
        <f t="shared" si="90"/>
        <v>12.342640391594534</v>
      </c>
      <c r="Q427" s="14">
        <f t="shared" si="88"/>
        <v>104.98770893297529</v>
      </c>
    </row>
    <row r="428" spans="1:17" x14ac:dyDescent="0.25">
      <c r="A428" s="5" t="s">
        <v>485</v>
      </c>
      <c r="B428" s="6">
        <f t="shared" si="89"/>
        <v>2</v>
      </c>
      <c r="C428" s="70">
        <v>13.704207419999999</v>
      </c>
      <c r="D428" s="4">
        <v>2.8</v>
      </c>
      <c r="E428" s="12">
        <f t="shared" si="78"/>
        <v>0</v>
      </c>
      <c r="F428" s="12">
        <f t="shared" si="79"/>
        <v>2.8</v>
      </c>
      <c r="G428" s="16">
        <f t="shared" si="81"/>
        <v>20.534952753081576</v>
      </c>
      <c r="H428" s="14">
        <f t="shared" si="82"/>
        <v>0.55587184886779506</v>
      </c>
      <c r="I428" s="14">
        <f t="shared" si="83"/>
        <v>5.9842884464346913</v>
      </c>
      <c r="J428" s="14">
        <f t="shared" si="84"/>
        <v>1.6726778855733173</v>
      </c>
      <c r="K428" s="14">
        <f t="shared" si="85"/>
        <v>11.255676157205061</v>
      </c>
      <c r="L428" s="14">
        <f t="shared" si="86"/>
        <v>663.32418277242812</v>
      </c>
      <c r="M428" s="14">
        <f t="shared" si="80"/>
        <v>0.50309979978857022</v>
      </c>
      <c r="N428" s="14">
        <f t="shared" si="87"/>
        <v>12.874463626533895</v>
      </c>
      <c r="O428" s="4">
        <v>15.04</v>
      </c>
      <c r="P428" s="14">
        <f t="shared" si="90"/>
        <v>4.6895477848047245</v>
      </c>
      <c r="Q428" s="14">
        <f t="shared" si="88"/>
        <v>72.358007432975228</v>
      </c>
    </row>
    <row r="429" spans="1:17" x14ac:dyDescent="0.25">
      <c r="A429" s="5" t="s">
        <v>486</v>
      </c>
      <c r="B429" s="6">
        <f t="shared" si="89"/>
        <v>2</v>
      </c>
      <c r="C429" s="70">
        <v>15.05473042</v>
      </c>
      <c r="D429" s="4">
        <v>7.2</v>
      </c>
      <c r="E429" s="12">
        <f t="shared" si="78"/>
        <v>0</v>
      </c>
      <c r="F429" s="12">
        <f t="shared" si="79"/>
        <v>7.2</v>
      </c>
      <c r="G429" s="16">
        <f t="shared" si="81"/>
        <v>23.764845411681687</v>
      </c>
      <c r="H429" s="14">
        <f t="shared" si="82"/>
        <v>1.4510513007316517</v>
      </c>
      <c r="I429" s="14">
        <f t="shared" si="83"/>
        <v>8.7615524058495762</v>
      </c>
      <c r="J429" s="14">
        <f t="shared" si="84"/>
        <v>2.5190560406682367</v>
      </c>
      <c r="K429" s="14">
        <f t="shared" si="85"/>
        <v>11.790697244108287</v>
      </c>
      <c r="L429" s="14">
        <f t="shared" si="86"/>
        <v>663.73711318646792</v>
      </c>
      <c r="M429" s="14">
        <f t="shared" si="80"/>
        <v>0.52407651087949003</v>
      </c>
      <c r="N429" s="14">
        <f t="shared" si="87"/>
        <v>13.411263490214726</v>
      </c>
      <c r="O429" s="4">
        <v>14.12</v>
      </c>
      <c r="P429" s="14">
        <f t="shared" si="90"/>
        <v>0.50230744030261121</v>
      </c>
      <c r="Q429" s="14">
        <f t="shared" si="88"/>
        <v>57.552721582400494</v>
      </c>
    </row>
    <row r="430" spans="1:17" x14ac:dyDescent="0.25">
      <c r="A430" s="5" t="s">
        <v>487</v>
      </c>
      <c r="B430" s="6">
        <f t="shared" si="89"/>
        <v>2</v>
      </c>
      <c r="C430" s="70">
        <v>17.791021350000001</v>
      </c>
      <c r="D430" s="4">
        <v>2.5</v>
      </c>
      <c r="E430" s="12">
        <f t="shared" si="78"/>
        <v>0</v>
      </c>
      <c r="F430" s="12">
        <f t="shared" si="79"/>
        <v>2.5</v>
      </c>
      <c r="G430" s="16">
        <f t="shared" si="81"/>
        <v>20.932635005327175</v>
      </c>
      <c r="H430" s="14">
        <f t="shared" si="82"/>
        <v>0.54463792759031437</v>
      </c>
      <c r="I430" s="14">
        <f t="shared" si="83"/>
        <v>14.388559263461653</v>
      </c>
      <c r="J430" s="14">
        <f t="shared" si="84"/>
        <v>4.7875724787641962</v>
      </c>
      <c r="K430" s="14">
        <f t="shared" si="85"/>
        <v>11.37207145387608</v>
      </c>
      <c r="L430" s="14">
        <f t="shared" si="86"/>
        <v>664.176300393411</v>
      </c>
      <c r="M430" s="14">
        <f t="shared" si="80"/>
        <v>0.50782572728654918</v>
      </c>
      <c r="N430" s="14">
        <f t="shared" si="87"/>
        <v>12.99540142396482</v>
      </c>
      <c r="O430" s="4">
        <v>15.55</v>
      </c>
      <c r="P430" s="14">
        <f t="shared" si="90"/>
        <v>6.5259738846809734</v>
      </c>
      <c r="Q430" s="14">
        <f t="shared" si="88"/>
        <v>81.294585458837332</v>
      </c>
    </row>
    <row r="431" spans="1:17" x14ac:dyDescent="0.25">
      <c r="A431" s="5" t="s">
        <v>488</v>
      </c>
      <c r="B431" s="6">
        <f t="shared" si="89"/>
        <v>2</v>
      </c>
      <c r="C431" s="70">
        <v>17.477003100000001</v>
      </c>
      <c r="D431" s="4">
        <v>1.3</v>
      </c>
      <c r="E431" s="12">
        <f t="shared" si="78"/>
        <v>0</v>
      </c>
      <c r="F431" s="12">
        <f t="shared" si="79"/>
        <v>1.3</v>
      </c>
      <c r="G431" s="16">
        <f t="shared" si="81"/>
        <v>17.940199844233963</v>
      </c>
      <c r="H431" s="14">
        <f t="shared" si="82"/>
        <v>0.26468788371758711</v>
      </c>
      <c r="I431" s="14">
        <f t="shared" si="83"/>
        <v>13.742800865919714</v>
      </c>
      <c r="J431" s="14">
        <f t="shared" si="84"/>
        <v>4.0277472773756235</v>
      </c>
      <c r="K431" s="14">
        <f t="shared" si="85"/>
        <v>10.71045334614678</v>
      </c>
      <c r="L431" s="14">
        <f t="shared" si="86"/>
        <v>664.59478065757128</v>
      </c>
      <c r="M431" s="14">
        <f t="shared" si="80"/>
        <v>0.48208342094930834</v>
      </c>
      <c r="N431" s="14">
        <f t="shared" si="87"/>
        <v>12.336648654154175</v>
      </c>
      <c r="O431" s="4">
        <v>14.6</v>
      </c>
      <c r="P431" s="14">
        <f t="shared" si="90"/>
        <v>5.1227593147421073</v>
      </c>
      <c r="Q431" s="14">
        <f t="shared" si="88"/>
        <v>65.066018547917736</v>
      </c>
    </row>
    <row r="432" spans="1:17" x14ac:dyDescent="0.25">
      <c r="A432" s="5" t="s">
        <v>489</v>
      </c>
      <c r="B432" s="6">
        <f t="shared" si="89"/>
        <v>2</v>
      </c>
      <c r="C432" s="70">
        <v>16.063713069999999</v>
      </c>
      <c r="D432" s="4">
        <v>0</v>
      </c>
      <c r="E432" s="12">
        <f t="shared" si="78"/>
        <v>0</v>
      </c>
      <c r="F432" s="12">
        <f t="shared" si="79"/>
        <v>0</v>
      </c>
      <c r="G432" s="16">
        <f t="shared" si="81"/>
        <v>15.218264603202254</v>
      </c>
      <c r="H432" s="14">
        <f t="shared" si="82"/>
        <v>0</v>
      </c>
      <c r="I432" s="14">
        <f t="shared" si="83"/>
        <v>10.83646053367851</v>
      </c>
      <c r="J432" s="14">
        <f t="shared" si="84"/>
        <v>2.7219352410317086</v>
      </c>
      <c r="K432" s="14">
        <f t="shared" si="85"/>
        <v>9.8425572796523522</v>
      </c>
      <c r="L432" s="14">
        <f t="shared" si="86"/>
        <v>664.98059330311639</v>
      </c>
      <c r="M432" s="14">
        <f t="shared" si="80"/>
        <v>0.44828047697455647</v>
      </c>
      <c r="N432" s="14">
        <f t="shared" si="87"/>
        <v>11.471621928133615</v>
      </c>
      <c r="O432" s="4">
        <v>12.34</v>
      </c>
      <c r="P432" s="14">
        <f t="shared" si="90"/>
        <v>0.75408047569837999</v>
      </c>
      <c r="Q432" s="14">
        <f t="shared" si="88"/>
        <v>33.713712001940721</v>
      </c>
    </row>
    <row r="433" spans="1:17" x14ac:dyDescent="0.25">
      <c r="A433" s="5" t="s">
        <v>490</v>
      </c>
      <c r="B433" s="6">
        <f t="shared" si="89"/>
        <v>2</v>
      </c>
      <c r="C433" s="70">
        <v>15.688536640000001</v>
      </c>
      <c r="D433" s="4">
        <v>0</v>
      </c>
      <c r="E433" s="12">
        <f t="shared" si="78"/>
        <v>0</v>
      </c>
      <c r="F433" s="12">
        <f t="shared" si="79"/>
        <v>0</v>
      </c>
      <c r="G433" s="16">
        <f t="shared" si="81"/>
        <v>13.073700008034326</v>
      </c>
      <c r="H433" s="14">
        <f t="shared" si="82"/>
        <v>0</v>
      </c>
      <c r="I433" s="14">
        <f t="shared" si="83"/>
        <v>10.064934260182291</v>
      </c>
      <c r="J433" s="14">
        <f t="shared" si="84"/>
        <v>2.1445645951679286</v>
      </c>
      <c r="K433" s="14">
        <f t="shared" si="85"/>
        <v>9.0512820666657809</v>
      </c>
      <c r="L433" s="14">
        <f t="shared" si="86"/>
        <v>665.32358803912837</v>
      </c>
      <c r="M433" s="14">
        <f t="shared" si="80"/>
        <v>0.41745990781640457</v>
      </c>
      <c r="N433" s="14">
        <f t="shared" si="87"/>
        <v>10.682915002107299</v>
      </c>
      <c r="O433" s="4">
        <v>10.64</v>
      </c>
      <c r="P433" s="14">
        <f t="shared" si="90"/>
        <v>1.8416974058694047E-3</v>
      </c>
      <c r="Q433" s="14">
        <f t="shared" si="88"/>
        <v>16.86211858240048</v>
      </c>
    </row>
    <row r="434" spans="1:17" x14ac:dyDescent="0.25">
      <c r="A434" s="5" t="s">
        <v>491</v>
      </c>
      <c r="B434" s="6">
        <f t="shared" si="89"/>
        <v>2</v>
      </c>
      <c r="C434" s="70">
        <v>14.68915462</v>
      </c>
      <c r="D434" s="4">
        <v>0</v>
      </c>
      <c r="E434" s="12">
        <f t="shared" si="78"/>
        <v>0</v>
      </c>
      <c r="F434" s="12">
        <f t="shared" si="79"/>
        <v>0</v>
      </c>
      <c r="G434" s="16">
        <f t="shared" si="81"/>
        <v>11.607539300440546</v>
      </c>
      <c r="H434" s="14">
        <f t="shared" si="82"/>
        <v>0</v>
      </c>
      <c r="I434" s="14">
        <f t="shared" si="83"/>
        <v>8.009769212394696</v>
      </c>
      <c r="J434" s="14">
        <f t="shared" si="84"/>
        <v>1.4661607075937799</v>
      </c>
      <c r="K434" s="14">
        <f t="shared" si="85"/>
        <v>8.3298633543815672</v>
      </c>
      <c r="L434" s="14">
        <f t="shared" si="86"/>
        <v>665.62754684359618</v>
      </c>
      <c r="M434" s="14">
        <f t="shared" si="80"/>
        <v>0.38935841955309186</v>
      </c>
      <c r="N434" s="14">
        <f t="shared" si="87"/>
        <v>9.9637901114801632</v>
      </c>
      <c r="O434" s="4">
        <v>8.91</v>
      </c>
      <c r="P434" s="14">
        <f t="shared" si="90"/>
        <v>1.1104735990533745</v>
      </c>
      <c r="Q434" s="14">
        <f t="shared" si="88"/>
        <v>5.6470441025154026</v>
      </c>
    </row>
    <row r="435" spans="1:17" x14ac:dyDescent="0.25">
      <c r="A435" s="5" t="s">
        <v>492</v>
      </c>
      <c r="B435" s="6">
        <f t="shared" si="89"/>
        <v>2</v>
      </c>
      <c r="C435" s="70">
        <v>15.28881741</v>
      </c>
      <c r="D435" s="4">
        <v>2.2000000000000002</v>
      </c>
      <c r="E435" s="12">
        <f t="shared" si="78"/>
        <v>0</v>
      </c>
      <c r="F435" s="12">
        <f t="shared" si="79"/>
        <v>2.2000000000000002</v>
      </c>
      <c r="G435" s="16">
        <f t="shared" si="81"/>
        <v>11.978269597794856</v>
      </c>
      <c r="H435" s="14">
        <f t="shared" si="82"/>
        <v>0.32711996018252765</v>
      </c>
      <c r="I435" s="14">
        <f t="shared" si="83"/>
        <v>9.2429372920713657</v>
      </c>
      <c r="J435" s="14">
        <f t="shared" si="84"/>
        <v>1.502149742463162</v>
      </c>
      <c r="K435" s="14">
        <f t="shared" si="85"/>
        <v>7.9992539305366872</v>
      </c>
      <c r="L435" s="14">
        <f t="shared" si="86"/>
        <v>665.89591780807052</v>
      </c>
      <c r="M435" s="14">
        <f t="shared" si="80"/>
        <v>0.37650765695881172</v>
      </c>
      <c r="N435" s="14">
        <f t="shared" si="87"/>
        <v>9.6349355270362587</v>
      </c>
      <c r="O435" s="4">
        <v>7.52</v>
      </c>
      <c r="P435" s="14">
        <f t="shared" si="90"/>
        <v>4.4729522835201392</v>
      </c>
      <c r="Q435" s="14">
        <f t="shared" si="88"/>
        <v>0.97288830653837632</v>
      </c>
    </row>
    <row r="436" spans="1:17" x14ac:dyDescent="0.25">
      <c r="A436" s="5" t="s">
        <v>493</v>
      </c>
      <c r="B436" s="6">
        <f t="shared" si="89"/>
        <v>2</v>
      </c>
      <c r="C436" s="70">
        <v>16.034837719999999</v>
      </c>
      <c r="D436" s="4">
        <v>0</v>
      </c>
      <c r="E436" s="12">
        <f t="shared" si="78"/>
        <v>0</v>
      </c>
      <c r="F436" s="12">
        <f t="shared" si="79"/>
        <v>0</v>
      </c>
      <c r="G436" s="16">
        <f t="shared" si="81"/>
        <v>10.170853034765258</v>
      </c>
      <c r="H436" s="14">
        <f t="shared" si="82"/>
        <v>0</v>
      </c>
      <c r="I436" s="14">
        <f t="shared" si="83"/>
        <v>10.777080227774436</v>
      </c>
      <c r="J436" s="14">
        <f t="shared" si="84"/>
        <v>1.8074165630295989</v>
      </c>
      <c r="K436" s="14">
        <f t="shared" si="85"/>
        <v>7.3707118849599018</v>
      </c>
      <c r="L436" s="14">
        <f t="shared" si="86"/>
        <v>666.14795219668849</v>
      </c>
      <c r="M436" s="14">
        <f t="shared" si="80"/>
        <v>0.35202127679248496</v>
      </c>
      <c r="N436" s="14">
        <f t="shared" si="87"/>
        <v>9.0083222568076877</v>
      </c>
      <c r="O436" s="4">
        <v>7.17</v>
      </c>
      <c r="P436" s="14">
        <f t="shared" si="90"/>
        <v>3.3794287198745105</v>
      </c>
      <c r="Q436" s="14">
        <f t="shared" si="88"/>
        <v>0.40494260251538527</v>
      </c>
    </row>
    <row r="437" spans="1:17" x14ac:dyDescent="0.25">
      <c r="A437" s="5" t="s">
        <v>494</v>
      </c>
      <c r="B437" s="6">
        <f t="shared" si="89"/>
        <v>2</v>
      </c>
      <c r="C437" s="70">
        <v>15.62696171</v>
      </c>
      <c r="D437" s="4">
        <v>0</v>
      </c>
      <c r="E437" s="12">
        <f t="shared" si="78"/>
        <v>0</v>
      </c>
      <c r="F437" s="12">
        <f t="shared" si="79"/>
        <v>0</v>
      </c>
      <c r="G437" s="16">
        <f t="shared" si="81"/>
        <v>8.7556037346060389</v>
      </c>
      <c r="H437" s="14">
        <f t="shared" si="82"/>
        <v>0</v>
      </c>
      <c r="I437" s="14">
        <f t="shared" si="83"/>
        <v>9.9383093645733336</v>
      </c>
      <c r="J437" s="14">
        <f t="shared" si="84"/>
        <v>1.4152493001592188</v>
      </c>
      <c r="K437" s="14">
        <f t="shared" si="85"/>
        <v>6.7976596956653221</v>
      </c>
      <c r="L437" s="14">
        <f t="shared" si="86"/>
        <v>666.36898310919048</v>
      </c>
      <c r="M437" s="14">
        <f t="shared" si="80"/>
        <v>0.32969477396458657</v>
      </c>
      <c r="N437" s="14">
        <f t="shared" si="87"/>
        <v>8.4369808476354269</v>
      </c>
      <c r="O437" s="4">
        <v>6.38</v>
      </c>
      <c r="P437" s="14">
        <f t="shared" si="90"/>
        <v>4.2311702075389599</v>
      </c>
      <c r="Q437" s="14">
        <f t="shared" si="88"/>
        <v>2.3608013434918151E-2</v>
      </c>
    </row>
    <row r="438" spans="1:17" x14ac:dyDescent="0.25">
      <c r="A438" s="5" t="s">
        <v>495</v>
      </c>
      <c r="B438" s="6">
        <f t="shared" si="89"/>
        <v>2</v>
      </c>
      <c r="C438" s="70">
        <v>15.549680710000001</v>
      </c>
      <c r="D438" s="4">
        <v>0</v>
      </c>
      <c r="E438" s="12">
        <f t="shared" si="78"/>
        <v>0</v>
      </c>
      <c r="F438" s="12">
        <f t="shared" si="79"/>
        <v>0</v>
      </c>
      <c r="G438" s="16">
        <f t="shared" si="81"/>
        <v>7.5567650679149683</v>
      </c>
      <c r="H438" s="14">
        <f t="shared" si="82"/>
        <v>0</v>
      </c>
      <c r="I438" s="14">
        <f t="shared" si="83"/>
        <v>9.7793859430192089</v>
      </c>
      <c r="J438" s="14">
        <f t="shared" si="84"/>
        <v>1.1988386666910702</v>
      </c>
      <c r="K438" s="14">
        <f t="shared" si="85"/>
        <v>6.2751985270509572</v>
      </c>
      <c r="L438" s="14">
        <f t="shared" si="86"/>
        <v>666.56174950384025</v>
      </c>
      <c r="M438" s="14">
        <f t="shared" si="80"/>
        <v>0.30933746746296553</v>
      </c>
      <c r="N438" s="14">
        <f t="shared" si="87"/>
        <v>7.916031719451583</v>
      </c>
      <c r="O438" s="4">
        <v>5.65</v>
      </c>
      <c r="P438" s="14">
        <f t="shared" si="90"/>
        <v>5.1348997535606964</v>
      </c>
      <c r="Q438" s="14">
        <f t="shared" si="88"/>
        <v>0.78083554504410602</v>
      </c>
    </row>
    <row r="439" spans="1:17" x14ac:dyDescent="0.25">
      <c r="A439" s="5" t="s">
        <v>496</v>
      </c>
      <c r="B439" s="6">
        <f t="shared" si="89"/>
        <v>2</v>
      </c>
      <c r="C439" s="70">
        <v>15.34835625</v>
      </c>
      <c r="D439" s="4">
        <v>0</v>
      </c>
      <c r="E439" s="12">
        <f t="shared" si="78"/>
        <v>0</v>
      </c>
      <c r="F439" s="12">
        <f t="shared" si="79"/>
        <v>0</v>
      </c>
      <c r="G439" s="16">
        <f t="shared" si="81"/>
        <v>6.5658780119232585</v>
      </c>
      <c r="H439" s="14">
        <f t="shared" si="82"/>
        <v>0</v>
      </c>
      <c r="I439" s="14">
        <f t="shared" si="83"/>
        <v>9.3653750991411968</v>
      </c>
      <c r="J439" s="14">
        <f t="shared" si="84"/>
        <v>0.99088705599170956</v>
      </c>
      <c r="K439" s="14">
        <f t="shared" si="85"/>
        <v>5.7988620295917892</v>
      </c>
      <c r="L439" s="14">
        <f t="shared" si="86"/>
        <v>666.72874853383655</v>
      </c>
      <c r="M439" s="14">
        <f t="shared" si="80"/>
        <v>0.29077551025178339</v>
      </c>
      <c r="N439" s="14">
        <f t="shared" si="87"/>
        <v>7.4410260783182069</v>
      </c>
      <c r="O439" s="4">
        <v>5.09</v>
      </c>
      <c r="P439" s="14">
        <f t="shared" si="90"/>
        <v>5.5273236209322887</v>
      </c>
      <c r="Q439" s="14">
        <f t="shared" si="88"/>
        <v>2.0841224186073202</v>
      </c>
    </row>
    <row r="440" spans="1:17" x14ac:dyDescent="0.25">
      <c r="A440" s="5" t="s">
        <v>497</v>
      </c>
      <c r="B440" s="6">
        <f t="shared" si="89"/>
        <v>2</v>
      </c>
      <c r="C440" s="70">
        <v>15.4861393</v>
      </c>
      <c r="D440" s="4">
        <v>0</v>
      </c>
      <c r="E440" s="12">
        <f t="shared" si="78"/>
        <v>0</v>
      </c>
      <c r="F440" s="12">
        <f t="shared" si="79"/>
        <v>0</v>
      </c>
      <c r="G440" s="16">
        <f t="shared" si="81"/>
        <v>5.6788742915899419</v>
      </c>
      <c r="H440" s="14">
        <f t="shared" si="82"/>
        <v>0</v>
      </c>
      <c r="I440" s="14">
        <f t="shared" si="83"/>
        <v>9.6487171073730131</v>
      </c>
      <c r="J440" s="14">
        <f t="shared" si="84"/>
        <v>0.88700372033331654</v>
      </c>
      <c r="K440" s="14">
        <f t="shared" si="85"/>
        <v>5.3645781584795555</v>
      </c>
      <c r="L440" s="14">
        <f t="shared" si="86"/>
        <v>666.87225689469699</v>
      </c>
      <c r="M440" s="14">
        <f t="shared" si="80"/>
        <v>0.27385040311011499</v>
      </c>
      <c r="N440" s="14">
        <f t="shared" si="87"/>
        <v>7.0079078851442613</v>
      </c>
      <c r="O440" s="4">
        <v>4.71</v>
      </c>
      <c r="P440" s="14">
        <f t="shared" si="90"/>
        <v>5.2803806486081717</v>
      </c>
      <c r="Q440" s="14">
        <f t="shared" si="88"/>
        <v>3.3256956542395</v>
      </c>
    </row>
    <row r="441" spans="1:17" x14ac:dyDescent="0.25">
      <c r="A441" s="5" t="s">
        <v>498</v>
      </c>
      <c r="B441" s="6">
        <f t="shared" si="89"/>
        <v>2</v>
      </c>
      <c r="C441" s="70">
        <v>15.87355518</v>
      </c>
      <c r="D441" s="4">
        <v>0</v>
      </c>
      <c r="E441" s="12">
        <f t="shared" si="78"/>
        <v>0</v>
      </c>
      <c r="F441" s="12">
        <f t="shared" si="79"/>
        <v>0</v>
      </c>
      <c r="G441" s="16">
        <f t="shared" si="81"/>
        <v>4.8483526940131174</v>
      </c>
      <c r="H441" s="14">
        <f t="shared" si="82"/>
        <v>0</v>
      </c>
      <c r="I441" s="14">
        <f t="shared" si="83"/>
        <v>10.445413025050094</v>
      </c>
      <c r="J441" s="14">
        <f t="shared" si="84"/>
        <v>0.83052159757682487</v>
      </c>
      <c r="K441" s="14">
        <f t="shared" si="85"/>
        <v>4.9686343630444929</v>
      </c>
      <c r="L441" s="14">
        <f t="shared" si="86"/>
        <v>666.99435028702192</v>
      </c>
      <c r="M441" s="14">
        <f t="shared" si="80"/>
        <v>0.25841763967399445</v>
      </c>
      <c r="N441" s="14">
        <f t="shared" si="87"/>
        <v>6.6129791819352048</v>
      </c>
      <c r="O441" s="4">
        <v>4.4000000000000004</v>
      </c>
      <c r="P441" s="14">
        <f t="shared" si="90"/>
        <v>4.8972768596786072</v>
      </c>
      <c r="Q441" s="14">
        <f t="shared" si="88"/>
        <v>4.5524580306762772</v>
      </c>
    </row>
    <row r="442" spans="1:17" x14ac:dyDescent="0.25">
      <c r="A442" s="5" t="s">
        <v>499</v>
      </c>
      <c r="B442" s="6">
        <f t="shared" si="89"/>
        <v>2</v>
      </c>
      <c r="C442" s="70">
        <v>16.70650101</v>
      </c>
      <c r="D442" s="4">
        <v>0</v>
      </c>
      <c r="E442" s="12">
        <f t="shared" si="78"/>
        <v>0</v>
      </c>
      <c r="F442" s="12">
        <f t="shared" si="79"/>
        <v>0</v>
      </c>
      <c r="G442" s="16">
        <f t="shared" si="81"/>
        <v>4.0230171043511076</v>
      </c>
      <c r="H442" s="14">
        <f t="shared" si="82"/>
        <v>0</v>
      </c>
      <c r="I442" s="14">
        <f t="shared" si="83"/>
        <v>12.158312719319586</v>
      </c>
      <c r="J442" s="14">
        <f t="shared" si="84"/>
        <v>0.82533558966200959</v>
      </c>
      <c r="K442" s="14">
        <f t="shared" si="85"/>
        <v>4.6076458493748067</v>
      </c>
      <c r="L442" s="14">
        <f t="shared" si="86"/>
        <v>667.09692116101769</v>
      </c>
      <c r="M442" s="14">
        <f t="shared" si="80"/>
        <v>0.24434547109881644</v>
      </c>
      <c r="N442" s="14">
        <f t="shared" si="87"/>
        <v>6.252868479160683</v>
      </c>
      <c r="O442" s="4">
        <v>4.16</v>
      </c>
      <c r="P442" s="14">
        <f t="shared" si="90"/>
        <v>4.3800984710643496</v>
      </c>
      <c r="Q442" s="14">
        <f t="shared" si="88"/>
        <v>5.6342095479176546</v>
      </c>
    </row>
    <row r="443" spans="1:17" x14ac:dyDescent="0.25">
      <c r="A443" s="5" t="s">
        <v>500</v>
      </c>
      <c r="B443" s="6">
        <f t="shared" si="89"/>
        <v>2</v>
      </c>
      <c r="C443" s="70">
        <v>14.942276</v>
      </c>
      <c r="D443" s="4">
        <v>0</v>
      </c>
      <c r="E443" s="12">
        <f t="shared" si="78"/>
        <v>0</v>
      </c>
      <c r="F443" s="12">
        <f t="shared" si="79"/>
        <v>0</v>
      </c>
      <c r="G443" s="16">
        <f t="shared" si="81"/>
        <v>3.5425329224371551</v>
      </c>
      <c r="H443" s="14">
        <f t="shared" si="82"/>
        <v>0</v>
      </c>
      <c r="I443" s="14">
        <f t="shared" si="83"/>
        <v>8.5302971012432085</v>
      </c>
      <c r="J443" s="14">
        <f t="shared" si="84"/>
        <v>0.48048418191395242</v>
      </c>
      <c r="K443" s="14">
        <f t="shared" si="85"/>
        <v>4.2785266448213877</v>
      </c>
      <c r="L443" s="14">
        <f t="shared" si="86"/>
        <v>667.18169489447234</v>
      </c>
      <c r="M443" s="14">
        <f t="shared" si="80"/>
        <v>0.23151377978159379</v>
      </c>
      <c r="N443" s="14">
        <f t="shared" si="87"/>
        <v>5.9245019339942582</v>
      </c>
      <c r="O443" s="4">
        <v>3.88</v>
      </c>
      <c r="P443" s="14">
        <f t="shared" si="90"/>
        <v>4.1799881581062621</v>
      </c>
      <c r="Q443" s="14">
        <f t="shared" si="88"/>
        <v>7.041852984699263</v>
      </c>
    </row>
    <row r="444" spans="1:17" x14ac:dyDescent="0.25">
      <c r="A444" s="5" t="s">
        <v>501</v>
      </c>
      <c r="B444" s="6">
        <f t="shared" si="89"/>
        <v>2</v>
      </c>
      <c r="C444" s="70">
        <v>16.513742449999999</v>
      </c>
      <c r="D444" s="4">
        <v>0</v>
      </c>
      <c r="E444" s="12">
        <f t="shared" si="78"/>
        <v>0</v>
      </c>
      <c r="F444" s="12">
        <f t="shared" si="79"/>
        <v>0</v>
      </c>
      <c r="G444" s="16">
        <f t="shared" si="81"/>
        <v>2.9591481789162124</v>
      </c>
      <c r="H444" s="14">
        <f t="shared" si="82"/>
        <v>0</v>
      </c>
      <c r="I444" s="14">
        <f t="shared" si="83"/>
        <v>11.761917099580627</v>
      </c>
      <c r="J444" s="14">
        <f t="shared" si="84"/>
        <v>0.58338474352094294</v>
      </c>
      <c r="K444" s="14">
        <f t="shared" si="85"/>
        <v>3.9784632170276986</v>
      </c>
      <c r="L444" s="14">
        <f t="shared" si="86"/>
        <v>667.25024454248444</v>
      </c>
      <c r="M444" s="14">
        <f t="shared" si="80"/>
        <v>0.21981305251489319</v>
      </c>
      <c r="N444" s="14">
        <f t="shared" si="87"/>
        <v>5.6250770730373709</v>
      </c>
      <c r="O444" s="4">
        <v>3.63</v>
      </c>
      <c r="P444" s="14">
        <f t="shared" si="90"/>
        <v>3.9803325273593635</v>
      </c>
      <c r="Q444" s="14">
        <f t="shared" si="88"/>
        <v>8.4311774818256975</v>
      </c>
    </row>
    <row r="445" spans="1:17" x14ac:dyDescent="0.25">
      <c r="A445" s="5" t="s">
        <v>502</v>
      </c>
      <c r="B445" s="6">
        <f t="shared" si="89"/>
        <v>2</v>
      </c>
      <c r="C445" s="70">
        <v>14.094885830000001</v>
      </c>
      <c r="D445" s="4">
        <v>1.3</v>
      </c>
      <c r="E445" s="12">
        <f t="shared" si="78"/>
        <v>0</v>
      </c>
      <c r="F445" s="12">
        <f t="shared" si="79"/>
        <v>1.3</v>
      </c>
      <c r="G445" s="16">
        <f t="shared" si="81"/>
        <v>3.884637393864629</v>
      </c>
      <c r="H445" s="14">
        <f t="shared" si="82"/>
        <v>9.3287033349562731E-2</v>
      </c>
      <c r="I445" s="14">
        <f t="shared" si="83"/>
        <v>6.787693547876513</v>
      </c>
      <c r="J445" s="14">
        <f t="shared" si="84"/>
        <v>0.28122375170202096</v>
      </c>
      <c r="K445" s="14">
        <f t="shared" si="85"/>
        <v>3.7981774553121084</v>
      </c>
      <c r="L445" s="14">
        <f t="shared" si="86"/>
        <v>667.30400428503469</v>
      </c>
      <c r="M445" s="14">
        <f t="shared" si="80"/>
        <v>0.21278563556343977</v>
      </c>
      <c r="N445" s="14">
        <f t="shared" si="87"/>
        <v>5.445243521189413</v>
      </c>
      <c r="O445" s="4">
        <v>3.5</v>
      </c>
      <c r="P445" s="14">
        <f t="shared" si="90"/>
        <v>3.7839723567293864</v>
      </c>
      <c r="Q445" s="14">
        <f t="shared" si="88"/>
        <v>9.2030262203314432</v>
      </c>
    </row>
    <row r="446" spans="1:17" x14ac:dyDescent="0.25">
      <c r="A446" s="5" t="s">
        <v>503</v>
      </c>
      <c r="B446" s="6">
        <f t="shared" si="89"/>
        <v>2</v>
      </c>
      <c r="C446" s="70">
        <v>15.463569639999999</v>
      </c>
      <c r="D446" s="4">
        <v>0</v>
      </c>
      <c r="E446" s="12">
        <f t="shared" si="78"/>
        <v>0</v>
      </c>
      <c r="F446" s="12">
        <f t="shared" si="79"/>
        <v>0</v>
      </c>
      <c r="G446" s="16">
        <f t="shared" si="81"/>
        <v>3.3623747077251114</v>
      </c>
      <c r="H446" s="14">
        <f t="shared" si="82"/>
        <v>0</v>
      </c>
      <c r="I446" s="14">
        <f t="shared" si="83"/>
        <v>9.6023040486585387</v>
      </c>
      <c r="J446" s="14">
        <f t="shared" si="84"/>
        <v>0.52226268613951776</v>
      </c>
      <c r="K446" s="14">
        <f t="shared" si="85"/>
        <v>3.5405209081379714</v>
      </c>
      <c r="L446" s="14">
        <f t="shared" si="86"/>
        <v>667.34887519664539</v>
      </c>
      <c r="M446" s="14">
        <f t="shared" si="80"/>
        <v>0.20273554939787211</v>
      </c>
      <c r="N446" s="14">
        <f t="shared" si="87"/>
        <v>5.1880590245219356</v>
      </c>
      <c r="O446" s="4">
        <v>3.98</v>
      </c>
      <c r="P446" s="14">
        <f t="shared" si="90"/>
        <v>1.4594066067288907</v>
      </c>
      <c r="Q446" s="14">
        <f t="shared" si="88"/>
        <v>6.5211231858486887</v>
      </c>
    </row>
    <row r="447" spans="1:17" x14ac:dyDescent="0.25">
      <c r="A447" s="5" t="s">
        <v>504</v>
      </c>
      <c r="B447" s="6">
        <f t="shared" si="89"/>
        <v>2</v>
      </c>
      <c r="C447" s="70">
        <v>15.46099663</v>
      </c>
      <c r="D447" s="4">
        <v>0</v>
      </c>
      <c r="E447" s="12">
        <f t="shared" si="78"/>
        <v>0</v>
      </c>
      <c r="F447" s="12">
        <f t="shared" si="79"/>
        <v>0</v>
      </c>
      <c r="G447" s="16">
        <f t="shared" si="81"/>
        <v>2.9105757305828073</v>
      </c>
      <c r="H447" s="14">
        <f t="shared" si="82"/>
        <v>0</v>
      </c>
      <c r="I447" s="14">
        <f t="shared" si="83"/>
        <v>9.5970128185645596</v>
      </c>
      <c r="J447" s="14">
        <f t="shared" si="84"/>
        <v>0.45179897714230388</v>
      </c>
      <c r="K447" s="14">
        <f t="shared" si="85"/>
        <v>3.3056111682354823</v>
      </c>
      <c r="L447" s="14">
        <f t="shared" si="86"/>
        <v>667.38104938715003</v>
      </c>
      <c r="M447" s="14">
        <f t="shared" si="80"/>
        <v>0.19357085858223708</v>
      </c>
      <c r="N447" s="14">
        <f t="shared" si="87"/>
        <v>4.9535320408023864</v>
      </c>
      <c r="O447" s="4">
        <v>4.76</v>
      </c>
      <c r="P447" s="14">
        <f t="shared" si="90"/>
        <v>3.7454650817136642E-2</v>
      </c>
      <c r="Q447" s="14">
        <f t="shared" si="88"/>
        <v>3.1458307548142139</v>
      </c>
    </row>
    <row r="448" spans="1:17" x14ac:dyDescent="0.25">
      <c r="A448" s="5" t="s">
        <v>505</v>
      </c>
      <c r="B448" s="6">
        <f t="shared" si="89"/>
        <v>2</v>
      </c>
      <c r="C448" s="70">
        <v>16.761384960000001</v>
      </c>
      <c r="D448" s="4">
        <v>0</v>
      </c>
      <c r="E448" s="12">
        <f t="shared" si="78"/>
        <v>0</v>
      </c>
      <c r="F448" s="12">
        <f t="shared" si="79"/>
        <v>0</v>
      </c>
      <c r="G448" s="16">
        <f t="shared" si="81"/>
        <v>2.4105087035416979</v>
      </c>
      <c r="H448" s="14">
        <f t="shared" si="82"/>
        <v>0</v>
      </c>
      <c r="I448" s="14">
        <f t="shared" si="83"/>
        <v>12.271178043557182</v>
      </c>
      <c r="J448" s="14">
        <f t="shared" si="84"/>
        <v>0.50006702704110939</v>
      </c>
      <c r="K448" s="14">
        <f t="shared" si="85"/>
        <v>3.0914400691259369</v>
      </c>
      <c r="L448" s="14">
        <f t="shared" si="86"/>
        <v>667.40164962767733</v>
      </c>
      <c r="M448" s="14">
        <f t="shared" si="80"/>
        <v>0.18521339776243717</v>
      </c>
      <c r="N448" s="14">
        <f t="shared" si="87"/>
        <v>4.7396622969068121</v>
      </c>
      <c r="O448" s="4">
        <v>4.3</v>
      </c>
      <c r="P448" s="14">
        <f t="shared" si="90"/>
        <v>0.19330293532137394</v>
      </c>
      <c r="Q448" s="14">
        <f t="shared" si="88"/>
        <v>4.9891878295268528</v>
      </c>
    </row>
    <row r="449" spans="1:17" x14ac:dyDescent="0.25">
      <c r="A449" s="5" t="s">
        <v>506</v>
      </c>
      <c r="B449" s="6">
        <f t="shared" si="89"/>
        <v>2</v>
      </c>
      <c r="C449" s="70">
        <v>15.119963650000001</v>
      </c>
      <c r="D449" s="4">
        <v>0</v>
      </c>
      <c r="E449" s="12">
        <f t="shared" si="78"/>
        <v>0</v>
      </c>
      <c r="F449" s="12">
        <f t="shared" si="79"/>
        <v>0</v>
      </c>
      <c r="G449" s="16">
        <f t="shared" si="81"/>
        <v>2.1102802093129318</v>
      </c>
      <c r="H449" s="14">
        <f t="shared" si="82"/>
        <v>0</v>
      </c>
      <c r="I449" s="14">
        <f t="shared" si="83"/>
        <v>8.8957003608530982</v>
      </c>
      <c r="J449" s="14">
        <f t="shared" si="84"/>
        <v>0.30022849422876619</v>
      </c>
      <c r="K449" s="14">
        <f t="shared" si="85"/>
        <v>2.8961767321828589</v>
      </c>
      <c r="L449" s="14">
        <f t="shared" si="86"/>
        <v>667.41169956685803</v>
      </c>
      <c r="M449" s="14">
        <f t="shared" si="80"/>
        <v>0.17759190229092686</v>
      </c>
      <c r="N449" s="14">
        <f t="shared" si="87"/>
        <v>4.544626110708788</v>
      </c>
      <c r="O449" s="4">
        <v>3.85</v>
      </c>
      <c r="P449" s="14">
        <f t="shared" si="90"/>
        <v>0.48250543367841725</v>
      </c>
      <c r="Q449" s="14">
        <f t="shared" si="88"/>
        <v>7.2019719243544342</v>
      </c>
    </row>
    <row r="450" spans="1:17" x14ac:dyDescent="0.25">
      <c r="A450" s="5" t="s">
        <v>507</v>
      </c>
      <c r="B450" s="6">
        <f t="shared" si="89"/>
        <v>2</v>
      </c>
      <c r="C450" s="70">
        <v>14.91418839</v>
      </c>
      <c r="D450" s="4">
        <v>0</v>
      </c>
      <c r="E450" s="12">
        <f t="shared" si="78"/>
        <v>0</v>
      </c>
      <c r="F450" s="12">
        <f t="shared" si="79"/>
        <v>0</v>
      </c>
      <c r="G450" s="16">
        <f t="shared" si="81"/>
        <v>1.8599480504652579</v>
      </c>
      <c r="H450" s="14">
        <f t="shared" si="82"/>
        <v>0</v>
      </c>
      <c r="I450" s="14">
        <f t="shared" si="83"/>
        <v>8.4725367321424212</v>
      </c>
      <c r="J450" s="14">
        <f t="shared" si="84"/>
        <v>0.25033215884767401</v>
      </c>
      <c r="K450" s="14">
        <f t="shared" si="85"/>
        <v>2.7181519150498796</v>
      </c>
      <c r="L450" s="14">
        <f t="shared" si="86"/>
        <v>667.41213248170016</v>
      </c>
      <c r="M450" s="14">
        <f t="shared" si="80"/>
        <v>0.1706413990085742</v>
      </c>
      <c r="N450" s="14">
        <f t="shared" si="87"/>
        <v>4.3667608010180272</v>
      </c>
      <c r="O450" s="4">
        <v>3.39</v>
      </c>
      <c r="P450" s="14">
        <f t="shared" si="90"/>
        <v>0.95406166240537793</v>
      </c>
      <c r="Q450" s="14">
        <f t="shared" si="88"/>
        <v>9.8825289990670733</v>
      </c>
    </row>
    <row r="451" spans="1:17" x14ac:dyDescent="0.25">
      <c r="A451" s="5" t="s">
        <v>508</v>
      </c>
      <c r="B451" s="6">
        <f t="shared" si="89"/>
        <v>2</v>
      </c>
      <c r="C451" s="70">
        <v>15.79434013</v>
      </c>
      <c r="D451" s="4">
        <v>1.3</v>
      </c>
      <c r="E451" s="12">
        <f t="shared" si="78"/>
        <v>0</v>
      </c>
      <c r="F451" s="12">
        <f t="shared" si="79"/>
        <v>1.3</v>
      </c>
      <c r="G451" s="16">
        <f t="shared" si="81"/>
        <v>2.8193452601489186</v>
      </c>
      <c r="H451" s="14">
        <f t="shared" si="82"/>
        <v>7.283205418792689E-2</v>
      </c>
      <c r="I451" s="14">
        <f t="shared" si="83"/>
        <v>10.28251235367445</v>
      </c>
      <c r="J451" s="14">
        <f t="shared" si="84"/>
        <v>0.26777073612841196</v>
      </c>
      <c r="K451" s="14">
        <f t="shared" si="85"/>
        <v>2.6286757960221165</v>
      </c>
      <c r="L451" s="14">
        <f t="shared" si="86"/>
        <v>667.40379925590719</v>
      </c>
      <c r="M451" s="14">
        <f t="shared" si="80"/>
        <v>0.16714622147990765</v>
      </c>
      <c r="N451" s="14">
        <f t="shared" si="87"/>
        <v>4.2773182371768037</v>
      </c>
      <c r="O451" s="4">
        <v>3.23</v>
      </c>
      <c r="P451" s="14">
        <f t="shared" si="90"/>
        <v>1.0968754899231277</v>
      </c>
      <c r="Q451" s="14">
        <f t="shared" si="88"/>
        <v>10.914096677227992</v>
      </c>
    </row>
    <row r="452" spans="1:17" x14ac:dyDescent="0.25">
      <c r="A452" s="5" t="s">
        <v>509</v>
      </c>
      <c r="B452" s="6">
        <f t="shared" si="89"/>
        <v>2</v>
      </c>
      <c r="C452" s="70">
        <v>16.333497999999999</v>
      </c>
      <c r="D452" s="4">
        <v>6.8</v>
      </c>
      <c r="E452" s="12">
        <f t="shared" si="78"/>
        <v>0</v>
      </c>
      <c r="F452" s="12">
        <f t="shared" si="79"/>
        <v>6.8</v>
      </c>
      <c r="G452" s="16">
        <f t="shared" si="81"/>
        <v>8.6941511976964634</v>
      </c>
      <c r="H452" s="14">
        <f t="shared" si="82"/>
        <v>0.47553543393056363</v>
      </c>
      <c r="I452" s="14">
        <f t="shared" si="83"/>
        <v>11.391255944702438</v>
      </c>
      <c r="J452" s="14">
        <f t="shared" si="84"/>
        <v>0.4496586285218912</v>
      </c>
      <c r="K452" s="14">
        <f t="shared" si="85"/>
        <v>2.9498023166520277</v>
      </c>
      <c r="L452" s="14">
        <f t="shared" si="86"/>
        <v>667.39106194772796</v>
      </c>
      <c r="M452" s="14">
        <f t="shared" si="80"/>
        <v>0.17968120135724355</v>
      </c>
      <c r="N452" s="14">
        <f t="shared" si="87"/>
        <v>4.5980918541766842</v>
      </c>
      <c r="O452" s="4">
        <v>3.67</v>
      </c>
      <c r="P452" s="14">
        <f t="shared" si="90"/>
        <v>0.86135448978911577</v>
      </c>
      <c r="Q452" s="14">
        <f t="shared" si="88"/>
        <v>8.2004855622854684</v>
      </c>
    </row>
    <row r="453" spans="1:17" x14ac:dyDescent="0.25">
      <c r="A453" s="5" t="s">
        <v>510</v>
      </c>
      <c r="B453" s="6">
        <f t="shared" si="89"/>
        <v>3</v>
      </c>
      <c r="C453" s="70">
        <v>15.06979179</v>
      </c>
      <c r="D453" s="4">
        <v>5.5</v>
      </c>
      <c r="E453" s="12">
        <f t="shared" si="78"/>
        <v>0</v>
      </c>
      <c r="F453" s="12">
        <f t="shared" si="79"/>
        <v>5.5</v>
      </c>
      <c r="G453" s="16">
        <f t="shared" si="81"/>
        <v>12.325698714974134</v>
      </c>
      <c r="H453" s="14">
        <f t="shared" si="82"/>
        <v>0.70103857685764459</v>
      </c>
      <c r="I453" s="14">
        <f t="shared" si="83"/>
        <v>9.5903534940441073</v>
      </c>
      <c r="J453" s="14">
        <f t="shared" si="84"/>
        <v>1.1674139058646835</v>
      </c>
      <c r="K453" s="14">
        <f t="shared" si="85"/>
        <v>3.4680818251103154</v>
      </c>
      <c r="L453" s="14">
        <f t="shared" si="86"/>
        <v>667.39413981477003</v>
      </c>
      <c r="M453" s="14">
        <f t="shared" si="80"/>
        <v>0.19991696401622133</v>
      </c>
      <c r="N453" s="14">
        <f t="shared" si="87"/>
        <v>5.1159306416651082</v>
      </c>
      <c r="O453" s="4">
        <v>4.2</v>
      </c>
      <c r="P453" s="14">
        <f t="shared" si="90"/>
        <v>0.83892894034105658</v>
      </c>
      <c r="Q453" s="14">
        <f t="shared" si="88"/>
        <v>5.4459176283774253</v>
      </c>
    </row>
    <row r="454" spans="1:17" x14ac:dyDescent="0.25">
      <c r="A454" s="5" t="s">
        <v>511</v>
      </c>
      <c r="B454" s="6">
        <f t="shared" si="89"/>
        <v>3</v>
      </c>
      <c r="C454" s="70">
        <v>13.959643359999999</v>
      </c>
      <c r="D454" s="4">
        <v>3.9</v>
      </c>
      <c r="E454" s="12">
        <f t="shared" si="78"/>
        <v>0</v>
      </c>
      <c r="F454" s="12">
        <f t="shared" si="79"/>
        <v>3.9</v>
      </c>
      <c r="G454" s="16">
        <f t="shared" si="81"/>
        <v>14.361472038553183</v>
      </c>
      <c r="H454" s="14">
        <f t="shared" si="82"/>
        <v>0.59875122533531622</v>
      </c>
      <c r="I454" s="14">
        <f t="shared" si="83"/>
        <v>7.332956667554269</v>
      </c>
      <c r="J454" s="14">
        <f t="shared" si="84"/>
        <v>1.2654754510856328</v>
      </c>
      <c r="K454" s="14">
        <f t="shared" si="85"/>
        <v>3.8383184822499623</v>
      </c>
      <c r="L454" s="14">
        <f t="shared" si="86"/>
        <v>667.42273741894951</v>
      </c>
      <c r="M454" s="14">
        <f t="shared" si="80"/>
        <v>0.21437814882916312</v>
      </c>
      <c r="N454" s="14">
        <f t="shared" si="87"/>
        <v>5.4859963780240708</v>
      </c>
      <c r="O454" s="4">
        <v>5</v>
      </c>
      <c r="P454" s="14">
        <f t="shared" si="90"/>
        <v>0.23619247945251554</v>
      </c>
      <c r="Q454" s="14">
        <f t="shared" si="88"/>
        <v>2.3520792375728359</v>
      </c>
    </row>
    <row r="455" spans="1:17" x14ac:dyDescent="0.25">
      <c r="A455" s="5" t="s">
        <v>512</v>
      </c>
      <c r="B455" s="6">
        <f t="shared" si="89"/>
        <v>3</v>
      </c>
      <c r="C455" s="70">
        <v>16.003147129999999</v>
      </c>
      <c r="D455" s="4">
        <v>1.3</v>
      </c>
      <c r="E455" s="12">
        <f t="shared" si="78"/>
        <v>0</v>
      </c>
      <c r="F455" s="12">
        <f t="shared" si="79"/>
        <v>1.3</v>
      </c>
      <c r="G455" s="16">
        <f t="shared" si="81"/>
        <v>13.134922465291393</v>
      </c>
      <c r="H455" s="14">
        <f t="shared" si="82"/>
        <v>0.21652757127540814</v>
      </c>
      <c r="I455" s="14">
        <f t="shared" si="83"/>
        <v>11.488255905619233</v>
      </c>
      <c r="J455" s="14">
        <f t="shared" si="84"/>
        <v>2.3100220019863826</v>
      </c>
      <c r="K455" s="14">
        <f t="shared" si="85"/>
        <v>3.793645718260243</v>
      </c>
      <c r="L455" s="14">
        <f t="shared" si="86"/>
        <v>667.46955960538548</v>
      </c>
      <c r="M455" s="14">
        <f t="shared" si="80"/>
        <v>0.21264397136715157</v>
      </c>
      <c r="N455" s="14">
        <f t="shared" si="87"/>
        <v>5.4416182950552328</v>
      </c>
      <c r="O455" s="4">
        <v>4.55</v>
      </c>
      <c r="P455" s="14">
        <f t="shared" si="90"/>
        <v>0.79498318407720037</v>
      </c>
      <c r="Q455" s="14">
        <f t="shared" si="88"/>
        <v>3.9348633324004187</v>
      </c>
    </row>
    <row r="456" spans="1:17" x14ac:dyDescent="0.25">
      <c r="A456" s="5" t="s">
        <v>513</v>
      </c>
      <c r="B456" s="6">
        <f t="shared" si="89"/>
        <v>3</v>
      </c>
      <c r="C456" s="70">
        <v>16.038702010000002</v>
      </c>
      <c r="D456" s="4">
        <v>3.8</v>
      </c>
      <c r="E456" s="12">
        <f t="shared" si="78"/>
        <v>0</v>
      </c>
      <c r="F456" s="12">
        <f t="shared" si="79"/>
        <v>3.8</v>
      </c>
      <c r="G456" s="16">
        <f t="shared" si="81"/>
        <v>14.2053809272787</v>
      </c>
      <c r="H456" s="14">
        <f t="shared" si="82"/>
        <v>0.60351239391887412</v>
      </c>
      <c r="I456" s="14">
        <f t="shared" si="83"/>
        <v>11.560553871467127</v>
      </c>
      <c r="J456" s="14">
        <f t="shared" si="84"/>
        <v>2.1260291440938204</v>
      </c>
      <c r="K456" s="14">
        <f t="shared" si="85"/>
        <v>4.1399016423577786</v>
      </c>
      <c r="L456" s="14">
        <f t="shared" si="86"/>
        <v>667.51417210383966</v>
      </c>
      <c r="M456" s="14">
        <f t="shared" si="80"/>
        <v>0.22617229171614367</v>
      </c>
      <c r="N456" s="14">
        <f t="shared" si="87"/>
        <v>5.7878117706527039</v>
      </c>
      <c r="O456" s="4">
        <v>4.13</v>
      </c>
      <c r="P456" s="14">
        <f t="shared" si="90"/>
        <v>2.7483398669146539</v>
      </c>
      <c r="Q456" s="14">
        <f t="shared" si="88"/>
        <v>5.7775284875728286</v>
      </c>
    </row>
    <row r="457" spans="1:17" x14ac:dyDescent="0.25">
      <c r="A457" s="5" t="s">
        <v>514</v>
      </c>
      <c r="B457" s="6">
        <f t="shared" si="89"/>
        <v>3</v>
      </c>
      <c r="C457" s="70">
        <v>15.707129480000001</v>
      </c>
      <c r="D457" s="4">
        <v>5</v>
      </c>
      <c r="E457" s="12">
        <f t="shared" si="78"/>
        <v>0</v>
      </c>
      <c r="F457" s="12">
        <f t="shared" si="79"/>
        <v>5</v>
      </c>
      <c r="G457" s="16">
        <f t="shared" si="81"/>
        <v>16.212223094266243</v>
      </c>
      <c r="H457" s="14">
        <f t="shared" si="82"/>
        <v>0.8279611243165319</v>
      </c>
      <c r="I457" s="14">
        <f t="shared" si="83"/>
        <v>10.886328014143517</v>
      </c>
      <c r="J457" s="14">
        <f t="shared" si="84"/>
        <v>2.1651967086959276</v>
      </c>
      <c r="K457" s="14">
        <f t="shared" si="85"/>
        <v>4.6800376314784806</v>
      </c>
      <c r="L457" s="14">
        <f t="shared" si="86"/>
        <v>667.57582494731935</v>
      </c>
      <c r="M457" s="14">
        <f t="shared" si="80"/>
        <v>0.24727387161996042</v>
      </c>
      <c r="N457" s="14">
        <f t="shared" si="87"/>
        <v>6.327807061941348</v>
      </c>
      <c r="O457" s="4">
        <v>4.38</v>
      </c>
      <c r="P457" s="14">
        <f t="shared" si="90"/>
        <v>3.7939523505485866</v>
      </c>
      <c r="Q457" s="14">
        <f t="shared" si="88"/>
        <v>4.6382039904463941</v>
      </c>
    </row>
    <row r="458" spans="1:17" x14ac:dyDescent="0.25">
      <c r="A458" s="5" t="s">
        <v>515</v>
      </c>
      <c r="B458" s="6">
        <f t="shared" si="89"/>
        <v>3</v>
      </c>
      <c r="C458" s="70">
        <v>16.969717030000002</v>
      </c>
      <c r="D458" s="4">
        <v>10.199999999999999</v>
      </c>
      <c r="E458" s="12">
        <f t="shared" si="78"/>
        <v>0</v>
      </c>
      <c r="F458" s="12">
        <f t="shared" si="79"/>
        <v>10.199999999999999</v>
      </c>
      <c r="G458" s="16">
        <f t="shared" si="81"/>
        <v>21.546068507813807</v>
      </c>
      <c r="H458" s="14">
        <f t="shared" si="82"/>
        <v>1.8123075074219206</v>
      </c>
      <c r="I458" s="14">
        <f t="shared" si="83"/>
        <v>13.453697432065029</v>
      </c>
      <c r="J458" s="14">
        <f t="shared" si="84"/>
        <v>3.0538470790305152</v>
      </c>
      <c r="K458" s="14">
        <f t="shared" si="85"/>
        <v>6.1568349385286201</v>
      </c>
      <c r="L458" s="14">
        <f t="shared" si="86"/>
        <v>667.66406127607115</v>
      </c>
      <c r="M458" s="14">
        <f t="shared" si="80"/>
        <v>0.30495103803052709</v>
      </c>
      <c r="N458" s="14">
        <f t="shared" si="87"/>
        <v>7.8037817718228633</v>
      </c>
      <c r="O458" s="4">
        <v>5.43</v>
      </c>
      <c r="P458" s="14">
        <f t="shared" si="90"/>
        <v>5.634839900238493</v>
      </c>
      <c r="Q458" s="14">
        <f t="shared" si="88"/>
        <v>1.2180411025153695</v>
      </c>
    </row>
    <row r="459" spans="1:17" x14ac:dyDescent="0.25">
      <c r="A459" s="5" t="s">
        <v>516</v>
      </c>
      <c r="B459" s="6">
        <f t="shared" si="89"/>
        <v>3</v>
      </c>
      <c r="C459" s="70">
        <v>16.890096660000001</v>
      </c>
      <c r="D459" s="4">
        <v>11.1</v>
      </c>
      <c r="E459" s="12">
        <f t="shared" si="78"/>
        <v>0</v>
      </c>
      <c r="F459" s="12">
        <f t="shared" si="79"/>
        <v>11.1</v>
      </c>
      <c r="G459" s="16">
        <f t="shared" si="81"/>
        <v>26.341248440574528</v>
      </c>
      <c r="H459" s="14">
        <f t="shared" si="82"/>
        <v>2.2950935055528592</v>
      </c>
      <c r="I459" s="14">
        <f t="shared" si="83"/>
        <v>13.291795864936795</v>
      </c>
      <c r="J459" s="14">
        <f t="shared" si="84"/>
        <v>4.0097265616864215</v>
      </c>
      <c r="K459" s="14">
        <f t="shared" si="85"/>
        <v>7.9860414918235758</v>
      </c>
      <c r="L459" s="14">
        <f t="shared" si="86"/>
        <v>667.82499719029852</v>
      </c>
      <c r="M459" s="14">
        <f t="shared" si="80"/>
        <v>0.37640275129999201</v>
      </c>
      <c r="N459" s="14">
        <f t="shared" si="87"/>
        <v>9.6322509620866015</v>
      </c>
      <c r="O459" s="4">
        <v>5.18</v>
      </c>
      <c r="P459" s="14">
        <f t="shared" si="90"/>
        <v>19.82253862940107</v>
      </c>
      <c r="Q459" s="14">
        <f t="shared" si="88"/>
        <v>1.832365599641804</v>
      </c>
    </row>
    <row r="460" spans="1:17" x14ac:dyDescent="0.25">
      <c r="A460" s="5" t="s">
        <v>517</v>
      </c>
      <c r="B460" s="6">
        <f t="shared" si="89"/>
        <v>3</v>
      </c>
      <c r="C460" s="70">
        <v>15.50874043</v>
      </c>
      <c r="D460" s="4">
        <v>8.4</v>
      </c>
      <c r="E460" s="12">
        <f t="shared" si="78"/>
        <v>0</v>
      </c>
      <c r="F460" s="12">
        <f t="shared" si="79"/>
        <v>8.4</v>
      </c>
      <c r="G460" s="16">
        <f t="shared" si="81"/>
        <v>28.941878155823691</v>
      </c>
      <c r="H460" s="14">
        <f t="shared" si="82"/>
        <v>1.933193730300083</v>
      </c>
      <c r="I460" s="14">
        <f t="shared" si="83"/>
        <v>10.482919965473544</v>
      </c>
      <c r="J460" s="14">
        <f t="shared" si="84"/>
        <v>3.8661765544507563</v>
      </c>
      <c r="K460" s="14">
        <f t="shared" si="85"/>
        <v>9.2918596161358966</v>
      </c>
      <c r="L460" s="14">
        <f t="shared" si="86"/>
        <v>668.07597004498632</v>
      </c>
      <c r="M460" s="14">
        <f t="shared" si="80"/>
        <v>0.42743907106033274</v>
      </c>
      <c r="N460" s="14">
        <f t="shared" si="87"/>
        <v>10.93828456150921</v>
      </c>
      <c r="O460" s="4">
        <v>6.86</v>
      </c>
      <c r="P460" s="14">
        <f t="shared" si="90"/>
        <v>16.632404964644369</v>
      </c>
      <c r="Q460" s="14">
        <f t="shared" si="88"/>
        <v>0.10650497895216425</v>
      </c>
    </row>
    <row r="461" spans="1:17" x14ac:dyDescent="0.25">
      <c r="A461" s="5" t="s">
        <v>518</v>
      </c>
      <c r="B461" s="6">
        <f t="shared" si="89"/>
        <v>3</v>
      </c>
      <c r="C461" s="70">
        <v>15.660676</v>
      </c>
      <c r="D461" s="4">
        <v>4.4000000000000004</v>
      </c>
      <c r="E461" s="12">
        <f t="shared" si="78"/>
        <v>0</v>
      </c>
      <c r="F461" s="12">
        <f t="shared" si="79"/>
        <v>4.4000000000000004</v>
      </c>
      <c r="G461" s="16">
        <f t="shared" si="81"/>
        <v>27.904063481490169</v>
      </c>
      <c r="H461" s="14">
        <f t="shared" si="82"/>
        <v>1.0647447760666382</v>
      </c>
      <c r="I461" s="14">
        <f t="shared" si="83"/>
        <v>10.791868628805819</v>
      </c>
      <c r="J461" s="14">
        <f t="shared" si="84"/>
        <v>4.373069898266885</v>
      </c>
      <c r="K461" s="14">
        <f t="shared" si="85"/>
        <v>9.6139466653786148</v>
      </c>
      <c r="L461" s="14">
        <f t="shared" si="86"/>
        <v>668.39118870074992</v>
      </c>
      <c r="M461" s="14">
        <f t="shared" si="80"/>
        <v>0.44008141610802942</v>
      </c>
      <c r="N461" s="14">
        <f t="shared" si="87"/>
        <v>11.261805683042279</v>
      </c>
      <c r="O461" s="4">
        <v>8.7799999999999994</v>
      </c>
      <c r="P461" s="14">
        <f t="shared" si="90"/>
        <v>6.1593594483809584</v>
      </c>
      <c r="Q461" s="14">
        <f t="shared" si="88"/>
        <v>5.046092841021145</v>
      </c>
    </row>
    <row r="462" spans="1:17" x14ac:dyDescent="0.25">
      <c r="A462" s="5" t="s">
        <v>519</v>
      </c>
      <c r="B462" s="6">
        <f t="shared" si="89"/>
        <v>3</v>
      </c>
      <c r="C462" s="70">
        <v>14.912905690000001</v>
      </c>
      <c r="D462" s="4">
        <v>5.8</v>
      </c>
      <c r="E462" s="12">
        <f t="shared" si="78"/>
        <v>0</v>
      </c>
      <c r="F462" s="12">
        <f t="shared" si="79"/>
        <v>5.8</v>
      </c>
      <c r="G462" s="16">
        <f t="shared" si="81"/>
        <v>28.705388410839895</v>
      </c>
      <c r="H462" s="14">
        <f t="shared" si="82"/>
        <v>1.3764707924587145</v>
      </c>
      <c r="I462" s="14">
        <f t="shared" si="83"/>
        <v>9.2713383293238678</v>
      </c>
      <c r="J462" s="14">
        <f t="shared" si="84"/>
        <v>3.6222042781915604</v>
      </c>
      <c r="K462" s="14">
        <f t="shared" si="85"/>
        <v>10.219324777141013</v>
      </c>
      <c r="L462" s="14">
        <f t="shared" si="86"/>
        <v>668.72219996533818</v>
      </c>
      <c r="M462" s="14">
        <f t="shared" si="80"/>
        <v>0.46378761470791885</v>
      </c>
      <c r="N462" s="14">
        <f t="shared" si="87"/>
        <v>11.868453890268619</v>
      </c>
      <c r="O462" s="4">
        <v>11.51</v>
      </c>
      <c r="P462" s="14">
        <f t="shared" si="90"/>
        <v>0.12848919144870696</v>
      </c>
      <c r="Q462" s="14">
        <f t="shared" si="88"/>
        <v>24.764069332400481</v>
      </c>
    </row>
    <row r="463" spans="1:17" x14ac:dyDescent="0.25">
      <c r="A463" s="5" t="s">
        <v>520</v>
      </c>
      <c r="B463" s="6">
        <f t="shared" si="89"/>
        <v>3</v>
      </c>
      <c r="C463" s="70">
        <v>16.07279587</v>
      </c>
      <c r="D463" s="4">
        <v>4</v>
      </c>
      <c r="E463" s="12">
        <f t="shared" si="78"/>
        <v>0</v>
      </c>
      <c r="F463" s="12">
        <f t="shared" si="79"/>
        <v>4</v>
      </c>
      <c r="G463" s="16">
        <f t="shared" si="81"/>
        <v>27.067522348314778</v>
      </c>
      <c r="H463" s="14">
        <f t="shared" si="82"/>
        <v>0.96372563668153322</v>
      </c>
      <c r="I463" s="14">
        <f t="shared" si="83"/>
        <v>11.629880971598039</v>
      </c>
      <c r="J463" s="14">
        <f t="shared" si="84"/>
        <v>4.6741404258435812</v>
      </c>
      <c r="K463" s="14">
        <f t="shared" si="85"/>
        <v>10.358512868690369</v>
      </c>
      <c r="L463" s="14">
        <f t="shared" si="86"/>
        <v>669.08294989576245</v>
      </c>
      <c r="M463" s="14">
        <f t="shared" si="80"/>
        <v>0.46929876331231246</v>
      </c>
      <c r="N463" s="14">
        <f t="shared" si="87"/>
        <v>12.009485713929662</v>
      </c>
      <c r="O463" s="4">
        <v>12.55</v>
      </c>
      <c r="P463" s="14">
        <f t="shared" si="90"/>
        <v>0.29215569344612818</v>
      </c>
      <c r="Q463" s="14">
        <f t="shared" si="88"/>
        <v>36.196479424354528</v>
      </c>
    </row>
    <row r="464" spans="1:17" x14ac:dyDescent="0.25">
      <c r="A464" s="5" t="s">
        <v>521</v>
      </c>
      <c r="B464" s="6">
        <f t="shared" si="89"/>
        <v>3</v>
      </c>
      <c r="C464" s="70">
        <v>15.50827694</v>
      </c>
      <c r="D464" s="4">
        <v>8</v>
      </c>
      <c r="E464" s="12">
        <f t="shared" si="78"/>
        <v>0</v>
      </c>
      <c r="F464" s="12">
        <f t="shared" si="79"/>
        <v>8</v>
      </c>
      <c r="G464" s="16">
        <f t="shared" si="81"/>
        <v>29.227081190806448</v>
      </c>
      <c r="H464" s="14">
        <f t="shared" si="82"/>
        <v>1.8680245828053554</v>
      </c>
      <c r="I464" s="14">
        <f t="shared" si="83"/>
        <v>10.48197749613626</v>
      </c>
      <c r="J464" s="14">
        <f t="shared" si="84"/>
        <v>3.9724165747029785</v>
      </c>
      <c r="K464" s="14">
        <f t="shared" si="85"/>
        <v>11.3897119023221</v>
      </c>
      <c r="L464" s="14">
        <f t="shared" si="86"/>
        <v>669.45047668162385</v>
      </c>
      <c r="M464" s="14">
        <f t="shared" si="80"/>
        <v>0.50963800133672321</v>
      </c>
      <c r="N464" s="14">
        <f t="shared" si="87"/>
        <v>13.041778020318231</v>
      </c>
      <c r="O464" s="4">
        <v>12.38</v>
      </c>
      <c r="P464" s="14">
        <f t="shared" si="90"/>
        <v>0.4379501481763165</v>
      </c>
      <c r="Q464" s="14">
        <f t="shared" si="88"/>
        <v>34.179820082400504</v>
      </c>
    </row>
    <row r="465" spans="1:17" x14ac:dyDescent="0.25">
      <c r="A465" s="5" t="s">
        <v>522</v>
      </c>
      <c r="B465" s="6">
        <f t="shared" si="89"/>
        <v>3</v>
      </c>
      <c r="C465" s="70">
        <v>15.387721060000001</v>
      </c>
      <c r="D465" s="4">
        <v>0.5</v>
      </c>
      <c r="E465" s="12">
        <f t="shared" si="78"/>
        <v>0</v>
      </c>
      <c r="F465" s="12">
        <f t="shared" si="79"/>
        <v>0.5</v>
      </c>
      <c r="G465" s="16">
        <f t="shared" si="81"/>
        <v>25.416415473587566</v>
      </c>
      <c r="H465" s="14">
        <f t="shared" si="82"/>
        <v>0.12162783596713628</v>
      </c>
      <c r="I465" s="14">
        <f t="shared" si="83"/>
        <v>10.236836888292776</v>
      </c>
      <c r="J465" s="14">
        <f t="shared" si="84"/>
        <v>4.1890378812517453</v>
      </c>
      <c r="K465" s="14">
        <f t="shared" si="85"/>
        <v>10.583476387305447</v>
      </c>
      <c r="L465" s="14">
        <f t="shared" si="86"/>
        <v>669.86870203127091</v>
      </c>
      <c r="M465" s="14">
        <f t="shared" si="80"/>
        <v>0.47824936554616743</v>
      </c>
      <c r="N465" s="14">
        <f t="shared" si="87"/>
        <v>12.23853411137241</v>
      </c>
      <c r="O465" s="4">
        <v>12.32</v>
      </c>
      <c r="P465" s="14">
        <f t="shared" si="90"/>
        <v>6.636691009883019E-3</v>
      </c>
      <c r="Q465" s="14">
        <f t="shared" si="88"/>
        <v>33.481857961710837</v>
      </c>
    </row>
    <row r="466" spans="1:17" x14ac:dyDescent="0.25">
      <c r="A466" s="5" t="s">
        <v>523</v>
      </c>
      <c r="B466" s="6">
        <f t="shared" si="89"/>
        <v>3</v>
      </c>
      <c r="C466" s="70">
        <v>16.15230751</v>
      </c>
      <c r="D466" s="4">
        <v>1.2</v>
      </c>
      <c r="E466" s="12">
        <f t="shared" si="78"/>
        <v>0</v>
      </c>
      <c r="F466" s="12">
        <f t="shared" si="79"/>
        <v>1.2</v>
      </c>
      <c r="G466" s="16">
        <f t="shared" si="81"/>
        <v>22.149329158980308</v>
      </c>
      <c r="H466" s="14">
        <f t="shared" si="82"/>
        <v>0.27095879505933212</v>
      </c>
      <c r="I466" s="14">
        <f t="shared" si="83"/>
        <v>11.791561445086618</v>
      </c>
      <c r="J466" s="14">
        <f t="shared" si="84"/>
        <v>4.1961275195479262</v>
      </c>
      <c r="K466" s="14">
        <f t="shared" si="85"/>
        <v>9.997749079065084</v>
      </c>
      <c r="L466" s="14">
        <f t="shared" si="86"/>
        <v>670.24713876902445</v>
      </c>
      <c r="M466" s="14">
        <f t="shared" si="80"/>
        <v>0.45546152165683074</v>
      </c>
      <c r="N466" s="14">
        <f t="shared" si="87"/>
        <v>11.655386856287649</v>
      </c>
      <c r="O466" s="4">
        <v>10.199999999999999</v>
      </c>
      <c r="P466" s="14">
        <f t="shared" si="90"/>
        <v>2.1181509014548472</v>
      </c>
      <c r="Q466" s="14">
        <f t="shared" si="88"/>
        <v>13.442129697342995</v>
      </c>
    </row>
    <row r="467" spans="1:17" x14ac:dyDescent="0.25">
      <c r="A467" s="5" t="s">
        <v>524</v>
      </c>
      <c r="B467" s="6">
        <f t="shared" si="89"/>
        <v>3</v>
      </c>
      <c r="C467" s="70">
        <v>16.257415770000001</v>
      </c>
      <c r="D467" s="4">
        <v>1.8</v>
      </c>
      <c r="E467" s="12">
        <f t="shared" si="78"/>
        <v>0</v>
      </c>
      <c r="F467" s="12">
        <f t="shared" si="79"/>
        <v>1.8</v>
      </c>
      <c r="G467" s="16">
        <f t="shared" si="81"/>
        <v>19.848604915407869</v>
      </c>
      <c r="H467" s="14">
        <f t="shared" si="82"/>
        <v>0.37769616641441628</v>
      </c>
      <c r="I467" s="14">
        <f t="shared" si="83"/>
        <v>12.005290570084679</v>
      </c>
      <c r="J467" s="14">
        <f t="shared" si="84"/>
        <v>3.7230280771580229</v>
      </c>
      <c r="K467" s="14">
        <f t="shared" si="85"/>
        <v>9.5704691660096284</v>
      </c>
      <c r="L467" s="14">
        <f t="shared" si="86"/>
        <v>670.59665332683744</v>
      </c>
      <c r="M467" s="14">
        <f t="shared" si="80"/>
        <v>0.43885375380514136</v>
      </c>
      <c r="N467" s="14">
        <f t="shared" si="87"/>
        <v>11.230389463694069</v>
      </c>
      <c r="O467" s="4">
        <v>11.24</v>
      </c>
      <c r="P467" s="14">
        <f t="shared" si="90"/>
        <v>9.2362408087628652E-5</v>
      </c>
      <c r="Q467" s="14">
        <f t="shared" si="88"/>
        <v>22.149739789297037</v>
      </c>
    </row>
    <row r="468" spans="1:17" x14ac:dyDescent="0.25">
      <c r="A468" s="5" t="s">
        <v>525</v>
      </c>
      <c r="B468" s="6">
        <f t="shared" si="89"/>
        <v>3</v>
      </c>
      <c r="C468" s="70">
        <v>16.375110630000002</v>
      </c>
      <c r="D468" s="4">
        <v>0.5</v>
      </c>
      <c r="E468" s="12">
        <f t="shared" si="78"/>
        <v>0</v>
      </c>
      <c r="F468" s="12">
        <f t="shared" si="79"/>
        <v>0.5</v>
      </c>
      <c r="G468" s="16">
        <f t="shared" si="81"/>
        <v>16.846833679226084</v>
      </c>
      <c r="H468" s="14">
        <f t="shared" si="82"/>
        <v>9.895788872403033E-2</v>
      </c>
      <c r="I468" s="14">
        <f t="shared" si="83"/>
        <v>12.244613525716987</v>
      </c>
      <c r="J468" s="14">
        <f t="shared" si="84"/>
        <v>3.4028133474577555</v>
      </c>
      <c r="K468" s="14">
        <f t="shared" si="85"/>
        <v>8.9021727174043015</v>
      </c>
      <c r="L468" s="14">
        <f t="shared" si="86"/>
        <v>670.92505391036173</v>
      </c>
      <c r="M468" s="14">
        <f t="shared" si="80"/>
        <v>0.41283151665067674</v>
      </c>
      <c r="N468" s="14">
        <f t="shared" si="87"/>
        <v>10.56447318651211</v>
      </c>
      <c r="O468" s="4">
        <v>10.84</v>
      </c>
      <c r="P468" s="14">
        <f t="shared" si="90"/>
        <v>7.5915024950790333E-2</v>
      </c>
      <c r="Q468" s="14">
        <f t="shared" si="88"/>
        <v>18.544658984699328</v>
      </c>
    </row>
    <row r="469" spans="1:17" x14ac:dyDescent="0.25">
      <c r="A469" s="5" t="s">
        <v>526</v>
      </c>
      <c r="B469" s="6">
        <f t="shared" si="89"/>
        <v>3</v>
      </c>
      <c r="C469" s="70">
        <v>16.491247179999998</v>
      </c>
      <c r="D469" s="4">
        <v>9</v>
      </c>
      <c r="E469" s="12">
        <f t="shared" si="78"/>
        <v>0</v>
      </c>
      <c r="F469" s="12">
        <f t="shared" si="79"/>
        <v>9</v>
      </c>
      <c r="G469" s="16">
        <f t="shared" si="81"/>
        <v>21.270774362810311</v>
      </c>
      <c r="H469" s="14">
        <f t="shared" si="82"/>
        <v>1.6321620559032286</v>
      </c>
      <c r="I469" s="14">
        <f t="shared" si="83"/>
        <v>12.480767784305158</v>
      </c>
      <c r="J469" s="14">
        <f t="shared" si="84"/>
        <v>2.9438972605125437</v>
      </c>
      <c r="K469" s="14">
        <f t="shared" si="85"/>
        <v>9.8260799478612437</v>
      </c>
      <c r="L469" s="14">
        <f t="shared" si="86"/>
        <v>671.22047721915737</v>
      </c>
      <c r="M469" s="14">
        <f t="shared" si="80"/>
        <v>0.44896641736469822</v>
      </c>
      <c r="N469" s="14">
        <f t="shared" si="87"/>
        <v>11.489175333256341</v>
      </c>
      <c r="O469" s="4">
        <v>12.08</v>
      </c>
      <c r="P469" s="14">
        <f t="shared" si="90"/>
        <v>0.34907378683275569</v>
      </c>
      <c r="Q469" s="14">
        <f t="shared" si="88"/>
        <v>30.762009478952216</v>
      </c>
    </row>
    <row r="470" spans="1:17" x14ac:dyDescent="0.25">
      <c r="A470" s="5" t="s">
        <v>527</v>
      </c>
      <c r="B470" s="6">
        <f t="shared" si="89"/>
        <v>3</v>
      </c>
      <c r="C470" s="70">
        <v>17.33141518</v>
      </c>
      <c r="D470" s="4">
        <v>0</v>
      </c>
      <c r="E470" s="12">
        <f t="shared" si="78"/>
        <v>0</v>
      </c>
      <c r="F470" s="12">
        <f t="shared" si="79"/>
        <v>0</v>
      </c>
      <c r="G470" s="16">
        <f t="shared" si="81"/>
        <v>17.045025369269908</v>
      </c>
      <c r="H470" s="14">
        <f t="shared" si="82"/>
        <v>0</v>
      </c>
      <c r="I470" s="14">
        <f t="shared" si="83"/>
        <v>14.189181295206863</v>
      </c>
      <c r="J470" s="14">
        <f t="shared" si="84"/>
        <v>4.2257489935404022</v>
      </c>
      <c r="K470" s="14">
        <f t="shared" si="85"/>
        <v>9.0362594104678742</v>
      </c>
      <c r="L470" s="14">
        <f t="shared" si="86"/>
        <v>671.56133133918604</v>
      </c>
      <c r="M470" s="14">
        <f t="shared" si="80"/>
        <v>0.41820218687308264</v>
      </c>
      <c r="N470" s="14">
        <f t="shared" si="87"/>
        <v>10.701910129356316</v>
      </c>
      <c r="O470" s="4">
        <v>14.08</v>
      </c>
      <c r="P470" s="14">
        <f t="shared" si="90"/>
        <v>11.411491174145464</v>
      </c>
      <c r="Q470" s="14">
        <f t="shared" si="88"/>
        <v>56.947413501940737</v>
      </c>
    </row>
    <row r="471" spans="1:17" x14ac:dyDescent="0.25">
      <c r="A471" s="5" t="s">
        <v>528</v>
      </c>
      <c r="B471" s="6">
        <f t="shared" si="89"/>
        <v>3</v>
      </c>
      <c r="C471" s="70">
        <v>17.578620910000001</v>
      </c>
      <c r="D471" s="4">
        <v>0</v>
      </c>
      <c r="E471" s="12">
        <f t="shared" si="78"/>
        <v>0</v>
      </c>
      <c r="F471" s="12">
        <f t="shared" si="79"/>
        <v>0</v>
      </c>
      <c r="G471" s="16">
        <f t="shared" si="81"/>
        <v>13.538820268232618</v>
      </c>
      <c r="H471" s="14">
        <f t="shared" si="82"/>
        <v>0</v>
      </c>
      <c r="I471" s="14">
        <f t="shared" si="83"/>
        <v>14.69185410481675</v>
      </c>
      <c r="J471" s="14">
        <f t="shared" si="84"/>
        <v>3.5062051010372906</v>
      </c>
      <c r="K471" s="14">
        <f t="shared" si="85"/>
        <v>8.3161669500060587</v>
      </c>
      <c r="L471" s="14">
        <f t="shared" si="86"/>
        <v>671.86322161277474</v>
      </c>
      <c r="M471" s="14">
        <f t="shared" si="80"/>
        <v>0.39015203860286751</v>
      </c>
      <c r="N471" s="14">
        <f t="shared" si="87"/>
        <v>9.9840990434136572</v>
      </c>
      <c r="O471" s="4">
        <v>11.83</v>
      </c>
      <c r="P471" s="14">
        <f t="shared" si="90"/>
        <v>3.4073503415263757</v>
      </c>
      <c r="Q471" s="14">
        <f t="shared" si="88"/>
        <v>28.051333976078649</v>
      </c>
    </row>
    <row r="472" spans="1:17" x14ac:dyDescent="0.25">
      <c r="A472" s="5" t="s">
        <v>529</v>
      </c>
      <c r="B472" s="6">
        <f t="shared" si="89"/>
        <v>3</v>
      </c>
      <c r="C472" s="70">
        <v>15.917634960000001</v>
      </c>
      <c r="D472" s="4">
        <v>0</v>
      </c>
      <c r="E472" s="12">
        <f t="shared" si="78"/>
        <v>0</v>
      </c>
      <c r="F472" s="12">
        <f t="shared" si="79"/>
        <v>0</v>
      </c>
      <c r="G472" s="16">
        <f t="shared" si="81"/>
        <v>11.39408148370401</v>
      </c>
      <c r="H472" s="14">
        <f t="shared" si="82"/>
        <v>0</v>
      </c>
      <c r="I472" s="14">
        <f t="shared" si="83"/>
        <v>11.314373840872038</v>
      </c>
      <c r="J472" s="14">
        <f t="shared" si="84"/>
        <v>2.1447387845286081</v>
      </c>
      <c r="K472" s="14">
        <f t="shared" si="85"/>
        <v>7.6596467317229786</v>
      </c>
      <c r="L472" s="14">
        <f t="shared" si="86"/>
        <v>672.12958979245491</v>
      </c>
      <c r="M472" s="14">
        <f t="shared" si="80"/>
        <v>0.36457636443173058</v>
      </c>
      <c r="N472" s="14">
        <f t="shared" si="87"/>
        <v>9.3296104370203281</v>
      </c>
      <c r="O472" s="4">
        <v>9.15</v>
      </c>
      <c r="P472" s="14">
        <f t="shared" si="90"/>
        <v>3.2259909086633121E-2</v>
      </c>
      <c r="Q472" s="14">
        <f t="shared" si="88"/>
        <v>6.8452925852740263</v>
      </c>
    </row>
    <row r="473" spans="1:17" x14ac:dyDescent="0.25">
      <c r="A473" s="5" t="s">
        <v>530</v>
      </c>
      <c r="B473" s="6">
        <f t="shared" si="89"/>
        <v>3</v>
      </c>
      <c r="C473" s="70">
        <v>17.550170900000001</v>
      </c>
      <c r="D473" s="4">
        <v>4.5</v>
      </c>
      <c r="E473" s="12">
        <f t="shared" si="78"/>
        <v>0</v>
      </c>
      <c r="F473" s="12">
        <f t="shared" si="79"/>
        <v>4.5</v>
      </c>
      <c r="G473" s="16">
        <f t="shared" si="81"/>
        <v>12.896997296901718</v>
      </c>
      <c r="H473" s="14">
        <f t="shared" si="82"/>
        <v>0.6625215622942231</v>
      </c>
      <c r="I473" s="14">
        <f t="shared" si="83"/>
        <v>14.634003316082488</v>
      </c>
      <c r="J473" s="14">
        <f t="shared" si="84"/>
        <v>2.334562624508068</v>
      </c>
      <c r="K473" s="14">
        <f t="shared" si="85"/>
        <v>7.7236079414507559</v>
      </c>
      <c r="L473" s="14">
        <f t="shared" si="86"/>
        <v>672.3635737805896</v>
      </c>
      <c r="M473" s="14">
        <f t="shared" si="80"/>
        <v>0.36712343694107108</v>
      </c>
      <c r="N473" s="14">
        <f t="shared" si="87"/>
        <v>9.3947907300544919</v>
      </c>
      <c r="O473" s="4">
        <v>8.2799999999999994</v>
      </c>
      <c r="P473" s="14">
        <f t="shared" si="90"/>
        <v>1.2427583718154285</v>
      </c>
      <c r="Q473" s="14">
        <f t="shared" si="88"/>
        <v>3.0497418352740144</v>
      </c>
    </row>
    <row r="474" spans="1:17" x14ac:dyDescent="0.25">
      <c r="A474" s="5" t="s">
        <v>531</v>
      </c>
      <c r="B474" s="6">
        <f t="shared" si="89"/>
        <v>3</v>
      </c>
      <c r="C474" s="70">
        <v>16.666398999999998</v>
      </c>
      <c r="D474" s="4">
        <v>0.6</v>
      </c>
      <c r="E474" s="12">
        <f t="shared" si="78"/>
        <v>0</v>
      </c>
      <c r="F474" s="12">
        <f t="shared" si="79"/>
        <v>0.6</v>
      </c>
      <c r="G474" s="16">
        <f t="shared" si="81"/>
        <v>11.084633992172138</v>
      </c>
      <c r="H474" s="14">
        <f t="shared" si="82"/>
        <v>9.4367399172581287E-2</v>
      </c>
      <c r="I474" s="14">
        <f t="shared" si="83"/>
        <v>12.836924809741763</v>
      </c>
      <c r="J474" s="14">
        <f t="shared" si="84"/>
        <v>2.3179959055569976</v>
      </c>
      <c r="K474" s="14">
        <f t="shared" si="85"/>
        <v>7.213768272200082</v>
      </c>
      <c r="L474" s="14">
        <f t="shared" si="86"/>
        <v>672.60065741207177</v>
      </c>
      <c r="M474" s="14">
        <f t="shared" si="80"/>
        <v>0.34726835045217558</v>
      </c>
      <c r="N474" s="14">
        <f t="shared" si="87"/>
        <v>8.8866935515018532</v>
      </c>
      <c r="O474" s="4">
        <v>8.0299999999999994</v>
      </c>
      <c r="P474" s="14">
        <f t="shared" si="90"/>
        <v>0.73392384118485954</v>
      </c>
      <c r="Q474" s="14">
        <f t="shared" si="88"/>
        <v>2.2390663324004492</v>
      </c>
    </row>
    <row r="475" spans="1:17" x14ac:dyDescent="0.25">
      <c r="A475" s="5" t="s">
        <v>532</v>
      </c>
      <c r="B475" s="6">
        <f t="shared" si="89"/>
        <v>3</v>
      </c>
      <c r="C475" s="70">
        <v>15.365821840000001</v>
      </c>
      <c r="D475" s="4">
        <v>2.4</v>
      </c>
      <c r="E475" s="12">
        <f t="shared" ref="E475:E538" si="91">IF(C475&gt;$C$9,MAX(E474-$C$10*(C475-$C$9),0),E474+D475)</f>
        <v>0</v>
      </c>
      <c r="F475" s="12">
        <f t="shared" ref="F475:F538" si="92">IF(C475&gt;$C$9,D475+MIN(E474,$C$10*(C475-$C$9)),0)</f>
        <v>2.4</v>
      </c>
      <c r="G475" s="16">
        <f t="shared" si="81"/>
        <v>11.554618013202697</v>
      </c>
      <c r="H475" s="14">
        <f t="shared" si="82"/>
        <v>0.34819658742648857</v>
      </c>
      <c r="I475" s="14">
        <f t="shared" si="83"/>
        <v>10.19230659991449</v>
      </c>
      <c r="J475" s="14">
        <f t="shared" si="84"/>
        <v>1.5818193915429528</v>
      </c>
      <c r="K475" s="14">
        <f t="shared" si="85"/>
        <v>7.0027681929302608</v>
      </c>
      <c r="L475" s="14">
        <f t="shared" si="86"/>
        <v>672.81258572831598</v>
      </c>
      <c r="M475" s="14">
        <f t="shared" si="80"/>
        <v>0.33907545327337729</v>
      </c>
      <c r="N475" s="14">
        <f t="shared" si="87"/>
        <v>8.6770350368916347</v>
      </c>
      <c r="O475" s="4">
        <v>9.15</v>
      </c>
      <c r="P475" s="14">
        <f t="shared" si="90"/>
        <v>0.22369585632809769</v>
      </c>
      <c r="Q475" s="14">
        <f t="shared" si="88"/>
        <v>6.8452925852740263</v>
      </c>
    </row>
    <row r="476" spans="1:17" x14ac:dyDescent="0.25">
      <c r="A476" s="5" t="s">
        <v>533</v>
      </c>
      <c r="B476" s="6">
        <f t="shared" si="89"/>
        <v>3</v>
      </c>
      <c r="C476" s="70">
        <v>15.58304882</v>
      </c>
      <c r="D476" s="4">
        <v>1</v>
      </c>
      <c r="E476" s="12">
        <f t="shared" si="91"/>
        <v>0</v>
      </c>
      <c r="F476" s="12">
        <f t="shared" si="92"/>
        <v>1</v>
      </c>
      <c r="G476" s="16">
        <f t="shared" si="81"/>
        <v>10.685941589569607</v>
      </c>
      <c r="H476" s="14">
        <f t="shared" si="82"/>
        <v>0.14832914101436084</v>
      </c>
      <c r="I476" s="14">
        <f t="shared" si="83"/>
        <v>10.634020051943576</v>
      </c>
      <c r="J476" s="14">
        <f t="shared" si="84"/>
        <v>1.7203472826187292</v>
      </c>
      <c r="K476" s="14">
        <f t="shared" si="85"/>
        <v>6.6105284808633451</v>
      </c>
      <c r="L476" s="14">
        <f t="shared" si="86"/>
        <v>673.01407912812385</v>
      </c>
      <c r="M476" s="14">
        <f t="shared" si="80"/>
        <v>0.32380422212060422</v>
      </c>
      <c r="N476" s="14">
        <f t="shared" si="87"/>
        <v>8.2862399896835175</v>
      </c>
      <c r="O476" s="4">
        <v>13.71</v>
      </c>
      <c r="P476" s="14">
        <f t="shared" si="90"/>
        <v>29.417172649508259</v>
      </c>
      <c r="Q476" s="14">
        <f t="shared" si="88"/>
        <v>51.500013757687874</v>
      </c>
    </row>
    <row r="477" spans="1:17" x14ac:dyDescent="0.25">
      <c r="A477" s="5" t="s">
        <v>534</v>
      </c>
      <c r="B477" s="6">
        <f t="shared" si="89"/>
        <v>3</v>
      </c>
      <c r="C477" s="70">
        <v>15.8935709</v>
      </c>
      <c r="D477" s="4">
        <v>0.2</v>
      </c>
      <c r="E477" s="12">
        <f t="shared" si="91"/>
        <v>0</v>
      </c>
      <c r="F477" s="12">
        <f t="shared" si="92"/>
        <v>0.2</v>
      </c>
      <c r="G477" s="16">
        <f t="shared" si="81"/>
        <v>9.1720044730198325</v>
      </c>
      <c r="H477" s="14">
        <f t="shared" si="82"/>
        <v>2.8455298720606998E-2</v>
      </c>
      <c r="I477" s="14">
        <f t="shared" si="83"/>
        <v>11.265441525869385</v>
      </c>
      <c r="J477" s="14">
        <f t="shared" si="84"/>
        <v>1.6854818178291675</v>
      </c>
      <c r="K477" s="14">
        <f t="shared" si="85"/>
        <v>6.1330431990326284</v>
      </c>
      <c r="L477" s="14">
        <f t="shared" si="86"/>
        <v>673.19621548655448</v>
      </c>
      <c r="M477" s="14">
        <f t="shared" si="80"/>
        <v>0.30520063775439554</v>
      </c>
      <c r="N477" s="14">
        <f t="shared" si="87"/>
        <v>7.8101690980899141</v>
      </c>
      <c r="O477" s="4">
        <v>14.83</v>
      </c>
      <c r="P477" s="14">
        <f t="shared" si="90"/>
        <v>49.278025891411772</v>
      </c>
      <c r="Q477" s="14">
        <f t="shared" si="88"/>
        <v>68.829440010561427</v>
      </c>
    </row>
    <row r="478" spans="1:17" x14ac:dyDescent="0.25">
      <c r="A478" s="5" t="s">
        <v>535</v>
      </c>
      <c r="B478" s="6">
        <f t="shared" si="89"/>
        <v>3</v>
      </c>
      <c r="C478" s="70">
        <v>16.800552369999998</v>
      </c>
      <c r="D478" s="4">
        <v>0</v>
      </c>
      <c r="E478" s="12">
        <f t="shared" si="91"/>
        <v>0</v>
      </c>
      <c r="F478" s="12">
        <f t="shared" si="92"/>
        <v>0</v>
      </c>
      <c r="G478" s="16">
        <f t="shared" si="81"/>
        <v>7.4884756340227785</v>
      </c>
      <c r="H478" s="14">
        <f t="shared" si="82"/>
        <v>0</v>
      </c>
      <c r="I478" s="14">
        <f t="shared" si="83"/>
        <v>13.109714811076016</v>
      </c>
      <c r="J478" s="14">
        <f t="shared" si="84"/>
        <v>1.683528838997054</v>
      </c>
      <c r="K478" s="14">
        <f t="shared" si="85"/>
        <v>5.6692566634686079</v>
      </c>
      <c r="L478" s="14">
        <f t="shared" si="86"/>
        <v>673.35480138436412</v>
      </c>
      <c r="M478" s="14">
        <f t="shared" si="80"/>
        <v>0.28712687454937935</v>
      </c>
      <c r="N478" s="14">
        <f t="shared" si="87"/>
        <v>7.3476564771837705</v>
      </c>
      <c r="O478" s="4">
        <v>16.329999999999998</v>
      </c>
      <c r="P478" s="14">
        <f t="shared" si="90"/>
        <v>80.682495161878649</v>
      </c>
      <c r="Q478" s="14">
        <f t="shared" si="88"/>
        <v>95.968493027802808</v>
      </c>
    </row>
    <row r="479" spans="1:17" x14ac:dyDescent="0.25">
      <c r="A479" s="5" t="s">
        <v>536</v>
      </c>
      <c r="B479" s="6">
        <f t="shared" si="89"/>
        <v>3</v>
      </c>
      <c r="C479" s="70">
        <v>14.453389169999999</v>
      </c>
      <c r="D479" s="4">
        <v>4.7</v>
      </c>
      <c r="E479" s="12">
        <f t="shared" si="91"/>
        <v>0</v>
      </c>
      <c r="F479" s="12">
        <f t="shared" si="92"/>
        <v>4.7</v>
      </c>
      <c r="G479" s="16">
        <f t="shared" si="81"/>
        <v>10.761125980958671</v>
      </c>
      <c r="H479" s="14">
        <f t="shared" si="82"/>
        <v>0.55324464067743007</v>
      </c>
      <c r="I479" s="14">
        <f t="shared" si="83"/>
        <v>8.3369487414669923</v>
      </c>
      <c r="J479" s="14">
        <f t="shared" si="84"/>
        <v>0.87410501238667893</v>
      </c>
      <c r="K479" s="14">
        <f t="shared" si="85"/>
        <v>5.799659441074775</v>
      </c>
      <c r="L479" s="14">
        <f t="shared" si="86"/>
        <v>673.49051637288596</v>
      </c>
      <c r="M479" s="14">
        <f t="shared" ref="M479:M542" si="93">MAX(0,K479-$F$9)*$F$8+K479*$F$10+L479*$F$11</f>
        <v>0.29224708102832109</v>
      </c>
      <c r="N479" s="14">
        <f t="shared" si="87"/>
        <v>7.4786839832594669</v>
      </c>
      <c r="O479" s="4">
        <v>15.02</v>
      </c>
      <c r="P479" s="14">
        <f t="shared" si="90"/>
        <v>56.871447264347296</v>
      </c>
      <c r="Q479" s="14">
        <f t="shared" si="88"/>
        <v>72.018153392745347</v>
      </c>
    </row>
    <row r="480" spans="1:17" x14ac:dyDescent="0.25">
      <c r="A480" s="5" t="s">
        <v>537</v>
      </c>
      <c r="B480" s="6">
        <f t="shared" si="89"/>
        <v>3</v>
      </c>
      <c r="C480" s="70">
        <v>14.80190468</v>
      </c>
      <c r="D480" s="4">
        <v>0.2</v>
      </c>
      <c r="E480" s="12">
        <f t="shared" si="91"/>
        <v>0</v>
      </c>
      <c r="F480" s="12">
        <f t="shared" si="92"/>
        <v>0.2</v>
      </c>
      <c r="G480" s="16">
        <f t="shared" ref="G480:G543" si="94">G479+F480-H480-J480</f>
        <v>9.5696784238222801</v>
      </c>
      <c r="H480" s="14">
        <f t="shared" ref="H480:H543" si="95">(F480*(G479/$C$11)^$C$12)</f>
        <v>2.856184476647617E-2</v>
      </c>
      <c r="I480" s="14">
        <f t="shared" ref="I480:I543" si="96">(1+$C$13*(C480-INDEX($A$16:$A$27,B480)))*INDEX($C$16:$C$27,B480)</f>
        <v>9.0456267749588637</v>
      </c>
      <c r="J480" s="14">
        <f t="shared" ref="J480:J543" si="97">IF(G479&gt;$F$13,I480,I480*(G479/$F$13))</f>
        <v>1.3628857123699125</v>
      </c>
      <c r="K480" s="14">
        <f t="shared" ref="K480:K543" si="98">K479+H480-MAX(0,K479-$F$9)*$F$8-K479*$F$10-K479*$F$12</f>
        <v>5.3938670164972686</v>
      </c>
      <c r="L480" s="14">
        <f t="shared" ref="L480:L543" si="99">L479+K479*$F$12-L479*$F$11</f>
        <v>673.63262356120163</v>
      </c>
      <c r="M480" s="14">
        <f t="shared" si="93"/>
        <v>0.2764340625564114</v>
      </c>
      <c r="N480" s="14">
        <f t="shared" ref="N480:N543" si="100">M480*$C$8*1000/(24*3600)</f>
        <v>7.0740244480581671</v>
      </c>
      <c r="O480" s="4">
        <v>13.36</v>
      </c>
      <c r="P480" s="14">
        <f t="shared" si="90"/>
        <v>39.513488639610422</v>
      </c>
      <c r="Q480" s="14">
        <f t="shared" ref="Q480:Q543" si="101">(O480-$F$23)^2</f>
        <v>46.599068053664858</v>
      </c>
    </row>
    <row r="481" spans="1:17" x14ac:dyDescent="0.25">
      <c r="A481" s="5" t="s">
        <v>538</v>
      </c>
      <c r="B481" s="6">
        <f t="shared" ref="B481:B544" si="102">MONTH(A481)</f>
        <v>3</v>
      </c>
      <c r="C481" s="70">
        <v>14.019860270000001</v>
      </c>
      <c r="D481" s="4">
        <v>0.2</v>
      </c>
      <c r="E481" s="12">
        <f t="shared" si="91"/>
        <v>0</v>
      </c>
      <c r="F481" s="12">
        <f t="shared" si="92"/>
        <v>0.2</v>
      </c>
      <c r="G481" s="16">
        <f t="shared" si="94"/>
        <v>8.7439264991850596</v>
      </c>
      <c r="H481" s="14">
        <f t="shared" si="95"/>
        <v>2.6830060223498077E-2</v>
      </c>
      <c r="I481" s="14">
        <f t="shared" si="96"/>
        <v>7.4554028719190555</v>
      </c>
      <c r="J481" s="14">
        <f t="shared" si="97"/>
        <v>0.99892186441372244</v>
      </c>
      <c r="K481" s="14">
        <f t="shared" si="98"/>
        <v>5.0221675600383966</v>
      </c>
      <c r="L481" s="14">
        <f t="shared" si="99"/>
        <v>673.75471901532751</v>
      </c>
      <c r="M481" s="14">
        <f t="shared" si="93"/>
        <v>0.26194786755052729</v>
      </c>
      <c r="N481" s="14">
        <f t="shared" si="100"/>
        <v>6.7033186939145351</v>
      </c>
      <c r="O481" s="4">
        <v>11.76</v>
      </c>
      <c r="P481" s="14">
        <f t="shared" ref="P481:P544" si="103">(O481-N481)^2</f>
        <v>25.570025831314201</v>
      </c>
      <c r="Q481" s="14">
        <f t="shared" si="101"/>
        <v>27.314744835274048</v>
      </c>
    </row>
    <row r="482" spans="1:17" x14ac:dyDescent="0.25">
      <c r="A482" s="5" t="s">
        <v>539</v>
      </c>
      <c r="B482" s="6">
        <f t="shared" si="102"/>
        <v>3</v>
      </c>
      <c r="C482" s="70">
        <v>14.987523080000001</v>
      </c>
      <c r="D482" s="4">
        <v>0.5</v>
      </c>
      <c r="E482" s="12">
        <f t="shared" si="91"/>
        <v>0</v>
      </c>
      <c r="F482" s="12">
        <f t="shared" si="92"/>
        <v>0.5</v>
      </c>
      <c r="G482" s="16">
        <f t="shared" si="94"/>
        <v>8.0263840156903381</v>
      </c>
      <c r="H482" s="14">
        <f t="shared" si="95"/>
        <v>6.3925014721988582E-2</v>
      </c>
      <c r="I482" s="14">
        <f t="shared" si="96"/>
        <v>9.4230667422415468</v>
      </c>
      <c r="J482" s="14">
        <f t="shared" si="97"/>
        <v>1.153617468772733</v>
      </c>
      <c r="K482" s="14">
        <f t="shared" si="98"/>
        <v>4.7203779661087903</v>
      </c>
      <c r="L482" s="14">
        <f t="shared" si="99"/>
        <v>673.85848575642854</v>
      </c>
      <c r="M482" s="14">
        <f t="shared" si="93"/>
        <v>0.25018724802894698</v>
      </c>
      <c r="N482" s="14">
        <f t="shared" si="100"/>
        <v>6.4023611735185382</v>
      </c>
      <c r="O482" s="4">
        <v>11.49</v>
      </c>
      <c r="P482" s="14">
        <f t="shared" si="103"/>
        <v>25.884068828721666</v>
      </c>
      <c r="Q482" s="14">
        <f t="shared" si="101"/>
        <v>24.565415292170602</v>
      </c>
    </row>
    <row r="483" spans="1:17" x14ac:dyDescent="0.25">
      <c r="A483" s="5" t="s">
        <v>540</v>
      </c>
      <c r="B483" s="6">
        <f t="shared" si="102"/>
        <v>3</v>
      </c>
      <c r="C483" s="70">
        <v>15.510038379999999</v>
      </c>
      <c r="D483" s="4">
        <v>0</v>
      </c>
      <c r="E483" s="12">
        <f t="shared" si="91"/>
        <v>0</v>
      </c>
      <c r="F483" s="12">
        <f t="shared" si="92"/>
        <v>0</v>
      </c>
      <c r="G483" s="16">
        <f t="shared" si="94"/>
        <v>6.8480332430273378</v>
      </c>
      <c r="H483" s="14">
        <f t="shared" si="95"/>
        <v>0</v>
      </c>
      <c r="I483" s="14">
        <f t="shared" si="96"/>
        <v>10.485559241566508</v>
      </c>
      <c r="J483" s="14">
        <f t="shared" si="97"/>
        <v>1.1783507726630003</v>
      </c>
      <c r="K483" s="14">
        <f t="shared" si="98"/>
        <v>4.381306382076577</v>
      </c>
      <c r="L483" s="14">
        <f t="shared" si="99"/>
        <v>673.94737009243181</v>
      </c>
      <c r="M483" s="14">
        <f t="shared" si="93"/>
        <v>0.2369678631616059</v>
      </c>
      <c r="N483" s="14">
        <f t="shared" si="100"/>
        <v>6.0640734427119289</v>
      </c>
      <c r="O483" s="4">
        <v>12.21</v>
      </c>
      <c r="P483" s="14">
        <f t="shared" si="103"/>
        <v>37.772413247578811</v>
      </c>
      <c r="Q483" s="14">
        <f t="shared" si="101"/>
        <v>32.220960740446479</v>
      </c>
    </row>
    <row r="484" spans="1:17" x14ac:dyDescent="0.25">
      <c r="A484" s="5" t="s">
        <v>541</v>
      </c>
      <c r="B484" s="6">
        <f t="shared" si="102"/>
        <v>4</v>
      </c>
      <c r="C484" s="70">
        <v>14.579898829999999</v>
      </c>
      <c r="D484" s="4">
        <v>0.2</v>
      </c>
      <c r="E484" s="12">
        <f t="shared" si="91"/>
        <v>0</v>
      </c>
      <c r="F484" s="12">
        <f t="shared" si="92"/>
        <v>0.2</v>
      </c>
      <c r="G484" s="16">
        <f t="shared" si="94"/>
        <v>6.3192627932219523</v>
      </c>
      <c r="H484" s="14">
        <f t="shared" si="95"/>
        <v>2.2446683553433665E-2</v>
      </c>
      <c r="I484" s="14">
        <f t="shared" si="96"/>
        <v>7.3667325215659822</v>
      </c>
      <c r="J484" s="14">
        <f t="shared" si="97"/>
        <v>0.70632376625195215</v>
      </c>
      <c r="K484" s="14">
        <f t="shared" si="98"/>
        <v>4.0946158886907416</v>
      </c>
      <c r="L484" s="14">
        <f t="shared" si="99"/>
        <v>674.01953940620945</v>
      </c>
      <c r="M484" s="14">
        <f t="shared" si="93"/>
        <v>0.22579002439816204</v>
      </c>
      <c r="N484" s="14">
        <f t="shared" si="100"/>
        <v>5.7780294438001878</v>
      </c>
      <c r="O484" s="4">
        <v>13.1</v>
      </c>
      <c r="P484" s="14">
        <f t="shared" si="103"/>
        <v>53.61125282585698</v>
      </c>
      <c r="Q484" s="14">
        <f t="shared" si="101"/>
        <v>43.116965530676353</v>
      </c>
    </row>
    <row r="485" spans="1:17" x14ac:dyDescent="0.25">
      <c r="A485" s="5" t="s">
        <v>542</v>
      </c>
      <c r="B485" s="6">
        <f t="shared" si="102"/>
        <v>4</v>
      </c>
      <c r="C485" s="70">
        <v>16.810522079999998</v>
      </c>
      <c r="D485" s="4">
        <v>3</v>
      </c>
      <c r="E485" s="12">
        <f t="shared" si="91"/>
        <v>0</v>
      </c>
      <c r="F485" s="12">
        <f t="shared" si="92"/>
        <v>3</v>
      </c>
      <c r="G485" s="16">
        <f t="shared" si="94"/>
        <v>7.9574442530117881</v>
      </c>
      <c r="H485" s="14">
        <f t="shared" si="95"/>
        <v>0.32258203019873333</v>
      </c>
      <c r="I485" s="14">
        <f t="shared" si="96"/>
        <v>11.745862732008822</v>
      </c>
      <c r="J485" s="14">
        <f t="shared" si="97"/>
        <v>1.0392365100114316</v>
      </c>
      <c r="K485" s="14">
        <f t="shared" si="98"/>
        <v>4.1333707659770891</v>
      </c>
      <c r="L485" s="14">
        <f t="shared" si="99"/>
        <v>674.07757653472368</v>
      </c>
      <c r="M485" s="14">
        <f t="shared" si="93"/>
        <v>0.22731548856263506</v>
      </c>
      <c r="N485" s="14">
        <f t="shared" si="100"/>
        <v>5.8170664955090992</v>
      </c>
      <c r="O485" s="4">
        <v>12.32</v>
      </c>
      <c r="P485" s="14">
        <f t="shared" si="103"/>
        <v>42.28814416383031</v>
      </c>
      <c r="Q485" s="14">
        <f t="shared" si="101"/>
        <v>33.481857961710837</v>
      </c>
    </row>
    <row r="486" spans="1:17" x14ac:dyDescent="0.25">
      <c r="A486" s="5" t="s">
        <v>543</v>
      </c>
      <c r="B486" s="6">
        <f t="shared" si="102"/>
        <v>4</v>
      </c>
      <c r="C486" s="70">
        <v>17.486558909999999</v>
      </c>
      <c r="D486" s="4">
        <v>10.1</v>
      </c>
      <c r="E486" s="12">
        <f t="shared" si="91"/>
        <v>0</v>
      </c>
      <c r="F486" s="12">
        <f t="shared" si="92"/>
        <v>10.1</v>
      </c>
      <c r="G486" s="16">
        <f t="shared" si="94"/>
        <v>15.372921457883772</v>
      </c>
      <c r="H486" s="14">
        <f t="shared" si="95"/>
        <v>1.2280124843691116</v>
      </c>
      <c r="I486" s="14">
        <f t="shared" si="96"/>
        <v>13.073049340336793</v>
      </c>
      <c r="J486" s="14">
        <f t="shared" si="97"/>
        <v>1.4565103107589059</v>
      </c>
      <c r="K486" s="14">
        <f t="shared" si="98"/>
        <v>5.0741346834075172</v>
      </c>
      <c r="L486" s="14">
        <f t="shared" si="99"/>
        <v>674.13750961309972</v>
      </c>
      <c r="M486" s="14">
        <f t="shared" si="93"/>
        <v>0.26405835658566595</v>
      </c>
      <c r="N486" s="14">
        <f t="shared" si="100"/>
        <v>6.7573266945706889</v>
      </c>
      <c r="O486" s="4">
        <v>12.41</v>
      </c>
      <c r="P486" s="14">
        <f t="shared" si="103"/>
        <v>31.952715497913136</v>
      </c>
      <c r="Q486" s="14">
        <f t="shared" si="101"/>
        <v>34.53150114274532</v>
      </c>
    </row>
    <row r="487" spans="1:17" x14ac:dyDescent="0.25">
      <c r="A487" s="5" t="s">
        <v>544</v>
      </c>
      <c r="B487" s="6">
        <f t="shared" si="102"/>
        <v>4</v>
      </c>
      <c r="C487" s="70">
        <v>17.77691269</v>
      </c>
      <c r="D487" s="4">
        <v>9</v>
      </c>
      <c r="E487" s="12">
        <f t="shared" si="91"/>
        <v>0</v>
      </c>
      <c r="F487" s="12">
        <f t="shared" si="92"/>
        <v>9</v>
      </c>
      <c r="G487" s="16">
        <f t="shared" si="94"/>
        <v>19.881992375096772</v>
      </c>
      <c r="H487" s="14">
        <f t="shared" si="95"/>
        <v>1.5544188923792452</v>
      </c>
      <c r="I487" s="14">
        <f t="shared" si="96"/>
        <v>13.643068060313048</v>
      </c>
      <c r="J487" s="14">
        <f t="shared" si="97"/>
        <v>2.9365101904077533</v>
      </c>
      <c r="K487" s="14">
        <f t="shared" si="98"/>
        <v>6.2582511305259141</v>
      </c>
      <c r="L487" s="14">
        <f t="shared" si="99"/>
        <v>674.24375370177484</v>
      </c>
      <c r="M487" s="14">
        <f t="shared" si="93"/>
        <v>0.31031226541386708</v>
      </c>
      <c r="N487" s="14">
        <f t="shared" si="100"/>
        <v>7.9409770697923614</v>
      </c>
      <c r="O487" s="4">
        <v>12.47</v>
      </c>
      <c r="P487" s="14">
        <f t="shared" si="103"/>
        <v>20.51204870234659</v>
      </c>
      <c r="Q487" s="14">
        <f t="shared" si="101"/>
        <v>35.240263263434983</v>
      </c>
    </row>
    <row r="488" spans="1:17" x14ac:dyDescent="0.25">
      <c r="A488" s="5" t="s">
        <v>545</v>
      </c>
      <c r="B488" s="6">
        <f t="shared" si="102"/>
        <v>4</v>
      </c>
      <c r="C488" s="70">
        <v>15.886722560000001</v>
      </c>
      <c r="D488" s="4">
        <v>0</v>
      </c>
      <c r="E488" s="12">
        <f t="shared" si="91"/>
        <v>0</v>
      </c>
      <c r="F488" s="12">
        <f t="shared" si="92"/>
        <v>0</v>
      </c>
      <c r="G488" s="16">
        <f t="shared" si="94"/>
        <v>17.117142524703496</v>
      </c>
      <c r="H488" s="14">
        <f t="shared" si="95"/>
        <v>0</v>
      </c>
      <c r="I488" s="14">
        <f t="shared" si="96"/>
        <v>9.9322716711138082</v>
      </c>
      <c r="J488" s="14">
        <f t="shared" si="97"/>
        <v>2.7648498503932775</v>
      </c>
      <c r="K488" s="14">
        <f t="shared" si="98"/>
        <v>5.7834108075934143</v>
      </c>
      <c r="L488" s="14">
        <f t="shared" si="99"/>
        <v>674.40828175929346</v>
      </c>
      <c r="M488" s="14">
        <f t="shared" si="93"/>
        <v>0.29180819673090941</v>
      </c>
      <c r="N488" s="14">
        <f t="shared" si="100"/>
        <v>7.467452812176397</v>
      </c>
      <c r="O488" s="4">
        <v>12.98</v>
      </c>
      <c r="P488" s="14">
        <f t="shared" si="103"/>
        <v>30.388176497981917</v>
      </c>
      <c r="Q488" s="14">
        <f t="shared" si="101"/>
        <v>41.555441289297057</v>
      </c>
    </row>
    <row r="489" spans="1:17" x14ac:dyDescent="0.25">
      <c r="A489" s="5" t="s">
        <v>546</v>
      </c>
      <c r="B489" s="6">
        <f t="shared" si="102"/>
        <v>4</v>
      </c>
      <c r="C489" s="70">
        <v>16.151458739999999</v>
      </c>
      <c r="D489" s="4">
        <v>1.8</v>
      </c>
      <c r="E489" s="12">
        <f t="shared" si="91"/>
        <v>0</v>
      </c>
      <c r="F489" s="12">
        <f t="shared" si="92"/>
        <v>1.8</v>
      </c>
      <c r="G489" s="16">
        <f t="shared" si="94"/>
        <v>16.083009742865343</v>
      </c>
      <c r="H489" s="14">
        <f t="shared" si="95"/>
        <v>0.32921397355985144</v>
      </c>
      <c r="I489" s="14">
        <f t="shared" si="96"/>
        <v>10.451998255885677</v>
      </c>
      <c r="J489" s="14">
        <f t="shared" si="97"/>
        <v>2.5049188082782994</v>
      </c>
      <c r="K489" s="14">
        <f t="shared" si="98"/>
        <v>5.6797049971281375</v>
      </c>
      <c r="L489" s="14">
        <f t="shared" si="99"/>
        <v>674.54939334658764</v>
      </c>
      <c r="M489" s="14">
        <f t="shared" si="93"/>
        <v>0.28778928729783448</v>
      </c>
      <c r="N489" s="14">
        <f t="shared" si="100"/>
        <v>7.3646078034202782</v>
      </c>
      <c r="O489" s="4">
        <v>13.22</v>
      </c>
      <c r="P489" s="14">
        <f t="shared" si="103"/>
        <v>34.28561777576671</v>
      </c>
      <c r="Q489" s="14">
        <f t="shared" si="101"/>
        <v>44.707289772055681</v>
      </c>
    </row>
    <row r="490" spans="1:17" x14ac:dyDescent="0.25">
      <c r="A490" s="5" t="s">
        <v>547</v>
      </c>
      <c r="B490" s="6">
        <f t="shared" si="102"/>
        <v>4</v>
      </c>
      <c r="C490" s="70">
        <v>16.340726849999999</v>
      </c>
      <c r="D490" s="4">
        <v>5.5</v>
      </c>
      <c r="E490" s="12">
        <f t="shared" si="91"/>
        <v>0</v>
      </c>
      <c r="F490" s="12">
        <f t="shared" si="92"/>
        <v>5.5</v>
      </c>
      <c r="G490" s="16">
        <f t="shared" si="94"/>
        <v>18.172690612238888</v>
      </c>
      <c r="H490" s="14">
        <f t="shared" si="95"/>
        <v>0.9730651412894562</v>
      </c>
      <c r="I490" s="14">
        <f t="shared" si="96"/>
        <v>10.823566918758001</v>
      </c>
      <c r="J490" s="14">
        <f t="shared" si="97"/>
        <v>2.4372539893369982</v>
      </c>
      <c r="K490" s="14">
        <f t="shared" si="98"/>
        <v>6.2290058604701333</v>
      </c>
      <c r="L490" s="14">
        <f t="shared" si="99"/>
        <v>674.68536833723726</v>
      </c>
      <c r="M490" s="14">
        <f t="shared" si="93"/>
        <v>0.30926452258068393</v>
      </c>
      <c r="N490" s="14">
        <f t="shared" si="100"/>
        <v>7.9141650396515288</v>
      </c>
      <c r="O490" s="4">
        <v>13.91</v>
      </c>
      <c r="P490" s="14">
        <f t="shared" si="103"/>
        <v>35.950036871736955</v>
      </c>
      <c r="Q490" s="14">
        <f t="shared" si="101"/>
        <v>54.410554159986717</v>
      </c>
    </row>
    <row r="491" spans="1:17" x14ac:dyDescent="0.25">
      <c r="A491" s="5" t="s">
        <v>548</v>
      </c>
      <c r="B491" s="6">
        <f t="shared" si="102"/>
        <v>4</v>
      </c>
      <c r="C491" s="70">
        <v>14.892251010000001</v>
      </c>
      <c r="D491" s="4">
        <v>4.0999999999999996</v>
      </c>
      <c r="E491" s="12">
        <f t="shared" si="91"/>
        <v>0</v>
      </c>
      <c r="F491" s="12">
        <f t="shared" si="92"/>
        <v>4.0999999999999996</v>
      </c>
      <c r="G491" s="16">
        <f t="shared" si="94"/>
        <v>19.468108462474266</v>
      </c>
      <c r="H491" s="14">
        <f t="shared" si="95"/>
        <v>0.77418114469289223</v>
      </c>
      <c r="I491" s="14">
        <f t="shared" si="96"/>
        <v>7.9799382109336001</v>
      </c>
      <c r="J491" s="14">
        <f t="shared" si="97"/>
        <v>2.0304010050717314</v>
      </c>
      <c r="K491" s="14">
        <f t="shared" si="98"/>
        <v>6.5309285553824479</v>
      </c>
      <c r="L491" s="14">
        <f t="shared" si="99"/>
        <v>674.84836226443724</v>
      </c>
      <c r="M491" s="14">
        <f t="shared" si="93"/>
        <v>0.32108716590697972</v>
      </c>
      <c r="N491" s="14">
        <f t="shared" si="100"/>
        <v>8.2167097664390294</v>
      </c>
      <c r="O491" s="4">
        <v>14.9</v>
      </c>
      <c r="P491" s="14">
        <f t="shared" si="103"/>
        <v>44.66636834601146</v>
      </c>
      <c r="Q491" s="14">
        <f t="shared" si="101"/>
        <v>69.995829151366024</v>
      </c>
    </row>
    <row r="492" spans="1:17" x14ac:dyDescent="0.25">
      <c r="A492" s="5" t="s">
        <v>549</v>
      </c>
      <c r="B492" s="6">
        <f t="shared" si="102"/>
        <v>4</v>
      </c>
      <c r="C492" s="70">
        <v>14.4821434</v>
      </c>
      <c r="D492" s="4">
        <v>0</v>
      </c>
      <c r="E492" s="12">
        <f t="shared" si="91"/>
        <v>0</v>
      </c>
      <c r="F492" s="12">
        <f t="shared" si="92"/>
        <v>0</v>
      </c>
      <c r="G492" s="16">
        <f t="shared" si="94"/>
        <v>17.512428227583897</v>
      </c>
      <c r="H492" s="14">
        <f t="shared" si="95"/>
        <v>0</v>
      </c>
      <c r="I492" s="14">
        <f t="shared" si="96"/>
        <v>7.174820347805654</v>
      </c>
      <c r="J492" s="14">
        <f t="shared" si="97"/>
        <v>1.9556802348903699</v>
      </c>
      <c r="K492" s="14">
        <f t="shared" si="98"/>
        <v>6.0320153303693793</v>
      </c>
      <c r="L492" s="14">
        <f t="shared" si="99"/>
        <v>675.02618832354335</v>
      </c>
      <c r="M492" s="14">
        <f t="shared" si="93"/>
        <v>0.30164605544763157</v>
      </c>
      <c r="N492" s="14">
        <f t="shared" si="100"/>
        <v>7.7192063494758489</v>
      </c>
      <c r="O492" s="4">
        <v>14.26</v>
      </c>
      <c r="P492" s="14">
        <f t="shared" si="103"/>
        <v>42.781981578737046</v>
      </c>
      <c r="Q492" s="14">
        <f t="shared" si="101"/>
        <v>59.696499864009702</v>
      </c>
    </row>
    <row r="493" spans="1:17" x14ac:dyDescent="0.25">
      <c r="A493" s="5" t="s">
        <v>550</v>
      </c>
      <c r="B493" s="6">
        <f t="shared" si="102"/>
        <v>4</v>
      </c>
      <c r="C493" s="70">
        <v>15.439990999999999</v>
      </c>
      <c r="D493" s="4">
        <v>0</v>
      </c>
      <c r="E493" s="12">
        <f t="shared" si="91"/>
        <v>0</v>
      </c>
      <c r="F493" s="12">
        <f t="shared" si="92"/>
        <v>0</v>
      </c>
      <c r="G493" s="16">
        <f t="shared" si="94"/>
        <v>15.292136347114852</v>
      </c>
      <c r="H493" s="14">
        <f t="shared" si="95"/>
        <v>0</v>
      </c>
      <c r="I493" s="14">
        <f t="shared" si="96"/>
        <v>9.0552541512998879</v>
      </c>
      <c r="J493" s="14">
        <f t="shared" si="97"/>
        <v>2.2202918804690439</v>
      </c>
      <c r="K493" s="14">
        <f t="shared" si="98"/>
        <v>5.577147882958764</v>
      </c>
      <c r="L493" s="14">
        <f t="shared" si="99"/>
        <v>675.17940971550627</v>
      </c>
      <c r="M493" s="14">
        <f t="shared" si="93"/>
        <v>0.28391937604375916</v>
      </c>
      <c r="N493" s="14">
        <f t="shared" si="100"/>
        <v>7.2655756994531417</v>
      </c>
      <c r="O493" s="4">
        <v>12.86</v>
      </c>
      <c r="P493" s="14">
        <f t="shared" si="103"/>
        <v>31.297583254549199</v>
      </c>
      <c r="Q493" s="14">
        <f t="shared" si="101"/>
        <v>40.02271704791773</v>
      </c>
    </row>
    <row r="494" spans="1:17" x14ac:dyDescent="0.25">
      <c r="A494" s="5" t="s">
        <v>551</v>
      </c>
      <c r="B494" s="6">
        <f t="shared" si="102"/>
        <v>4</v>
      </c>
      <c r="C494" s="70">
        <v>16.129322049999999</v>
      </c>
      <c r="D494" s="4">
        <v>1.8</v>
      </c>
      <c r="E494" s="12">
        <f t="shared" si="91"/>
        <v>0</v>
      </c>
      <c r="F494" s="12">
        <f t="shared" si="92"/>
        <v>1.8</v>
      </c>
      <c r="G494" s="16">
        <f t="shared" si="94"/>
        <v>14.553581446051403</v>
      </c>
      <c r="H494" s="14">
        <f t="shared" si="95"/>
        <v>0.31001185634273237</v>
      </c>
      <c r="I494" s="14">
        <f t="shared" si="96"/>
        <v>10.408539797386148</v>
      </c>
      <c r="J494" s="14">
        <f t="shared" si="97"/>
        <v>2.2285430447207162</v>
      </c>
      <c r="K494" s="14">
        <f t="shared" si="98"/>
        <v>5.4724495565669562</v>
      </c>
      <c r="L494" s="14">
        <f t="shared" si="99"/>
        <v>675.31020052219708</v>
      </c>
      <c r="M494" s="14">
        <f t="shared" si="93"/>
        <v>0.27985951736173731</v>
      </c>
      <c r="N494" s="14">
        <f t="shared" si="100"/>
        <v>7.1616827880416798</v>
      </c>
      <c r="O494" s="4">
        <v>12.28</v>
      </c>
      <c r="P494" s="14">
        <f t="shared" si="103"/>
        <v>26.197171082228785</v>
      </c>
      <c r="Q494" s="14">
        <f t="shared" si="101"/>
        <v>33.020549881251057</v>
      </c>
    </row>
    <row r="495" spans="1:17" x14ac:dyDescent="0.25">
      <c r="A495" s="5" t="s">
        <v>552</v>
      </c>
      <c r="B495" s="6">
        <f t="shared" si="102"/>
        <v>4</v>
      </c>
      <c r="C495" s="70">
        <v>14.62487698</v>
      </c>
      <c r="D495" s="4">
        <v>0.8</v>
      </c>
      <c r="E495" s="12">
        <f t="shared" si="91"/>
        <v>0</v>
      </c>
      <c r="F495" s="12">
        <f t="shared" si="92"/>
        <v>0.8</v>
      </c>
      <c r="G495" s="16">
        <f t="shared" si="94"/>
        <v>13.70030000960595</v>
      </c>
      <c r="H495" s="14">
        <f t="shared" si="95"/>
        <v>0.13419491222482352</v>
      </c>
      <c r="I495" s="14">
        <f t="shared" si="96"/>
        <v>7.4550330337545967</v>
      </c>
      <c r="J495" s="14">
        <f t="shared" si="97"/>
        <v>1.519086524220632</v>
      </c>
      <c r="K495" s="14">
        <f t="shared" si="98"/>
        <v>5.2011774148588108</v>
      </c>
      <c r="L495" s="14">
        <f t="shared" si="99"/>
        <v>675.43580805876832</v>
      </c>
      <c r="M495" s="14">
        <f t="shared" si="93"/>
        <v>0.26929503869914762</v>
      </c>
      <c r="N495" s="14">
        <f t="shared" si="100"/>
        <v>6.8913348444886031</v>
      </c>
      <c r="O495" s="4">
        <v>10.56</v>
      </c>
      <c r="P495" s="14">
        <f t="shared" si="103"/>
        <v>13.459104023263466</v>
      </c>
      <c r="Q495" s="14">
        <f t="shared" si="101"/>
        <v>16.21150242148094</v>
      </c>
    </row>
    <row r="496" spans="1:17" x14ac:dyDescent="0.25">
      <c r="A496" s="5" t="s">
        <v>553</v>
      </c>
      <c r="B496" s="6">
        <f t="shared" si="102"/>
        <v>4</v>
      </c>
      <c r="C496" s="70">
        <v>14.35269547</v>
      </c>
      <c r="D496" s="4">
        <v>5.0999999999999996</v>
      </c>
      <c r="E496" s="12">
        <f t="shared" si="91"/>
        <v>0</v>
      </c>
      <c r="F496" s="12">
        <f t="shared" si="92"/>
        <v>5.0999999999999996</v>
      </c>
      <c r="G496" s="16">
        <f t="shared" si="94"/>
        <v>16.644396689848922</v>
      </c>
      <c r="H496" s="14">
        <f t="shared" si="95"/>
        <v>0.82837888325123454</v>
      </c>
      <c r="I496" s="14">
        <f t="shared" si="96"/>
        <v>6.92068987510378</v>
      </c>
      <c r="J496" s="14">
        <f t="shared" si="97"/>
        <v>1.3275244365057934</v>
      </c>
      <c r="K496" s="14">
        <f t="shared" si="98"/>
        <v>5.6480380830219588</v>
      </c>
      <c r="L496" s="14">
        <f t="shared" si="99"/>
        <v>675.54803123515728</v>
      </c>
      <c r="M496" s="14">
        <f t="shared" si="93"/>
        <v>0.28676565745360111</v>
      </c>
      <c r="N496" s="14">
        <f t="shared" si="100"/>
        <v>7.3384128313647228</v>
      </c>
      <c r="O496" s="4">
        <v>9.07</v>
      </c>
      <c r="P496" s="14">
        <f t="shared" si="103"/>
        <v>2.998394122582337</v>
      </c>
      <c r="Q496" s="14">
        <f t="shared" si="101"/>
        <v>6.4330764243544856</v>
      </c>
    </row>
    <row r="497" spans="1:17" x14ac:dyDescent="0.25">
      <c r="A497" s="5" t="s">
        <v>554</v>
      </c>
      <c r="B497" s="6">
        <f t="shared" si="102"/>
        <v>4</v>
      </c>
      <c r="C497" s="70">
        <v>13.92204285</v>
      </c>
      <c r="D497" s="4">
        <v>1.1000000000000001</v>
      </c>
      <c r="E497" s="12">
        <f t="shared" si="91"/>
        <v>0</v>
      </c>
      <c r="F497" s="12">
        <f t="shared" si="92"/>
        <v>1.1000000000000001</v>
      </c>
      <c r="G497" s="16">
        <f t="shared" si="94"/>
        <v>16.130415962727884</v>
      </c>
      <c r="H497" s="14">
        <f t="shared" si="95"/>
        <v>0.1982050881068024</v>
      </c>
      <c r="I497" s="14">
        <f t="shared" si="96"/>
        <v>6.0752383187065444</v>
      </c>
      <c r="J497" s="14">
        <f t="shared" si="97"/>
        <v>1.4157756390142342</v>
      </c>
      <c r="K497" s="14">
        <f t="shared" si="98"/>
        <v>5.425274557409363</v>
      </c>
      <c r="L497" s="14">
        <f t="shared" si="99"/>
        <v>675.68223419142305</v>
      </c>
      <c r="M497" s="14">
        <f t="shared" si="93"/>
        <v>0.27809692426939331</v>
      </c>
      <c r="N497" s="14">
        <f t="shared" si="100"/>
        <v>7.1165775411994048</v>
      </c>
      <c r="O497" s="4">
        <v>9.59</v>
      </c>
      <c r="P497" s="14">
        <f t="shared" si="103"/>
        <v>6.1178186596991813</v>
      </c>
      <c r="Q497" s="14">
        <f t="shared" si="101"/>
        <v>9.3412814703314986</v>
      </c>
    </row>
    <row r="498" spans="1:17" x14ac:dyDescent="0.25">
      <c r="A498" s="5" t="s">
        <v>555</v>
      </c>
      <c r="B498" s="6">
        <f t="shared" si="102"/>
        <v>4</v>
      </c>
      <c r="C498" s="70">
        <v>13.74573517</v>
      </c>
      <c r="D498" s="4">
        <v>1.8</v>
      </c>
      <c r="E498" s="12">
        <f t="shared" si="91"/>
        <v>0</v>
      </c>
      <c r="F498" s="12">
        <f t="shared" si="92"/>
        <v>1.8</v>
      </c>
      <c r="G498" s="16">
        <f t="shared" si="94"/>
        <v>16.3175721650288</v>
      </c>
      <c r="H498" s="14">
        <f t="shared" si="95"/>
        <v>0.31895770795493561</v>
      </c>
      <c r="I498" s="14">
        <f t="shared" si="96"/>
        <v>5.7291134014570302</v>
      </c>
      <c r="J498" s="14">
        <f t="shared" si="97"/>
        <v>1.2938860897441478</v>
      </c>
      <c r="K498" s="14">
        <f t="shared" si="98"/>
        <v>5.34292998281264</v>
      </c>
      <c r="L498" s="14">
        <f t="shared" si="99"/>
        <v>675.80543954970528</v>
      </c>
      <c r="M498" s="14">
        <f t="shared" si="93"/>
        <v>0.27490820377080943</v>
      </c>
      <c r="N498" s="14">
        <f t="shared" si="100"/>
        <v>7.0349772978849501</v>
      </c>
      <c r="O498" s="4">
        <v>8.91</v>
      </c>
      <c r="P498" s="14">
        <f t="shared" si="103"/>
        <v>3.5157101334468237</v>
      </c>
      <c r="Q498" s="14">
        <f t="shared" si="101"/>
        <v>5.6470441025154026</v>
      </c>
    </row>
    <row r="499" spans="1:17" x14ac:dyDescent="0.25">
      <c r="A499" s="5" t="s">
        <v>556</v>
      </c>
      <c r="B499" s="6">
        <f t="shared" si="102"/>
        <v>4</v>
      </c>
      <c r="C499" s="70">
        <v>14.1912632</v>
      </c>
      <c r="D499" s="4">
        <v>2.2000000000000002</v>
      </c>
      <c r="E499" s="12">
        <f t="shared" si="91"/>
        <v>0</v>
      </c>
      <c r="F499" s="12">
        <f t="shared" si="92"/>
        <v>2.2000000000000002</v>
      </c>
      <c r="G499" s="16">
        <f t="shared" si="94"/>
        <v>16.616604221274876</v>
      </c>
      <c r="H499" s="14">
        <f t="shared" si="95"/>
        <v>0.39224179037386558</v>
      </c>
      <c r="I499" s="14">
        <f t="shared" si="96"/>
        <v>6.6037681670128388</v>
      </c>
      <c r="J499" s="14">
        <f t="shared" si="97"/>
        <v>1.5087261533800571</v>
      </c>
      <c r="K499" s="14">
        <f t="shared" si="98"/>
        <v>5.3411391532487427</v>
      </c>
      <c r="L499" s="14">
        <f t="shared" si="99"/>
        <v>675.92456396587227</v>
      </c>
      <c r="M499" s="14">
        <f t="shared" si="93"/>
        <v>0.27486366137769713</v>
      </c>
      <c r="N499" s="14">
        <f t="shared" si="100"/>
        <v>7.0338374456723178</v>
      </c>
      <c r="O499" s="4">
        <v>7.84</v>
      </c>
      <c r="P499" s="14">
        <f t="shared" si="103"/>
        <v>0.64989806400013284</v>
      </c>
      <c r="Q499" s="14">
        <f t="shared" si="101"/>
        <v>1.7065529502165409</v>
      </c>
    </row>
    <row r="500" spans="1:17" x14ac:dyDescent="0.25">
      <c r="A500" s="5" t="s">
        <v>557</v>
      </c>
      <c r="B500" s="6">
        <f t="shared" si="102"/>
        <v>4</v>
      </c>
      <c r="C500" s="70">
        <v>14.589515690000001</v>
      </c>
      <c r="D500" s="4">
        <v>0.3</v>
      </c>
      <c r="E500" s="12">
        <f t="shared" si="91"/>
        <v>0</v>
      </c>
      <c r="F500" s="12">
        <f t="shared" si="92"/>
        <v>0.3</v>
      </c>
      <c r="G500" s="16">
        <f t="shared" si="94"/>
        <v>15.14432472949531</v>
      </c>
      <c r="H500" s="14">
        <f t="shared" si="95"/>
        <v>5.4007800147002787E-2</v>
      </c>
      <c r="I500" s="14">
        <f t="shared" si="96"/>
        <v>7.3856122145646115</v>
      </c>
      <c r="J500" s="14">
        <f t="shared" si="97"/>
        <v>1.7182716916325662</v>
      </c>
      <c r="K500" s="14">
        <f t="shared" si="98"/>
        <v>5.0012724340589294</v>
      </c>
      <c r="L500" s="14">
        <f t="shared" si="99"/>
        <v>676.04357482383136</v>
      </c>
      <c r="M500" s="14">
        <f t="shared" si="93"/>
        <v>0.26161964992658077</v>
      </c>
      <c r="N500" s="14">
        <f t="shared" si="100"/>
        <v>6.6949195137461812</v>
      </c>
      <c r="O500" s="4">
        <v>6.89</v>
      </c>
      <c r="P500" s="14">
        <f t="shared" si="103"/>
        <v>3.8056396117026256E-2</v>
      </c>
      <c r="Q500" s="14">
        <f t="shared" si="101"/>
        <v>0.12698603929699168</v>
      </c>
    </row>
    <row r="501" spans="1:17" x14ac:dyDescent="0.25">
      <c r="A501" s="5" t="s">
        <v>558</v>
      </c>
      <c r="B501" s="6">
        <f t="shared" si="102"/>
        <v>4</v>
      </c>
      <c r="C501" s="70">
        <v>15.209569930000001</v>
      </c>
      <c r="D501" s="4">
        <v>0.6</v>
      </c>
      <c r="E501" s="12">
        <f t="shared" si="91"/>
        <v>0</v>
      </c>
      <c r="F501" s="12">
        <f t="shared" si="92"/>
        <v>0.6</v>
      </c>
      <c r="G501" s="16">
        <f t="shared" si="94"/>
        <v>13.8173835920951</v>
      </c>
      <c r="H501" s="14">
        <f t="shared" si="95"/>
        <v>0.10280364108940851</v>
      </c>
      <c r="I501" s="14">
        <f t="shared" si="96"/>
        <v>8.6028945389092435</v>
      </c>
      <c r="J501" s="14">
        <f t="shared" si="97"/>
        <v>1.8241374963108008</v>
      </c>
      <c r="K501" s="14">
        <f t="shared" si="98"/>
        <v>4.7402061601743721</v>
      </c>
      <c r="L501" s="14">
        <f t="shared" si="99"/>
        <v>676.14582508887872</v>
      </c>
      <c r="M501" s="14">
        <f t="shared" si="93"/>
        <v>0.2514486616647702</v>
      </c>
      <c r="N501" s="14">
        <f t="shared" si="100"/>
        <v>6.434641098851932</v>
      </c>
      <c r="O501" s="4">
        <v>6.33</v>
      </c>
      <c r="P501" s="14">
        <f t="shared" si="103"/>
        <v>1.0949759568939796E-2</v>
      </c>
      <c r="Q501" s="14">
        <f t="shared" si="101"/>
        <v>4.147291286020497E-2</v>
      </c>
    </row>
    <row r="502" spans="1:17" x14ac:dyDescent="0.25">
      <c r="A502" s="5" t="s">
        <v>559</v>
      </c>
      <c r="B502" s="6">
        <f t="shared" si="102"/>
        <v>4</v>
      </c>
      <c r="C502" s="70">
        <v>15.43691349</v>
      </c>
      <c r="D502" s="4">
        <v>0.5</v>
      </c>
      <c r="E502" s="12">
        <f t="shared" si="91"/>
        <v>0</v>
      </c>
      <c r="F502" s="12">
        <f t="shared" si="92"/>
        <v>0.5</v>
      </c>
      <c r="G502" s="16">
        <f t="shared" si="94"/>
        <v>12.485149420896434</v>
      </c>
      <c r="H502" s="14">
        <f t="shared" si="95"/>
        <v>8.1582850118073563E-2</v>
      </c>
      <c r="I502" s="14">
        <f t="shared" si="96"/>
        <v>9.0492124241664786</v>
      </c>
      <c r="J502" s="14">
        <f t="shared" si="97"/>
        <v>1.7506513210805932</v>
      </c>
      <c r="K502" s="14">
        <f t="shared" si="98"/>
        <v>4.4809669250061352</v>
      </c>
      <c r="L502" s="14">
        <f t="shared" si="99"/>
        <v>676.23519851250023</v>
      </c>
      <c r="M502" s="14">
        <f t="shared" si="93"/>
        <v>0.24134626308210827</v>
      </c>
      <c r="N502" s="14">
        <f t="shared" si="100"/>
        <v>6.1761179128997847</v>
      </c>
      <c r="O502" s="4">
        <v>5.88</v>
      </c>
      <c r="P502" s="14">
        <f t="shared" si="103"/>
        <v>8.7685818340124566E-2</v>
      </c>
      <c r="Q502" s="14">
        <f t="shared" si="101"/>
        <v>0.42725700768778707</v>
      </c>
    </row>
    <row r="503" spans="1:17" x14ac:dyDescent="0.25">
      <c r="A503" s="5" t="s">
        <v>560</v>
      </c>
      <c r="B503" s="6">
        <f t="shared" si="102"/>
        <v>4</v>
      </c>
      <c r="C503" s="70">
        <v>15.235130310000001</v>
      </c>
      <c r="D503" s="4">
        <v>0</v>
      </c>
      <c r="E503" s="12">
        <f t="shared" si="91"/>
        <v>0</v>
      </c>
      <c r="F503" s="12">
        <f t="shared" si="92"/>
        <v>0</v>
      </c>
      <c r="G503" s="16">
        <f t="shared" si="94"/>
        <v>10.972538479730074</v>
      </c>
      <c r="H503" s="14">
        <f t="shared" si="95"/>
        <v>0</v>
      </c>
      <c r="I503" s="14">
        <f t="shared" si="96"/>
        <v>8.6530743405626147</v>
      </c>
      <c r="J503" s="14">
        <f t="shared" si="97"/>
        <v>1.5126109411663602</v>
      </c>
      <c r="K503" s="14">
        <f t="shared" si="98"/>
        <v>4.1630313721378656</v>
      </c>
      <c r="L503" s="14">
        <f t="shared" si="99"/>
        <v>676.3117878022864</v>
      </c>
      <c r="M503" s="14">
        <f t="shared" si="93"/>
        <v>0.22894946984882344</v>
      </c>
      <c r="N503" s="14">
        <f t="shared" si="100"/>
        <v>5.85888053050635</v>
      </c>
      <c r="O503" s="4">
        <v>5.62</v>
      </c>
      <c r="P503" s="14">
        <f t="shared" si="103"/>
        <v>5.7063907854995183E-2</v>
      </c>
      <c r="Q503" s="14">
        <f t="shared" si="101"/>
        <v>0.83475448469927849</v>
      </c>
    </row>
    <row r="504" spans="1:17" x14ac:dyDescent="0.25">
      <c r="A504" s="5" t="s">
        <v>561</v>
      </c>
      <c r="B504" s="6">
        <f t="shared" si="102"/>
        <v>4</v>
      </c>
      <c r="C504" s="70">
        <v>12.51164341</v>
      </c>
      <c r="D504" s="4">
        <v>0</v>
      </c>
      <c r="E504" s="12">
        <f t="shared" si="91"/>
        <v>0</v>
      </c>
      <c r="F504" s="12">
        <f t="shared" si="92"/>
        <v>0</v>
      </c>
      <c r="G504" s="16">
        <f t="shared" si="94"/>
        <v>10.46458913919545</v>
      </c>
      <c r="H504" s="14">
        <f t="shared" si="95"/>
        <v>0</v>
      </c>
      <c r="I504" s="14">
        <f t="shared" si="96"/>
        <v>3.3063606982945504</v>
      </c>
      <c r="J504" s="14">
        <f t="shared" si="97"/>
        <v>0.50794934053462482</v>
      </c>
      <c r="K504" s="14">
        <f t="shared" si="98"/>
        <v>3.873164264745625</v>
      </c>
      <c r="L504" s="14">
        <f t="shared" si="99"/>
        <v>676.37270543982982</v>
      </c>
      <c r="M504" s="14">
        <f t="shared" si="93"/>
        <v>0.21764521012594198</v>
      </c>
      <c r="N504" s="14">
        <f t="shared" si="100"/>
        <v>5.5696013841256677</v>
      </c>
      <c r="O504" s="4">
        <v>5.83</v>
      </c>
      <c r="P504" s="14">
        <f t="shared" si="103"/>
        <v>6.7807439149268081E-2</v>
      </c>
      <c r="Q504" s="14">
        <f t="shared" si="101"/>
        <v>0.49512190711307374</v>
      </c>
    </row>
    <row r="505" spans="1:17" x14ac:dyDescent="0.25">
      <c r="A505" s="5" t="s">
        <v>562</v>
      </c>
      <c r="B505" s="6">
        <f t="shared" si="102"/>
        <v>4</v>
      </c>
      <c r="C505" s="70">
        <v>15.87300873</v>
      </c>
      <c r="D505" s="4">
        <v>0</v>
      </c>
      <c r="E505" s="12">
        <f t="shared" si="91"/>
        <v>0</v>
      </c>
      <c r="F505" s="12">
        <f t="shared" si="92"/>
        <v>0</v>
      </c>
      <c r="G505" s="16">
        <f t="shared" si="94"/>
        <v>9.0132964224949355</v>
      </c>
      <c r="H505" s="14">
        <f t="shared" si="95"/>
        <v>0</v>
      </c>
      <c r="I505" s="14">
        <f t="shared" si="96"/>
        <v>9.9053488605253861</v>
      </c>
      <c r="J505" s="14">
        <f t="shared" si="97"/>
        <v>1.4512927167005152</v>
      </c>
      <c r="K505" s="14">
        <f t="shared" si="98"/>
        <v>3.6088876238040002</v>
      </c>
      <c r="L505" s="14">
        <f t="shared" si="99"/>
        <v>676.41933687064545</v>
      </c>
      <c r="M505" s="14">
        <f t="shared" si="93"/>
        <v>0.20733703169717121</v>
      </c>
      <c r="N505" s="14">
        <f t="shared" si="100"/>
        <v>5.305812234750527</v>
      </c>
      <c r="O505" s="4">
        <v>5.91</v>
      </c>
      <c r="P505" s="14">
        <f t="shared" si="103"/>
        <v>0.3650428556771525</v>
      </c>
      <c r="Q505" s="14">
        <f t="shared" si="101"/>
        <v>0.38893806803261466</v>
      </c>
    </row>
    <row r="506" spans="1:17" x14ac:dyDescent="0.25">
      <c r="A506" s="5" t="s">
        <v>563</v>
      </c>
      <c r="B506" s="6">
        <f t="shared" si="102"/>
        <v>4</v>
      </c>
      <c r="C506" s="70">
        <v>14.08190727</v>
      </c>
      <c r="D506" s="4">
        <v>0</v>
      </c>
      <c r="E506" s="12">
        <f t="shared" si="91"/>
        <v>0</v>
      </c>
      <c r="F506" s="12">
        <f t="shared" si="92"/>
        <v>0</v>
      </c>
      <c r="G506" s="16">
        <f t="shared" si="94"/>
        <v>8.2070177400895634</v>
      </c>
      <c r="H506" s="14">
        <f t="shared" si="95"/>
        <v>0</v>
      </c>
      <c r="I506" s="14">
        <f t="shared" si="96"/>
        <v>6.3890820443096574</v>
      </c>
      <c r="J506" s="14">
        <f t="shared" si="97"/>
        <v>0.8062786824053727</v>
      </c>
      <c r="K506" s="14">
        <f t="shared" si="98"/>
        <v>3.3679422348093113</v>
      </c>
      <c r="L506" s="14">
        <f t="shared" si="99"/>
        <v>676.45294522794302</v>
      </c>
      <c r="M506" s="14">
        <f t="shared" si="93"/>
        <v>0.19793699747993737</v>
      </c>
      <c r="N506" s="14">
        <f t="shared" si="100"/>
        <v>5.0652627480108974</v>
      </c>
      <c r="O506" s="4">
        <v>5.41</v>
      </c>
      <c r="P506" s="14">
        <f t="shared" si="103"/>
        <v>0.11884377290899814</v>
      </c>
      <c r="Q506" s="14">
        <f t="shared" si="101"/>
        <v>1.2625870622854833</v>
      </c>
    </row>
    <row r="507" spans="1:17" x14ac:dyDescent="0.25">
      <c r="A507" s="5" t="s">
        <v>564</v>
      </c>
      <c r="B507" s="6">
        <f t="shared" si="102"/>
        <v>4</v>
      </c>
      <c r="C507" s="70">
        <v>15.35411549</v>
      </c>
      <c r="D507" s="4">
        <v>0</v>
      </c>
      <c r="E507" s="12">
        <f t="shared" si="91"/>
        <v>0</v>
      </c>
      <c r="F507" s="12">
        <f t="shared" si="92"/>
        <v>0</v>
      </c>
      <c r="G507" s="16">
        <f t="shared" si="94"/>
        <v>7.1858732131729912</v>
      </c>
      <c r="H507" s="14">
        <f t="shared" si="95"/>
        <v>0</v>
      </c>
      <c r="I507" s="14">
        <f t="shared" si="96"/>
        <v>8.8866644801493759</v>
      </c>
      <c r="J507" s="14">
        <f t="shared" si="97"/>
        <v>1.0211445269165726</v>
      </c>
      <c r="K507" s="14">
        <f t="shared" si="98"/>
        <v>3.1482683344942806</v>
      </c>
      <c r="L507" s="14">
        <f t="shared" si="99"/>
        <v>676.47468213077821</v>
      </c>
      <c r="M507" s="14">
        <f t="shared" si="93"/>
        <v>0.18936493378005753</v>
      </c>
      <c r="N507" s="14">
        <f t="shared" si="100"/>
        <v>4.8459012568021667</v>
      </c>
      <c r="O507" s="4">
        <v>4.9000000000000004</v>
      </c>
      <c r="P507" s="14">
        <f t="shared" si="103"/>
        <v>2.9266740155851579E-3</v>
      </c>
      <c r="Q507" s="14">
        <f t="shared" si="101"/>
        <v>2.6688090364234087</v>
      </c>
    </row>
    <row r="508" spans="1:17" x14ac:dyDescent="0.25">
      <c r="A508" s="5" t="s">
        <v>565</v>
      </c>
      <c r="B508" s="6">
        <f t="shared" si="102"/>
        <v>4</v>
      </c>
      <c r="C508" s="70">
        <v>16.29063034</v>
      </c>
      <c r="D508" s="4">
        <v>0</v>
      </c>
      <c r="E508" s="12">
        <f t="shared" si="91"/>
        <v>0</v>
      </c>
      <c r="F508" s="12">
        <f t="shared" si="92"/>
        <v>0</v>
      </c>
      <c r="G508" s="16">
        <f t="shared" si="94"/>
        <v>6.1068053926400596</v>
      </c>
      <c r="H508" s="14">
        <f t="shared" si="95"/>
        <v>0</v>
      </c>
      <c r="I508" s="14">
        <f t="shared" si="96"/>
        <v>10.725218109572609</v>
      </c>
      <c r="J508" s="14">
        <f t="shared" si="97"/>
        <v>1.0790678205329318</v>
      </c>
      <c r="K508" s="14">
        <f t="shared" si="98"/>
        <v>2.9479880025860328</v>
      </c>
      <c r="L508" s="14">
        <f t="shared" si="99"/>
        <v>676.4855975289064</v>
      </c>
      <c r="M508" s="14">
        <f t="shared" si="93"/>
        <v>0.18154774491307776</v>
      </c>
      <c r="N508" s="14">
        <f t="shared" si="100"/>
        <v>4.6458572222548025</v>
      </c>
      <c r="O508" s="4">
        <v>4.59</v>
      </c>
      <c r="P508" s="14">
        <f t="shared" si="103"/>
        <v>3.1200292780224157E-3</v>
      </c>
      <c r="Q508" s="14">
        <f t="shared" si="101"/>
        <v>3.7777714128601891</v>
      </c>
    </row>
    <row r="509" spans="1:17" x14ac:dyDescent="0.25">
      <c r="A509" s="5" t="s">
        <v>566</v>
      </c>
      <c r="B509" s="6">
        <f t="shared" si="102"/>
        <v>4</v>
      </c>
      <c r="C509" s="70">
        <v>15.99012566</v>
      </c>
      <c r="D509" s="4">
        <v>0</v>
      </c>
      <c r="E509" s="12">
        <f t="shared" si="91"/>
        <v>0</v>
      </c>
      <c r="F509" s="12">
        <f t="shared" si="92"/>
        <v>0</v>
      </c>
      <c r="G509" s="16">
        <f t="shared" si="94"/>
        <v>5.2402177016173948</v>
      </c>
      <c r="H509" s="14">
        <f t="shared" si="95"/>
        <v>0</v>
      </c>
      <c r="I509" s="14">
        <f t="shared" si="96"/>
        <v>10.135271276297443</v>
      </c>
      <c r="J509" s="14">
        <f t="shared" si="97"/>
        <v>0.86658769102266453</v>
      </c>
      <c r="K509" s="14">
        <f t="shared" si="98"/>
        <v>2.7653891080803414</v>
      </c>
      <c r="L509" s="14">
        <f t="shared" si="99"/>
        <v>676.48664867849902</v>
      </c>
      <c r="M509" s="14">
        <f t="shared" si="93"/>
        <v>0.17441878833319993</v>
      </c>
      <c r="N509" s="14">
        <f t="shared" si="100"/>
        <v>4.463425243110013</v>
      </c>
      <c r="O509" s="4">
        <v>4.3</v>
      </c>
      <c r="P509" s="14">
        <f t="shared" si="103"/>
        <v>2.6707810085566906E-2</v>
      </c>
      <c r="Q509" s="14">
        <f t="shared" si="101"/>
        <v>4.9891878295268528</v>
      </c>
    </row>
    <row r="510" spans="1:17" x14ac:dyDescent="0.25">
      <c r="A510" s="5" t="s">
        <v>567</v>
      </c>
      <c r="B510" s="6">
        <f t="shared" si="102"/>
        <v>4</v>
      </c>
      <c r="C510" s="70">
        <v>14.863431930000001</v>
      </c>
      <c r="D510" s="4">
        <v>0</v>
      </c>
      <c r="E510" s="12">
        <f t="shared" si="91"/>
        <v>0</v>
      </c>
      <c r="F510" s="12">
        <f t="shared" si="92"/>
        <v>0</v>
      </c>
      <c r="G510" s="16">
        <f t="shared" si="94"/>
        <v>4.6588889137460221</v>
      </c>
      <c r="H510" s="14">
        <f t="shared" si="95"/>
        <v>0</v>
      </c>
      <c r="I510" s="14">
        <f t="shared" si="96"/>
        <v>7.9233609723231941</v>
      </c>
      <c r="J510" s="14">
        <f t="shared" si="97"/>
        <v>0.58132878787137288</v>
      </c>
      <c r="K510" s="14">
        <f t="shared" si="98"/>
        <v>2.598910672794069</v>
      </c>
      <c r="L510" s="14">
        <f t="shared" si="99"/>
        <v>676.47870832545209</v>
      </c>
      <c r="M510" s="14">
        <f t="shared" si="93"/>
        <v>0.16791730492797863</v>
      </c>
      <c r="N510" s="14">
        <f t="shared" si="100"/>
        <v>4.2970504768027871</v>
      </c>
      <c r="O510" s="4">
        <v>4.09</v>
      </c>
      <c r="P510" s="14">
        <f t="shared" si="103"/>
        <v>4.2869899944261526E-2</v>
      </c>
      <c r="Q510" s="14">
        <f t="shared" si="101"/>
        <v>5.9714204071130581</v>
      </c>
    </row>
    <row r="511" spans="1:17" x14ac:dyDescent="0.25">
      <c r="A511" s="5" t="s">
        <v>568</v>
      </c>
      <c r="B511" s="6">
        <f t="shared" si="102"/>
        <v>4</v>
      </c>
      <c r="C511" s="70">
        <v>15.395305629999999</v>
      </c>
      <c r="D511" s="4">
        <v>0</v>
      </c>
      <c r="E511" s="12">
        <f t="shared" si="91"/>
        <v>0</v>
      </c>
      <c r="F511" s="12">
        <f t="shared" si="92"/>
        <v>0</v>
      </c>
      <c r="G511" s="16">
        <f t="shared" si="94"/>
        <v>4.0739396814359639</v>
      </c>
      <c r="H511" s="14">
        <f t="shared" si="95"/>
        <v>0</v>
      </c>
      <c r="I511" s="14">
        <f t="shared" si="96"/>
        <v>8.9675284209544266</v>
      </c>
      <c r="J511" s="14">
        <f t="shared" si="97"/>
        <v>0.58494923231005824</v>
      </c>
      <c r="K511" s="14">
        <f t="shared" si="98"/>
        <v>2.4471295270735958</v>
      </c>
      <c r="L511" s="14">
        <f t="shared" si="99"/>
        <v>676.46257216624463</v>
      </c>
      <c r="M511" s="14">
        <f t="shared" si="93"/>
        <v>0.16198789960856411</v>
      </c>
      <c r="N511" s="14">
        <f t="shared" si="100"/>
        <v>4.1453153476219358</v>
      </c>
      <c r="O511" s="4">
        <v>3.87</v>
      </c>
      <c r="P511" s="14">
        <f t="shared" si="103"/>
        <v>7.5798540636187267E-2</v>
      </c>
      <c r="Q511" s="14">
        <f t="shared" si="101"/>
        <v>7.0950259645843188</v>
      </c>
    </row>
    <row r="512" spans="1:17" x14ac:dyDescent="0.25">
      <c r="A512" s="5" t="s">
        <v>569</v>
      </c>
      <c r="B512" s="6">
        <f t="shared" si="102"/>
        <v>4</v>
      </c>
      <c r="C512" s="70">
        <v>15.384902</v>
      </c>
      <c r="D512" s="4">
        <v>0</v>
      </c>
      <c r="E512" s="12">
        <f t="shared" si="91"/>
        <v>0</v>
      </c>
      <c r="F512" s="12">
        <f t="shared" si="92"/>
        <v>0</v>
      </c>
      <c r="G512" s="16">
        <f t="shared" si="94"/>
        <v>3.5635990510168805</v>
      </c>
      <c r="H512" s="14">
        <f t="shared" si="95"/>
        <v>0</v>
      </c>
      <c r="I512" s="14">
        <f t="shared" si="96"/>
        <v>8.9471041514453269</v>
      </c>
      <c r="J512" s="14">
        <f t="shared" si="97"/>
        <v>0.51034063041908351</v>
      </c>
      <c r="K512" s="14">
        <f t="shared" si="98"/>
        <v>2.3087481435832671</v>
      </c>
      <c r="L512" s="14">
        <f t="shared" si="99"/>
        <v>676.43896565012642</v>
      </c>
      <c r="M512" s="14">
        <f t="shared" si="93"/>
        <v>0.15658006775522731</v>
      </c>
      <c r="N512" s="14">
        <f t="shared" si="100"/>
        <v>4.006927428319532</v>
      </c>
      <c r="O512" s="4">
        <v>3.44</v>
      </c>
      <c r="P512" s="14">
        <f t="shared" si="103"/>
        <v>0.3214067089809981</v>
      </c>
      <c r="Q512" s="14">
        <f t="shared" si="101"/>
        <v>9.5706640996417871</v>
      </c>
    </row>
    <row r="513" spans="1:17" x14ac:dyDescent="0.25">
      <c r="A513" s="5" t="s">
        <v>570</v>
      </c>
      <c r="B513" s="6">
        <f t="shared" si="102"/>
        <v>4</v>
      </c>
      <c r="C513" s="70">
        <v>16.467210770000001</v>
      </c>
      <c r="D513" s="4">
        <v>0</v>
      </c>
      <c r="E513" s="12">
        <f t="shared" si="91"/>
        <v>0</v>
      </c>
      <c r="F513" s="12">
        <f t="shared" si="92"/>
        <v>0</v>
      </c>
      <c r="G513" s="16">
        <f t="shared" si="94"/>
        <v>3.011174204546323</v>
      </c>
      <c r="H513" s="14">
        <f t="shared" si="95"/>
        <v>0</v>
      </c>
      <c r="I513" s="14">
        <f t="shared" si="96"/>
        <v>11.071878486032862</v>
      </c>
      <c r="J513" s="14">
        <f t="shared" si="97"/>
        <v>0.55242484647055745</v>
      </c>
      <c r="K513" s="14">
        <f t="shared" si="98"/>
        <v>2.1825835451688911</v>
      </c>
      <c r="L513" s="14">
        <f t="shared" si="99"/>
        <v>676.4085501807856</v>
      </c>
      <c r="M513" s="14">
        <f t="shared" si="93"/>
        <v>0.15164776346990469</v>
      </c>
      <c r="N513" s="14">
        <f t="shared" si="100"/>
        <v>3.8807083915736023</v>
      </c>
      <c r="O513" s="4">
        <v>3.25</v>
      </c>
      <c r="P513" s="14">
        <f t="shared" si="103"/>
        <v>0.39779307520136037</v>
      </c>
      <c r="Q513" s="14">
        <f t="shared" si="101"/>
        <v>10.782350717457877</v>
      </c>
    </row>
    <row r="514" spans="1:17" x14ac:dyDescent="0.25">
      <c r="A514" s="5" t="s">
        <v>571</v>
      </c>
      <c r="B514" s="6">
        <f t="shared" si="102"/>
        <v>5</v>
      </c>
      <c r="C514" s="70">
        <v>16.022911069999999</v>
      </c>
      <c r="D514" s="4">
        <v>3.7</v>
      </c>
      <c r="E514" s="12">
        <f t="shared" si="91"/>
        <v>0</v>
      </c>
      <c r="F514" s="12">
        <f t="shared" si="92"/>
        <v>3.7</v>
      </c>
      <c r="G514" s="16">
        <f t="shared" si="94"/>
        <v>6.0436073199893769</v>
      </c>
      <c r="H514" s="14">
        <f t="shared" si="95"/>
        <v>0.2679874313320128</v>
      </c>
      <c r="I514" s="14">
        <f t="shared" si="96"/>
        <v>9.4777272983712031</v>
      </c>
      <c r="J514" s="14">
        <f t="shared" si="97"/>
        <v>0.39957945322493305</v>
      </c>
      <c r="K514" s="14">
        <f t="shared" si="98"/>
        <v>2.3355446233052568</v>
      </c>
      <c r="L514" s="14">
        <f t="shared" si="99"/>
        <v>676.37192877051132</v>
      </c>
      <c r="M514" s="14">
        <f t="shared" si="93"/>
        <v>0.15761199793420119</v>
      </c>
      <c r="N514" s="14">
        <f t="shared" si="100"/>
        <v>4.033334808246746</v>
      </c>
      <c r="O514" s="4">
        <v>3.25</v>
      </c>
      <c r="P514" s="14">
        <f t="shared" si="103"/>
        <v>0.61361342181096623</v>
      </c>
      <c r="Q514" s="14">
        <f t="shared" si="101"/>
        <v>10.782350717457877</v>
      </c>
    </row>
    <row r="515" spans="1:17" x14ac:dyDescent="0.25">
      <c r="A515" s="5" t="s">
        <v>572</v>
      </c>
      <c r="B515" s="6">
        <f t="shared" si="102"/>
        <v>5</v>
      </c>
      <c r="C515" s="70">
        <v>17.139888760000002</v>
      </c>
      <c r="D515" s="4">
        <v>0</v>
      </c>
      <c r="E515" s="12">
        <f t="shared" si="91"/>
        <v>0</v>
      </c>
      <c r="F515" s="12">
        <f t="shared" si="92"/>
        <v>0</v>
      </c>
      <c r="G515" s="16">
        <f t="shared" si="94"/>
        <v>5.0614893087814412</v>
      </c>
      <c r="H515" s="14">
        <f t="shared" si="95"/>
        <v>0</v>
      </c>
      <c r="I515" s="14">
        <f t="shared" si="96"/>
        <v>11.606582931465418</v>
      </c>
      <c r="J515" s="14">
        <f t="shared" si="97"/>
        <v>0.98211801120793529</v>
      </c>
      <c r="K515" s="14">
        <f t="shared" si="98"/>
        <v>2.2070143393824786</v>
      </c>
      <c r="L515" s="14">
        <f t="shared" si="99"/>
        <v>676.34284705649986</v>
      </c>
      <c r="M515" s="14">
        <f t="shared" si="93"/>
        <v>0.1525876146796748</v>
      </c>
      <c r="N515" s="14">
        <f t="shared" si="100"/>
        <v>3.9047594451014001</v>
      </c>
      <c r="O515" s="4">
        <v>3.42</v>
      </c>
      <c r="P515" s="14">
        <f t="shared" si="103"/>
        <v>0.23499171961501736</v>
      </c>
      <c r="Q515" s="14">
        <f t="shared" si="101"/>
        <v>9.6948100594119015</v>
      </c>
    </row>
    <row r="516" spans="1:17" x14ac:dyDescent="0.25">
      <c r="A516" s="5" t="s">
        <v>573</v>
      </c>
      <c r="B516" s="6">
        <f t="shared" si="102"/>
        <v>5</v>
      </c>
      <c r="C516" s="70">
        <v>16.66994858</v>
      </c>
      <c r="D516" s="4">
        <v>0.7</v>
      </c>
      <c r="E516" s="12">
        <f t="shared" si="91"/>
        <v>0</v>
      </c>
      <c r="F516" s="12">
        <f t="shared" si="92"/>
        <v>0.7</v>
      </c>
      <c r="G516" s="16">
        <f t="shared" si="94"/>
        <v>4.9355722906188788</v>
      </c>
      <c r="H516" s="14">
        <f t="shared" si="95"/>
        <v>6.6870865056360709E-2</v>
      </c>
      <c r="I516" s="14">
        <f t="shared" si="96"/>
        <v>10.710920638147535</v>
      </c>
      <c r="J516" s="14">
        <f t="shared" si="97"/>
        <v>0.75904615310620194</v>
      </c>
      <c r="K516" s="14">
        <f t="shared" si="98"/>
        <v>2.1567020165981399</v>
      </c>
      <c r="L516" s="14">
        <f t="shared" si="99"/>
        <v>676.30744262966084</v>
      </c>
      <c r="M516" s="14">
        <f t="shared" si="93"/>
        <v>0.15061573632276087</v>
      </c>
      <c r="N516" s="14">
        <f t="shared" si="100"/>
        <v>3.8542985302039847</v>
      </c>
      <c r="O516" s="4">
        <v>3.34</v>
      </c>
      <c r="P516" s="14">
        <f t="shared" si="103"/>
        <v>0.26450297816997914</v>
      </c>
      <c r="Q516" s="14">
        <f t="shared" si="101"/>
        <v>10.199393898492362</v>
      </c>
    </row>
    <row r="517" spans="1:17" x14ac:dyDescent="0.25">
      <c r="A517" s="5" t="s">
        <v>574</v>
      </c>
      <c r="B517" s="6">
        <f t="shared" si="102"/>
        <v>5</v>
      </c>
      <c r="C517" s="70">
        <v>16.797386169999999</v>
      </c>
      <c r="D517" s="4">
        <v>0</v>
      </c>
      <c r="E517" s="12">
        <f t="shared" si="91"/>
        <v>0</v>
      </c>
      <c r="F517" s="12">
        <f t="shared" si="92"/>
        <v>0</v>
      </c>
      <c r="G517" s="16">
        <f t="shared" si="94"/>
        <v>4.1786251121103462</v>
      </c>
      <c r="H517" s="14">
        <f t="shared" si="95"/>
        <v>0</v>
      </c>
      <c r="I517" s="14">
        <f t="shared" si="96"/>
        <v>10.953804836971102</v>
      </c>
      <c r="J517" s="14">
        <f t="shared" si="97"/>
        <v>0.75694717850853255</v>
      </c>
      <c r="K517" s="14">
        <f t="shared" si="98"/>
        <v>2.0439605738724627</v>
      </c>
      <c r="L517" s="14">
        <f t="shared" si="99"/>
        <v>676.26956833606368</v>
      </c>
      <c r="M517" s="14">
        <f t="shared" si="93"/>
        <v>0.14620592130747789</v>
      </c>
      <c r="N517" s="14">
        <f t="shared" si="100"/>
        <v>3.7414501390142783</v>
      </c>
      <c r="O517" s="4">
        <v>3.32</v>
      </c>
      <c r="P517" s="14">
        <f t="shared" si="103"/>
        <v>0.17762021967515459</v>
      </c>
      <c r="Q517" s="14">
        <f t="shared" si="101"/>
        <v>10.327539858262476</v>
      </c>
    </row>
    <row r="518" spans="1:17" x14ac:dyDescent="0.25">
      <c r="A518" s="5" t="s">
        <v>575</v>
      </c>
      <c r="B518" s="6">
        <f t="shared" si="102"/>
        <v>5</v>
      </c>
      <c r="C518" s="70">
        <v>14.87045097</v>
      </c>
      <c r="D518" s="4">
        <v>0</v>
      </c>
      <c r="E518" s="12">
        <f t="shared" si="91"/>
        <v>0</v>
      </c>
      <c r="F518" s="12">
        <f t="shared" si="92"/>
        <v>0</v>
      </c>
      <c r="G518" s="16">
        <f t="shared" si="94"/>
        <v>3.7526324268002687</v>
      </c>
      <c r="H518" s="14">
        <f t="shared" si="95"/>
        <v>0</v>
      </c>
      <c r="I518" s="14">
        <f t="shared" si="96"/>
        <v>7.2812454905731334</v>
      </c>
      <c r="J518" s="14">
        <f t="shared" si="97"/>
        <v>0.42599268531007739</v>
      </c>
      <c r="K518" s="14">
        <f t="shared" si="98"/>
        <v>1.9411723339562419</v>
      </c>
      <c r="L518" s="14">
        <f t="shared" si="99"/>
        <v>676.22615065467244</v>
      </c>
      <c r="M518" s="14">
        <f t="shared" si="93"/>
        <v>0.14446779439921195</v>
      </c>
      <c r="N518" s="14">
        <f t="shared" si="100"/>
        <v>3.6969709886187223</v>
      </c>
      <c r="O518" s="4">
        <v>3.21</v>
      </c>
      <c r="P518" s="14">
        <f t="shared" si="103"/>
        <v>0.23714074375629582</v>
      </c>
      <c r="Q518" s="14">
        <f t="shared" si="101"/>
        <v>11.046642636998106</v>
      </c>
    </row>
    <row r="519" spans="1:17" x14ac:dyDescent="0.25">
      <c r="A519" s="5" t="s">
        <v>576</v>
      </c>
      <c r="B519" s="6">
        <f t="shared" si="102"/>
        <v>5</v>
      </c>
      <c r="C519" s="70">
        <v>15.777168270000001</v>
      </c>
      <c r="D519" s="4">
        <v>0</v>
      </c>
      <c r="E519" s="12">
        <f t="shared" si="91"/>
        <v>0</v>
      </c>
      <c r="F519" s="12">
        <f t="shared" si="92"/>
        <v>0</v>
      </c>
      <c r="G519" s="16">
        <f t="shared" si="94"/>
        <v>3.279270595026714</v>
      </c>
      <c r="H519" s="14">
        <f t="shared" si="95"/>
        <v>0</v>
      </c>
      <c r="I519" s="14">
        <f t="shared" si="96"/>
        <v>9.0093643679779039</v>
      </c>
      <c r="J519" s="14">
        <f t="shared" si="97"/>
        <v>0.47336183177355451</v>
      </c>
      <c r="K519" s="14">
        <f t="shared" si="98"/>
        <v>1.8451743261964579</v>
      </c>
      <c r="L519" s="14">
        <f t="shared" si="99"/>
        <v>676.17768086803301</v>
      </c>
      <c r="M519" s="14">
        <f t="shared" si="93"/>
        <v>0.14443701889158855</v>
      </c>
      <c r="N519" s="14">
        <f t="shared" si="100"/>
        <v>3.6961834348298881</v>
      </c>
      <c r="O519" s="4">
        <v>3.93</v>
      </c>
      <c r="P519" s="14">
        <f t="shared" si="103"/>
        <v>5.4670186147949267E-2</v>
      </c>
      <c r="Q519" s="14">
        <f t="shared" si="101"/>
        <v>6.7789880852739746</v>
      </c>
    </row>
    <row r="520" spans="1:17" x14ac:dyDescent="0.25">
      <c r="A520" s="5" t="s">
        <v>577</v>
      </c>
      <c r="B520" s="6">
        <f t="shared" si="102"/>
        <v>5</v>
      </c>
      <c r="C520" s="70">
        <v>17.583909989999999</v>
      </c>
      <c r="D520" s="4">
        <v>0</v>
      </c>
      <c r="E520" s="12">
        <f t="shared" si="91"/>
        <v>0</v>
      </c>
      <c r="F520" s="12">
        <f t="shared" si="92"/>
        <v>0</v>
      </c>
      <c r="G520" s="16">
        <f t="shared" si="94"/>
        <v>2.7075169599333377</v>
      </c>
      <c r="H520" s="14">
        <f t="shared" si="95"/>
        <v>0</v>
      </c>
      <c r="I520" s="14">
        <f t="shared" si="96"/>
        <v>12.45284611573628</v>
      </c>
      <c r="J520" s="14">
        <f t="shared" si="97"/>
        <v>0.57175363509337629</v>
      </c>
      <c r="K520" s="14">
        <f t="shared" si="98"/>
        <v>1.753923767868464</v>
      </c>
      <c r="L520" s="14">
        <f t="shared" si="99"/>
        <v>676.12449440746946</v>
      </c>
      <c r="M520" s="14">
        <f t="shared" si="93"/>
        <v>0.14440624993997217</v>
      </c>
      <c r="N520" s="14">
        <f t="shared" si="100"/>
        <v>3.695396048811094</v>
      </c>
      <c r="O520" s="4">
        <v>4.0599999999999996</v>
      </c>
      <c r="P520" s="14">
        <f t="shared" si="103"/>
        <v>0.13293604122256189</v>
      </c>
      <c r="Q520" s="14">
        <f t="shared" si="101"/>
        <v>6.1189393467682311</v>
      </c>
    </row>
    <row r="521" spans="1:17" x14ac:dyDescent="0.25">
      <c r="A521" s="5" t="s">
        <v>578</v>
      </c>
      <c r="B521" s="6">
        <f t="shared" si="102"/>
        <v>5</v>
      </c>
      <c r="C521" s="70">
        <v>16.658761980000001</v>
      </c>
      <c r="D521" s="4">
        <v>0</v>
      </c>
      <c r="E521" s="12">
        <f t="shared" si="91"/>
        <v>0</v>
      </c>
      <c r="F521" s="12">
        <f t="shared" si="92"/>
        <v>0</v>
      </c>
      <c r="G521" s="16">
        <f t="shared" si="94"/>
        <v>2.3022924560837623</v>
      </c>
      <c r="H521" s="14">
        <f t="shared" si="95"/>
        <v>0</v>
      </c>
      <c r="I521" s="14">
        <f t="shared" si="96"/>
        <v>10.689600018552019</v>
      </c>
      <c r="J521" s="14">
        <f t="shared" si="97"/>
        <v>0.40522450384957542</v>
      </c>
      <c r="K521" s="14">
        <f t="shared" si="98"/>
        <v>1.6671858803905653</v>
      </c>
      <c r="L521" s="14">
        <f t="shared" si="99"/>
        <v>676.06682604500736</v>
      </c>
      <c r="M521" s="14">
        <f t="shared" si="93"/>
        <v>0.14437548754296614</v>
      </c>
      <c r="N521" s="14">
        <f t="shared" si="100"/>
        <v>3.6946088305265987</v>
      </c>
      <c r="O521" s="4">
        <v>3.87</v>
      </c>
      <c r="P521" s="14">
        <f t="shared" si="103"/>
        <v>3.0762062329247407E-2</v>
      </c>
      <c r="Q521" s="14">
        <f t="shared" si="101"/>
        <v>7.0950259645843188</v>
      </c>
    </row>
    <row r="522" spans="1:17" x14ac:dyDescent="0.25">
      <c r="A522" s="5" t="s">
        <v>579</v>
      </c>
      <c r="B522" s="6">
        <f t="shared" si="102"/>
        <v>5</v>
      </c>
      <c r="C522" s="70">
        <v>15.965497969999999</v>
      </c>
      <c r="D522" s="4">
        <v>0</v>
      </c>
      <c r="E522" s="12">
        <f t="shared" si="91"/>
        <v>0</v>
      </c>
      <c r="F522" s="12">
        <f t="shared" si="92"/>
        <v>0</v>
      </c>
      <c r="G522" s="16">
        <f t="shared" si="94"/>
        <v>2.0003080691324917</v>
      </c>
      <c r="H522" s="14">
        <f t="shared" si="95"/>
        <v>0</v>
      </c>
      <c r="I522" s="14">
        <f t="shared" si="96"/>
        <v>9.3683032673966906</v>
      </c>
      <c r="J522" s="14">
        <f t="shared" si="97"/>
        <v>0.30198438695127072</v>
      </c>
      <c r="K522" s="14">
        <f t="shared" si="98"/>
        <v>1.5847374958328941</v>
      </c>
      <c r="L522" s="14">
        <f t="shared" si="99"/>
        <v>676.00489894202201</v>
      </c>
      <c r="M522" s="14">
        <f t="shared" si="93"/>
        <v>0.14434473169917417</v>
      </c>
      <c r="N522" s="14">
        <f t="shared" si="100"/>
        <v>3.6938217799406723</v>
      </c>
      <c r="O522" s="4">
        <v>3.8</v>
      </c>
      <c r="P522" s="14">
        <f t="shared" si="103"/>
        <v>1.1273814414966984E-2</v>
      </c>
      <c r="Q522" s="14">
        <f t="shared" si="101"/>
        <v>7.4728368237797218</v>
      </c>
    </row>
    <row r="523" spans="1:17" x14ac:dyDescent="0.25">
      <c r="A523" s="5" t="s">
        <v>580</v>
      </c>
      <c r="B523" s="6">
        <f t="shared" si="102"/>
        <v>5</v>
      </c>
      <c r="C523" s="70">
        <v>15.88106537</v>
      </c>
      <c r="D523" s="4">
        <v>0</v>
      </c>
      <c r="E523" s="12">
        <f t="shared" si="91"/>
        <v>0</v>
      </c>
      <c r="F523" s="12">
        <f t="shared" si="92"/>
        <v>0</v>
      </c>
      <c r="G523" s="16">
        <f t="shared" si="94"/>
        <v>1.7424408514781613</v>
      </c>
      <c r="H523" s="14">
        <f t="shared" si="95"/>
        <v>0</v>
      </c>
      <c r="I523" s="14">
        <f t="shared" si="96"/>
        <v>9.2073825813919505</v>
      </c>
      <c r="J523" s="14">
        <f t="shared" si="97"/>
        <v>0.25786721765433046</v>
      </c>
      <c r="K523" s="14">
        <f t="shared" si="98"/>
        <v>1.5063664827285952</v>
      </c>
      <c r="L523" s="14">
        <f t="shared" si="99"/>
        <v>675.93892522342708</v>
      </c>
      <c r="M523" s="14">
        <f t="shared" si="93"/>
        <v>0.14431398240720028</v>
      </c>
      <c r="N523" s="14">
        <f t="shared" si="100"/>
        <v>3.6930348970175899</v>
      </c>
      <c r="O523" s="4">
        <v>3.71</v>
      </c>
      <c r="P523" s="14">
        <f t="shared" si="103"/>
        <v>2.8781471920377846E-4</v>
      </c>
      <c r="Q523" s="14">
        <f t="shared" si="101"/>
        <v>7.9729936427452381</v>
      </c>
    </row>
    <row r="524" spans="1:17" x14ac:dyDescent="0.25">
      <c r="A524" s="5" t="s">
        <v>581</v>
      </c>
      <c r="B524" s="6">
        <f t="shared" si="102"/>
        <v>5</v>
      </c>
      <c r="C524" s="70">
        <v>16.938734050000001</v>
      </c>
      <c r="D524" s="4">
        <v>0</v>
      </c>
      <c r="E524" s="12">
        <f t="shared" si="91"/>
        <v>0</v>
      </c>
      <c r="F524" s="12">
        <f t="shared" si="92"/>
        <v>0</v>
      </c>
      <c r="G524" s="16">
        <f t="shared" si="94"/>
        <v>1.4686380834908375</v>
      </c>
      <c r="H524" s="14">
        <f t="shared" si="95"/>
        <v>0</v>
      </c>
      <c r="I524" s="14">
        <f t="shared" si="96"/>
        <v>11.223200755312075</v>
      </c>
      <c r="J524" s="14">
        <f t="shared" si="97"/>
        <v>0.27380276798732384</v>
      </c>
      <c r="K524" s="14">
        <f t="shared" si="98"/>
        <v>1.4318712002807266</v>
      </c>
      <c r="L524" s="14">
        <f t="shared" si="99"/>
        <v>675.86910652346774</v>
      </c>
      <c r="M524" s="14">
        <f t="shared" si="93"/>
        <v>0.14428323966564874</v>
      </c>
      <c r="N524" s="14">
        <f t="shared" si="100"/>
        <v>3.6922481817216357</v>
      </c>
      <c r="O524" s="4">
        <v>3.66</v>
      </c>
      <c r="P524" s="14">
        <f t="shared" si="103"/>
        <v>1.0399452243516306E-3</v>
      </c>
      <c r="Q524" s="14">
        <f t="shared" si="101"/>
        <v>8.2578585421705242</v>
      </c>
    </row>
    <row r="525" spans="1:17" x14ac:dyDescent="0.25">
      <c r="A525" s="5" t="s">
        <v>582</v>
      </c>
      <c r="B525" s="6">
        <f t="shared" si="102"/>
        <v>5</v>
      </c>
      <c r="C525" s="70">
        <v>15.26804733</v>
      </c>
      <c r="D525" s="4">
        <v>0</v>
      </c>
      <c r="E525" s="12">
        <f t="shared" si="91"/>
        <v>0</v>
      </c>
      <c r="F525" s="12">
        <f t="shared" si="92"/>
        <v>0</v>
      </c>
      <c r="G525" s="16">
        <f t="shared" si="94"/>
        <v>1.3033348527857553</v>
      </c>
      <c r="H525" s="14">
        <f t="shared" si="95"/>
        <v>0</v>
      </c>
      <c r="I525" s="14">
        <f t="shared" si="96"/>
        <v>8.0390271886872231</v>
      </c>
      <c r="J525" s="14">
        <f t="shared" si="97"/>
        <v>0.16530323070508204</v>
      </c>
      <c r="K525" s="14">
        <f t="shared" si="98"/>
        <v>1.3610599795606093</v>
      </c>
      <c r="L525" s="14">
        <f t="shared" si="99"/>
        <v>675.79563450452224</v>
      </c>
      <c r="M525" s="14">
        <f t="shared" si="93"/>
        <v>0.14425250347312413</v>
      </c>
      <c r="N525" s="14">
        <f t="shared" si="100"/>
        <v>3.6914616340170996</v>
      </c>
      <c r="O525" s="4">
        <v>3.26</v>
      </c>
      <c r="P525" s="14">
        <f t="shared" si="103"/>
        <v>0.18615914162870578</v>
      </c>
      <c r="Q525" s="14">
        <f t="shared" si="101"/>
        <v>10.716777737572821</v>
      </c>
    </row>
    <row r="526" spans="1:17" x14ac:dyDescent="0.25">
      <c r="A526" s="5" t="s">
        <v>583</v>
      </c>
      <c r="B526" s="6">
        <f t="shared" si="102"/>
        <v>5</v>
      </c>
      <c r="C526" s="70">
        <v>16.726018910000001</v>
      </c>
      <c r="D526" s="4">
        <v>0</v>
      </c>
      <c r="E526" s="12">
        <f t="shared" si="91"/>
        <v>0</v>
      </c>
      <c r="F526" s="12">
        <f t="shared" si="92"/>
        <v>0</v>
      </c>
      <c r="G526" s="16">
        <f t="shared" si="94"/>
        <v>1.1059301784709863</v>
      </c>
      <c r="H526" s="14">
        <f t="shared" si="95"/>
        <v>0</v>
      </c>
      <c r="I526" s="14">
        <f t="shared" si="96"/>
        <v>10.817785474337731</v>
      </c>
      <c r="J526" s="14">
        <f t="shared" si="97"/>
        <v>0.19740467431476896</v>
      </c>
      <c r="K526" s="14">
        <f t="shared" si="98"/>
        <v>1.2937506303627979</v>
      </c>
      <c r="L526" s="14">
        <f t="shared" si="99"/>
        <v>675.7186913502469</v>
      </c>
      <c r="M526" s="14">
        <f t="shared" si="93"/>
        <v>0.14422177382823134</v>
      </c>
      <c r="N526" s="14">
        <f t="shared" si="100"/>
        <v>3.6906752538682817</v>
      </c>
      <c r="O526" s="4">
        <v>3.04</v>
      </c>
      <c r="P526" s="14">
        <f t="shared" si="103"/>
        <v>0.42337828599655275</v>
      </c>
      <c r="Q526" s="14">
        <f t="shared" si="101"/>
        <v>12.205583295044082</v>
      </c>
    </row>
    <row r="527" spans="1:17" x14ac:dyDescent="0.25">
      <c r="A527" s="5" t="s">
        <v>584</v>
      </c>
      <c r="B527" s="6">
        <f t="shared" si="102"/>
        <v>5</v>
      </c>
      <c r="C527" s="70">
        <v>17.017114639999999</v>
      </c>
      <c r="D527" s="4">
        <v>0</v>
      </c>
      <c r="E527" s="12">
        <f t="shared" si="91"/>
        <v>0</v>
      </c>
      <c r="F527" s="12">
        <f t="shared" si="92"/>
        <v>0</v>
      </c>
      <c r="G527" s="16">
        <f t="shared" si="94"/>
        <v>0.92983395977592154</v>
      </c>
      <c r="H527" s="14">
        <f t="shared" si="95"/>
        <v>0</v>
      </c>
      <c r="I527" s="14">
        <f t="shared" si="96"/>
        <v>11.372586872904757</v>
      </c>
      <c r="J527" s="14">
        <f t="shared" si="97"/>
        <v>0.17609621869506478</v>
      </c>
      <c r="K527" s="14">
        <f t="shared" si="98"/>
        <v>1.2297699724478612</v>
      </c>
      <c r="L527" s="14">
        <f t="shared" si="99"/>
        <v>675.6384502343335</v>
      </c>
      <c r="M527" s="14">
        <f t="shared" si="93"/>
        <v>0.14419105072957555</v>
      </c>
      <c r="N527" s="14">
        <f t="shared" si="100"/>
        <v>3.689889041239486</v>
      </c>
      <c r="O527" s="4">
        <v>2.97</v>
      </c>
      <c r="P527" s="14">
        <f t="shared" si="103"/>
        <v>0.51824023169670608</v>
      </c>
      <c r="Q527" s="14">
        <f t="shared" si="101"/>
        <v>12.699594154239483</v>
      </c>
    </row>
    <row r="528" spans="1:17" x14ac:dyDescent="0.25">
      <c r="A528" s="5" t="s">
        <v>585</v>
      </c>
      <c r="B528" s="6">
        <f t="shared" si="102"/>
        <v>5</v>
      </c>
      <c r="C528" s="70">
        <v>16.661548610000001</v>
      </c>
      <c r="D528" s="4">
        <v>0</v>
      </c>
      <c r="E528" s="12">
        <f t="shared" si="91"/>
        <v>0</v>
      </c>
      <c r="F528" s="12">
        <f t="shared" si="92"/>
        <v>0</v>
      </c>
      <c r="G528" s="16">
        <f t="shared" si="94"/>
        <v>0.79059985081884621</v>
      </c>
      <c r="H528" s="14">
        <f t="shared" si="95"/>
        <v>0</v>
      </c>
      <c r="I528" s="14">
        <f t="shared" si="96"/>
        <v>10.694911076262445</v>
      </c>
      <c r="J528" s="14">
        <f t="shared" si="97"/>
        <v>0.13923410895707536</v>
      </c>
      <c r="K528" s="14">
        <f t="shared" si="98"/>
        <v>1.1689533899669053</v>
      </c>
      <c r="L528" s="14">
        <f t="shared" si="99"/>
        <v>675.55507576608488</v>
      </c>
      <c r="M528" s="14">
        <f t="shared" si="93"/>
        <v>0.14416033417576227</v>
      </c>
      <c r="N528" s="14">
        <f t="shared" si="100"/>
        <v>3.6891029960950275</v>
      </c>
      <c r="O528" s="4">
        <v>2.89</v>
      </c>
      <c r="P528" s="14">
        <f t="shared" si="103"/>
        <v>0.63856559836804927</v>
      </c>
      <c r="Q528" s="14">
        <f t="shared" si="101"/>
        <v>13.276177993319942</v>
      </c>
    </row>
    <row r="529" spans="1:17" x14ac:dyDescent="0.25">
      <c r="A529" s="5" t="s">
        <v>586</v>
      </c>
      <c r="B529" s="6">
        <f t="shared" si="102"/>
        <v>5</v>
      </c>
      <c r="C529" s="70">
        <v>17.035997389999999</v>
      </c>
      <c r="D529" s="4">
        <v>0</v>
      </c>
      <c r="E529" s="12">
        <f t="shared" si="91"/>
        <v>0</v>
      </c>
      <c r="F529" s="12">
        <f t="shared" si="92"/>
        <v>0</v>
      </c>
      <c r="G529" s="16">
        <f t="shared" si="94"/>
        <v>0.66431501252434022</v>
      </c>
      <c r="H529" s="14">
        <f t="shared" si="95"/>
        <v>0</v>
      </c>
      <c r="I529" s="14">
        <f t="shared" si="96"/>
        <v>11.408575638898652</v>
      </c>
      <c r="J529" s="14">
        <f t="shared" si="97"/>
        <v>0.12628483829450601</v>
      </c>
      <c r="K529" s="14">
        <f t="shared" si="98"/>
        <v>1.1111444079214201</v>
      </c>
      <c r="L529" s="14">
        <f t="shared" si="99"/>
        <v>675.46872441395465</v>
      </c>
      <c r="M529" s="14">
        <f t="shared" si="93"/>
        <v>0.14412962416539721</v>
      </c>
      <c r="N529" s="14">
        <f t="shared" si="100"/>
        <v>3.6883171183992274</v>
      </c>
      <c r="O529" s="4">
        <v>3</v>
      </c>
      <c r="P529" s="14">
        <f t="shared" si="103"/>
        <v>0.47378045548141601</v>
      </c>
      <c r="Q529" s="14">
        <f t="shared" si="101"/>
        <v>12.486675214584311</v>
      </c>
    </row>
    <row r="530" spans="1:17" x14ac:dyDescent="0.25">
      <c r="A530" s="5" t="s">
        <v>587</v>
      </c>
      <c r="B530" s="6">
        <f t="shared" si="102"/>
        <v>5</v>
      </c>
      <c r="C530" s="70">
        <v>15.92040443</v>
      </c>
      <c r="D530" s="4">
        <v>0</v>
      </c>
      <c r="E530" s="12">
        <f t="shared" si="91"/>
        <v>0</v>
      </c>
      <c r="F530" s="12">
        <f t="shared" si="92"/>
        <v>0</v>
      </c>
      <c r="G530" s="16">
        <f t="shared" si="94"/>
        <v>0.57797830269445316</v>
      </c>
      <c r="H530" s="14">
        <f t="shared" si="95"/>
        <v>0</v>
      </c>
      <c r="I530" s="14">
        <f t="shared" si="96"/>
        <v>9.2823591724477943</v>
      </c>
      <c r="J530" s="14">
        <f t="shared" si="97"/>
        <v>8.6336709829887004E-2</v>
      </c>
      <c r="K530" s="14">
        <f t="shared" si="98"/>
        <v>1.0561942895687206</v>
      </c>
      <c r="L530" s="14">
        <f t="shared" si="99"/>
        <v>675.37954490814195</v>
      </c>
      <c r="M530" s="14">
        <f t="shared" si="93"/>
        <v>0.14409892069708646</v>
      </c>
      <c r="N530" s="14">
        <f t="shared" si="100"/>
        <v>3.6875314081164139</v>
      </c>
      <c r="O530" s="4">
        <v>2.96</v>
      </c>
      <c r="P530" s="14">
        <f t="shared" si="103"/>
        <v>0.52930194979585199</v>
      </c>
      <c r="Q530" s="14">
        <f t="shared" si="101"/>
        <v>12.770967134124541</v>
      </c>
    </row>
    <row r="531" spans="1:17" x14ac:dyDescent="0.25">
      <c r="A531" s="5" t="s">
        <v>588</v>
      </c>
      <c r="B531" s="6">
        <f t="shared" si="102"/>
        <v>5</v>
      </c>
      <c r="C531" s="70">
        <v>17.20967293</v>
      </c>
      <c r="D531" s="4">
        <v>0</v>
      </c>
      <c r="E531" s="12">
        <f t="shared" si="91"/>
        <v>0</v>
      </c>
      <c r="F531" s="12">
        <f t="shared" si="92"/>
        <v>0</v>
      </c>
      <c r="G531" s="16">
        <f t="shared" si="94"/>
        <v>0.48297748553828002</v>
      </c>
      <c r="H531" s="14">
        <f t="shared" si="95"/>
        <v>0</v>
      </c>
      <c r="I531" s="14">
        <f t="shared" si="96"/>
        <v>11.739585071736723</v>
      </c>
      <c r="J531" s="14">
        <f t="shared" si="97"/>
        <v>9.5000817156173131E-2</v>
      </c>
      <c r="K531" s="14">
        <f t="shared" si="98"/>
        <v>1.0039616537371494</v>
      </c>
      <c r="L531" s="14">
        <f t="shared" si="99"/>
        <v>675.28767862327641</v>
      </c>
      <c r="M531" s="14">
        <f t="shared" si="93"/>
        <v>0.1440682237694364</v>
      </c>
      <c r="N531" s="14">
        <f t="shared" si="100"/>
        <v>3.6867458652109244</v>
      </c>
      <c r="O531" s="4">
        <v>2.85</v>
      </c>
      <c r="P531" s="14">
        <f t="shared" si="103"/>
        <v>0.70014364294757836</v>
      </c>
      <c r="Q531" s="14">
        <f t="shared" si="101"/>
        <v>13.569269912860172</v>
      </c>
    </row>
    <row r="532" spans="1:17" x14ac:dyDescent="0.25">
      <c r="A532" s="5" t="s">
        <v>589</v>
      </c>
      <c r="B532" s="6">
        <f t="shared" si="102"/>
        <v>5</v>
      </c>
      <c r="C532" s="70">
        <v>16.84094048</v>
      </c>
      <c r="D532" s="4">
        <v>0</v>
      </c>
      <c r="E532" s="12">
        <f t="shared" si="91"/>
        <v>0</v>
      </c>
      <c r="F532" s="12">
        <f t="shared" si="92"/>
        <v>0</v>
      </c>
      <c r="G532" s="16">
        <f t="shared" si="94"/>
        <v>0.40834400090173079</v>
      </c>
      <c r="H532" s="14">
        <f t="shared" si="95"/>
        <v>0</v>
      </c>
      <c r="I532" s="14">
        <f t="shared" si="96"/>
        <v>11.036815302640328</v>
      </c>
      <c r="J532" s="14">
        <f t="shared" si="97"/>
        <v>7.4633484636549244E-2</v>
      </c>
      <c r="K532" s="14">
        <f t="shared" si="98"/>
        <v>0.95431211106642777</v>
      </c>
      <c r="L532" s="14">
        <f t="shared" si="99"/>
        <v>675.19325994217775</v>
      </c>
      <c r="M532" s="14">
        <f t="shared" si="93"/>
        <v>0.14403753338105368</v>
      </c>
      <c r="N532" s="14">
        <f t="shared" si="100"/>
        <v>3.685960489647103</v>
      </c>
      <c r="O532" s="4">
        <v>2.8</v>
      </c>
      <c r="P532" s="14">
        <f t="shared" si="103"/>
        <v>0.78492598921573475</v>
      </c>
      <c r="Q532" s="14">
        <f t="shared" si="101"/>
        <v>13.940134812285461</v>
      </c>
    </row>
    <row r="533" spans="1:17" x14ac:dyDescent="0.25">
      <c r="A533" s="5" t="s">
        <v>590</v>
      </c>
      <c r="B533" s="6">
        <f t="shared" si="102"/>
        <v>5</v>
      </c>
      <c r="C533" s="70">
        <v>16.90232086</v>
      </c>
      <c r="D533" s="4">
        <v>0</v>
      </c>
      <c r="E533" s="12">
        <f t="shared" si="91"/>
        <v>0</v>
      </c>
      <c r="F533" s="12">
        <f t="shared" si="92"/>
        <v>0</v>
      </c>
      <c r="G533" s="16">
        <f t="shared" si="94"/>
        <v>0.3445746327105943</v>
      </c>
      <c r="H533" s="14">
        <f t="shared" si="95"/>
        <v>0</v>
      </c>
      <c r="I533" s="14">
        <f t="shared" si="96"/>
        <v>11.153800600461683</v>
      </c>
      <c r="J533" s="14">
        <f t="shared" si="97"/>
        <v>6.3769368191136516E-2</v>
      </c>
      <c r="K533" s="14">
        <f t="shared" si="98"/>
        <v>0.90711791823724219</v>
      </c>
      <c r="L533" s="14">
        <f t="shared" si="99"/>
        <v>675.09641660162583</v>
      </c>
      <c r="M533" s="14">
        <f t="shared" si="93"/>
        <v>0.14400684953054529</v>
      </c>
      <c r="N533" s="14">
        <f t="shared" si="100"/>
        <v>3.6851752813893022</v>
      </c>
      <c r="O533" s="4">
        <v>2.8</v>
      </c>
      <c r="P533" s="14">
        <f t="shared" si="103"/>
        <v>0.78353527878263063</v>
      </c>
      <c r="Q533" s="14">
        <f t="shared" si="101"/>
        <v>13.940134812285461</v>
      </c>
    </row>
    <row r="534" spans="1:17" x14ac:dyDescent="0.25">
      <c r="A534" s="5" t="s">
        <v>591</v>
      </c>
      <c r="B534" s="6">
        <f t="shared" si="102"/>
        <v>5</v>
      </c>
      <c r="C534" s="70">
        <v>16.14797974</v>
      </c>
      <c r="D534" s="4">
        <v>0</v>
      </c>
      <c r="E534" s="12">
        <f t="shared" si="91"/>
        <v>0</v>
      </c>
      <c r="F534" s="12">
        <f t="shared" si="92"/>
        <v>0</v>
      </c>
      <c r="G534" s="16">
        <f t="shared" si="94"/>
        <v>0.29769996714080982</v>
      </c>
      <c r="H534" s="14">
        <f t="shared" si="95"/>
        <v>0</v>
      </c>
      <c r="I534" s="14">
        <f t="shared" si="96"/>
        <v>9.7160965559103616</v>
      </c>
      <c r="J534" s="14">
        <f t="shared" si="97"/>
        <v>4.6874665569784486E-2</v>
      </c>
      <c r="K534" s="14">
        <f t="shared" si="98"/>
        <v>0.86225764930042925</v>
      </c>
      <c r="L534" s="14">
        <f t="shared" si="99"/>
        <v>674.99727002103214</v>
      </c>
      <c r="M534" s="14">
        <f t="shared" si="93"/>
        <v>0.14397617221651848</v>
      </c>
      <c r="N534" s="14">
        <f t="shared" si="100"/>
        <v>3.6843902404018793</v>
      </c>
      <c r="O534" s="4">
        <v>2.78</v>
      </c>
      <c r="P534" s="14">
        <f t="shared" si="103"/>
        <v>0.81792170693416943</v>
      </c>
      <c r="Q534" s="14">
        <f t="shared" si="101"/>
        <v>14.089880772055576</v>
      </c>
    </row>
    <row r="535" spans="1:17" x14ac:dyDescent="0.25">
      <c r="A535" s="5" t="s">
        <v>592</v>
      </c>
      <c r="B535" s="6">
        <f t="shared" si="102"/>
        <v>5</v>
      </c>
      <c r="C535" s="70">
        <v>16.243749619999999</v>
      </c>
      <c r="D535" s="4">
        <v>0</v>
      </c>
      <c r="E535" s="12">
        <f t="shared" si="91"/>
        <v>0</v>
      </c>
      <c r="F535" s="12">
        <f t="shared" si="92"/>
        <v>0</v>
      </c>
      <c r="G535" s="16">
        <f t="shared" si="94"/>
        <v>0.25644115515636956</v>
      </c>
      <c r="H535" s="14">
        <f t="shared" si="95"/>
        <v>0</v>
      </c>
      <c r="I535" s="14">
        <f t="shared" si="96"/>
        <v>9.8986250435820828</v>
      </c>
      <c r="J535" s="14">
        <f t="shared" si="97"/>
        <v>4.1258811984440237E-2</v>
      </c>
      <c r="K535" s="14">
        <f t="shared" si="98"/>
        <v>0.8196158832601238</v>
      </c>
      <c r="L535" s="14">
        <f t="shared" si="99"/>
        <v>674.89593561485594</v>
      </c>
      <c r="M535" s="14">
        <f t="shared" si="93"/>
        <v>0.14394550143758075</v>
      </c>
      <c r="N535" s="14">
        <f t="shared" si="100"/>
        <v>3.6836053666492021</v>
      </c>
      <c r="O535" s="4">
        <v>2.77</v>
      </c>
      <c r="P535" s="14">
        <f t="shared" si="103"/>
        <v>0.83467476597022305</v>
      </c>
      <c r="Q535" s="14">
        <f t="shared" si="101"/>
        <v>14.165053751940631</v>
      </c>
    </row>
    <row r="536" spans="1:17" x14ac:dyDescent="0.25">
      <c r="A536" s="5" t="s">
        <v>593</v>
      </c>
      <c r="B536" s="6">
        <f t="shared" si="102"/>
        <v>5</v>
      </c>
      <c r="C536" s="70">
        <v>16.065279010000001</v>
      </c>
      <c r="D536" s="4">
        <v>1.3</v>
      </c>
      <c r="E536" s="12">
        <f t="shared" si="91"/>
        <v>0</v>
      </c>
      <c r="F536" s="12">
        <f t="shared" si="92"/>
        <v>1.3</v>
      </c>
      <c r="G536" s="16">
        <f t="shared" si="94"/>
        <v>1.4967924833369974</v>
      </c>
      <c r="H536" s="14">
        <f t="shared" si="95"/>
        <v>2.5329289206161107E-2</v>
      </c>
      <c r="I536" s="14">
        <f t="shared" si="96"/>
        <v>9.5584766531157932</v>
      </c>
      <c r="J536" s="14">
        <f t="shared" si="97"/>
        <v>3.4319382613210957E-2</v>
      </c>
      <c r="K536" s="14">
        <f t="shared" si="98"/>
        <v>0.80441219631321481</v>
      </c>
      <c r="L536" s="14">
        <f t="shared" si="99"/>
        <v>674.79252308957143</v>
      </c>
      <c r="M536" s="14">
        <f t="shared" si="93"/>
        <v>0.14392023300900839</v>
      </c>
      <c r="N536" s="14">
        <f t="shared" si="100"/>
        <v>3.6829587405430275</v>
      </c>
      <c r="O536" s="4">
        <v>2.82</v>
      </c>
      <c r="P536" s="14">
        <f t="shared" si="103"/>
        <v>0.74469778787960861</v>
      </c>
      <c r="Q536" s="14">
        <f t="shared" si="101"/>
        <v>13.791188852515345</v>
      </c>
    </row>
    <row r="537" spans="1:17" x14ac:dyDescent="0.25">
      <c r="A537" s="5" t="s">
        <v>594</v>
      </c>
      <c r="B537" s="6">
        <f t="shared" si="102"/>
        <v>5</v>
      </c>
      <c r="C537" s="70">
        <v>16.05920029</v>
      </c>
      <c r="D537" s="4">
        <v>0</v>
      </c>
      <c r="E537" s="12">
        <f t="shared" si="91"/>
        <v>0</v>
      </c>
      <c r="F537" s="12">
        <f t="shared" si="92"/>
        <v>0</v>
      </c>
      <c r="G537" s="16">
        <f t="shared" si="94"/>
        <v>1.2967203402997265</v>
      </c>
      <c r="H537" s="14">
        <f t="shared" si="95"/>
        <v>0</v>
      </c>
      <c r="I537" s="14">
        <f t="shared" si="96"/>
        <v>9.5468911779269323</v>
      </c>
      <c r="J537" s="14">
        <f t="shared" si="97"/>
        <v>0.20007214303727094</v>
      </c>
      <c r="K537" s="14">
        <f t="shared" si="98"/>
        <v>0.76463109758595371</v>
      </c>
      <c r="L537" s="14">
        <f t="shared" si="99"/>
        <v>674.68838395528974</v>
      </c>
      <c r="M537" s="14">
        <f t="shared" si="93"/>
        <v>0.14388957414661938</v>
      </c>
      <c r="N537" s="14">
        <f t="shared" si="100"/>
        <v>3.6821741717381413</v>
      </c>
      <c r="O537" s="4">
        <v>3.05</v>
      </c>
      <c r="P537" s="14">
        <f t="shared" si="103"/>
        <v>0.39964418341280522</v>
      </c>
      <c r="Q537" s="14">
        <f t="shared" si="101"/>
        <v>12.135810315159025</v>
      </c>
    </row>
    <row r="538" spans="1:17" x14ac:dyDescent="0.25">
      <c r="A538" s="5" t="s">
        <v>595</v>
      </c>
      <c r="B538" s="6">
        <f t="shared" si="102"/>
        <v>5</v>
      </c>
      <c r="C538" s="70">
        <v>15.360702509999999</v>
      </c>
      <c r="D538" s="4">
        <v>0</v>
      </c>
      <c r="E538" s="12">
        <f t="shared" si="91"/>
        <v>0</v>
      </c>
      <c r="F538" s="12">
        <f t="shared" si="92"/>
        <v>0</v>
      </c>
      <c r="G538" s="16">
        <f t="shared" si="94"/>
        <v>1.1475612621880065</v>
      </c>
      <c r="H538" s="14">
        <f t="shared" si="95"/>
        <v>0</v>
      </c>
      <c r="I538" s="14">
        <f t="shared" si="96"/>
        <v>8.2156193477287847</v>
      </c>
      <c r="J538" s="14">
        <f t="shared" si="97"/>
        <v>0.14915907811172005</v>
      </c>
      <c r="K538" s="14">
        <f t="shared" si="98"/>
        <v>0.72681731837871133</v>
      </c>
      <c r="L538" s="14">
        <f t="shared" si="99"/>
        <v>674.58230816035041</v>
      </c>
      <c r="M538" s="14">
        <f t="shared" si="93"/>
        <v>0.14385892181538881</v>
      </c>
      <c r="N538" s="14">
        <f t="shared" si="100"/>
        <v>3.681389770067415</v>
      </c>
      <c r="O538" s="4">
        <v>3.11</v>
      </c>
      <c r="P538" s="14">
        <f t="shared" si="103"/>
        <v>0.32648626933769348</v>
      </c>
      <c r="Q538" s="14">
        <f t="shared" si="101"/>
        <v>11.72137243584868</v>
      </c>
    </row>
    <row r="539" spans="1:17" x14ac:dyDescent="0.25">
      <c r="A539" s="5" t="s">
        <v>596</v>
      </c>
      <c r="B539" s="6">
        <f t="shared" si="102"/>
        <v>5</v>
      </c>
      <c r="C539" s="70">
        <v>16.076229099999999</v>
      </c>
      <c r="D539" s="4">
        <v>0</v>
      </c>
      <c r="E539" s="12">
        <f t="shared" ref="E539:E602" si="104">IF(C539&gt;$C$9,MAX(E538-$C$10*(C539-$C$9),0),E538+D539)</f>
        <v>0</v>
      </c>
      <c r="F539" s="12">
        <f t="shared" ref="F539:F602" si="105">IF(C539&gt;$C$9,D539+MIN(E538,$C$10*(C539-$C$9)),0)</f>
        <v>0</v>
      </c>
      <c r="G539" s="16">
        <f t="shared" si="94"/>
        <v>0.9936484332128791</v>
      </c>
      <c r="H539" s="14">
        <f t="shared" si="95"/>
        <v>0</v>
      </c>
      <c r="I539" s="14">
        <f t="shared" si="96"/>
        <v>9.5793465066393519</v>
      </c>
      <c r="J539" s="14">
        <f t="shared" si="97"/>
        <v>0.1539128289751274</v>
      </c>
      <c r="K539" s="14">
        <f t="shared" si="98"/>
        <v>0.6908735676106057</v>
      </c>
      <c r="L539" s="14">
        <f t="shared" si="99"/>
        <v>674.47439298930317</v>
      </c>
      <c r="M539" s="14">
        <f t="shared" si="93"/>
        <v>0.14382827601392537</v>
      </c>
      <c r="N539" s="14">
        <f t="shared" si="100"/>
        <v>3.6806055354952427</v>
      </c>
      <c r="O539" s="4">
        <v>3.19</v>
      </c>
      <c r="P539" s="14">
        <f t="shared" si="103"/>
        <v>0.24069379145857392</v>
      </c>
      <c r="Q539" s="14">
        <f t="shared" si="101"/>
        <v>11.179988596768222</v>
      </c>
    </row>
    <row r="540" spans="1:17" x14ac:dyDescent="0.25">
      <c r="A540" s="5" t="s">
        <v>597</v>
      </c>
      <c r="B540" s="6">
        <f t="shared" si="102"/>
        <v>5</v>
      </c>
      <c r="C540" s="70">
        <v>15.53089333</v>
      </c>
      <c r="D540" s="4">
        <v>0</v>
      </c>
      <c r="E540" s="12">
        <f t="shared" si="104"/>
        <v>0</v>
      </c>
      <c r="F540" s="12">
        <f t="shared" si="105"/>
        <v>0</v>
      </c>
      <c r="G540" s="16">
        <f t="shared" si="94"/>
        <v>0.87483842345196694</v>
      </c>
      <c r="H540" s="14">
        <f t="shared" si="95"/>
        <v>0</v>
      </c>
      <c r="I540" s="14">
        <f t="shared" si="96"/>
        <v>8.5399872282170008</v>
      </c>
      <c r="J540" s="14">
        <f t="shared" si="97"/>
        <v>0.1188100097609122</v>
      </c>
      <c r="K540" s="14">
        <f t="shared" si="98"/>
        <v>0.65670736559733933</v>
      </c>
      <c r="L540" s="14">
        <f t="shared" si="99"/>
        <v>674.36473091530252</v>
      </c>
      <c r="M540" s="14">
        <f t="shared" si="93"/>
        <v>0.14379763674083801</v>
      </c>
      <c r="N540" s="14">
        <f t="shared" si="100"/>
        <v>3.6798214679860277</v>
      </c>
      <c r="O540" s="4">
        <v>3.03</v>
      </c>
      <c r="P540" s="14">
        <f t="shared" si="103"/>
        <v>0.42226794025551628</v>
      </c>
      <c r="Q540" s="14">
        <f t="shared" si="101"/>
        <v>12.275556274929141</v>
      </c>
    </row>
    <row r="541" spans="1:17" x14ac:dyDescent="0.25">
      <c r="A541" s="5" t="s">
        <v>598</v>
      </c>
      <c r="B541" s="6">
        <f t="shared" si="102"/>
        <v>5</v>
      </c>
      <c r="C541" s="70">
        <v>15.67463875</v>
      </c>
      <c r="D541" s="4">
        <v>0</v>
      </c>
      <c r="E541" s="12">
        <f t="shared" si="104"/>
        <v>0</v>
      </c>
      <c r="F541" s="12">
        <f t="shared" si="105"/>
        <v>0</v>
      </c>
      <c r="G541" s="16">
        <f t="shared" si="94"/>
        <v>0.76687873567404852</v>
      </c>
      <c r="H541" s="14">
        <f t="shared" si="95"/>
        <v>0</v>
      </c>
      <c r="I541" s="14">
        <f t="shared" si="96"/>
        <v>8.8139526349016162</v>
      </c>
      <c r="J541" s="14">
        <f t="shared" si="97"/>
        <v>0.10795968777791845</v>
      </c>
      <c r="K541" s="14">
        <f t="shared" si="98"/>
        <v>0.6242308061101991</v>
      </c>
      <c r="L541" s="14">
        <f t="shared" si="99"/>
        <v>674.25340983804881</v>
      </c>
      <c r="M541" s="14">
        <f t="shared" si="93"/>
        <v>0.14376700399473602</v>
      </c>
      <c r="N541" s="14">
        <f t="shared" si="100"/>
        <v>3.679037567504182</v>
      </c>
      <c r="O541" s="4">
        <v>2.96</v>
      </c>
      <c r="P541" s="14">
        <f t="shared" si="103"/>
        <v>0.51701502348233108</v>
      </c>
      <c r="Q541" s="14">
        <f t="shared" si="101"/>
        <v>12.770967134124541</v>
      </c>
    </row>
    <row r="542" spans="1:17" x14ac:dyDescent="0.25">
      <c r="A542" s="5" t="s">
        <v>599</v>
      </c>
      <c r="B542" s="6">
        <f t="shared" si="102"/>
        <v>5</v>
      </c>
      <c r="C542" s="70">
        <v>16.69431114</v>
      </c>
      <c r="D542" s="4">
        <v>0</v>
      </c>
      <c r="E542" s="12">
        <f t="shared" si="104"/>
        <v>0</v>
      </c>
      <c r="F542" s="12">
        <f t="shared" si="105"/>
        <v>0</v>
      </c>
      <c r="G542" s="16">
        <f t="shared" si="94"/>
        <v>0.65137522337340115</v>
      </c>
      <c r="H542" s="14">
        <f t="shared" si="95"/>
        <v>0</v>
      </c>
      <c r="I542" s="14">
        <f t="shared" si="96"/>
        <v>10.757353412550215</v>
      </c>
      <c r="J542" s="14">
        <f t="shared" si="97"/>
        <v>0.11550351230064734</v>
      </c>
      <c r="K542" s="14">
        <f t="shared" si="98"/>
        <v>0.59336033020210077</v>
      </c>
      <c r="L542" s="14">
        <f t="shared" si="99"/>
        <v>674.14051330996222</v>
      </c>
      <c r="M542" s="14">
        <f t="shared" si="93"/>
        <v>0.14373637777422901</v>
      </c>
      <c r="N542" s="14">
        <f t="shared" si="100"/>
        <v>3.6782538340141246</v>
      </c>
      <c r="O542" s="4">
        <v>2.89</v>
      </c>
      <c r="P542" s="14">
        <f t="shared" si="103"/>
        <v>0.62134410683796693</v>
      </c>
      <c r="Q542" s="14">
        <f t="shared" si="101"/>
        <v>13.276177993319942</v>
      </c>
    </row>
    <row r="543" spans="1:17" x14ac:dyDescent="0.25">
      <c r="A543" s="5" t="s">
        <v>600</v>
      </c>
      <c r="B543" s="6">
        <f t="shared" si="102"/>
        <v>5</v>
      </c>
      <c r="C543" s="70">
        <v>17.69705772</v>
      </c>
      <c r="D543" s="4">
        <v>0</v>
      </c>
      <c r="E543" s="12">
        <f t="shared" si="104"/>
        <v>0</v>
      </c>
      <c r="F543" s="12">
        <f t="shared" si="105"/>
        <v>0</v>
      </c>
      <c r="G543" s="16">
        <f t="shared" si="94"/>
        <v>0.53583869239369142</v>
      </c>
      <c r="H543" s="14">
        <f t="shared" si="95"/>
        <v>0</v>
      </c>
      <c r="I543" s="14">
        <f t="shared" si="96"/>
        <v>12.668495169910608</v>
      </c>
      <c r="J543" s="14">
        <f t="shared" si="97"/>
        <v>0.11553653097970969</v>
      </c>
      <c r="K543" s="14">
        <f t="shared" si="98"/>
        <v>0.56401651121875573</v>
      </c>
      <c r="L543" s="14">
        <f t="shared" si="99"/>
        <v>674.02612075117133</v>
      </c>
      <c r="M543" s="14">
        <f t="shared" ref="M543:M606" si="106">MAX(0,K543-$F$9)*$F$8+K543*$F$10+L543*$F$11</f>
        <v>0.14370575807792685</v>
      </c>
      <c r="N543" s="14">
        <f t="shared" si="100"/>
        <v>3.6774702674802802</v>
      </c>
      <c r="O543" s="4">
        <v>2.85</v>
      </c>
      <c r="P543" s="14">
        <f t="shared" si="103"/>
        <v>0.68470704356388623</v>
      </c>
      <c r="Q543" s="14">
        <f t="shared" si="101"/>
        <v>13.569269912860172</v>
      </c>
    </row>
    <row r="544" spans="1:17" x14ac:dyDescent="0.25">
      <c r="A544" s="5" t="s">
        <v>601</v>
      </c>
      <c r="B544" s="6">
        <f t="shared" si="102"/>
        <v>5</v>
      </c>
      <c r="C544" s="70">
        <v>17.38077736</v>
      </c>
      <c r="D544" s="4">
        <v>0</v>
      </c>
      <c r="E544" s="12">
        <f t="shared" si="104"/>
        <v>0</v>
      </c>
      <c r="F544" s="12">
        <f t="shared" si="105"/>
        <v>0</v>
      </c>
      <c r="G544" s="16">
        <f t="shared" ref="G544:G607" si="107">G543+F544-H544-J544</f>
        <v>0.4453176715415969</v>
      </c>
      <c r="H544" s="14">
        <f t="shared" ref="H544:H607" si="108">(F544*(G543/$C$11)^$C$12)</f>
        <v>0</v>
      </c>
      <c r="I544" s="14">
        <f t="shared" ref="I544:I607" si="109">(1+$C$13*(C544-INDEX($A$16:$A$27,B544)))*INDEX($C$16:$C$27,B544)</f>
        <v>12.065694207947736</v>
      </c>
      <c r="J544" s="14">
        <f t="shared" ref="J544:J607" si="110">IF(G543&gt;$F$13,I544,I544*(G543/$F$13))</f>
        <v>9.05210208520945E-2</v>
      </c>
      <c r="K544" s="14">
        <f t="shared" ref="K544:K607" si="111">K543+H544-MAX(0,K543-$F$9)*$F$8-K543*$F$10-K543*$F$12</f>
        <v>0.53612385044181465</v>
      </c>
      <c r="L544" s="14">
        <f t="shared" ref="L544:L607" si="112">L543+K543*$F$12-L543*$F$11</f>
        <v>673.9103076538704</v>
      </c>
      <c r="M544" s="14">
        <f t="shared" si="106"/>
        <v>0.14367514490443967</v>
      </c>
      <c r="N544" s="14">
        <f t="shared" ref="N544:N607" si="113">M544*$C$8*1000/(24*3600)</f>
        <v>3.676686867867085</v>
      </c>
      <c r="O544" s="4">
        <v>2.75</v>
      </c>
      <c r="P544" s="14">
        <f t="shared" si="103"/>
        <v>0.85874855107730819</v>
      </c>
      <c r="Q544" s="14">
        <f t="shared" ref="Q544:Q607" si="114">(O544-$F$23)^2</f>
        <v>14.315999711710745</v>
      </c>
    </row>
    <row r="545" spans="1:17" x14ac:dyDescent="0.25">
      <c r="A545" s="5" t="s">
        <v>602</v>
      </c>
      <c r="B545" s="6">
        <f t="shared" ref="B545:B608" si="115">MONTH(A545)</f>
        <v>6</v>
      </c>
      <c r="C545" s="70">
        <v>17.967288969999998</v>
      </c>
      <c r="D545" s="4">
        <v>0</v>
      </c>
      <c r="E545" s="12">
        <f t="shared" si="104"/>
        <v>0</v>
      </c>
      <c r="F545" s="12">
        <f t="shared" si="105"/>
        <v>0</v>
      </c>
      <c r="G545" s="16">
        <f t="shared" si="107"/>
        <v>0.37019549971462851</v>
      </c>
      <c r="H545" s="14">
        <f t="shared" si="108"/>
        <v>0</v>
      </c>
      <c r="I545" s="14">
        <f t="shared" si="109"/>
        <v>12.048560071104161</v>
      </c>
      <c r="J545" s="14">
        <f t="shared" si="110"/>
        <v>7.5122171826968384E-2</v>
      </c>
      <c r="K545" s="14">
        <f t="shared" si="111"/>
        <v>0.50961058283819816</v>
      </c>
      <c r="L545" s="14">
        <f t="shared" si="112"/>
        <v>673.79314577656953</v>
      </c>
      <c r="M545" s="14">
        <f t="shared" si="106"/>
        <v>0.14364453825237794</v>
      </c>
      <c r="N545" s="14">
        <f t="shared" si="113"/>
        <v>3.6759036351389769</v>
      </c>
      <c r="O545" s="4">
        <v>2.76</v>
      </c>
      <c r="P545" s="14">
        <f t="shared" ref="P545:P608" si="116">(O545-N545)^2</f>
        <v>0.83887946886079245</v>
      </c>
      <c r="Q545" s="14">
        <f t="shared" si="114"/>
        <v>14.240426731825689</v>
      </c>
    </row>
    <row r="546" spans="1:17" x14ac:dyDescent="0.25">
      <c r="A546" s="5" t="s">
        <v>603</v>
      </c>
      <c r="B546" s="6">
        <f t="shared" si="115"/>
        <v>6</v>
      </c>
      <c r="C546" s="70">
        <v>17.568189619999998</v>
      </c>
      <c r="D546" s="4">
        <v>0</v>
      </c>
      <c r="E546" s="12">
        <f t="shared" si="104"/>
        <v>0</v>
      </c>
      <c r="F546" s="12">
        <f t="shared" si="105"/>
        <v>0</v>
      </c>
      <c r="G546" s="16">
        <f t="shared" si="107"/>
        <v>0.31147751782031463</v>
      </c>
      <c r="H546" s="14">
        <f t="shared" si="108"/>
        <v>0</v>
      </c>
      <c r="I546" s="14">
        <f t="shared" si="109"/>
        <v>11.328617864073916</v>
      </c>
      <c r="J546" s="14">
        <f t="shared" si="110"/>
        <v>5.8717981894313862E-2</v>
      </c>
      <c r="K546" s="14">
        <f t="shared" si="111"/>
        <v>0.48440849241582751</v>
      </c>
      <c r="L546" s="14">
        <f t="shared" si="112"/>
        <v>673.67470332873961</v>
      </c>
      <c r="M546" s="14">
        <f t="shared" si="106"/>
        <v>0.1436139381203525</v>
      </c>
      <c r="N546" s="14">
        <f t="shared" si="113"/>
        <v>3.6751205692604096</v>
      </c>
      <c r="O546" s="4">
        <v>2.74</v>
      </c>
      <c r="P546" s="14">
        <f t="shared" si="116"/>
        <v>0.87445047905391216</v>
      </c>
      <c r="Q546" s="14">
        <f t="shared" si="114"/>
        <v>14.391772691595802</v>
      </c>
    </row>
    <row r="547" spans="1:17" x14ac:dyDescent="0.25">
      <c r="A547" s="5" t="s">
        <v>604</v>
      </c>
      <c r="B547" s="6">
        <f t="shared" si="115"/>
        <v>6</v>
      </c>
      <c r="C547" s="70">
        <v>17.323394780000001</v>
      </c>
      <c r="D547" s="4">
        <v>0</v>
      </c>
      <c r="E547" s="12">
        <f t="shared" si="104"/>
        <v>0</v>
      </c>
      <c r="F547" s="12">
        <f t="shared" si="105"/>
        <v>0</v>
      </c>
      <c r="G547" s="16">
        <f t="shared" si="107"/>
        <v>0.26399878577150571</v>
      </c>
      <c r="H547" s="14">
        <f t="shared" si="108"/>
        <v>0</v>
      </c>
      <c r="I547" s="14">
        <f t="shared" si="109"/>
        <v>10.887028226357858</v>
      </c>
      <c r="J547" s="14">
        <f t="shared" si="110"/>
        <v>4.7478732048808911E-2</v>
      </c>
      <c r="K547" s="14">
        <f t="shared" si="111"/>
        <v>0.46045273671068349</v>
      </c>
      <c r="L547" s="14">
        <f t="shared" si="112"/>
        <v>673.55504514632446</v>
      </c>
      <c r="M547" s="14">
        <f t="shared" si="106"/>
        <v>0.14358334450697433</v>
      </c>
      <c r="N547" s="14">
        <f t="shared" si="113"/>
        <v>3.6743376701958357</v>
      </c>
      <c r="O547" s="4">
        <v>2.64</v>
      </c>
      <c r="P547" s="14">
        <f t="shared" si="116"/>
        <v>1.0698544159861492</v>
      </c>
      <c r="Q547" s="14">
        <f t="shared" si="114"/>
        <v>15.160502490446376</v>
      </c>
    </row>
    <row r="548" spans="1:17" x14ac:dyDescent="0.25">
      <c r="A548" s="5" t="s">
        <v>605</v>
      </c>
      <c r="B548" s="6">
        <f t="shared" si="115"/>
        <v>6</v>
      </c>
      <c r="C548" s="70">
        <v>16.870828629999998</v>
      </c>
      <c r="D548" s="4">
        <v>0</v>
      </c>
      <c r="E548" s="12">
        <f t="shared" si="104"/>
        <v>0</v>
      </c>
      <c r="F548" s="12">
        <f t="shared" si="105"/>
        <v>0</v>
      </c>
      <c r="G548" s="16">
        <f t="shared" si="107"/>
        <v>0.22677488335786555</v>
      </c>
      <c r="H548" s="14">
        <f t="shared" si="108"/>
        <v>0</v>
      </c>
      <c r="I548" s="14">
        <f t="shared" si="109"/>
        <v>10.070636335821872</v>
      </c>
      <c r="J548" s="14">
        <f t="shared" si="110"/>
        <v>3.722390241364016E-2</v>
      </c>
      <c r="K548" s="14">
        <f t="shared" si="111"/>
        <v>0.43768167995361634</v>
      </c>
      <c r="L548" s="14">
        <f t="shared" si="112"/>
        <v>673.43423285857455</v>
      </c>
      <c r="M548" s="14">
        <f t="shared" si="106"/>
        <v>0.1435527574108548</v>
      </c>
      <c r="N548" s="14">
        <f t="shared" si="113"/>
        <v>3.6735549379097217</v>
      </c>
      <c r="O548" s="4">
        <v>2.6</v>
      </c>
      <c r="P548" s="14">
        <f t="shared" si="116"/>
        <v>1.1525202047103462</v>
      </c>
      <c r="Q548" s="14">
        <f t="shared" si="114"/>
        <v>15.473594409986605</v>
      </c>
    </row>
    <row r="549" spans="1:17" x14ac:dyDescent="0.25">
      <c r="A549" s="5" t="s">
        <v>606</v>
      </c>
      <c r="B549" s="6">
        <f t="shared" si="115"/>
        <v>6</v>
      </c>
      <c r="C549" s="70">
        <v>16.995306020000001</v>
      </c>
      <c r="D549" s="4">
        <v>0</v>
      </c>
      <c r="E549" s="12">
        <f t="shared" si="104"/>
        <v>0</v>
      </c>
      <c r="F549" s="12">
        <f t="shared" si="105"/>
        <v>0</v>
      </c>
      <c r="G549" s="16">
        <f t="shared" si="107"/>
        <v>0.19408660167345235</v>
      </c>
      <c r="H549" s="14">
        <f t="shared" si="108"/>
        <v>0</v>
      </c>
      <c r="I549" s="14">
        <f t="shared" si="109"/>
        <v>10.295183248468978</v>
      </c>
      <c r="J549" s="14">
        <f t="shared" si="110"/>
        <v>3.2688281684413206E-2</v>
      </c>
      <c r="K549" s="14">
        <f t="shared" si="111"/>
        <v>0.41603673448766171</v>
      </c>
      <c r="L549" s="14">
        <f t="shared" si="112"/>
        <v>673.31232504662967</v>
      </c>
      <c r="M549" s="14">
        <f t="shared" si="106"/>
        <v>0.14352217683060556</v>
      </c>
      <c r="N549" s="14">
        <f t="shared" si="113"/>
        <v>3.6727723723665378</v>
      </c>
      <c r="O549" s="4">
        <v>2.57</v>
      </c>
      <c r="P549" s="14">
        <f t="shared" si="116"/>
        <v>1.216106905254922</v>
      </c>
      <c r="Q549" s="14">
        <f t="shared" si="114"/>
        <v>15.710513349641779</v>
      </c>
    </row>
    <row r="550" spans="1:17" x14ac:dyDescent="0.25">
      <c r="A550" s="5" t="s">
        <v>607</v>
      </c>
      <c r="B550" s="6">
        <f t="shared" si="115"/>
        <v>6</v>
      </c>
      <c r="C550" s="70">
        <v>16.345432280000001</v>
      </c>
      <c r="D550" s="4">
        <v>0</v>
      </c>
      <c r="E550" s="12">
        <f t="shared" si="104"/>
        <v>0</v>
      </c>
      <c r="F550" s="12">
        <f t="shared" si="105"/>
        <v>0</v>
      </c>
      <c r="G550" s="16">
        <f t="shared" si="107"/>
        <v>0.16929584101869213</v>
      </c>
      <c r="H550" s="14">
        <f t="shared" si="108"/>
        <v>0</v>
      </c>
      <c r="I550" s="14">
        <f t="shared" si="109"/>
        <v>9.1228647902540008</v>
      </c>
      <c r="J550" s="14">
        <f t="shared" si="110"/>
        <v>2.4790760654760206E-2</v>
      </c>
      <c r="K550" s="14">
        <f t="shared" si="111"/>
        <v>0.39546221002784521</v>
      </c>
      <c r="L550" s="14">
        <f t="shared" si="112"/>
        <v>673.18937739425883</v>
      </c>
      <c r="M550" s="14">
        <f t="shared" si="106"/>
        <v>0.14349160276483852</v>
      </c>
      <c r="N550" s="14">
        <f t="shared" si="113"/>
        <v>3.671989973530764</v>
      </c>
      <c r="O550" s="4">
        <v>2.4700000000000002</v>
      </c>
      <c r="P550" s="14">
        <f t="shared" si="116"/>
        <v>1.4447798964684861</v>
      </c>
      <c r="Q550" s="14">
        <f t="shared" si="114"/>
        <v>16.513243148492354</v>
      </c>
    </row>
    <row r="551" spans="1:17" x14ac:dyDescent="0.25">
      <c r="A551" s="5" t="s">
        <v>608</v>
      </c>
      <c r="B551" s="6">
        <f t="shared" si="115"/>
        <v>6</v>
      </c>
      <c r="C551" s="70">
        <v>16.747264860000001</v>
      </c>
      <c r="D551" s="4">
        <v>0</v>
      </c>
      <c r="E551" s="12">
        <f t="shared" si="104"/>
        <v>0</v>
      </c>
      <c r="F551" s="12">
        <f t="shared" si="105"/>
        <v>0</v>
      </c>
      <c r="G551" s="16">
        <f t="shared" si="107"/>
        <v>0.14595342462919678</v>
      </c>
      <c r="H551" s="14">
        <f t="shared" si="108"/>
        <v>0</v>
      </c>
      <c r="I551" s="14">
        <f t="shared" si="109"/>
        <v>9.8477375180644007</v>
      </c>
      <c r="J551" s="14">
        <f t="shared" si="110"/>
        <v>2.3342416389495361E-2</v>
      </c>
      <c r="K551" s="14">
        <f t="shared" si="111"/>
        <v>0.37590517037563559</v>
      </c>
      <c r="L551" s="14">
        <f t="shared" si="112"/>
        <v>673.06544283114613</v>
      </c>
      <c r="M551" s="14">
        <f t="shared" si="106"/>
        <v>0.14346103521216597</v>
      </c>
      <c r="N551" s="14">
        <f t="shared" si="113"/>
        <v>3.671207741366886</v>
      </c>
      <c r="O551" s="4">
        <v>2.4</v>
      </c>
      <c r="P551" s="14">
        <f t="shared" si="116"/>
        <v>1.6159691217110999</v>
      </c>
      <c r="Q551" s="14">
        <f t="shared" si="114"/>
        <v>17.087054007687758</v>
      </c>
    </row>
    <row r="552" spans="1:17" x14ac:dyDescent="0.25">
      <c r="A552" s="5" t="s">
        <v>609</v>
      </c>
      <c r="B552" s="6">
        <f t="shared" si="115"/>
        <v>6</v>
      </c>
      <c r="C552" s="70">
        <v>16.45039177</v>
      </c>
      <c r="D552" s="4">
        <v>0</v>
      </c>
      <c r="E552" s="12">
        <f t="shared" si="104"/>
        <v>0</v>
      </c>
      <c r="F552" s="12">
        <f t="shared" si="105"/>
        <v>0</v>
      </c>
      <c r="G552" s="16">
        <f t="shared" si="107"/>
        <v>0.12692381918011583</v>
      </c>
      <c r="H552" s="14">
        <f t="shared" si="108"/>
        <v>0</v>
      </c>
      <c r="I552" s="14">
        <f t="shared" si="109"/>
        <v>9.3122030261578388</v>
      </c>
      <c r="J552" s="14">
        <f t="shared" si="110"/>
        <v>1.9029605449080944E-2</v>
      </c>
      <c r="K552" s="14">
        <f t="shared" si="111"/>
        <v>0.35731529721938815</v>
      </c>
      <c r="L552" s="14">
        <f t="shared" si="112"/>
        <v>672.94057166909022</v>
      </c>
      <c r="M552" s="14">
        <f t="shared" si="106"/>
        <v>0.14343047417120047</v>
      </c>
      <c r="N552" s="14">
        <f t="shared" si="113"/>
        <v>3.6704256758394016</v>
      </c>
      <c r="O552" s="4">
        <v>2.39</v>
      </c>
      <c r="P552" s="14">
        <f t="shared" si="116"/>
        <v>1.639489911348788</v>
      </c>
      <c r="Q552" s="14">
        <f t="shared" si="114"/>
        <v>17.169826987572815</v>
      </c>
    </row>
    <row r="553" spans="1:17" x14ac:dyDescent="0.25">
      <c r="A553" s="5" t="s">
        <v>610</v>
      </c>
      <c r="B553" s="6">
        <f t="shared" si="115"/>
        <v>6</v>
      </c>
      <c r="C553" s="70">
        <v>16.362657550000002</v>
      </c>
      <c r="D553" s="4">
        <v>0</v>
      </c>
      <c r="E553" s="12">
        <f t="shared" si="104"/>
        <v>0</v>
      </c>
      <c r="F553" s="12">
        <f t="shared" si="105"/>
        <v>0</v>
      </c>
      <c r="G553" s="16">
        <f t="shared" si="107"/>
        <v>0.11065656903997478</v>
      </c>
      <c r="H553" s="14">
        <f t="shared" si="108"/>
        <v>0</v>
      </c>
      <c r="I553" s="14">
        <f t="shared" si="109"/>
        <v>9.15393775216309</v>
      </c>
      <c r="J553" s="14">
        <f t="shared" si="110"/>
        <v>1.6267250140141055E-2</v>
      </c>
      <c r="K553" s="14">
        <f t="shared" si="111"/>
        <v>0.33964476067034949</v>
      </c>
      <c r="L553" s="14">
        <f t="shared" si="112"/>
        <v>672.81481173146813</v>
      </c>
      <c r="M553" s="14">
        <f t="shared" si="106"/>
        <v>0.14339991964055482</v>
      </c>
      <c r="N553" s="14">
        <f t="shared" si="113"/>
        <v>3.669643776912809</v>
      </c>
      <c r="O553" s="4">
        <v>2.38</v>
      </c>
      <c r="P553" s="14">
        <f t="shared" si="116"/>
        <v>1.6631810713299353</v>
      </c>
      <c r="Q553" s="14">
        <f t="shared" si="114"/>
        <v>17.252799967457868</v>
      </c>
    </row>
    <row r="554" spans="1:17" x14ac:dyDescent="0.25">
      <c r="A554" s="5" t="s">
        <v>611</v>
      </c>
      <c r="B554" s="6">
        <f t="shared" si="115"/>
        <v>6</v>
      </c>
      <c r="C554" s="70">
        <v>16.834915160000001</v>
      </c>
      <c r="D554" s="4">
        <v>0</v>
      </c>
      <c r="E554" s="12">
        <f t="shared" si="104"/>
        <v>0</v>
      </c>
      <c r="F554" s="12">
        <f t="shared" si="105"/>
        <v>0</v>
      </c>
      <c r="G554" s="16">
        <f t="shared" si="107"/>
        <v>9.5154334331906384E-2</v>
      </c>
      <c r="H554" s="14">
        <f t="shared" si="108"/>
        <v>0</v>
      </c>
      <c r="I554" s="14">
        <f t="shared" si="109"/>
        <v>10.00585140732246</v>
      </c>
      <c r="J554" s="14">
        <f t="shared" si="110"/>
        <v>1.5502234708068396E-2</v>
      </c>
      <c r="K554" s="14">
        <f t="shared" si="111"/>
        <v>0.32284809620112609</v>
      </c>
      <c r="L554" s="14">
        <f t="shared" si="112"/>
        <v>672.68820847629684</v>
      </c>
      <c r="M554" s="14">
        <f t="shared" si="106"/>
        <v>0.14336937161884214</v>
      </c>
      <c r="N554" s="14">
        <f t="shared" si="113"/>
        <v>3.6688620445516205</v>
      </c>
      <c r="O554" s="4">
        <v>2.36</v>
      </c>
      <c r="P554" s="14">
        <f t="shared" si="116"/>
        <v>1.7131198516678485</v>
      </c>
      <c r="Q554" s="14">
        <f t="shared" si="114"/>
        <v>17.41934592722798</v>
      </c>
    </row>
    <row r="555" spans="1:17" x14ac:dyDescent="0.25">
      <c r="A555" s="5" t="s">
        <v>612</v>
      </c>
      <c r="B555" s="6">
        <f t="shared" si="115"/>
        <v>6</v>
      </c>
      <c r="C555" s="70">
        <v>17.3789978</v>
      </c>
      <c r="D555" s="4">
        <v>0</v>
      </c>
      <c r="E555" s="12">
        <f t="shared" si="104"/>
        <v>0</v>
      </c>
      <c r="F555" s="12">
        <f t="shared" si="105"/>
        <v>0</v>
      </c>
      <c r="G555" s="16">
        <f t="shared" si="107"/>
        <v>8.0516262953278961E-2</v>
      </c>
      <c r="H555" s="14">
        <f t="shared" si="108"/>
        <v>0</v>
      </c>
      <c r="I555" s="14">
        <f t="shared" si="109"/>
        <v>10.987331473998694</v>
      </c>
      <c r="J555" s="14">
        <f t="shared" si="110"/>
        <v>1.4638071378627418E-2</v>
      </c>
      <c r="K555" s="14">
        <f t="shared" si="111"/>
        <v>0.30688208766999181</v>
      </c>
      <c r="L555" s="14">
        <f t="shared" si="112"/>
        <v>672.5608051132092</v>
      </c>
      <c r="M555" s="14">
        <f t="shared" si="106"/>
        <v>0.14333883010467582</v>
      </c>
      <c r="N555" s="14">
        <f t="shared" si="113"/>
        <v>3.6680804787203503</v>
      </c>
      <c r="O555" s="4">
        <v>2.36</v>
      </c>
      <c r="P555" s="14">
        <f t="shared" si="116"/>
        <v>1.711074538809261</v>
      </c>
      <c r="Q555" s="14">
        <f t="shared" si="114"/>
        <v>17.41934592722798</v>
      </c>
    </row>
    <row r="556" spans="1:17" x14ac:dyDescent="0.25">
      <c r="A556" s="5" t="s">
        <v>613</v>
      </c>
      <c r="B556" s="6">
        <f t="shared" si="115"/>
        <v>6</v>
      </c>
      <c r="C556" s="70">
        <v>16.632873539999999</v>
      </c>
      <c r="D556" s="4">
        <v>0</v>
      </c>
      <c r="E556" s="12">
        <f t="shared" si="104"/>
        <v>0</v>
      </c>
      <c r="F556" s="12">
        <f t="shared" si="105"/>
        <v>0</v>
      </c>
      <c r="G556" s="16">
        <f t="shared" si="107"/>
        <v>6.9647350386888837E-2</v>
      </c>
      <c r="H556" s="14">
        <f t="shared" si="108"/>
        <v>0</v>
      </c>
      <c r="I556" s="14">
        <f t="shared" si="109"/>
        <v>9.6413850412039288</v>
      </c>
      <c r="J556" s="14">
        <f t="shared" si="110"/>
        <v>1.0868912566390129E-2</v>
      </c>
      <c r="K556" s="14">
        <f t="shared" si="111"/>
        <v>0.29170565613006716</v>
      </c>
      <c r="L556" s="14">
        <f t="shared" si="112"/>
        <v>672.43264271464443</v>
      </c>
      <c r="M556" s="14">
        <f t="shared" si="106"/>
        <v>0.14330829509666967</v>
      </c>
      <c r="N556" s="14">
        <f t="shared" si="113"/>
        <v>3.6672990793835258</v>
      </c>
      <c r="O556" s="4">
        <v>2.31</v>
      </c>
      <c r="P556" s="14">
        <f t="shared" si="116"/>
        <v>1.8422607908953665</v>
      </c>
      <c r="Q556" s="14">
        <f t="shared" si="114"/>
        <v>17.839210826653275</v>
      </c>
    </row>
    <row r="557" spans="1:17" x14ac:dyDescent="0.25">
      <c r="A557" s="5" t="s">
        <v>614</v>
      </c>
      <c r="B557" s="6">
        <f t="shared" si="115"/>
        <v>6</v>
      </c>
      <c r="C557" s="70">
        <v>16.679475780000001</v>
      </c>
      <c r="D557" s="4">
        <v>0</v>
      </c>
      <c r="E557" s="12">
        <f t="shared" si="104"/>
        <v>0</v>
      </c>
      <c r="F557" s="12">
        <f t="shared" si="105"/>
        <v>0</v>
      </c>
      <c r="G557" s="16">
        <f t="shared" si="107"/>
        <v>6.0163658509327513E-2</v>
      </c>
      <c r="H557" s="14">
        <f t="shared" si="108"/>
        <v>0</v>
      </c>
      <c r="I557" s="14">
        <f t="shared" si="109"/>
        <v>9.7254516264242614</v>
      </c>
      <c r="J557" s="14">
        <f t="shared" si="110"/>
        <v>9.4836918775613246E-3</v>
      </c>
      <c r="K557" s="14">
        <f t="shared" si="111"/>
        <v>0.277279754137288</v>
      </c>
      <c r="L557" s="14">
        <f t="shared" si="112"/>
        <v>672.30376032154061</v>
      </c>
      <c r="M557" s="14">
        <f t="shared" si="106"/>
        <v>0.14327776659343763</v>
      </c>
      <c r="N557" s="14">
        <f t="shared" si="113"/>
        <v>3.6665178465056782</v>
      </c>
      <c r="O557" s="4">
        <v>2.34</v>
      </c>
      <c r="P557" s="14">
        <f t="shared" si="116"/>
        <v>1.7596495970980626</v>
      </c>
      <c r="Q557" s="14">
        <f t="shared" si="114"/>
        <v>17.5866918869981</v>
      </c>
    </row>
    <row r="558" spans="1:17" x14ac:dyDescent="0.25">
      <c r="A558" s="5" t="s">
        <v>615</v>
      </c>
      <c r="B558" s="6">
        <f t="shared" si="115"/>
        <v>6</v>
      </c>
      <c r="C558" s="70">
        <v>16.207132340000001</v>
      </c>
      <c r="D558" s="4">
        <v>0</v>
      </c>
      <c r="E558" s="12">
        <f t="shared" si="104"/>
        <v>0</v>
      </c>
      <c r="F558" s="12">
        <f t="shared" si="105"/>
        <v>0</v>
      </c>
      <c r="G558" s="16">
        <f t="shared" si="107"/>
        <v>5.2689083061159374E-2</v>
      </c>
      <c r="H558" s="14">
        <f t="shared" si="108"/>
        <v>0</v>
      </c>
      <c r="I558" s="14">
        <f t="shared" si="109"/>
        <v>8.8733831410462276</v>
      </c>
      <c r="J558" s="14">
        <f t="shared" si="110"/>
        <v>7.4745754481681404E-3</v>
      </c>
      <c r="K558" s="14">
        <f t="shared" si="111"/>
        <v>0.26356726528522789</v>
      </c>
      <c r="L558" s="14">
        <f t="shared" si="112"/>
        <v>672.17419504379916</v>
      </c>
      <c r="M558" s="14">
        <f t="shared" si="106"/>
        <v>0.143247244593594</v>
      </c>
      <c r="N558" s="14">
        <f t="shared" si="113"/>
        <v>3.6657367800513465</v>
      </c>
      <c r="O558" s="4">
        <v>2.29</v>
      </c>
      <c r="P558" s="14">
        <f t="shared" si="116"/>
        <v>1.8926516879860469</v>
      </c>
      <c r="Q558" s="14">
        <f t="shared" si="114"/>
        <v>18.008556786423384</v>
      </c>
    </row>
    <row r="559" spans="1:17" x14ac:dyDescent="0.25">
      <c r="A559" s="5" t="s">
        <v>616</v>
      </c>
      <c r="B559" s="6">
        <f t="shared" si="115"/>
        <v>6</v>
      </c>
      <c r="C559" s="70">
        <v>16.186880110000001</v>
      </c>
      <c r="D559" s="4">
        <v>0</v>
      </c>
      <c r="E559" s="12">
        <f t="shared" si="104"/>
        <v>0</v>
      </c>
      <c r="F559" s="12">
        <f t="shared" si="105"/>
        <v>0</v>
      </c>
      <c r="G559" s="16">
        <f t="shared" si="107"/>
        <v>4.6170080194435192E-2</v>
      </c>
      <c r="H559" s="14">
        <f t="shared" si="108"/>
        <v>0</v>
      </c>
      <c r="I559" s="14">
        <f t="shared" si="109"/>
        <v>8.8368497937393862</v>
      </c>
      <c r="J559" s="14">
        <f t="shared" si="110"/>
        <v>6.5190028667241849E-3</v>
      </c>
      <c r="K559" s="14">
        <f t="shared" si="111"/>
        <v>0.25053290870828793</v>
      </c>
      <c r="L559" s="14">
        <f t="shared" si="112"/>
        <v>672.0439821557826</v>
      </c>
      <c r="M559" s="14">
        <f t="shared" si="106"/>
        <v>0.14321672909575345</v>
      </c>
      <c r="N559" s="14">
        <f t="shared" si="113"/>
        <v>3.6649558799850794</v>
      </c>
      <c r="O559" s="4">
        <v>2.2599999999999998</v>
      </c>
      <c r="P559" s="14">
        <f t="shared" si="116"/>
        <v>1.9739010247046496</v>
      </c>
      <c r="Q559" s="14">
        <f t="shared" si="114"/>
        <v>18.264075726078559</v>
      </c>
    </row>
    <row r="560" spans="1:17" x14ac:dyDescent="0.25">
      <c r="A560" s="5" t="s">
        <v>617</v>
      </c>
      <c r="B560" s="6">
        <f t="shared" si="115"/>
        <v>6</v>
      </c>
      <c r="C560" s="70">
        <v>16.729475019999999</v>
      </c>
      <c r="D560" s="4">
        <v>0</v>
      </c>
      <c r="E560" s="12">
        <f t="shared" si="104"/>
        <v>0</v>
      </c>
      <c r="F560" s="12">
        <f t="shared" si="105"/>
        <v>0</v>
      </c>
      <c r="G560" s="16">
        <f t="shared" si="107"/>
        <v>3.982492016683873E-2</v>
      </c>
      <c r="H560" s="14">
        <f t="shared" si="108"/>
        <v>0</v>
      </c>
      <c r="I560" s="14">
        <f t="shared" si="109"/>
        <v>9.81564611858626</v>
      </c>
      <c r="J560" s="14">
        <f t="shared" si="110"/>
        <v>6.3451600275964606E-3</v>
      </c>
      <c r="K560" s="14">
        <f t="shared" si="111"/>
        <v>0.23814314830754973</v>
      </c>
      <c r="L560" s="14">
        <f t="shared" si="112"/>
        <v>671.91315518708757</v>
      </c>
      <c r="M560" s="14">
        <f t="shared" si="106"/>
        <v>0.14318622009853083</v>
      </c>
      <c r="N560" s="14">
        <f t="shared" si="113"/>
        <v>3.6641751462714307</v>
      </c>
      <c r="O560" s="4">
        <v>2.27</v>
      </c>
      <c r="P560" s="14">
        <f t="shared" si="116"/>
        <v>1.9437243384809653</v>
      </c>
      <c r="Q560" s="14">
        <f t="shared" si="114"/>
        <v>18.178702746193498</v>
      </c>
    </row>
    <row r="561" spans="1:17" x14ac:dyDescent="0.25">
      <c r="A561" s="5" t="s">
        <v>618</v>
      </c>
      <c r="B561" s="6">
        <f t="shared" si="115"/>
        <v>6</v>
      </c>
      <c r="C561" s="70">
        <v>15.96525097</v>
      </c>
      <c r="D561" s="4">
        <v>0</v>
      </c>
      <c r="E561" s="12">
        <f t="shared" si="104"/>
        <v>0</v>
      </c>
      <c r="F561" s="12">
        <f t="shared" si="105"/>
        <v>0</v>
      </c>
      <c r="G561" s="16">
        <f t="shared" si="107"/>
        <v>3.5120473473008146E-2</v>
      </c>
      <c r="H561" s="14">
        <f t="shared" si="108"/>
        <v>0</v>
      </c>
      <c r="I561" s="14">
        <f t="shared" si="109"/>
        <v>8.4370491621577628</v>
      </c>
      <c r="J561" s="14">
        <f t="shared" si="110"/>
        <v>4.7044466938305834E-3</v>
      </c>
      <c r="K561" s="14">
        <f t="shared" si="111"/>
        <v>0.22636610646573926</v>
      </c>
      <c r="L561" s="14">
        <f t="shared" si="112"/>
        <v>671.78174600883085</v>
      </c>
      <c r="M561" s="14">
        <f t="shared" si="106"/>
        <v>0.14315571760054138</v>
      </c>
      <c r="N561" s="14">
        <f t="shared" si="113"/>
        <v>3.6633945788749647</v>
      </c>
      <c r="O561" s="4">
        <v>2.34</v>
      </c>
      <c r="P561" s="14">
        <f t="shared" si="116"/>
        <v>1.7513732113956455</v>
      </c>
      <c r="Q561" s="14">
        <f t="shared" si="114"/>
        <v>17.5866918869981</v>
      </c>
    </row>
    <row r="562" spans="1:17" x14ac:dyDescent="0.25">
      <c r="A562" s="5" t="s">
        <v>619</v>
      </c>
      <c r="B562" s="6">
        <f t="shared" si="115"/>
        <v>6</v>
      </c>
      <c r="C562" s="70">
        <v>16.18142319</v>
      </c>
      <c r="D562" s="4">
        <v>0</v>
      </c>
      <c r="E562" s="12">
        <f t="shared" si="104"/>
        <v>0</v>
      </c>
      <c r="F562" s="12">
        <f t="shared" si="105"/>
        <v>0</v>
      </c>
      <c r="G562" s="16">
        <f t="shared" si="107"/>
        <v>3.0780002658446392E-2</v>
      </c>
      <c r="H562" s="14">
        <f t="shared" si="108"/>
        <v>0</v>
      </c>
      <c r="I562" s="14">
        <f t="shared" si="109"/>
        <v>8.827005961549764</v>
      </c>
      <c r="J562" s="14">
        <f t="shared" si="110"/>
        <v>4.3404708145617539E-3</v>
      </c>
      <c r="K562" s="14">
        <f t="shared" si="111"/>
        <v>0.21517148202929803</v>
      </c>
      <c r="L562" s="14">
        <f t="shared" si="112"/>
        <v>671.64978491566671</v>
      </c>
      <c r="M562" s="14">
        <f t="shared" si="106"/>
        <v>0.1431252216004005</v>
      </c>
      <c r="N562" s="14">
        <f t="shared" si="113"/>
        <v>3.6626141777602492</v>
      </c>
      <c r="O562" s="4">
        <v>2.35</v>
      </c>
      <c r="P562" s="14">
        <f t="shared" si="116"/>
        <v>1.7229559796572149</v>
      </c>
      <c r="Q562" s="14">
        <f t="shared" si="114"/>
        <v>17.502918907113035</v>
      </c>
    </row>
    <row r="563" spans="1:17" x14ac:dyDescent="0.25">
      <c r="A563" s="5" t="s">
        <v>620</v>
      </c>
      <c r="B563" s="6">
        <f t="shared" si="115"/>
        <v>6</v>
      </c>
      <c r="C563" s="70">
        <v>16.53276825</v>
      </c>
      <c r="D563" s="4">
        <v>0</v>
      </c>
      <c r="E563" s="12">
        <f t="shared" si="104"/>
        <v>0</v>
      </c>
      <c r="F563" s="12">
        <f t="shared" si="105"/>
        <v>0</v>
      </c>
      <c r="G563" s="16">
        <f t="shared" si="107"/>
        <v>2.6702824132820786E-2</v>
      </c>
      <c r="H563" s="14">
        <f t="shared" si="108"/>
        <v>0</v>
      </c>
      <c r="I563" s="14">
        <f t="shared" si="109"/>
        <v>9.4608033804770919</v>
      </c>
      <c r="J563" s="14">
        <f t="shared" si="110"/>
        <v>4.0771785256256072E-3</v>
      </c>
      <c r="K563" s="14">
        <f t="shared" si="111"/>
        <v>0.20453047234653873</v>
      </c>
      <c r="L563" s="14">
        <f t="shared" si="112"/>
        <v>671.51730070374913</v>
      </c>
      <c r="M563" s="14">
        <f t="shared" si="106"/>
        <v>0.14309473209672405</v>
      </c>
      <c r="N563" s="14">
        <f t="shared" si="113"/>
        <v>3.661833942891862</v>
      </c>
      <c r="O563" s="4">
        <v>2.2999999999999998</v>
      </c>
      <c r="P563" s="14">
        <f t="shared" si="116"/>
        <v>1.8545916880123958</v>
      </c>
      <c r="Q563" s="14">
        <f t="shared" si="114"/>
        <v>17.923783806538328</v>
      </c>
    </row>
    <row r="564" spans="1:17" x14ac:dyDescent="0.25">
      <c r="A564" s="5" t="s">
        <v>621</v>
      </c>
      <c r="B564" s="6">
        <f t="shared" si="115"/>
        <v>6</v>
      </c>
      <c r="C564" s="70">
        <v>16.741977689999999</v>
      </c>
      <c r="D564" s="4">
        <v>0</v>
      </c>
      <c r="E564" s="12">
        <f t="shared" si="104"/>
        <v>0</v>
      </c>
      <c r="F564" s="12">
        <f t="shared" si="105"/>
        <v>0</v>
      </c>
      <c r="G564" s="16">
        <f t="shared" si="107"/>
        <v>2.3024619420695735E-2</v>
      </c>
      <c r="H564" s="14">
        <f t="shared" si="108"/>
        <v>0</v>
      </c>
      <c r="I564" s="14">
        <f t="shared" si="109"/>
        <v>9.8381999008301335</v>
      </c>
      <c r="J564" s="14">
        <f t="shared" si="110"/>
        <v>3.6782047121250499E-3</v>
      </c>
      <c r="K564" s="14">
        <f t="shared" si="111"/>
        <v>0.19441569916129617</v>
      </c>
      <c r="L564" s="14">
        <f t="shared" si="112"/>
        <v>671.38432074483762</v>
      </c>
      <c r="M564" s="14">
        <f t="shared" si="106"/>
        <v>0.14306424908812809</v>
      </c>
      <c r="N564" s="14">
        <f t="shared" si="113"/>
        <v>3.6610538742343892</v>
      </c>
      <c r="O564" s="4">
        <v>2.31</v>
      </c>
      <c r="P564" s="14">
        <f t="shared" si="116"/>
        <v>1.8253465710837526</v>
      </c>
      <c r="Q564" s="14">
        <f t="shared" si="114"/>
        <v>17.839210826653275</v>
      </c>
    </row>
    <row r="565" spans="1:17" x14ac:dyDescent="0.25">
      <c r="A565" s="5" t="s">
        <v>622</v>
      </c>
      <c r="B565" s="6">
        <f t="shared" si="115"/>
        <v>6</v>
      </c>
      <c r="C565" s="70">
        <v>16.65539742</v>
      </c>
      <c r="D565" s="4">
        <v>0</v>
      </c>
      <c r="E565" s="12">
        <f t="shared" si="104"/>
        <v>0</v>
      </c>
      <c r="F565" s="12">
        <f t="shared" si="105"/>
        <v>0</v>
      </c>
      <c r="G565" s="16">
        <f t="shared" si="107"/>
        <v>1.9903421375844828E-2</v>
      </c>
      <c r="H565" s="14">
        <f t="shared" si="108"/>
        <v>0</v>
      </c>
      <c r="I565" s="14">
        <f t="shared" si="109"/>
        <v>9.6820162571607717</v>
      </c>
      <c r="J565" s="14">
        <f t="shared" si="110"/>
        <v>3.1211980448509059E-3</v>
      </c>
      <c r="K565" s="14">
        <f t="shared" si="111"/>
        <v>0.18480113817140587</v>
      </c>
      <c r="L565" s="14">
        <f t="shared" si="112"/>
        <v>671.25087105673936</v>
      </c>
      <c r="M565" s="14">
        <f t="shared" si="106"/>
        <v>0.143033772573229</v>
      </c>
      <c r="N565" s="14">
        <f t="shared" si="113"/>
        <v>3.6602739717524231</v>
      </c>
      <c r="O565" s="4">
        <v>2.2999999999999998</v>
      </c>
      <c r="P565" s="14">
        <f t="shared" si="116"/>
        <v>1.8503452782271124</v>
      </c>
      <c r="Q565" s="14">
        <f t="shared" si="114"/>
        <v>17.923783806538328</v>
      </c>
    </row>
    <row r="566" spans="1:17" x14ac:dyDescent="0.25">
      <c r="A566" s="5" t="s">
        <v>623</v>
      </c>
      <c r="B566" s="6">
        <f t="shared" si="115"/>
        <v>6</v>
      </c>
      <c r="C566" s="70">
        <v>16.769334789999998</v>
      </c>
      <c r="D566" s="4">
        <v>0</v>
      </c>
      <c r="E566" s="12">
        <f t="shared" si="104"/>
        <v>0</v>
      </c>
      <c r="F566" s="12">
        <f t="shared" si="105"/>
        <v>0</v>
      </c>
      <c r="G566" s="16">
        <f t="shared" si="107"/>
        <v>1.7148054191608544E-2</v>
      </c>
      <c r="H566" s="14">
        <f t="shared" si="108"/>
        <v>0</v>
      </c>
      <c r="I566" s="14">
        <f t="shared" si="109"/>
        <v>9.8875498457797963</v>
      </c>
      <c r="J566" s="14">
        <f t="shared" si="110"/>
        <v>2.7553671842362837E-3</v>
      </c>
      <c r="K566" s="14">
        <f t="shared" si="111"/>
        <v>0.17566205207077143</v>
      </c>
      <c r="L566" s="14">
        <f t="shared" si="112"/>
        <v>671.11697637026668</v>
      </c>
      <c r="M566" s="14">
        <f t="shared" si="106"/>
        <v>0.14300330255064342</v>
      </c>
      <c r="N566" s="14">
        <f t="shared" si="113"/>
        <v>3.6594942354105626</v>
      </c>
      <c r="O566" s="4">
        <v>2.16</v>
      </c>
      <c r="P566" s="14">
        <f t="shared" si="116"/>
        <v>2.2484829620295073</v>
      </c>
      <c r="Q566" s="14">
        <f t="shared" si="114"/>
        <v>19.128805524929131</v>
      </c>
    </row>
    <row r="567" spans="1:17" x14ac:dyDescent="0.25">
      <c r="A567" s="5" t="s">
        <v>624</v>
      </c>
      <c r="B567" s="6">
        <f t="shared" si="115"/>
        <v>6</v>
      </c>
      <c r="C567" s="70">
        <v>16.306356430000001</v>
      </c>
      <c r="D567" s="4">
        <v>0</v>
      </c>
      <c r="E567" s="12">
        <f t="shared" si="104"/>
        <v>0</v>
      </c>
      <c r="F567" s="12">
        <f t="shared" si="105"/>
        <v>0</v>
      </c>
      <c r="G567" s="16">
        <f t="shared" si="107"/>
        <v>1.4974650245385825E-2</v>
      </c>
      <c r="H567" s="14">
        <f t="shared" si="108"/>
        <v>0</v>
      </c>
      <c r="I567" s="14">
        <f t="shared" si="109"/>
        <v>9.0523751898811042</v>
      </c>
      <c r="J567" s="14">
        <f t="shared" si="110"/>
        <v>2.1734039462227199E-3</v>
      </c>
      <c r="K567" s="14">
        <f t="shared" si="111"/>
        <v>0.16697492690274415</v>
      </c>
      <c r="L567" s="14">
        <f t="shared" si="112"/>
        <v>670.98266019288405</v>
      </c>
      <c r="M567" s="14">
        <f t="shared" si="106"/>
        <v>0.14297283901898836</v>
      </c>
      <c r="N567" s="14">
        <f t="shared" si="113"/>
        <v>3.658714665173417</v>
      </c>
      <c r="O567" s="4">
        <v>2.1974999999999998</v>
      </c>
      <c r="P567" s="14">
        <f t="shared" si="116"/>
        <v>2.135148297717862</v>
      </c>
      <c r="Q567" s="14">
        <f t="shared" si="114"/>
        <v>18.802188100360169</v>
      </c>
    </row>
    <row r="568" spans="1:17" x14ac:dyDescent="0.25">
      <c r="A568" s="5" t="s">
        <v>625</v>
      </c>
      <c r="B568" s="6">
        <f t="shared" si="115"/>
        <v>7</v>
      </c>
      <c r="C568" s="70">
        <v>16.45645142</v>
      </c>
      <c r="D568" s="4">
        <v>0</v>
      </c>
      <c r="E568" s="12">
        <f t="shared" si="104"/>
        <v>0</v>
      </c>
      <c r="F568" s="12">
        <f t="shared" si="105"/>
        <v>0</v>
      </c>
      <c r="G568" s="16">
        <f t="shared" si="107"/>
        <v>1.3140220894889471E-2</v>
      </c>
      <c r="H568" s="14">
        <f t="shared" si="108"/>
        <v>0</v>
      </c>
      <c r="I568" s="14">
        <f t="shared" si="109"/>
        <v>8.7494598888865127</v>
      </c>
      <c r="J568" s="14">
        <f t="shared" si="110"/>
        <v>1.8344293504963538E-3</v>
      </c>
      <c r="K568" s="14">
        <f t="shared" si="111"/>
        <v>0.15871741156105867</v>
      </c>
      <c r="L568" s="14">
        <f t="shared" si="112"/>
        <v>670.8479448692068</v>
      </c>
      <c r="M568" s="14">
        <f t="shared" si="106"/>
        <v>0.14294238197688103</v>
      </c>
      <c r="N568" s="14">
        <f t="shared" si="113"/>
        <v>3.6579352610056013</v>
      </c>
      <c r="O568" s="4">
        <v>2.1724999999999999</v>
      </c>
      <c r="P568" s="14">
        <f t="shared" si="116"/>
        <v>2.2065179146387792</v>
      </c>
      <c r="Q568" s="14">
        <f t="shared" si="114"/>
        <v>19.019620550072805</v>
      </c>
    </row>
    <row r="569" spans="1:17" x14ac:dyDescent="0.25">
      <c r="A569" s="5" t="s">
        <v>626</v>
      </c>
      <c r="B569" s="6">
        <f t="shared" si="115"/>
        <v>7</v>
      </c>
      <c r="C569" s="70">
        <v>16.129793169999999</v>
      </c>
      <c r="D569" s="4">
        <v>0</v>
      </c>
      <c r="E569" s="12">
        <f t="shared" si="104"/>
        <v>0</v>
      </c>
      <c r="F569" s="12">
        <f t="shared" si="105"/>
        <v>0</v>
      </c>
      <c r="G569" s="16">
        <f t="shared" si="107"/>
        <v>1.1632472043047045E-2</v>
      </c>
      <c r="H569" s="14">
        <f t="shared" si="108"/>
        <v>0</v>
      </c>
      <c r="I569" s="14">
        <f t="shared" si="109"/>
        <v>8.1952702975300635</v>
      </c>
      <c r="J569" s="14">
        <f t="shared" si="110"/>
        <v>1.5077488518424266E-3</v>
      </c>
      <c r="K569" s="14">
        <f t="shared" si="111"/>
        <v>0.15086826028266692</v>
      </c>
      <c r="L569" s="14">
        <f t="shared" si="112"/>
        <v>670.71285163850837</v>
      </c>
      <c r="M569" s="14">
        <f t="shared" si="106"/>
        <v>0.14291193142293906</v>
      </c>
      <c r="N569" s="14">
        <f t="shared" si="113"/>
        <v>3.6571560228717392</v>
      </c>
      <c r="O569" s="4">
        <v>2.1800000000000002</v>
      </c>
      <c r="P569" s="14">
        <f t="shared" si="116"/>
        <v>2.1819899159062537</v>
      </c>
      <c r="Q569" s="14">
        <f t="shared" si="114"/>
        <v>18.95425956515901</v>
      </c>
    </row>
    <row r="570" spans="1:17" x14ac:dyDescent="0.25">
      <c r="A570" s="5" t="s">
        <v>627</v>
      </c>
      <c r="B570" s="6">
        <f t="shared" si="115"/>
        <v>7</v>
      </c>
      <c r="C570" s="70">
        <v>16.34606552</v>
      </c>
      <c r="D570" s="4">
        <v>0</v>
      </c>
      <c r="E570" s="12">
        <f t="shared" si="104"/>
        <v>0</v>
      </c>
      <c r="F570" s="12">
        <f t="shared" si="105"/>
        <v>0</v>
      </c>
      <c r="G570" s="16">
        <f t="shared" si="107"/>
        <v>1.0237968219203177E-2</v>
      </c>
      <c r="H570" s="14">
        <f t="shared" si="108"/>
        <v>0</v>
      </c>
      <c r="I570" s="14">
        <f t="shared" si="109"/>
        <v>8.5621855224423342</v>
      </c>
      <c r="J570" s="14">
        <f t="shared" si="110"/>
        <v>1.394503823843868E-3</v>
      </c>
      <c r="K570" s="14">
        <f t="shared" si="111"/>
        <v>0.14340727798450942</v>
      </c>
      <c r="L570" s="14">
        <f t="shared" si="112"/>
        <v>670.57740068938358</v>
      </c>
      <c r="M570" s="14">
        <f t="shared" si="106"/>
        <v>0.14288148735578018</v>
      </c>
      <c r="N570" s="14">
        <f t="shared" si="113"/>
        <v>3.6563769507364579</v>
      </c>
      <c r="O570" s="4">
        <v>2.15</v>
      </c>
      <c r="P570" s="14">
        <f t="shared" si="116"/>
        <v>2.2691715177100691</v>
      </c>
      <c r="Q570" s="14">
        <f t="shared" si="114"/>
        <v>19.216378504814195</v>
      </c>
    </row>
    <row r="571" spans="1:17" x14ac:dyDescent="0.25">
      <c r="A571" s="5" t="s">
        <v>628</v>
      </c>
      <c r="B571" s="6">
        <f t="shared" si="115"/>
        <v>7</v>
      </c>
      <c r="C571" s="70">
        <v>16.794675829999999</v>
      </c>
      <c r="D571" s="4">
        <v>0</v>
      </c>
      <c r="E571" s="12">
        <f t="shared" si="104"/>
        <v>0</v>
      </c>
      <c r="F571" s="12">
        <f t="shared" si="105"/>
        <v>0</v>
      </c>
      <c r="G571" s="16">
        <f t="shared" si="107"/>
        <v>8.9015413820735627E-3</v>
      </c>
      <c r="H571" s="14">
        <f t="shared" si="108"/>
        <v>0</v>
      </c>
      <c r="I571" s="14">
        <f t="shared" si="109"/>
        <v>9.323271961793516</v>
      </c>
      <c r="J571" s="14">
        <f t="shared" si="110"/>
        <v>1.3364268371296138E-3</v>
      </c>
      <c r="K571" s="14">
        <f t="shared" si="111"/>
        <v>0.13631526830358184</v>
      </c>
      <c r="L571" s="14">
        <f t="shared" si="112"/>
        <v>670.44161121170873</v>
      </c>
      <c r="M571" s="14">
        <f t="shared" si="106"/>
        <v>0.14285104977402263</v>
      </c>
      <c r="N571" s="14">
        <f t="shared" si="113"/>
        <v>3.6555980445643987</v>
      </c>
      <c r="O571" s="4">
        <v>2.1800000000000002</v>
      </c>
      <c r="P571" s="14">
        <f t="shared" si="116"/>
        <v>2.177389589122277</v>
      </c>
      <c r="Q571" s="14">
        <f t="shared" si="114"/>
        <v>18.95425956515901</v>
      </c>
    </row>
    <row r="572" spans="1:17" x14ac:dyDescent="0.25">
      <c r="A572" s="5" t="s">
        <v>629</v>
      </c>
      <c r="B572" s="6">
        <f t="shared" si="115"/>
        <v>7</v>
      </c>
      <c r="C572" s="70">
        <v>13.79917622</v>
      </c>
      <c r="D572" s="4">
        <v>0</v>
      </c>
      <c r="E572" s="12">
        <f t="shared" si="104"/>
        <v>0</v>
      </c>
      <c r="F572" s="12">
        <f t="shared" si="105"/>
        <v>0</v>
      </c>
      <c r="G572" s="16">
        <f t="shared" si="107"/>
        <v>8.3729437839596219E-3</v>
      </c>
      <c r="H572" s="14">
        <f t="shared" si="108"/>
        <v>0</v>
      </c>
      <c r="I572" s="14">
        <f t="shared" si="109"/>
        <v>4.2412796815608989</v>
      </c>
      <c r="J572" s="14">
        <f t="shared" si="110"/>
        <v>5.2859759811394011E-4</v>
      </c>
      <c r="K572" s="14">
        <f t="shared" si="111"/>
        <v>0.12957398420660826</v>
      </c>
      <c r="L572" s="14">
        <f t="shared" si="112"/>
        <v>670.3055014460316</v>
      </c>
      <c r="M572" s="14">
        <f t="shared" si="106"/>
        <v>0.14282061867628482</v>
      </c>
      <c r="N572" s="14">
        <f t="shared" si="113"/>
        <v>3.6548193043202053</v>
      </c>
      <c r="O572" s="4">
        <v>2.08</v>
      </c>
      <c r="P572" s="14">
        <f t="shared" si="116"/>
        <v>2.480055841259575</v>
      </c>
      <c r="Q572" s="14">
        <f t="shared" si="114"/>
        <v>19.834989364009591</v>
      </c>
    </row>
    <row r="573" spans="1:17" x14ac:dyDescent="0.25">
      <c r="A573" s="5" t="s">
        <v>630</v>
      </c>
      <c r="B573" s="6">
        <f t="shared" si="115"/>
        <v>7</v>
      </c>
      <c r="C573" s="70">
        <v>15.100106240000001</v>
      </c>
      <c r="D573" s="4">
        <v>0</v>
      </c>
      <c r="E573" s="12">
        <f t="shared" si="104"/>
        <v>0</v>
      </c>
      <c r="F573" s="12">
        <f t="shared" si="105"/>
        <v>0</v>
      </c>
      <c r="G573" s="16">
        <f t="shared" si="107"/>
        <v>7.6169979277067286E-3</v>
      </c>
      <c r="H573" s="14">
        <f t="shared" si="108"/>
        <v>0</v>
      </c>
      <c r="I573" s="14">
        <f t="shared" si="109"/>
        <v>6.4483626992625345</v>
      </c>
      <c r="J573" s="14">
        <f t="shared" si="110"/>
        <v>7.559458562528933E-4</v>
      </c>
      <c r="K573" s="14">
        <f t="shared" si="111"/>
        <v>0.12316608104224526</v>
      </c>
      <c r="L573" s="14">
        <f t="shared" si="112"/>
        <v>670.16908873051966</v>
      </c>
      <c r="M573" s="14">
        <f t="shared" si="106"/>
        <v>0.14279019406118545</v>
      </c>
      <c r="N573" s="14">
        <f t="shared" si="113"/>
        <v>3.6540407299685307</v>
      </c>
      <c r="O573" s="4">
        <v>2.0499999999999998</v>
      </c>
      <c r="P573" s="14">
        <f t="shared" si="116"/>
        <v>2.5729466633979774</v>
      </c>
      <c r="Q573" s="14">
        <f t="shared" si="114"/>
        <v>20.103108303664765</v>
      </c>
    </row>
    <row r="574" spans="1:17" x14ac:dyDescent="0.25">
      <c r="A574" s="5" t="s">
        <v>631</v>
      </c>
      <c r="B574" s="6">
        <f t="shared" si="115"/>
        <v>7</v>
      </c>
      <c r="C574" s="70">
        <v>15.14559174</v>
      </c>
      <c r="D574" s="4">
        <v>0</v>
      </c>
      <c r="E574" s="12">
        <f t="shared" si="104"/>
        <v>0</v>
      </c>
      <c r="F574" s="12">
        <f t="shared" si="105"/>
        <v>0</v>
      </c>
      <c r="G574" s="16">
        <f t="shared" si="107"/>
        <v>6.9210724466230601E-3</v>
      </c>
      <c r="H574" s="14">
        <f t="shared" si="108"/>
        <v>0</v>
      </c>
      <c r="I574" s="14">
        <f t="shared" si="109"/>
        <v>6.5255307813717227</v>
      </c>
      <c r="J574" s="14">
        <f t="shared" si="110"/>
        <v>6.9592548108366836E-4</v>
      </c>
      <c r="K574" s="14">
        <f t="shared" si="111"/>
        <v>0.11707507191502461</v>
      </c>
      <c r="L574" s="14">
        <f t="shared" si="112"/>
        <v>670.03238954558572</v>
      </c>
      <c r="M574" s="14">
        <f t="shared" si="106"/>
        <v>0.14275977592734357</v>
      </c>
      <c r="N574" s="14">
        <f t="shared" si="113"/>
        <v>3.6532623214740352</v>
      </c>
      <c r="O574" s="4">
        <v>2.0699999999999998</v>
      </c>
      <c r="P574" s="14">
        <f t="shared" si="116"/>
        <v>2.5067195785993515</v>
      </c>
      <c r="Q574" s="14">
        <f t="shared" si="114"/>
        <v>19.924162343894654</v>
      </c>
    </row>
    <row r="575" spans="1:17" x14ac:dyDescent="0.25">
      <c r="A575" s="5" t="s">
        <v>632</v>
      </c>
      <c r="B575" s="6">
        <f t="shared" si="115"/>
        <v>7</v>
      </c>
      <c r="C575" s="70">
        <v>16.69145966</v>
      </c>
      <c r="D575" s="4">
        <v>0</v>
      </c>
      <c r="E575" s="12">
        <f t="shared" si="104"/>
        <v>0</v>
      </c>
      <c r="F575" s="12">
        <f t="shared" si="105"/>
        <v>0</v>
      </c>
      <c r="G575" s="16">
        <f t="shared" si="107"/>
        <v>6.0345897372062196E-3</v>
      </c>
      <c r="H575" s="14">
        <f t="shared" si="108"/>
        <v>0</v>
      </c>
      <c r="I575" s="14">
        <f t="shared" si="109"/>
        <v>9.1481613467281466</v>
      </c>
      <c r="J575" s="14">
        <f t="shared" si="110"/>
        <v>8.8648270941684066E-4</v>
      </c>
      <c r="K575" s="14">
        <f t="shared" si="111"/>
        <v>0.11128528526621635</v>
      </c>
      <c r="L575" s="14">
        <f t="shared" si="112"/>
        <v>669.89541955630716</v>
      </c>
      <c r="M575" s="14">
        <f t="shared" si="106"/>
        <v>0.14272936427337851</v>
      </c>
      <c r="N575" s="14">
        <f t="shared" si="113"/>
        <v>3.6524840788013879</v>
      </c>
      <c r="O575" s="4">
        <v>2.0099999999999998</v>
      </c>
      <c r="P575" s="14">
        <f t="shared" si="116"/>
        <v>2.6977539491160445</v>
      </c>
      <c r="Q575" s="14">
        <f t="shared" si="114"/>
        <v>20.463400223204992</v>
      </c>
    </row>
    <row r="576" spans="1:17" x14ac:dyDescent="0.25">
      <c r="A576" s="5" t="s">
        <v>633</v>
      </c>
      <c r="B576" s="6">
        <f t="shared" si="115"/>
        <v>7</v>
      </c>
      <c r="C576" s="70">
        <v>16.51286125</v>
      </c>
      <c r="D576" s="4">
        <v>0</v>
      </c>
      <c r="E576" s="12">
        <f t="shared" si="104"/>
        <v>0</v>
      </c>
      <c r="F576" s="12">
        <f t="shared" si="105"/>
        <v>0</v>
      </c>
      <c r="G576" s="16">
        <f t="shared" si="107"/>
        <v>5.2872525759718016E-3</v>
      </c>
      <c r="H576" s="14">
        <f t="shared" si="108"/>
        <v>0</v>
      </c>
      <c r="I576" s="14">
        <f t="shared" si="109"/>
        <v>8.845161560698525</v>
      </c>
      <c r="J576" s="14">
        <f t="shared" si="110"/>
        <v>7.4733716123441801E-4</v>
      </c>
      <c r="K576" s="14">
        <f t="shared" si="111"/>
        <v>0.10578182455247177</v>
      </c>
      <c r="L576" s="14">
        <f t="shared" si="112"/>
        <v>669.75819365274754</v>
      </c>
      <c r="M576" s="14">
        <f t="shared" si="106"/>
        <v>0.14269895909790986</v>
      </c>
      <c r="N576" s="14">
        <f t="shared" si="113"/>
        <v>3.6517060019152625</v>
      </c>
      <c r="O576" s="4">
        <v>1.97</v>
      </c>
      <c r="P576" s="14">
        <f t="shared" si="116"/>
        <v>2.8281350768778171</v>
      </c>
      <c r="Q576" s="14">
        <f t="shared" si="114"/>
        <v>20.826892142745223</v>
      </c>
    </row>
    <row r="577" spans="1:17" x14ac:dyDescent="0.25">
      <c r="A577" s="5" t="s">
        <v>634</v>
      </c>
      <c r="B577" s="6">
        <f t="shared" si="115"/>
        <v>7</v>
      </c>
      <c r="C577" s="70">
        <v>16.587429050000001</v>
      </c>
      <c r="D577" s="4">
        <v>0</v>
      </c>
      <c r="E577" s="12">
        <f t="shared" si="104"/>
        <v>0</v>
      </c>
      <c r="F577" s="12">
        <f t="shared" si="105"/>
        <v>0</v>
      </c>
      <c r="G577" s="16">
        <f t="shared" si="107"/>
        <v>4.623102298956505E-3</v>
      </c>
      <c r="H577" s="14">
        <f t="shared" si="108"/>
        <v>0</v>
      </c>
      <c r="I577" s="14">
        <f t="shared" si="109"/>
        <v>8.9716689996208547</v>
      </c>
      <c r="J577" s="14">
        <f t="shared" si="110"/>
        <v>6.6415027701529641E-4</v>
      </c>
      <c r="K577" s="14">
        <f t="shared" si="111"/>
        <v>0.10055052991850383</v>
      </c>
      <c r="L577" s="14">
        <f t="shared" si="112"/>
        <v>669.62072598828365</v>
      </c>
      <c r="M577" s="14">
        <f t="shared" si="106"/>
        <v>0.14266856039955753</v>
      </c>
      <c r="N577" s="14">
        <f t="shared" si="113"/>
        <v>3.6509280907803441</v>
      </c>
      <c r="O577" s="4">
        <v>2.04</v>
      </c>
      <c r="P577" s="14">
        <f t="shared" si="116"/>
        <v>2.5950893136652042</v>
      </c>
      <c r="Q577" s="14">
        <f t="shared" si="114"/>
        <v>20.19288128354982</v>
      </c>
    </row>
    <row r="578" spans="1:17" x14ac:dyDescent="0.25">
      <c r="A578" s="5" t="s">
        <v>635</v>
      </c>
      <c r="B578" s="6">
        <f t="shared" si="115"/>
        <v>7</v>
      </c>
      <c r="C578" s="70">
        <v>16.77591133</v>
      </c>
      <c r="D578" s="4">
        <v>0</v>
      </c>
      <c r="E578" s="12">
        <f t="shared" si="104"/>
        <v>0</v>
      </c>
      <c r="F578" s="12">
        <f t="shared" si="105"/>
        <v>0</v>
      </c>
      <c r="G578" s="16">
        <f t="shared" si="107"/>
        <v>4.0216800957723793E-3</v>
      </c>
      <c r="H578" s="14">
        <f t="shared" si="108"/>
        <v>0</v>
      </c>
      <c r="I578" s="14">
        <f t="shared" si="109"/>
        <v>9.2914371907843414</v>
      </c>
      <c r="J578" s="14">
        <f t="shared" si="110"/>
        <v>6.0142220318412534E-4</v>
      </c>
      <c r="K578" s="14">
        <f t="shared" si="111"/>
        <v>9.5577941765192284E-2</v>
      </c>
      <c r="L578" s="14">
        <f t="shared" si="112"/>
        <v>669.48303001603733</v>
      </c>
      <c r="M578" s="14">
        <f t="shared" si="106"/>
        <v>0.14263816817694172</v>
      </c>
      <c r="N578" s="14">
        <f t="shared" si="113"/>
        <v>3.6501503453613213</v>
      </c>
      <c r="O578" s="4">
        <v>2.06</v>
      </c>
      <c r="P578" s="14">
        <f t="shared" si="116"/>
        <v>2.5285781208527291</v>
      </c>
      <c r="Q578" s="14">
        <f t="shared" si="114"/>
        <v>20.01353532377971</v>
      </c>
    </row>
    <row r="579" spans="1:17" x14ac:dyDescent="0.25">
      <c r="A579" s="5" t="s">
        <v>636</v>
      </c>
      <c r="B579" s="6">
        <f t="shared" si="115"/>
        <v>7</v>
      </c>
      <c r="C579" s="70">
        <v>15.71450806</v>
      </c>
      <c r="D579" s="4">
        <v>0</v>
      </c>
      <c r="E579" s="12">
        <f t="shared" si="104"/>
        <v>0</v>
      </c>
      <c r="F579" s="12">
        <f t="shared" si="105"/>
        <v>0</v>
      </c>
      <c r="G579" s="16">
        <f t="shared" si="107"/>
        <v>3.5998920866595714E-3</v>
      </c>
      <c r="H579" s="14">
        <f t="shared" si="108"/>
        <v>0</v>
      </c>
      <c r="I579" s="14">
        <f t="shared" si="109"/>
        <v>7.4907214749997379</v>
      </c>
      <c r="J579" s="14">
        <f t="shared" si="110"/>
        <v>4.2178800911280809E-4</v>
      </c>
      <c r="K579" s="14">
        <f t="shared" si="111"/>
        <v>9.085126611937816E-2</v>
      </c>
      <c r="L579" s="14">
        <f t="shared" si="112"/>
        <v>669.34511852350624</v>
      </c>
      <c r="M579" s="14">
        <f t="shared" si="106"/>
        <v>0.14260778242868291</v>
      </c>
      <c r="N579" s="14">
        <f t="shared" si="113"/>
        <v>3.6493727656228927</v>
      </c>
      <c r="O579" s="4">
        <v>2.2000000000000002</v>
      </c>
      <c r="P579" s="14">
        <f t="shared" si="116"/>
        <v>2.1006814137293524</v>
      </c>
      <c r="Q579" s="14">
        <f t="shared" si="114"/>
        <v>18.780513605388901</v>
      </c>
    </row>
    <row r="580" spans="1:17" x14ac:dyDescent="0.25">
      <c r="A580" s="5" t="s">
        <v>637</v>
      </c>
      <c r="B580" s="6">
        <f t="shared" si="115"/>
        <v>7</v>
      </c>
      <c r="C580" s="70">
        <v>17.143594740000001</v>
      </c>
      <c r="D580" s="4">
        <v>0</v>
      </c>
      <c r="E580" s="12">
        <f t="shared" si="104"/>
        <v>0</v>
      </c>
      <c r="F580" s="12">
        <f t="shared" si="105"/>
        <v>0</v>
      </c>
      <c r="G580" s="16">
        <f t="shared" si="107"/>
        <v>3.1001392902562388E-3</v>
      </c>
      <c r="H580" s="14">
        <f t="shared" si="108"/>
        <v>0</v>
      </c>
      <c r="I580" s="14">
        <f t="shared" si="109"/>
        <v>9.9152277080495459</v>
      </c>
      <c r="J580" s="14">
        <f t="shared" si="110"/>
        <v>4.997527964033325E-4</v>
      </c>
      <c r="K580" s="14">
        <f t="shared" si="111"/>
        <v>8.63583417162474E-2</v>
      </c>
      <c r="L580" s="14">
        <f t="shared" si="112"/>
        <v>669.20700366548067</v>
      </c>
      <c r="M580" s="14">
        <f t="shared" si="106"/>
        <v>0.14257740315340195</v>
      </c>
      <c r="N580" s="14">
        <f t="shared" si="113"/>
        <v>3.6485953515297647</v>
      </c>
      <c r="O580" s="4">
        <v>3.54</v>
      </c>
      <c r="P580" s="14">
        <f t="shared" si="116"/>
        <v>1.1792950373873153E-2</v>
      </c>
      <c r="Q580" s="14">
        <f t="shared" si="114"/>
        <v>8.9619343007912136</v>
      </c>
    </row>
    <row r="581" spans="1:17" x14ac:dyDescent="0.25">
      <c r="A581" s="5" t="s">
        <v>638</v>
      </c>
      <c r="B581" s="6">
        <f t="shared" si="115"/>
        <v>7</v>
      </c>
      <c r="C581" s="70">
        <v>16.611715319999998</v>
      </c>
      <c r="D581" s="4">
        <v>0</v>
      </c>
      <c r="E581" s="12">
        <f t="shared" si="104"/>
        <v>0</v>
      </c>
      <c r="F581" s="12">
        <f t="shared" si="105"/>
        <v>0</v>
      </c>
      <c r="G581" s="16">
        <f t="shared" si="107"/>
        <v>2.7089315366118326E-3</v>
      </c>
      <c r="H581" s="14">
        <f t="shared" si="108"/>
        <v>0</v>
      </c>
      <c r="I581" s="14">
        <f t="shared" si="109"/>
        <v>9.0128716878948243</v>
      </c>
      <c r="J581" s="14">
        <f t="shared" si="110"/>
        <v>3.9120775364440635E-4</v>
      </c>
      <c r="K581" s="14">
        <f t="shared" si="111"/>
        <v>8.2087608709609933E-2</v>
      </c>
      <c r="L581" s="14">
        <f t="shared" si="112"/>
        <v>669.06869699533388</v>
      </c>
      <c r="M581" s="14">
        <f t="shared" si="106"/>
        <v>0.14254703034971986</v>
      </c>
      <c r="N581" s="14">
        <f t="shared" si="113"/>
        <v>3.6478181030466508</v>
      </c>
      <c r="O581" s="4">
        <v>2.5099999999999998</v>
      </c>
      <c r="P581" s="14">
        <f t="shared" si="116"/>
        <v>1.2946300356206792</v>
      </c>
      <c r="Q581" s="14">
        <f t="shared" si="114"/>
        <v>16.189751228952126</v>
      </c>
    </row>
    <row r="582" spans="1:17" x14ac:dyDescent="0.25">
      <c r="A582" s="5" t="s">
        <v>639</v>
      </c>
      <c r="B582" s="6">
        <f t="shared" si="115"/>
        <v>7</v>
      </c>
      <c r="C582" s="70">
        <v>15.753542899999999</v>
      </c>
      <c r="D582" s="4">
        <v>0</v>
      </c>
      <c r="E582" s="12">
        <f t="shared" si="104"/>
        <v>0</v>
      </c>
      <c r="F582" s="12">
        <f t="shared" si="105"/>
        <v>0</v>
      </c>
      <c r="G582" s="16">
        <f t="shared" si="107"/>
        <v>2.4223109428881612E-3</v>
      </c>
      <c r="H582" s="14">
        <f t="shared" si="108"/>
        <v>0</v>
      </c>
      <c r="I582" s="14">
        <f t="shared" si="109"/>
        <v>7.5569457385175394</v>
      </c>
      <c r="J582" s="14">
        <f t="shared" si="110"/>
        <v>2.8662059372367116E-4</v>
      </c>
      <c r="K582" s="14">
        <f t="shared" si="111"/>
        <v>7.8028078929568825E-2</v>
      </c>
      <c r="L582" s="14">
        <f t="shared" si="112"/>
        <v>668.9302094947642</v>
      </c>
      <c r="M582" s="14">
        <f t="shared" si="106"/>
        <v>0.14251666401625804</v>
      </c>
      <c r="N582" s="14">
        <f t="shared" si="113"/>
        <v>3.6470410201382699</v>
      </c>
      <c r="O582" s="4">
        <v>2.5299999999999998</v>
      </c>
      <c r="P582" s="14">
        <f t="shared" si="116"/>
        <v>1.2477806406715473</v>
      </c>
      <c r="Q582" s="14">
        <f t="shared" si="114"/>
        <v>16.029205269182007</v>
      </c>
    </row>
    <row r="583" spans="1:17" x14ac:dyDescent="0.25">
      <c r="A583" s="5" t="s">
        <v>640</v>
      </c>
      <c r="B583" s="6">
        <f t="shared" si="115"/>
        <v>7</v>
      </c>
      <c r="C583" s="70">
        <v>15.34057713</v>
      </c>
      <c r="D583" s="4">
        <v>0</v>
      </c>
      <c r="E583" s="12">
        <f t="shared" si="104"/>
        <v>0</v>
      </c>
      <c r="F583" s="12">
        <f t="shared" si="105"/>
        <v>0</v>
      </c>
      <c r="G583" s="16">
        <f t="shared" si="107"/>
        <v>2.1897778467779151E-3</v>
      </c>
      <c r="H583" s="14">
        <f t="shared" si="108"/>
        <v>0</v>
      </c>
      <c r="I583" s="14">
        <f t="shared" si="109"/>
        <v>6.8563317747786758</v>
      </c>
      <c r="J583" s="14">
        <f t="shared" si="110"/>
        <v>2.3253309611024603E-4</v>
      </c>
      <c r="K583" s="14">
        <f t="shared" si="111"/>
        <v>7.4169307611055557E-2</v>
      </c>
      <c r="L583" s="14">
        <f t="shared" si="112"/>
        <v>668.79155160206642</v>
      </c>
      <c r="M583" s="14">
        <f t="shared" si="106"/>
        <v>0.14248630415163813</v>
      </c>
      <c r="N583" s="14">
        <f t="shared" si="113"/>
        <v>3.6462641027693503</v>
      </c>
      <c r="O583" s="4">
        <v>2.59</v>
      </c>
      <c r="P583" s="14">
        <f t="shared" si="116"/>
        <v>1.1156938547991408</v>
      </c>
      <c r="Q583" s="14">
        <f t="shared" si="114"/>
        <v>15.552367389871664</v>
      </c>
    </row>
    <row r="584" spans="1:17" x14ac:dyDescent="0.25">
      <c r="A584" s="5" t="s">
        <v>641</v>
      </c>
      <c r="B584" s="6">
        <f t="shared" si="115"/>
        <v>7</v>
      </c>
      <c r="C584" s="70">
        <v>15.70914936</v>
      </c>
      <c r="D584" s="4">
        <v>1.3</v>
      </c>
      <c r="E584" s="12">
        <f t="shared" si="104"/>
        <v>0</v>
      </c>
      <c r="F584" s="12">
        <f t="shared" si="105"/>
        <v>1.3</v>
      </c>
      <c r="G584" s="16">
        <f t="shared" si="107"/>
        <v>1.2999607411482417</v>
      </c>
      <c r="H584" s="14">
        <f t="shared" si="108"/>
        <v>1.9996546879606199E-3</v>
      </c>
      <c r="I584" s="14">
        <f t="shared" si="109"/>
        <v>7.4816302129140499</v>
      </c>
      <c r="J584" s="14">
        <f t="shared" si="110"/>
        <v>2.2938201057560927E-4</v>
      </c>
      <c r="K584" s="14">
        <f t="shared" si="111"/>
        <v>7.2501021208452282E-2</v>
      </c>
      <c r="L584" s="14">
        <f t="shared" si="112"/>
        <v>668.65273323900533</v>
      </c>
      <c r="M584" s="14">
        <f t="shared" si="106"/>
        <v>0.14245637673446165</v>
      </c>
      <c r="N584" s="14">
        <f t="shared" si="113"/>
        <v>3.6454982518506336</v>
      </c>
      <c r="O584" s="4">
        <v>2.91</v>
      </c>
      <c r="P584" s="14">
        <f t="shared" si="116"/>
        <v>0.54095767847533782</v>
      </c>
      <c r="Q584" s="14">
        <f t="shared" si="114"/>
        <v>13.130832033549826</v>
      </c>
    </row>
    <row r="585" spans="1:17" x14ac:dyDescent="0.25">
      <c r="A585" s="5" t="s">
        <v>642</v>
      </c>
      <c r="B585" s="6">
        <f t="shared" si="115"/>
        <v>7</v>
      </c>
      <c r="C585" s="70">
        <v>15.43934917</v>
      </c>
      <c r="D585" s="4">
        <v>0</v>
      </c>
      <c r="E585" s="12">
        <f t="shared" si="104"/>
        <v>0</v>
      </c>
      <c r="F585" s="12">
        <f t="shared" si="105"/>
        <v>0</v>
      </c>
      <c r="G585" s="16">
        <f t="shared" si="107"/>
        <v>1.1721192628370711</v>
      </c>
      <c r="H585" s="14">
        <f t="shared" si="108"/>
        <v>0</v>
      </c>
      <c r="I585" s="14">
        <f t="shared" si="109"/>
        <v>7.0239027345969047</v>
      </c>
      <c r="J585" s="14">
        <f t="shared" si="110"/>
        <v>0.12784147831117063</v>
      </c>
      <c r="K585" s="14">
        <f t="shared" si="111"/>
        <v>6.8915582927258356E-2</v>
      </c>
      <c r="L585" s="14">
        <f t="shared" si="112"/>
        <v>668.51386230055209</v>
      </c>
      <c r="M585" s="14">
        <f t="shared" si="106"/>
        <v>0.1424260297126467</v>
      </c>
      <c r="N585" s="14">
        <f t="shared" si="113"/>
        <v>3.6447216631326604</v>
      </c>
      <c r="O585" s="4">
        <v>2.69</v>
      </c>
      <c r="P585" s="14">
        <f t="shared" si="116"/>
        <v>0.91149345405479321</v>
      </c>
      <c r="Q585" s="14">
        <f t="shared" si="114"/>
        <v>14.773637591021091</v>
      </c>
    </row>
    <row r="586" spans="1:17" x14ac:dyDescent="0.25">
      <c r="A586" s="5" t="s">
        <v>643</v>
      </c>
      <c r="B586" s="6">
        <f t="shared" si="115"/>
        <v>7</v>
      </c>
      <c r="C586" s="70">
        <v>14.618283269999999</v>
      </c>
      <c r="D586" s="4">
        <v>0</v>
      </c>
      <c r="E586" s="12">
        <f t="shared" si="104"/>
        <v>0</v>
      </c>
      <c r="F586" s="12">
        <f t="shared" si="105"/>
        <v>0</v>
      </c>
      <c r="G586" s="16">
        <f t="shared" si="107"/>
        <v>1.0797101167628789</v>
      </c>
      <c r="H586" s="14">
        <f t="shared" si="108"/>
        <v>0</v>
      </c>
      <c r="I586" s="14">
        <f t="shared" si="109"/>
        <v>5.6309295719790491</v>
      </c>
      <c r="J586" s="14">
        <f t="shared" si="110"/>
        <v>9.2409146074192247E-2</v>
      </c>
      <c r="K586" s="14">
        <f t="shared" si="111"/>
        <v>6.5507457564613389E-2</v>
      </c>
      <c r="L586" s="14">
        <f t="shared" si="112"/>
        <v>668.37484439620209</v>
      </c>
      <c r="M586" s="14">
        <f t="shared" si="106"/>
        <v>0.14239568915555978</v>
      </c>
      <c r="N586" s="14">
        <f t="shared" si="113"/>
        <v>3.6439452398488732</v>
      </c>
      <c r="O586" s="4">
        <v>2.59</v>
      </c>
      <c r="P586" s="14">
        <f t="shared" si="116"/>
        <v>1.1108005686000992</v>
      </c>
      <c r="Q586" s="14">
        <f t="shared" si="114"/>
        <v>15.552367389871664</v>
      </c>
    </row>
    <row r="587" spans="1:17" x14ac:dyDescent="0.25">
      <c r="A587" s="5" t="s">
        <v>644</v>
      </c>
      <c r="B587" s="6">
        <f t="shared" si="115"/>
        <v>7</v>
      </c>
      <c r="C587" s="70">
        <v>15.51732063</v>
      </c>
      <c r="D587" s="4">
        <v>0</v>
      </c>
      <c r="E587" s="12">
        <f t="shared" si="104"/>
        <v>0</v>
      </c>
      <c r="F587" s="12">
        <f t="shared" si="105"/>
        <v>0</v>
      </c>
      <c r="G587" s="16">
        <f t="shared" si="107"/>
        <v>0.97152892395568302</v>
      </c>
      <c r="H587" s="14">
        <f t="shared" si="108"/>
        <v>0</v>
      </c>
      <c r="I587" s="14">
        <f t="shared" si="109"/>
        <v>7.1561846272319931</v>
      </c>
      <c r="J587" s="14">
        <f t="shared" si="110"/>
        <v>0.10818119280719581</v>
      </c>
      <c r="K587" s="14">
        <f t="shared" si="111"/>
        <v>6.2267876354018391E-2</v>
      </c>
      <c r="L587" s="14">
        <f t="shared" si="112"/>
        <v>668.23568828825717</v>
      </c>
      <c r="M587" s="14">
        <f t="shared" si="106"/>
        <v>0.14236535506182371</v>
      </c>
      <c r="N587" s="14">
        <f t="shared" si="113"/>
        <v>3.6431689819640303</v>
      </c>
      <c r="O587" s="4">
        <v>2.4900000000000002</v>
      </c>
      <c r="P587" s="14">
        <f t="shared" si="116"/>
        <v>1.3297987009639576</v>
      </c>
      <c r="Q587" s="14">
        <f t="shared" si="114"/>
        <v>16.351097188722235</v>
      </c>
    </row>
    <row r="588" spans="1:17" x14ac:dyDescent="0.25">
      <c r="A588" s="5" t="s">
        <v>645</v>
      </c>
      <c r="B588" s="6">
        <f t="shared" si="115"/>
        <v>7</v>
      </c>
      <c r="C588" s="70">
        <v>18.59503174</v>
      </c>
      <c r="D588" s="4">
        <v>0</v>
      </c>
      <c r="E588" s="12">
        <f t="shared" si="104"/>
        <v>0</v>
      </c>
      <c r="F588" s="12">
        <f t="shared" si="105"/>
        <v>0</v>
      </c>
      <c r="G588" s="16">
        <f t="shared" si="107"/>
        <v>0.80316188712653214</v>
      </c>
      <c r="H588" s="14">
        <f t="shared" si="108"/>
        <v>0</v>
      </c>
      <c r="I588" s="14">
        <f t="shared" si="109"/>
        <v>12.377652207995977</v>
      </c>
      <c r="J588" s="14">
        <f t="shared" si="110"/>
        <v>0.16836703682915086</v>
      </c>
      <c r="K588" s="14">
        <f t="shared" si="111"/>
        <v>5.9188504176260426E-2</v>
      </c>
      <c r="L588" s="14">
        <f t="shared" si="112"/>
        <v>668.09640230537309</v>
      </c>
      <c r="M588" s="14">
        <f t="shared" si="106"/>
        <v>0.14233502743006168</v>
      </c>
      <c r="N588" s="14">
        <f t="shared" si="113"/>
        <v>3.6423928894428981</v>
      </c>
      <c r="O588" s="4">
        <v>2.31</v>
      </c>
      <c r="P588" s="14">
        <f t="shared" si="116"/>
        <v>1.7752708118379947</v>
      </c>
      <c r="Q588" s="14">
        <f t="shared" si="114"/>
        <v>17.839210826653275</v>
      </c>
    </row>
    <row r="589" spans="1:17" x14ac:dyDescent="0.25">
      <c r="A589" s="5" t="s">
        <v>646</v>
      </c>
      <c r="B589" s="6">
        <f t="shared" si="115"/>
        <v>7</v>
      </c>
      <c r="C589" s="70">
        <v>18.329292299999999</v>
      </c>
      <c r="D589" s="4">
        <v>0</v>
      </c>
      <c r="E589" s="12">
        <f t="shared" si="104"/>
        <v>0</v>
      </c>
      <c r="F589" s="12">
        <f t="shared" si="105"/>
        <v>0</v>
      </c>
      <c r="G589" s="16">
        <f t="shared" si="107"/>
        <v>0.66904279810231204</v>
      </c>
      <c r="H589" s="14">
        <f t="shared" si="108"/>
        <v>0</v>
      </c>
      <c r="I589" s="14">
        <f t="shared" si="109"/>
        <v>11.926813964477281</v>
      </c>
      <c r="J589" s="14">
        <f t="shared" si="110"/>
        <v>0.1341190890242201</v>
      </c>
      <c r="K589" s="14">
        <f t="shared" si="111"/>
        <v>5.6261418113982581E-2</v>
      </c>
      <c r="L589" s="14">
        <f t="shared" si="112"/>
        <v>667.95699436400525</v>
      </c>
      <c r="M589" s="14">
        <f t="shared" si="106"/>
        <v>0.1423047062588971</v>
      </c>
      <c r="N589" s="14">
        <f t="shared" si="113"/>
        <v>3.6416169622502492</v>
      </c>
      <c r="O589" s="4">
        <v>2.2599999999999998</v>
      </c>
      <c r="P589" s="14">
        <f t="shared" si="116"/>
        <v>1.9088654303776071</v>
      </c>
      <c r="Q589" s="14">
        <f t="shared" si="114"/>
        <v>18.264075726078559</v>
      </c>
    </row>
    <row r="590" spans="1:17" x14ac:dyDescent="0.25">
      <c r="A590" s="5" t="s">
        <v>647</v>
      </c>
      <c r="B590" s="6">
        <f t="shared" si="115"/>
        <v>7</v>
      </c>
      <c r="C590" s="70">
        <v>19.039358140000001</v>
      </c>
      <c r="D590" s="4">
        <v>0</v>
      </c>
      <c r="E590" s="12">
        <f t="shared" si="104"/>
        <v>0</v>
      </c>
      <c r="F590" s="12">
        <f t="shared" si="105"/>
        <v>0</v>
      </c>
      <c r="G590" s="16">
        <f t="shared" si="107"/>
        <v>0.54603565523833575</v>
      </c>
      <c r="H590" s="14">
        <f t="shared" si="108"/>
        <v>0</v>
      </c>
      <c r="I590" s="14">
        <f t="shared" si="109"/>
        <v>13.131470812133122</v>
      </c>
      <c r="J590" s="14">
        <f t="shared" si="110"/>
        <v>0.12300714286397632</v>
      </c>
      <c r="K590" s="14">
        <f t="shared" si="111"/>
        <v>5.3479087066808123E-2</v>
      </c>
      <c r="L590" s="14">
        <f t="shared" si="112"/>
        <v>667.8174719887935</v>
      </c>
      <c r="M590" s="14">
        <f t="shared" si="106"/>
        <v>0.14227439154695365</v>
      </c>
      <c r="N590" s="14">
        <f t="shared" si="113"/>
        <v>3.640841200350863</v>
      </c>
      <c r="O590" s="4">
        <v>2.2200000000000002</v>
      </c>
      <c r="P590" s="14">
        <f t="shared" si="116"/>
        <v>2.0187897166144806</v>
      </c>
      <c r="Q590" s="14">
        <f t="shared" si="114"/>
        <v>18.60756764561879</v>
      </c>
    </row>
    <row r="591" spans="1:17" x14ac:dyDescent="0.25">
      <c r="A591" s="5" t="s">
        <v>648</v>
      </c>
      <c r="B591" s="6">
        <f t="shared" si="115"/>
        <v>7</v>
      </c>
      <c r="C591" s="70">
        <v>16.721508029999999</v>
      </c>
      <c r="D591" s="4">
        <v>0</v>
      </c>
      <c r="E591" s="12">
        <f t="shared" si="104"/>
        <v>0</v>
      </c>
      <c r="F591" s="12">
        <f t="shared" si="105"/>
        <v>0</v>
      </c>
      <c r="G591" s="16">
        <f t="shared" si="107"/>
        <v>0.4757071683019567</v>
      </c>
      <c r="H591" s="14">
        <f t="shared" si="108"/>
        <v>0</v>
      </c>
      <c r="I591" s="14">
        <f t="shared" si="109"/>
        <v>9.1991396823165719</v>
      </c>
      <c r="J591" s="14">
        <f t="shared" si="110"/>
        <v>7.0328486936379039E-2</v>
      </c>
      <c r="K591" s="14">
        <f t="shared" si="111"/>
        <v>5.0834352374570672E-2</v>
      </c>
      <c r="L591" s="14">
        <f t="shared" si="112"/>
        <v>667.67784233193879</v>
      </c>
      <c r="M591" s="14">
        <f t="shared" si="106"/>
        <v>0.1422440832928554</v>
      </c>
      <c r="N591" s="14">
        <f t="shared" si="113"/>
        <v>3.6400656037095294</v>
      </c>
      <c r="O591" s="4">
        <v>2.14</v>
      </c>
      <c r="P591" s="14">
        <f t="shared" si="116"/>
        <v>2.2501968154324343</v>
      </c>
      <c r="Q591" s="14">
        <f t="shared" si="114"/>
        <v>19.304151484699247</v>
      </c>
    </row>
    <row r="592" spans="1:17" x14ac:dyDescent="0.25">
      <c r="A592" s="5" t="s">
        <v>649</v>
      </c>
      <c r="B592" s="6">
        <f t="shared" si="115"/>
        <v>7</v>
      </c>
      <c r="C592" s="70">
        <v>17.498506549999998</v>
      </c>
      <c r="D592" s="4">
        <v>0</v>
      </c>
      <c r="E592" s="12">
        <f t="shared" si="104"/>
        <v>0</v>
      </c>
      <c r="F592" s="12">
        <f t="shared" si="105"/>
        <v>0</v>
      </c>
      <c r="G592" s="16">
        <f t="shared" si="107"/>
        <v>0.40565701207563604</v>
      </c>
      <c r="H592" s="14">
        <f t="shared" si="108"/>
        <v>0</v>
      </c>
      <c r="I592" s="14">
        <f t="shared" si="109"/>
        <v>10.517350663620009</v>
      </c>
      <c r="J592" s="14">
        <f t="shared" si="110"/>
        <v>7.0050156226320659E-2</v>
      </c>
      <c r="K592" s="14">
        <f t="shared" si="111"/>
        <v>4.8320409398795887E-2</v>
      </c>
      <c r="L592" s="14">
        <f t="shared" si="112"/>
        <v>667.53811219162174</v>
      </c>
      <c r="M592" s="14">
        <f t="shared" si="106"/>
        <v>0.14221378149522662</v>
      </c>
      <c r="N592" s="14">
        <f t="shared" si="113"/>
        <v>3.6392901722910418</v>
      </c>
      <c r="O592" s="4">
        <v>2.19</v>
      </c>
      <c r="P592" s="14">
        <f t="shared" si="116"/>
        <v>2.1004420034993978</v>
      </c>
      <c r="Q592" s="14">
        <f t="shared" si="114"/>
        <v>18.867286585273956</v>
      </c>
    </row>
    <row r="593" spans="1:17" x14ac:dyDescent="0.25">
      <c r="A593" s="5" t="s">
        <v>650</v>
      </c>
      <c r="B593" s="6">
        <f t="shared" si="115"/>
        <v>7</v>
      </c>
      <c r="C593" s="70">
        <v>18.23792267</v>
      </c>
      <c r="D593" s="4">
        <v>0</v>
      </c>
      <c r="E593" s="12">
        <f t="shared" si="104"/>
        <v>0</v>
      </c>
      <c r="F593" s="12">
        <f t="shared" si="105"/>
        <v>0</v>
      </c>
      <c r="G593" s="16">
        <f t="shared" si="107"/>
        <v>0.33879722698166803</v>
      </c>
      <c r="H593" s="14">
        <f t="shared" si="108"/>
        <v>0</v>
      </c>
      <c r="I593" s="14">
        <f t="shared" si="109"/>
        <v>11.771801507537683</v>
      </c>
      <c r="J593" s="14">
        <f t="shared" si="110"/>
        <v>6.6859785093968005E-2</v>
      </c>
      <c r="K593" s="14">
        <f t="shared" si="111"/>
        <v>4.5930790015045637E-2</v>
      </c>
      <c r="L593" s="14">
        <f t="shared" si="112"/>
        <v>667.39828802951024</v>
      </c>
      <c r="M593" s="14">
        <f t="shared" si="106"/>
        <v>0.14218348615269188</v>
      </c>
      <c r="N593" s="14">
        <f t="shared" si="113"/>
        <v>3.6385149060602053</v>
      </c>
      <c r="O593" s="4">
        <v>2.1800000000000002</v>
      </c>
      <c r="P593" s="14">
        <f t="shared" si="116"/>
        <v>2.1272657311998091</v>
      </c>
      <c r="Q593" s="14">
        <f t="shared" si="114"/>
        <v>18.95425956515901</v>
      </c>
    </row>
    <row r="594" spans="1:17" x14ac:dyDescent="0.25">
      <c r="A594" s="5" t="s">
        <v>651</v>
      </c>
      <c r="B594" s="6">
        <f t="shared" si="115"/>
        <v>7</v>
      </c>
      <c r="C594" s="70">
        <v>17.823251719999998</v>
      </c>
      <c r="D594" s="4">
        <v>0</v>
      </c>
      <c r="E594" s="12">
        <f t="shared" si="104"/>
        <v>0</v>
      </c>
      <c r="F594" s="12">
        <f t="shared" si="105"/>
        <v>0</v>
      </c>
      <c r="G594" s="16">
        <f t="shared" si="107"/>
        <v>0.28629428777218047</v>
      </c>
      <c r="H594" s="14">
        <f t="shared" si="108"/>
        <v>0</v>
      </c>
      <c r="I594" s="14">
        <f t="shared" si="109"/>
        <v>11.068294633525193</v>
      </c>
      <c r="J594" s="14">
        <f t="shared" si="110"/>
        <v>5.2502939209487572E-2</v>
      </c>
      <c r="K594" s="14">
        <f t="shared" si="111"/>
        <v>4.3659345971079178E-2</v>
      </c>
      <c r="L594" s="14">
        <f t="shared" si="112"/>
        <v>667.25837598740145</v>
      </c>
      <c r="M594" s="14">
        <f t="shared" si="106"/>
        <v>0.14215319726387615</v>
      </c>
      <c r="N594" s="14">
        <f t="shared" si="113"/>
        <v>3.6377398049818308</v>
      </c>
      <c r="O594" s="4">
        <v>2.16</v>
      </c>
      <c r="P594" s="14">
        <f t="shared" si="116"/>
        <v>2.1837149312277391</v>
      </c>
      <c r="Q594" s="14">
        <f t="shared" si="114"/>
        <v>19.128805524929131</v>
      </c>
    </row>
    <row r="595" spans="1:17" x14ac:dyDescent="0.25">
      <c r="A595" s="5" t="s">
        <v>652</v>
      </c>
      <c r="B595" s="6">
        <f t="shared" si="115"/>
        <v>7</v>
      </c>
      <c r="C595" s="70">
        <v>18.51002502</v>
      </c>
      <c r="D595" s="4">
        <v>0</v>
      </c>
      <c r="E595" s="12">
        <f t="shared" si="104"/>
        <v>0</v>
      </c>
      <c r="F595" s="12">
        <f t="shared" si="105"/>
        <v>0</v>
      </c>
      <c r="G595" s="16">
        <f t="shared" si="107"/>
        <v>0.23725725882642268</v>
      </c>
      <c r="H595" s="14">
        <f t="shared" si="108"/>
        <v>0</v>
      </c>
      <c r="I595" s="14">
        <f t="shared" si="109"/>
        <v>12.233434698046814</v>
      </c>
      <c r="J595" s="14">
        <f t="shared" si="110"/>
        <v>4.9037028945757795E-2</v>
      </c>
      <c r="K595" s="14">
        <f t="shared" si="111"/>
        <v>4.1500233068013641E-2</v>
      </c>
      <c r="L595" s="14">
        <f t="shared" si="112"/>
        <v>667.1183819030407</v>
      </c>
      <c r="M595" s="14">
        <f t="shared" si="106"/>
        <v>0.14212291482740458</v>
      </c>
      <c r="N595" s="14">
        <f t="shared" si="113"/>
        <v>3.6369648690207357</v>
      </c>
      <c r="O595" s="4">
        <v>2.19</v>
      </c>
      <c r="P595" s="14">
        <f t="shared" si="116"/>
        <v>2.0937073321801951</v>
      </c>
      <c r="Q595" s="14">
        <f t="shared" si="114"/>
        <v>18.867286585273956</v>
      </c>
    </row>
    <row r="596" spans="1:17" x14ac:dyDescent="0.25">
      <c r="A596" s="5" t="s">
        <v>653</v>
      </c>
      <c r="B596" s="6">
        <f t="shared" si="115"/>
        <v>7</v>
      </c>
      <c r="C596" s="70">
        <v>17.742698669999999</v>
      </c>
      <c r="D596" s="4">
        <v>0</v>
      </c>
      <c r="E596" s="12">
        <f t="shared" si="104"/>
        <v>0</v>
      </c>
      <c r="F596" s="12">
        <f t="shared" si="105"/>
        <v>0</v>
      </c>
      <c r="G596" s="16">
        <f t="shared" si="107"/>
        <v>0.20094380073386112</v>
      </c>
      <c r="H596" s="14">
        <f t="shared" si="108"/>
        <v>0</v>
      </c>
      <c r="I596" s="14">
        <f t="shared" si="109"/>
        <v>10.931632963838249</v>
      </c>
      <c r="J596" s="14">
        <f t="shared" si="110"/>
        <v>3.6313458092561555E-2</v>
      </c>
      <c r="K596" s="14">
        <f t="shared" si="111"/>
        <v>3.944789612378341E-2</v>
      </c>
      <c r="L596" s="14">
        <f t="shared" si="112"/>
        <v>666.97831132515751</v>
      </c>
      <c r="M596" s="14">
        <f t="shared" si="106"/>
        <v>0.14209263884190262</v>
      </c>
      <c r="N596" s="14">
        <f t="shared" si="113"/>
        <v>3.6361900981417441</v>
      </c>
      <c r="O596" s="4">
        <v>2.2000000000000002</v>
      </c>
      <c r="P596" s="14">
        <f t="shared" si="116"/>
        <v>2.0626419980003918</v>
      </c>
      <c r="Q596" s="14">
        <f t="shared" si="114"/>
        <v>18.780513605388901</v>
      </c>
    </row>
    <row r="597" spans="1:17" x14ac:dyDescent="0.25">
      <c r="A597" s="5" t="s">
        <v>654</v>
      </c>
      <c r="B597" s="6">
        <f t="shared" si="115"/>
        <v>8</v>
      </c>
      <c r="C597" s="70">
        <v>17.055852890000001</v>
      </c>
      <c r="D597" s="4">
        <v>0</v>
      </c>
      <c r="E597" s="12">
        <f t="shared" si="104"/>
        <v>0</v>
      </c>
      <c r="F597" s="12">
        <f t="shared" si="105"/>
        <v>0</v>
      </c>
      <c r="G597" s="16">
        <f t="shared" si="107"/>
        <v>0.17840271084710788</v>
      </c>
      <c r="H597" s="14">
        <f t="shared" si="108"/>
        <v>0</v>
      </c>
      <c r="I597" s="14">
        <f t="shared" si="109"/>
        <v>8.0119317323246158</v>
      </c>
      <c r="J597" s="14">
        <f t="shared" si="110"/>
        <v>2.2541089886753237E-2</v>
      </c>
      <c r="K597" s="14">
        <f t="shared" si="111"/>
        <v>3.7497054680210952E-2</v>
      </c>
      <c r="L597" s="14">
        <f t="shared" si="112"/>
        <v>666.83816952775919</v>
      </c>
      <c r="M597" s="14">
        <f t="shared" si="106"/>
        <v>0.14206236930599606</v>
      </c>
      <c r="N597" s="14">
        <f t="shared" si="113"/>
        <v>3.6354154923096904</v>
      </c>
      <c r="O597" s="4">
        <v>2.15</v>
      </c>
      <c r="P597" s="14">
        <f t="shared" si="116"/>
        <v>2.2064591847936401</v>
      </c>
      <c r="Q597" s="14">
        <f t="shared" si="114"/>
        <v>19.216378504814195</v>
      </c>
    </row>
    <row r="598" spans="1:17" x14ac:dyDescent="0.25">
      <c r="A598" s="5" t="s">
        <v>655</v>
      </c>
      <c r="B598" s="6">
        <f t="shared" si="115"/>
        <v>8</v>
      </c>
      <c r="C598" s="70">
        <v>17.75786591</v>
      </c>
      <c r="D598" s="4">
        <v>0</v>
      </c>
      <c r="E598" s="12">
        <f t="shared" si="104"/>
        <v>0</v>
      </c>
      <c r="F598" s="12">
        <f t="shared" si="105"/>
        <v>0</v>
      </c>
      <c r="G598" s="16">
        <f t="shared" si="107"/>
        <v>0.15566413901175397</v>
      </c>
      <c r="H598" s="14">
        <f t="shared" si="108"/>
        <v>0</v>
      </c>
      <c r="I598" s="14">
        <f t="shared" si="109"/>
        <v>9.1032962547905214</v>
      </c>
      <c r="J598" s="14">
        <f t="shared" si="110"/>
        <v>2.27385718353539E-2</v>
      </c>
      <c r="K598" s="14">
        <f t="shared" si="111"/>
        <v>3.564268941691482E-2</v>
      </c>
      <c r="L598" s="14">
        <f t="shared" si="112"/>
        <v>666.69796152371646</v>
      </c>
      <c r="M598" s="14">
        <f t="shared" si="106"/>
        <v>0.14203210621831097</v>
      </c>
      <c r="N598" s="14">
        <f t="shared" si="113"/>
        <v>3.6346410514894161</v>
      </c>
      <c r="O598" s="4">
        <v>2.11</v>
      </c>
      <c r="P598" s="14">
        <f t="shared" si="116"/>
        <v>2.3245303358867528</v>
      </c>
      <c r="Q598" s="14">
        <f t="shared" si="114"/>
        <v>19.568670424354416</v>
      </c>
    </row>
    <row r="599" spans="1:17" x14ac:dyDescent="0.25">
      <c r="A599" s="5" t="s">
        <v>656</v>
      </c>
      <c r="B599" s="6">
        <f t="shared" si="115"/>
        <v>8</v>
      </c>
      <c r="C599" s="70">
        <v>18.54711533</v>
      </c>
      <c r="D599" s="4">
        <v>0</v>
      </c>
      <c r="E599" s="12">
        <f t="shared" si="104"/>
        <v>0</v>
      </c>
      <c r="F599" s="12">
        <f t="shared" si="105"/>
        <v>0</v>
      </c>
      <c r="G599" s="16">
        <f t="shared" si="107"/>
        <v>0.13314956468309611</v>
      </c>
      <c r="H599" s="14">
        <f t="shared" si="108"/>
        <v>0</v>
      </c>
      <c r="I599" s="14">
        <f t="shared" si="109"/>
        <v>10.330280358824368</v>
      </c>
      <c r="J599" s="14">
        <f t="shared" si="110"/>
        <v>2.251457432865785E-2</v>
      </c>
      <c r="K599" s="14">
        <f t="shared" si="111"/>
        <v>3.3880029237099124E-2</v>
      </c>
      <c r="L599" s="14">
        <f t="shared" si="112"/>
        <v>666.55769207767798</v>
      </c>
      <c r="M599" s="14">
        <f t="shared" si="106"/>
        <v>0.14200184957747372</v>
      </c>
      <c r="N599" s="14">
        <f t="shared" si="113"/>
        <v>3.6338667756457688</v>
      </c>
      <c r="O599" s="4">
        <v>2.04</v>
      </c>
      <c r="P599" s="14">
        <f t="shared" si="116"/>
        <v>2.5404112985074394</v>
      </c>
      <c r="Q599" s="14">
        <f t="shared" si="114"/>
        <v>20.19288128354982</v>
      </c>
    </row>
    <row r="600" spans="1:17" x14ac:dyDescent="0.25">
      <c r="A600" s="5" t="s">
        <v>657</v>
      </c>
      <c r="B600" s="6">
        <f t="shared" si="115"/>
        <v>8</v>
      </c>
      <c r="C600" s="70">
        <v>17.906044009999999</v>
      </c>
      <c r="D600" s="4">
        <v>0</v>
      </c>
      <c r="E600" s="12">
        <f t="shared" si="104"/>
        <v>0</v>
      </c>
      <c r="F600" s="12">
        <f t="shared" si="105"/>
        <v>0</v>
      </c>
      <c r="G600" s="16">
        <f t="shared" si="107"/>
        <v>0.11574934820207267</v>
      </c>
      <c r="H600" s="14">
        <f t="shared" si="108"/>
        <v>0</v>
      </c>
      <c r="I600" s="14">
        <f t="shared" si="109"/>
        <v>9.3336571124088099</v>
      </c>
      <c r="J600" s="14">
        <f t="shared" si="110"/>
        <v>1.7400216481023432E-2</v>
      </c>
      <c r="K600" s="14">
        <f t="shared" si="111"/>
        <v>3.2204538991997544E-2</v>
      </c>
      <c r="L600" s="14">
        <f t="shared" si="112"/>
        <v>666.41736571834565</v>
      </c>
      <c r="M600" s="14">
        <f t="shared" si="106"/>
        <v>0.14197159938211093</v>
      </c>
      <c r="N600" s="14">
        <f t="shared" si="113"/>
        <v>3.6330926647436033</v>
      </c>
      <c r="O600" s="4">
        <v>2.1</v>
      </c>
      <c r="P600" s="14">
        <f t="shared" si="116"/>
        <v>2.350373118690642</v>
      </c>
      <c r="Q600" s="14">
        <f t="shared" si="114"/>
        <v>19.65724340423947</v>
      </c>
    </row>
    <row r="601" spans="1:17" x14ac:dyDescent="0.25">
      <c r="A601" s="5" t="s">
        <v>658</v>
      </c>
      <c r="B601" s="6">
        <f t="shared" si="115"/>
        <v>8</v>
      </c>
      <c r="C601" s="70">
        <v>17.570989610000002</v>
      </c>
      <c r="D601" s="4">
        <v>0</v>
      </c>
      <c r="E601" s="12">
        <f t="shared" si="104"/>
        <v>0</v>
      </c>
      <c r="F601" s="12">
        <f t="shared" si="105"/>
        <v>0</v>
      </c>
      <c r="G601" s="16">
        <f t="shared" si="107"/>
        <v>0.10146717609128465</v>
      </c>
      <c r="H601" s="14">
        <f t="shared" si="108"/>
        <v>0</v>
      </c>
      <c r="I601" s="14">
        <f t="shared" si="109"/>
        <v>8.8127743440862254</v>
      </c>
      <c r="J601" s="14">
        <f t="shared" si="110"/>
        <v>1.428217211078801E-2</v>
      </c>
      <c r="K601" s="14">
        <f t="shared" si="111"/>
        <v>3.0611907812388043E-2</v>
      </c>
      <c r="L601" s="14">
        <f t="shared" si="112"/>
        <v>666.27698675014312</v>
      </c>
      <c r="M601" s="14">
        <f t="shared" si="106"/>
        <v>0.14194135563084956</v>
      </c>
      <c r="N601" s="14">
        <f t="shared" si="113"/>
        <v>3.6323187187477823</v>
      </c>
      <c r="O601" s="4">
        <v>2.12</v>
      </c>
      <c r="P601" s="14">
        <f t="shared" si="116"/>
        <v>2.2871079070749336</v>
      </c>
      <c r="Q601" s="14">
        <f t="shared" si="114"/>
        <v>19.480297444469361</v>
      </c>
    </row>
    <row r="602" spans="1:17" x14ac:dyDescent="0.25">
      <c r="A602" s="5" t="s">
        <v>659</v>
      </c>
      <c r="B602" s="6">
        <f t="shared" si="115"/>
        <v>8</v>
      </c>
      <c r="C602" s="70">
        <v>18.003478999999999</v>
      </c>
      <c r="D602" s="4">
        <v>0</v>
      </c>
      <c r="E602" s="12">
        <f t="shared" si="104"/>
        <v>0</v>
      </c>
      <c r="F602" s="12">
        <f t="shared" si="105"/>
        <v>0</v>
      </c>
      <c r="G602" s="16">
        <f t="shared" si="107"/>
        <v>8.7992076154088092E-2</v>
      </c>
      <c r="H602" s="14">
        <f t="shared" si="108"/>
        <v>0</v>
      </c>
      <c r="I602" s="14">
        <f t="shared" si="109"/>
        <v>9.4851316410903728</v>
      </c>
      <c r="J602" s="14">
        <f t="shared" si="110"/>
        <v>1.3475099937196557E-2</v>
      </c>
      <c r="K602" s="14">
        <f t="shared" si="111"/>
        <v>2.9098038017156522E-2</v>
      </c>
      <c r="L602" s="14">
        <f t="shared" si="112"/>
        <v>666.13655926430749</v>
      </c>
      <c r="M602" s="14">
        <f t="shared" si="106"/>
        <v>0.14191111832231681</v>
      </c>
      <c r="N602" s="14">
        <f t="shared" si="113"/>
        <v>3.6315449376231772</v>
      </c>
      <c r="O602" s="4">
        <v>1.71</v>
      </c>
      <c r="P602" s="14">
        <f t="shared" si="116"/>
        <v>3.6923349473052602</v>
      </c>
      <c r="Q602" s="14">
        <f t="shared" si="114"/>
        <v>23.267589619756713</v>
      </c>
    </row>
    <row r="603" spans="1:17" x14ac:dyDescent="0.25">
      <c r="A603" s="5" t="s">
        <v>660</v>
      </c>
      <c r="B603" s="6">
        <f t="shared" si="115"/>
        <v>8</v>
      </c>
      <c r="C603" s="70">
        <v>18.059331889999999</v>
      </c>
      <c r="D603" s="4">
        <v>0</v>
      </c>
      <c r="E603" s="12">
        <f t="shared" ref="E603:E666" si="117">IF(C603&gt;$C$9,MAX(E602-$C$10*(C603-$C$9),0),E602+D603)</f>
        <v>0</v>
      </c>
      <c r="F603" s="12">
        <f t="shared" ref="F603:F666" si="118">IF(C603&gt;$C$9,D603+MIN(E602,$C$10*(C603-$C$9)),0)</f>
        <v>0</v>
      </c>
      <c r="G603" s="16">
        <f t="shared" si="107"/>
        <v>7.6199530197662887E-2</v>
      </c>
      <c r="H603" s="14">
        <f t="shared" si="108"/>
        <v>0</v>
      </c>
      <c r="I603" s="14">
        <f t="shared" si="109"/>
        <v>9.5719617437901654</v>
      </c>
      <c r="J603" s="14">
        <f t="shared" si="110"/>
        <v>1.1792545956425206E-2</v>
      </c>
      <c r="K603" s="14">
        <f t="shared" si="111"/>
        <v>2.7659034570372155E-2</v>
      </c>
      <c r="L603" s="14">
        <f t="shared" si="112"/>
        <v>665.99608714943201</v>
      </c>
      <c r="M603" s="14">
        <f t="shared" si="106"/>
        <v>0.14188088745514027</v>
      </c>
      <c r="N603" s="14">
        <f t="shared" si="113"/>
        <v>3.6307713213346662</v>
      </c>
      <c r="O603" s="4">
        <v>1.67</v>
      </c>
      <c r="P603" s="14">
        <f t="shared" si="116"/>
        <v>3.844624174568493</v>
      </c>
      <c r="Q603" s="14">
        <f t="shared" si="114"/>
        <v>23.655081539296944</v>
      </c>
    </row>
    <row r="604" spans="1:17" x14ac:dyDescent="0.25">
      <c r="A604" s="5" t="s">
        <v>661</v>
      </c>
      <c r="B604" s="6">
        <f t="shared" si="115"/>
        <v>8</v>
      </c>
      <c r="C604" s="70">
        <v>17.84964561</v>
      </c>
      <c r="D604" s="4">
        <v>0</v>
      </c>
      <c r="E604" s="12">
        <f t="shared" si="117"/>
        <v>0</v>
      </c>
      <c r="F604" s="12">
        <f t="shared" si="118"/>
        <v>0</v>
      </c>
      <c r="G604" s="16">
        <f t="shared" si="107"/>
        <v>6.6335185214928011E-2</v>
      </c>
      <c r="H604" s="14">
        <f t="shared" si="108"/>
        <v>0</v>
      </c>
      <c r="I604" s="14">
        <f t="shared" si="109"/>
        <v>9.2459789481436516</v>
      </c>
      <c r="J604" s="14">
        <f t="shared" si="110"/>
        <v>9.8643449827348698E-3</v>
      </c>
      <c r="K604" s="14">
        <f t="shared" si="111"/>
        <v>2.6291195059748581E-2</v>
      </c>
      <c r="L604" s="14">
        <f t="shared" si="112"/>
        <v>665.85557410148749</v>
      </c>
      <c r="M604" s="14">
        <f t="shared" si="106"/>
        <v>0.14185066302794769</v>
      </c>
      <c r="N604" s="14">
        <f t="shared" si="113"/>
        <v>3.6299978698471334</v>
      </c>
      <c r="O604" s="4">
        <v>1.61</v>
      </c>
      <c r="P604" s="14">
        <f t="shared" si="116"/>
        <v>4.0803913941869547</v>
      </c>
      <c r="Q604" s="14">
        <f t="shared" si="114"/>
        <v>24.242319418607284</v>
      </c>
    </row>
    <row r="605" spans="1:17" x14ac:dyDescent="0.25">
      <c r="A605" s="5" t="s">
        <v>662</v>
      </c>
      <c r="B605" s="6">
        <f t="shared" si="115"/>
        <v>8</v>
      </c>
      <c r="C605" s="70">
        <v>17.348772050000001</v>
      </c>
      <c r="D605" s="4">
        <v>0</v>
      </c>
      <c r="E605" s="12">
        <f t="shared" si="117"/>
        <v>0</v>
      </c>
      <c r="F605" s="12">
        <f t="shared" si="118"/>
        <v>0</v>
      </c>
      <c r="G605" s="16">
        <f t="shared" si="107"/>
        <v>5.8471022834171882E-2</v>
      </c>
      <c r="H605" s="14">
        <f t="shared" si="108"/>
        <v>0</v>
      </c>
      <c r="I605" s="14">
        <f t="shared" si="109"/>
        <v>8.4673101513381486</v>
      </c>
      <c r="J605" s="14">
        <f t="shared" si="110"/>
        <v>7.8641623807561289E-3</v>
      </c>
      <c r="K605" s="14">
        <f t="shared" si="111"/>
        <v>2.4991000170706525E-2</v>
      </c>
      <c r="L605" s="14">
        <f t="shared" si="112"/>
        <v>665.71502363334855</v>
      </c>
      <c r="M605" s="14">
        <f t="shared" si="106"/>
        <v>0.14182044503936722</v>
      </c>
      <c r="N605" s="14">
        <f t="shared" si="113"/>
        <v>3.6292245831254735</v>
      </c>
      <c r="O605" s="4">
        <v>1.64</v>
      </c>
      <c r="P605" s="14">
        <f t="shared" si="116"/>
        <v>3.9570144421107143</v>
      </c>
      <c r="Q605" s="14">
        <f t="shared" si="114"/>
        <v>23.947800478952118</v>
      </c>
    </row>
    <row r="606" spans="1:17" x14ac:dyDescent="0.25">
      <c r="A606" s="5" t="s">
        <v>663</v>
      </c>
      <c r="B606" s="6">
        <f t="shared" si="115"/>
        <v>8</v>
      </c>
      <c r="C606" s="70">
        <v>17.309873580000001</v>
      </c>
      <c r="D606" s="4">
        <v>0</v>
      </c>
      <c r="E606" s="12">
        <f t="shared" si="117"/>
        <v>0</v>
      </c>
      <c r="F606" s="12">
        <f t="shared" si="118"/>
        <v>0</v>
      </c>
      <c r="G606" s="16">
        <f t="shared" si="107"/>
        <v>5.1588678214711609E-2</v>
      </c>
      <c r="H606" s="14">
        <f t="shared" si="108"/>
        <v>0</v>
      </c>
      <c r="I606" s="14">
        <f t="shared" si="109"/>
        <v>8.4068377542076735</v>
      </c>
      <c r="J606" s="14">
        <f t="shared" si="110"/>
        <v>6.8823446194602742E-3</v>
      </c>
      <c r="K606" s="14">
        <f t="shared" si="111"/>
        <v>2.375510463152853E-2</v>
      </c>
      <c r="L606" s="14">
        <f t="shared" si="112"/>
        <v>665.57443908384835</v>
      </c>
      <c r="M606" s="14">
        <f t="shared" si="106"/>
        <v>0.14179023348802727</v>
      </c>
      <c r="N606" s="14">
        <f t="shared" si="113"/>
        <v>3.6284514611345866</v>
      </c>
      <c r="O606" s="4">
        <v>1.59</v>
      </c>
      <c r="P606" s="14">
        <f t="shared" si="116"/>
        <v>4.1552843594017315</v>
      </c>
      <c r="Q606" s="14">
        <f t="shared" si="114"/>
        <v>24.439665378377402</v>
      </c>
    </row>
    <row r="607" spans="1:17" x14ac:dyDescent="0.25">
      <c r="A607" s="5" t="s">
        <v>664</v>
      </c>
      <c r="B607" s="6">
        <f t="shared" si="115"/>
        <v>8</v>
      </c>
      <c r="C607" s="70">
        <v>17.112215039999999</v>
      </c>
      <c r="D607" s="4">
        <v>0</v>
      </c>
      <c r="E607" s="12">
        <f t="shared" si="117"/>
        <v>0</v>
      </c>
      <c r="F607" s="12">
        <f t="shared" si="118"/>
        <v>0</v>
      </c>
      <c r="G607" s="16">
        <f t="shared" si="107"/>
        <v>4.5738372791477522E-2</v>
      </c>
      <c r="H607" s="14">
        <f t="shared" si="108"/>
        <v>0</v>
      </c>
      <c r="I607" s="14">
        <f t="shared" si="109"/>
        <v>8.0995535415610043</v>
      </c>
      <c r="J607" s="14">
        <f t="shared" si="110"/>
        <v>5.8503054232340876E-3</v>
      </c>
      <c r="K607" s="14">
        <f t="shared" si="111"/>
        <v>2.2580328606308625E-2</v>
      </c>
      <c r="L607" s="14">
        <f t="shared" si="112"/>
        <v>665.43382362638556</v>
      </c>
      <c r="M607" s="14">
        <f t="shared" ref="M607:M670" si="119">MAX(0,K607-$F$9)*$F$8+K607*$F$10+L607*$F$11</f>
        <v>0.14176002837255652</v>
      </c>
      <c r="N607" s="14">
        <f t="shared" si="113"/>
        <v>3.6276785038393804</v>
      </c>
      <c r="O607" s="4">
        <v>1.62</v>
      </c>
      <c r="P607" s="14">
        <f t="shared" si="116"/>
        <v>4.0307729747787322</v>
      </c>
      <c r="Q607" s="14">
        <f t="shared" si="114"/>
        <v>24.143946438722228</v>
      </c>
    </row>
    <row r="608" spans="1:17" x14ac:dyDescent="0.25">
      <c r="A608" s="5" t="s">
        <v>665</v>
      </c>
      <c r="B608" s="6">
        <f t="shared" si="115"/>
        <v>8</v>
      </c>
      <c r="C608" s="70">
        <v>16.017704009999999</v>
      </c>
      <c r="D608" s="4">
        <v>0</v>
      </c>
      <c r="E608" s="12">
        <f t="shared" si="117"/>
        <v>0</v>
      </c>
      <c r="F608" s="12">
        <f t="shared" si="118"/>
        <v>0</v>
      </c>
      <c r="G608" s="16">
        <f t="shared" ref="G608:G671" si="120">G607+F608-H608-J608</f>
        <v>4.1641162831034584E-2</v>
      </c>
      <c r="H608" s="14">
        <f t="shared" ref="H608:H671" si="121">(F608*(G607/$C$11)^$C$12)</f>
        <v>0</v>
      </c>
      <c r="I608" s="14">
        <f t="shared" ref="I608:I671" si="122">(1+$C$13*(C608-INDEX($A$16:$A$27,B608)))*INDEX($C$16:$C$27,B608)</f>
        <v>6.3980031805867625</v>
      </c>
      <c r="J608" s="14">
        <f t="shared" ref="J608:J671" si="123">IF(G607&gt;$F$13,I608,I608*(G607/$F$13))</f>
        <v>4.0972099604429371E-3</v>
      </c>
      <c r="K608" s="14">
        <f t="shared" ref="K608:K671" si="124">K607+H608-MAX(0,K607-$F$9)*$F$8-K607*$F$10-K607*$F$12</f>
        <v>2.1463649513551807E-2</v>
      </c>
      <c r="L608" s="14">
        <f t="shared" ref="L608:L671" si="125">L607+K607*$F$12-L607*$F$11</f>
        <v>665.29318027710576</v>
      </c>
      <c r="M608" s="14">
        <f t="shared" si="119"/>
        <v>0.14172982969158396</v>
      </c>
      <c r="N608" s="14">
        <f t="shared" ref="N608:N671" si="126">M608*$C$8*1000/(24*3600)</f>
        <v>3.6269057112047705</v>
      </c>
      <c r="O608" s="4">
        <v>1.7</v>
      </c>
      <c r="P608" s="14">
        <f t="shared" si="116"/>
        <v>3.7129656198735623</v>
      </c>
      <c r="Q608" s="14">
        <f t="shared" ref="Q608:Q671" si="127">(O608-$F$23)^2</f>
        <v>23.364162599641769</v>
      </c>
    </row>
    <row r="609" spans="1:17" x14ac:dyDescent="0.25">
      <c r="A609" s="5" t="s">
        <v>666</v>
      </c>
      <c r="B609" s="6">
        <f t="shared" ref="B609:B672" si="128">MONTH(A609)</f>
        <v>8</v>
      </c>
      <c r="C609" s="70">
        <v>17.221309659999999</v>
      </c>
      <c r="D609" s="4">
        <v>0</v>
      </c>
      <c r="E609" s="12">
        <f t="shared" si="117"/>
        <v>0</v>
      </c>
      <c r="F609" s="12">
        <f t="shared" si="118"/>
        <v>0</v>
      </c>
      <c r="G609" s="16">
        <f t="shared" si="120"/>
        <v>3.6820053203093686E-2</v>
      </c>
      <c r="H609" s="14">
        <f t="shared" si="121"/>
        <v>0</v>
      </c>
      <c r="I609" s="14">
        <f t="shared" si="122"/>
        <v>8.2691543815281889</v>
      </c>
      <c r="J609" s="14">
        <f t="shared" si="123"/>
        <v>4.8211096279408968E-3</v>
      </c>
      <c r="K609" s="14">
        <f t="shared" si="124"/>
        <v>2.0402194249373454E-2</v>
      </c>
      <c r="L609" s="14">
        <f t="shared" si="125"/>
        <v>665.15251190267838</v>
      </c>
      <c r="M609" s="14">
        <f t="shared" si="119"/>
        <v>0.14169963744373884</v>
      </c>
      <c r="N609" s="14">
        <f t="shared" si="126"/>
        <v>3.6261330831956782</v>
      </c>
      <c r="O609" s="4">
        <v>1.79</v>
      </c>
      <c r="P609" s="14">
        <f t="shared" ref="P609:P672" si="129">(O609-N609)^2</f>
        <v>3.3713846992056671</v>
      </c>
      <c r="Q609" s="14">
        <f t="shared" si="127"/>
        <v>22.502205780676253</v>
      </c>
    </row>
    <row r="610" spans="1:17" x14ac:dyDescent="0.25">
      <c r="A610" s="5" t="s">
        <v>667</v>
      </c>
      <c r="B610" s="6">
        <f t="shared" si="128"/>
        <v>8</v>
      </c>
      <c r="C610" s="70">
        <v>17.662742609999999</v>
      </c>
      <c r="D610" s="4">
        <v>0</v>
      </c>
      <c r="E610" s="12">
        <f t="shared" si="117"/>
        <v>0</v>
      </c>
      <c r="F610" s="12">
        <f t="shared" si="118"/>
        <v>0</v>
      </c>
      <c r="G610" s="16">
        <f t="shared" si="120"/>
        <v>3.2203336647038346E-2</v>
      </c>
      <c r="H610" s="14">
        <f t="shared" si="121"/>
        <v>0</v>
      </c>
      <c r="I610" s="14">
        <f t="shared" si="122"/>
        <v>8.9554155290457444</v>
      </c>
      <c r="J610" s="14">
        <f t="shared" si="123"/>
        <v>4.6167165560553405E-3</v>
      </c>
      <c r="K610" s="14">
        <f t="shared" si="124"/>
        <v>1.9393231795289699E-2</v>
      </c>
      <c r="L610" s="14">
        <f t="shared" si="125"/>
        <v>665.01182122768864</v>
      </c>
      <c r="M610" s="14">
        <f t="shared" si="119"/>
        <v>0.14166945162765077</v>
      </c>
      <c r="N610" s="14">
        <f t="shared" si="126"/>
        <v>3.6253606197770352</v>
      </c>
      <c r="O610" s="4">
        <v>3.5</v>
      </c>
      <c r="P610" s="14">
        <f t="shared" si="129"/>
        <v>1.5715284990882379E-2</v>
      </c>
      <c r="Q610" s="14">
        <f t="shared" si="127"/>
        <v>9.2030262203314432</v>
      </c>
    </row>
    <row r="611" spans="1:17" x14ac:dyDescent="0.25">
      <c r="A611" s="5" t="s">
        <v>668</v>
      </c>
      <c r="B611" s="6">
        <f t="shared" si="128"/>
        <v>8</v>
      </c>
      <c r="C611" s="70">
        <v>17.323560709999999</v>
      </c>
      <c r="D611" s="4">
        <v>0</v>
      </c>
      <c r="E611" s="12">
        <f t="shared" si="117"/>
        <v>0</v>
      </c>
      <c r="F611" s="12">
        <f t="shared" si="118"/>
        <v>0</v>
      </c>
      <c r="G611" s="16">
        <f t="shared" si="120"/>
        <v>2.8403241786898337E-2</v>
      </c>
      <c r="H611" s="14">
        <f t="shared" si="121"/>
        <v>0</v>
      </c>
      <c r="I611" s="14">
        <f t="shared" si="122"/>
        <v>8.4281160605507335</v>
      </c>
      <c r="J611" s="14">
        <f t="shared" si="123"/>
        <v>3.8000948601400087E-3</v>
      </c>
      <c r="K611" s="14">
        <f t="shared" si="124"/>
        <v>1.8434166191579379E-2</v>
      </c>
      <c r="L611" s="14">
        <f t="shared" si="125"/>
        <v>664.87111084166463</v>
      </c>
      <c r="M611" s="14">
        <f t="shared" si="119"/>
        <v>0.14163927224194964</v>
      </c>
      <c r="N611" s="14">
        <f t="shared" si="126"/>
        <v>3.6245883209137806</v>
      </c>
      <c r="O611" s="4">
        <v>3.94</v>
      </c>
      <c r="P611" s="14">
        <f t="shared" si="129"/>
        <v>9.9484527303988227E-2</v>
      </c>
      <c r="Q611" s="14">
        <f t="shared" si="127"/>
        <v>6.7270151053889187</v>
      </c>
    </row>
    <row r="612" spans="1:17" x14ac:dyDescent="0.25">
      <c r="A612" s="5" t="s">
        <v>669</v>
      </c>
      <c r="B612" s="6">
        <f t="shared" si="128"/>
        <v>8</v>
      </c>
      <c r="C612" s="70">
        <v>17.96853638</v>
      </c>
      <c r="D612" s="4">
        <v>0</v>
      </c>
      <c r="E612" s="12">
        <f t="shared" si="117"/>
        <v>0</v>
      </c>
      <c r="F612" s="12">
        <f t="shared" si="118"/>
        <v>0</v>
      </c>
      <c r="G612" s="16">
        <f t="shared" si="120"/>
        <v>2.4652821642722627E-2</v>
      </c>
      <c r="H612" s="14">
        <f t="shared" si="121"/>
        <v>0</v>
      </c>
      <c r="I612" s="14">
        <f t="shared" si="122"/>
        <v>9.4308090933547088</v>
      </c>
      <c r="J612" s="14">
        <f t="shared" si="123"/>
        <v>3.7504201441757104E-3</v>
      </c>
      <c r="K612" s="14">
        <f t="shared" si="124"/>
        <v>1.752252985813868E-2</v>
      </c>
      <c r="L612" s="14">
        <f t="shared" si="125"/>
        <v>664.73038320575608</v>
      </c>
      <c r="M612" s="14">
        <f t="shared" si="119"/>
        <v>0.14160909928526552</v>
      </c>
      <c r="N612" s="14">
        <f t="shared" si="126"/>
        <v>3.6238161865708576</v>
      </c>
      <c r="O612" s="4">
        <v>1.61</v>
      </c>
      <c r="P612" s="14">
        <f t="shared" si="129"/>
        <v>4.055455633294792</v>
      </c>
      <c r="Q612" s="14">
        <f t="shared" si="127"/>
        <v>24.242319418607284</v>
      </c>
    </row>
    <row r="613" spans="1:17" x14ac:dyDescent="0.25">
      <c r="A613" s="5" t="s">
        <v>670</v>
      </c>
      <c r="B613" s="6">
        <f t="shared" si="128"/>
        <v>8</v>
      </c>
      <c r="C613" s="70">
        <v>18.61847878</v>
      </c>
      <c r="D613" s="4">
        <v>0</v>
      </c>
      <c r="E613" s="12">
        <f t="shared" si="117"/>
        <v>0</v>
      </c>
      <c r="F613" s="12">
        <f t="shared" si="118"/>
        <v>0</v>
      </c>
      <c r="G613" s="16">
        <f t="shared" si="120"/>
        <v>2.1048852327794451E-2</v>
      </c>
      <c r="H613" s="14">
        <f t="shared" si="121"/>
        <v>0</v>
      </c>
      <c r="I613" s="14">
        <f t="shared" si="122"/>
        <v>10.44122351131856</v>
      </c>
      <c r="J613" s="14">
        <f t="shared" si="123"/>
        <v>3.6039693149281776E-3</v>
      </c>
      <c r="K613" s="14">
        <f t="shared" si="124"/>
        <v>1.6655977245643758E-2</v>
      </c>
      <c r="L613" s="14">
        <f t="shared" si="125"/>
        <v>664.58964065908333</v>
      </c>
      <c r="M613" s="14">
        <f t="shared" si="119"/>
        <v>0.14157893275622893</v>
      </c>
      <c r="N613" s="14">
        <f t="shared" si="126"/>
        <v>3.6230442167132195</v>
      </c>
      <c r="O613" s="4">
        <v>1.63</v>
      </c>
      <c r="P613" s="14">
        <f t="shared" si="129"/>
        <v>3.9722252497740111</v>
      </c>
      <c r="Q613" s="14">
        <f t="shared" si="127"/>
        <v>24.045773458837171</v>
      </c>
    </row>
    <row r="614" spans="1:17" x14ac:dyDescent="0.25">
      <c r="A614" s="5" t="s">
        <v>671</v>
      </c>
      <c r="B614" s="6">
        <f t="shared" si="128"/>
        <v>8</v>
      </c>
      <c r="C614" s="70">
        <v>17.805669779999999</v>
      </c>
      <c r="D614" s="4">
        <v>0</v>
      </c>
      <c r="E614" s="12">
        <f t="shared" si="117"/>
        <v>0</v>
      </c>
      <c r="F614" s="12">
        <f t="shared" si="118"/>
        <v>0</v>
      </c>
      <c r="G614" s="16">
        <f t="shared" si="120"/>
        <v>1.8344139078530892E-2</v>
      </c>
      <c r="H614" s="14">
        <f t="shared" si="121"/>
        <v>0</v>
      </c>
      <c r="I614" s="14">
        <f t="shared" si="122"/>
        <v>9.1776131780785999</v>
      </c>
      <c r="J614" s="14">
        <f t="shared" si="123"/>
        <v>2.7047132492635604E-3</v>
      </c>
      <c r="K614" s="14">
        <f t="shared" si="124"/>
        <v>1.5832278800686352E-2</v>
      </c>
      <c r="L614" s="14">
        <f t="shared" si="125"/>
        <v>664.44888542477202</v>
      </c>
      <c r="M614" s="14">
        <f t="shared" si="119"/>
        <v>0.14154877265347057</v>
      </c>
      <c r="N614" s="14">
        <f t="shared" si="126"/>
        <v>3.6222724113058264</v>
      </c>
      <c r="O614" s="4">
        <v>1.62</v>
      </c>
      <c r="P614" s="14">
        <f t="shared" si="129"/>
        <v>4.0090948090764478</v>
      </c>
      <c r="Q614" s="14">
        <f t="shared" si="127"/>
        <v>24.143946438722228</v>
      </c>
    </row>
    <row r="615" spans="1:17" x14ac:dyDescent="0.25">
      <c r="A615" s="5" t="s">
        <v>672</v>
      </c>
      <c r="B615" s="6">
        <f t="shared" si="128"/>
        <v>8</v>
      </c>
      <c r="C615" s="70">
        <v>17.937864300000001</v>
      </c>
      <c r="D615" s="4">
        <v>0</v>
      </c>
      <c r="E615" s="12">
        <f t="shared" si="117"/>
        <v>0</v>
      </c>
      <c r="F615" s="12">
        <f t="shared" si="118"/>
        <v>0</v>
      </c>
      <c r="G615" s="16">
        <f t="shared" si="120"/>
        <v>1.5934189683105466E-2</v>
      </c>
      <c r="H615" s="14">
        <f t="shared" si="121"/>
        <v>0</v>
      </c>
      <c r="I615" s="14">
        <f t="shared" si="122"/>
        <v>9.383125618848446</v>
      </c>
      <c r="J615" s="14">
        <f t="shared" si="123"/>
        <v>2.4099493954254257E-3</v>
      </c>
      <c r="K615" s="14">
        <f t="shared" si="124"/>
        <v>1.5049315229355329E-2</v>
      </c>
      <c r="L615" s="14">
        <f t="shared" si="125"/>
        <v>664.30811961568986</v>
      </c>
      <c r="M615" s="14">
        <f t="shared" si="119"/>
        <v>0.14151861897562151</v>
      </c>
      <c r="N615" s="14">
        <f t="shared" si="126"/>
        <v>3.6215007703136481</v>
      </c>
      <c r="O615" s="4">
        <v>1.67</v>
      </c>
      <c r="P615" s="14">
        <f t="shared" si="129"/>
        <v>3.8083552565347625</v>
      </c>
      <c r="Q615" s="14">
        <f t="shared" si="127"/>
        <v>23.655081539296944</v>
      </c>
    </row>
    <row r="616" spans="1:17" x14ac:dyDescent="0.25">
      <c r="A616" s="5" t="s">
        <v>673</v>
      </c>
      <c r="B616" s="6">
        <f t="shared" si="128"/>
        <v>8</v>
      </c>
      <c r="C616" s="70">
        <v>17.57220268</v>
      </c>
      <c r="D616" s="4">
        <v>0</v>
      </c>
      <c r="E616" s="12">
        <f t="shared" si="117"/>
        <v>0</v>
      </c>
      <c r="F616" s="12">
        <f t="shared" si="118"/>
        <v>0</v>
      </c>
      <c r="G616" s="16">
        <f t="shared" si="120"/>
        <v>1.3967668555609982E-2</v>
      </c>
      <c r="H616" s="14">
        <f t="shared" si="121"/>
        <v>0</v>
      </c>
      <c r="I616" s="14">
        <f t="shared" si="122"/>
        <v>8.8146602087690002</v>
      </c>
      <c r="J616" s="14">
        <f t="shared" si="123"/>
        <v>1.9665211274954831E-3</v>
      </c>
      <c r="K616" s="14">
        <f t="shared" si="124"/>
        <v>1.4305072044504921E-2</v>
      </c>
      <c r="L616" s="14">
        <f t="shared" si="125"/>
        <v>664.16734523989908</v>
      </c>
      <c r="M616" s="14">
        <f t="shared" si="119"/>
        <v>0.14148847172131304</v>
      </c>
      <c r="N616" s="14">
        <f t="shared" si="126"/>
        <v>3.6207292937016562</v>
      </c>
      <c r="O616" s="4">
        <v>1.64</v>
      </c>
      <c r="P616" s="14">
        <f t="shared" si="129"/>
        <v>3.9232885349278623</v>
      </c>
      <c r="Q616" s="14">
        <f t="shared" si="127"/>
        <v>23.947800478952118</v>
      </c>
    </row>
    <row r="617" spans="1:17" x14ac:dyDescent="0.25">
      <c r="A617" s="5" t="s">
        <v>674</v>
      </c>
      <c r="B617" s="6">
        <f t="shared" si="128"/>
        <v>8</v>
      </c>
      <c r="C617" s="70">
        <v>18.78966904</v>
      </c>
      <c r="D617" s="4">
        <v>0</v>
      </c>
      <c r="E617" s="12">
        <f t="shared" si="117"/>
        <v>0</v>
      </c>
      <c r="F617" s="12">
        <f t="shared" si="118"/>
        <v>0</v>
      </c>
      <c r="G617" s="16">
        <f t="shared" si="120"/>
        <v>1.187370380619659E-2</v>
      </c>
      <c r="H617" s="14">
        <f t="shared" si="121"/>
        <v>0</v>
      </c>
      <c r="I617" s="14">
        <f t="shared" si="122"/>
        <v>10.707359567250563</v>
      </c>
      <c r="J617" s="14">
        <f t="shared" si="123"/>
        <v>2.0939647494133927E-3</v>
      </c>
      <c r="K617" s="14">
        <f t="shared" si="124"/>
        <v>1.3597634382680295E-2</v>
      </c>
      <c r="L617" s="14">
        <f t="shared" si="125"/>
        <v>664.02656420583958</v>
      </c>
      <c r="M617" s="14">
        <f t="shared" si="119"/>
        <v>0.14145833088917678</v>
      </c>
      <c r="N617" s="14">
        <f t="shared" si="126"/>
        <v>3.6199579814348364</v>
      </c>
      <c r="O617" s="4">
        <v>1.67</v>
      </c>
      <c r="P617" s="14">
        <f t="shared" si="129"/>
        <v>3.802336129361422</v>
      </c>
      <c r="Q617" s="14">
        <f t="shared" si="127"/>
        <v>23.655081539296944</v>
      </c>
    </row>
    <row r="618" spans="1:17" x14ac:dyDescent="0.25">
      <c r="A618" s="5" t="s">
        <v>675</v>
      </c>
      <c r="B618" s="6">
        <f t="shared" si="128"/>
        <v>8</v>
      </c>
      <c r="C618" s="70">
        <v>18.439636230000001</v>
      </c>
      <c r="D618" s="4">
        <v>0</v>
      </c>
      <c r="E618" s="12">
        <f t="shared" si="117"/>
        <v>0</v>
      </c>
      <c r="F618" s="12">
        <f t="shared" si="118"/>
        <v>0</v>
      </c>
      <c r="G618" s="16">
        <f t="shared" si="120"/>
        <v>1.0184121477425827E-2</v>
      </c>
      <c r="H618" s="14">
        <f t="shared" si="121"/>
        <v>0</v>
      </c>
      <c r="I618" s="14">
        <f t="shared" si="122"/>
        <v>10.163191040955926</v>
      </c>
      <c r="J618" s="14">
        <f t="shared" si="123"/>
        <v>1.6895823287707632E-3</v>
      </c>
      <c r="K618" s="14">
        <f t="shared" si="124"/>
        <v>1.2925182077364945E-2</v>
      </c>
      <c r="L618" s="14">
        <f t="shared" si="125"/>
        <v>663.88577832725582</v>
      </c>
      <c r="M618" s="14">
        <f t="shared" si="119"/>
        <v>0.14142819647784466</v>
      </c>
      <c r="N618" s="14">
        <f t="shared" si="126"/>
        <v>3.6191868334781772</v>
      </c>
      <c r="O618" s="4">
        <v>1.93</v>
      </c>
      <c r="P618" s="14">
        <f t="shared" si="129"/>
        <v>2.8533521583960311</v>
      </c>
      <c r="Q618" s="14">
        <f t="shared" si="127"/>
        <v>21.193584062285453</v>
      </c>
    </row>
    <row r="619" spans="1:17" x14ac:dyDescent="0.25">
      <c r="A619" s="5" t="s">
        <v>676</v>
      </c>
      <c r="B619" s="6">
        <f t="shared" si="128"/>
        <v>8</v>
      </c>
      <c r="C619" s="70">
        <v>18.377372739999998</v>
      </c>
      <c r="D619" s="4">
        <v>0</v>
      </c>
      <c r="E619" s="12">
        <f t="shared" si="117"/>
        <v>0</v>
      </c>
      <c r="F619" s="12">
        <f t="shared" si="118"/>
        <v>0</v>
      </c>
      <c r="G619" s="16">
        <f t="shared" si="120"/>
        <v>8.7487622946550783E-3</v>
      </c>
      <c r="H619" s="14">
        <f t="shared" si="121"/>
        <v>0</v>
      </c>
      <c r="I619" s="14">
        <f t="shared" si="122"/>
        <v>10.066394881775127</v>
      </c>
      <c r="J619" s="14">
        <f t="shared" si="123"/>
        <v>1.4353591827707486E-3</v>
      </c>
      <c r="K619" s="14">
        <f t="shared" si="124"/>
        <v>1.2285984975873864E-2</v>
      </c>
      <c r="L619" s="14">
        <f t="shared" si="125"/>
        <v>663.74498932787947</v>
      </c>
      <c r="M619" s="14">
        <f t="shared" si="119"/>
        <v>0.14139806848594885</v>
      </c>
      <c r="N619" s="14">
        <f t="shared" si="126"/>
        <v>3.6184158497966772</v>
      </c>
      <c r="O619" s="4">
        <v>1.97</v>
      </c>
      <c r="P619" s="14">
        <f t="shared" si="129"/>
        <v>2.7172748138609015</v>
      </c>
      <c r="Q619" s="14">
        <f t="shared" si="127"/>
        <v>20.826892142745223</v>
      </c>
    </row>
    <row r="620" spans="1:17" x14ac:dyDescent="0.25">
      <c r="A620" s="5" t="s">
        <v>677</v>
      </c>
      <c r="B620" s="6">
        <f t="shared" si="128"/>
        <v>8</v>
      </c>
      <c r="C620" s="70">
        <v>18.714973449999999</v>
      </c>
      <c r="D620" s="4">
        <v>0</v>
      </c>
      <c r="E620" s="12">
        <f t="shared" si="117"/>
        <v>0</v>
      </c>
      <c r="F620" s="12">
        <f t="shared" si="118"/>
        <v>0</v>
      </c>
      <c r="G620" s="16">
        <f t="shared" si="120"/>
        <v>7.4514147667870557E-3</v>
      </c>
      <c r="H620" s="14">
        <f t="shared" si="121"/>
        <v>0</v>
      </c>
      <c r="I620" s="14">
        <f t="shared" si="122"/>
        <v>10.591236198326921</v>
      </c>
      <c r="J620" s="14">
        <f t="shared" si="123"/>
        <v>1.2973475278680224E-3</v>
      </c>
      <c r="K620" s="14">
        <f t="shared" si="124"/>
        <v>1.1678398487843317E-2</v>
      </c>
      <c r="L620" s="14">
        <f t="shared" si="125"/>
        <v>663.60419884588157</v>
      </c>
      <c r="M620" s="14">
        <f t="shared" si="119"/>
        <v>0.14136794691212184</v>
      </c>
      <c r="N620" s="14">
        <f t="shared" si="126"/>
        <v>3.61764503035534</v>
      </c>
      <c r="O620" s="4">
        <v>1.89</v>
      </c>
      <c r="P620" s="14">
        <f t="shared" si="129"/>
        <v>2.984757350911504</v>
      </c>
      <c r="Q620" s="14">
        <f t="shared" si="127"/>
        <v>21.563475981825682</v>
      </c>
    </row>
    <row r="621" spans="1:17" x14ac:dyDescent="0.25">
      <c r="A621" s="5" t="s">
        <v>678</v>
      </c>
      <c r="B621" s="6">
        <f t="shared" si="128"/>
        <v>8</v>
      </c>
      <c r="C621" s="70">
        <v>17.645729060000001</v>
      </c>
      <c r="D621" s="4">
        <v>0</v>
      </c>
      <c r="E621" s="12">
        <f t="shared" si="117"/>
        <v>0</v>
      </c>
      <c r="F621" s="12">
        <f t="shared" si="118"/>
        <v>0</v>
      </c>
      <c r="G621" s="16">
        <f t="shared" si="120"/>
        <v>6.5198716509114992E-3</v>
      </c>
      <c r="H621" s="14">
        <f t="shared" si="121"/>
        <v>0</v>
      </c>
      <c r="I621" s="14">
        <f t="shared" si="122"/>
        <v>8.9289658987081246</v>
      </c>
      <c r="J621" s="14">
        <f t="shared" si="123"/>
        <v>9.3154311587555617E-4</v>
      </c>
      <c r="K621" s="14">
        <f t="shared" si="124"/>
        <v>1.1100859353863929E-2</v>
      </c>
      <c r="L621" s="14">
        <f t="shared" si="125"/>
        <v>663.46340843810344</v>
      </c>
      <c r="M621" s="14">
        <f t="shared" si="119"/>
        <v>0.14133783175499642</v>
      </c>
      <c r="N621" s="14">
        <f t="shared" si="126"/>
        <v>3.6168743751191794</v>
      </c>
      <c r="O621" s="4">
        <v>1.88</v>
      </c>
      <c r="P621" s="14">
        <f t="shared" si="129"/>
        <v>3.0167325949456405</v>
      </c>
      <c r="Q621" s="14">
        <f t="shared" si="127"/>
        <v>21.656448961710737</v>
      </c>
    </row>
    <row r="622" spans="1:17" x14ac:dyDescent="0.25">
      <c r="A622" s="5" t="s">
        <v>679</v>
      </c>
      <c r="B622" s="6">
        <f t="shared" si="128"/>
        <v>8</v>
      </c>
      <c r="C622" s="70">
        <v>17.74107742</v>
      </c>
      <c r="D622" s="4">
        <v>0</v>
      </c>
      <c r="E622" s="12">
        <f t="shared" si="117"/>
        <v>0</v>
      </c>
      <c r="F622" s="12">
        <f t="shared" si="118"/>
        <v>0</v>
      </c>
      <c r="G622" s="16">
        <f t="shared" si="120"/>
        <v>5.6912546453096995E-3</v>
      </c>
      <c r="H622" s="14">
        <f t="shared" si="121"/>
        <v>0</v>
      </c>
      <c r="I622" s="14">
        <f t="shared" si="122"/>
        <v>9.0771965075639347</v>
      </c>
      <c r="J622" s="14">
        <f t="shared" si="123"/>
        <v>8.2861700560179932E-4</v>
      </c>
      <c r="K622" s="14">
        <f t="shared" si="124"/>
        <v>1.0551881623370205E-2</v>
      </c>
      <c r="L622" s="14">
        <f t="shared" si="125"/>
        <v>663.32261958407901</v>
      </c>
      <c r="M622" s="14">
        <f t="shared" si="119"/>
        <v>0.14130772301320563</v>
      </c>
      <c r="N622" s="14">
        <f t="shared" si="126"/>
        <v>3.6161038840532131</v>
      </c>
      <c r="O622" s="4">
        <v>1.83</v>
      </c>
      <c r="P622" s="14">
        <f t="shared" si="129"/>
        <v>3.1901670846299734</v>
      </c>
      <c r="Q622" s="14">
        <f t="shared" si="127"/>
        <v>22.124313861136024</v>
      </c>
    </row>
    <row r="623" spans="1:17" x14ac:dyDescent="0.25">
      <c r="A623" s="5" t="s">
        <v>680</v>
      </c>
      <c r="B623" s="6">
        <f t="shared" si="128"/>
        <v>8</v>
      </c>
      <c r="C623" s="70">
        <v>17.449190139999999</v>
      </c>
      <c r="D623" s="4">
        <v>0</v>
      </c>
      <c r="E623" s="12">
        <f t="shared" si="117"/>
        <v>0</v>
      </c>
      <c r="F623" s="12">
        <f t="shared" si="118"/>
        <v>0</v>
      </c>
      <c r="G623" s="16">
        <f t="shared" si="120"/>
        <v>5.0041059452786297E-3</v>
      </c>
      <c r="H623" s="14">
        <f t="shared" si="121"/>
        <v>0</v>
      </c>
      <c r="I623" s="14">
        <f t="shared" si="122"/>
        <v>8.623422271366616</v>
      </c>
      <c r="J623" s="14">
        <f t="shared" si="123"/>
        <v>6.8714870003106963E-4</v>
      </c>
      <c r="K623" s="14">
        <f t="shared" si="124"/>
        <v>1.0030052831437992E-2</v>
      </c>
      <c r="L623" s="14">
        <f t="shared" si="125"/>
        <v>663.18183368985774</v>
      </c>
      <c r="M623" s="14">
        <f t="shared" si="119"/>
        <v>0.14127762068538285</v>
      </c>
      <c r="N623" s="14">
        <f t="shared" si="126"/>
        <v>3.6153335571224705</v>
      </c>
      <c r="O623" s="4">
        <v>2.0699999999999998</v>
      </c>
      <c r="P623" s="14">
        <f t="shared" si="129"/>
        <v>2.3880558027687884</v>
      </c>
      <c r="Q623" s="14">
        <f t="shared" si="127"/>
        <v>19.924162343894654</v>
      </c>
    </row>
    <row r="624" spans="1:17" x14ac:dyDescent="0.25">
      <c r="A624" s="5" t="s">
        <v>681</v>
      </c>
      <c r="B624" s="6">
        <f t="shared" si="128"/>
        <v>8</v>
      </c>
      <c r="C624" s="70">
        <v>17.368713379999999</v>
      </c>
      <c r="D624" s="4">
        <v>0</v>
      </c>
      <c r="E624" s="12">
        <f t="shared" si="117"/>
        <v>0</v>
      </c>
      <c r="F624" s="12">
        <f t="shared" si="118"/>
        <v>0</v>
      </c>
      <c r="G624" s="16">
        <f t="shared" si="120"/>
        <v>4.4086876247502339E-3</v>
      </c>
      <c r="H624" s="14">
        <f t="shared" si="121"/>
        <v>0</v>
      </c>
      <c r="I624" s="14">
        <f t="shared" si="122"/>
        <v>8.4983113713622203</v>
      </c>
      <c r="J624" s="14">
        <f t="shared" si="123"/>
        <v>5.9541832052839615E-4</v>
      </c>
      <c r="K624" s="14">
        <f t="shared" si="124"/>
        <v>9.5340303646531677E-3</v>
      </c>
      <c r="L624" s="14">
        <f t="shared" si="125"/>
        <v>663.04105209163913</v>
      </c>
      <c r="M624" s="14">
        <f t="shared" si="119"/>
        <v>0.14124752477016178</v>
      </c>
      <c r="N624" s="14">
        <f t="shared" si="126"/>
        <v>3.6145633942919875</v>
      </c>
      <c r="O624" s="4">
        <v>2.38</v>
      </c>
      <c r="P624" s="14">
        <f t="shared" si="129"/>
        <v>1.5241467745257535</v>
      </c>
      <c r="Q624" s="14">
        <f t="shared" si="127"/>
        <v>17.252799967457868</v>
      </c>
    </row>
    <row r="625" spans="1:17" x14ac:dyDescent="0.25">
      <c r="A625" s="5" t="s">
        <v>682</v>
      </c>
      <c r="B625" s="6">
        <f t="shared" si="128"/>
        <v>8</v>
      </c>
      <c r="C625" s="70">
        <v>16.228301999999999</v>
      </c>
      <c r="D625" s="4">
        <v>0</v>
      </c>
      <c r="E625" s="12">
        <f t="shared" si="117"/>
        <v>0</v>
      </c>
      <c r="F625" s="12">
        <f t="shared" si="118"/>
        <v>0</v>
      </c>
      <c r="G625" s="16">
        <f t="shared" si="120"/>
        <v>3.9935513137687633E-3</v>
      </c>
      <c r="H625" s="14">
        <f t="shared" si="121"/>
        <v>0</v>
      </c>
      <c r="I625" s="14">
        <f t="shared" si="122"/>
        <v>6.7254033401858395</v>
      </c>
      <c r="J625" s="14">
        <f t="shared" si="123"/>
        <v>4.1513631098147053E-4</v>
      </c>
      <c r="K625" s="14">
        <f t="shared" si="124"/>
        <v>9.0625380067012838E-3</v>
      </c>
      <c r="L625" s="14">
        <f t="shared" si="125"/>
        <v>662.90027605922683</v>
      </c>
      <c r="M625" s="14">
        <f t="shared" si="119"/>
        <v>0.14121743526617625</v>
      </c>
      <c r="N625" s="14">
        <f t="shared" si="126"/>
        <v>3.6137933955268022</v>
      </c>
      <c r="O625" s="4">
        <v>2.42</v>
      </c>
      <c r="P625" s="14">
        <f t="shared" si="129"/>
        <v>1.4251426712034123</v>
      </c>
      <c r="Q625" s="14">
        <f t="shared" si="127"/>
        <v>16.922108047917639</v>
      </c>
    </row>
    <row r="626" spans="1:17" x14ac:dyDescent="0.25">
      <c r="A626" s="5" t="s">
        <v>683</v>
      </c>
      <c r="B626" s="6">
        <f t="shared" si="128"/>
        <v>8</v>
      </c>
      <c r="C626" s="70">
        <v>18.003355030000002</v>
      </c>
      <c r="D626" s="4">
        <v>2.6</v>
      </c>
      <c r="E626" s="12">
        <f t="shared" si="117"/>
        <v>0</v>
      </c>
      <c r="F626" s="12">
        <f t="shared" si="118"/>
        <v>2.6</v>
      </c>
      <c r="G626" s="16">
        <f t="shared" si="120"/>
        <v>2.5979539867666626</v>
      </c>
      <c r="H626" s="14">
        <f t="shared" si="121"/>
        <v>5.5092215169274669E-3</v>
      </c>
      <c r="I626" s="14">
        <f t="shared" si="122"/>
        <v>9.48493891466509</v>
      </c>
      <c r="J626" s="14">
        <f t="shared" si="123"/>
        <v>5.3034303017876038E-4</v>
      </c>
      <c r="K626" s="14">
        <f t="shared" si="124"/>
        <v>1.4123584171717796E-2</v>
      </c>
      <c r="L626" s="14">
        <f t="shared" si="125"/>
        <v>662.75950679931259</v>
      </c>
      <c r="M626" s="14">
        <f t="shared" si="119"/>
        <v>0.14118852578372609</v>
      </c>
      <c r="N626" s="14">
        <f t="shared" si="126"/>
        <v>3.6130535938404904</v>
      </c>
      <c r="O626" s="4">
        <v>2.5</v>
      </c>
      <c r="P626" s="14">
        <f t="shared" si="129"/>
        <v>1.2388883027612314</v>
      </c>
      <c r="Q626" s="14">
        <f t="shared" si="127"/>
        <v>16.270324208837181</v>
      </c>
    </row>
    <row r="627" spans="1:17" x14ac:dyDescent="0.25">
      <c r="A627" s="5" t="s">
        <v>684</v>
      </c>
      <c r="B627" s="6">
        <f t="shared" si="128"/>
        <v>8</v>
      </c>
      <c r="C627" s="70">
        <v>17.151067730000001</v>
      </c>
      <c r="D627" s="4">
        <v>0</v>
      </c>
      <c r="E627" s="12">
        <f t="shared" si="117"/>
        <v>0</v>
      </c>
      <c r="F627" s="12">
        <f t="shared" si="118"/>
        <v>0</v>
      </c>
      <c r="G627" s="16">
        <f t="shared" si="120"/>
        <v>2.3011414337086538</v>
      </c>
      <c r="H627" s="14">
        <f t="shared" si="121"/>
        <v>0</v>
      </c>
      <c r="I627" s="14">
        <f t="shared" si="122"/>
        <v>8.1599547681199756</v>
      </c>
      <c r="J627" s="14">
        <f t="shared" si="123"/>
        <v>0.29681255305800863</v>
      </c>
      <c r="K627" s="14">
        <f t="shared" si="124"/>
        <v>1.3425121743011508E-2</v>
      </c>
      <c r="L627" s="14">
        <f t="shared" si="125"/>
        <v>662.61901673595753</v>
      </c>
      <c r="M627" s="14">
        <f t="shared" si="119"/>
        <v>0.14115844884810413</v>
      </c>
      <c r="N627" s="14">
        <f t="shared" si="126"/>
        <v>3.6122839167032201</v>
      </c>
      <c r="O627" s="4">
        <v>2.62</v>
      </c>
      <c r="P627" s="14">
        <f t="shared" si="129"/>
        <v>0.98462737134788292</v>
      </c>
      <c r="Q627" s="14">
        <f t="shared" si="127"/>
        <v>15.316648450216491</v>
      </c>
    </row>
    <row r="628" spans="1:17" x14ac:dyDescent="0.25">
      <c r="A628" s="5" t="s">
        <v>685</v>
      </c>
      <c r="B628" s="6">
        <f t="shared" si="128"/>
        <v>9</v>
      </c>
      <c r="C628" s="70">
        <v>16.780145650000001</v>
      </c>
      <c r="D628" s="4">
        <v>0</v>
      </c>
      <c r="E628" s="12">
        <f t="shared" si="117"/>
        <v>0</v>
      </c>
      <c r="F628" s="12">
        <f t="shared" si="118"/>
        <v>0</v>
      </c>
      <c r="G628" s="16">
        <f t="shared" si="120"/>
        <v>2.1138514104095067</v>
      </c>
      <c r="H628" s="14">
        <f t="shared" si="121"/>
        <v>0</v>
      </c>
      <c r="I628" s="14">
        <f t="shared" si="122"/>
        <v>5.8131064132116697</v>
      </c>
      <c r="J628" s="14">
        <f t="shared" si="123"/>
        <v>0.18729002329914712</v>
      </c>
      <c r="K628" s="14">
        <f t="shared" si="124"/>
        <v>1.2761200813005755E-2</v>
      </c>
      <c r="L628" s="14">
        <f t="shared" si="125"/>
        <v>662.47852220803941</v>
      </c>
      <c r="M628" s="14">
        <f t="shared" si="119"/>
        <v>0.14112837831967462</v>
      </c>
      <c r="N628" s="14">
        <f t="shared" si="126"/>
        <v>3.6115144035277851</v>
      </c>
      <c r="O628" s="4">
        <v>2.48</v>
      </c>
      <c r="P628" s="14">
        <f t="shared" si="129"/>
        <v>1.2803248453908394</v>
      </c>
      <c r="Q628" s="14">
        <f t="shared" si="127"/>
        <v>16.4320701686073</v>
      </c>
    </row>
    <row r="629" spans="1:17" x14ac:dyDescent="0.25">
      <c r="A629" s="5" t="s">
        <v>686</v>
      </c>
      <c r="B629" s="6">
        <f t="shared" si="128"/>
        <v>9</v>
      </c>
      <c r="C629" s="70">
        <v>18.152809139999999</v>
      </c>
      <c r="D629" s="4">
        <v>0</v>
      </c>
      <c r="E629" s="12">
        <f t="shared" si="117"/>
        <v>0</v>
      </c>
      <c r="F629" s="12">
        <f t="shared" si="118"/>
        <v>0</v>
      </c>
      <c r="G629" s="16">
        <f t="shared" si="120"/>
        <v>1.8813024894539472</v>
      </c>
      <c r="H629" s="14">
        <f t="shared" si="121"/>
        <v>0</v>
      </c>
      <c r="I629" s="14">
        <f t="shared" si="122"/>
        <v>7.8573629438996671</v>
      </c>
      <c r="J629" s="14">
        <f t="shared" si="123"/>
        <v>0.23254892095555951</v>
      </c>
      <c r="K629" s="14">
        <f t="shared" si="124"/>
        <v>1.213011317939295E-2</v>
      </c>
      <c r="L629" s="14">
        <f t="shared" si="125"/>
        <v>662.33802491735332</v>
      </c>
      <c r="M629" s="14">
        <f t="shared" si="119"/>
        <v>0.14109831419707261</v>
      </c>
      <c r="N629" s="14">
        <f t="shared" si="126"/>
        <v>3.6107450542792536</v>
      </c>
      <c r="O629" s="4">
        <v>2.36</v>
      </c>
      <c r="P629" s="14">
        <f t="shared" si="129"/>
        <v>1.5643631908040134</v>
      </c>
      <c r="Q629" s="14">
        <f t="shared" si="127"/>
        <v>17.41934592722798</v>
      </c>
    </row>
    <row r="630" spans="1:17" x14ac:dyDescent="0.25">
      <c r="A630" s="5" t="s">
        <v>687</v>
      </c>
      <c r="B630" s="6">
        <f t="shared" si="128"/>
        <v>9</v>
      </c>
      <c r="C630" s="70">
        <v>17.804969790000001</v>
      </c>
      <c r="D630" s="4">
        <v>0</v>
      </c>
      <c r="E630" s="12">
        <f t="shared" si="117"/>
        <v>0</v>
      </c>
      <c r="F630" s="12">
        <f t="shared" si="118"/>
        <v>0</v>
      </c>
      <c r="G630" s="16">
        <f t="shared" si="120"/>
        <v>1.6879816718690619</v>
      </c>
      <c r="H630" s="14">
        <f t="shared" si="121"/>
        <v>0</v>
      </c>
      <c r="I630" s="14">
        <f t="shared" si="122"/>
        <v>7.3393387755233643</v>
      </c>
      <c r="J630" s="14">
        <f t="shared" si="123"/>
        <v>0.1933208175848854</v>
      </c>
      <c r="K630" s="14">
        <f t="shared" si="124"/>
        <v>1.1530235116661054E-2</v>
      </c>
      <c r="L630" s="14">
        <f t="shared" si="125"/>
        <v>662.19752648121903</v>
      </c>
      <c r="M630" s="14">
        <f t="shared" si="119"/>
        <v>0.14106825647893359</v>
      </c>
      <c r="N630" s="14">
        <f t="shared" si="126"/>
        <v>3.6099758689227102</v>
      </c>
      <c r="O630" s="4">
        <v>2.2999999999999998</v>
      </c>
      <c r="P630" s="14">
        <f t="shared" si="129"/>
        <v>1.71603677715981</v>
      </c>
      <c r="Q630" s="14">
        <f t="shared" si="127"/>
        <v>17.923783806538328</v>
      </c>
    </row>
    <row r="631" spans="1:17" x14ac:dyDescent="0.25">
      <c r="A631" s="5" t="s">
        <v>688</v>
      </c>
      <c r="B631" s="6">
        <f t="shared" si="128"/>
        <v>9</v>
      </c>
      <c r="C631" s="70">
        <v>17.378940579999998</v>
      </c>
      <c r="D631" s="4">
        <v>0</v>
      </c>
      <c r="E631" s="12">
        <f t="shared" si="117"/>
        <v>0</v>
      </c>
      <c r="F631" s="12">
        <f t="shared" si="118"/>
        <v>0</v>
      </c>
      <c r="G631" s="16">
        <f t="shared" si="120"/>
        <v>1.5295211413089653</v>
      </c>
      <c r="H631" s="14">
        <f t="shared" si="121"/>
        <v>0</v>
      </c>
      <c r="I631" s="14">
        <f t="shared" si="122"/>
        <v>6.7048693653940417</v>
      </c>
      <c r="J631" s="14">
        <f t="shared" si="123"/>
        <v>0.15846053056009668</v>
      </c>
      <c r="K631" s="14">
        <f t="shared" si="124"/>
        <v>1.0960023198409845E-2</v>
      </c>
      <c r="L631" s="14">
        <f t="shared" si="125"/>
        <v>662.05702843665836</v>
      </c>
      <c r="M631" s="14">
        <f t="shared" si="119"/>
        <v>0.14103820516389318</v>
      </c>
      <c r="N631" s="14">
        <f t="shared" si="126"/>
        <v>3.6092068474232386</v>
      </c>
      <c r="O631" s="4">
        <v>2.38</v>
      </c>
      <c r="P631" s="14">
        <f t="shared" si="129"/>
        <v>1.5109494737521774</v>
      </c>
      <c r="Q631" s="14">
        <f t="shared" si="127"/>
        <v>17.252799967457868</v>
      </c>
    </row>
    <row r="632" spans="1:17" x14ac:dyDescent="0.25">
      <c r="A632" s="5" t="s">
        <v>689</v>
      </c>
      <c r="B632" s="6">
        <f t="shared" si="128"/>
        <v>9</v>
      </c>
      <c r="C632" s="70">
        <v>18.19283295</v>
      </c>
      <c r="D632" s="4">
        <v>0</v>
      </c>
      <c r="E632" s="12">
        <f t="shared" si="117"/>
        <v>0</v>
      </c>
      <c r="F632" s="12">
        <f t="shared" si="118"/>
        <v>0</v>
      </c>
      <c r="G632" s="16">
        <f t="shared" si="120"/>
        <v>1.3599790710113979</v>
      </c>
      <c r="H632" s="14">
        <f t="shared" si="121"/>
        <v>0</v>
      </c>
      <c r="I632" s="14">
        <f t="shared" si="122"/>
        <v>7.9169689111098229</v>
      </c>
      <c r="J632" s="14">
        <f t="shared" si="123"/>
        <v>0.16954207029756749</v>
      </c>
      <c r="K632" s="14">
        <f t="shared" si="124"/>
        <v>1.0418010326268797E-2</v>
      </c>
      <c r="L632" s="14">
        <f t="shared" si="125"/>
        <v>661.91653224436664</v>
      </c>
      <c r="M632" s="14">
        <f t="shared" si="119"/>
        <v>0.14100816025058735</v>
      </c>
      <c r="N632" s="14">
        <f t="shared" si="126"/>
        <v>3.6084379897459331</v>
      </c>
      <c r="O632" s="4">
        <v>2.4500000000000002</v>
      </c>
      <c r="P632" s="14">
        <f t="shared" si="129"/>
        <v>1.3419785760865981</v>
      </c>
      <c r="Q632" s="14">
        <f t="shared" si="127"/>
        <v>16.676189108262466</v>
      </c>
    </row>
    <row r="633" spans="1:17" x14ac:dyDescent="0.25">
      <c r="A633" s="5" t="s">
        <v>690</v>
      </c>
      <c r="B633" s="6">
        <f t="shared" si="128"/>
        <v>9</v>
      </c>
      <c r="C633" s="70">
        <v>18.193571089999999</v>
      </c>
      <c r="D633" s="4">
        <v>0</v>
      </c>
      <c r="E633" s="12">
        <f t="shared" si="117"/>
        <v>0</v>
      </c>
      <c r="F633" s="12">
        <f t="shared" si="118"/>
        <v>0</v>
      </c>
      <c r="G633" s="16">
        <f t="shared" si="120"/>
        <v>1.2092092146350446</v>
      </c>
      <c r="H633" s="14">
        <f t="shared" si="121"/>
        <v>0</v>
      </c>
      <c r="I633" s="14">
        <f t="shared" si="122"/>
        <v>7.9180681954767156</v>
      </c>
      <c r="J633" s="14">
        <f t="shared" si="123"/>
        <v>0.1507698563763534</v>
      </c>
      <c r="K633" s="14">
        <f t="shared" si="124"/>
        <v>9.9028019551993546E-3</v>
      </c>
      <c r="L633" s="14">
        <f t="shared" si="125"/>
        <v>661.7760392924871</v>
      </c>
      <c r="M633" s="14">
        <f t="shared" si="119"/>
        <v>0.14097812173765234</v>
      </c>
      <c r="N633" s="14">
        <f t="shared" si="126"/>
        <v>3.6076692958558954</v>
      </c>
      <c r="O633" s="4">
        <v>2.54</v>
      </c>
      <c r="P633" s="14">
        <f t="shared" si="129"/>
        <v>1.1399177253134234</v>
      </c>
      <c r="Q633" s="14">
        <f t="shared" si="127"/>
        <v>15.949232289296951</v>
      </c>
    </row>
    <row r="634" spans="1:17" x14ac:dyDescent="0.25">
      <c r="A634" s="5" t="s">
        <v>691</v>
      </c>
      <c r="B634" s="6">
        <f t="shared" si="128"/>
        <v>9</v>
      </c>
      <c r="C634" s="70">
        <v>13.96377277</v>
      </c>
      <c r="D634" s="4">
        <v>0</v>
      </c>
      <c r="E634" s="12">
        <f t="shared" si="117"/>
        <v>0</v>
      </c>
      <c r="F634" s="12">
        <f t="shared" si="118"/>
        <v>0</v>
      </c>
      <c r="G634" s="16">
        <f t="shared" si="120"/>
        <v>1.1818026685831986</v>
      </c>
      <c r="H634" s="14">
        <f t="shared" si="121"/>
        <v>0</v>
      </c>
      <c r="I634" s="14">
        <f t="shared" si="122"/>
        <v>1.618787343216896</v>
      </c>
      <c r="J634" s="14">
        <f t="shared" si="123"/>
        <v>2.7406546051845899E-2</v>
      </c>
      <c r="K634" s="14">
        <f t="shared" si="124"/>
        <v>9.4130725054696936E-3</v>
      </c>
      <c r="L634" s="14">
        <f t="shared" si="125"/>
        <v>661.63555090019918</v>
      </c>
      <c r="M634" s="14">
        <f t="shared" si="119"/>
        <v>0.14094808962372471</v>
      </c>
      <c r="N634" s="14">
        <f t="shared" si="126"/>
        <v>3.6069007657182328</v>
      </c>
      <c r="O634" s="4">
        <v>2.4300000000000002</v>
      </c>
      <c r="P634" s="14">
        <f t="shared" si="129"/>
        <v>1.3850954123481622</v>
      </c>
      <c r="Q634" s="14">
        <f t="shared" si="127"/>
        <v>16.839935068032577</v>
      </c>
    </row>
    <row r="635" spans="1:17" x14ac:dyDescent="0.25">
      <c r="A635" s="5" t="s">
        <v>692</v>
      </c>
      <c r="B635" s="6">
        <f t="shared" si="128"/>
        <v>9</v>
      </c>
      <c r="C635" s="70">
        <v>17.48552132</v>
      </c>
      <c r="D635" s="4">
        <v>0.3</v>
      </c>
      <c r="E635" s="12">
        <f t="shared" si="117"/>
        <v>0</v>
      </c>
      <c r="F635" s="12">
        <f t="shared" si="118"/>
        <v>0.3</v>
      </c>
      <c r="G635" s="16">
        <f t="shared" si="120"/>
        <v>1.3550355526800748</v>
      </c>
      <c r="H635" s="14">
        <f t="shared" si="121"/>
        <v>1.3198131398976371E-2</v>
      </c>
      <c r="I635" s="14">
        <f t="shared" si="122"/>
        <v>6.8635960856556579</v>
      </c>
      <c r="J635" s="14">
        <f t="shared" si="123"/>
        <v>0.1135689845041474</v>
      </c>
      <c r="K635" s="14">
        <f t="shared" si="124"/>
        <v>2.2145693351046707E-2</v>
      </c>
      <c r="L635" s="14">
        <f t="shared" si="125"/>
        <v>661.49506832112877</v>
      </c>
      <c r="M635" s="14">
        <f t="shared" si="119"/>
        <v>0.14092087546274451</v>
      </c>
      <c r="N635" s="14">
        <f t="shared" si="126"/>
        <v>3.6062043477792605</v>
      </c>
      <c r="O635" s="4">
        <v>2.4300000000000002</v>
      </c>
      <c r="P635" s="14">
        <f t="shared" si="129"/>
        <v>1.3834566677348352</v>
      </c>
      <c r="Q635" s="14">
        <f t="shared" si="127"/>
        <v>16.839935068032577</v>
      </c>
    </row>
    <row r="636" spans="1:17" x14ac:dyDescent="0.25">
      <c r="A636" s="5" t="s">
        <v>693</v>
      </c>
      <c r="B636" s="6">
        <f t="shared" si="128"/>
        <v>9</v>
      </c>
      <c r="C636" s="70">
        <v>17.89012146</v>
      </c>
      <c r="D636" s="4">
        <v>0</v>
      </c>
      <c r="E636" s="12">
        <f t="shared" si="117"/>
        <v>0</v>
      </c>
      <c r="F636" s="12">
        <f t="shared" si="118"/>
        <v>0</v>
      </c>
      <c r="G636" s="16">
        <f t="shared" si="120"/>
        <v>1.2133875110145251</v>
      </c>
      <c r="H636" s="14">
        <f t="shared" si="121"/>
        <v>0</v>
      </c>
      <c r="I636" s="14">
        <f t="shared" si="122"/>
        <v>7.4661519812104231</v>
      </c>
      <c r="J636" s="14">
        <f t="shared" si="123"/>
        <v>0.14164804166554959</v>
      </c>
      <c r="K636" s="14">
        <f t="shared" si="124"/>
        <v>2.1050508547012965E-2</v>
      </c>
      <c r="L636" s="14">
        <f t="shared" si="125"/>
        <v>661.35524263047012</v>
      </c>
      <c r="M636" s="14">
        <f t="shared" si="119"/>
        <v>0.14089085554380595</v>
      </c>
      <c r="N636" s="14">
        <f t="shared" si="126"/>
        <v>3.6054361297147572</v>
      </c>
      <c r="O636" s="4">
        <v>2.46</v>
      </c>
      <c r="P636" s="14">
        <f t="shared" si="129"/>
        <v>1.3120239272559222</v>
      </c>
      <c r="Q636" s="14">
        <f t="shared" si="127"/>
        <v>16.59461612837741</v>
      </c>
    </row>
    <row r="637" spans="1:17" x14ac:dyDescent="0.25">
      <c r="A637" s="5" t="s">
        <v>694</v>
      </c>
      <c r="B637" s="6">
        <f t="shared" si="128"/>
        <v>9</v>
      </c>
      <c r="C637" s="70">
        <v>17.884487149999998</v>
      </c>
      <c r="D637" s="4">
        <v>0</v>
      </c>
      <c r="E637" s="12">
        <f t="shared" si="117"/>
        <v>0</v>
      </c>
      <c r="F637" s="12">
        <f t="shared" si="118"/>
        <v>0</v>
      </c>
      <c r="G637" s="16">
        <f t="shared" si="120"/>
        <v>1.0866891371122915</v>
      </c>
      <c r="H637" s="14">
        <f t="shared" si="121"/>
        <v>0</v>
      </c>
      <c r="I637" s="14">
        <f t="shared" si="122"/>
        <v>7.4577610135061514</v>
      </c>
      <c r="J637" s="14">
        <f t="shared" si="123"/>
        <v>0.1266983739022336</v>
      </c>
      <c r="K637" s="14">
        <f t="shared" si="124"/>
        <v>2.000948460107355E-2</v>
      </c>
      <c r="L637" s="14">
        <f t="shared" si="125"/>
        <v>661.21539279887224</v>
      </c>
      <c r="M637" s="14">
        <f t="shared" si="119"/>
        <v>0.14086084201991372</v>
      </c>
      <c r="N637" s="14">
        <f t="shared" si="126"/>
        <v>3.6046680753012645</v>
      </c>
      <c r="O637" s="4">
        <v>2.5499999999999998</v>
      </c>
      <c r="P637" s="14">
        <f t="shared" si="129"/>
        <v>1.1123247490596742</v>
      </c>
      <c r="Q637" s="14">
        <f t="shared" si="127"/>
        <v>15.869459309411894</v>
      </c>
    </row>
    <row r="638" spans="1:17" x14ac:dyDescent="0.25">
      <c r="A638" s="5" t="s">
        <v>695</v>
      </c>
      <c r="B638" s="6">
        <f t="shared" si="128"/>
        <v>9</v>
      </c>
      <c r="C638" s="70">
        <v>17.698219300000002</v>
      </c>
      <c r="D638" s="4">
        <v>0</v>
      </c>
      <c r="E638" s="12">
        <f t="shared" si="117"/>
        <v>0</v>
      </c>
      <c r="F638" s="12">
        <f t="shared" si="118"/>
        <v>0</v>
      </c>
      <c r="G638" s="16">
        <f t="shared" si="120"/>
        <v>0.97744086979924538</v>
      </c>
      <c r="H638" s="14">
        <f t="shared" si="121"/>
        <v>0</v>
      </c>
      <c r="I638" s="14">
        <f t="shared" si="122"/>
        <v>7.1803592529189979</v>
      </c>
      <c r="J638" s="14">
        <f t="shared" si="123"/>
        <v>0.10924826731304611</v>
      </c>
      <c r="K638" s="14">
        <f t="shared" si="124"/>
        <v>1.9019943062487804E-2</v>
      </c>
      <c r="L638" s="14">
        <f t="shared" si="125"/>
        <v>661.07552149839091</v>
      </c>
      <c r="M638" s="14">
        <f t="shared" si="119"/>
        <v>0.14083083488970558</v>
      </c>
      <c r="N638" s="14">
        <f t="shared" si="126"/>
        <v>3.603900184503924</v>
      </c>
      <c r="O638" s="4">
        <v>2.75</v>
      </c>
      <c r="P638" s="14">
        <f t="shared" si="129"/>
        <v>0.72914552509583552</v>
      </c>
      <c r="Q638" s="14">
        <f t="shared" si="127"/>
        <v>14.315999711710745</v>
      </c>
    </row>
    <row r="639" spans="1:17" x14ac:dyDescent="0.25">
      <c r="A639" s="5" t="s">
        <v>696</v>
      </c>
      <c r="B639" s="6">
        <f t="shared" si="128"/>
        <v>9</v>
      </c>
      <c r="C639" s="70">
        <v>17.821949010000001</v>
      </c>
      <c r="D639" s="4">
        <v>0</v>
      </c>
      <c r="E639" s="12">
        <f t="shared" si="117"/>
        <v>0</v>
      </c>
      <c r="F639" s="12">
        <f t="shared" si="118"/>
        <v>0</v>
      </c>
      <c r="G639" s="16">
        <f t="shared" si="120"/>
        <v>0.87665394186233137</v>
      </c>
      <c r="H639" s="14">
        <f t="shared" si="121"/>
        <v>0</v>
      </c>
      <c r="I639" s="14">
        <f t="shared" si="122"/>
        <v>7.3646252944872996</v>
      </c>
      <c r="J639" s="14">
        <f t="shared" si="123"/>
        <v>0.10078692793691396</v>
      </c>
      <c r="K639" s="14">
        <f t="shared" si="124"/>
        <v>1.807933793961234E-2</v>
      </c>
      <c r="L639" s="14">
        <f t="shared" si="125"/>
        <v>660.93563126862409</v>
      </c>
      <c r="M639" s="14">
        <f t="shared" si="119"/>
        <v>0.14080083415181946</v>
      </c>
      <c r="N639" s="14">
        <f t="shared" si="126"/>
        <v>3.6031324572878805</v>
      </c>
      <c r="O639" s="4">
        <v>2.88</v>
      </c>
      <c r="P639" s="14">
        <f t="shared" si="129"/>
        <v>0.52292055078320843</v>
      </c>
      <c r="Q639" s="14">
        <f t="shared" si="127"/>
        <v>13.349150973205001</v>
      </c>
    </row>
    <row r="640" spans="1:17" x14ac:dyDescent="0.25">
      <c r="A640" s="5" t="s">
        <v>697</v>
      </c>
      <c r="B640" s="6">
        <f t="shared" si="128"/>
        <v>9</v>
      </c>
      <c r="C640" s="70">
        <v>18.228193279999999</v>
      </c>
      <c r="D640" s="4">
        <v>0</v>
      </c>
      <c r="E640" s="12">
        <f t="shared" si="117"/>
        <v>0</v>
      </c>
      <c r="F640" s="12">
        <f t="shared" si="118"/>
        <v>0</v>
      </c>
      <c r="G640" s="16">
        <f t="shared" si="120"/>
        <v>0.77883355122466114</v>
      </c>
      <c r="H640" s="14">
        <f t="shared" si="121"/>
        <v>0</v>
      </c>
      <c r="I640" s="14">
        <f t="shared" si="122"/>
        <v>7.9696297315194791</v>
      </c>
      <c r="J640" s="14">
        <f t="shared" si="123"/>
        <v>9.7820390637670257E-2</v>
      </c>
      <c r="K640" s="14">
        <f t="shared" si="124"/>
        <v>1.7185249149318575E-2</v>
      </c>
      <c r="L640" s="14">
        <f t="shared" si="125"/>
        <v>660.79572452326261</v>
      </c>
      <c r="M640" s="14">
        <f t="shared" si="119"/>
        <v>0.14077083980489363</v>
      </c>
      <c r="N640" s="14">
        <f t="shared" si="126"/>
        <v>3.6023648936182844</v>
      </c>
      <c r="O640" s="4">
        <v>2.68</v>
      </c>
      <c r="P640" s="14">
        <f t="shared" si="129"/>
        <v>0.85075699697946872</v>
      </c>
      <c r="Q640" s="14">
        <f t="shared" si="127"/>
        <v>14.850610570906147</v>
      </c>
    </row>
    <row r="641" spans="1:17" x14ac:dyDescent="0.25">
      <c r="A641" s="5" t="s">
        <v>698</v>
      </c>
      <c r="B641" s="6">
        <f t="shared" si="128"/>
        <v>9</v>
      </c>
      <c r="C641" s="70">
        <v>18.549787519999999</v>
      </c>
      <c r="D641" s="4">
        <v>0</v>
      </c>
      <c r="E641" s="12">
        <f t="shared" si="117"/>
        <v>0</v>
      </c>
      <c r="F641" s="12">
        <f t="shared" si="118"/>
        <v>0</v>
      </c>
      <c r="G641" s="16">
        <f t="shared" si="120"/>
        <v>0.68670572664801588</v>
      </c>
      <c r="H641" s="14">
        <f t="shared" si="121"/>
        <v>0</v>
      </c>
      <c r="I641" s="14">
        <f t="shared" si="122"/>
        <v>8.4485680366037386</v>
      </c>
      <c r="J641" s="14">
        <f t="shared" si="123"/>
        <v>9.2127824576645298E-2</v>
      </c>
      <c r="K641" s="14">
        <f t="shared" si="124"/>
        <v>1.6335376290360294E-2</v>
      </c>
      <c r="L641" s="14">
        <f t="shared" si="125"/>
        <v>660.65580355631664</v>
      </c>
      <c r="M641" s="14">
        <f t="shared" si="119"/>
        <v>0.14074085184756663</v>
      </c>
      <c r="N641" s="14">
        <f t="shared" si="126"/>
        <v>3.6015974934602988</v>
      </c>
      <c r="O641" s="4">
        <v>2.5550000000000002</v>
      </c>
      <c r="P641" s="14">
        <f t="shared" si="129"/>
        <v>1.0953663133173799</v>
      </c>
      <c r="Q641" s="14">
        <f t="shared" si="127"/>
        <v>15.829647819469363</v>
      </c>
    </row>
    <row r="642" spans="1:17" x14ac:dyDescent="0.25">
      <c r="A642" s="5" t="s">
        <v>699</v>
      </c>
      <c r="B642" s="6">
        <f t="shared" si="128"/>
        <v>9</v>
      </c>
      <c r="C642" s="70">
        <v>17.627756120000001</v>
      </c>
      <c r="D642" s="4">
        <v>0</v>
      </c>
      <c r="E642" s="12">
        <f t="shared" si="117"/>
        <v>0</v>
      </c>
      <c r="F642" s="12">
        <f t="shared" si="118"/>
        <v>0</v>
      </c>
      <c r="G642" s="16">
        <f t="shared" si="120"/>
        <v>0.61867799062286299</v>
      </c>
      <c r="H642" s="14">
        <f t="shared" si="121"/>
        <v>0</v>
      </c>
      <c r="I642" s="14">
        <f t="shared" si="122"/>
        <v>7.0754210674588114</v>
      </c>
      <c r="J642" s="14">
        <f t="shared" si="123"/>
        <v>6.8027736025152871E-2</v>
      </c>
      <c r="K642" s="14">
        <f t="shared" si="124"/>
        <v>1.5527532724670801E-2</v>
      </c>
      <c r="L642" s="14">
        <f t="shared" si="125"/>
        <v>660.51587054803474</v>
      </c>
      <c r="M642" s="14">
        <f t="shared" si="119"/>
        <v>0.14071087027847734</v>
      </c>
      <c r="N642" s="14">
        <f t="shared" si="126"/>
        <v>3.6008302567790902</v>
      </c>
      <c r="O642" s="4">
        <v>2.4567000000000001</v>
      </c>
      <c r="P642" s="14">
        <f t="shared" si="129"/>
        <v>1.3090340444773867</v>
      </c>
      <c r="Q642" s="14">
        <f t="shared" si="127"/>
        <v>16.621513101739474</v>
      </c>
    </row>
    <row r="643" spans="1:17" x14ac:dyDescent="0.25">
      <c r="A643" s="5" t="s">
        <v>700</v>
      </c>
      <c r="B643" s="6">
        <f t="shared" si="128"/>
        <v>9</v>
      </c>
      <c r="C643" s="70">
        <v>18.745330809999999</v>
      </c>
      <c r="D643" s="4">
        <v>0</v>
      </c>
      <c r="E643" s="12">
        <f t="shared" si="117"/>
        <v>0</v>
      </c>
      <c r="F643" s="12">
        <f t="shared" si="118"/>
        <v>0</v>
      </c>
      <c r="G643" s="16">
        <f t="shared" si="120"/>
        <v>0.54297232322986022</v>
      </c>
      <c r="H643" s="14">
        <f t="shared" si="121"/>
        <v>0</v>
      </c>
      <c r="I643" s="14">
        <f t="shared" si="122"/>
        <v>8.7397833639777609</v>
      </c>
      <c r="J643" s="14">
        <f t="shared" si="123"/>
        <v>7.570566739300276E-2</v>
      </c>
      <c r="K643" s="14">
        <f t="shared" si="124"/>
        <v>1.4759639951361345E-2</v>
      </c>
      <c r="L643" s="14">
        <f t="shared" si="125"/>
        <v>660.3759275705296</v>
      </c>
      <c r="M643" s="14">
        <f t="shared" si="119"/>
        <v>0.14068089509626489</v>
      </c>
      <c r="N643" s="14">
        <f t="shared" si="126"/>
        <v>3.6000631835398336</v>
      </c>
      <c r="O643" s="4">
        <v>2.4062999999999999</v>
      </c>
      <c r="P643" s="14">
        <f t="shared" si="129"/>
        <v>1.4250705383751587</v>
      </c>
      <c r="Q643" s="14">
        <f t="shared" si="127"/>
        <v>17.035009720360168</v>
      </c>
    </row>
    <row r="644" spans="1:17" x14ac:dyDescent="0.25">
      <c r="A644" s="5" t="s">
        <v>701</v>
      </c>
      <c r="B644" s="6">
        <f t="shared" si="128"/>
        <v>9</v>
      </c>
      <c r="C644" s="70">
        <v>15.93994045</v>
      </c>
      <c r="D644" s="4">
        <v>0</v>
      </c>
      <c r="E644" s="12">
        <f t="shared" si="117"/>
        <v>0</v>
      </c>
      <c r="F644" s="12">
        <f t="shared" si="118"/>
        <v>0</v>
      </c>
      <c r="G644" s="16">
        <f t="shared" si="120"/>
        <v>0.50829233746013558</v>
      </c>
      <c r="H644" s="14">
        <f t="shared" si="121"/>
        <v>0</v>
      </c>
      <c r="I644" s="14">
        <f t="shared" si="122"/>
        <v>4.5618201513340235</v>
      </c>
      <c r="J644" s="14">
        <f t="shared" si="123"/>
        <v>3.4679985769724676E-2</v>
      </c>
      <c r="K644" s="14">
        <f t="shared" si="124"/>
        <v>1.4029722258945714E-2</v>
      </c>
      <c r="L644" s="14">
        <f t="shared" si="125"/>
        <v>660.23597659312577</v>
      </c>
      <c r="M644" s="14">
        <f t="shared" si="119"/>
        <v>0.14065092629956866</v>
      </c>
      <c r="N644" s="14">
        <f t="shared" si="126"/>
        <v>3.5992962737077114</v>
      </c>
      <c r="O644" s="4">
        <v>2.3050000000000002</v>
      </c>
      <c r="P644" s="14">
        <f t="shared" si="129"/>
        <v>1.6752028441336666</v>
      </c>
      <c r="Q644" s="14">
        <f t="shared" si="127"/>
        <v>17.881472316595794</v>
      </c>
    </row>
    <row r="645" spans="1:17" x14ac:dyDescent="0.25">
      <c r="A645" s="5" t="s">
        <v>702</v>
      </c>
      <c r="B645" s="6">
        <f t="shared" si="128"/>
        <v>9</v>
      </c>
      <c r="C645" s="70">
        <v>18.981643680000001</v>
      </c>
      <c r="D645" s="4">
        <v>0</v>
      </c>
      <c r="E645" s="12">
        <f t="shared" si="117"/>
        <v>0</v>
      </c>
      <c r="F645" s="12">
        <f t="shared" si="118"/>
        <v>0</v>
      </c>
      <c r="G645" s="16">
        <f t="shared" si="120"/>
        <v>0.44358963073782992</v>
      </c>
      <c r="H645" s="14">
        <f t="shared" si="121"/>
        <v>0</v>
      </c>
      <c r="I645" s="14">
        <f t="shared" si="122"/>
        <v>9.0917153060032092</v>
      </c>
      <c r="J645" s="14">
        <f t="shared" si="123"/>
        <v>6.4702706722305658E-2</v>
      </c>
      <c r="K645" s="14">
        <f t="shared" si="124"/>
        <v>1.3335901642031725E-2</v>
      </c>
      <c r="L645" s="14">
        <f t="shared" si="125"/>
        <v>660.09601948744307</v>
      </c>
      <c r="M645" s="14">
        <f t="shared" si="119"/>
        <v>0.14062096388702841</v>
      </c>
      <c r="N645" s="14">
        <f t="shared" si="126"/>
        <v>3.5985295272479143</v>
      </c>
      <c r="O645" s="4">
        <v>2.2204000000000002</v>
      </c>
      <c r="P645" s="14">
        <f t="shared" si="129"/>
        <v>1.8992409938725594</v>
      </c>
      <c r="Q645" s="14">
        <f t="shared" si="127"/>
        <v>18.60411688642338</v>
      </c>
    </row>
    <row r="646" spans="1:17" x14ac:dyDescent="0.25">
      <c r="A646" s="5" t="s">
        <v>703</v>
      </c>
      <c r="B646" s="6">
        <f t="shared" si="128"/>
        <v>9</v>
      </c>
      <c r="C646" s="70">
        <v>19.501031879999999</v>
      </c>
      <c r="D646" s="4">
        <v>0</v>
      </c>
      <c r="E646" s="12">
        <f t="shared" si="117"/>
        <v>0</v>
      </c>
      <c r="F646" s="12">
        <f t="shared" si="118"/>
        <v>0</v>
      </c>
      <c r="G646" s="16">
        <f t="shared" si="120"/>
        <v>0.38231915494523583</v>
      </c>
      <c r="H646" s="14">
        <f t="shared" si="121"/>
        <v>0</v>
      </c>
      <c r="I646" s="14">
        <f t="shared" si="122"/>
        <v>9.8652207773349225</v>
      </c>
      <c r="J646" s="14">
        <f t="shared" si="123"/>
        <v>6.127047579259412E-2</v>
      </c>
      <c r="K646" s="14">
        <f t="shared" si="124"/>
        <v>1.2676392969400737E-2</v>
      </c>
      <c r="L646" s="14">
        <f t="shared" si="125"/>
        <v>659.95605803222861</v>
      </c>
      <c r="M646" s="14">
        <f t="shared" si="119"/>
        <v>0.14059100785728412</v>
      </c>
      <c r="N646" s="14">
        <f t="shared" si="126"/>
        <v>3.5977629441256389</v>
      </c>
      <c r="O646" s="4">
        <v>2.1825000000000001</v>
      </c>
      <c r="P646" s="14">
        <f t="shared" si="129"/>
        <v>2.002969201015171</v>
      </c>
      <c r="Q646" s="14">
        <f t="shared" si="127"/>
        <v>18.932497570187753</v>
      </c>
    </row>
    <row r="647" spans="1:17" x14ac:dyDescent="0.25">
      <c r="A647" s="5" t="s">
        <v>704</v>
      </c>
      <c r="B647" s="6">
        <f t="shared" si="128"/>
        <v>9</v>
      </c>
      <c r="C647" s="70">
        <v>19.51444244</v>
      </c>
      <c r="D647" s="4">
        <v>0</v>
      </c>
      <c r="E647" s="12">
        <f t="shared" si="117"/>
        <v>0</v>
      </c>
      <c r="F647" s="12">
        <f t="shared" si="118"/>
        <v>0</v>
      </c>
      <c r="G647" s="16">
        <f t="shared" si="120"/>
        <v>0.32940470909455638</v>
      </c>
      <c r="H647" s="14">
        <f t="shared" si="121"/>
        <v>0</v>
      </c>
      <c r="I647" s="14">
        <f t="shared" si="122"/>
        <v>9.8851926240838885</v>
      </c>
      <c r="J647" s="14">
        <f t="shared" si="123"/>
        <v>5.2914445850679441E-2</v>
      </c>
      <c r="K647" s="14">
        <f t="shared" si="124"/>
        <v>1.2049499391043135E-2</v>
      </c>
      <c r="L647" s="14">
        <f t="shared" si="125"/>
        <v>659.81609391794962</v>
      </c>
      <c r="M647" s="14">
        <f t="shared" si="119"/>
        <v>0.14056105820897608</v>
      </c>
      <c r="N647" s="14">
        <f t="shared" si="126"/>
        <v>3.5969965243060891</v>
      </c>
      <c r="O647" s="4">
        <v>2.2149999999999999</v>
      </c>
      <c r="P647" s="14">
        <f t="shared" si="129"/>
        <v>1.9099143931941109</v>
      </c>
      <c r="Q647" s="14">
        <f t="shared" si="127"/>
        <v>18.650729135561317</v>
      </c>
    </row>
    <row r="648" spans="1:17" x14ac:dyDescent="0.25">
      <c r="A648" s="5" t="s">
        <v>705</v>
      </c>
      <c r="B648" s="6">
        <f t="shared" si="128"/>
        <v>9</v>
      </c>
      <c r="C648" s="70">
        <v>19.820653920000002</v>
      </c>
      <c r="D648" s="4">
        <v>0</v>
      </c>
      <c r="E648" s="12">
        <f t="shared" si="117"/>
        <v>0</v>
      </c>
      <c r="F648" s="12">
        <f t="shared" si="118"/>
        <v>0</v>
      </c>
      <c r="G648" s="16">
        <f t="shared" si="120"/>
        <v>0.28171060212242466</v>
      </c>
      <c r="H648" s="14">
        <f t="shared" si="121"/>
        <v>0</v>
      </c>
      <c r="I648" s="14">
        <f t="shared" si="122"/>
        <v>10.341221958528882</v>
      </c>
      <c r="J648" s="14">
        <f t="shared" si="123"/>
        <v>4.7694106972131722E-2</v>
      </c>
      <c r="K648" s="14">
        <f t="shared" si="124"/>
        <v>1.1453607972332575E-2</v>
      </c>
      <c r="L648" s="14">
        <f t="shared" si="125"/>
        <v>659.67612875115935</v>
      </c>
      <c r="M648" s="14">
        <f t="shared" si="119"/>
        <v>0.14053111494074488</v>
      </c>
      <c r="N648" s="14">
        <f t="shared" si="126"/>
        <v>3.5962302677544784</v>
      </c>
      <c r="O648" s="4">
        <v>2.2528999999999999</v>
      </c>
      <c r="P648" s="14">
        <f t="shared" si="129"/>
        <v>1.8045362082653189</v>
      </c>
      <c r="Q648" s="14">
        <f t="shared" si="127"/>
        <v>18.324811951796953</v>
      </c>
    </row>
    <row r="649" spans="1:17" x14ac:dyDescent="0.25">
      <c r="A649" s="5" t="s">
        <v>706</v>
      </c>
      <c r="B649" s="6">
        <f t="shared" si="128"/>
        <v>9</v>
      </c>
      <c r="C649" s="70">
        <v>17.68715096</v>
      </c>
      <c r="D649" s="4">
        <v>0</v>
      </c>
      <c r="E649" s="12">
        <f t="shared" si="117"/>
        <v>0</v>
      </c>
      <c r="F649" s="12">
        <f t="shared" si="118"/>
        <v>0</v>
      </c>
      <c r="G649" s="16">
        <f t="shared" si="120"/>
        <v>0.25345436768745655</v>
      </c>
      <c r="H649" s="14">
        <f t="shared" si="121"/>
        <v>0</v>
      </c>
      <c r="I649" s="14">
        <f t="shared" si="122"/>
        <v>7.1638755870433375</v>
      </c>
      <c r="J649" s="14">
        <f t="shared" si="123"/>
        <v>2.8256234434968126E-2</v>
      </c>
      <c r="K649" s="14">
        <f t="shared" si="124"/>
        <v>1.088718554410612E-2</v>
      </c>
      <c r="L649" s="14">
        <f t="shared" si="125"/>
        <v>659.53616405864682</v>
      </c>
      <c r="M649" s="14">
        <f t="shared" si="119"/>
        <v>0.14050117805123141</v>
      </c>
      <c r="N649" s="14">
        <f t="shared" si="126"/>
        <v>3.5954641744360263</v>
      </c>
      <c r="O649" s="4">
        <v>2.1341999999999999</v>
      </c>
      <c r="P649" s="14">
        <f t="shared" si="129"/>
        <v>2.1352929874902018</v>
      </c>
      <c r="Q649" s="14">
        <f t="shared" si="127"/>
        <v>19.35515145303258</v>
      </c>
    </row>
    <row r="650" spans="1:17" x14ac:dyDescent="0.25">
      <c r="A650" s="5" t="s">
        <v>707</v>
      </c>
      <c r="B650" s="6">
        <f t="shared" si="128"/>
        <v>9</v>
      </c>
      <c r="C650" s="70">
        <v>16.89139557</v>
      </c>
      <c r="D650" s="4">
        <v>1.1000000000000001</v>
      </c>
      <c r="E650" s="12">
        <f t="shared" si="117"/>
        <v>0</v>
      </c>
      <c r="F650" s="12">
        <f t="shared" si="118"/>
        <v>1.1000000000000001</v>
      </c>
      <c r="G650" s="16">
        <f t="shared" si="120"/>
        <v>1.3109387142987388</v>
      </c>
      <c r="H650" s="14">
        <f t="shared" si="121"/>
        <v>2.1299047815330478E-2</v>
      </c>
      <c r="I650" s="14">
        <f t="shared" si="122"/>
        <v>5.9787867690711485</v>
      </c>
      <c r="J650" s="14">
        <f t="shared" si="123"/>
        <v>2.1216605573387247E-2</v>
      </c>
      <c r="K650" s="14">
        <f t="shared" si="124"/>
        <v>3.1647822573303445E-2</v>
      </c>
      <c r="L650" s="14">
        <f t="shared" si="125"/>
        <v>659.39620129138177</v>
      </c>
      <c r="M650" s="14">
        <f t="shared" si="119"/>
        <v>0.14047578480643902</v>
      </c>
      <c r="N650" s="14">
        <f t="shared" si="126"/>
        <v>3.594814354248109</v>
      </c>
      <c r="O650" s="4">
        <v>2.1229</v>
      </c>
      <c r="P650" s="14">
        <f t="shared" si="129"/>
        <v>2.1665318662416277</v>
      </c>
      <c r="Q650" s="14">
        <f t="shared" si="127"/>
        <v>19.45470669030269</v>
      </c>
    </row>
    <row r="651" spans="1:17" x14ac:dyDescent="0.25">
      <c r="A651" s="5" t="s">
        <v>708</v>
      </c>
      <c r="B651" s="6">
        <f t="shared" si="128"/>
        <v>9</v>
      </c>
      <c r="C651" s="70">
        <v>19.07974815</v>
      </c>
      <c r="D651" s="4">
        <v>0</v>
      </c>
      <c r="E651" s="12">
        <f t="shared" si="117"/>
        <v>0</v>
      </c>
      <c r="F651" s="12">
        <f t="shared" si="118"/>
        <v>0</v>
      </c>
      <c r="G651" s="16">
        <f t="shared" si="120"/>
        <v>1.1413820442152283</v>
      </c>
      <c r="H651" s="14">
        <f t="shared" si="121"/>
        <v>0</v>
      </c>
      <c r="I651" s="14">
        <f t="shared" si="122"/>
        <v>9.2378186335472261</v>
      </c>
      <c r="J651" s="14">
        <f t="shared" si="123"/>
        <v>0.1695566700835105</v>
      </c>
      <c r="K651" s="14">
        <f t="shared" si="124"/>
        <v>3.0082723038436111E-2</v>
      </c>
      <c r="L651" s="14">
        <f t="shared" si="125"/>
        <v>659.25729060611025</v>
      </c>
      <c r="M651" s="14">
        <f t="shared" si="119"/>
        <v>0.14044585970372536</v>
      </c>
      <c r="N651" s="14">
        <f t="shared" si="126"/>
        <v>3.5940485625571386</v>
      </c>
      <c r="O651" s="4">
        <v>2.1175000000000002</v>
      </c>
      <c r="P651" s="14">
        <f t="shared" si="129"/>
        <v>2.1801956575895516</v>
      </c>
      <c r="Q651" s="14">
        <f t="shared" si="127"/>
        <v>19.502371939440618</v>
      </c>
    </row>
    <row r="652" spans="1:17" x14ac:dyDescent="0.25">
      <c r="A652" s="5" t="s">
        <v>709</v>
      </c>
      <c r="B652" s="6">
        <f t="shared" si="128"/>
        <v>9</v>
      </c>
      <c r="C652" s="70">
        <v>19.322368619999999</v>
      </c>
      <c r="D652" s="4">
        <v>0</v>
      </c>
      <c r="E652" s="12">
        <f t="shared" si="117"/>
        <v>0</v>
      </c>
      <c r="F652" s="12">
        <f t="shared" si="118"/>
        <v>0</v>
      </c>
      <c r="G652" s="16">
        <f t="shared" si="120"/>
        <v>0.98798160171362392</v>
      </c>
      <c r="H652" s="14">
        <f t="shared" si="121"/>
        <v>0</v>
      </c>
      <c r="I652" s="14">
        <f t="shared" si="122"/>
        <v>9.5991442489579555</v>
      </c>
      <c r="J652" s="14">
        <f t="shared" si="123"/>
        <v>0.15340044250160437</v>
      </c>
      <c r="K652" s="14">
        <f t="shared" si="124"/>
        <v>2.8595023348324866E-2</v>
      </c>
      <c r="L652" s="14">
        <f t="shared" si="125"/>
        <v>659.11833244609659</v>
      </c>
      <c r="M652" s="14">
        <f t="shared" si="119"/>
        <v>0.14041594097585966</v>
      </c>
      <c r="N652" s="14">
        <f t="shared" si="126"/>
        <v>3.5932829340002979</v>
      </c>
      <c r="O652" s="4">
        <v>2.0316999999999998</v>
      </c>
      <c r="P652" s="14">
        <f t="shared" si="129"/>
        <v>2.4385412597609792</v>
      </c>
      <c r="Q652" s="14">
        <f t="shared" si="127"/>
        <v>20.267544746854419</v>
      </c>
    </row>
    <row r="653" spans="1:17" x14ac:dyDescent="0.25">
      <c r="A653" s="5" t="s">
        <v>710</v>
      </c>
      <c r="B653" s="6">
        <f t="shared" si="128"/>
        <v>10</v>
      </c>
      <c r="C653" s="70">
        <v>16.105766299999999</v>
      </c>
      <c r="D653" s="4">
        <v>0</v>
      </c>
      <c r="E653" s="12">
        <f t="shared" si="117"/>
        <v>0</v>
      </c>
      <c r="F653" s="12">
        <f t="shared" si="118"/>
        <v>0</v>
      </c>
      <c r="G653" s="16">
        <f t="shared" si="120"/>
        <v>0.91894349518957075</v>
      </c>
      <c r="H653" s="14">
        <f t="shared" si="121"/>
        <v>0</v>
      </c>
      <c r="I653" s="14">
        <f t="shared" si="122"/>
        <v>4.9908780270649062</v>
      </c>
      <c r="J653" s="14">
        <f t="shared" si="123"/>
        <v>6.9038106524053178E-2</v>
      </c>
      <c r="K653" s="14">
        <f t="shared" si="124"/>
        <v>2.7180895800108129E-2</v>
      </c>
      <c r="L653" s="14">
        <f t="shared" si="125"/>
        <v>658.97933063266896</v>
      </c>
      <c r="M653" s="14">
        <f t="shared" si="119"/>
        <v>0.14038602862148394</v>
      </c>
      <c r="N653" s="14">
        <f t="shared" si="126"/>
        <v>3.5925174685428356</v>
      </c>
      <c r="O653" s="4">
        <v>2.0741999999999998</v>
      </c>
      <c r="P653" s="14">
        <f t="shared" si="129"/>
        <v>2.3052879352823252</v>
      </c>
      <c r="Q653" s="14">
        <f t="shared" si="127"/>
        <v>19.886685332342921</v>
      </c>
    </row>
    <row r="654" spans="1:17" x14ac:dyDescent="0.25">
      <c r="A654" s="5" t="s">
        <v>711</v>
      </c>
      <c r="B654" s="6">
        <f t="shared" si="128"/>
        <v>10</v>
      </c>
      <c r="C654" s="70">
        <v>17.131671910000001</v>
      </c>
      <c r="D654" s="4">
        <v>0</v>
      </c>
      <c r="E654" s="12">
        <f t="shared" si="117"/>
        <v>0</v>
      </c>
      <c r="F654" s="12">
        <f t="shared" si="118"/>
        <v>0</v>
      </c>
      <c r="G654" s="16">
        <f t="shared" si="120"/>
        <v>0.8361081922683038</v>
      </c>
      <c r="H654" s="14">
        <f t="shared" si="121"/>
        <v>0</v>
      </c>
      <c r="I654" s="14">
        <f t="shared" si="122"/>
        <v>6.4381871739935779</v>
      </c>
      <c r="J654" s="14">
        <f t="shared" si="123"/>
        <v>8.2835302921266951E-2</v>
      </c>
      <c r="K654" s="14">
        <f t="shared" si="124"/>
        <v>2.5836701984704471E-2</v>
      </c>
      <c r="L654" s="14">
        <f t="shared" si="125"/>
        <v>658.84028879786285</v>
      </c>
      <c r="M654" s="14">
        <f t="shared" si="119"/>
        <v>0.14035612263924047</v>
      </c>
      <c r="N654" s="14">
        <f t="shared" si="126"/>
        <v>3.5917521661500076</v>
      </c>
      <c r="O654" s="4">
        <v>2.0283000000000002</v>
      </c>
      <c r="P654" s="14">
        <f t="shared" si="129"/>
        <v>2.4443826758391505</v>
      </c>
      <c r="Q654" s="14">
        <f t="shared" si="127"/>
        <v>20.298169560015332</v>
      </c>
    </row>
    <row r="655" spans="1:17" x14ac:dyDescent="0.25">
      <c r="A655" s="5" t="s">
        <v>712</v>
      </c>
      <c r="B655" s="6">
        <f t="shared" si="128"/>
        <v>10</v>
      </c>
      <c r="C655" s="70">
        <v>19.22085762</v>
      </c>
      <c r="D655" s="4">
        <v>0</v>
      </c>
      <c r="E655" s="12">
        <f t="shared" si="117"/>
        <v>0</v>
      </c>
      <c r="F655" s="12">
        <f t="shared" si="118"/>
        <v>0</v>
      </c>
      <c r="G655" s="16">
        <f t="shared" si="120"/>
        <v>0.72623684964927893</v>
      </c>
      <c r="H655" s="14">
        <f t="shared" si="121"/>
        <v>0</v>
      </c>
      <c r="I655" s="14">
        <f t="shared" si="122"/>
        <v>9.3855319962093997</v>
      </c>
      <c r="J655" s="14">
        <f t="shared" si="123"/>
        <v>0.10987134261902486</v>
      </c>
      <c r="K655" s="14">
        <f t="shared" si="124"/>
        <v>2.4558983425549071E-2</v>
      </c>
      <c r="L655" s="14">
        <f t="shared" si="125"/>
        <v>658.70121039378273</v>
      </c>
      <c r="M655" s="14">
        <f t="shared" si="119"/>
        <v>0.14032622302777178</v>
      </c>
      <c r="N655" s="14">
        <f t="shared" si="126"/>
        <v>3.5909870267870767</v>
      </c>
      <c r="O655" s="4">
        <v>2.08</v>
      </c>
      <c r="P655" s="14">
        <f t="shared" si="129"/>
        <v>2.28308179511885</v>
      </c>
      <c r="Q655" s="14">
        <f t="shared" si="127"/>
        <v>19.834989364009591</v>
      </c>
    </row>
    <row r="656" spans="1:17" x14ac:dyDescent="0.25">
      <c r="A656" s="5" t="s">
        <v>713</v>
      </c>
      <c r="B656" s="6">
        <f t="shared" si="128"/>
        <v>10</v>
      </c>
      <c r="C656" s="70">
        <v>18.740940089999999</v>
      </c>
      <c r="D656" s="4">
        <v>0</v>
      </c>
      <c r="E656" s="12">
        <f t="shared" si="117"/>
        <v>0</v>
      </c>
      <c r="F656" s="12">
        <f t="shared" si="118"/>
        <v>0</v>
      </c>
      <c r="G656" s="16">
        <f t="shared" si="120"/>
        <v>0.63768781810506714</v>
      </c>
      <c r="H656" s="14">
        <f t="shared" si="121"/>
        <v>0</v>
      </c>
      <c r="I656" s="14">
        <f t="shared" si="122"/>
        <v>8.7084823493706249</v>
      </c>
      <c r="J656" s="14">
        <f t="shared" si="123"/>
        <v>8.8549031544211801E-2</v>
      </c>
      <c r="K656" s="14">
        <f t="shared" si="124"/>
        <v>2.3344452680278609E-2</v>
      </c>
      <c r="L656" s="14">
        <f t="shared" si="125"/>
        <v>658.56209870150019</v>
      </c>
      <c r="M656" s="14">
        <f t="shared" si="119"/>
        <v>0.14029632978572074</v>
      </c>
      <c r="N656" s="14">
        <f t="shared" si="126"/>
        <v>3.5902220504193116</v>
      </c>
      <c r="O656" s="4">
        <v>2.0746000000000002</v>
      </c>
      <c r="P656" s="14">
        <f t="shared" si="129"/>
        <v>2.2971101997172378</v>
      </c>
      <c r="Q656" s="14">
        <f t="shared" si="127"/>
        <v>19.883117933147521</v>
      </c>
    </row>
    <row r="657" spans="1:17" x14ac:dyDescent="0.25">
      <c r="A657" s="5" t="s">
        <v>714</v>
      </c>
      <c r="B657" s="6">
        <f t="shared" si="128"/>
        <v>10</v>
      </c>
      <c r="C657" s="70">
        <v>18.206621169999998</v>
      </c>
      <c r="D657" s="4">
        <v>8.4</v>
      </c>
      <c r="E657" s="12">
        <f t="shared" si="117"/>
        <v>0</v>
      </c>
      <c r="F657" s="12">
        <f t="shared" si="118"/>
        <v>8.4</v>
      </c>
      <c r="G657" s="16">
        <f t="shared" si="120"/>
        <v>8.7006875615491772</v>
      </c>
      <c r="H657" s="14">
        <f t="shared" si="121"/>
        <v>0.26597804693311283</v>
      </c>
      <c r="I657" s="14">
        <f t="shared" si="122"/>
        <v>7.9546852624309716</v>
      </c>
      <c r="J657" s="14">
        <f t="shared" si="123"/>
        <v>7.1022209622778457E-2</v>
      </c>
      <c r="K657" s="14">
        <f t="shared" si="124"/>
        <v>0.28816803181558298</v>
      </c>
      <c r="L657" s="14">
        <f t="shared" si="125"/>
        <v>658.42295683951238</v>
      </c>
      <c r="M657" s="14">
        <f t="shared" si="119"/>
        <v>0.14032310335598447</v>
      </c>
      <c r="N657" s="14">
        <f t="shared" si="126"/>
        <v>3.5909071935194636</v>
      </c>
      <c r="O657" s="4">
        <v>2.2563</v>
      </c>
      <c r="P657" s="14">
        <f t="shared" si="129"/>
        <v>1.7811763609938991</v>
      </c>
      <c r="Q657" s="14">
        <f t="shared" si="127"/>
        <v>18.295714418636024</v>
      </c>
    </row>
    <row r="658" spans="1:17" x14ac:dyDescent="0.25">
      <c r="A658" s="5" t="s">
        <v>715</v>
      </c>
      <c r="B658" s="6">
        <f t="shared" si="128"/>
        <v>10</v>
      </c>
      <c r="C658" s="70">
        <v>17.585889819999998</v>
      </c>
      <c r="D658" s="4">
        <v>0</v>
      </c>
      <c r="E658" s="12">
        <f t="shared" si="117"/>
        <v>0</v>
      </c>
      <c r="F658" s="12">
        <f t="shared" si="118"/>
        <v>0</v>
      </c>
      <c r="G658" s="16">
        <f t="shared" si="120"/>
        <v>7.8383300236575684</v>
      </c>
      <c r="H658" s="14">
        <f t="shared" si="121"/>
        <v>0</v>
      </c>
      <c r="I658" s="14">
        <f t="shared" si="122"/>
        <v>7.0789807610778892</v>
      </c>
      <c r="J658" s="14">
        <f t="shared" si="123"/>
        <v>0.86235753789160918</v>
      </c>
      <c r="K658" s="14">
        <f t="shared" si="124"/>
        <v>0.27391707816739563</v>
      </c>
      <c r="L658" s="14">
        <f t="shared" si="125"/>
        <v>658.29688468980464</v>
      </c>
      <c r="M658" s="14">
        <f t="shared" si="119"/>
        <v>0.14029321077850707</v>
      </c>
      <c r="N658" s="14">
        <f t="shared" si="126"/>
        <v>3.5901422341583231</v>
      </c>
      <c r="O658" s="4">
        <v>2.5278999999999998</v>
      </c>
      <c r="P658" s="14">
        <f t="shared" si="129"/>
        <v>1.1283585640296661</v>
      </c>
      <c r="Q658" s="14">
        <f t="shared" si="127"/>
        <v>16.046025004957873</v>
      </c>
    </row>
    <row r="659" spans="1:17" x14ac:dyDescent="0.25">
      <c r="A659" s="5" t="s">
        <v>716</v>
      </c>
      <c r="B659" s="6">
        <f t="shared" si="128"/>
        <v>10</v>
      </c>
      <c r="C659" s="70">
        <v>19.465499879999999</v>
      </c>
      <c r="D659" s="4">
        <v>0</v>
      </c>
      <c r="E659" s="12">
        <f t="shared" si="117"/>
        <v>0</v>
      </c>
      <c r="F659" s="12">
        <f t="shared" si="118"/>
        <v>0</v>
      </c>
      <c r="G659" s="16">
        <f t="shared" si="120"/>
        <v>6.7704337152927518</v>
      </c>
      <c r="H659" s="14">
        <f t="shared" si="121"/>
        <v>0</v>
      </c>
      <c r="I659" s="14">
        <f t="shared" si="122"/>
        <v>9.7306641186697682</v>
      </c>
      <c r="J659" s="14">
        <f t="shared" si="123"/>
        <v>1.0678963083648167</v>
      </c>
      <c r="K659" s="14">
        <f t="shared" si="124"/>
        <v>0.26037088583018103</v>
      </c>
      <c r="L659" s="14">
        <f t="shared" si="125"/>
        <v>658.17013767136336</v>
      </c>
      <c r="M659" s="14">
        <f t="shared" si="119"/>
        <v>0.14026332456894888</v>
      </c>
      <c r="N659" s="14">
        <f t="shared" si="126"/>
        <v>3.5893774377540044</v>
      </c>
      <c r="O659" s="4">
        <v>2.7250000000000001</v>
      </c>
      <c r="P659" s="14">
        <f t="shared" si="129"/>
        <v>0.74714835489817766</v>
      </c>
      <c r="Q659" s="14">
        <f t="shared" si="127"/>
        <v>14.505807161423389</v>
      </c>
    </row>
    <row r="660" spans="1:17" x14ac:dyDescent="0.25">
      <c r="A660" s="5" t="s">
        <v>717</v>
      </c>
      <c r="B660" s="6">
        <f t="shared" si="128"/>
        <v>10</v>
      </c>
      <c r="C660" s="70">
        <v>18.17516518</v>
      </c>
      <c r="D660" s="4">
        <v>0.7</v>
      </c>
      <c r="E660" s="12">
        <f t="shared" si="117"/>
        <v>0</v>
      </c>
      <c r="F660" s="12">
        <f t="shared" si="118"/>
        <v>0.7</v>
      </c>
      <c r="G660" s="16">
        <f t="shared" si="120"/>
        <v>6.642498615507769</v>
      </c>
      <c r="H660" s="14">
        <f t="shared" si="121"/>
        <v>7.8087577415464793E-2</v>
      </c>
      <c r="I660" s="14">
        <f t="shared" si="122"/>
        <v>7.9103083318352869</v>
      </c>
      <c r="J660" s="14">
        <f t="shared" si="123"/>
        <v>0.74984752236951779</v>
      </c>
      <c r="K660" s="14">
        <f t="shared" si="124"/>
        <v>0.32558217921814486</v>
      </c>
      <c r="L660" s="14">
        <f t="shared" si="125"/>
        <v>658.04275063082196</v>
      </c>
      <c r="M660" s="14">
        <f t="shared" si="119"/>
        <v>0.14025007947035462</v>
      </c>
      <c r="N660" s="14">
        <f t="shared" si="126"/>
        <v>3.5890384920017828</v>
      </c>
      <c r="O660" s="4">
        <v>2.6821000000000002</v>
      </c>
      <c r="P660" s="14">
        <f t="shared" si="129"/>
        <v>0.82253742827446763</v>
      </c>
      <c r="Q660" s="14">
        <f t="shared" si="127"/>
        <v>14.834429655130284</v>
      </c>
    </row>
    <row r="661" spans="1:17" x14ac:dyDescent="0.25">
      <c r="A661" s="5" t="s">
        <v>718</v>
      </c>
      <c r="B661" s="6">
        <f t="shared" si="128"/>
        <v>10</v>
      </c>
      <c r="C661" s="70">
        <v>18.68981552</v>
      </c>
      <c r="D661" s="4">
        <v>0</v>
      </c>
      <c r="E661" s="12">
        <f t="shared" si="117"/>
        <v>0</v>
      </c>
      <c r="F661" s="12">
        <f t="shared" si="118"/>
        <v>0</v>
      </c>
      <c r="G661" s="16">
        <f t="shared" si="120"/>
        <v>5.8392959266652138</v>
      </c>
      <c r="H661" s="14">
        <f t="shared" si="121"/>
        <v>0</v>
      </c>
      <c r="I661" s="14">
        <f t="shared" si="122"/>
        <v>8.636357723993255</v>
      </c>
      <c r="J661" s="14">
        <f t="shared" si="123"/>
        <v>0.80320268884255519</v>
      </c>
      <c r="K661" s="14">
        <f t="shared" si="124"/>
        <v>0.30948096037204137</v>
      </c>
      <c r="L661" s="14">
        <f t="shared" si="125"/>
        <v>657.91860177019771</v>
      </c>
      <c r="M661" s="14">
        <f t="shared" si="119"/>
        <v>0.1402202024489197</v>
      </c>
      <c r="N661" s="14">
        <f t="shared" si="126"/>
        <v>3.5882739307240912</v>
      </c>
      <c r="O661" s="4">
        <v>2.6166999999999998</v>
      </c>
      <c r="P661" s="14">
        <f t="shared" si="129"/>
        <v>0.94395590286266151</v>
      </c>
      <c r="Q661" s="14">
        <f t="shared" si="127"/>
        <v>15.342489423578563</v>
      </c>
    </row>
    <row r="662" spans="1:17" x14ac:dyDescent="0.25">
      <c r="A662" s="5" t="s">
        <v>719</v>
      </c>
      <c r="B662" s="6">
        <f t="shared" si="128"/>
        <v>10</v>
      </c>
      <c r="C662" s="70">
        <v>18.91903877</v>
      </c>
      <c r="D662" s="4">
        <v>0</v>
      </c>
      <c r="E662" s="12">
        <f t="shared" si="117"/>
        <v>0</v>
      </c>
      <c r="F662" s="12">
        <f t="shared" si="118"/>
        <v>0</v>
      </c>
      <c r="G662" s="16">
        <f t="shared" si="120"/>
        <v>5.1067770527594449</v>
      </c>
      <c r="H662" s="14">
        <f t="shared" si="121"/>
        <v>0</v>
      </c>
      <c r="I662" s="14">
        <f t="shared" si="122"/>
        <v>8.9597372856019657</v>
      </c>
      <c r="J662" s="14">
        <f t="shared" si="123"/>
        <v>0.73251887390576875</v>
      </c>
      <c r="K662" s="14">
        <f t="shared" si="124"/>
        <v>0.29417600515729719</v>
      </c>
      <c r="L662" s="14">
        <f t="shared" si="125"/>
        <v>657.79368652296353</v>
      </c>
      <c r="M662" s="14">
        <f t="shared" si="119"/>
        <v>0.14019033179209017</v>
      </c>
      <c r="N662" s="14">
        <f t="shared" si="126"/>
        <v>3.587509532318419</v>
      </c>
      <c r="O662" s="4">
        <v>2.3746</v>
      </c>
      <c r="P662" s="14">
        <f t="shared" si="129"/>
        <v>1.4711495335888858</v>
      </c>
      <c r="Q662" s="14">
        <f t="shared" si="127"/>
        <v>17.2976885365958</v>
      </c>
    </row>
    <row r="663" spans="1:17" x14ac:dyDescent="0.25">
      <c r="A663" s="5" t="s">
        <v>720</v>
      </c>
      <c r="B663" s="6">
        <f t="shared" si="128"/>
        <v>10</v>
      </c>
      <c r="C663" s="70">
        <v>18.330406190000001</v>
      </c>
      <c r="D663" s="4">
        <v>0</v>
      </c>
      <c r="E663" s="12">
        <f t="shared" si="117"/>
        <v>0</v>
      </c>
      <c r="F663" s="12">
        <f t="shared" si="118"/>
        <v>0</v>
      </c>
      <c r="G663" s="16">
        <f t="shared" si="120"/>
        <v>4.5255256818942797</v>
      </c>
      <c r="H663" s="14">
        <f t="shared" si="121"/>
        <v>0</v>
      </c>
      <c r="I663" s="14">
        <f t="shared" si="122"/>
        <v>8.1293165247541737</v>
      </c>
      <c r="J663" s="14">
        <f t="shared" si="123"/>
        <v>0.58125137086516532</v>
      </c>
      <c r="K663" s="14">
        <f t="shared" si="124"/>
        <v>0.2796279354512568</v>
      </c>
      <c r="L663" s="14">
        <f t="shared" si="125"/>
        <v>657.66804426087754</v>
      </c>
      <c r="M663" s="14">
        <f t="shared" si="119"/>
        <v>0.14016046749851016</v>
      </c>
      <c r="N663" s="14">
        <f t="shared" si="126"/>
        <v>3.5867452967500686</v>
      </c>
      <c r="O663" s="4">
        <v>2.3746</v>
      </c>
      <c r="P663" s="14">
        <f t="shared" si="129"/>
        <v>1.4692962204333118</v>
      </c>
      <c r="Q663" s="14">
        <f t="shared" si="127"/>
        <v>17.2976885365958</v>
      </c>
    </row>
    <row r="664" spans="1:17" x14ac:dyDescent="0.25">
      <c r="A664" s="5" t="s">
        <v>721</v>
      </c>
      <c r="B664" s="6">
        <f t="shared" si="128"/>
        <v>10</v>
      </c>
      <c r="C664" s="70">
        <v>18.947612759999998</v>
      </c>
      <c r="D664" s="4">
        <v>0</v>
      </c>
      <c r="E664" s="12">
        <f t="shared" si="117"/>
        <v>0</v>
      </c>
      <c r="F664" s="12">
        <f t="shared" si="118"/>
        <v>0</v>
      </c>
      <c r="G664" s="16">
        <f t="shared" si="120"/>
        <v>3.955260393770657</v>
      </c>
      <c r="H664" s="14">
        <f t="shared" si="121"/>
        <v>0</v>
      </c>
      <c r="I664" s="14">
        <f t="shared" si="122"/>
        <v>9.0000483987181585</v>
      </c>
      <c r="J664" s="14">
        <f t="shared" si="123"/>
        <v>0.57026528812362287</v>
      </c>
      <c r="K664" s="14">
        <f t="shared" si="124"/>
        <v>0.26579932052215732</v>
      </c>
      <c r="L664" s="14">
        <f t="shared" si="125"/>
        <v>657.54171240830806</v>
      </c>
      <c r="M664" s="14">
        <f t="shared" si="119"/>
        <v>0.14013060956682416</v>
      </c>
      <c r="N664" s="14">
        <f t="shared" si="126"/>
        <v>3.5859812239843545</v>
      </c>
      <c r="O664" s="4">
        <v>2.1446000000000001</v>
      </c>
      <c r="P664" s="14">
        <f t="shared" si="129"/>
        <v>2.0775798328546355</v>
      </c>
      <c r="Q664" s="14">
        <f t="shared" si="127"/>
        <v>19.263751073952122</v>
      </c>
    </row>
    <row r="665" spans="1:17" x14ac:dyDescent="0.25">
      <c r="A665" s="5" t="s">
        <v>722</v>
      </c>
      <c r="B665" s="6">
        <f t="shared" si="128"/>
        <v>10</v>
      </c>
      <c r="C665" s="70">
        <v>17.684600830000001</v>
      </c>
      <c r="D665" s="4">
        <v>0</v>
      </c>
      <c r="E665" s="12">
        <f t="shared" si="117"/>
        <v>0</v>
      </c>
      <c r="F665" s="12">
        <f t="shared" si="118"/>
        <v>0</v>
      </c>
      <c r="G665" s="16">
        <f t="shared" si="120"/>
        <v>3.5555279768941856</v>
      </c>
      <c r="H665" s="14">
        <f t="shared" si="121"/>
        <v>0</v>
      </c>
      <c r="I665" s="14">
        <f t="shared" si="122"/>
        <v>7.2182385507643794</v>
      </c>
      <c r="J665" s="14">
        <f t="shared" si="123"/>
        <v>0.39973241687647154</v>
      </c>
      <c r="K665" s="14">
        <f t="shared" si="124"/>
        <v>0.25265458072359054</v>
      </c>
      <c r="L665" s="14">
        <f t="shared" si="125"/>
        <v>657.41472653853987</v>
      </c>
      <c r="M665" s="14">
        <f t="shared" si="119"/>
        <v>0.14010075799567692</v>
      </c>
      <c r="N665" s="14">
        <f t="shared" si="126"/>
        <v>3.5852173139865933</v>
      </c>
      <c r="O665" s="4">
        <v>1.8232999999999999</v>
      </c>
      <c r="P665" s="14">
        <f t="shared" si="129"/>
        <v>3.1043526213257318</v>
      </c>
      <c r="Q665" s="14">
        <f t="shared" si="127"/>
        <v>22.187387647659015</v>
      </c>
    </row>
    <row r="666" spans="1:17" x14ac:dyDescent="0.25">
      <c r="A666" s="5" t="s">
        <v>723</v>
      </c>
      <c r="B666" s="6">
        <f t="shared" si="128"/>
        <v>10</v>
      </c>
      <c r="C666" s="70">
        <v>18.101701739999999</v>
      </c>
      <c r="D666" s="4">
        <v>0</v>
      </c>
      <c r="E666" s="12">
        <f t="shared" si="117"/>
        <v>0</v>
      </c>
      <c r="F666" s="12">
        <f t="shared" si="118"/>
        <v>0</v>
      </c>
      <c r="G666" s="16">
        <f t="shared" si="120"/>
        <v>3.1669010244235762</v>
      </c>
      <c r="H666" s="14">
        <f t="shared" si="121"/>
        <v>0</v>
      </c>
      <c r="I666" s="14">
        <f t="shared" si="122"/>
        <v>7.8066688667222675</v>
      </c>
      <c r="J666" s="14">
        <f t="shared" si="123"/>
        <v>0.38862695247060952</v>
      </c>
      <c r="K666" s="14">
        <f t="shared" si="124"/>
        <v>0.24015989595162274</v>
      </c>
      <c r="L666" s="14">
        <f t="shared" si="125"/>
        <v>657.28712046531621</v>
      </c>
      <c r="M666" s="14">
        <f t="shared" si="119"/>
        <v>0.14007091278371345</v>
      </c>
      <c r="N666" s="14">
        <f t="shared" si="126"/>
        <v>3.5844535667221114</v>
      </c>
      <c r="O666" s="4">
        <v>1.4282999999999999</v>
      </c>
      <c r="P666" s="14">
        <f t="shared" si="129"/>
        <v>4.6489982032884836</v>
      </c>
      <c r="Q666" s="14">
        <f t="shared" si="127"/>
        <v>26.064588353118779</v>
      </c>
    </row>
    <row r="667" spans="1:17" x14ac:dyDescent="0.25">
      <c r="A667" s="5" t="s">
        <v>724</v>
      </c>
      <c r="B667" s="6">
        <f t="shared" si="128"/>
        <v>10</v>
      </c>
      <c r="C667" s="70">
        <v>17.000574109999999</v>
      </c>
      <c r="D667" s="4">
        <v>0</v>
      </c>
      <c r="E667" s="12">
        <f t="shared" ref="E667:E730" si="130">IF(C667&gt;$C$9,MAX(E666-$C$10*(C667-$C$9),0),E666+D667)</f>
        <v>0</v>
      </c>
      <c r="F667" s="12">
        <f t="shared" ref="F667:F730" si="131">IF(C667&gt;$C$9,D667+MIN(E666,$C$10*(C667-$C$9)),0)</f>
        <v>0</v>
      </c>
      <c r="G667" s="16">
        <f t="shared" si="120"/>
        <v>2.8896312056403821</v>
      </c>
      <c r="H667" s="14">
        <f t="shared" si="121"/>
        <v>0</v>
      </c>
      <c r="I667" s="14">
        <f t="shared" si="122"/>
        <v>6.2532393159910962</v>
      </c>
      <c r="J667" s="14">
        <f t="shared" si="123"/>
        <v>0.27726981878319401</v>
      </c>
      <c r="K667" s="14">
        <f t="shared" si="124"/>
        <v>0.22828311862904188</v>
      </c>
      <c r="L667" s="14">
        <f t="shared" si="125"/>
        <v>657.15892632985503</v>
      </c>
      <c r="M667" s="14">
        <f t="shared" si="119"/>
        <v>0.14004107392957907</v>
      </c>
      <c r="N667" s="14">
        <f t="shared" si="126"/>
        <v>3.5836899821562422</v>
      </c>
      <c r="O667" s="4">
        <v>1.3725000000000001</v>
      </c>
      <c r="P667" s="14">
        <f t="shared" si="129"/>
        <v>4.8893611371881223</v>
      </c>
      <c r="Q667" s="14">
        <f t="shared" si="127"/>
        <v>26.637458940877405</v>
      </c>
    </row>
    <row r="668" spans="1:17" x14ac:dyDescent="0.25">
      <c r="A668" s="5" t="s">
        <v>725</v>
      </c>
      <c r="B668" s="6">
        <f t="shared" si="128"/>
        <v>10</v>
      </c>
      <c r="C668" s="70">
        <v>17.019262309999998</v>
      </c>
      <c r="D668" s="4">
        <v>2.9</v>
      </c>
      <c r="E668" s="12">
        <f t="shared" si="130"/>
        <v>0</v>
      </c>
      <c r="F668" s="12">
        <f t="shared" si="131"/>
        <v>2.9</v>
      </c>
      <c r="G668" s="16">
        <f t="shared" si="120"/>
        <v>5.3300889610587765</v>
      </c>
      <c r="H668" s="14">
        <f t="shared" si="121"/>
        <v>0.2054814047455289</v>
      </c>
      <c r="I668" s="14">
        <f t="shared" si="122"/>
        <v>6.2796039274485107</v>
      </c>
      <c r="J668" s="14">
        <f t="shared" si="123"/>
        <v>0.25406083983607619</v>
      </c>
      <c r="K668" s="14">
        <f t="shared" si="124"/>
        <v>0.42247509573837799</v>
      </c>
      <c r="L668" s="14">
        <f t="shared" si="125"/>
        <v>657.03017468356165</v>
      </c>
      <c r="M668" s="14">
        <f t="shared" si="119"/>
        <v>0.14005501447188667</v>
      </c>
      <c r="N668" s="14">
        <f t="shared" si="126"/>
        <v>3.5840467245062664</v>
      </c>
      <c r="O668" s="4">
        <v>1.2825</v>
      </c>
      <c r="P668" s="14">
        <f t="shared" si="129"/>
        <v>5.2971173250855248</v>
      </c>
      <c r="Q668" s="14">
        <f t="shared" si="127"/>
        <v>27.574565759842919</v>
      </c>
    </row>
    <row r="669" spans="1:17" x14ac:dyDescent="0.25">
      <c r="A669" s="5" t="s">
        <v>726</v>
      </c>
      <c r="B669" s="6">
        <f t="shared" si="128"/>
        <v>10</v>
      </c>
      <c r="C669" s="70">
        <v>16.393510819999999</v>
      </c>
      <c r="D669" s="4">
        <v>2.9</v>
      </c>
      <c r="E669" s="12">
        <f t="shared" si="130"/>
        <v>0</v>
      </c>
      <c r="F669" s="12">
        <f t="shared" si="131"/>
        <v>2.9</v>
      </c>
      <c r="G669" s="16">
        <f t="shared" si="120"/>
        <v>7.5425607475653873</v>
      </c>
      <c r="H669" s="14">
        <f t="shared" si="121"/>
        <v>0.28477851501772805</v>
      </c>
      <c r="I669" s="14">
        <f t="shared" si="122"/>
        <v>5.3968172009179476</v>
      </c>
      <c r="J669" s="14">
        <f t="shared" si="123"/>
        <v>0.40274969847566039</v>
      </c>
      <c r="K669" s="14">
        <f t="shared" si="124"/>
        <v>0.68636068599638067</v>
      </c>
      <c r="L669" s="14">
        <f t="shared" si="125"/>
        <v>656.91101259384948</v>
      </c>
      <c r="M669" s="14">
        <f t="shared" si="119"/>
        <v>0.14008584445176456</v>
      </c>
      <c r="N669" s="14">
        <f t="shared" si="126"/>
        <v>3.5848356722552253</v>
      </c>
      <c r="O669" s="4">
        <v>1.4545999999999999</v>
      </c>
      <c r="P669" s="14">
        <f t="shared" si="129"/>
        <v>4.537904019348673</v>
      </c>
      <c r="Q669" s="14">
        <f t="shared" si="127"/>
        <v>25.796738686021076</v>
      </c>
    </row>
    <row r="670" spans="1:17" x14ac:dyDescent="0.25">
      <c r="A670" s="5" t="s">
        <v>727</v>
      </c>
      <c r="B670" s="6">
        <f t="shared" si="128"/>
        <v>10</v>
      </c>
      <c r="C670" s="70">
        <v>18.24304008</v>
      </c>
      <c r="D670" s="4">
        <v>1.3</v>
      </c>
      <c r="E670" s="12">
        <f t="shared" si="130"/>
        <v>0</v>
      </c>
      <c r="F670" s="12">
        <f t="shared" si="131"/>
        <v>1.3</v>
      </c>
      <c r="G670" s="16">
        <f t="shared" si="120"/>
        <v>7.8434722017704059</v>
      </c>
      <c r="H670" s="14">
        <f t="shared" si="121"/>
        <v>0.15361326257365468</v>
      </c>
      <c r="I670" s="14">
        <f t="shared" si="122"/>
        <v>8.0060636943747987</v>
      </c>
      <c r="J670" s="14">
        <f t="shared" si="123"/>
        <v>0.84547528322132659</v>
      </c>
      <c r="K670" s="14">
        <f t="shared" si="124"/>
        <v>0.80603092490968653</v>
      </c>
      <c r="L670" s="14">
        <f t="shared" si="125"/>
        <v>656.80486977305804</v>
      </c>
      <c r="M670" s="14">
        <f t="shared" si="119"/>
        <v>0.14008872615395476</v>
      </c>
      <c r="N670" s="14">
        <f t="shared" si="126"/>
        <v>3.5849094158147454</v>
      </c>
      <c r="O670" s="4">
        <v>2.1454</v>
      </c>
      <c r="P670" s="14">
        <f t="shared" si="129"/>
        <v>2.0721873582193098</v>
      </c>
      <c r="Q670" s="14">
        <f t="shared" si="127"/>
        <v>19.25672923556132</v>
      </c>
    </row>
    <row r="671" spans="1:17" x14ac:dyDescent="0.25">
      <c r="A671" s="5" t="s">
        <v>728</v>
      </c>
      <c r="B671" s="6">
        <f t="shared" si="128"/>
        <v>10</v>
      </c>
      <c r="C671" s="70">
        <v>19.096429820000001</v>
      </c>
      <c r="D671" s="4">
        <v>2.2000000000000002</v>
      </c>
      <c r="E671" s="12">
        <f t="shared" si="130"/>
        <v>0</v>
      </c>
      <c r="F671" s="12">
        <f t="shared" si="131"/>
        <v>2.2000000000000002</v>
      </c>
      <c r="G671" s="16">
        <f t="shared" si="120"/>
        <v>8.7666152193258924</v>
      </c>
      <c r="H671" s="14">
        <f t="shared" si="121"/>
        <v>0.26543878389893799</v>
      </c>
      <c r="I671" s="14">
        <f t="shared" si="122"/>
        <v>9.2099939239766044</v>
      </c>
      <c r="J671" s="14">
        <f t="shared" si="123"/>
        <v>1.0114181985455759</v>
      </c>
      <c r="K671" s="14">
        <f t="shared" si="124"/>
        <v>1.0316085580851306</v>
      </c>
      <c r="L671" s="14">
        <f t="shared" si="125"/>
        <v>656.70464219762755</v>
      </c>
      <c r="M671" s="14">
        <f t="shared" ref="M671:M734" si="132">MAX(0,K671-$F$9)*$F$8+K671*$F$10+L671*$F$11</f>
        <v>0.1401154290718872</v>
      </c>
      <c r="N671" s="14">
        <f t="shared" si="126"/>
        <v>3.5855927509021139</v>
      </c>
      <c r="O671" s="4">
        <v>4.0221</v>
      </c>
      <c r="P671" s="14">
        <f t="shared" si="129"/>
        <v>0.19053857851500397</v>
      </c>
      <c r="Q671" s="14">
        <f t="shared" si="127"/>
        <v>6.3078783505325973</v>
      </c>
    </row>
    <row r="672" spans="1:17" x14ac:dyDescent="0.25">
      <c r="A672" s="5" t="s">
        <v>729</v>
      </c>
      <c r="B672" s="6">
        <f t="shared" si="128"/>
        <v>10</v>
      </c>
      <c r="C672" s="70">
        <v>19.728227619999998</v>
      </c>
      <c r="D672" s="4">
        <v>0.1</v>
      </c>
      <c r="E672" s="12">
        <f t="shared" si="130"/>
        <v>0</v>
      </c>
      <c r="F672" s="12">
        <f t="shared" si="131"/>
        <v>0.1</v>
      </c>
      <c r="G672" s="16">
        <f t="shared" ref="G672:G735" si="133">G671+F672-H672-J672</f>
        <v>7.6139523216470337</v>
      </c>
      <c r="H672" s="14">
        <f t="shared" ref="H672:H735" si="134">(F672*(G671/$C$11)^$C$12)</f>
        <v>1.2802676027629837E-2</v>
      </c>
      <c r="I672" s="14">
        <f t="shared" ref="I672:I735" si="135">(1+$C$13*(C672-INDEX($A$16:$A$27,B672)))*INDEX($C$16:$C$27,B672)</f>
        <v>10.101310557823071</v>
      </c>
      <c r="J672" s="14">
        <f t="shared" ref="J672:J735" si="136">IF(G671&gt;$F$13,I672,I672*(G671/$F$13))</f>
        <v>1.2398602216512293</v>
      </c>
      <c r="K672" s="14">
        <f t="shared" ref="K672:K735" si="137">K671+H672-MAX(0,K671-$F$9)*$F$8-K671*$F$10-K671*$F$12</f>
        <v>0.99339445181487906</v>
      </c>
      <c r="L672" s="14">
        <f t="shared" ref="L672:L735" si="138">L671+K671*$F$12-L671*$F$11</f>
        <v>656.61554355085354</v>
      </c>
      <c r="M672" s="14">
        <f t="shared" si="132"/>
        <v>0.14008830804731445</v>
      </c>
      <c r="N672" s="14">
        <f t="shared" ref="N672:N735" si="139">M672*$C$8*1000/(24*3600)</f>
        <v>3.5848987163496786</v>
      </c>
      <c r="O672" s="4">
        <v>4.4112999999999998</v>
      </c>
      <c r="P672" s="14">
        <f t="shared" si="129"/>
        <v>0.6829390816188986</v>
      </c>
      <c r="Q672" s="14">
        <f t="shared" ref="Q672:Q735" si="140">(O672-$F$23)^2</f>
        <v>4.5043652534061644</v>
      </c>
    </row>
    <row r="673" spans="1:17" x14ac:dyDescent="0.25">
      <c r="A673" s="5" t="s">
        <v>730</v>
      </c>
      <c r="B673" s="6">
        <f t="shared" ref="B673:B736" si="141">MONTH(A673)</f>
        <v>10</v>
      </c>
      <c r="C673" s="70">
        <v>19.271104810000001</v>
      </c>
      <c r="D673" s="4">
        <v>0</v>
      </c>
      <c r="E673" s="12">
        <f t="shared" si="130"/>
        <v>0</v>
      </c>
      <c r="F673" s="12">
        <f t="shared" si="131"/>
        <v>0</v>
      </c>
      <c r="G673" s="16">
        <f t="shared" si="133"/>
        <v>6.6058609186058233</v>
      </c>
      <c r="H673" s="14">
        <f t="shared" si="134"/>
        <v>0</v>
      </c>
      <c r="I673" s="14">
        <f t="shared" si="135"/>
        <v>9.4564188467983747</v>
      </c>
      <c r="J673" s="14">
        <f t="shared" si="136"/>
        <v>1.0080914030412105</v>
      </c>
      <c r="K673" s="14">
        <f t="shared" si="137"/>
        <v>0.94426749558039924</v>
      </c>
      <c r="L673" s="14">
        <f t="shared" si="138"/>
        <v>656.52458219904065</v>
      </c>
      <c r="M673" s="14">
        <f t="shared" si="132"/>
        <v>0.14005846548752326</v>
      </c>
      <c r="N673" s="14">
        <f t="shared" si="139"/>
        <v>3.584135036955022</v>
      </c>
      <c r="O673" s="4">
        <v>4.2675000000000001</v>
      </c>
      <c r="P673" s="14">
        <f t="shared" ref="P673:P736" si="142">(O673-N673)^2</f>
        <v>0.46698767271746422</v>
      </c>
      <c r="Q673" s="14">
        <f t="shared" si="140"/>
        <v>5.1354312641532882</v>
      </c>
    </row>
    <row r="674" spans="1:17" x14ac:dyDescent="0.25">
      <c r="A674" s="5" t="s">
        <v>731</v>
      </c>
      <c r="B674" s="6">
        <f t="shared" si="141"/>
        <v>10</v>
      </c>
      <c r="C674" s="70">
        <v>19.102687840000002</v>
      </c>
      <c r="D674" s="4">
        <v>0</v>
      </c>
      <c r="E674" s="12">
        <f t="shared" si="130"/>
        <v>0</v>
      </c>
      <c r="F674" s="12">
        <f t="shared" si="131"/>
        <v>0</v>
      </c>
      <c r="G674" s="16">
        <f t="shared" si="133"/>
        <v>5.7532165318553519</v>
      </c>
      <c r="H674" s="14">
        <f t="shared" si="134"/>
        <v>0</v>
      </c>
      <c r="I674" s="14">
        <f t="shared" si="135"/>
        <v>9.2188225038180391</v>
      </c>
      <c r="J674" s="14">
        <f t="shared" si="136"/>
        <v>0.85264438675047138</v>
      </c>
      <c r="K674" s="14">
        <f t="shared" si="137"/>
        <v>0.89757004539405083</v>
      </c>
      <c r="L674" s="14">
        <f t="shared" si="138"/>
        <v>656.43122118373947</v>
      </c>
      <c r="M674" s="14">
        <f t="shared" si="132"/>
        <v>0.14002862928499621</v>
      </c>
      <c r="N674" s="14">
        <f t="shared" si="139"/>
        <v>3.5833715202445213</v>
      </c>
      <c r="O674" s="4">
        <v>4.0537999999999998</v>
      </c>
      <c r="P674" s="14">
        <f t="shared" si="142"/>
        <v>0.22130295456505067</v>
      </c>
      <c r="Q674" s="14">
        <f t="shared" si="140"/>
        <v>6.1496510342969657</v>
      </c>
    </row>
    <row r="675" spans="1:17" x14ac:dyDescent="0.25">
      <c r="A675" s="5" t="s">
        <v>732</v>
      </c>
      <c r="B675" s="6">
        <f t="shared" si="141"/>
        <v>10</v>
      </c>
      <c r="C675" s="70">
        <v>18.2498188</v>
      </c>
      <c r="D675" s="4">
        <v>0</v>
      </c>
      <c r="E675" s="12">
        <f t="shared" si="130"/>
        <v>0</v>
      </c>
      <c r="F675" s="12">
        <f t="shared" si="131"/>
        <v>0</v>
      </c>
      <c r="G675" s="16">
        <f t="shared" si="133"/>
        <v>5.107545548047085</v>
      </c>
      <c r="H675" s="14">
        <f t="shared" si="134"/>
        <v>0</v>
      </c>
      <c r="I675" s="14">
        <f t="shared" si="135"/>
        <v>8.0156268582417631</v>
      </c>
      <c r="J675" s="14">
        <f t="shared" si="136"/>
        <v>0.64567098380826726</v>
      </c>
      <c r="K675" s="14">
        <f t="shared" si="137"/>
        <v>0.85318195337592595</v>
      </c>
      <c r="L675" s="14">
        <f t="shared" si="138"/>
        <v>656.33558064647252</v>
      </c>
      <c r="M675" s="14">
        <f t="shared" si="132"/>
        <v>0.13999879943837901</v>
      </c>
      <c r="N675" s="14">
        <f t="shared" si="139"/>
        <v>3.5826081661835181</v>
      </c>
      <c r="O675" s="4">
        <v>3.9904000000000002</v>
      </c>
      <c r="P675" s="14">
        <f t="shared" si="142"/>
        <v>0.16629417972740934</v>
      </c>
      <c r="Q675" s="14">
        <f t="shared" si="140"/>
        <v>6.4681154467682278</v>
      </c>
    </row>
    <row r="676" spans="1:17" x14ac:dyDescent="0.25">
      <c r="A676" s="5" t="s">
        <v>733</v>
      </c>
      <c r="B676" s="6">
        <f t="shared" si="141"/>
        <v>10</v>
      </c>
      <c r="C676" s="70">
        <v>18.23862076</v>
      </c>
      <c r="D676" s="4">
        <v>0</v>
      </c>
      <c r="E676" s="12">
        <f t="shared" si="130"/>
        <v>0</v>
      </c>
      <c r="F676" s="12">
        <f t="shared" si="131"/>
        <v>0</v>
      </c>
      <c r="G676" s="16">
        <f t="shared" si="133"/>
        <v>4.5354665361108353</v>
      </c>
      <c r="H676" s="14">
        <f t="shared" si="134"/>
        <v>0</v>
      </c>
      <c r="I676" s="14">
        <f t="shared" si="135"/>
        <v>7.9998290835130783</v>
      </c>
      <c r="J676" s="14">
        <f t="shared" si="136"/>
        <v>0.57207901193624988</v>
      </c>
      <c r="K676" s="14">
        <f t="shared" si="137"/>
        <v>0.81098901339425811</v>
      </c>
      <c r="L676" s="14">
        <f t="shared" si="138"/>
        <v>656.23777478701572</v>
      </c>
      <c r="M676" s="14">
        <f t="shared" si="132"/>
        <v>0.13996897594631769</v>
      </c>
      <c r="N676" s="14">
        <f t="shared" si="139"/>
        <v>3.5818449747373657</v>
      </c>
      <c r="O676" s="4">
        <v>3.7946</v>
      </c>
      <c r="P676" s="14">
        <f t="shared" si="142"/>
        <v>4.5264700774504132E-2</v>
      </c>
      <c r="Q676" s="14">
        <f t="shared" si="140"/>
        <v>7.5023893929176522</v>
      </c>
    </row>
    <row r="677" spans="1:17" x14ac:dyDescent="0.25">
      <c r="A677" s="5" t="s">
        <v>734</v>
      </c>
      <c r="B677" s="6">
        <f t="shared" si="141"/>
        <v>10</v>
      </c>
      <c r="C677" s="70">
        <v>18.190578460000001</v>
      </c>
      <c r="D677" s="4">
        <v>0</v>
      </c>
      <c r="E677" s="12">
        <f t="shared" si="130"/>
        <v>0</v>
      </c>
      <c r="F677" s="12">
        <f t="shared" si="131"/>
        <v>0</v>
      </c>
      <c r="G677" s="16">
        <f t="shared" si="133"/>
        <v>4.0317680771314484</v>
      </c>
      <c r="H677" s="14">
        <f t="shared" si="134"/>
        <v>0</v>
      </c>
      <c r="I677" s="14">
        <f t="shared" si="135"/>
        <v>7.9320528090179137</v>
      </c>
      <c r="J677" s="14">
        <f t="shared" si="136"/>
        <v>0.50369845897938703</v>
      </c>
      <c r="K677" s="14">
        <f t="shared" si="137"/>
        <v>0.77088266722444054</v>
      </c>
      <c r="L677" s="14">
        <f t="shared" si="138"/>
        <v>656.13791215723916</v>
      </c>
      <c r="M677" s="14">
        <f t="shared" si="132"/>
        <v>0.13993915880745852</v>
      </c>
      <c r="N677" s="14">
        <f t="shared" si="139"/>
        <v>3.5810819458714214</v>
      </c>
      <c r="O677" s="4">
        <v>3.58</v>
      </c>
      <c r="P677" s="14">
        <f t="shared" si="142"/>
        <v>1.1706068686855899E-6</v>
      </c>
      <c r="Q677" s="14">
        <f t="shared" si="140"/>
        <v>8.7240423812509835</v>
      </c>
    </row>
    <row r="678" spans="1:17" x14ac:dyDescent="0.25">
      <c r="A678" s="5" t="s">
        <v>735</v>
      </c>
      <c r="B678" s="6">
        <f t="shared" si="141"/>
        <v>10</v>
      </c>
      <c r="C678" s="70">
        <v>16.920722959999999</v>
      </c>
      <c r="D678" s="4">
        <v>0</v>
      </c>
      <c r="E678" s="12">
        <f t="shared" si="130"/>
        <v>0</v>
      </c>
      <c r="F678" s="12">
        <f t="shared" si="131"/>
        <v>0</v>
      </c>
      <c r="G678" s="16">
        <f t="shared" si="133"/>
        <v>3.6851361340958753</v>
      </c>
      <c r="H678" s="14">
        <f t="shared" si="134"/>
        <v>0</v>
      </c>
      <c r="I678" s="14">
        <f t="shared" si="135"/>
        <v>6.1405883092500639</v>
      </c>
      <c r="J678" s="14">
        <f t="shared" si="136"/>
        <v>0.34663194303557299</v>
      </c>
      <c r="K678" s="14">
        <f t="shared" si="137"/>
        <v>0.73275972523954669</v>
      </c>
      <c r="L678" s="14">
        <f t="shared" si="138"/>
        <v>656.03609594041654</v>
      </c>
      <c r="M678" s="14">
        <f t="shared" si="132"/>
        <v>0.13990934802044816</v>
      </c>
      <c r="N678" s="14">
        <f t="shared" si="139"/>
        <v>3.5803190795510513</v>
      </c>
      <c r="O678" s="4">
        <v>3.3864999999999998</v>
      </c>
      <c r="P678" s="14">
        <f t="shared" si="142"/>
        <v>3.7565835598016822E-2</v>
      </c>
      <c r="Q678" s="14">
        <f t="shared" si="140"/>
        <v>9.904546792026844</v>
      </c>
    </row>
    <row r="679" spans="1:17" x14ac:dyDescent="0.25">
      <c r="A679" s="5" t="s">
        <v>736</v>
      </c>
      <c r="B679" s="6">
        <f t="shared" si="141"/>
        <v>10</v>
      </c>
      <c r="C679" s="70">
        <v>18.89078331</v>
      </c>
      <c r="D679" s="4">
        <v>0.1</v>
      </c>
      <c r="E679" s="12">
        <f t="shared" si="130"/>
        <v>0</v>
      </c>
      <c r="F679" s="12">
        <f t="shared" si="131"/>
        <v>0.1</v>
      </c>
      <c r="G679" s="16">
        <f t="shared" si="133"/>
        <v>3.3168394062841164</v>
      </c>
      <c r="H679" s="14">
        <f t="shared" si="134"/>
        <v>8.0662357155030125E-3</v>
      </c>
      <c r="I679" s="14">
        <f t="shared" si="135"/>
        <v>8.9198755426598666</v>
      </c>
      <c r="J679" s="14">
        <f t="shared" si="136"/>
        <v>0.46023049209625588</v>
      </c>
      <c r="K679" s="14">
        <f t="shared" si="137"/>
        <v>0.70458833662921849</v>
      </c>
      <c r="L679" s="14">
        <f t="shared" si="138"/>
        <v>655.93242421672198</v>
      </c>
      <c r="M679" s="14">
        <f t="shared" si="132"/>
        <v>0.13988126190807479</v>
      </c>
      <c r="N679" s="14">
        <f t="shared" si="139"/>
        <v>3.5796003481337193</v>
      </c>
      <c r="O679" s="4">
        <v>3.2545999999999999</v>
      </c>
      <c r="P679" s="14">
        <f t="shared" si="142"/>
        <v>0.10562522628703878</v>
      </c>
      <c r="Q679" s="14">
        <f t="shared" si="140"/>
        <v>10.752162306710751</v>
      </c>
    </row>
    <row r="680" spans="1:17" x14ac:dyDescent="0.25">
      <c r="A680" s="5" t="s">
        <v>737</v>
      </c>
      <c r="B680" s="6">
        <f t="shared" si="141"/>
        <v>10</v>
      </c>
      <c r="C680" s="70">
        <v>18.676227570000002</v>
      </c>
      <c r="D680" s="4">
        <v>0.5</v>
      </c>
      <c r="E680" s="12">
        <f t="shared" si="130"/>
        <v>0</v>
      </c>
      <c r="F680" s="12">
        <f t="shared" si="131"/>
        <v>0.5</v>
      </c>
      <c r="G680" s="16">
        <f t="shared" si="133"/>
        <v>3.3785316884607877</v>
      </c>
      <c r="H680" s="14">
        <f t="shared" si="134"/>
        <v>3.8129829111054461E-2</v>
      </c>
      <c r="I680" s="14">
        <f t="shared" si="135"/>
        <v>8.6171883538959353</v>
      </c>
      <c r="J680" s="14">
        <f t="shared" si="136"/>
        <v>0.40017788871227405</v>
      </c>
      <c r="K680" s="14">
        <f t="shared" si="137"/>
        <v>0.70787371868938587</v>
      </c>
      <c r="L680" s="14">
        <f t="shared" si="138"/>
        <v>655.82738740186483</v>
      </c>
      <c r="M680" s="14">
        <f t="shared" si="132"/>
        <v>0.13985958612899366</v>
      </c>
      <c r="N680" s="14">
        <f t="shared" si="139"/>
        <v>3.5790456589259838</v>
      </c>
      <c r="O680" s="4">
        <v>3.2553999999999998</v>
      </c>
      <c r="P680" s="14">
        <f t="shared" si="142"/>
        <v>0.10474651254163433</v>
      </c>
      <c r="Q680" s="14">
        <f t="shared" si="140"/>
        <v>10.746916468319947</v>
      </c>
    </row>
    <row r="681" spans="1:17" x14ac:dyDescent="0.25">
      <c r="A681" s="5" t="s">
        <v>738</v>
      </c>
      <c r="B681" s="6">
        <f t="shared" si="141"/>
        <v>10</v>
      </c>
      <c r="C681" s="70">
        <v>17.423023220000001</v>
      </c>
      <c r="D681" s="4">
        <v>0</v>
      </c>
      <c r="E681" s="12">
        <f t="shared" si="130"/>
        <v>0</v>
      </c>
      <c r="F681" s="12">
        <f t="shared" si="131"/>
        <v>0</v>
      </c>
      <c r="G681" s="16">
        <f t="shared" si="133"/>
        <v>3.0545415187827691</v>
      </c>
      <c r="H681" s="14">
        <f t="shared" si="134"/>
        <v>0</v>
      </c>
      <c r="I681" s="14">
        <f t="shared" si="135"/>
        <v>6.8492146718670419</v>
      </c>
      <c r="J681" s="14">
        <f t="shared" si="136"/>
        <v>0.32399016967801852</v>
      </c>
      <c r="K681" s="14">
        <f t="shared" si="137"/>
        <v>0.67286679758764367</v>
      </c>
      <c r="L681" s="14">
        <f t="shared" si="138"/>
        <v>655.72253473683759</v>
      </c>
      <c r="M681" s="14">
        <f t="shared" si="132"/>
        <v>0.13982979229309397</v>
      </c>
      <c r="N681" s="14">
        <f t="shared" si="139"/>
        <v>3.5782832263892446</v>
      </c>
      <c r="O681" s="4">
        <v>3.1867000000000001</v>
      </c>
      <c r="P681" s="14">
        <f t="shared" si="142"/>
        <v>0.15333742318941029</v>
      </c>
      <c r="Q681" s="14">
        <f t="shared" si="140"/>
        <v>11.202067570130289</v>
      </c>
    </row>
    <row r="682" spans="1:17" x14ac:dyDescent="0.25">
      <c r="A682" s="5" t="s">
        <v>739</v>
      </c>
      <c r="B682" s="6">
        <f t="shared" si="141"/>
        <v>10</v>
      </c>
      <c r="C682" s="70">
        <v>16.549396510000001</v>
      </c>
      <c r="D682" s="4">
        <v>0</v>
      </c>
      <c r="E682" s="12">
        <f t="shared" si="130"/>
        <v>0</v>
      </c>
      <c r="F682" s="12">
        <f t="shared" si="131"/>
        <v>0</v>
      </c>
      <c r="G682" s="16">
        <f t="shared" si="133"/>
        <v>2.8143304496790851</v>
      </c>
      <c r="H682" s="14">
        <f t="shared" si="134"/>
        <v>0</v>
      </c>
      <c r="I682" s="14">
        <f t="shared" si="135"/>
        <v>5.6167348841951528</v>
      </c>
      <c r="J682" s="14">
        <f t="shared" si="136"/>
        <v>0.24021106910368389</v>
      </c>
      <c r="K682" s="14">
        <f t="shared" si="137"/>
        <v>0.63959109561816785</v>
      </c>
      <c r="L682" s="14">
        <f t="shared" si="138"/>
        <v>655.61598064651389</v>
      </c>
      <c r="M682" s="14">
        <f t="shared" si="132"/>
        <v>0.13980000480407892</v>
      </c>
      <c r="N682" s="14">
        <f t="shared" si="139"/>
        <v>3.577520956271047</v>
      </c>
      <c r="O682" s="4">
        <v>3.1</v>
      </c>
      <c r="P682" s="14">
        <f t="shared" si="142"/>
        <v>0.22802626367801515</v>
      </c>
      <c r="Q682" s="14">
        <f t="shared" si="140"/>
        <v>11.789945415733737</v>
      </c>
    </row>
    <row r="683" spans="1:17" x14ac:dyDescent="0.25">
      <c r="A683" s="5" t="s">
        <v>740</v>
      </c>
      <c r="B683" s="6">
        <f t="shared" si="141"/>
        <v>10</v>
      </c>
      <c r="C683" s="70">
        <v>18.825548170000001</v>
      </c>
      <c r="D683" s="4">
        <v>0</v>
      </c>
      <c r="E683" s="12">
        <f t="shared" si="130"/>
        <v>0</v>
      </c>
      <c r="F683" s="12">
        <f t="shared" si="131"/>
        <v>0</v>
      </c>
      <c r="G683" s="16">
        <f t="shared" si="133"/>
        <v>2.4664798067826657</v>
      </c>
      <c r="H683" s="14">
        <f t="shared" si="134"/>
        <v>0</v>
      </c>
      <c r="I683" s="14">
        <f t="shared" si="135"/>
        <v>8.827844254495675</v>
      </c>
      <c r="J683" s="14">
        <f t="shared" si="136"/>
        <v>0.34785064289641943</v>
      </c>
      <c r="K683" s="14">
        <f t="shared" si="137"/>
        <v>0.60796099772000478</v>
      </c>
      <c r="L683" s="14">
        <f t="shared" si="138"/>
        <v>655.50781073960798</v>
      </c>
      <c r="M683" s="14">
        <f t="shared" si="132"/>
        <v>0.13977022366059644</v>
      </c>
      <c r="N683" s="14">
        <f t="shared" si="139"/>
        <v>3.5767588485367905</v>
      </c>
      <c r="O683" s="4">
        <v>3.1333000000000002</v>
      </c>
      <c r="P683" s="14">
        <f t="shared" si="142"/>
        <v>0.19665575034557592</v>
      </c>
      <c r="Q683" s="14">
        <f t="shared" si="140"/>
        <v>11.562373282716495</v>
      </c>
    </row>
    <row r="684" spans="1:17" x14ac:dyDescent="0.25">
      <c r="A684" s="5" t="s">
        <v>741</v>
      </c>
      <c r="B684" s="6">
        <f t="shared" si="141"/>
        <v>11</v>
      </c>
      <c r="C684" s="70">
        <v>19.49559593</v>
      </c>
      <c r="D684" s="4">
        <v>0</v>
      </c>
      <c r="E684" s="12">
        <f t="shared" si="130"/>
        <v>0</v>
      </c>
      <c r="F684" s="12">
        <f t="shared" si="131"/>
        <v>0</v>
      </c>
      <c r="G684" s="16">
        <f t="shared" si="133"/>
        <v>2.1726494084275272</v>
      </c>
      <c r="H684" s="14">
        <f t="shared" si="134"/>
        <v>0</v>
      </c>
      <c r="I684" s="14">
        <f t="shared" si="135"/>
        <v>8.5085606988623184</v>
      </c>
      <c r="J684" s="14">
        <f t="shared" si="136"/>
        <v>0.29383039835513841</v>
      </c>
      <c r="K684" s="14">
        <f t="shared" si="137"/>
        <v>0.57789512280727962</v>
      </c>
      <c r="L684" s="14">
        <f t="shared" si="138"/>
        <v>655.39810639086011</v>
      </c>
      <c r="M684" s="14">
        <f t="shared" si="132"/>
        <v>0.13974044886129477</v>
      </c>
      <c r="N684" s="14">
        <f t="shared" si="139"/>
        <v>3.5759969031518839</v>
      </c>
      <c r="O684" s="4">
        <v>3.26</v>
      </c>
      <c r="P684" s="14">
        <f t="shared" si="142"/>
        <v>9.9854042801581222E-2</v>
      </c>
      <c r="Q684" s="14">
        <f t="shared" si="140"/>
        <v>10.716777737572821</v>
      </c>
    </row>
    <row r="685" spans="1:17" x14ac:dyDescent="0.25">
      <c r="A685" s="5" t="s">
        <v>742</v>
      </c>
      <c r="B685" s="6">
        <f t="shared" si="141"/>
        <v>11</v>
      </c>
      <c r="C685" s="70">
        <v>19.991708760000002</v>
      </c>
      <c r="D685" s="4">
        <v>0</v>
      </c>
      <c r="E685" s="12">
        <f t="shared" si="130"/>
        <v>0</v>
      </c>
      <c r="F685" s="12">
        <f t="shared" si="131"/>
        <v>0</v>
      </c>
      <c r="G685" s="16">
        <f t="shared" si="133"/>
        <v>1.8950948155209937</v>
      </c>
      <c r="H685" s="14">
        <f t="shared" si="134"/>
        <v>0</v>
      </c>
      <c r="I685" s="14">
        <f t="shared" si="135"/>
        <v>9.1242191618255379</v>
      </c>
      <c r="J685" s="14">
        <f t="shared" si="136"/>
        <v>0.27755459290653345</v>
      </c>
      <c r="K685" s="14">
        <f t="shared" si="137"/>
        <v>0.54931611438378258</v>
      </c>
      <c r="L685" s="14">
        <f t="shared" si="138"/>
        <v>655.28694495042225</v>
      </c>
      <c r="M685" s="14">
        <f t="shared" si="132"/>
        <v>0.13971068040482243</v>
      </c>
      <c r="N685" s="14">
        <f t="shared" si="139"/>
        <v>3.5752351200817407</v>
      </c>
      <c r="O685" s="4">
        <v>3.2625000000000002</v>
      </c>
      <c r="P685" s="14">
        <f t="shared" si="142"/>
        <v>9.7803255332540667E-2</v>
      </c>
      <c r="Q685" s="14">
        <f t="shared" si="140"/>
        <v>10.700415742601555</v>
      </c>
    </row>
    <row r="686" spans="1:17" x14ac:dyDescent="0.25">
      <c r="A686" s="5" t="s">
        <v>743</v>
      </c>
      <c r="B686" s="6">
        <f t="shared" si="141"/>
        <v>11</v>
      </c>
      <c r="C686" s="70">
        <v>18.964536670000001</v>
      </c>
      <c r="D686" s="4">
        <v>0</v>
      </c>
      <c r="E686" s="12">
        <f t="shared" si="130"/>
        <v>0</v>
      </c>
      <c r="F686" s="12">
        <f t="shared" si="131"/>
        <v>0</v>
      </c>
      <c r="G686" s="16">
        <f t="shared" si="133"/>
        <v>1.68681943842652</v>
      </c>
      <c r="H686" s="14">
        <f t="shared" si="134"/>
        <v>0</v>
      </c>
      <c r="I686" s="14">
        <f t="shared" si="135"/>
        <v>7.8495349531383427</v>
      </c>
      <c r="J686" s="14">
        <f t="shared" si="136"/>
        <v>0.20827537709447355</v>
      </c>
      <c r="K686" s="14">
        <f t="shared" si="137"/>
        <v>0.52215044151242296</v>
      </c>
      <c r="L686" s="14">
        <f t="shared" si="138"/>
        <v>655.17439994288873</v>
      </c>
      <c r="M686" s="14">
        <f t="shared" si="132"/>
        <v>0.13968091828982823</v>
      </c>
      <c r="N686" s="14">
        <f t="shared" si="139"/>
        <v>3.574473499291785</v>
      </c>
      <c r="O686" s="4">
        <v>3.1566999999999998</v>
      </c>
      <c r="P686" s="14">
        <f t="shared" si="142"/>
        <v>0.17453469671050326</v>
      </c>
      <c r="Q686" s="14">
        <f t="shared" si="140"/>
        <v>11.403784509785464</v>
      </c>
    </row>
    <row r="687" spans="1:17" x14ac:dyDescent="0.25">
      <c r="A687" s="5" t="s">
        <v>744</v>
      </c>
      <c r="B687" s="6">
        <f t="shared" si="141"/>
        <v>11</v>
      </c>
      <c r="C687" s="70">
        <v>15.525409700000001</v>
      </c>
      <c r="D687" s="4">
        <v>0</v>
      </c>
      <c r="E687" s="12">
        <f t="shared" si="130"/>
        <v>0</v>
      </c>
      <c r="F687" s="12">
        <f t="shared" si="131"/>
        <v>0</v>
      </c>
      <c r="G687" s="16">
        <f t="shared" si="133"/>
        <v>1.6022290780740489</v>
      </c>
      <c r="H687" s="14">
        <f t="shared" si="134"/>
        <v>0</v>
      </c>
      <c r="I687" s="14">
        <f t="shared" si="135"/>
        <v>3.5817001053970703</v>
      </c>
      <c r="J687" s="14">
        <f t="shared" si="136"/>
        <v>8.4590360352471083E-2</v>
      </c>
      <c r="K687" s="14">
        <f t="shared" si="137"/>
        <v>0.49632820962746438</v>
      </c>
      <c r="L687" s="14">
        <f t="shared" si="138"/>
        <v>655.06054125648382</v>
      </c>
      <c r="M687" s="14">
        <f t="shared" si="132"/>
        <v>0.13965116251496124</v>
      </c>
      <c r="N687" s="14">
        <f t="shared" si="139"/>
        <v>3.5737120407474459</v>
      </c>
      <c r="O687" s="4">
        <v>3.1</v>
      </c>
      <c r="P687" s="14">
        <f t="shared" si="142"/>
        <v>0.22440309754910973</v>
      </c>
      <c r="Q687" s="14">
        <f t="shared" si="140"/>
        <v>11.789945415733737</v>
      </c>
    </row>
    <row r="688" spans="1:17" x14ac:dyDescent="0.25">
      <c r="A688" s="5" t="s">
        <v>745</v>
      </c>
      <c r="B688" s="6">
        <f t="shared" si="141"/>
        <v>11</v>
      </c>
      <c r="C688" s="70">
        <v>14.472910880000001</v>
      </c>
      <c r="D688" s="4">
        <v>0</v>
      </c>
      <c r="E688" s="12">
        <f t="shared" si="130"/>
        <v>0</v>
      </c>
      <c r="F688" s="12">
        <f t="shared" si="131"/>
        <v>0</v>
      </c>
      <c r="G688" s="16">
        <f t="shared" si="133"/>
        <v>1.5511808135496761</v>
      </c>
      <c r="H688" s="14">
        <f t="shared" si="134"/>
        <v>0</v>
      </c>
      <c r="I688" s="14">
        <f t="shared" si="135"/>
        <v>2.2755863211762541</v>
      </c>
      <c r="J688" s="14">
        <f t="shared" si="136"/>
        <v>5.1048264524372916E-2</v>
      </c>
      <c r="K688" s="14">
        <f t="shared" si="137"/>
        <v>0.47178298070278135</v>
      </c>
      <c r="L688" s="14">
        <f t="shared" si="138"/>
        <v>654.94543532289356</v>
      </c>
      <c r="M688" s="14">
        <f t="shared" si="132"/>
        <v>0.13962141307887088</v>
      </c>
      <c r="N688" s="14">
        <f t="shared" si="139"/>
        <v>3.5729507444141611</v>
      </c>
      <c r="O688" s="4">
        <v>2.9062999999999999</v>
      </c>
      <c r="P688" s="14">
        <f t="shared" si="142"/>
        <v>0.44442321502795523</v>
      </c>
      <c r="Q688" s="14">
        <f t="shared" si="140"/>
        <v>13.1576607261073</v>
      </c>
    </row>
    <row r="689" spans="1:17" x14ac:dyDescent="0.25">
      <c r="A689" s="5" t="s">
        <v>746</v>
      </c>
      <c r="B689" s="6">
        <f t="shared" si="141"/>
        <v>11</v>
      </c>
      <c r="C689" s="70">
        <v>17.512731550000002</v>
      </c>
      <c r="D689" s="4">
        <v>0</v>
      </c>
      <c r="E689" s="12">
        <f t="shared" si="130"/>
        <v>0</v>
      </c>
      <c r="F689" s="12">
        <f t="shared" si="131"/>
        <v>0</v>
      </c>
      <c r="G689" s="16">
        <f t="shared" si="133"/>
        <v>1.4198308942769375</v>
      </c>
      <c r="H689" s="14">
        <f t="shared" si="134"/>
        <v>0</v>
      </c>
      <c r="I689" s="14">
        <f t="shared" si="135"/>
        <v>6.0478961833824254</v>
      </c>
      <c r="J689" s="14">
        <f t="shared" si="136"/>
        <v>0.13134991927273842</v>
      </c>
      <c r="K689" s="14">
        <f t="shared" si="137"/>
        <v>0.44845160231344738</v>
      </c>
      <c r="L689" s="14">
        <f t="shared" si="138"/>
        <v>654.82914528820402</v>
      </c>
      <c r="M689" s="14">
        <f t="shared" si="132"/>
        <v>0.13959166998020681</v>
      </c>
      <c r="N689" s="14">
        <f t="shared" si="139"/>
        <v>3.5721896102573751</v>
      </c>
      <c r="O689" s="4">
        <v>2.9375</v>
      </c>
      <c r="P689" s="14">
        <f t="shared" si="142"/>
        <v>0.40283090136865873</v>
      </c>
      <c r="Q689" s="14">
        <f t="shared" si="140"/>
        <v>12.93228758886592</v>
      </c>
    </row>
    <row r="690" spans="1:17" x14ac:dyDescent="0.25">
      <c r="A690" s="5" t="s">
        <v>747</v>
      </c>
      <c r="B690" s="6">
        <f t="shared" si="141"/>
        <v>11</v>
      </c>
      <c r="C690" s="70">
        <v>17.789245609999998</v>
      </c>
      <c r="D690" s="4">
        <v>0</v>
      </c>
      <c r="E690" s="12">
        <f t="shared" si="130"/>
        <v>0</v>
      </c>
      <c r="F690" s="12">
        <f t="shared" si="131"/>
        <v>0</v>
      </c>
      <c r="G690" s="16">
        <f t="shared" si="133"/>
        <v>1.2927818977360217</v>
      </c>
      <c r="H690" s="14">
        <f t="shared" si="134"/>
        <v>0</v>
      </c>
      <c r="I690" s="14">
        <f t="shared" si="135"/>
        <v>6.3910403450992588</v>
      </c>
      <c r="J690" s="14">
        <f t="shared" si="136"/>
        <v>0.12704899654091575</v>
      </c>
      <c r="K690" s="14">
        <f t="shared" si="137"/>
        <v>0.42627404515084649</v>
      </c>
      <c r="L690" s="14">
        <f t="shared" si="138"/>
        <v>654.71173117538649</v>
      </c>
      <c r="M690" s="14">
        <f t="shared" si="132"/>
        <v>0.13956193321761901</v>
      </c>
      <c r="N690" s="14">
        <f t="shared" si="139"/>
        <v>3.5714286382425424</v>
      </c>
      <c r="O690" s="4">
        <v>2.6875</v>
      </c>
      <c r="P690" s="14">
        <f t="shared" si="142"/>
        <v>0.78132983750531537</v>
      </c>
      <c r="Q690" s="14">
        <f t="shared" si="140"/>
        <v>14.792862085992354</v>
      </c>
    </row>
    <row r="691" spans="1:17" x14ac:dyDescent="0.25">
      <c r="A691" s="5" t="s">
        <v>748</v>
      </c>
      <c r="B691" s="6">
        <f t="shared" si="141"/>
        <v>11</v>
      </c>
      <c r="C691" s="70">
        <v>18.107547759999999</v>
      </c>
      <c r="D691" s="4">
        <v>0</v>
      </c>
      <c r="E691" s="12">
        <f t="shared" si="130"/>
        <v>0</v>
      </c>
      <c r="F691" s="12">
        <f t="shared" si="131"/>
        <v>0</v>
      </c>
      <c r="G691" s="16">
        <f t="shared" si="133"/>
        <v>1.1699517803743829</v>
      </c>
      <c r="H691" s="14">
        <f t="shared" si="134"/>
        <v>0</v>
      </c>
      <c r="I691" s="14">
        <f t="shared" si="135"/>
        <v>6.7860420474879835</v>
      </c>
      <c r="J691" s="14">
        <f t="shared" si="136"/>
        <v>0.12283011736163887</v>
      </c>
      <c r="K691" s="14">
        <f t="shared" si="137"/>
        <v>0.40519324857325212</v>
      </c>
      <c r="L691" s="14">
        <f t="shared" si="138"/>
        <v>654.59325003874642</v>
      </c>
      <c r="M691" s="14">
        <f t="shared" si="132"/>
        <v>0.13953220278975761</v>
      </c>
      <c r="N691" s="14">
        <f t="shared" si="139"/>
        <v>3.5706678283351168</v>
      </c>
      <c r="O691" s="4">
        <v>2.6133000000000002</v>
      </c>
      <c r="P691" s="14">
        <f t="shared" si="142"/>
        <v>0.91655315873109722</v>
      </c>
      <c r="Q691" s="14">
        <f t="shared" si="140"/>
        <v>15.369136236739479</v>
      </c>
    </row>
    <row r="692" spans="1:17" x14ac:dyDescent="0.25">
      <c r="A692" s="5" t="s">
        <v>749</v>
      </c>
      <c r="B692" s="6">
        <f t="shared" si="141"/>
        <v>11</v>
      </c>
      <c r="C692" s="70">
        <v>18.078367230000001</v>
      </c>
      <c r="D692" s="4">
        <v>0</v>
      </c>
      <c r="E692" s="12">
        <f t="shared" si="130"/>
        <v>0</v>
      </c>
      <c r="F692" s="12">
        <f t="shared" si="131"/>
        <v>0</v>
      </c>
      <c r="G692" s="16">
        <f t="shared" si="133"/>
        <v>1.0593852049067178</v>
      </c>
      <c r="H692" s="14">
        <f t="shared" si="134"/>
        <v>0</v>
      </c>
      <c r="I692" s="14">
        <f t="shared" si="135"/>
        <v>6.7498300425530351</v>
      </c>
      <c r="J692" s="14">
        <f t="shared" si="136"/>
        <v>0.11056657546766496</v>
      </c>
      <c r="K692" s="14">
        <f t="shared" si="137"/>
        <v>0.38515497379448949</v>
      </c>
      <c r="L692" s="14">
        <f t="shared" si="138"/>
        <v>654.47375611073539</v>
      </c>
      <c r="M692" s="14">
        <f t="shared" si="132"/>
        <v>0.13950247869527327</v>
      </c>
      <c r="N692" s="14">
        <f t="shared" si="139"/>
        <v>3.5699071805005693</v>
      </c>
      <c r="O692" s="4">
        <v>2.5150000000000001</v>
      </c>
      <c r="P692" s="14">
        <f t="shared" si="142"/>
        <v>1.1128291594716604</v>
      </c>
      <c r="Q692" s="14">
        <f t="shared" si="140"/>
        <v>16.149539739009597</v>
      </c>
    </row>
    <row r="693" spans="1:17" x14ac:dyDescent="0.25">
      <c r="A693" s="5" t="s">
        <v>750</v>
      </c>
      <c r="B693" s="6">
        <f t="shared" si="141"/>
        <v>11</v>
      </c>
      <c r="C693" s="70">
        <v>18.08816719</v>
      </c>
      <c r="D693" s="4">
        <v>0</v>
      </c>
      <c r="E693" s="12">
        <f t="shared" si="130"/>
        <v>0</v>
      </c>
      <c r="F693" s="12">
        <f t="shared" si="131"/>
        <v>0</v>
      </c>
      <c r="G693" s="16">
        <f t="shared" si="133"/>
        <v>0.95908736524851868</v>
      </c>
      <c r="H693" s="14">
        <f t="shared" si="134"/>
        <v>0</v>
      </c>
      <c r="I693" s="14">
        <f t="shared" si="135"/>
        <v>6.7619914460601782</v>
      </c>
      <c r="J693" s="14">
        <f t="shared" si="136"/>
        <v>0.10029783965819912</v>
      </c>
      <c r="K693" s="14">
        <f t="shared" si="137"/>
        <v>0.36610766433295028</v>
      </c>
      <c r="L693" s="14">
        <f t="shared" si="138"/>
        <v>654.35330094150163</v>
      </c>
      <c r="M693" s="14">
        <f t="shared" si="132"/>
        <v>0.1394727609328168</v>
      </c>
      <c r="N693" s="14">
        <f t="shared" si="139"/>
        <v>3.569146694704374</v>
      </c>
      <c r="O693" s="4">
        <v>2.4687999999999999</v>
      </c>
      <c r="P693" s="14">
        <f t="shared" si="142"/>
        <v>1.2107628485468409</v>
      </c>
      <c r="Q693" s="14">
        <f t="shared" si="140"/>
        <v>16.522997346078562</v>
      </c>
    </row>
    <row r="694" spans="1:17" x14ac:dyDescent="0.25">
      <c r="A694" s="5" t="s">
        <v>751</v>
      </c>
      <c r="B694" s="6">
        <f t="shared" si="141"/>
        <v>11</v>
      </c>
      <c r="C694" s="70">
        <v>17.181838989999999</v>
      </c>
      <c r="D694" s="4">
        <v>0</v>
      </c>
      <c r="E694" s="12">
        <f t="shared" si="130"/>
        <v>0</v>
      </c>
      <c r="F694" s="12">
        <f t="shared" si="131"/>
        <v>0</v>
      </c>
      <c r="G694" s="16">
        <f t="shared" si="133"/>
        <v>0.88338837583585039</v>
      </c>
      <c r="H694" s="14">
        <f t="shared" si="134"/>
        <v>0</v>
      </c>
      <c r="I694" s="14">
        <f t="shared" si="135"/>
        <v>5.6372702277997702</v>
      </c>
      <c r="J694" s="14">
        <f t="shared" si="136"/>
        <v>7.5698989412668297E-2</v>
      </c>
      <c r="K694" s="14">
        <f t="shared" si="137"/>
        <v>0.34800231336191007</v>
      </c>
      <c r="L694" s="14">
        <f t="shared" si="138"/>
        <v>654.23193353153988</v>
      </c>
      <c r="M694" s="14">
        <f t="shared" si="132"/>
        <v>0.13944304950103925</v>
      </c>
      <c r="N694" s="14">
        <f t="shared" si="139"/>
        <v>3.5683863709120116</v>
      </c>
      <c r="O694" s="4">
        <v>2.4396</v>
      </c>
      <c r="P694" s="14">
        <f t="shared" si="142"/>
        <v>1.2741586711567094</v>
      </c>
      <c r="Q694" s="14">
        <f t="shared" si="140"/>
        <v>16.76123716734293</v>
      </c>
    </row>
    <row r="695" spans="1:17" x14ac:dyDescent="0.25">
      <c r="A695" s="5" t="s">
        <v>752</v>
      </c>
      <c r="B695" s="6">
        <f t="shared" si="141"/>
        <v>11</v>
      </c>
      <c r="C695" s="70">
        <v>17.55158424</v>
      </c>
      <c r="D695" s="4">
        <v>0</v>
      </c>
      <c r="E695" s="12">
        <f t="shared" si="130"/>
        <v>0</v>
      </c>
      <c r="F695" s="12">
        <f t="shared" si="131"/>
        <v>0</v>
      </c>
      <c r="G695" s="16">
        <f t="shared" si="133"/>
        <v>0.80798902539532291</v>
      </c>
      <c r="H695" s="14">
        <f t="shared" si="134"/>
        <v>0</v>
      </c>
      <c r="I695" s="14">
        <f t="shared" si="135"/>
        <v>6.0961109965477798</v>
      </c>
      <c r="J695" s="14">
        <f t="shared" si="136"/>
        <v>7.5399350440527452E-2</v>
      </c>
      <c r="K695" s="14">
        <f t="shared" si="137"/>
        <v>0.33079233761985283</v>
      </c>
      <c r="L695" s="14">
        <f t="shared" si="138"/>
        <v>654.10970045778095</v>
      </c>
      <c r="M695" s="14">
        <f t="shared" si="132"/>
        <v>0.13941334439859207</v>
      </c>
      <c r="N695" s="14">
        <f t="shared" si="139"/>
        <v>3.5676262090889703</v>
      </c>
      <c r="O695" s="4">
        <v>2.3738000000000001</v>
      </c>
      <c r="P695" s="14">
        <f t="shared" si="142"/>
        <v>1.4252210175077415</v>
      </c>
      <c r="Q695" s="14">
        <f t="shared" si="140"/>
        <v>17.304343654986603</v>
      </c>
    </row>
    <row r="696" spans="1:17" x14ac:dyDescent="0.25">
      <c r="A696" s="5" t="s">
        <v>753</v>
      </c>
      <c r="B696" s="6">
        <f t="shared" si="141"/>
        <v>11</v>
      </c>
      <c r="C696" s="70">
        <v>18.089782710000001</v>
      </c>
      <c r="D696" s="4">
        <v>0</v>
      </c>
      <c r="E696" s="12">
        <f t="shared" si="130"/>
        <v>0</v>
      </c>
      <c r="F696" s="12">
        <f t="shared" si="131"/>
        <v>0</v>
      </c>
      <c r="G696" s="16">
        <f t="shared" si="133"/>
        <v>0.73146956860000567</v>
      </c>
      <c r="H696" s="14">
        <f t="shared" si="134"/>
        <v>0</v>
      </c>
      <c r="I696" s="14">
        <f t="shared" si="135"/>
        <v>6.7639962492016075</v>
      </c>
      <c r="J696" s="14">
        <f t="shared" si="136"/>
        <v>7.6519456795317187E-2</v>
      </c>
      <c r="K696" s="14">
        <f t="shared" si="137"/>
        <v>0.31443345755638719</v>
      </c>
      <c r="L696" s="14">
        <f t="shared" si="138"/>
        <v>653.98664599344579</v>
      </c>
      <c r="M696" s="14">
        <f t="shared" si="132"/>
        <v>0.13938364562412692</v>
      </c>
      <c r="N696" s="14">
        <f t="shared" si="139"/>
        <v>3.5668662092007475</v>
      </c>
      <c r="O696" s="4">
        <v>2.3774999999999999</v>
      </c>
      <c r="P696" s="14">
        <f t="shared" si="142"/>
        <v>1.4145919795885564</v>
      </c>
      <c r="Q696" s="14">
        <f t="shared" si="140"/>
        <v>17.273574462429131</v>
      </c>
    </row>
    <row r="697" spans="1:17" x14ac:dyDescent="0.25">
      <c r="A697" s="5" t="s">
        <v>754</v>
      </c>
      <c r="B697" s="6">
        <f t="shared" si="141"/>
        <v>11</v>
      </c>
      <c r="C697" s="70">
        <v>18.891841889999998</v>
      </c>
      <c r="D697" s="4">
        <v>0</v>
      </c>
      <c r="E697" s="12">
        <f t="shared" si="130"/>
        <v>0</v>
      </c>
      <c r="F697" s="12">
        <f t="shared" si="131"/>
        <v>0</v>
      </c>
      <c r="G697" s="16">
        <f t="shared" si="133"/>
        <v>0.65200323631316737</v>
      </c>
      <c r="H697" s="14">
        <f t="shared" si="134"/>
        <v>0</v>
      </c>
      <c r="I697" s="14">
        <f t="shared" si="135"/>
        <v>7.7593233040659921</v>
      </c>
      <c r="J697" s="14">
        <f t="shared" si="136"/>
        <v>7.9466332286838262E-2</v>
      </c>
      <c r="K697" s="14">
        <f t="shared" si="137"/>
        <v>0.29888358340538135</v>
      </c>
      <c r="L697" s="14">
        <f t="shared" si="138"/>
        <v>653.86281222197272</v>
      </c>
      <c r="M697" s="14">
        <f t="shared" si="132"/>
        <v>0.13935395317629576</v>
      </c>
      <c r="N697" s="14">
        <f t="shared" si="139"/>
        <v>3.5661063712128467</v>
      </c>
      <c r="O697" s="4">
        <v>2.4117000000000002</v>
      </c>
      <c r="P697" s="14">
        <f t="shared" si="142"/>
        <v>1.3326540698968123</v>
      </c>
      <c r="Q697" s="14">
        <f t="shared" si="140"/>
        <v>16.990463511222231</v>
      </c>
    </row>
    <row r="698" spans="1:17" x14ac:dyDescent="0.25">
      <c r="A698" s="5" t="s">
        <v>755</v>
      </c>
      <c r="B698" s="6">
        <f t="shared" si="141"/>
        <v>11</v>
      </c>
      <c r="C698" s="70">
        <v>19.032266620000001</v>
      </c>
      <c r="D698" s="4">
        <v>0</v>
      </c>
      <c r="E698" s="12">
        <f t="shared" si="130"/>
        <v>0</v>
      </c>
      <c r="F698" s="12">
        <f t="shared" si="131"/>
        <v>0</v>
      </c>
      <c r="G698" s="16">
        <f t="shared" si="133"/>
        <v>0.57957926888828148</v>
      </c>
      <c r="H698" s="14">
        <f t="shared" si="134"/>
        <v>0</v>
      </c>
      <c r="I698" s="14">
        <f t="shared" si="135"/>
        <v>7.9335854239023735</v>
      </c>
      <c r="J698" s="14">
        <f t="shared" si="136"/>
        <v>7.2423967424885827E-2</v>
      </c>
      <c r="K698" s="14">
        <f t="shared" si="137"/>
        <v>0.28410270689219447</v>
      </c>
      <c r="L698" s="14">
        <f t="shared" si="138"/>
        <v>653.73823914530965</v>
      </c>
      <c r="M698" s="14">
        <f t="shared" si="132"/>
        <v>0.13932426705375087</v>
      </c>
      <c r="N698" s="14">
        <f t="shared" si="139"/>
        <v>3.5653466950907777</v>
      </c>
      <c r="O698" s="4">
        <v>2.4207999999999998</v>
      </c>
      <c r="P698" s="14">
        <f t="shared" si="142"/>
        <v>1.3099871372432221</v>
      </c>
      <c r="Q698" s="14">
        <f t="shared" si="140"/>
        <v>16.915526849526834</v>
      </c>
    </row>
    <row r="699" spans="1:17" x14ac:dyDescent="0.25">
      <c r="A699" s="5" t="s">
        <v>756</v>
      </c>
      <c r="B699" s="6">
        <f t="shared" si="141"/>
        <v>11</v>
      </c>
      <c r="C699" s="70">
        <v>16.008121490000001</v>
      </c>
      <c r="D699" s="4">
        <v>0</v>
      </c>
      <c r="E699" s="12">
        <f t="shared" si="130"/>
        <v>0</v>
      </c>
      <c r="F699" s="12">
        <f t="shared" si="131"/>
        <v>0</v>
      </c>
      <c r="G699" s="16">
        <f t="shared" si="133"/>
        <v>0.54565364440625264</v>
      </c>
      <c r="H699" s="14">
        <f t="shared" si="134"/>
        <v>0</v>
      </c>
      <c r="I699" s="14">
        <f t="shared" si="135"/>
        <v>4.1807283520272218</v>
      </c>
      <c r="J699" s="14">
        <f t="shared" si="136"/>
        <v>3.3925624482028856E-2</v>
      </c>
      <c r="K699" s="14">
        <f t="shared" si="137"/>
        <v>0.27005279829637818</v>
      </c>
      <c r="L699" s="14">
        <f t="shared" si="138"/>
        <v>653.61296478685176</v>
      </c>
      <c r="M699" s="14">
        <f t="shared" si="132"/>
        <v>0.13929458725514476</v>
      </c>
      <c r="N699" s="14">
        <f t="shared" si="139"/>
        <v>3.5645871808000589</v>
      </c>
      <c r="O699" s="4">
        <v>2.3466999999999998</v>
      </c>
      <c r="P699" s="14">
        <f t="shared" si="142"/>
        <v>1.4832491851571159</v>
      </c>
      <c r="Q699" s="14">
        <f t="shared" si="140"/>
        <v>17.530541880475116</v>
      </c>
    </row>
    <row r="700" spans="1:17" x14ac:dyDescent="0.25">
      <c r="A700" s="5" t="s">
        <v>757</v>
      </c>
      <c r="B700" s="6">
        <f t="shared" si="141"/>
        <v>11</v>
      </c>
      <c r="C700" s="70">
        <v>16.21955681</v>
      </c>
      <c r="D700" s="4">
        <v>0</v>
      </c>
      <c r="E700" s="12">
        <f t="shared" si="130"/>
        <v>0</v>
      </c>
      <c r="F700" s="12">
        <f t="shared" si="131"/>
        <v>0</v>
      </c>
      <c r="G700" s="16">
        <f t="shared" si="133"/>
        <v>0.51170930281457294</v>
      </c>
      <c r="H700" s="14">
        <f t="shared" si="134"/>
        <v>0</v>
      </c>
      <c r="I700" s="14">
        <f t="shared" si="135"/>
        <v>4.443112100754977</v>
      </c>
      <c r="J700" s="14">
        <f t="shared" si="136"/>
        <v>3.3944341591679729E-2</v>
      </c>
      <c r="K700" s="14">
        <f t="shared" si="137"/>
        <v>0.25669770860500024</v>
      </c>
      <c r="L700" s="14">
        <f t="shared" si="138"/>
        <v>653.487025289288</v>
      </c>
      <c r="M700" s="14">
        <f t="shared" si="132"/>
        <v>0.13926491377913028</v>
      </c>
      <c r="N700" s="14">
        <f t="shared" si="139"/>
        <v>3.5638278283062155</v>
      </c>
      <c r="O700" s="4">
        <v>2.2258</v>
      </c>
      <c r="P700" s="14">
        <f t="shared" si="142"/>
        <v>1.7903184693218472</v>
      </c>
      <c r="Q700" s="14">
        <f t="shared" si="140"/>
        <v>18.557562957285448</v>
      </c>
    </row>
    <row r="701" spans="1:17" x14ac:dyDescent="0.25">
      <c r="A701" s="5" t="s">
        <v>758</v>
      </c>
      <c r="B701" s="6">
        <f t="shared" si="141"/>
        <v>11</v>
      </c>
      <c r="C701" s="70">
        <v>16.140827179999999</v>
      </c>
      <c r="D701" s="4">
        <v>0</v>
      </c>
      <c r="E701" s="12">
        <f t="shared" si="130"/>
        <v>0</v>
      </c>
      <c r="F701" s="12">
        <f t="shared" si="131"/>
        <v>0</v>
      </c>
      <c r="G701" s="16">
        <f t="shared" si="133"/>
        <v>0.48057656804405102</v>
      </c>
      <c r="H701" s="14">
        <f t="shared" si="134"/>
        <v>0</v>
      </c>
      <c r="I701" s="14">
        <f t="shared" si="135"/>
        <v>4.3454114164258417</v>
      </c>
      <c r="J701" s="14">
        <f t="shared" si="136"/>
        <v>3.1132734770521912E-2</v>
      </c>
      <c r="K701" s="14">
        <f t="shared" si="137"/>
        <v>0.24400307650484115</v>
      </c>
      <c r="L701" s="14">
        <f t="shared" si="138"/>
        <v>653.36045500760906</v>
      </c>
      <c r="M701" s="14">
        <f t="shared" si="132"/>
        <v>0.1392352466243606</v>
      </c>
      <c r="N701" s="14">
        <f t="shared" si="139"/>
        <v>3.5630686375747831</v>
      </c>
      <c r="O701" s="4">
        <v>2.1554000000000002</v>
      </c>
      <c r="P701" s="14">
        <f t="shared" si="142"/>
        <v>1.9815309932116454</v>
      </c>
      <c r="Q701" s="14">
        <f t="shared" si="140"/>
        <v>19.169064255676254</v>
      </c>
    </row>
    <row r="702" spans="1:17" x14ac:dyDescent="0.25">
      <c r="A702" s="5" t="s">
        <v>759</v>
      </c>
      <c r="B702" s="6">
        <f t="shared" si="141"/>
        <v>11</v>
      </c>
      <c r="C702" s="70">
        <v>18.236211780000001</v>
      </c>
      <c r="D702" s="4">
        <v>1.5</v>
      </c>
      <c r="E702" s="12">
        <f t="shared" si="130"/>
        <v>0</v>
      </c>
      <c r="F702" s="12">
        <f t="shared" si="131"/>
        <v>1.5</v>
      </c>
      <c r="G702" s="16">
        <f t="shared" si="133"/>
        <v>1.8929932156293738</v>
      </c>
      <c r="H702" s="14">
        <f t="shared" si="134"/>
        <v>4.0848350173435029E-2</v>
      </c>
      <c r="I702" s="14">
        <f t="shared" si="135"/>
        <v>6.9457095424646189</v>
      </c>
      <c r="J702" s="14">
        <f t="shared" si="136"/>
        <v>4.6735002241242052E-2</v>
      </c>
      <c r="K702" s="14">
        <f t="shared" si="137"/>
        <v>0.27278459014759904</v>
      </c>
      <c r="L702" s="14">
        <f t="shared" si="138"/>
        <v>653.23328659751542</v>
      </c>
      <c r="M702" s="14">
        <f t="shared" si="132"/>
        <v>0.13921428758159013</v>
      </c>
      <c r="N702" s="14">
        <f t="shared" si="139"/>
        <v>3.5625322898483307</v>
      </c>
      <c r="O702" s="4">
        <v>2.1770999999999998</v>
      </c>
      <c r="P702" s="14">
        <f t="shared" si="142"/>
        <v>1.9194226297543895</v>
      </c>
      <c r="Q702" s="14">
        <f t="shared" si="140"/>
        <v>18.979519139325681</v>
      </c>
    </row>
    <row r="703" spans="1:17" x14ac:dyDescent="0.25">
      <c r="A703" s="5" t="s">
        <v>760</v>
      </c>
      <c r="B703" s="6">
        <f t="shared" si="141"/>
        <v>11</v>
      </c>
      <c r="C703" s="70">
        <v>18.133844379999999</v>
      </c>
      <c r="D703" s="4">
        <v>1.7</v>
      </c>
      <c r="E703" s="12">
        <f t="shared" si="130"/>
        <v>0</v>
      </c>
      <c r="F703" s="12">
        <f t="shared" si="131"/>
        <v>1.7</v>
      </c>
      <c r="G703" s="16">
        <f t="shared" si="133"/>
        <v>3.3161305525268454</v>
      </c>
      <c r="H703" s="14">
        <f t="shared" si="134"/>
        <v>9.6140206678876211E-2</v>
      </c>
      <c r="I703" s="14">
        <f t="shared" si="135"/>
        <v>6.8186752221840052</v>
      </c>
      <c r="J703" s="14">
        <f t="shared" si="136"/>
        <v>0.18072245642365201</v>
      </c>
      <c r="K703" s="14">
        <f t="shared" si="137"/>
        <v>0.35543461012658129</v>
      </c>
      <c r="L703" s="14">
        <f t="shared" si="138"/>
        <v>653.1075624966337</v>
      </c>
      <c r="M703" s="14">
        <f t="shared" si="132"/>
        <v>0.13920511164926069</v>
      </c>
      <c r="N703" s="14">
        <f t="shared" si="139"/>
        <v>3.5622974751911505</v>
      </c>
      <c r="O703" s="4">
        <v>2.4392</v>
      </c>
      <c r="P703" s="14">
        <f t="shared" si="142"/>
        <v>1.2613479387807367</v>
      </c>
      <c r="Q703" s="14">
        <f t="shared" si="140"/>
        <v>16.764512566538325</v>
      </c>
    </row>
    <row r="704" spans="1:17" x14ac:dyDescent="0.25">
      <c r="A704" s="5" t="s">
        <v>761</v>
      </c>
      <c r="B704" s="6">
        <f t="shared" si="141"/>
        <v>11</v>
      </c>
      <c r="C704" s="70">
        <v>16.4206562</v>
      </c>
      <c r="D704" s="4">
        <v>0</v>
      </c>
      <c r="E704" s="12">
        <f t="shared" si="130"/>
        <v>0</v>
      </c>
      <c r="F704" s="12">
        <f t="shared" si="131"/>
        <v>0</v>
      </c>
      <c r="G704" s="16">
        <f t="shared" si="133"/>
        <v>3.098251925192165</v>
      </c>
      <c r="H704" s="14">
        <f t="shared" si="134"/>
        <v>0</v>
      </c>
      <c r="I704" s="14">
        <f t="shared" si="135"/>
        <v>4.6926693261753316</v>
      </c>
      <c r="J704" s="14">
        <f t="shared" si="136"/>
        <v>0.21787862733468041</v>
      </c>
      <c r="K704" s="14">
        <f t="shared" si="137"/>
        <v>0.33785708037089679</v>
      </c>
      <c r="L704" s="14">
        <f t="shared" si="138"/>
        <v>652.98593491474014</v>
      </c>
      <c r="M704" s="14">
        <f t="shared" si="132"/>
        <v>0.13917545723394553</v>
      </c>
      <c r="N704" s="14">
        <f t="shared" si="139"/>
        <v>3.5615386104658979</v>
      </c>
      <c r="O704" s="4">
        <v>2.9217</v>
      </c>
      <c r="P704" s="14">
        <f t="shared" si="142"/>
        <v>0.4093934474429311</v>
      </c>
      <c r="Q704" s="14">
        <f t="shared" si="140"/>
        <v>13.046175537084311</v>
      </c>
    </row>
    <row r="705" spans="1:17" x14ac:dyDescent="0.25">
      <c r="A705" s="5" t="s">
        <v>762</v>
      </c>
      <c r="B705" s="6">
        <f t="shared" si="141"/>
        <v>11</v>
      </c>
      <c r="C705" s="70">
        <v>17.11074829</v>
      </c>
      <c r="D705" s="4">
        <v>0</v>
      </c>
      <c r="E705" s="12">
        <f t="shared" si="130"/>
        <v>0</v>
      </c>
      <c r="F705" s="12">
        <f t="shared" si="131"/>
        <v>0</v>
      </c>
      <c r="G705" s="16">
        <f t="shared" si="133"/>
        <v>2.8575395818229423</v>
      </c>
      <c r="H705" s="14">
        <f t="shared" si="134"/>
        <v>0</v>
      </c>
      <c r="I705" s="14">
        <f t="shared" si="135"/>
        <v>5.5490491852337502</v>
      </c>
      <c r="J705" s="14">
        <f t="shared" si="136"/>
        <v>0.24071234336922256</v>
      </c>
      <c r="K705" s="14">
        <f t="shared" si="137"/>
        <v>0.32114882317198984</v>
      </c>
      <c r="L705" s="14">
        <f t="shared" si="138"/>
        <v>652.86346771470505</v>
      </c>
      <c r="M705" s="14">
        <f t="shared" si="132"/>
        <v>0.1391458091358147</v>
      </c>
      <c r="N705" s="14">
        <f t="shared" si="139"/>
        <v>3.5607799073991466</v>
      </c>
      <c r="O705" s="4">
        <v>3.0283000000000002</v>
      </c>
      <c r="P705" s="14">
        <f t="shared" si="142"/>
        <v>0.28353485178380355</v>
      </c>
      <c r="Q705" s="14">
        <f t="shared" si="140"/>
        <v>12.287471571509597</v>
      </c>
    </row>
    <row r="706" spans="1:17" x14ac:dyDescent="0.25">
      <c r="A706" s="5" t="s">
        <v>763</v>
      </c>
      <c r="B706" s="6">
        <f t="shared" si="141"/>
        <v>11</v>
      </c>
      <c r="C706" s="70">
        <v>16.661645889999999</v>
      </c>
      <c r="D706" s="4">
        <v>0.7</v>
      </c>
      <c r="E706" s="12">
        <f t="shared" si="130"/>
        <v>0</v>
      </c>
      <c r="F706" s="12">
        <f t="shared" si="131"/>
        <v>0.7</v>
      </c>
      <c r="G706" s="16">
        <f t="shared" si="133"/>
        <v>3.3085220227393766</v>
      </c>
      <c r="H706" s="14">
        <f t="shared" si="134"/>
        <v>4.9304569498034058E-2</v>
      </c>
      <c r="I706" s="14">
        <f t="shared" si="135"/>
        <v>4.9917290020466076</v>
      </c>
      <c r="J706" s="14">
        <f t="shared" si="136"/>
        <v>0.19971298958553177</v>
      </c>
      <c r="K706" s="14">
        <f t="shared" si="137"/>
        <v>0.35457141934925374</v>
      </c>
      <c r="L706" s="14">
        <f t="shared" si="138"/>
        <v>652.74020387889004</v>
      </c>
      <c r="M706" s="14">
        <f t="shared" si="132"/>
        <v>0.13912667054671346</v>
      </c>
      <c r="N706" s="14">
        <f t="shared" si="139"/>
        <v>3.5602901455877718</v>
      </c>
      <c r="O706" s="4">
        <v>3.1358000000000001</v>
      </c>
      <c r="P706" s="14">
        <f t="shared" si="142"/>
        <v>0.18019188370112757</v>
      </c>
      <c r="Q706" s="14">
        <f t="shared" si="140"/>
        <v>11.545377787745231</v>
      </c>
    </row>
    <row r="707" spans="1:17" x14ac:dyDescent="0.25">
      <c r="A707" s="5" t="s">
        <v>764</v>
      </c>
      <c r="B707" s="6">
        <f t="shared" si="141"/>
        <v>11</v>
      </c>
      <c r="C707" s="70">
        <v>16.973310470000001</v>
      </c>
      <c r="D707" s="4">
        <v>10.3</v>
      </c>
      <c r="E707" s="12">
        <f t="shared" si="130"/>
        <v>0</v>
      </c>
      <c r="F707" s="12">
        <f t="shared" si="131"/>
        <v>10.3</v>
      </c>
      <c r="G707" s="16">
        <f t="shared" si="133"/>
        <v>12.574949900444279</v>
      </c>
      <c r="H707" s="14">
        <f t="shared" si="134"/>
        <v>0.78442392248731008</v>
      </c>
      <c r="I707" s="14">
        <f t="shared" si="135"/>
        <v>5.3784937149907925</v>
      </c>
      <c r="J707" s="14">
        <f t="shared" si="136"/>
        <v>0.24914819980778832</v>
      </c>
      <c r="K707" s="14">
        <f t="shared" si="137"/>
        <v>1.1214604999934827</v>
      </c>
      <c r="L707" s="14">
        <f t="shared" si="138"/>
        <v>652.61861205018647</v>
      </c>
      <c r="M707" s="14">
        <f t="shared" si="132"/>
        <v>0.1392641361360446</v>
      </c>
      <c r="N707" s="14">
        <f t="shared" si="139"/>
        <v>3.5638079282036417</v>
      </c>
      <c r="O707" s="4">
        <v>3.6025</v>
      </c>
      <c r="P707" s="14">
        <f t="shared" si="142"/>
        <v>1.4970764198945503E-3</v>
      </c>
      <c r="Q707" s="14">
        <f t="shared" si="140"/>
        <v>8.5916344265096036</v>
      </c>
    </row>
    <row r="708" spans="1:17" x14ac:dyDescent="0.25">
      <c r="A708" s="5" t="s">
        <v>765</v>
      </c>
      <c r="B708" s="6">
        <f t="shared" si="141"/>
        <v>11</v>
      </c>
      <c r="C708" s="70">
        <v>16.08811188</v>
      </c>
      <c r="D708" s="4">
        <v>14.6</v>
      </c>
      <c r="E708" s="12">
        <f t="shared" si="130"/>
        <v>0</v>
      </c>
      <c r="F708" s="12">
        <f t="shared" si="131"/>
        <v>14.6</v>
      </c>
      <c r="G708" s="16">
        <f t="shared" si="133"/>
        <v>24.155871374025001</v>
      </c>
      <c r="H708" s="14">
        <f t="shared" si="134"/>
        <v>2.2655278902081557</v>
      </c>
      <c r="I708" s="14">
        <f t="shared" si="135"/>
        <v>4.2799935948939059</v>
      </c>
      <c r="J708" s="14">
        <f t="shared" si="136"/>
        <v>0.75355063621112461</v>
      </c>
      <c r="K708" s="14">
        <f t="shared" si="137"/>
        <v>3.3315281037049465</v>
      </c>
      <c r="L708" s="14">
        <f t="shared" si="138"/>
        <v>652.5348082005471</v>
      </c>
      <c r="M708" s="14">
        <f t="shared" si="132"/>
        <v>0.19142008269241273</v>
      </c>
      <c r="N708" s="14">
        <f t="shared" si="139"/>
        <v>4.8984930883440336</v>
      </c>
      <c r="O708" s="4">
        <v>24.948799999999999</v>
      </c>
      <c r="P708" s="14">
        <f t="shared" si="142"/>
        <v>402.014807251599</v>
      </c>
      <c r="Q708" s="14">
        <f t="shared" si="140"/>
        <v>339.11778656446955</v>
      </c>
    </row>
    <row r="709" spans="1:17" x14ac:dyDescent="0.25">
      <c r="A709" s="5" t="s">
        <v>766</v>
      </c>
      <c r="B709" s="6">
        <f t="shared" si="141"/>
        <v>11</v>
      </c>
      <c r="C709" s="70">
        <v>17.081022260000001</v>
      </c>
      <c r="D709" s="4">
        <v>6.9</v>
      </c>
      <c r="E709" s="12">
        <f t="shared" si="130"/>
        <v>0</v>
      </c>
      <c r="F709" s="12">
        <f t="shared" si="131"/>
        <v>6.9</v>
      </c>
      <c r="G709" s="16">
        <f t="shared" si="133"/>
        <v>27.675271795135064</v>
      </c>
      <c r="H709" s="14">
        <f t="shared" si="134"/>
        <v>1.5163347753801732</v>
      </c>
      <c r="I709" s="14">
        <f t="shared" si="135"/>
        <v>5.5121602341058429</v>
      </c>
      <c r="J709" s="14">
        <f t="shared" si="136"/>
        <v>1.8642648035097649</v>
      </c>
      <c r="K709" s="14">
        <f t="shared" si="137"/>
        <v>4.6314037436626556</v>
      </c>
      <c r="L709" s="14">
        <f t="shared" si="138"/>
        <v>652.55984725327721</v>
      </c>
      <c r="M709" s="14">
        <f t="shared" si="132"/>
        <v>0.24217626100364353</v>
      </c>
      <c r="N709" s="14">
        <f t="shared" si="139"/>
        <v>6.1973577902668495</v>
      </c>
      <c r="O709" s="4">
        <v>29.661300000000001</v>
      </c>
      <c r="P709" s="14">
        <f t="shared" si="142"/>
        <v>550.55658402169706</v>
      </c>
      <c r="Q709" s="14">
        <f t="shared" si="140"/>
        <v>534.88824104363641</v>
      </c>
    </row>
    <row r="710" spans="1:17" x14ac:dyDescent="0.25">
      <c r="A710" s="5" t="s">
        <v>767</v>
      </c>
      <c r="B710" s="6">
        <f t="shared" si="141"/>
        <v>11</v>
      </c>
      <c r="C710" s="70">
        <v>18.295400619999999</v>
      </c>
      <c r="D710" s="4">
        <v>0.6</v>
      </c>
      <c r="E710" s="12">
        <f t="shared" si="130"/>
        <v>0</v>
      </c>
      <c r="F710" s="12">
        <f t="shared" si="131"/>
        <v>0.6</v>
      </c>
      <c r="G710" s="16">
        <f t="shared" si="133"/>
        <v>25.4136819255056</v>
      </c>
      <c r="H710" s="14">
        <f t="shared" si="134"/>
        <v>0.14176998525132206</v>
      </c>
      <c r="I710" s="14">
        <f t="shared" si="135"/>
        <v>7.0191607980166557</v>
      </c>
      <c r="J710" s="14">
        <f t="shared" si="136"/>
        <v>2.719819884378142</v>
      </c>
      <c r="K710" s="14">
        <f t="shared" si="137"/>
        <v>4.4419570956382044</v>
      </c>
      <c r="L710" s="14">
        <f t="shared" si="138"/>
        <v>652.64888762554926</v>
      </c>
      <c r="M710" s="14">
        <f t="shared" si="132"/>
        <v>0.23479869269816259</v>
      </c>
      <c r="N710" s="14">
        <f t="shared" si="139"/>
        <v>6.0085637680050628</v>
      </c>
      <c r="O710" s="4">
        <v>32.378300000000003</v>
      </c>
      <c r="P710" s="14">
        <f t="shared" si="142"/>
        <v>695.3629889449868</v>
      </c>
      <c r="Q710" s="14">
        <f t="shared" si="140"/>
        <v>667.94598560886641</v>
      </c>
    </row>
    <row r="711" spans="1:17" x14ac:dyDescent="0.25">
      <c r="A711" s="5" t="s">
        <v>768</v>
      </c>
      <c r="B711" s="6">
        <f t="shared" si="141"/>
        <v>11</v>
      </c>
      <c r="C711" s="70">
        <v>18.189092639999998</v>
      </c>
      <c r="D711" s="4">
        <v>10.8</v>
      </c>
      <c r="E711" s="12">
        <f t="shared" si="130"/>
        <v>0</v>
      </c>
      <c r="F711" s="12">
        <f t="shared" si="131"/>
        <v>10.8</v>
      </c>
      <c r="G711" s="16">
        <f t="shared" si="133"/>
        <v>31.324574486535248</v>
      </c>
      <c r="H711" s="14">
        <f t="shared" si="134"/>
        <v>2.4384893449908729</v>
      </c>
      <c r="I711" s="14">
        <f t="shared" si="135"/>
        <v>6.887236357426147</v>
      </c>
      <c r="J711" s="14">
        <f t="shared" si="136"/>
        <v>2.4506180939794784</v>
      </c>
      <c r="K711" s="14">
        <f t="shared" si="137"/>
        <v>6.5659548098348406</v>
      </c>
      <c r="L711" s="14">
        <f t="shared" si="138"/>
        <v>652.72858056364532</v>
      </c>
      <c r="M711" s="14">
        <f t="shared" si="132"/>
        <v>0.31774258491173685</v>
      </c>
      <c r="N711" s="14">
        <f t="shared" si="139"/>
        <v>8.1311210097204878</v>
      </c>
      <c r="O711" s="4">
        <v>30.1813</v>
      </c>
      <c r="P711" s="14">
        <f t="shared" si="142"/>
        <v>486.210393503364</v>
      </c>
      <c r="Q711" s="14">
        <f t="shared" si="140"/>
        <v>559.21139808961334</v>
      </c>
    </row>
    <row r="712" spans="1:17" x14ac:dyDescent="0.25">
      <c r="A712" s="5" t="s">
        <v>769</v>
      </c>
      <c r="B712" s="6">
        <f t="shared" si="141"/>
        <v>11</v>
      </c>
      <c r="C712" s="70">
        <v>16.436773299999999</v>
      </c>
      <c r="D712" s="4">
        <v>0</v>
      </c>
      <c r="E712" s="12">
        <f t="shared" si="130"/>
        <v>0</v>
      </c>
      <c r="F712" s="12">
        <f t="shared" si="131"/>
        <v>0</v>
      </c>
      <c r="G712" s="16">
        <f t="shared" si="133"/>
        <v>29.257694426854108</v>
      </c>
      <c r="H712" s="14">
        <f t="shared" si="134"/>
        <v>0</v>
      </c>
      <c r="I712" s="14">
        <f t="shared" si="135"/>
        <v>4.7126700768380863</v>
      </c>
      <c r="J712" s="14">
        <f t="shared" si="136"/>
        <v>2.0668800596811376</v>
      </c>
      <c r="K712" s="14">
        <f t="shared" si="137"/>
        <v>6.0639493464594461</v>
      </c>
      <c r="L712" s="14">
        <f t="shared" si="138"/>
        <v>652.91284344210897</v>
      </c>
      <c r="M712" s="14">
        <f t="shared" si="132"/>
        <v>0.29818211588130589</v>
      </c>
      <c r="N712" s="14">
        <f t="shared" si="139"/>
        <v>7.6305631737681408</v>
      </c>
      <c r="O712" s="4">
        <v>6.97</v>
      </c>
      <c r="P712" s="14">
        <f t="shared" si="142"/>
        <v>0.43634370653863924</v>
      </c>
      <c r="Q712" s="14">
        <f t="shared" si="140"/>
        <v>0.19040220021653267</v>
      </c>
    </row>
    <row r="713" spans="1:17" x14ac:dyDescent="0.25">
      <c r="A713" s="5" t="s">
        <v>770</v>
      </c>
      <c r="B713" s="6">
        <f t="shared" si="141"/>
        <v>11</v>
      </c>
      <c r="C713" s="70">
        <v>19.17058754</v>
      </c>
      <c r="D713" s="4">
        <v>0</v>
      </c>
      <c r="E713" s="12">
        <f t="shared" si="130"/>
        <v>0</v>
      </c>
      <c r="F713" s="12">
        <f t="shared" si="131"/>
        <v>0</v>
      </c>
      <c r="G713" s="16">
        <f t="shared" si="133"/>
        <v>25.937459107800318</v>
      </c>
      <c r="H713" s="14">
        <f t="shared" si="134"/>
        <v>0</v>
      </c>
      <c r="I713" s="14">
        <f t="shared" si="135"/>
        <v>8.1052367899895135</v>
      </c>
      <c r="J713" s="14">
        <f t="shared" si="136"/>
        <v>3.3202353190537894</v>
      </c>
      <c r="K713" s="14">
        <f t="shared" si="137"/>
        <v>5.606262654137816</v>
      </c>
      <c r="L713" s="14">
        <f t="shared" si="138"/>
        <v>653.07234801854929</v>
      </c>
      <c r="M713" s="14">
        <f t="shared" si="132"/>
        <v>0.28034670361926428</v>
      </c>
      <c r="N713" s="14">
        <f t="shared" si="139"/>
        <v>7.1741500197013117</v>
      </c>
      <c r="O713" s="4">
        <v>5.93</v>
      </c>
      <c r="P713" s="14">
        <f t="shared" si="142"/>
        <v>1.5479092715227751</v>
      </c>
      <c r="Q713" s="14">
        <f t="shared" si="140"/>
        <v>0.3643921082625004</v>
      </c>
    </row>
    <row r="714" spans="1:17" x14ac:dyDescent="0.25">
      <c r="A714" s="5" t="s">
        <v>771</v>
      </c>
      <c r="B714" s="6">
        <f t="shared" si="141"/>
        <v>12</v>
      </c>
      <c r="C714" s="70">
        <v>16.92094994</v>
      </c>
      <c r="D714" s="4">
        <v>0</v>
      </c>
      <c r="E714" s="12">
        <f t="shared" si="130"/>
        <v>0</v>
      </c>
      <c r="F714" s="12">
        <f t="shared" si="131"/>
        <v>0</v>
      </c>
      <c r="G714" s="16">
        <f t="shared" si="133"/>
        <v>23.47804814745513</v>
      </c>
      <c r="H714" s="14">
        <f t="shared" si="134"/>
        <v>0</v>
      </c>
      <c r="I714" s="14">
        <f t="shared" si="135"/>
        <v>6.772369052810487</v>
      </c>
      <c r="J714" s="14">
        <f t="shared" si="136"/>
        <v>2.4594109603451888</v>
      </c>
      <c r="K714" s="14">
        <f t="shared" si="137"/>
        <v>5.1889821191415866</v>
      </c>
      <c r="L714" s="14">
        <f t="shared" si="138"/>
        <v>653.20928184992624</v>
      </c>
      <c r="M714" s="14">
        <f t="shared" si="132"/>
        <v>0.26408405455887463</v>
      </c>
      <c r="N714" s="14">
        <f t="shared" si="139"/>
        <v>6.7579843128434236</v>
      </c>
      <c r="O714" s="4">
        <v>5.26</v>
      </c>
      <c r="P714" s="14">
        <f t="shared" si="142"/>
        <v>2.2439570015249846</v>
      </c>
      <c r="Q714" s="14">
        <f t="shared" si="140"/>
        <v>1.6221817605613449</v>
      </c>
    </row>
    <row r="715" spans="1:17" x14ac:dyDescent="0.25">
      <c r="A715" s="5" t="s">
        <v>772</v>
      </c>
      <c r="B715" s="6">
        <f t="shared" si="141"/>
        <v>12</v>
      </c>
      <c r="C715" s="70">
        <v>17.929109570000001</v>
      </c>
      <c r="D715" s="4">
        <v>0</v>
      </c>
      <c r="E715" s="12">
        <f t="shared" si="130"/>
        <v>0</v>
      </c>
      <c r="F715" s="12">
        <f t="shared" si="131"/>
        <v>0</v>
      </c>
      <c r="G715" s="16">
        <f t="shared" si="133"/>
        <v>20.794210070238702</v>
      </c>
      <c r="H715" s="14">
        <f t="shared" si="134"/>
        <v>0</v>
      </c>
      <c r="I715" s="14">
        <f t="shared" si="135"/>
        <v>8.1645313880174371</v>
      </c>
      <c r="J715" s="14">
        <f t="shared" si="136"/>
        <v>2.6838380772164281</v>
      </c>
      <c r="K715" s="14">
        <f t="shared" si="137"/>
        <v>4.8085405467561317</v>
      </c>
      <c r="L715" s="14">
        <f t="shared" si="138"/>
        <v>653.32563936775284</v>
      </c>
      <c r="M715" s="14">
        <f t="shared" si="132"/>
        <v>0.24925532013383972</v>
      </c>
      <c r="N715" s="14">
        <f t="shared" si="139"/>
        <v>6.3785128798138855</v>
      </c>
      <c r="O715" s="4">
        <v>5.04</v>
      </c>
      <c r="P715" s="14">
        <f t="shared" si="142"/>
        <v>1.791616729427661</v>
      </c>
      <c r="Q715" s="14">
        <f t="shared" si="140"/>
        <v>2.2309873180326063</v>
      </c>
    </row>
    <row r="716" spans="1:17" x14ac:dyDescent="0.25">
      <c r="A716" s="5" t="s">
        <v>773</v>
      </c>
      <c r="B716" s="6">
        <f t="shared" si="141"/>
        <v>12</v>
      </c>
      <c r="C716" s="70">
        <v>16.76150513</v>
      </c>
      <c r="D716" s="4">
        <v>0</v>
      </c>
      <c r="E716" s="12">
        <f t="shared" si="130"/>
        <v>0</v>
      </c>
      <c r="F716" s="12">
        <f t="shared" si="131"/>
        <v>0</v>
      </c>
      <c r="G716" s="16">
        <f t="shared" si="133"/>
        <v>18.886588883993436</v>
      </c>
      <c r="H716" s="14">
        <f t="shared" si="134"/>
        <v>0</v>
      </c>
      <c r="I716" s="14">
        <f t="shared" si="135"/>
        <v>6.5521925525609888</v>
      </c>
      <c r="J716" s="14">
        <f t="shared" si="136"/>
        <v>1.9076211862452646</v>
      </c>
      <c r="K716" s="14">
        <f t="shared" si="137"/>
        <v>4.4616856665005136</v>
      </c>
      <c r="L716" s="14">
        <f t="shared" si="138"/>
        <v>653.42323892787465</v>
      </c>
      <c r="M716" s="14">
        <f t="shared" si="132"/>
        <v>0.23573390980736308</v>
      </c>
      <c r="N716" s="14">
        <f t="shared" si="139"/>
        <v>6.0324962336120347</v>
      </c>
      <c r="O716" s="4">
        <v>4.8600000000000003</v>
      </c>
      <c r="P716" s="14">
        <f t="shared" si="142"/>
        <v>1.3747474178344063</v>
      </c>
      <c r="Q716" s="14">
        <f t="shared" si="140"/>
        <v>2.8011009559636384</v>
      </c>
    </row>
    <row r="717" spans="1:17" x14ac:dyDescent="0.25">
      <c r="A717" s="5" t="s">
        <v>774</v>
      </c>
      <c r="B717" s="6">
        <f t="shared" si="141"/>
        <v>12</v>
      </c>
      <c r="C717" s="70">
        <v>14.005912779999999</v>
      </c>
      <c r="D717" s="4">
        <v>26.6</v>
      </c>
      <c r="E717" s="12">
        <f t="shared" si="130"/>
        <v>0</v>
      </c>
      <c r="F717" s="12">
        <f t="shared" si="131"/>
        <v>26.6</v>
      </c>
      <c r="G717" s="16">
        <f t="shared" si="133"/>
        <v>39.633218899738551</v>
      </c>
      <c r="H717" s="14">
        <f t="shared" si="134"/>
        <v>5.1269684454509798</v>
      </c>
      <c r="I717" s="14">
        <f t="shared" si="135"/>
        <v>2.7470095570323902</v>
      </c>
      <c r="J717" s="14">
        <f t="shared" si="136"/>
        <v>0.72640153880390745</v>
      </c>
      <c r="K717" s="14">
        <f t="shared" si="137"/>
        <v>9.2724207749826135</v>
      </c>
      <c r="L717" s="14">
        <f t="shared" si="138"/>
        <v>653.50373835503615</v>
      </c>
      <c r="M717" s="14">
        <f t="shared" si="132"/>
        <v>0.42357584793040759</v>
      </c>
      <c r="N717" s="14">
        <f t="shared" si="139"/>
        <v>10.839423608496888</v>
      </c>
      <c r="O717" s="4">
        <v>5.17</v>
      </c>
      <c r="P717" s="14">
        <f t="shared" si="142"/>
        <v>32.142364052581883</v>
      </c>
      <c r="Q717" s="14">
        <f t="shared" si="140"/>
        <v>1.8595385795268609</v>
      </c>
    </row>
    <row r="718" spans="1:17" x14ac:dyDescent="0.25">
      <c r="A718" s="5" t="s">
        <v>775</v>
      </c>
      <c r="B718" s="6">
        <f t="shared" si="141"/>
        <v>12</v>
      </c>
      <c r="C718" s="70">
        <v>17.327638629999999</v>
      </c>
      <c r="D718" s="4">
        <v>4.4000000000000004</v>
      </c>
      <c r="E718" s="12">
        <f t="shared" si="130"/>
        <v>0</v>
      </c>
      <c r="F718" s="12">
        <f t="shared" si="131"/>
        <v>4.4000000000000004</v>
      </c>
      <c r="G718" s="16">
        <f t="shared" si="133"/>
        <v>38.704533604950669</v>
      </c>
      <c r="H718" s="14">
        <f t="shared" si="134"/>
        <v>1.2589970824396806</v>
      </c>
      <c r="I718" s="14">
        <f t="shared" si="135"/>
        <v>7.3339633276900047</v>
      </c>
      <c r="J718" s="14">
        <f t="shared" si="136"/>
        <v>4.0696882123482077</v>
      </c>
      <c r="K718" s="14">
        <f t="shared" si="137"/>
        <v>9.7904762584365681</v>
      </c>
      <c r="L718" s="14">
        <f t="shared" si="138"/>
        <v>653.82110410609141</v>
      </c>
      <c r="M718" s="14">
        <f t="shared" si="132"/>
        <v>0.4438698157484704</v>
      </c>
      <c r="N718" s="14">
        <f t="shared" si="139"/>
        <v>11.358751882174399</v>
      </c>
      <c r="O718" s="4">
        <v>7.09</v>
      </c>
      <c r="P718" s="14">
        <f t="shared" si="142"/>
        <v>18.222242631567475</v>
      </c>
      <c r="Q718" s="14">
        <f t="shared" si="140"/>
        <v>0.30952644159584425</v>
      </c>
    </row>
    <row r="719" spans="1:17" x14ac:dyDescent="0.25">
      <c r="A719" s="5" t="s">
        <v>776</v>
      </c>
      <c r="B719" s="6">
        <f t="shared" si="141"/>
        <v>12</v>
      </c>
      <c r="C719" s="70">
        <v>17.606708529999999</v>
      </c>
      <c r="D719" s="4">
        <v>4.7</v>
      </c>
      <c r="E719" s="12">
        <f t="shared" si="130"/>
        <v>0</v>
      </c>
      <c r="F719" s="12">
        <f t="shared" si="131"/>
        <v>4.7</v>
      </c>
      <c r="G719" s="16">
        <f t="shared" si="133"/>
        <v>37.893426490237118</v>
      </c>
      <c r="H719" s="14">
        <f t="shared" si="134"/>
        <v>1.3279471226167363</v>
      </c>
      <c r="I719" s="14">
        <f t="shared" si="135"/>
        <v>7.7193294860928852</v>
      </c>
      <c r="J719" s="14">
        <f t="shared" si="136"/>
        <v>4.1831599920968223</v>
      </c>
      <c r="K719" s="14">
        <f t="shared" si="137"/>
        <v>10.331746059970117</v>
      </c>
      <c r="L719" s="14">
        <f t="shared" si="138"/>
        <v>654.1639116114261</v>
      </c>
      <c r="M719" s="14">
        <f t="shared" si="132"/>
        <v>0.46507555638513287</v>
      </c>
      <c r="N719" s="14">
        <f t="shared" si="139"/>
        <v>11.901412675550102</v>
      </c>
      <c r="O719" s="4">
        <v>7.88</v>
      </c>
      <c r="P719" s="14">
        <f t="shared" si="142"/>
        <v>16.171759907075028</v>
      </c>
      <c r="Q719" s="14">
        <f t="shared" si="140"/>
        <v>1.8126610306763113</v>
      </c>
    </row>
    <row r="720" spans="1:17" x14ac:dyDescent="0.25">
      <c r="A720" s="5" t="s">
        <v>777</v>
      </c>
      <c r="B720" s="6">
        <f t="shared" si="141"/>
        <v>12</v>
      </c>
      <c r="C720" s="70">
        <v>17.938961030000002</v>
      </c>
      <c r="D720" s="4">
        <v>4.4000000000000004</v>
      </c>
      <c r="E720" s="12">
        <f t="shared" si="130"/>
        <v>0</v>
      </c>
      <c r="F720" s="12">
        <f t="shared" si="131"/>
        <v>4.4000000000000004</v>
      </c>
      <c r="G720" s="16">
        <f t="shared" si="133"/>
        <v>36.725282256272408</v>
      </c>
      <c r="H720" s="14">
        <f t="shared" si="134"/>
        <v>1.2292284272507281</v>
      </c>
      <c r="I720" s="14">
        <f t="shared" si="135"/>
        <v>8.1781352173621986</v>
      </c>
      <c r="J720" s="14">
        <f t="shared" si="136"/>
        <v>4.3389158067139872</v>
      </c>
      <c r="K720" s="14">
        <f t="shared" si="137"/>
        <v>10.726512004097412</v>
      </c>
      <c r="L720" s="14">
        <f t="shared" si="138"/>
        <v>654.53329853816433</v>
      </c>
      <c r="M720" s="14">
        <f t="shared" si="132"/>
        <v>0.48056703161906511</v>
      </c>
      <c r="N720" s="14">
        <f t="shared" si="139"/>
        <v>12.297843829973992</v>
      </c>
      <c r="O720" s="4">
        <v>7.92</v>
      </c>
      <c r="P720" s="14">
        <f t="shared" si="142"/>
        <v>19.165516599641354</v>
      </c>
      <c r="Q720" s="14">
        <f t="shared" si="140"/>
        <v>1.9219691111360819</v>
      </c>
    </row>
    <row r="721" spans="1:17" x14ac:dyDescent="0.25">
      <c r="A721" s="5" t="s">
        <v>778</v>
      </c>
      <c r="B721" s="6">
        <f t="shared" si="141"/>
        <v>12</v>
      </c>
      <c r="C721" s="70">
        <v>18.760700230000001</v>
      </c>
      <c r="D721" s="4">
        <v>0.3</v>
      </c>
      <c r="E721" s="12">
        <f t="shared" si="130"/>
        <v>0</v>
      </c>
      <c r="F721" s="12">
        <f t="shared" si="131"/>
        <v>0.3</v>
      </c>
      <c r="G721" s="16">
        <f t="shared" si="133"/>
        <v>32.15422316439156</v>
      </c>
      <c r="H721" s="14">
        <f t="shared" si="134"/>
        <v>8.2423740444408797E-2</v>
      </c>
      <c r="I721" s="14">
        <f t="shared" si="135"/>
        <v>9.3128705604180286</v>
      </c>
      <c r="J721" s="14">
        <f t="shared" si="136"/>
        <v>4.7886353514364304</v>
      </c>
      <c r="K721" s="14">
        <f t="shared" si="137"/>
        <v>9.9396219644226029</v>
      </c>
      <c r="L721" s="14">
        <f t="shared" si="138"/>
        <v>654.92204528666446</v>
      </c>
      <c r="M721" s="14">
        <f t="shared" si="132"/>
        <v>0.44992741851029122</v>
      </c>
      <c r="N721" s="14">
        <f t="shared" si="139"/>
        <v>11.513767619516827</v>
      </c>
      <c r="O721" s="4">
        <v>9.18</v>
      </c>
      <c r="P721" s="14">
        <f t="shared" si="142"/>
        <v>5.4464713019052375</v>
      </c>
      <c r="Q721" s="14">
        <f t="shared" si="140"/>
        <v>7.0031736456188511</v>
      </c>
    </row>
    <row r="722" spans="1:17" x14ac:dyDescent="0.25">
      <c r="A722" s="5" t="s">
        <v>779</v>
      </c>
      <c r="B722" s="6">
        <f t="shared" si="141"/>
        <v>12</v>
      </c>
      <c r="C722" s="70">
        <v>18.808202739999999</v>
      </c>
      <c r="D722" s="4">
        <v>2.1</v>
      </c>
      <c r="E722" s="12">
        <f t="shared" si="130"/>
        <v>0</v>
      </c>
      <c r="F722" s="12">
        <f t="shared" si="131"/>
        <v>2.1</v>
      </c>
      <c r="G722" s="16">
        <f t="shared" si="133"/>
        <v>29.494580112663304</v>
      </c>
      <c r="H722" s="14">
        <f t="shared" si="134"/>
        <v>0.53750030210121369</v>
      </c>
      <c r="I722" s="14">
        <f t="shared" si="135"/>
        <v>9.3784665268522218</v>
      </c>
      <c r="J722" s="14">
        <f t="shared" si="136"/>
        <v>4.2221427496270438</v>
      </c>
      <c r="K722" s="14">
        <f t="shared" si="137"/>
        <v>9.677277848905856</v>
      </c>
      <c r="L722" s="14">
        <f t="shared" si="138"/>
        <v>655.27196228577213</v>
      </c>
      <c r="M722" s="14">
        <f t="shared" si="132"/>
        <v>0.4397592993189447</v>
      </c>
      <c r="N722" s="14">
        <f t="shared" si="139"/>
        <v>11.253562624932716</v>
      </c>
      <c r="O722" s="4">
        <v>8.18</v>
      </c>
      <c r="P722" s="14">
        <f t="shared" si="142"/>
        <v>9.4467872093832881</v>
      </c>
      <c r="Q722" s="14">
        <f t="shared" si="140"/>
        <v>2.7104716341245894</v>
      </c>
    </row>
    <row r="723" spans="1:17" x14ac:dyDescent="0.25">
      <c r="A723" s="5" t="s">
        <v>780</v>
      </c>
      <c r="B723" s="6">
        <f t="shared" si="141"/>
        <v>12</v>
      </c>
      <c r="C723" s="70">
        <v>19.396795269999998</v>
      </c>
      <c r="D723" s="4">
        <v>3.4</v>
      </c>
      <c r="E723" s="12">
        <f t="shared" si="130"/>
        <v>0</v>
      </c>
      <c r="F723" s="12">
        <f t="shared" si="131"/>
        <v>3.4</v>
      </c>
      <c r="G723" s="16">
        <f t="shared" si="133"/>
        <v>27.854931675058094</v>
      </c>
      <c r="H723" s="14">
        <f t="shared" si="134"/>
        <v>0.83109575437579675</v>
      </c>
      <c r="I723" s="14">
        <f t="shared" si="135"/>
        <v>10.191250858486454</v>
      </c>
      <c r="J723" s="14">
        <f t="shared" si="136"/>
        <v>4.208552683229418</v>
      </c>
      <c r="K723" s="14">
        <f t="shared" si="137"/>
        <v>9.7316898276111186</v>
      </c>
      <c r="L723" s="14">
        <f t="shared" si="138"/>
        <v>655.6088867621238</v>
      </c>
      <c r="M723" s="14">
        <f t="shared" si="132"/>
        <v>0.44195547175255989</v>
      </c>
      <c r="N723" s="14">
        <f t="shared" si="139"/>
        <v>11.309763287556828</v>
      </c>
      <c r="O723" s="4">
        <v>7.76</v>
      </c>
      <c r="P723" s="14">
        <f t="shared" si="142"/>
        <v>12.600819397686264</v>
      </c>
      <c r="Q723" s="14">
        <f t="shared" si="140"/>
        <v>1.5039367892969997</v>
      </c>
    </row>
    <row r="724" spans="1:17" x14ac:dyDescent="0.25">
      <c r="A724" s="5" t="s">
        <v>781</v>
      </c>
      <c r="B724" s="6">
        <f t="shared" si="141"/>
        <v>12</v>
      </c>
      <c r="C724" s="70">
        <v>19.288932800000001</v>
      </c>
      <c r="D724" s="4">
        <v>0</v>
      </c>
      <c r="E724" s="12">
        <f t="shared" si="130"/>
        <v>0</v>
      </c>
      <c r="F724" s="12">
        <f t="shared" si="131"/>
        <v>0</v>
      </c>
      <c r="G724" s="16">
        <f t="shared" si="133"/>
        <v>23.938428111272994</v>
      </c>
      <c r="H724" s="14">
        <f t="shared" si="134"/>
        <v>0</v>
      </c>
      <c r="I724" s="14">
        <f t="shared" si="135"/>
        <v>10.042304140478725</v>
      </c>
      <c r="J724" s="14">
        <f t="shared" si="136"/>
        <v>3.9165035637850987</v>
      </c>
      <c r="K724" s="14">
        <f t="shared" si="137"/>
        <v>8.9502023750829522</v>
      </c>
      <c r="L724" s="14">
        <f t="shared" si="138"/>
        <v>655.94841874289943</v>
      </c>
      <c r="M724" s="14">
        <f t="shared" si="132"/>
        <v>0.41151630695829866</v>
      </c>
      <c r="N724" s="14">
        <f t="shared" si="139"/>
        <v>10.530816605148127</v>
      </c>
      <c r="O724" s="4">
        <v>6.82</v>
      </c>
      <c r="P724" s="14">
        <f t="shared" si="142"/>
        <v>13.770159877043067</v>
      </c>
      <c r="Q724" s="14">
        <f t="shared" si="140"/>
        <v>8.1996898492393708E-2</v>
      </c>
    </row>
    <row r="725" spans="1:17" x14ac:dyDescent="0.25">
      <c r="A725" s="5" t="s">
        <v>782</v>
      </c>
      <c r="B725" s="6">
        <f t="shared" si="141"/>
        <v>12</v>
      </c>
      <c r="C725" s="70">
        <v>18.706001279999999</v>
      </c>
      <c r="D725" s="4">
        <v>0</v>
      </c>
      <c r="E725" s="12">
        <f t="shared" si="130"/>
        <v>0</v>
      </c>
      <c r="F725" s="12">
        <f t="shared" si="131"/>
        <v>0</v>
      </c>
      <c r="G725" s="16">
        <f t="shared" si="133"/>
        <v>20.842395838696348</v>
      </c>
      <c r="H725" s="14">
        <f t="shared" si="134"/>
        <v>0</v>
      </c>
      <c r="I725" s="14">
        <f t="shared" si="135"/>
        <v>9.2373370678049884</v>
      </c>
      <c r="J725" s="14">
        <f t="shared" si="136"/>
        <v>3.0960322725766463</v>
      </c>
      <c r="K725" s="14">
        <f t="shared" si="137"/>
        <v>8.2377073260579454</v>
      </c>
      <c r="L725" s="14">
        <f t="shared" si="138"/>
        <v>656.24939748496604</v>
      </c>
      <c r="M725" s="14">
        <f t="shared" si="132"/>
        <v>0.38376258907156624</v>
      </c>
      <c r="N725" s="14">
        <f t="shared" si="139"/>
        <v>9.8205912550605667</v>
      </c>
      <c r="O725" s="4">
        <v>5.6</v>
      </c>
      <c r="P725" s="14">
        <f t="shared" si="142"/>
        <v>17.813390542293732</v>
      </c>
      <c r="Q725" s="14">
        <f t="shared" si="140"/>
        <v>0.8717004444693941</v>
      </c>
    </row>
    <row r="726" spans="1:17" x14ac:dyDescent="0.25">
      <c r="A726" s="5" t="s">
        <v>783</v>
      </c>
      <c r="B726" s="6">
        <f t="shared" si="141"/>
        <v>12</v>
      </c>
      <c r="C726" s="70">
        <v>16.605325700000002</v>
      </c>
      <c r="D726" s="4">
        <v>0</v>
      </c>
      <c r="E726" s="12">
        <f t="shared" si="130"/>
        <v>0</v>
      </c>
      <c r="F726" s="12">
        <f t="shared" si="131"/>
        <v>0</v>
      </c>
      <c r="G726" s="16">
        <f t="shared" si="133"/>
        <v>18.993289598100237</v>
      </c>
      <c r="H726" s="14">
        <f t="shared" si="134"/>
        <v>0</v>
      </c>
      <c r="I726" s="14">
        <f t="shared" si="135"/>
        <v>6.336525198393983</v>
      </c>
      <c r="J726" s="14">
        <f t="shared" si="136"/>
        <v>1.8491062405961107</v>
      </c>
      <c r="K726" s="14">
        <f t="shared" si="137"/>
        <v>7.5881137935669685</v>
      </c>
      <c r="L726" s="14">
        <f t="shared" si="138"/>
        <v>656.51522842838551</v>
      </c>
      <c r="M726" s="14">
        <f t="shared" si="132"/>
        <v>0.35845723798082357</v>
      </c>
      <c r="N726" s="14">
        <f t="shared" si="139"/>
        <v>9.1730202913842689</v>
      </c>
      <c r="O726" s="4">
        <v>4.84</v>
      </c>
      <c r="P726" s="14">
        <f t="shared" si="142"/>
        <v>18.775064845547817</v>
      </c>
      <c r="Q726" s="14">
        <f t="shared" si="140"/>
        <v>2.8684469157337547</v>
      </c>
    </row>
    <row r="727" spans="1:17" x14ac:dyDescent="0.25">
      <c r="A727" s="5" t="s">
        <v>784</v>
      </c>
      <c r="B727" s="6">
        <f t="shared" si="141"/>
        <v>12</v>
      </c>
      <c r="C727" s="70">
        <v>16.200126650000001</v>
      </c>
      <c r="D727" s="4">
        <v>0</v>
      </c>
      <c r="E727" s="12">
        <f t="shared" si="130"/>
        <v>0</v>
      </c>
      <c r="F727" s="12">
        <f t="shared" si="131"/>
        <v>0</v>
      </c>
      <c r="G727" s="16">
        <f t="shared" si="133"/>
        <v>17.457029640692696</v>
      </c>
      <c r="H727" s="14">
        <f t="shared" si="134"/>
        <v>0</v>
      </c>
      <c r="I727" s="14">
        <f t="shared" si="135"/>
        <v>5.7769879595624332</v>
      </c>
      <c r="J727" s="14">
        <f t="shared" si="136"/>
        <v>1.5362599574075395</v>
      </c>
      <c r="K727" s="14">
        <f t="shared" si="137"/>
        <v>6.9958686151176002</v>
      </c>
      <c r="L727" s="14">
        <f t="shared" si="138"/>
        <v>656.74901636885397</v>
      </c>
      <c r="M727" s="14">
        <f t="shared" si="132"/>
        <v>0.33538410382312339</v>
      </c>
      <c r="N727" s="14">
        <f t="shared" si="139"/>
        <v>8.582572379084791</v>
      </c>
      <c r="O727" s="4">
        <v>4.28</v>
      </c>
      <c r="P727" s="14">
        <f t="shared" si="142"/>
        <v>18.512129077263356</v>
      </c>
      <c r="Q727" s="14">
        <f t="shared" si="140"/>
        <v>5.0789337892969657</v>
      </c>
    </row>
    <row r="728" spans="1:17" x14ac:dyDescent="0.25">
      <c r="A728" s="5" t="s">
        <v>785</v>
      </c>
      <c r="B728" s="6">
        <f t="shared" si="141"/>
        <v>12</v>
      </c>
      <c r="C728" s="70">
        <v>20.27138519</v>
      </c>
      <c r="D728" s="4">
        <v>0</v>
      </c>
      <c r="E728" s="12">
        <f t="shared" si="130"/>
        <v>0</v>
      </c>
      <c r="F728" s="12">
        <f t="shared" si="131"/>
        <v>0</v>
      </c>
      <c r="G728" s="16">
        <f t="shared" si="133"/>
        <v>14.67091538525629</v>
      </c>
      <c r="H728" s="14">
        <f t="shared" si="134"/>
        <v>0</v>
      </c>
      <c r="I728" s="14">
        <f t="shared" si="135"/>
        <v>11.398967483060739</v>
      </c>
      <c r="J728" s="14">
        <f t="shared" si="136"/>
        <v>2.7861142554364053</v>
      </c>
      <c r="K728" s="14">
        <f t="shared" si="137"/>
        <v>6.4559088805255751</v>
      </c>
      <c r="L728" s="14">
        <f t="shared" si="138"/>
        <v>656.95359199962286</v>
      </c>
      <c r="M728" s="14">
        <f t="shared" si="132"/>
        <v>0.31434611918968813</v>
      </c>
      <c r="N728" s="14">
        <f t="shared" si="139"/>
        <v>8.0442045084305622</v>
      </c>
      <c r="O728" s="4">
        <v>4.3499999999999996</v>
      </c>
      <c r="P728" s="14">
        <f t="shared" si="142"/>
        <v>13.647146950108695</v>
      </c>
      <c r="Q728" s="14">
        <f t="shared" si="140"/>
        <v>4.7683229301015668</v>
      </c>
    </row>
    <row r="729" spans="1:17" x14ac:dyDescent="0.25">
      <c r="A729" s="5" t="s">
        <v>786</v>
      </c>
      <c r="B729" s="6">
        <f t="shared" si="141"/>
        <v>12</v>
      </c>
      <c r="C729" s="70">
        <v>18.29721451</v>
      </c>
      <c r="D729" s="4">
        <v>0</v>
      </c>
      <c r="E729" s="12">
        <f t="shared" si="130"/>
        <v>0</v>
      </c>
      <c r="F729" s="12">
        <f t="shared" si="131"/>
        <v>0</v>
      </c>
      <c r="G729" s="16">
        <f t="shared" si="133"/>
        <v>12.889431559532744</v>
      </c>
      <c r="H729" s="14">
        <f t="shared" si="134"/>
        <v>0</v>
      </c>
      <c r="I729" s="14">
        <f t="shared" si="135"/>
        <v>8.6728455652788412</v>
      </c>
      <c r="J729" s="14">
        <f t="shared" si="136"/>
        <v>1.7814838257235468</v>
      </c>
      <c r="K729" s="14">
        <f t="shared" si="137"/>
        <v>5.9636186507527462</v>
      </c>
      <c r="L729" s="14">
        <f t="shared" si="138"/>
        <v>657.13153611020596</v>
      </c>
      <c r="M729" s="14">
        <f t="shared" si="132"/>
        <v>0.29516361446114148</v>
      </c>
      <c r="N729" s="14">
        <f t="shared" si="139"/>
        <v>7.5533188839535166</v>
      </c>
      <c r="O729" s="4">
        <v>4.32</v>
      </c>
      <c r="P729" s="14">
        <f t="shared" si="142"/>
        <v>10.454351005330413</v>
      </c>
      <c r="Q729" s="14">
        <f t="shared" si="140"/>
        <v>4.9002418697567363</v>
      </c>
    </row>
    <row r="730" spans="1:17" x14ac:dyDescent="0.25">
      <c r="A730" s="5" t="s">
        <v>787</v>
      </c>
      <c r="B730" s="6">
        <f t="shared" si="141"/>
        <v>12</v>
      </c>
      <c r="C730" s="70">
        <v>17.394344329999999</v>
      </c>
      <c r="D730" s="4">
        <v>0</v>
      </c>
      <c r="E730" s="12">
        <f t="shared" si="130"/>
        <v>0</v>
      </c>
      <c r="F730" s="12">
        <f t="shared" si="131"/>
        <v>0</v>
      </c>
      <c r="G730" s="16">
        <f t="shared" si="133"/>
        <v>11.549272754575137</v>
      </c>
      <c r="H730" s="14">
        <f t="shared" si="134"/>
        <v>0</v>
      </c>
      <c r="I730" s="14">
        <f t="shared" si="135"/>
        <v>7.4260768782827951</v>
      </c>
      <c r="J730" s="14">
        <f t="shared" si="136"/>
        <v>1.340158804957607</v>
      </c>
      <c r="K730" s="14">
        <f t="shared" si="137"/>
        <v>5.5147894977550758</v>
      </c>
      <c r="L730" s="14">
        <f t="shared" si="138"/>
        <v>657.28520164874249</v>
      </c>
      <c r="M730" s="14">
        <f t="shared" si="132"/>
        <v>0.27767278187074773</v>
      </c>
      <c r="N730" s="14">
        <f t="shared" si="139"/>
        <v>7.1057236194007327</v>
      </c>
      <c r="O730" s="4">
        <v>4.01</v>
      </c>
      <c r="P730" s="14">
        <f t="shared" si="142"/>
        <v>9.5835047277155745</v>
      </c>
      <c r="Q730" s="14">
        <f t="shared" si="140"/>
        <v>6.368804246193517</v>
      </c>
    </row>
    <row r="731" spans="1:17" x14ac:dyDescent="0.25">
      <c r="A731" s="5" t="s">
        <v>788</v>
      </c>
      <c r="B731" s="6">
        <f t="shared" si="141"/>
        <v>12</v>
      </c>
      <c r="C731" s="70">
        <v>18.558364869999998</v>
      </c>
      <c r="D731" s="4">
        <v>0</v>
      </c>
      <c r="E731" s="12">
        <f t="shared" ref="E731:E794" si="143">IF(C731&gt;$C$9,MAX(E730-$C$10*(C731-$C$9),0),E730+D731)</f>
        <v>0</v>
      </c>
      <c r="F731" s="12">
        <f t="shared" ref="F731:F794" si="144">IF(C731&gt;$C$9,D731+MIN(E730,$C$10*(C731-$C$9)),0)</f>
        <v>0</v>
      </c>
      <c r="G731" s="16">
        <f t="shared" si="133"/>
        <v>10.088535365964328</v>
      </c>
      <c r="H731" s="14">
        <f t="shared" si="134"/>
        <v>0</v>
      </c>
      <c r="I731" s="14">
        <f t="shared" si="135"/>
        <v>9.0334667250625689</v>
      </c>
      <c r="J731" s="14">
        <f t="shared" si="136"/>
        <v>1.4607373886108088</v>
      </c>
      <c r="K731" s="14">
        <f t="shared" si="137"/>
        <v>5.105584528008742</v>
      </c>
      <c r="L731" s="14">
        <f t="shared" si="138"/>
        <v>657.41673383661805</v>
      </c>
      <c r="M731" s="14">
        <f t="shared" si="132"/>
        <v>0.26172427516543778</v>
      </c>
      <c r="N731" s="14">
        <f t="shared" si="139"/>
        <v>6.6975969026710986</v>
      </c>
      <c r="O731" s="4">
        <v>3.7</v>
      </c>
      <c r="P731" s="14">
        <f t="shared" si="142"/>
        <v>8.9855871909033631</v>
      </c>
      <c r="Q731" s="14">
        <f t="shared" si="140"/>
        <v>8.0295666226302949</v>
      </c>
    </row>
    <row r="732" spans="1:17" x14ac:dyDescent="0.25">
      <c r="A732" s="5" t="s">
        <v>789</v>
      </c>
      <c r="B732" s="6">
        <f t="shared" si="141"/>
        <v>12</v>
      </c>
      <c r="C732" s="70">
        <v>17.485982889999999</v>
      </c>
      <c r="D732" s="4">
        <v>0</v>
      </c>
      <c r="E732" s="12">
        <f t="shared" si="143"/>
        <v>0</v>
      </c>
      <c r="F732" s="12">
        <f t="shared" si="144"/>
        <v>0</v>
      </c>
      <c r="G732" s="16">
        <f t="shared" si="133"/>
        <v>9.0217210912589394</v>
      </c>
      <c r="H732" s="14">
        <f t="shared" si="134"/>
        <v>0</v>
      </c>
      <c r="I732" s="14">
        <f t="shared" si="135"/>
        <v>7.552620084227871</v>
      </c>
      <c r="J732" s="14">
        <f t="shared" si="136"/>
        <v>1.0668142747053886</v>
      </c>
      <c r="K732" s="14">
        <f t="shared" si="137"/>
        <v>4.7325055821632462</v>
      </c>
      <c r="L732" s="14">
        <f t="shared" si="138"/>
        <v>657.52808850729809</v>
      </c>
      <c r="M732" s="14">
        <f t="shared" si="132"/>
        <v>0.2471819328935812</v>
      </c>
      <c r="N732" s="14">
        <f t="shared" si="139"/>
        <v>6.3254543243947694</v>
      </c>
      <c r="O732" s="4">
        <v>3.54</v>
      </c>
      <c r="P732" s="14">
        <f t="shared" si="142"/>
        <v>7.758755793289521</v>
      </c>
      <c r="Q732" s="14">
        <f t="shared" si="140"/>
        <v>8.9619343007912136</v>
      </c>
    </row>
    <row r="733" spans="1:17" x14ac:dyDescent="0.25">
      <c r="A733" s="5" t="s">
        <v>790</v>
      </c>
      <c r="B733" s="6">
        <f t="shared" si="141"/>
        <v>12</v>
      </c>
      <c r="C733" s="70">
        <v>14.908347129999999</v>
      </c>
      <c r="D733" s="4">
        <v>0</v>
      </c>
      <c r="E733" s="12">
        <f t="shared" si="143"/>
        <v>0</v>
      </c>
      <c r="F733" s="12">
        <f t="shared" si="144"/>
        <v>0</v>
      </c>
      <c r="G733" s="16">
        <f t="shared" si="133"/>
        <v>8.5173258836044994</v>
      </c>
      <c r="H733" s="14">
        <f t="shared" si="134"/>
        <v>0</v>
      </c>
      <c r="I733" s="14">
        <f t="shared" si="135"/>
        <v>3.993176408671713</v>
      </c>
      <c r="J733" s="14">
        <f t="shared" si="136"/>
        <v>0.50439520765443924</v>
      </c>
      <c r="K733" s="14">
        <f t="shared" si="137"/>
        <v>4.3923633304220973</v>
      </c>
      <c r="L733" s="14">
        <f t="shared" si="138"/>
        <v>657.62104882614562</v>
      </c>
      <c r="M733" s="14">
        <f t="shared" si="132"/>
        <v>0.23392161440531162</v>
      </c>
      <c r="N733" s="14">
        <f t="shared" si="139"/>
        <v>5.9861190908581472</v>
      </c>
      <c r="O733" s="4">
        <v>3.38</v>
      </c>
      <c r="P733" s="14">
        <f t="shared" si="142"/>
        <v>6.791856715735296</v>
      </c>
      <c r="Q733" s="14">
        <f t="shared" si="140"/>
        <v>9.9455019789521319</v>
      </c>
    </row>
    <row r="734" spans="1:17" x14ac:dyDescent="0.25">
      <c r="A734" s="5" t="s">
        <v>791</v>
      </c>
      <c r="B734" s="6">
        <f t="shared" si="141"/>
        <v>12</v>
      </c>
      <c r="C734" s="70">
        <v>15.188742639999999</v>
      </c>
      <c r="D734" s="4">
        <v>0</v>
      </c>
      <c r="E734" s="12">
        <f t="shared" si="143"/>
        <v>0</v>
      </c>
      <c r="F734" s="12">
        <f t="shared" si="144"/>
        <v>0</v>
      </c>
      <c r="G734" s="16">
        <f t="shared" si="133"/>
        <v>7.9949568481531497</v>
      </c>
      <c r="H734" s="14">
        <f t="shared" si="134"/>
        <v>0</v>
      </c>
      <c r="I734" s="14">
        <f t="shared" si="135"/>
        <v>4.3803730949575383</v>
      </c>
      <c r="J734" s="14">
        <f t="shared" si="136"/>
        <v>0.52236903545134994</v>
      </c>
      <c r="K734" s="14">
        <f t="shared" si="137"/>
        <v>4.0822500080062758</v>
      </c>
      <c r="L734" s="14">
        <f t="shared" si="138"/>
        <v>657.69724053415609</v>
      </c>
      <c r="M734" s="14">
        <f t="shared" si="132"/>
        <v>0.22183013861475095</v>
      </c>
      <c r="N734" s="14">
        <f t="shared" si="139"/>
        <v>5.676694866634425</v>
      </c>
      <c r="O734" s="4">
        <v>3.17</v>
      </c>
      <c r="P734" s="14">
        <f t="shared" si="142"/>
        <v>6.283519154411378</v>
      </c>
      <c r="Q734" s="14">
        <f t="shared" si="140"/>
        <v>11.314134556538336</v>
      </c>
    </row>
    <row r="735" spans="1:17" x14ac:dyDescent="0.25">
      <c r="A735" s="5" t="s">
        <v>792</v>
      </c>
      <c r="B735" s="6">
        <f t="shared" si="141"/>
        <v>12</v>
      </c>
      <c r="C735" s="70">
        <v>15.331450459999999</v>
      </c>
      <c r="D735" s="4">
        <v>0</v>
      </c>
      <c r="E735" s="12">
        <f t="shared" si="143"/>
        <v>0</v>
      </c>
      <c r="F735" s="12">
        <f t="shared" si="144"/>
        <v>0</v>
      </c>
      <c r="G735" s="16">
        <f t="shared" si="133"/>
        <v>7.4825657070211857</v>
      </c>
      <c r="H735" s="14">
        <f t="shared" si="134"/>
        <v>0</v>
      </c>
      <c r="I735" s="14">
        <f t="shared" si="135"/>
        <v>4.5774375736686057</v>
      </c>
      <c r="J735" s="14">
        <f t="shared" si="136"/>
        <v>0.51239114113196393</v>
      </c>
      <c r="K735" s="14">
        <f t="shared" si="137"/>
        <v>3.7995145576248706</v>
      </c>
      <c r="L735" s="14">
        <f t="shared" si="138"/>
        <v>657.75814584592274</v>
      </c>
      <c r="M735" s="14">
        <f t="shared" ref="M735:M798" si="145">MAX(0,K735-$F$9)*$F$8+K735*$F$10+L735*$F$11</f>
        <v>0.21080431645195913</v>
      </c>
      <c r="N735" s="14">
        <f t="shared" si="139"/>
        <v>5.394541014760204</v>
      </c>
      <c r="O735" s="4">
        <v>2.99</v>
      </c>
      <c r="P735" s="14">
        <f t="shared" si="142"/>
        <v>5.7818174916640306</v>
      </c>
      <c r="Q735" s="14">
        <f t="shared" si="140"/>
        <v>12.557448194469368</v>
      </c>
    </row>
    <row r="736" spans="1:17" x14ac:dyDescent="0.25">
      <c r="A736" s="5" t="s">
        <v>793</v>
      </c>
      <c r="B736" s="6">
        <f t="shared" si="141"/>
        <v>12</v>
      </c>
      <c r="C736" s="70">
        <v>15.4964838</v>
      </c>
      <c r="D736" s="4">
        <v>0</v>
      </c>
      <c r="E736" s="12">
        <f t="shared" si="143"/>
        <v>0</v>
      </c>
      <c r="F736" s="12">
        <f t="shared" si="144"/>
        <v>0</v>
      </c>
      <c r="G736" s="16">
        <f t="shared" ref="G736:G799" si="146">G735+F736-H736-J736</f>
        <v>6.9791382159322293</v>
      </c>
      <c r="H736" s="14">
        <f t="shared" ref="H736:H799" si="147">(F736*(G735/$C$11)^$C$12)</f>
        <v>0</v>
      </c>
      <c r="I736" s="14">
        <f t="shared" ref="I736:I799" si="148">(1+$C$13*(C736-INDEX($A$16:$A$27,B736)))*INDEX($C$16:$C$27,B736)</f>
        <v>4.8053312456274835</v>
      </c>
      <c r="J736" s="14">
        <f t="shared" ref="J736:J799" si="149">IF(G735&gt;$F$13,I736,I736*(G735/$F$13))</f>
        <v>0.50342749108895646</v>
      </c>
      <c r="K736" s="14">
        <f t="shared" ref="K736:K799" si="150">K735+H736-MAX(0,K735-$F$9)*$F$8-K735*$F$10-K735*$F$12</f>
        <v>3.5417399664540086</v>
      </c>
      <c r="L736" s="14">
        <f t="shared" ref="L736:L799" si="151">L735+K735*$F$12-L735*$F$11</f>
        <v>657.80511612064163</v>
      </c>
      <c r="M736" s="14">
        <f t="shared" si="145"/>
        <v>0.20075006873335804</v>
      </c>
      <c r="N736" s="14">
        <f t="shared" ref="N736:N799" si="152">M736*$C$8*1000/(24*3600)</f>
        <v>5.1372500227946141</v>
      </c>
      <c r="O736" s="4">
        <v>2.96</v>
      </c>
      <c r="P736" s="14">
        <f t="shared" si="142"/>
        <v>4.7404176617591478</v>
      </c>
      <c r="Q736" s="14">
        <f t="shared" ref="Q736:Q799" si="153">(O736-$F$23)^2</f>
        <v>12.770967134124541</v>
      </c>
    </row>
    <row r="737" spans="1:17" x14ac:dyDescent="0.25">
      <c r="A737" s="5" t="s">
        <v>794</v>
      </c>
      <c r="B737" s="6">
        <f t="shared" ref="B737:B800" si="154">MONTH(A737)</f>
        <v>12</v>
      </c>
      <c r="C737" s="70">
        <v>17.224285129999998</v>
      </c>
      <c r="D737" s="4">
        <v>3.8</v>
      </c>
      <c r="E737" s="12">
        <f t="shared" si="143"/>
        <v>0</v>
      </c>
      <c r="F737" s="12">
        <f t="shared" si="144"/>
        <v>3.8</v>
      </c>
      <c r="G737" s="16">
        <f t="shared" si="146"/>
        <v>9.6456199205474071</v>
      </c>
      <c r="H737" s="14">
        <f t="shared" si="147"/>
        <v>0.43082012430764111</v>
      </c>
      <c r="I737" s="14">
        <f t="shared" si="148"/>
        <v>7.1912430226607196</v>
      </c>
      <c r="J737" s="14">
        <f t="shared" si="149"/>
        <v>0.70269817107718036</v>
      </c>
      <c r="K737" s="14">
        <f t="shared" si="150"/>
        <v>3.7375427281929716</v>
      </c>
      <c r="L737" s="14">
        <f t="shared" si="151"/>
        <v>657.83938341447697</v>
      </c>
      <c r="M737" s="14">
        <f t="shared" si="145"/>
        <v>0.20840206564106706</v>
      </c>
      <c r="N737" s="14">
        <f t="shared" si="152"/>
        <v>5.3330667492175845</v>
      </c>
      <c r="O737" s="4">
        <v>3.22</v>
      </c>
      <c r="P737" s="14">
        <f t="shared" ref="P737:P800" si="155">(O737-N737)^2</f>
        <v>4.4650510866489697</v>
      </c>
      <c r="Q737" s="14">
        <f t="shared" si="153"/>
        <v>10.980269657113048</v>
      </c>
    </row>
    <row r="738" spans="1:17" x14ac:dyDescent="0.25">
      <c r="A738" s="5" t="s">
        <v>795</v>
      </c>
      <c r="B738" s="6">
        <f t="shared" si="154"/>
        <v>12</v>
      </c>
      <c r="C738" s="70">
        <v>16.150121689999999</v>
      </c>
      <c r="D738" s="4">
        <v>0</v>
      </c>
      <c r="E738" s="12">
        <f t="shared" si="143"/>
        <v>0</v>
      </c>
      <c r="F738" s="12">
        <f t="shared" si="144"/>
        <v>0</v>
      </c>
      <c r="G738" s="16">
        <f t="shared" si="146"/>
        <v>8.8747655724026657</v>
      </c>
      <c r="H738" s="14">
        <f t="shared" si="147"/>
        <v>0</v>
      </c>
      <c r="I738" s="14">
        <f t="shared" si="148"/>
        <v>5.7079363730735615</v>
      </c>
      <c r="J738" s="14">
        <f t="shared" si="149"/>
        <v>0.77085434814474074</v>
      </c>
      <c r="K738" s="14">
        <f t="shared" si="150"/>
        <v>3.4852392235356069</v>
      </c>
      <c r="L738" s="14">
        <f t="shared" si="151"/>
        <v>657.88328485349325</v>
      </c>
      <c r="M738" s="14">
        <f t="shared" si="145"/>
        <v>0.19856077096605573</v>
      </c>
      <c r="N738" s="14">
        <f t="shared" si="152"/>
        <v>5.0812252847910786</v>
      </c>
      <c r="O738" s="4">
        <v>3.36</v>
      </c>
      <c r="P738" s="14">
        <f t="shared" si="155"/>
        <v>2.96261648100413</v>
      </c>
      <c r="Q738" s="14">
        <f t="shared" si="153"/>
        <v>10.072047938722246</v>
      </c>
    </row>
    <row r="739" spans="1:17" x14ac:dyDescent="0.25">
      <c r="A739" s="5" t="s">
        <v>796</v>
      </c>
      <c r="B739" s="6">
        <f t="shared" si="154"/>
        <v>12</v>
      </c>
      <c r="C739" s="70">
        <v>18.474842070000001</v>
      </c>
      <c r="D739" s="4">
        <v>0</v>
      </c>
      <c r="E739" s="12">
        <f t="shared" si="143"/>
        <v>0</v>
      </c>
      <c r="F739" s="12">
        <f t="shared" si="144"/>
        <v>0</v>
      </c>
      <c r="G739" s="16">
        <f t="shared" si="146"/>
        <v>7.7666277638508596</v>
      </c>
      <c r="H739" s="14">
        <f t="shared" si="147"/>
        <v>0</v>
      </c>
      <c r="I739" s="14">
        <f t="shared" si="148"/>
        <v>8.9181305294533271</v>
      </c>
      <c r="J739" s="14">
        <f t="shared" si="149"/>
        <v>1.1081378085518065</v>
      </c>
      <c r="K739" s="14">
        <f t="shared" si="150"/>
        <v>3.2552099411223354</v>
      </c>
      <c r="L739" s="14">
        <f t="shared" si="151"/>
        <v>657.91475336494057</v>
      </c>
      <c r="M739" s="14">
        <f t="shared" si="145"/>
        <v>0.18958647677164855</v>
      </c>
      <c r="N739" s="14">
        <f t="shared" si="152"/>
        <v>4.8515706034967012</v>
      </c>
      <c r="O739" s="4">
        <v>3.29</v>
      </c>
      <c r="P739" s="14">
        <f t="shared" si="155"/>
        <v>2.4385027497050515</v>
      </c>
      <c r="Q739" s="14">
        <f t="shared" si="153"/>
        <v>10.521258797917648</v>
      </c>
    </row>
    <row r="740" spans="1:17" x14ac:dyDescent="0.25">
      <c r="A740" s="5" t="s">
        <v>797</v>
      </c>
      <c r="B740" s="6">
        <f t="shared" si="154"/>
        <v>12</v>
      </c>
      <c r="C740" s="70">
        <v>18.91304779</v>
      </c>
      <c r="D740" s="4">
        <v>0</v>
      </c>
      <c r="E740" s="12">
        <f t="shared" si="143"/>
        <v>0</v>
      </c>
      <c r="F740" s="12">
        <f t="shared" si="144"/>
        <v>0</v>
      </c>
      <c r="G740" s="16">
        <f t="shared" si="146"/>
        <v>6.7310551060474673</v>
      </c>
      <c r="H740" s="14">
        <f t="shared" si="147"/>
        <v>0</v>
      </c>
      <c r="I740" s="14">
        <f t="shared" si="148"/>
        <v>9.5232465054384416</v>
      </c>
      <c r="J740" s="14">
        <f t="shared" si="149"/>
        <v>1.0355726578033924</v>
      </c>
      <c r="K740" s="14">
        <f t="shared" si="150"/>
        <v>3.0454884359081182</v>
      </c>
      <c r="L740" s="14">
        <f t="shared" si="151"/>
        <v>657.93488839338306</v>
      </c>
      <c r="M740" s="14">
        <f t="shared" si="145"/>
        <v>0.1814026416580713</v>
      </c>
      <c r="N740" s="14">
        <f t="shared" si="152"/>
        <v>4.6421439896527277</v>
      </c>
      <c r="O740" s="4">
        <v>2.86</v>
      </c>
      <c r="P740" s="14">
        <f t="shared" si="155"/>
        <v>3.1760371998553421</v>
      </c>
      <c r="Q740" s="14">
        <f t="shared" si="153"/>
        <v>13.495696932975116</v>
      </c>
    </row>
    <row r="741" spans="1:17" x14ac:dyDescent="0.25">
      <c r="A741" s="5" t="s">
        <v>798</v>
      </c>
      <c r="B741" s="6">
        <f t="shared" si="154"/>
        <v>12</v>
      </c>
      <c r="C741" s="70">
        <v>19.013509750000001</v>
      </c>
      <c r="D741" s="4">
        <v>0</v>
      </c>
      <c r="E741" s="12">
        <f t="shared" si="143"/>
        <v>0</v>
      </c>
      <c r="F741" s="12">
        <f t="shared" si="144"/>
        <v>0</v>
      </c>
      <c r="G741" s="16">
        <f t="shared" si="146"/>
        <v>5.8204877761652263</v>
      </c>
      <c r="H741" s="14">
        <f t="shared" si="147"/>
        <v>0</v>
      </c>
      <c r="I741" s="14">
        <f t="shared" si="148"/>
        <v>9.6619738980767167</v>
      </c>
      <c r="J741" s="14">
        <f t="shared" si="149"/>
        <v>0.91056732988224065</v>
      </c>
      <c r="K741" s="14">
        <f t="shared" si="150"/>
        <v>2.8542818673883037</v>
      </c>
      <c r="L741" s="14">
        <f t="shared" si="151"/>
        <v>657.94469232024483</v>
      </c>
      <c r="M741" s="14">
        <f t="shared" si="145"/>
        <v>0.17393948156382347</v>
      </c>
      <c r="N741" s="14">
        <f t="shared" si="152"/>
        <v>4.4511596497408989</v>
      </c>
      <c r="O741" s="4">
        <v>2.78</v>
      </c>
      <c r="P741" s="14">
        <f t="shared" si="155"/>
        <v>2.7927745749221247</v>
      </c>
      <c r="Q741" s="14">
        <f t="shared" si="153"/>
        <v>14.089880772055576</v>
      </c>
    </row>
    <row r="742" spans="1:17" x14ac:dyDescent="0.25">
      <c r="A742" s="5" t="s">
        <v>799</v>
      </c>
      <c r="B742" s="6">
        <f t="shared" si="154"/>
        <v>12</v>
      </c>
      <c r="C742" s="70">
        <v>18.603355409999999</v>
      </c>
      <c r="D742" s="4">
        <v>0</v>
      </c>
      <c r="E742" s="12">
        <f t="shared" si="143"/>
        <v>0</v>
      </c>
      <c r="F742" s="12">
        <f t="shared" si="144"/>
        <v>0</v>
      </c>
      <c r="G742" s="16">
        <f t="shared" si="146"/>
        <v>5.0792568982005246</v>
      </c>
      <c r="H742" s="14">
        <f t="shared" si="147"/>
        <v>0</v>
      </c>
      <c r="I742" s="14">
        <f t="shared" si="148"/>
        <v>9.0955939253241187</v>
      </c>
      <c r="J742" s="14">
        <f t="shared" si="149"/>
        <v>0.74123087796470144</v>
      </c>
      <c r="K742" s="14">
        <f t="shared" si="150"/>
        <v>2.6799556731919636</v>
      </c>
      <c r="L742" s="14">
        <f t="shared" si="151"/>
        <v>657.9450790328774</v>
      </c>
      <c r="M742" s="14">
        <f t="shared" si="145"/>
        <v>0.16713337320458524</v>
      </c>
      <c r="N742" s="14">
        <f t="shared" si="152"/>
        <v>4.2769894462423377</v>
      </c>
      <c r="O742" s="4">
        <v>3.07</v>
      </c>
      <c r="P742" s="14">
        <f t="shared" si="155"/>
        <v>1.4568235233403855</v>
      </c>
      <c r="Q742" s="14">
        <f t="shared" si="153"/>
        <v>11.996864355388912</v>
      </c>
    </row>
    <row r="743" spans="1:17" x14ac:dyDescent="0.25">
      <c r="A743" s="5" t="s">
        <v>800</v>
      </c>
      <c r="B743" s="6">
        <f t="shared" si="154"/>
        <v>12</v>
      </c>
      <c r="C743" s="70">
        <v>17.73993492</v>
      </c>
      <c r="D743" s="4">
        <v>8.1999999999999993</v>
      </c>
      <c r="E743" s="12">
        <f t="shared" si="143"/>
        <v>0</v>
      </c>
      <c r="F743" s="12">
        <f t="shared" si="144"/>
        <v>8.1999999999999993</v>
      </c>
      <c r="G743" s="16">
        <f t="shared" si="146"/>
        <v>11.932402005027948</v>
      </c>
      <c r="H743" s="14">
        <f t="shared" si="147"/>
        <v>0.78480901679521575</v>
      </c>
      <c r="I743" s="14">
        <f t="shared" si="148"/>
        <v>7.9033011079416919</v>
      </c>
      <c r="J743" s="14">
        <f t="shared" si="149"/>
        <v>0.56204587637736081</v>
      </c>
      <c r="K743" s="14">
        <f t="shared" si="150"/>
        <v>3.3058286125384022</v>
      </c>
      <c r="L743" s="14">
        <f t="shared" si="151"/>
        <v>657.93688173712155</v>
      </c>
      <c r="M743" s="14">
        <f t="shared" si="145"/>
        <v>0.19156748769594467</v>
      </c>
      <c r="N743" s="14">
        <f t="shared" si="152"/>
        <v>4.9022652233302502</v>
      </c>
      <c r="O743" s="4">
        <v>3</v>
      </c>
      <c r="P743" s="14">
        <f t="shared" si="155"/>
        <v>3.6186129798916866</v>
      </c>
      <c r="Q743" s="14">
        <f t="shared" si="153"/>
        <v>12.486675214584311</v>
      </c>
    </row>
    <row r="744" spans="1:17" x14ac:dyDescent="0.25">
      <c r="A744" s="5" t="s">
        <v>801</v>
      </c>
      <c r="B744" s="6">
        <f t="shared" si="154"/>
        <v>12</v>
      </c>
      <c r="C744" s="70">
        <v>14.328173639999999</v>
      </c>
      <c r="D744" s="4">
        <v>0.5</v>
      </c>
      <c r="E744" s="12">
        <f t="shared" si="143"/>
        <v>0</v>
      </c>
      <c r="F744" s="12">
        <f t="shared" si="144"/>
        <v>0.5</v>
      </c>
      <c r="G744" s="16">
        <f t="shared" si="146"/>
        <v>11.823673401174393</v>
      </c>
      <c r="H744" s="14">
        <f t="shared" si="147"/>
        <v>7.544743185978689E-2</v>
      </c>
      <c r="I744" s="14">
        <f t="shared" si="148"/>
        <v>3.1920178851315826</v>
      </c>
      <c r="J744" s="14">
        <f t="shared" si="149"/>
        <v>0.53328117199376757</v>
      </c>
      <c r="K744" s="14">
        <f t="shared" si="150"/>
        <v>3.1670857485567736</v>
      </c>
      <c r="L744" s="14">
        <f t="shared" si="151"/>
        <v>657.95950454526701</v>
      </c>
      <c r="M744" s="14">
        <f t="shared" si="145"/>
        <v>0.18615539069911538</v>
      </c>
      <c r="N744" s="14">
        <f t="shared" si="152"/>
        <v>4.7637681578211124</v>
      </c>
      <c r="O744" s="4">
        <v>4.1399999999999997</v>
      </c>
      <c r="P744" s="14">
        <f t="shared" si="155"/>
        <v>0.3890867147115446</v>
      </c>
      <c r="Q744" s="14">
        <f t="shared" si="153"/>
        <v>5.7295555076877722</v>
      </c>
    </row>
    <row r="745" spans="1:17" x14ac:dyDescent="0.25">
      <c r="A745" s="5" t="s">
        <v>802</v>
      </c>
      <c r="B745" s="6">
        <f t="shared" si="154"/>
        <v>1</v>
      </c>
      <c r="C745" s="70">
        <v>16.64796638</v>
      </c>
      <c r="D745" s="4">
        <v>0.6</v>
      </c>
      <c r="E745" s="12">
        <f t="shared" si="143"/>
        <v>0</v>
      </c>
      <c r="F745" s="12">
        <f t="shared" si="144"/>
        <v>0.6</v>
      </c>
      <c r="G745" s="16">
        <f t="shared" si="146"/>
        <v>10.702333554783692</v>
      </c>
      <c r="H745" s="14">
        <f t="shared" si="147"/>
        <v>9.0096221775967919E-2</v>
      </c>
      <c r="I745" s="14">
        <f t="shared" si="148"/>
        <v>9.8537909433173247</v>
      </c>
      <c r="J745" s="14">
        <f t="shared" si="149"/>
        <v>1.631243624614733</v>
      </c>
      <c r="K745" s="14">
        <f t="shared" si="150"/>
        <v>3.0552403723098736</v>
      </c>
      <c r="L745" s="14">
        <f t="shared" si="151"/>
        <v>657.97529075259081</v>
      </c>
      <c r="M745" s="14">
        <f t="shared" si="145"/>
        <v>0.18179199179248787</v>
      </c>
      <c r="N745" s="14">
        <f t="shared" si="152"/>
        <v>4.6521075677452624</v>
      </c>
      <c r="O745" s="4">
        <v>4.0250000000000004</v>
      </c>
      <c r="P745" s="14">
        <f t="shared" si="155"/>
        <v>0.39326390152337837</v>
      </c>
      <c r="Q745" s="14">
        <f t="shared" si="153"/>
        <v>6.2933197763659283</v>
      </c>
    </row>
    <row r="746" spans="1:17" x14ac:dyDescent="0.25">
      <c r="A746" s="5" t="s">
        <v>803</v>
      </c>
      <c r="B746" s="6">
        <f t="shared" si="154"/>
        <v>1</v>
      </c>
      <c r="C746" s="70">
        <v>16.098873139999998</v>
      </c>
      <c r="D746" s="4">
        <v>0.9</v>
      </c>
      <c r="E746" s="12">
        <f t="shared" si="143"/>
        <v>0</v>
      </c>
      <c r="F746" s="12">
        <f t="shared" si="144"/>
        <v>0.9</v>
      </c>
      <c r="G746" s="16">
        <f t="shared" si="146"/>
        <v>10.16156615980162</v>
      </c>
      <c r="H746" s="14">
        <f t="shared" si="147"/>
        <v>0.12815351112296505</v>
      </c>
      <c r="I746" s="14">
        <f t="shared" si="148"/>
        <v>8.7598254615907898</v>
      </c>
      <c r="J746" s="14">
        <f t="shared" si="149"/>
        <v>1.3126138838591075</v>
      </c>
      <c r="K746" s="14">
        <f t="shared" si="150"/>
        <v>2.9913263803849137</v>
      </c>
      <c r="L746" s="14">
        <f t="shared" si="151"/>
        <v>657.98556626384618</v>
      </c>
      <c r="M746" s="14">
        <f t="shared" si="145"/>
        <v>0.17929879661276701</v>
      </c>
      <c r="N746" s="14">
        <f t="shared" si="152"/>
        <v>4.5883060105419897</v>
      </c>
      <c r="O746" s="4">
        <v>3.55</v>
      </c>
      <c r="P746" s="14">
        <f t="shared" si="155"/>
        <v>1.0780793715276229</v>
      </c>
      <c r="Q746" s="14">
        <f t="shared" si="153"/>
        <v>8.9021613209061563</v>
      </c>
    </row>
    <row r="747" spans="1:17" x14ac:dyDescent="0.25">
      <c r="A747" s="5" t="s">
        <v>804</v>
      </c>
      <c r="B747" s="6">
        <f t="shared" si="154"/>
        <v>1</v>
      </c>
      <c r="C747" s="70">
        <v>17.515415189999999</v>
      </c>
      <c r="D747" s="4">
        <v>0</v>
      </c>
      <c r="E747" s="12">
        <f t="shared" si="143"/>
        <v>0</v>
      </c>
      <c r="F747" s="12">
        <f t="shared" si="144"/>
        <v>0</v>
      </c>
      <c r="G747" s="16">
        <f t="shared" si="146"/>
        <v>8.5137527641164397</v>
      </c>
      <c r="H747" s="14">
        <f t="shared" si="147"/>
        <v>0</v>
      </c>
      <c r="I747" s="14">
        <f t="shared" si="148"/>
        <v>11.582020297051047</v>
      </c>
      <c r="J747" s="14">
        <f t="shared" si="149"/>
        <v>1.6478133956851793</v>
      </c>
      <c r="K747" s="14">
        <f t="shared" si="150"/>
        <v>2.8049014246435626</v>
      </c>
      <c r="L747" s="14">
        <f t="shared" si="151"/>
        <v>657.99269242297476</v>
      </c>
      <c r="M747" s="14">
        <f t="shared" si="145"/>
        <v>0.17202175385325433</v>
      </c>
      <c r="N747" s="14">
        <f t="shared" si="152"/>
        <v>4.4020844649252933</v>
      </c>
      <c r="O747" s="4">
        <v>3.43</v>
      </c>
      <c r="P747" s="14">
        <f t="shared" si="155"/>
        <v>0.94494820694909343</v>
      </c>
      <c r="Q747" s="14">
        <f t="shared" si="153"/>
        <v>9.6326370795268428</v>
      </c>
    </row>
    <row r="748" spans="1:17" x14ac:dyDescent="0.25">
      <c r="A748" s="5" t="s">
        <v>805</v>
      </c>
      <c r="B748" s="6">
        <f t="shared" si="154"/>
        <v>1</v>
      </c>
      <c r="C748" s="70">
        <v>16.81075096</v>
      </c>
      <c r="D748" s="4">
        <v>1.5</v>
      </c>
      <c r="E748" s="12">
        <f t="shared" si="143"/>
        <v>0</v>
      </c>
      <c r="F748" s="12">
        <f t="shared" si="144"/>
        <v>1.5</v>
      </c>
      <c r="G748" s="16">
        <f t="shared" si="146"/>
        <v>8.6114330095972953</v>
      </c>
      <c r="H748" s="14">
        <f t="shared" si="147"/>
        <v>0.18906729846649897</v>
      </c>
      <c r="I748" s="14">
        <f t="shared" si="148"/>
        <v>10.178108743109126</v>
      </c>
      <c r="J748" s="14">
        <f t="shared" si="149"/>
        <v>1.2132524560526448</v>
      </c>
      <c r="K748" s="14">
        <f t="shared" si="150"/>
        <v>2.82400200444975</v>
      </c>
      <c r="L748" s="14">
        <f t="shared" si="151"/>
        <v>657.99063738778182</v>
      </c>
      <c r="M748" s="14">
        <f t="shared" si="145"/>
        <v>0.17276705707005147</v>
      </c>
      <c r="N748" s="14">
        <f t="shared" si="152"/>
        <v>4.4211569812718032</v>
      </c>
      <c r="O748" s="4">
        <v>3.49</v>
      </c>
      <c r="P748" s="14">
        <f t="shared" si="155"/>
        <v>0.86705332377121691</v>
      </c>
      <c r="Q748" s="14">
        <f t="shared" si="153"/>
        <v>9.2637992002164982</v>
      </c>
    </row>
    <row r="749" spans="1:17" x14ac:dyDescent="0.25">
      <c r="A749" s="5" t="s">
        <v>806</v>
      </c>
      <c r="B749" s="6">
        <f t="shared" si="154"/>
        <v>1</v>
      </c>
      <c r="C749" s="70">
        <v>16.467926030000001</v>
      </c>
      <c r="D749" s="4">
        <v>6.2</v>
      </c>
      <c r="E749" s="12">
        <f t="shared" si="143"/>
        <v>0</v>
      </c>
      <c r="F749" s="12">
        <f t="shared" si="144"/>
        <v>6.2</v>
      </c>
      <c r="G749" s="16">
        <f t="shared" si="146"/>
        <v>12.880366703004192</v>
      </c>
      <c r="H749" s="14">
        <f t="shared" si="147"/>
        <v>0.78624483596299699</v>
      </c>
      <c r="I749" s="14">
        <f t="shared" si="148"/>
        <v>9.4950942523546704</v>
      </c>
      <c r="J749" s="14">
        <f t="shared" si="149"/>
        <v>1.1448214706301068</v>
      </c>
      <c r="K749" s="14">
        <f t="shared" si="150"/>
        <v>3.4385938567908294</v>
      </c>
      <c r="L749" s="14">
        <f t="shared" si="151"/>
        <v>657.98952331433372</v>
      </c>
      <c r="M749" s="14">
        <f t="shared" si="145"/>
        <v>0.19676223473564952</v>
      </c>
      <c r="N749" s="14">
        <f t="shared" si="152"/>
        <v>5.0352002430615865</v>
      </c>
      <c r="O749" s="4">
        <v>3.75</v>
      </c>
      <c r="P749" s="14">
        <f t="shared" si="155"/>
        <v>1.6517396647655611</v>
      </c>
      <c r="Q749" s="14">
        <f t="shared" si="153"/>
        <v>7.7487017232050084</v>
      </c>
    </row>
    <row r="750" spans="1:17" x14ac:dyDescent="0.25">
      <c r="A750" s="5" t="s">
        <v>807</v>
      </c>
      <c r="B750" s="6">
        <f t="shared" si="154"/>
        <v>1</v>
      </c>
      <c r="C750" s="70">
        <v>16.389642720000001</v>
      </c>
      <c r="D750" s="4">
        <v>0</v>
      </c>
      <c r="E750" s="12">
        <f t="shared" si="143"/>
        <v>0</v>
      </c>
      <c r="F750" s="12">
        <f t="shared" si="144"/>
        <v>0</v>
      </c>
      <c r="G750" s="16">
        <f t="shared" si="146"/>
        <v>11.196151127672001</v>
      </c>
      <c r="H750" s="14">
        <f t="shared" si="147"/>
        <v>0</v>
      </c>
      <c r="I750" s="14">
        <f t="shared" si="148"/>
        <v>9.3391294130583482</v>
      </c>
      <c r="J750" s="14">
        <f t="shared" si="149"/>
        <v>1.6842155753321908</v>
      </c>
      <c r="K750" s="14">
        <f t="shared" si="150"/>
        <v>3.2126825879855785</v>
      </c>
      <c r="L750" s="14">
        <f t="shared" si="151"/>
        <v>658.01867234840336</v>
      </c>
      <c r="M750" s="14">
        <f t="shared" si="145"/>
        <v>0.18794822540125211</v>
      </c>
      <c r="N750" s="14">
        <f t="shared" si="152"/>
        <v>4.8096472958584311</v>
      </c>
      <c r="O750" s="4">
        <v>4.21</v>
      </c>
      <c r="P750" s="14">
        <f t="shared" si="155"/>
        <v>0.35957687943032884</v>
      </c>
      <c r="Q750" s="14">
        <f t="shared" si="153"/>
        <v>5.3993446484923693</v>
      </c>
    </row>
    <row r="751" spans="1:17" x14ac:dyDescent="0.25">
      <c r="A751" s="5" t="s">
        <v>808</v>
      </c>
      <c r="B751" s="6">
        <f t="shared" si="154"/>
        <v>1</v>
      </c>
      <c r="C751" s="70">
        <v>15.553020480000001</v>
      </c>
      <c r="D751" s="4">
        <v>0</v>
      </c>
      <c r="E751" s="12">
        <f t="shared" si="143"/>
        <v>0</v>
      </c>
      <c r="F751" s="12">
        <f t="shared" si="144"/>
        <v>0</v>
      </c>
      <c r="G751" s="16">
        <f t="shared" si="146"/>
        <v>9.9934483746104696</v>
      </c>
      <c r="H751" s="14">
        <f t="shared" si="147"/>
        <v>0</v>
      </c>
      <c r="I751" s="14">
        <f t="shared" si="148"/>
        <v>7.6723162288262321</v>
      </c>
      <c r="J751" s="14">
        <f t="shared" si="149"/>
        <v>1.2027027530615324</v>
      </c>
      <c r="K751" s="14">
        <f t="shared" si="150"/>
        <v>3.0067155439569384</v>
      </c>
      <c r="L751" s="14">
        <f t="shared" si="151"/>
        <v>658.03669116703077</v>
      </c>
      <c r="M751" s="14">
        <f t="shared" si="145"/>
        <v>0.17991052432790458</v>
      </c>
      <c r="N751" s="14">
        <f t="shared" si="152"/>
        <v>4.6039602926967245</v>
      </c>
      <c r="O751" s="4">
        <v>4.2</v>
      </c>
      <c r="P751" s="14">
        <f t="shared" si="155"/>
        <v>0.16318391807562316</v>
      </c>
      <c r="Q751" s="14">
        <f t="shared" si="153"/>
        <v>5.4459176283774253</v>
      </c>
    </row>
    <row r="752" spans="1:17" x14ac:dyDescent="0.25">
      <c r="A752" s="5" t="s">
        <v>809</v>
      </c>
      <c r="B752" s="6">
        <f t="shared" si="154"/>
        <v>1</v>
      </c>
      <c r="C752" s="70">
        <v>16.705987929999999</v>
      </c>
      <c r="D752" s="4">
        <v>0</v>
      </c>
      <c r="E752" s="12">
        <f t="shared" si="143"/>
        <v>0</v>
      </c>
      <c r="F752" s="12">
        <f t="shared" si="144"/>
        <v>0</v>
      </c>
      <c r="G752" s="16">
        <f t="shared" si="146"/>
        <v>8.5985359869211386</v>
      </c>
      <c r="H752" s="14">
        <f t="shared" si="147"/>
        <v>0</v>
      </c>
      <c r="I752" s="14">
        <f t="shared" si="148"/>
        <v>9.9693880191368507</v>
      </c>
      <c r="J752" s="14">
        <f t="shared" si="149"/>
        <v>1.3949123876893308</v>
      </c>
      <c r="K752" s="14">
        <f t="shared" si="150"/>
        <v>2.8189319798600696</v>
      </c>
      <c r="L752" s="14">
        <f t="shared" si="151"/>
        <v>658.04456420679969</v>
      </c>
      <c r="M752" s="14">
        <f t="shared" si="145"/>
        <v>0.17258059673727577</v>
      </c>
      <c r="N752" s="14">
        <f t="shared" si="152"/>
        <v>4.4163854095615367</v>
      </c>
      <c r="O752" s="4">
        <v>3.76</v>
      </c>
      <c r="P752" s="14">
        <f t="shared" si="155"/>
        <v>0.43084180588526655</v>
      </c>
      <c r="Q752" s="14">
        <f t="shared" si="153"/>
        <v>7.693128743319952</v>
      </c>
    </row>
    <row r="753" spans="1:17" x14ac:dyDescent="0.25">
      <c r="A753" s="5" t="s">
        <v>810</v>
      </c>
      <c r="B753" s="6">
        <f t="shared" si="154"/>
        <v>1</v>
      </c>
      <c r="C753" s="70">
        <v>14.70210552</v>
      </c>
      <c r="D753" s="4">
        <v>0</v>
      </c>
      <c r="E753" s="12">
        <f t="shared" si="143"/>
        <v>0</v>
      </c>
      <c r="F753" s="12">
        <f t="shared" si="144"/>
        <v>0</v>
      </c>
      <c r="G753" s="16">
        <f t="shared" si="146"/>
        <v>7.8789663594957871</v>
      </c>
      <c r="H753" s="14">
        <f t="shared" si="147"/>
        <v>0</v>
      </c>
      <c r="I753" s="14">
        <f t="shared" si="148"/>
        <v>5.9770274758182502</v>
      </c>
      <c r="J753" s="14">
        <f t="shared" si="149"/>
        <v>0.71956962742535191</v>
      </c>
      <c r="K753" s="14">
        <f t="shared" si="150"/>
        <v>2.6477265954684799</v>
      </c>
      <c r="L753" s="14">
        <f t="shared" si="151"/>
        <v>658.043188994454</v>
      </c>
      <c r="M753" s="14">
        <f t="shared" si="145"/>
        <v>0.16589595833719475</v>
      </c>
      <c r="N753" s="14">
        <f t="shared" si="152"/>
        <v>4.2453236560594627</v>
      </c>
      <c r="O753" s="4">
        <v>3.47</v>
      </c>
      <c r="P753" s="14">
        <f t="shared" si="155"/>
        <v>0.60112677164541173</v>
      </c>
      <c r="Q753" s="14">
        <f t="shared" si="153"/>
        <v>9.3859451599866137</v>
      </c>
    </row>
    <row r="754" spans="1:17" x14ac:dyDescent="0.25">
      <c r="A754" s="5" t="s">
        <v>811</v>
      </c>
      <c r="B754" s="6">
        <f t="shared" si="154"/>
        <v>1</v>
      </c>
      <c r="C754" s="70">
        <v>18.7158947</v>
      </c>
      <c r="D754" s="4">
        <v>0</v>
      </c>
      <c r="E754" s="12">
        <f t="shared" si="143"/>
        <v>0</v>
      </c>
      <c r="F754" s="12">
        <f t="shared" si="144"/>
        <v>0</v>
      </c>
      <c r="G754" s="16">
        <f t="shared" si="146"/>
        <v>6.3374600599868725</v>
      </c>
      <c r="H754" s="14">
        <f t="shared" si="147"/>
        <v>0</v>
      </c>
      <c r="I754" s="14">
        <f t="shared" si="148"/>
        <v>13.973750971899603</v>
      </c>
      <c r="J754" s="14">
        <f t="shared" si="149"/>
        <v>1.5415062995089146</v>
      </c>
      <c r="K754" s="14">
        <f t="shared" si="150"/>
        <v>2.4916358119878139</v>
      </c>
      <c r="L754" s="14">
        <f t="shared" si="151"/>
        <v>658.03338381959747</v>
      </c>
      <c r="M754" s="14">
        <f t="shared" si="145"/>
        <v>0.15979964116389689</v>
      </c>
      <c r="N754" s="14">
        <f t="shared" si="152"/>
        <v>4.0893172061733338</v>
      </c>
      <c r="O754" s="4">
        <v>3.24</v>
      </c>
      <c r="P754" s="14">
        <f t="shared" si="155"/>
        <v>0.72133971670207686</v>
      </c>
      <c r="Q754" s="14">
        <f t="shared" si="153"/>
        <v>10.848123697342933</v>
      </c>
    </row>
    <row r="755" spans="1:17" x14ac:dyDescent="0.25">
      <c r="A755" s="5" t="s">
        <v>812</v>
      </c>
      <c r="B755" s="6">
        <f t="shared" si="154"/>
        <v>1</v>
      </c>
      <c r="C755" s="70">
        <v>18.618978500000001</v>
      </c>
      <c r="D755" s="4">
        <v>0</v>
      </c>
      <c r="E755" s="12">
        <f t="shared" si="143"/>
        <v>0</v>
      </c>
      <c r="F755" s="12">
        <f t="shared" si="144"/>
        <v>0</v>
      </c>
      <c r="G755" s="16">
        <f t="shared" si="146"/>
        <v>5.1146797846333687</v>
      </c>
      <c r="H755" s="14">
        <f t="shared" si="147"/>
        <v>0</v>
      </c>
      <c r="I755" s="14">
        <f t="shared" si="148"/>
        <v>13.780663587651157</v>
      </c>
      <c r="J755" s="14">
        <f t="shared" si="149"/>
        <v>1.2227802753535042</v>
      </c>
      <c r="K755" s="14">
        <f t="shared" si="150"/>
        <v>2.3493252603997825</v>
      </c>
      <c r="L755" s="14">
        <f t="shared" si="151"/>
        <v>658.01589473002161</v>
      </c>
      <c r="M755" s="14">
        <f t="shared" si="145"/>
        <v>0.15423970658155534</v>
      </c>
      <c r="N755" s="14">
        <f t="shared" si="152"/>
        <v>3.9470369357849409</v>
      </c>
      <c r="O755" s="4">
        <v>3.1</v>
      </c>
      <c r="P755" s="14">
        <f t="shared" si="155"/>
        <v>0.71747157058394184</v>
      </c>
      <c r="Q755" s="14">
        <f t="shared" si="153"/>
        <v>11.789945415733737</v>
      </c>
    </row>
    <row r="756" spans="1:17" x14ac:dyDescent="0.25">
      <c r="A756" s="5" t="s">
        <v>813</v>
      </c>
      <c r="B756" s="6">
        <f t="shared" si="154"/>
        <v>1</v>
      </c>
      <c r="C756" s="70">
        <v>17.298881529999999</v>
      </c>
      <c r="D756" s="4">
        <v>0</v>
      </c>
      <c r="E756" s="12">
        <f t="shared" si="143"/>
        <v>0</v>
      </c>
      <c r="F756" s="12">
        <f t="shared" si="144"/>
        <v>0</v>
      </c>
      <c r="G756" s="16">
        <f t="shared" si="146"/>
        <v>4.316169661261342</v>
      </c>
      <c r="H756" s="14">
        <f t="shared" si="147"/>
        <v>0</v>
      </c>
      <c r="I756" s="14">
        <f t="shared" si="148"/>
        <v>11.150617518040493</v>
      </c>
      <c r="J756" s="14">
        <f t="shared" si="149"/>
        <v>0.79851012337202643</v>
      </c>
      <c r="K756" s="14">
        <f t="shared" si="150"/>
        <v>2.2195783743781727</v>
      </c>
      <c r="L756" s="14">
        <f t="shared" si="151"/>
        <v>657.99140190946162</v>
      </c>
      <c r="M756" s="14">
        <f t="shared" si="145"/>
        <v>0.14916880127589172</v>
      </c>
      <c r="N756" s="14">
        <f t="shared" si="152"/>
        <v>3.817271060428201</v>
      </c>
      <c r="O756" s="4">
        <v>3.06</v>
      </c>
      <c r="P756" s="14">
        <f t="shared" si="155"/>
        <v>0.57345945896205197</v>
      </c>
      <c r="Q756" s="14">
        <f t="shared" si="153"/>
        <v>12.066237335273966</v>
      </c>
    </row>
    <row r="757" spans="1:17" x14ac:dyDescent="0.25">
      <c r="A757" s="5" t="s">
        <v>814</v>
      </c>
      <c r="B757" s="6">
        <f t="shared" si="154"/>
        <v>1</v>
      </c>
      <c r="C757" s="70">
        <v>18.717933649999999</v>
      </c>
      <c r="D757" s="4">
        <v>0</v>
      </c>
      <c r="E757" s="12">
        <f t="shared" si="143"/>
        <v>0</v>
      </c>
      <c r="F757" s="12">
        <f t="shared" si="144"/>
        <v>0</v>
      </c>
      <c r="G757" s="16">
        <f t="shared" si="146"/>
        <v>3.4714729599292324</v>
      </c>
      <c r="H757" s="14">
        <f t="shared" si="147"/>
        <v>0</v>
      </c>
      <c r="I757" s="14">
        <f t="shared" si="148"/>
        <v>13.977813198050784</v>
      </c>
      <c r="J757" s="14">
        <f t="shared" si="149"/>
        <v>0.84469670133210983</v>
      </c>
      <c r="K757" s="14">
        <f t="shared" si="150"/>
        <v>2.1012859902615171</v>
      </c>
      <c r="L757" s="14">
        <f t="shared" si="151"/>
        <v>657.96052549230239</v>
      </c>
      <c r="M757" s="14">
        <f t="shared" si="145"/>
        <v>0.1445437524461991</v>
      </c>
      <c r="N757" s="14">
        <f t="shared" si="152"/>
        <v>3.698914776140581</v>
      </c>
      <c r="O757" s="4">
        <v>2.79</v>
      </c>
      <c r="P757" s="14">
        <f t="shared" si="155"/>
        <v>0.82612607028668228</v>
      </c>
      <c r="Q757" s="14">
        <f t="shared" si="153"/>
        <v>14.014907792170517</v>
      </c>
    </row>
    <row r="758" spans="1:17" x14ac:dyDescent="0.25">
      <c r="A758" s="5" t="s">
        <v>815</v>
      </c>
      <c r="B758" s="6">
        <f t="shared" si="154"/>
        <v>1</v>
      </c>
      <c r="C758" s="70">
        <v>18.620492939999998</v>
      </c>
      <c r="D758" s="4">
        <v>2.8</v>
      </c>
      <c r="E758" s="12">
        <f t="shared" si="143"/>
        <v>0</v>
      </c>
      <c r="F758" s="12">
        <f t="shared" si="144"/>
        <v>2.8</v>
      </c>
      <c r="G758" s="16">
        <f t="shared" si="146"/>
        <v>5.3827464806716705</v>
      </c>
      <c r="H758" s="14">
        <f t="shared" si="147"/>
        <v>0.21877700115295051</v>
      </c>
      <c r="I758" s="14">
        <f t="shared" si="148"/>
        <v>13.783680825823938</v>
      </c>
      <c r="J758" s="14">
        <f t="shared" si="149"/>
        <v>0.66994947810461081</v>
      </c>
      <c r="K758" s="14">
        <f t="shared" si="150"/>
        <v>2.2122138663289381</v>
      </c>
      <c r="L758" s="14">
        <f t="shared" si="151"/>
        <v>657.92383086494181</v>
      </c>
      <c r="M758" s="14">
        <f t="shared" si="145"/>
        <v>0.14886687548150179</v>
      </c>
      <c r="N758" s="14">
        <f t="shared" si="152"/>
        <v>3.8095446954814864</v>
      </c>
      <c r="O758" s="4">
        <v>2.48</v>
      </c>
      <c r="P758" s="14">
        <f t="shared" si="155"/>
        <v>1.7676890972829586</v>
      </c>
      <c r="Q758" s="14">
        <f t="shared" si="153"/>
        <v>16.4320701686073</v>
      </c>
    </row>
    <row r="759" spans="1:17" x14ac:dyDescent="0.25">
      <c r="A759" s="5" t="s">
        <v>816</v>
      </c>
      <c r="B759" s="6">
        <f t="shared" si="154"/>
        <v>1</v>
      </c>
      <c r="C759" s="70">
        <v>18.660280230000001</v>
      </c>
      <c r="D759" s="4">
        <v>1.7</v>
      </c>
      <c r="E759" s="12">
        <f t="shared" si="143"/>
        <v>0</v>
      </c>
      <c r="F759" s="12">
        <f t="shared" si="144"/>
        <v>1.7</v>
      </c>
      <c r="G759" s="16">
        <f t="shared" si="146"/>
        <v>5.8701555848230189</v>
      </c>
      <c r="H759" s="14">
        <f t="shared" si="147"/>
        <v>0.16781624515497467</v>
      </c>
      <c r="I759" s="14">
        <f t="shared" si="148"/>
        <v>13.862949552336483</v>
      </c>
      <c r="J759" s="14">
        <f t="shared" si="149"/>
        <v>1.0447746506936775</v>
      </c>
      <c r="K759" s="14">
        <f t="shared" si="150"/>
        <v>2.2623878914988644</v>
      </c>
      <c r="L759" s="14">
        <f t="shared" si="151"/>
        <v>657.89260620944538</v>
      </c>
      <c r="M759" s="14">
        <f t="shared" si="145"/>
        <v>0.15081916052776126</v>
      </c>
      <c r="N759" s="14">
        <f t="shared" si="152"/>
        <v>3.8595042121166685</v>
      </c>
      <c r="O759" s="4">
        <v>2.59</v>
      </c>
      <c r="P759" s="14">
        <f t="shared" si="155"/>
        <v>1.6116409445819635</v>
      </c>
      <c r="Q759" s="14">
        <f t="shared" si="153"/>
        <v>15.552367389871664</v>
      </c>
    </row>
    <row r="760" spans="1:17" x14ac:dyDescent="0.25">
      <c r="A760" s="5" t="s">
        <v>817</v>
      </c>
      <c r="B760" s="6">
        <f t="shared" si="154"/>
        <v>1</v>
      </c>
      <c r="C760" s="70">
        <v>17.131977079999999</v>
      </c>
      <c r="D760" s="4">
        <v>1.1000000000000001</v>
      </c>
      <c r="E760" s="12">
        <f t="shared" si="143"/>
        <v>0</v>
      </c>
      <c r="F760" s="12">
        <f t="shared" si="144"/>
        <v>1.1000000000000001</v>
      </c>
      <c r="G760" s="16">
        <f t="shared" si="146"/>
        <v>5.9673074352693103</v>
      </c>
      <c r="H760" s="14">
        <f t="shared" si="147"/>
        <v>0.11372211554602531</v>
      </c>
      <c r="I760" s="14">
        <f t="shared" si="148"/>
        <v>10.818091648578774</v>
      </c>
      <c r="J760" s="14">
        <f t="shared" si="149"/>
        <v>0.88912603400768342</v>
      </c>
      <c r="K760" s="14">
        <f t="shared" si="150"/>
        <v>2.2540382513344719</v>
      </c>
      <c r="L760" s="14">
        <f t="shared" si="151"/>
        <v>657.86385880462797</v>
      </c>
      <c r="M760" s="14">
        <f t="shared" si="145"/>
        <v>0.15048704284656</v>
      </c>
      <c r="N760" s="14">
        <f t="shared" si="152"/>
        <v>3.8510052283998171</v>
      </c>
      <c r="O760" s="4">
        <v>2.5</v>
      </c>
      <c r="P760" s="14">
        <f t="shared" si="155"/>
        <v>1.8252151271636419</v>
      </c>
      <c r="Q760" s="14">
        <f t="shared" si="153"/>
        <v>16.270324208837181</v>
      </c>
    </row>
    <row r="761" spans="1:17" x14ac:dyDescent="0.25">
      <c r="A761" s="5" t="s">
        <v>818</v>
      </c>
      <c r="B761" s="6">
        <f t="shared" si="154"/>
        <v>1</v>
      </c>
      <c r="C761" s="70">
        <v>16.506233219999999</v>
      </c>
      <c r="D761" s="4">
        <v>5.5</v>
      </c>
      <c r="E761" s="12">
        <f t="shared" si="143"/>
        <v>0</v>
      </c>
      <c r="F761" s="12">
        <f t="shared" si="144"/>
        <v>5.5</v>
      </c>
      <c r="G761" s="16">
        <f t="shared" si="146"/>
        <v>10.094017264391461</v>
      </c>
      <c r="H761" s="14">
        <f t="shared" si="147"/>
        <v>0.57360769296004754</v>
      </c>
      <c r="I761" s="14">
        <f t="shared" si="148"/>
        <v>9.5714141567154272</v>
      </c>
      <c r="J761" s="14">
        <f t="shared" si="149"/>
        <v>0.79968247791780156</v>
      </c>
      <c r="K761" s="14">
        <f t="shared" si="150"/>
        <v>2.7063113235713168</v>
      </c>
      <c r="L761" s="14">
        <f t="shared" si="151"/>
        <v>657.83470638250469</v>
      </c>
      <c r="M761" s="14">
        <f t="shared" si="145"/>
        <v>0.16813886047218468</v>
      </c>
      <c r="N761" s="14">
        <f t="shared" si="152"/>
        <v>4.3027201447222261</v>
      </c>
      <c r="O761" s="4">
        <v>2.5</v>
      </c>
      <c r="P761" s="14">
        <f t="shared" si="155"/>
        <v>3.2497999201873236</v>
      </c>
      <c r="Q761" s="14">
        <f t="shared" si="153"/>
        <v>16.270324208837181</v>
      </c>
    </row>
    <row r="762" spans="1:17" x14ac:dyDescent="0.25">
      <c r="A762" s="5" t="s">
        <v>819</v>
      </c>
      <c r="B762" s="6">
        <f t="shared" si="154"/>
        <v>1</v>
      </c>
      <c r="C762" s="70">
        <v>17.968765260000001</v>
      </c>
      <c r="D762" s="4">
        <v>5.0999999999999996</v>
      </c>
      <c r="E762" s="12">
        <f t="shared" si="143"/>
        <v>0</v>
      </c>
      <c r="F762" s="12">
        <f t="shared" si="144"/>
        <v>5.0999999999999996</v>
      </c>
      <c r="G762" s="16">
        <f t="shared" si="146"/>
        <v>12.725608501647052</v>
      </c>
      <c r="H762" s="14">
        <f t="shared" si="147"/>
        <v>0.70389992525589773</v>
      </c>
      <c r="I762" s="14">
        <f t="shared" si="148"/>
        <v>12.485235437194293</v>
      </c>
      <c r="J762" s="14">
        <f t="shared" si="149"/>
        <v>1.7645088374885094</v>
      </c>
      <c r="K762" s="14">
        <f t="shared" si="150"/>
        <v>3.248948403802479</v>
      </c>
      <c r="L762" s="14">
        <f t="shared" si="151"/>
        <v>657.82783036705723</v>
      </c>
      <c r="M762" s="14">
        <f t="shared" si="145"/>
        <v>0.18932349160937717</v>
      </c>
      <c r="N762" s="14">
        <f t="shared" si="152"/>
        <v>4.8448407401427422</v>
      </c>
      <c r="O762" s="4">
        <v>2.93</v>
      </c>
      <c r="P762" s="14">
        <f t="shared" si="155"/>
        <v>3.6666150601104044</v>
      </c>
      <c r="Q762" s="14">
        <f t="shared" si="153"/>
        <v>12.986286073779711</v>
      </c>
    </row>
    <row r="763" spans="1:17" x14ac:dyDescent="0.25">
      <c r="A763" s="5" t="s">
        <v>820</v>
      </c>
      <c r="B763" s="6">
        <f t="shared" si="154"/>
        <v>1</v>
      </c>
      <c r="C763" s="70">
        <v>18.125156400000002</v>
      </c>
      <c r="D763" s="4">
        <v>1.1000000000000001</v>
      </c>
      <c r="E763" s="12">
        <f t="shared" si="143"/>
        <v>0</v>
      </c>
      <c r="F763" s="12">
        <f t="shared" si="144"/>
        <v>1.1000000000000001</v>
      </c>
      <c r="G763" s="16">
        <f t="shared" si="146"/>
        <v>11.373785412342691</v>
      </c>
      <c r="H763" s="14">
        <f t="shared" si="147"/>
        <v>0.17177752950549552</v>
      </c>
      <c r="I763" s="14">
        <f t="shared" si="148"/>
        <v>12.79681550473958</v>
      </c>
      <c r="J763" s="14">
        <f t="shared" si="149"/>
        <v>2.2800455597988645</v>
      </c>
      <c r="K763" s="14">
        <f t="shared" si="150"/>
        <v>3.211557218171095</v>
      </c>
      <c r="L763" s="14">
        <f t="shared" si="151"/>
        <v>657.84767559058469</v>
      </c>
      <c r="M763" s="14">
        <f t="shared" si="145"/>
        <v>0.1878678608739705</v>
      </c>
      <c r="N763" s="14">
        <f t="shared" si="152"/>
        <v>4.8075907452818143</v>
      </c>
      <c r="O763" s="4">
        <v>3.9</v>
      </c>
      <c r="P763" s="14">
        <f t="shared" si="155"/>
        <v>0.82372096092119929</v>
      </c>
      <c r="Q763" s="14">
        <f t="shared" si="153"/>
        <v>6.9361070249291483</v>
      </c>
    </row>
    <row r="764" spans="1:17" x14ac:dyDescent="0.25">
      <c r="A764" s="5" t="s">
        <v>821</v>
      </c>
      <c r="B764" s="6">
        <f t="shared" si="154"/>
        <v>1</v>
      </c>
      <c r="C764" s="70">
        <v>17.42221451</v>
      </c>
      <c r="D764" s="4">
        <v>0</v>
      </c>
      <c r="E764" s="12">
        <f t="shared" si="143"/>
        <v>0</v>
      </c>
      <c r="F764" s="12">
        <f t="shared" si="144"/>
        <v>0</v>
      </c>
      <c r="G764" s="16">
        <f t="shared" si="146"/>
        <v>9.5589664415146451</v>
      </c>
      <c r="H764" s="14">
        <f t="shared" si="147"/>
        <v>0</v>
      </c>
      <c r="I764" s="14">
        <f t="shared" si="148"/>
        <v>11.39633539079826</v>
      </c>
      <c r="J764" s="14">
        <f t="shared" si="149"/>
        <v>1.8148189708280456</v>
      </c>
      <c r="K764" s="14">
        <f t="shared" si="150"/>
        <v>3.0056895256650926</v>
      </c>
      <c r="L764" s="14">
        <f t="shared" si="151"/>
        <v>657.86567542221667</v>
      </c>
      <c r="M764" s="14">
        <f t="shared" si="145"/>
        <v>0.17983403472207471</v>
      </c>
      <c r="N764" s="14">
        <f t="shared" si="152"/>
        <v>4.6020029024364257</v>
      </c>
      <c r="O764" s="4">
        <v>3.32</v>
      </c>
      <c r="P764" s="14">
        <f t="shared" si="155"/>
        <v>1.6435314418554201</v>
      </c>
      <c r="Q764" s="14">
        <f t="shared" si="153"/>
        <v>10.327539858262476</v>
      </c>
    </row>
    <row r="765" spans="1:17" x14ac:dyDescent="0.25">
      <c r="A765" s="5" t="s">
        <v>822</v>
      </c>
      <c r="B765" s="6">
        <f t="shared" si="154"/>
        <v>1</v>
      </c>
      <c r="C765" s="70">
        <v>15.428696629999999</v>
      </c>
      <c r="D765" s="4">
        <v>0</v>
      </c>
      <c r="E765" s="12">
        <f t="shared" si="143"/>
        <v>0</v>
      </c>
      <c r="F765" s="12">
        <f t="shared" si="144"/>
        <v>0</v>
      </c>
      <c r="G765" s="16">
        <f t="shared" si="146"/>
        <v>8.5652820371154501</v>
      </c>
      <c r="H765" s="14">
        <f t="shared" si="147"/>
        <v>0</v>
      </c>
      <c r="I765" s="14">
        <f t="shared" si="148"/>
        <v>7.4246242331000616</v>
      </c>
      <c r="J765" s="14">
        <f t="shared" si="149"/>
        <v>0.99368440439919514</v>
      </c>
      <c r="K765" s="14">
        <f t="shared" si="150"/>
        <v>2.8179965419963087</v>
      </c>
      <c r="L765" s="14">
        <f t="shared" si="151"/>
        <v>657.87353437116337</v>
      </c>
      <c r="M765" s="14">
        <f t="shared" si="145"/>
        <v>0.17250764064742036</v>
      </c>
      <c r="N765" s="14">
        <f t="shared" si="152"/>
        <v>4.414518442956556</v>
      </c>
      <c r="O765" s="4">
        <v>3.17</v>
      </c>
      <c r="P765" s="14">
        <f t="shared" si="155"/>
        <v>1.5488261548590108</v>
      </c>
      <c r="Q765" s="14">
        <f t="shared" si="153"/>
        <v>11.314134556538336</v>
      </c>
    </row>
    <row r="766" spans="1:17" x14ac:dyDescent="0.25">
      <c r="A766" s="5" t="s">
        <v>823</v>
      </c>
      <c r="B766" s="6">
        <f t="shared" si="154"/>
        <v>1</v>
      </c>
      <c r="C766" s="70">
        <v>19.004240039999999</v>
      </c>
      <c r="D766" s="4">
        <v>0</v>
      </c>
      <c r="E766" s="12">
        <f t="shared" si="143"/>
        <v>0</v>
      </c>
      <c r="F766" s="12">
        <f t="shared" si="144"/>
        <v>0</v>
      </c>
      <c r="G766" s="16">
        <f t="shared" si="146"/>
        <v>6.8206062345134999</v>
      </c>
      <c r="H766" s="14">
        <f t="shared" si="147"/>
        <v>0</v>
      </c>
      <c r="I766" s="14">
        <f t="shared" si="148"/>
        <v>14.548225079023378</v>
      </c>
      <c r="J766" s="14">
        <f t="shared" si="149"/>
        <v>1.7446758026019507</v>
      </c>
      <c r="K766" s="14">
        <f t="shared" si="150"/>
        <v>2.646873741280682</v>
      </c>
      <c r="L766" s="14">
        <f t="shared" si="151"/>
        <v>657.87214953123157</v>
      </c>
      <c r="M766" s="14">
        <f t="shared" si="145"/>
        <v>0.16582622449814172</v>
      </c>
      <c r="N766" s="14">
        <f t="shared" si="152"/>
        <v>4.243539147747585</v>
      </c>
      <c r="O766" s="4">
        <v>3.26</v>
      </c>
      <c r="P766" s="14">
        <f t="shared" si="155"/>
        <v>0.96734925515204628</v>
      </c>
      <c r="Q766" s="14">
        <f t="shared" si="153"/>
        <v>10.716777737572821</v>
      </c>
    </row>
    <row r="767" spans="1:17" x14ac:dyDescent="0.25">
      <c r="A767" s="5" t="s">
        <v>824</v>
      </c>
      <c r="B767" s="6">
        <f t="shared" si="154"/>
        <v>1</v>
      </c>
      <c r="C767" s="70">
        <v>20.337507250000002</v>
      </c>
      <c r="D767" s="4">
        <v>0.7</v>
      </c>
      <c r="E767" s="12">
        <f t="shared" si="143"/>
        <v>0</v>
      </c>
      <c r="F767" s="12">
        <f t="shared" si="144"/>
        <v>0.7</v>
      </c>
      <c r="G767" s="16">
        <f t="shared" si="146"/>
        <v>5.7992455677101793</v>
      </c>
      <c r="H767" s="14">
        <f t="shared" si="147"/>
        <v>7.8395508031684019E-2</v>
      </c>
      <c r="I767" s="14">
        <f t="shared" si="148"/>
        <v>17.204510386155988</v>
      </c>
      <c r="J767" s="14">
        <f t="shared" si="149"/>
        <v>1.642965158771637</v>
      </c>
      <c r="K767" s="14">
        <f t="shared" si="150"/>
        <v>2.5692537587363571</v>
      </c>
      <c r="L767" s="14">
        <f t="shared" si="151"/>
        <v>657.86233879730946</v>
      </c>
      <c r="M767" s="14">
        <f t="shared" si="145"/>
        <v>0.16279362953058965</v>
      </c>
      <c r="N767" s="14">
        <f t="shared" si="152"/>
        <v>4.1659342001404367</v>
      </c>
      <c r="O767" s="4">
        <v>2.92</v>
      </c>
      <c r="P767" s="14">
        <f t="shared" si="155"/>
        <v>1.55235203107959</v>
      </c>
      <c r="Q767" s="14">
        <f t="shared" si="153"/>
        <v>13.058459053664771</v>
      </c>
    </row>
    <row r="768" spans="1:17" x14ac:dyDescent="0.25">
      <c r="A768" s="5" t="s">
        <v>825</v>
      </c>
      <c r="B768" s="6">
        <f t="shared" si="154"/>
        <v>1</v>
      </c>
      <c r="C768" s="70">
        <v>18.853471760000001</v>
      </c>
      <c r="D768" s="4">
        <v>0</v>
      </c>
      <c r="E768" s="12">
        <f t="shared" si="143"/>
        <v>0</v>
      </c>
      <c r="F768" s="12">
        <f t="shared" si="144"/>
        <v>0</v>
      </c>
      <c r="G768" s="16">
        <f t="shared" si="146"/>
        <v>4.6423775476014564</v>
      </c>
      <c r="H768" s="14">
        <f t="shared" si="147"/>
        <v>0</v>
      </c>
      <c r="I768" s="14">
        <f t="shared" si="148"/>
        <v>14.247847507339417</v>
      </c>
      <c r="J768" s="14">
        <f t="shared" si="149"/>
        <v>1.1568680201087231</v>
      </c>
      <c r="K768" s="14">
        <f t="shared" si="150"/>
        <v>2.4200908275178681</v>
      </c>
      <c r="L768" s="14">
        <f t="shared" si="151"/>
        <v>657.84870809899735</v>
      </c>
      <c r="M768" s="14">
        <f t="shared" si="145"/>
        <v>0.15696698048679705</v>
      </c>
      <c r="N768" s="14">
        <f t="shared" si="152"/>
        <v>4.0168286325961606</v>
      </c>
      <c r="O768" s="4">
        <v>2.95</v>
      </c>
      <c r="P768" s="14">
        <f t="shared" si="155"/>
        <v>1.1381233313269936</v>
      </c>
      <c r="Q768" s="14">
        <f t="shared" si="153"/>
        <v>12.842540114009598</v>
      </c>
    </row>
    <row r="769" spans="1:17" x14ac:dyDescent="0.25">
      <c r="A769" s="5" t="s">
        <v>826</v>
      </c>
      <c r="B769" s="6">
        <f t="shared" si="154"/>
        <v>1</v>
      </c>
      <c r="C769" s="70">
        <v>18.830287930000001</v>
      </c>
      <c r="D769" s="4">
        <v>0</v>
      </c>
      <c r="E769" s="12">
        <f t="shared" si="143"/>
        <v>0</v>
      </c>
      <c r="F769" s="12">
        <f t="shared" si="144"/>
        <v>0</v>
      </c>
      <c r="G769" s="16">
        <f t="shared" si="146"/>
        <v>3.7192906908801517</v>
      </c>
      <c r="H769" s="14">
        <f t="shared" si="147"/>
        <v>0</v>
      </c>
      <c r="I769" s="14">
        <f t="shared" si="148"/>
        <v>14.201658066445523</v>
      </c>
      <c r="J769" s="14">
        <f t="shared" si="149"/>
        <v>0.92308685672130464</v>
      </c>
      <c r="K769" s="14">
        <f t="shared" si="150"/>
        <v>2.2840965135369919</v>
      </c>
      <c r="L769" s="14">
        <f t="shared" si="151"/>
        <v>657.82773543249141</v>
      </c>
      <c r="M769" s="14">
        <f t="shared" si="145"/>
        <v>0.15165290770098785</v>
      </c>
      <c r="N769" s="14">
        <f t="shared" si="152"/>
        <v>3.8808400338759732</v>
      </c>
      <c r="O769" s="4">
        <v>2.9</v>
      </c>
      <c r="P769" s="14">
        <f t="shared" si="155"/>
        <v>0.9620471720538204</v>
      </c>
      <c r="Q769" s="14">
        <f t="shared" si="153"/>
        <v>13.203405013434885</v>
      </c>
    </row>
    <row r="770" spans="1:17" x14ac:dyDescent="0.25">
      <c r="A770" s="5" t="s">
        <v>827</v>
      </c>
      <c r="B770" s="6">
        <f t="shared" si="154"/>
        <v>1</v>
      </c>
      <c r="C770" s="70">
        <v>18.948947910000001</v>
      </c>
      <c r="D770" s="4">
        <v>2.2999999999999998</v>
      </c>
      <c r="E770" s="12">
        <f t="shared" si="143"/>
        <v>0</v>
      </c>
      <c r="F770" s="12">
        <f t="shared" si="144"/>
        <v>2.2999999999999998</v>
      </c>
      <c r="G770" s="16">
        <f t="shared" si="146"/>
        <v>5.0810009516636274</v>
      </c>
      <c r="H770" s="14">
        <f t="shared" si="147"/>
        <v>0.18643801507948862</v>
      </c>
      <c r="I770" s="14">
        <f t="shared" si="148"/>
        <v>14.438065861563087</v>
      </c>
      <c r="J770" s="14">
        <f t="shared" si="149"/>
        <v>0.75185172413703483</v>
      </c>
      <c r="K770" s="14">
        <f t="shared" si="150"/>
        <v>2.3465462609949546</v>
      </c>
      <c r="L770" s="14">
        <f t="shared" si="151"/>
        <v>657.80007079241193</v>
      </c>
      <c r="M770" s="14">
        <f t="shared" si="145"/>
        <v>0.15408523025965015</v>
      </c>
      <c r="N770" s="14">
        <f t="shared" si="152"/>
        <v>3.9430838437972975</v>
      </c>
      <c r="O770" s="4">
        <v>3.26</v>
      </c>
      <c r="P770" s="14">
        <f t="shared" si="155"/>
        <v>0.466603537656891</v>
      </c>
      <c r="Q770" s="14">
        <f t="shared" si="153"/>
        <v>10.716777737572821</v>
      </c>
    </row>
    <row r="771" spans="1:17" x14ac:dyDescent="0.25">
      <c r="A771" s="5" t="s">
        <v>828</v>
      </c>
      <c r="B771" s="6">
        <f t="shared" si="154"/>
        <v>1</v>
      </c>
      <c r="C771" s="70">
        <v>18.51589203</v>
      </c>
      <c r="D771" s="4">
        <v>3.1</v>
      </c>
      <c r="E771" s="12">
        <f t="shared" si="143"/>
        <v>0</v>
      </c>
      <c r="F771" s="12">
        <f t="shared" si="144"/>
        <v>3.1</v>
      </c>
      <c r="G771" s="16">
        <f t="shared" si="146"/>
        <v>6.9185083136310874</v>
      </c>
      <c r="H771" s="14">
        <f t="shared" si="147"/>
        <v>0.29675039267027575</v>
      </c>
      <c r="I771" s="14">
        <f t="shared" si="148"/>
        <v>13.575283095600229</v>
      </c>
      <c r="J771" s="14">
        <f t="shared" si="149"/>
        <v>0.96574224536226316</v>
      </c>
      <c r="K771" s="14">
        <f t="shared" si="150"/>
        <v>2.5137951072810685</v>
      </c>
      <c r="L771" s="14">
        <f t="shared" si="151"/>
        <v>657.77548710853648</v>
      </c>
      <c r="M771" s="14">
        <f t="shared" si="145"/>
        <v>0.16060986421229537</v>
      </c>
      <c r="N771" s="14">
        <f t="shared" si="152"/>
        <v>4.1100510390438085</v>
      </c>
      <c r="O771" s="4">
        <v>4.53</v>
      </c>
      <c r="P771" s="14">
        <f t="shared" si="155"/>
        <v>0.17635712980818505</v>
      </c>
      <c r="Q771" s="14">
        <f t="shared" si="153"/>
        <v>4.0146092921705314</v>
      </c>
    </row>
    <row r="772" spans="1:17" x14ac:dyDescent="0.25">
      <c r="A772" s="5" t="s">
        <v>829</v>
      </c>
      <c r="B772" s="6">
        <f t="shared" si="154"/>
        <v>1</v>
      </c>
      <c r="C772" s="70">
        <v>18.011640549999999</v>
      </c>
      <c r="D772" s="4">
        <v>3.2</v>
      </c>
      <c r="E772" s="12">
        <f t="shared" si="143"/>
        <v>0</v>
      </c>
      <c r="F772" s="12">
        <f t="shared" si="144"/>
        <v>3.2</v>
      </c>
      <c r="G772" s="16">
        <f t="shared" si="146"/>
        <v>8.5397150095831567</v>
      </c>
      <c r="H772" s="14">
        <f t="shared" si="147"/>
        <v>0.36111243728823794</v>
      </c>
      <c r="I772" s="14">
        <f t="shared" si="148"/>
        <v>12.570656425584191</v>
      </c>
      <c r="J772" s="14">
        <f t="shared" si="149"/>
        <v>1.2176808667596932</v>
      </c>
      <c r="K772" s="14">
        <f t="shared" si="150"/>
        <v>2.7306406940832288</v>
      </c>
      <c r="L772" s="14">
        <f t="shared" si="151"/>
        <v>657.75914409481027</v>
      </c>
      <c r="M772" s="14">
        <f t="shared" si="145"/>
        <v>0.16907265154626111</v>
      </c>
      <c r="N772" s="14">
        <f t="shared" si="152"/>
        <v>4.3266161176942521</v>
      </c>
      <c r="O772" s="4">
        <v>5.15</v>
      </c>
      <c r="P772" s="14">
        <f t="shared" si="155"/>
        <v>0.67796101764088623</v>
      </c>
      <c r="Q772" s="14">
        <f t="shared" si="153"/>
        <v>1.9144845392969745</v>
      </c>
    </row>
    <row r="773" spans="1:17" x14ac:dyDescent="0.25">
      <c r="A773" s="5" t="s">
        <v>830</v>
      </c>
      <c r="B773" s="6">
        <f t="shared" si="154"/>
        <v>1</v>
      </c>
      <c r="C773" s="70">
        <v>18.505916599999999</v>
      </c>
      <c r="D773" s="4">
        <v>3.2</v>
      </c>
      <c r="E773" s="12">
        <f t="shared" si="143"/>
        <v>0</v>
      </c>
      <c r="F773" s="12">
        <f t="shared" si="144"/>
        <v>3.2</v>
      </c>
      <c r="G773" s="16">
        <f t="shared" si="146"/>
        <v>9.714954959849063</v>
      </c>
      <c r="H773" s="14">
        <f t="shared" si="147"/>
        <v>0.4039987466087902</v>
      </c>
      <c r="I773" s="14">
        <f t="shared" si="148"/>
        <v>13.555408918884122</v>
      </c>
      <c r="J773" s="14">
        <f t="shared" si="149"/>
        <v>1.620761303125305</v>
      </c>
      <c r="K773" s="14">
        <f t="shared" si="150"/>
        <v>2.971228715055886</v>
      </c>
      <c r="L773" s="14">
        <f t="shared" si="151"/>
        <v>657.75348216890018</v>
      </c>
      <c r="M773" s="14">
        <f t="shared" si="145"/>
        <v>0.17846468643688912</v>
      </c>
      <c r="N773" s="14">
        <f t="shared" si="152"/>
        <v>4.5669608994440027</v>
      </c>
      <c r="O773" s="4">
        <v>4.4000000000000004</v>
      </c>
      <c r="P773" s="14">
        <f t="shared" si="155"/>
        <v>2.7875941943150278E-2</v>
      </c>
      <c r="Q773" s="14">
        <f t="shared" si="153"/>
        <v>4.5524580306762772</v>
      </c>
    </row>
    <row r="774" spans="1:17" x14ac:dyDescent="0.25">
      <c r="A774" s="5" t="s">
        <v>831</v>
      </c>
      <c r="B774" s="6">
        <f t="shared" si="154"/>
        <v>1</v>
      </c>
      <c r="C774" s="70">
        <v>17.334400179999999</v>
      </c>
      <c r="D774" s="4">
        <v>8.1</v>
      </c>
      <c r="E774" s="12">
        <f t="shared" si="143"/>
        <v>0</v>
      </c>
      <c r="F774" s="12">
        <f t="shared" si="144"/>
        <v>8.1</v>
      </c>
      <c r="G774" s="16">
        <f t="shared" si="146"/>
        <v>15.193239141503195</v>
      </c>
      <c r="H774" s="14">
        <f t="shared" si="147"/>
        <v>1.0953796757606802</v>
      </c>
      <c r="I774" s="14">
        <f t="shared" si="148"/>
        <v>11.221381778510219</v>
      </c>
      <c r="J774" s="14">
        <f t="shared" si="149"/>
        <v>1.5263361425851869</v>
      </c>
      <c r="K774" s="14">
        <f t="shared" si="150"/>
        <v>3.8819577261804223</v>
      </c>
      <c r="L774" s="14">
        <f t="shared" si="151"/>
        <v>657.75966814709943</v>
      </c>
      <c r="M774" s="14">
        <f t="shared" si="145"/>
        <v>0.21402345666972183</v>
      </c>
      <c r="N774" s="14">
        <f t="shared" si="152"/>
        <v>5.476919707138368</v>
      </c>
      <c r="O774" s="4">
        <v>5.03</v>
      </c>
      <c r="P774" s="14">
        <f t="shared" si="155"/>
        <v>0.19973722462864435</v>
      </c>
      <c r="Q774" s="14">
        <f t="shared" si="153"/>
        <v>2.2609602979176633</v>
      </c>
    </row>
    <row r="775" spans="1:17" x14ac:dyDescent="0.25">
      <c r="A775" s="5" t="s">
        <v>832</v>
      </c>
      <c r="B775" s="6">
        <f t="shared" si="154"/>
        <v>1</v>
      </c>
      <c r="C775" s="70">
        <v>17.9624424</v>
      </c>
      <c r="D775" s="4">
        <v>0</v>
      </c>
      <c r="E775" s="12">
        <f t="shared" si="143"/>
        <v>0</v>
      </c>
      <c r="F775" s="12">
        <f t="shared" si="144"/>
        <v>0</v>
      </c>
      <c r="G775" s="16">
        <f t="shared" si="146"/>
        <v>12.540028313852062</v>
      </c>
      <c r="H775" s="14">
        <f t="shared" si="147"/>
        <v>0</v>
      </c>
      <c r="I775" s="14">
        <f t="shared" si="148"/>
        <v>12.472638322384082</v>
      </c>
      <c r="J775" s="14">
        <f t="shared" si="149"/>
        <v>2.6532108276511321</v>
      </c>
      <c r="K775" s="14">
        <f t="shared" si="150"/>
        <v>3.6169047681814521</v>
      </c>
      <c r="L775" s="14">
        <f t="shared" si="151"/>
        <v>657.81069764842869</v>
      </c>
      <c r="M775" s="14">
        <f t="shared" si="145"/>
        <v>0.20368590552045418</v>
      </c>
      <c r="N775" s="14">
        <f t="shared" si="152"/>
        <v>5.2123789016866224</v>
      </c>
      <c r="O775" s="4">
        <v>5.71</v>
      </c>
      <c r="P775" s="14">
        <f t="shared" si="155"/>
        <v>0.24762675748661214</v>
      </c>
      <c r="Q775" s="14">
        <f t="shared" si="153"/>
        <v>0.67839766573376237</v>
      </c>
    </row>
    <row r="776" spans="1:17" x14ac:dyDescent="0.25">
      <c r="A776" s="5" t="s">
        <v>833</v>
      </c>
      <c r="B776" s="6">
        <f t="shared" si="154"/>
        <v>2</v>
      </c>
      <c r="C776" s="70">
        <v>18.765691759999999</v>
      </c>
      <c r="D776" s="4">
        <v>0.5</v>
      </c>
      <c r="E776" s="12">
        <f t="shared" si="143"/>
        <v>0</v>
      </c>
      <c r="F776" s="12">
        <f t="shared" si="144"/>
        <v>0.5</v>
      </c>
      <c r="G776" s="16">
        <f t="shared" si="146"/>
        <v>10.084379418520804</v>
      </c>
      <c r="H776" s="14">
        <f t="shared" si="147"/>
        <v>7.7471643283117897E-2</v>
      </c>
      <c r="I776" s="14">
        <f t="shared" si="148"/>
        <v>16.39290646969296</v>
      </c>
      <c r="J776" s="14">
        <f t="shared" si="149"/>
        <v>2.8781772520481392</v>
      </c>
      <c r="K776" s="14">
        <f t="shared" si="150"/>
        <v>3.4527232413557476</v>
      </c>
      <c r="L776" s="14">
        <f t="shared" si="151"/>
        <v>657.84866491301705</v>
      </c>
      <c r="M776" s="14">
        <f t="shared" si="145"/>
        <v>0.19728387950985282</v>
      </c>
      <c r="N776" s="14">
        <f t="shared" si="152"/>
        <v>5.0485492777347751</v>
      </c>
      <c r="O776" s="4">
        <v>4.72</v>
      </c>
      <c r="P776" s="14">
        <f t="shared" si="155"/>
        <v>0.10794462790004257</v>
      </c>
      <c r="Q776" s="14">
        <f t="shared" si="153"/>
        <v>3.2893226743544437</v>
      </c>
    </row>
    <row r="777" spans="1:17" x14ac:dyDescent="0.25">
      <c r="A777" s="5" t="s">
        <v>834</v>
      </c>
      <c r="B777" s="6">
        <f t="shared" si="154"/>
        <v>2</v>
      </c>
      <c r="C777" s="70">
        <v>16.927673339999998</v>
      </c>
      <c r="D777" s="4">
        <v>0</v>
      </c>
      <c r="E777" s="12">
        <f t="shared" si="143"/>
        <v>0</v>
      </c>
      <c r="F777" s="12">
        <f t="shared" si="144"/>
        <v>0</v>
      </c>
      <c r="G777" s="16">
        <f t="shared" si="146"/>
        <v>8.3034962372212</v>
      </c>
      <c r="H777" s="14">
        <f t="shared" si="147"/>
        <v>0</v>
      </c>
      <c r="I777" s="14">
        <f t="shared" si="148"/>
        <v>12.613139435287257</v>
      </c>
      <c r="J777" s="14">
        <f t="shared" si="149"/>
        <v>1.780883181299604</v>
      </c>
      <c r="K777" s="14">
        <f t="shared" si="150"/>
        <v>3.225564581824004</v>
      </c>
      <c r="L777" s="14">
        <f t="shared" si="151"/>
        <v>657.87853969303899</v>
      </c>
      <c r="M777" s="14">
        <f t="shared" si="145"/>
        <v>0.18842132309483825</v>
      </c>
      <c r="N777" s="14">
        <f t="shared" si="152"/>
        <v>4.8217539972533263</v>
      </c>
      <c r="O777" s="4">
        <v>4.28</v>
      </c>
      <c r="P777" s="14">
        <f t="shared" si="155"/>
        <v>0.29349739353995685</v>
      </c>
      <c r="Q777" s="14">
        <f t="shared" si="153"/>
        <v>5.0789337892969657</v>
      </c>
    </row>
    <row r="778" spans="1:17" x14ac:dyDescent="0.25">
      <c r="A778" s="5" t="s">
        <v>835</v>
      </c>
      <c r="B778" s="6">
        <f t="shared" si="154"/>
        <v>2</v>
      </c>
      <c r="C778" s="70">
        <v>16.494928359999999</v>
      </c>
      <c r="D778" s="4">
        <v>2.1</v>
      </c>
      <c r="E778" s="12">
        <f t="shared" si="143"/>
        <v>0</v>
      </c>
      <c r="F778" s="12">
        <f t="shared" si="144"/>
        <v>2.1</v>
      </c>
      <c r="G778" s="16">
        <f t="shared" si="146"/>
        <v>8.7793841652298283</v>
      </c>
      <c r="H778" s="14">
        <f t="shared" si="147"/>
        <v>0.261189353823299</v>
      </c>
      <c r="I778" s="14">
        <f t="shared" si="148"/>
        <v>11.723227129779161</v>
      </c>
      <c r="J778" s="14">
        <f t="shared" si="149"/>
        <v>1.3629227181680714</v>
      </c>
      <c r="K778" s="14">
        <f t="shared" si="150"/>
        <v>3.2796496248411211</v>
      </c>
      <c r="L778" s="14">
        <f t="shared" si="151"/>
        <v>657.89722268075036</v>
      </c>
      <c r="M778" s="14">
        <f t="shared" si="145"/>
        <v>0.19053693707232147</v>
      </c>
      <c r="N778" s="14">
        <f t="shared" si="152"/>
        <v>4.8758931466076714</v>
      </c>
      <c r="O778" s="4">
        <v>4.38</v>
      </c>
      <c r="P778" s="14">
        <f t="shared" si="155"/>
        <v>0.24591001285245756</v>
      </c>
      <c r="Q778" s="14">
        <f t="shared" si="153"/>
        <v>4.6382039904463941</v>
      </c>
    </row>
    <row r="779" spans="1:17" x14ac:dyDescent="0.25">
      <c r="A779" s="5" t="s">
        <v>836</v>
      </c>
      <c r="B779" s="6">
        <f t="shared" si="154"/>
        <v>2</v>
      </c>
      <c r="C779" s="70">
        <v>15.031239510000001</v>
      </c>
      <c r="D779" s="4">
        <v>0.9</v>
      </c>
      <c r="E779" s="12">
        <f t="shared" si="143"/>
        <v>0</v>
      </c>
      <c r="F779" s="12">
        <f t="shared" si="144"/>
        <v>0.9</v>
      </c>
      <c r="G779" s="16">
        <f t="shared" si="146"/>
        <v>8.4930273467150847</v>
      </c>
      <c r="H779" s="14">
        <f t="shared" si="147"/>
        <v>0.11531351555994721</v>
      </c>
      <c r="I779" s="14">
        <f t="shared" si="148"/>
        <v>8.7132448555769351</v>
      </c>
      <c r="J779" s="14">
        <f t="shared" si="149"/>
        <v>1.0710433029547977</v>
      </c>
      <c r="K779" s="14">
        <f t="shared" si="150"/>
        <v>3.1830840157456675</v>
      </c>
      <c r="L779" s="14">
        <f t="shared" si="151"/>
        <v>657.91856486833342</v>
      </c>
      <c r="M779" s="14">
        <f t="shared" si="145"/>
        <v>0.18677128733277157</v>
      </c>
      <c r="N779" s="14">
        <f t="shared" si="152"/>
        <v>4.7795291237587723</v>
      </c>
      <c r="O779" s="4">
        <v>4.9000000000000004</v>
      </c>
      <c r="P779" s="14">
        <f t="shared" si="155"/>
        <v>1.4513232022329297E-2</v>
      </c>
      <c r="Q779" s="14">
        <f t="shared" si="153"/>
        <v>2.6688090364234087</v>
      </c>
    </row>
    <row r="780" spans="1:17" x14ac:dyDescent="0.25">
      <c r="A780" s="5" t="s">
        <v>837</v>
      </c>
      <c r="B780" s="6">
        <f t="shared" si="154"/>
        <v>2</v>
      </c>
      <c r="C780" s="70">
        <v>17.989397050000001</v>
      </c>
      <c r="D780" s="4">
        <v>0</v>
      </c>
      <c r="E780" s="12">
        <f t="shared" si="143"/>
        <v>0</v>
      </c>
      <c r="F780" s="12">
        <f t="shared" si="144"/>
        <v>0</v>
      </c>
      <c r="G780" s="16">
        <f t="shared" si="146"/>
        <v>6.7335456216508627</v>
      </c>
      <c r="H780" s="14">
        <f t="shared" si="147"/>
        <v>0</v>
      </c>
      <c r="I780" s="14">
        <f t="shared" si="148"/>
        <v>14.796506171462255</v>
      </c>
      <c r="J780" s="14">
        <f t="shared" si="149"/>
        <v>1.7594817250642221</v>
      </c>
      <c r="K780" s="14">
        <f t="shared" si="150"/>
        <v>2.9797300356024259</v>
      </c>
      <c r="L780" s="14">
        <f t="shared" si="151"/>
        <v>657.93514756114394</v>
      </c>
      <c r="M780" s="14">
        <f t="shared" si="145"/>
        <v>0.17883530177682985</v>
      </c>
      <c r="N780" s="14">
        <f t="shared" si="152"/>
        <v>4.5764450489417916</v>
      </c>
      <c r="O780" s="4">
        <v>5.6</v>
      </c>
      <c r="P780" s="14">
        <f t="shared" si="155"/>
        <v>1.0476647378357706</v>
      </c>
      <c r="Q780" s="14">
        <f t="shared" si="153"/>
        <v>0.8717004444693941</v>
      </c>
    </row>
    <row r="781" spans="1:17" x14ac:dyDescent="0.25">
      <c r="A781" s="5" t="s">
        <v>838</v>
      </c>
      <c r="B781" s="6">
        <f t="shared" si="154"/>
        <v>2</v>
      </c>
      <c r="C781" s="70">
        <v>19.023408889999999</v>
      </c>
      <c r="D781" s="4">
        <v>0</v>
      </c>
      <c r="E781" s="12">
        <f t="shared" si="143"/>
        <v>0</v>
      </c>
      <c r="F781" s="12">
        <f t="shared" si="144"/>
        <v>0</v>
      </c>
      <c r="G781" s="16">
        <f t="shared" si="146"/>
        <v>5.138102690402361</v>
      </c>
      <c r="H781" s="14">
        <f t="shared" si="147"/>
        <v>0</v>
      </c>
      <c r="I781" s="14">
        <f t="shared" si="148"/>
        <v>16.922885223755525</v>
      </c>
      <c r="J781" s="14">
        <f t="shared" si="149"/>
        <v>1.5954429312485012</v>
      </c>
      <c r="K781" s="14">
        <f t="shared" si="150"/>
        <v>2.7943288451125925</v>
      </c>
      <c r="L781" s="14">
        <f t="shared" si="151"/>
        <v>657.94171344985705</v>
      </c>
      <c r="M781" s="14">
        <f t="shared" si="145"/>
        <v>0.17159811037369083</v>
      </c>
      <c r="N781" s="14">
        <f t="shared" si="152"/>
        <v>4.3912433106045192</v>
      </c>
      <c r="O781" s="4">
        <v>5.2</v>
      </c>
      <c r="P781" s="14">
        <f t="shared" si="155"/>
        <v>0.65408738264193844</v>
      </c>
      <c r="Q781" s="14">
        <f t="shared" si="153"/>
        <v>1.778619639871688</v>
      </c>
    </row>
    <row r="782" spans="1:17" x14ac:dyDescent="0.25">
      <c r="A782" s="5" t="s">
        <v>839</v>
      </c>
      <c r="B782" s="6">
        <f t="shared" si="154"/>
        <v>2</v>
      </c>
      <c r="C782" s="70">
        <v>19.01064491</v>
      </c>
      <c r="D782" s="4">
        <v>0.9</v>
      </c>
      <c r="E782" s="12">
        <f t="shared" si="143"/>
        <v>0</v>
      </c>
      <c r="F782" s="12">
        <f t="shared" si="144"/>
        <v>0.9</v>
      </c>
      <c r="G782" s="16">
        <f t="shared" si="146"/>
        <v>4.7359033884935355</v>
      </c>
      <c r="H782" s="14">
        <f t="shared" si="147"/>
        <v>8.6668103885174042E-2</v>
      </c>
      <c r="I782" s="14">
        <f t="shared" si="148"/>
        <v>16.89663691726042</v>
      </c>
      <c r="J782" s="14">
        <f t="shared" si="149"/>
        <v>1.2155311980236518</v>
      </c>
      <c r="K782" s="14">
        <f t="shared" si="150"/>
        <v>2.7119636140670469</v>
      </c>
      <c r="L782" s="14">
        <f t="shared" si="151"/>
        <v>657.93914867441413</v>
      </c>
      <c r="M782" s="14">
        <f t="shared" si="145"/>
        <v>0.16838179098319672</v>
      </c>
      <c r="N782" s="14">
        <f t="shared" si="152"/>
        <v>4.308936803979722</v>
      </c>
      <c r="O782" s="4">
        <v>8.0299999999999994</v>
      </c>
      <c r="P782" s="14">
        <f t="shared" si="155"/>
        <v>13.846311308776642</v>
      </c>
      <c r="Q782" s="14">
        <f t="shared" si="153"/>
        <v>2.2390663324004492</v>
      </c>
    </row>
    <row r="783" spans="1:17" x14ac:dyDescent="0.25">
      <c r="A783" s="5" t="s">
        <v>840</v>
      </c>
      <c r="B783" s="6">
        <f t="shared" si="154"/>
        <v>2</v>
      </c>
      <c r="C783" s="70">
        <v>19.346134190000001</v>
      </c>
      <c r="D783" s="4">
        <v>0</v>
      </c>
      <c r="E783" s="12">
        <f t="shared" si="143"/>
        <v>0</v>
      </c>
      <c r="F783" s="12">
        <f t="shared" si="144"/>
        <v>0</v>
      </c>
      <c r="G783" s="16">
        <f t="shared" si="146"/>
        <v>3.5697745872931761</v>
      </c>
      <c r="H783" s="14">
        <f t="shared" si="147"/>
        <v>0</v>
      </c>
      <c r="I783" s="14">
        <f t="shared" si="148"/>
        <v>17.586549111361556</v>
      </c>
      <c r="J783" s="14">
        <f t="shared" si="149"/>
        <v>1.1661288012003594</v>
      </c>
      <c r="K783" s="14">
        <f t="shared" si="150"/>
        <v>2.5502017653726599</v>
      </c>
      <c r="L783" s="14">
        <f t="shared" si="151"/>
        <v>657.93252873212532</v>
      </c>
      <c r="M783" s="14">
        <f t="shared" si="145"/>
        <v>0.16206473782437764</v>
      </c>
      <c r="N783" s="14">
        <f t="shared" si="152"/>
        <v>4.147281658908553</v>
      </c>
      <c r="O783" s="4">
        <v>9.2899999999999991</v>
      </c>
      <c r="P783" s="14">
        <f t="shared" si="155"/>
        <v>26.447551935798355</v>
      </c>
      <c r="Q783" s="14">
        <f t="shared" si="153"/>
        <v>7.5974708668832172</v>
      </c>
    </row>
    <row r="784" spans="1:17" x14ac:dyDescent="0.25">
      <c r="A784" s="5" t="s">
        <v>841</v>
      </c>
      <c r="B784" s="6">
        <f t="shared" si="154"/>
        <v>2</v>
      </c>
      <c r="C784" s="70">
        <v>15.286043169999999</v>
      </c>
      <c r="D784" s="4">
        <v>1.5</v>
      </c>
      <c r="E784" s="12">
        <f t="shared" si="143"/>
        <v>0</v>
      </c>
      <c r="F784" s="12">
        <f t="shared" si="144"/>
        <v>1.5</v>
      </c>
      <c r="G784" s="16">
        <f t="shared" si="146"/>
        <v>4.489130111177003</v>
      </c>
      <c r="H784" s="14">
        <f t="shared" si="147"/>
        <v>0.11895952919724578</v>
      </c>
      <c r="I784" s="14">
        <f t="shared" si="148"/>
        <v>9.2372322453844387</v>
      </c>
      <c r="J784" s="14">
        <f t="shared" si="149"/>
        <v>0.46168494691892858</v>
      </c>
      <c r="K784" s="14">
        <f t="shared" si="150"/>
        <v>2.5216803389345634</v>
      </c>
      <c r="L784" s="14">
        <f t="shared" si="151"/>
        <v>657.91794494993633</v>
      </c>
      <c r="M784" s="14">
        <f t="shared" si="145"/>
        <v>0.160948073430594</v>
      </c>
      <c r="N784" s="14">
        <f t="shared" si="152"/>
        <v>4.1187059068870759</v>
      </c>
      <c r="O784" s="4">
        <v>8.48</v>
      </c>
      <c r="P784" s="14">
        <f t="shared" si="155"/>
        <v>19.020886166621686</v>
      </c>
      <c r="Q784" s="14">
        <f t="shared" si="153"/>
        <v>3.7882822375728709</v>
      </c>
    </row>
    <row r="785" spans="1:17" x14ac:dyDescent="0.25">
      <c r="A785" s="5" t="s">
        <v>842</v>
      </c>
      <c r="B785" s="6">
        <f t="shared" si="154"/>
        <v>2</v>
      </c>
      <c r="C785" s="70">
        <v>16.782068249999998</v>
      </c>
      <c r="D785" s="4">
        <v>3.2</v>
      </c>
      <c r="E785" s="12">
        <f t="shared" si="143"/>
        <v>0</v>
      </c>
      <c r="F785" s="12">
        <f t="shared" si="144"/>
        <v>3.2</v>
      </c>
      <c r="G785" s="16">
        <f t="shared" si="146"/>
        <v>6.6284245858862958</v>
      </c>
      <c r="H785" s="14">
        <f t="shared" si="147"/>
        <v>0.28675314592031337</v>
      </c>
      <c r="I785" s="14">
        <f t="shared" si="148"/>
        <v>12.313711903313083</v>
      </c>
      <c r="J785" s="14">
        <f t="shared" si="149"/>
        <v>0.77395237937039396</v>
      </c>
      <c r="K785" s="14">
        <f t="shared" si="150"/>
        <v>2.6634704989642017</v>
      </c>
      <c r="L785" s="14">
        <f t="shared" si="151"/>
        <v>657.90195986239644</v>
      </c>
      <c r="M785" s="14">
        <f t="shared" si="145"/>
        <v>0.16648055954967195</v>
      </c>
      <c r="N785" s="14">
        <f t="shared" si="152"/>
        <v>4.2602837634759805</v>
      </c>
      <c r="O785" s="4">
        <v>8.11</v>
      </c>
      <c r="P785" s="14">
        <f t="shared" si="155"/>
        <v>14.820315101756655</v>
      </c>
      <c r="Q785" s="14">
        <f t="shared" si="153"/>
        <v>2.48488249331999</v>
      </c>
    </row>
    <row r="786" spans="1:17" x14ac:dyDescent="0.25">
      <c r="A786" s="5" t="s">
        <v>843</v>
      </c>
      <c r="B786" s="6">
        <f t="shared" si="154"/>
        <v>2</v>
      </c>
      <c r="C786" s="70">
        <v>17.637355800000002</v>
      </c>
      <c r="D786" s="4">
        <v>14</v>
      </c>
      <c r="E786" s="12">
        <f t="shared" si="143"/>
        <v>0</v>
      </c>
      <c r="F786" s="12">
        <f t="shared" si="144"/>
        <v>14</v>
      </c>
      <c r="G786" s="16">
        <f t="shared" si="146"/>
        <v>17.778211403211682</v>
      </c>
      <c r="H786" s="14">
        <f t="shared" si="147"/>
        <v>1.544203608650192</v>
      </c>
      <c r="I786" s="14">
        <f t="shared" si="148"/>
        <v>14.072555912301649</v>
      </c>
      <c r="J786" s="14">
        <f t="shared" si="149"/>
        <v>1.3060095740244222</v>
      </c>
      <c r="K786" s="14">
        <f t="shared" si="150"/>
        <v>4.0501933981161349</v>
      </c>
      <c r="L786" s="14">
        <f t="shared" si="151"/>
        <v>657.89296001234493</v>
      </c>
      <c r="M786" s="14">
        <f t="shared" si="145"/>
        <v>0.22062025082245768</v>
      </c>
      <c r="N786" s="14">
        <f t="shared" si="152"/>
        <v>5.6457335019496986</v>
      </c>
      <c r="O786" s="4">
        <v>11.76</v>
      </c>
      <c r="P786" s="14">
        <f t="shared" si="155"/>
        <v>37.384254809180291</v>
      </c>
      <c r="Q786" s="14">
        <f t="shared" si="153"/>
        <v>27.314744835274048</v>
      </c>
    </row>
    <row r="787" spans="1:17" x14ac:dyDescent="0.25">
      <c r="A787" s="5" t="s">
        <v>844</v>
      </c>
      <c r="B787" s="6">
        <f t="shared" si="154"/>
        <v>2</v>
      </c>
      <c r="C787" s="70">
        <v>18.153896329999998</v>
      </c>
      <c r="D787" s="4">
        <v>0</v>
      </c>
      <c r="E787" s="12">
        <f t="shared" si="143"/>
        <v>0</v>
      </c>
      <c r="F787" s="12">
        <f t="shared" si="144"/>
        <v>0</v>
      </c>
      <c r="G787" s="16">
        <f t="shared" si="146"/>
        <v>14.010935066211339</v>
      </c>
      <c r="H787" s="14">
        <f t="shared" si="147"/>
        <v>0</v>
      </c>
      <c r="I787" s="14">
        <f t="shared" si="148"/>
        <v>15.134788393752206</v>
      </c>
      <c r="J787" s="14">
        <f t="shared" si="149"/>
        <v>3.7672763370003435</v>
      </c>
      <c r="K787" s="14">
        <f t="shared" si="150"/>
        <v>3.7702880156485894</v>
      </c>
      <c r="L787" s="14">
        <f t="shared" si="151"/>
        <v>657.95224514399001</v>
      </c>
      <c r="M787" s="14">
        <f t="shared" si="145"/>
        <v>0.20970457742342435</v>
      </c>
      <c r="N787" s="14">
        <f t="shared" si="152"/>
        <v>5.3663983875369352</v>
      </c>
      <c r="O787" s="4">
        <v>24.53</v>
      </c>
      <c r="P787" s="14">
        <f t="shared" si="155"/>
        <v>367.24362676119699</v>
      </c>
      <c r="Q787" s="14">
        <f t="shared" si="153"/>
        <v>323.86864952205588</v>
      </c>
    </row>
    <row r="788" spans="1:17" x14ac:dyDescent="0.25">
      <c r="A788" s="5" t="s">
        <v>845</v>
      </c>
      <c r="B788" s="6">
        <f t="shared" si="154"/>
        <v>2</v>
      </c>
      <c r="C788" s="70">
        <v>19.03369331</v>
      </c>
      <c r="D788" s="4">
        <v>0</v>
      </c>
      <c r="E788" s="12">
        <f t="shared" si="143"/>
        <v>0</v>
      </c>
      <c r="F788" s="12">
        <f t="shared" si="144"/>
        <v>0</v>
      </c>
      <c r="G788" s="16">
        <f t="shared" si="146"/>
        <v>10.687042294980815</v>
      </c>
      <c r="H788" s="14">
        <f t="shared" si="147"/>
        <v>0</v>
      </c>
      <c r="I788" s="14">
        <f t="shared" si="148"/>
        <v>16.944034474090014</v>
      </c>
      <c r="J788" s="14">
        <f t="shared" si="149"/>
        <v>3.3238927712305237</v>
      </c>
      <c r="K788" s="14">
        <f t="shared" si="150"/>
        <v>3.5150936442502982</v>
      </c>
      <c r="L788" s="14">
        <f t="shared" si="151"/>
        <v>657.99773493796488</v>
      </c>
      <c r="M788" s="14">
        <f t="shared" si="145"/>
        <v>0.19975075344580576</v>
      </c>
      <c r="N788" s="14">
        <f t="shared" si="152"/>
        <v>5.1116772669985702</v>
      </c>
      <c r="O788" s="4">
        <v>19.87</v>
      </c>
      <c r="P788" s="14">
        <f t="shared" si="155"/>
        <v>217.80808989142685</v>
      </c>
      <c r="Q788" s="14">
        <f t="shared" si="153"/>
        <v>177.85825814849258</v>
      </c>
    </row>
    <row r="789" spans="1:17" x14ac:dyDescent="0.25">
      <c r="A789" s="5" t="s">
        <v>846</v>
      </c>
      <c r="B789" s="6">
        <f t="shared" si="154"/>
        <v>2</v>
      </c>
      <c r="C789" s="70">
        <v>19.269815439999999</v>
      </c>
      <c r="D789" s="4">
        <v>0</v>
      </c>
      <c r="E789" s="12">
        <f t="shared" si="143"/>
        <v>0</v>
      </c>
      <c r="F789" s="12">
        <f t="shared" si="144"/>
        <v>0</v>
      </c>
      <c r="G789" s="16">
        <f t="shared" si="146"/>
        <v>8.0790391014904088</v>
      </c>
      <c r="H789" s="14">
        <f t="shared" si="147"/>
        <v>0</v>
      </c>
      <c r="I789" s="14">
        <f t="shared" si="148"/>
        <v>17.429604495236841</v>
      </c>
      <c r="J789" s="14">
        <f t="shared" si="149"/>
        <v>2.6080031934904055</v>
      </c>
      <c r="K789" s="14">
        <f t="shared" si="150"/>
        <v>3.2824287107672134</v>
      </c>
      <c r="L789" s="14">
        <f t="shared" si="151"/>
        <v>658.03064911800209</v>
      </c>
      <c r="M789" s="14">
        <f t="shared" si="145"/>
        <v>0.19067386389889804</v>
      </c>
      <c r="N789" s="14">
        <f t="shared" si="152"/>
        <v>4.8793971421349944</v>
      </c>
      <c r="O789" s="4">
        <v>12.69</v>
      </c>
      <c r="P789" s="14">
        <f t="shared" si="155"/>
        <v>61.005517003288986</v>
      </c>
      <c r="Q789" s="14">
        <f t="shared" si="153"/>
        <v>37.90065770596371</v>
      </c>
    </row>
    <row r="790" spans="1:17" x14ac:dyDescent="0.25">
      <c r="A790" s="5" t="s">
        <v>847</v>
      </c>
      <c r="B790" s="6">
        <f t="shared" si="154"/>
        <v>2</v>
      </c>
      <c r="C790" s="70">
        <v>19.927446369999998</v>
      </c>
      <c r="D790" s="4">
        <v>0</v>
      </c>
      <c r="E790" s="12">
        <f t="shared" si="143"/>
        <v>0</v>
      </c>
      <c r="F790" s="12">
        <f t="shared" si="144"/>
        <v>0</v>
      </c>
      <c r="G790" s="16">
        <f t="shared" si="146"/>
        <v>5.9545028306128271</v>
      </c>
      <c r="H790" s="14">
        <f t="shared" si="147"/>
        <v>0</v>
      </c>
      <c r="I790" s="14">
        <f t="shared" si="148"/>
        <v>18.781980338140286</v>
      </c>
      <c r="J790" s="14">
        <f t="shared" si="149"/>
        <v>2.1245362708775817</v>
      </c>
      <c r="K790" s="14">
        <f t="shared" si="150"/>
        <v>3.0703042388359698</v>
      </c>
      <c r="L790" s="14">
        <f t="shared" si="151"/>
        <v>658.05209972603438</v>
      </c>
      <c r="M790" s="14">
        <f t="shared" si="145"/>
        <v>0.182396490379714</v>
      </c>
      <c r="N790" s="14">
        <f t="shared" si="152"/>
        <v>4.6675768545086527</v>
      </c>
      <c r="O790" s="4">
        <v>9.33</v>
      </c>
      <c r="P790" s="14">
        <f t="shared" si="155"/>
        <v>21.73818958761343</v>
      </c>
      <c r="Q790" s="14">
        <f t="shared" si="153"/>
        <v>7.8195789473429924</v>
      </c>
    </row>
    <row r="791" spans="1:17" x14ac:dyDescent="0.25">
      <c r="A791" s="5" t="s">
        <v>848</v>
      </c>
      <c r="B791" s="6">
        <f t="shared" si="154"/>
        <v>2</v>
      </c>
      <c r="C791" s="70">
        <v>19.420616150000001</v>
      </c>
      <c r="D791" s="4">
        <v>7.9</v>
      </c>
      <c r="E791" s="12">
        <f t="shared" si="143"/>
        <v>0</v>
      </c>
      <c r="F791" s="12">
        <f t="shared" si="144"/>
        <v>7.9</v>
      </c>
      <c r="G791" s="16">
        <f t="shared" si="146"/>
        <v>11.552580526937941</v>
      </c>
      <c r="H791" s="14">
        <f t="shared" si="147"/>
        <v>0.82296635323811695</v>
      </c>
      <c r="I791" s="14">
        <f t="shared" si="148"/>
        <v>17.739716486618832</v>
      </c>
      <c r="J791" s="14">
        <f t="shared" si="149"/>
        <v>1.4789559504367686</v>
      </c>
      <c r="K791" s="14">
        <f t="shared" si="150"/>
        <v>3.6998731990140774</v>
      </c>
      <c r="L791" s="14">
        <f t="shared" si="151"/>
        <v>658.06310062871466</v>
      </c>
      <c r="M791" s="14">
        <f t="shared" si="145"/>
        <v>0.20697899777311637</v>
      </c>
      <c r="N791" s="14">
        <f t="shared" si="152"/>
        <v>5.2966500471800959</v>
      </c>
      <c r="O791" s="4">
        <v>8.7100000000000009</v>
      </c>
      <c r="P791" s="14">
        <f t="shared" si="155"/>
        <v>11.650957900415648</v>
      </c>
      <c r="Q791" s="14">
        <f t="shared" si="153"/>
        <v>4.7365037002165531</v>
      </c>
    </row>
    <row r="792" spans="1:17" x14ac:dyDescent="0.25">
      <c r="A792" s="5" t="s">
        <v>849</v>
      </c>
      <c r="B792" s="6">
        <f t="shared" si="154"/>
        <v>2</v>
      </c>
      <c r="C792" s="70">
        <v>19.432880399999998</v>
      </c>
      <c r="D792" s="4">
        <v>10.6</v>
      </c>
      <c r="E792" s="12">
        <f t="shared" si="143"/>
        <v>0</v>
      </c>
      <c r="F792" s="12">
        <f t="shared" si="144"/>
        <v>10.6</v>
      </c>
      <c r="G792" s="16">
        <f t="shared" si="146"/>
        <v>17.706975578664043</v>
      </c>
      <c r="H792" s="14">
        <f t="shared" si="147"/>
        <v>1.5721410996085206</v>
      </c>
      <c r="I792" s="14">
        <f t="shared" si="148"/>
        <v>17.764937130409606</v>
      </c>
      <c r="J792" s="14">
        <f t="shared" si="149"/>
        <v>2.873463848665379</v>
      </c>
      <c r="K792" s="14">
        <f t="shared" si="150"/>
        <v>5.0230363897230106</v>
      </c>
      <c r="L792" s="14">
        <f t="shared" si="151"/>
        <v>658.10509953984115</v>
      </c>
      <c r="M792" s="14">
        <f t="shared" si="145"/>
        <v>0.25864800124397724</v>
      </c>
      <c r="N792" s="14">
        <f t="shared" si="152"/>
        <v>6.6188741985003903</v>
      </c>
      <c r="O792" s="4">
        <v>11.11</v>
      </c>
      <c r="P792" s="14">
        <f t="shared" si="155"/>
        <v>20.170210964895507</v>
      </c>
      <c r="Q792" s="14">
        <f t="shared" si="153"/>
        <v>20.942988527802775</v>
      </c>
    </row>
    <row r="793" spans="1:17" x14ac:dyDescent="0.25">
      <c r="A793" s="5" t="s">
        <v>850</v>
      </c>
      <c r="B793" s="6">
        <f t="shared" si="154"/>
        <v>2</v>
      </c>
      <c r="C793" s="70">
        <v>18.79358101</v>
      </c>
      <c r="D793" s="4">
        <v>10.4</v>
      </c>
      <c r="E793" s="12">
        <f t="shared" si="143"/>
        <v>0</v>
      </c>
      <c r="F793" s="12">
        <f t="shared" si="144"/>
        <v>10.4</v>
      </c>
      <c r="G793" s="16">
        <f t="shared" si="146"/>
        <v>22.091878530930927</v>
      </c>
      <c r="H793" s="14">
        <f t="shared" si="147"/>
        <v>1.9367875132713404</v>
      </c>
      <c r="I793" s="14">
        <f t="shared" si="148"/>
        <v>16.450258924171788</v>
      </c>
      <c r="J793" s="14">
        <f t="shared" si="149"/>
        <v>4.0783095344617726</v>
      </c>
      <c r="K793" s="14">
        <f t="shared" si="150"/>
        <v>6.5940325910662265</v>
      </c>
      <c r="L793" s="14">
        <f t="shared" si="151"/>
        <v>658.21224285052529</v>
      </c>
      <c r="M793" s="14">
        <f t="shared" si="145"/>
        <v>0.32000698826331486</v>
      </c>
      <c r="N793" s="14">
        <f t="shared" si="152"/>
        <v>8.1890677204883016</v>
      </c>
      <c r="O793" s="4">
        <v>13.36</v>
      </c>
      <c r="P793" s="14">
        <f t="shared" si="155"/>
        <v>26.738540639296044</v>
      </c>
      <c r="Q793" s="14">
        <f t="shared" si="153"/>
        <v>46.599068053664858</v>
      </c>
    </row>
    <row r="794" spans="1:17" x14ac:dyDescent="0.25">
      <c r="A794" s="5" t="s">
        <v>851</v>
      </c>
      <c r="B794" s="6">
        <f t="shared" si="154"/>
        <v>2</v>
      </c>
      <c r="C794" s="70">
        <v>17.93126869</v>
      </c>
      <c r="D794" s="4">
        <v>1.4</v>
      </c>
      <c r="E794" s="12">
        <f t="shared" si="143"/>
        <v>0</v>
      </c>
      <c r="F794" s="12">
        <f t="shared" si="144"/>
        <v>1.4</v>
      </c>
      <c r="G794" s="16">
        <f t="shared" si="146"/>
        <v>18.658769769437964</v>
      </c>
      <c r="H794" s="14">
        <f t="shared" si="147"/>
        <v>0.29335727309984161</v>
      </c>
      <c r="I794" s="14">
        <f t="shared" si="148"/>
        <v>14.676968926078134</v>
      </c>
      <c r="J794" s="14">
        <f t="shared" si="149"/>
        <v>4.5397514883931214</v>
      </c>
      <c r="K794" s="14">
        <f t="shared" si="150"/>
        <v>6.3829055975726279</v>
      </c>
      <c r="L794" s="14">
        <f t="shared" si="151"/>
        <v>658.39672012885546</v>
      </c>
      <c r="M794" s="14">
        <f t="shared" si="145"/>
        <v>0.31180328818609043</v>
      </c>
      <c r="N794" s="14">
        <f t="shared" si="152"/>
        <v>7.9791327567065498</v>
      </c>
      <c r="O794" s="4">
        <v>15.94</v>
      </c>
      <c r="P794" s="14">
        <f t="shared" si="155"/>
        <v>63.375407265342652</v>
      </c>
      <c r="Q794" s="14">
        <f t="shared" si="153"/>
        <v>88.479439243320044</v>
      </c>
    </row>
    <row r="795" spans="1:17" x14ac:dyDescent="0.25">
      <c r="A795" s="5" t="s">
        <v>852</v>
      </c>
      <c r="B795" s="6">
        <f t="shared" si="154"/>
        <v>2</v>
      </c>
      <c r="C795" s="70">
        <v>18.527000430000001</v>
      </c>
      <c r="D795" s="4">
        <v>4.2</v>
      </c>
      <c r="E795" s="12">
        <f t="shared" ref="E795:E858" si="156">IF(C795&gt;$C$9,MAX(E794-$C$10*(C795-$C$9),0),E794+D795)</f>
        <v>0</v>
      </c>
      <c r="F795" s="12">
        <f t="shared" ref="F795:F858" si="157">IF(C795&gt;$C$9,D795+MIN(E794,$C$10*(C795-$C$9)),0)</f>
        <v>4.2</v>
      </c>
      <c r="G795" s="16">
        <f t="shared" si="146"/>
        <v>17.900154906537463</v>
      </c>
      <c r="H795" s="14">
        <f t="shared" si="147"/>
        <v>0.8043014069924026</v>
      </c>
      <c r="I795" s="14">
        <f t="shared" si="148"/>
        <v>15.902053053472873</v>
      </c>
      <c r="J795" s="14">
        <f t="shared" si="149"/>
        <v>4.1543134559080981</v>
      </c>
      <c r="K795" s="14">
        <f t="shared" si="150"/>
        <v>6.7013617560113508</v>
      </c>
      <c r="L795" s="14">
        <f t="shared" si="151"/>
        <v>658.57076208922297</v>
      </c>
      <c r="M795" s="14">
        <f t="shared" si="145"/>
        <v>0.32427379850815097</v>
      </c>
      <c r="N795" s="14">
        <f t="shared" si="152"/>
        <v>8.2982565798787249</v>
      </c>
      <c r="O795" s="4">
        <v>12.95</v>
      </c>
      <c r="P795" s="14">
        <f t="shared" si="155"/>
        <v>21.638716846641572</v>
      </c>
      <c r="Q795" s="14">
        <f t="shared" si="153"/>
        <v>41.169560228952214</v>
      </c>
    </row>
    <row r="796" spans="1:17" x14ac:dyDescent="0.25">
      <c r="A796" s="5" t="s">
        <v>853</v>
      </c>
      <c r="B796" s="6">
        <f t="shared" si="154"/>
        <v>2</v>
      </c>
      <c r="C796" s="70">
        <v>17.348325729999999</v>
      </c>
      <c r="D796" s="4">
        <v>0.5</v>
      </c>
      <c r="E796" s="12">
        <f t="shared" si="156"/>
        <v>0</v>
      </c>
      <c r="F796" s="12">
        <f t="shared" si="157"/>
        <v>0.5</v>
      </c>
      <c r="G796" s="16">
        <f t="shared" si="146"/>
        <v>14.928565424217737</v>
      </c>
      <c r="H796" s="14">
        <f t="shared" si="147"/>
        <v>9.3654921379547257E-2</v>
      </c>
      <c r="I796" s="14">
        <f t="shared" si="148"/>
        <v>13.478184104788433</v>
      </c>
      <c r="J796" s="14">
        <f t="shared" si="149"/>
        <v>3.3779345609401794</v>
      </c>
      <c r="K796" s="14">
        <f t="shared" si="150"/>
        <v>6.2810570225086293</v>
      </c>
      <c r="L796" s="14">
        <f t="shared" si="151"/>
        <v>658.76044794559709</v>
      </c>
      <c r="M796" s="14">
        <f t="shared" si="145"/>
        <v>0.30790431372494964</v>
      </c>
      <c r="N796" s="14">
        <f t="shared" si="152"/>
        <v>7.8793569171974953</v>
      </c>
      <c r="O796" s="4">
        <v>10.69</v>
      </c>
      <c r="P796" s="14">
        <f t="shared" si="155"/>
        <v>7.8997145389055641</v>
      </c>
      <c r="Q796" s="14">
        <f t="shared" si="153"/>
        <v>17.275253682975183</v>
      </c>
    </row>
    <row r="797" spans="1:17" x14ac:dyDescent="0.25">
      <c r="A797" s="5" t="s">
        <v>854</v>
      </c>
      <c r="B797" s="6">
        <f t="shared" si="154"/>
        <v>2</v>
      </c>
      <c r="C797" s="70">
        <v>15.88217354</v>
      </c>
      <c r="D797" s="4">
        <v>0</v>
      </c>
      <c r="E797" s="12">
        <f t="shared" si="156"/>
        <v>0</v>
      </c>
      <c r="F797" s="12">
        <f t="shared" si="157"/>
        <v>0</v>
      </c>
      <c r="G797" s="16">
        <f t="shared" si="146"/>
        <v>12.74159449683691</v>
      </c>
      <c r="H797" s="14">
        <f t="shared" si="147"/>
        <v>0</v>
      </c>
      <c r="I797" s="14">
        <f t="shared" si="148"/>
        <v>10.463136129815627</v>
      </c>
      <c r="J797" s="14">
        <f t="shared" si="149"/>
        <v>2.1869709273808269</v>
      </c>
      <c r="K797" s="14">
        <f t="shared" si="150"/>
        <v>5.8042033168956646</v>
      </c>
      <c r="L797" s="14">
        <f t="shared" si="151"/>
        <v>658.92939733748506</v>
      </c>
      <c r="M797" s="14">
        <f t="shared" si="145"/>
        <v>0.28932257871480588</v>
      </c>
      <c r="N797" s="14">
        <f t="shared" si="152"/>
        <v>7.4038451566948584</v>
      </c>
      <c r="O797" s="4">
        <v>8.69</v>
      </c>
      <c r="P797" s="14">
        <f t="shared" si="155"/>
        <v>1.6541942809572721</v>
      </c>
      <c r="Q797" s="14">
        <f t="shared" si="153"/>
        <v>4.6498496599866623</v>
      </c>
    </row>
    <row r="798" spans="1:17" x14ac:dyDescent="0.25">
      <c r="A798" s="5" t="s">
        <v>855</v>
      </c>
      <c r="B798" s="6">
        <f t="shared" si="154"/>
        <v>2</v>
      </c>
      <c r="C798" s="70">
        <v>15.95654678</v>
      </c>
      <c r="D798" s="4">
        <v>1.9</v>
      </c>
      <c r="E798" s="12">
        <f t="shared" si="156"/>
        <v>0</v>
      </c>
      <c r="F798" s="12">
        <f t="shared" si="157"/>
        <v>1.9</v>
      </c>
      <c r="G798" s="16">
        <f t="shared" si="146"/>
        <v>12.450815511755417</v>
      </c>
      <c r="H798" s="14">
        <f t="shared" si="147"/>
        <v>0.29690526595932087</v>
      </c>
      <c r="I798" s="14">
        <f t="shared" si="148"/>
        <v>10.61607992936359</v>
      </c>
      <c r="J798" s="14">
        <f t="shared" si="149"/>
        <v>1.8938737191221722</v>
      </c>
      <c r="K798" s="14">
        <f t="shared" si="150"/>
        <v>5.666353164505872</v>
      </c>
      <c r="L798" s="14">
        <f t="shared" si="151"/>
        <v>659.07483017711945</v>
      </c>
      <c r="M798" s="14">
        <f t="shared" si="145"/>
        <v>0.28397149754344853</v>
      </c>
      <c r="N798" s="14">
        <f t="shared" si="152"/>
        <v>7.2669095031083879</v>
      </c>
      <c r="O798" s="4">
        <v>7.27</v>
      </c>
      <c r="P798" s="14">
        <f t="shared" si="155"/>
        <v>9.5511710370614031E-6</v>
      </c>
      <c r="Q798" s="14">
        <f t="shared" si="153"/>
        <v>0.54221280366481095</v>
      </c>
    </row>
    <row r="799" spans="1:17" x14ac:dyDescent="0.25">
      <c r="A799" s="5" t="s">
        <v>856</v>
      </c>
      <c r="B799" s="6">
        <f t="shared" si="154"/>
        <v>2</v>
      </c>
      <c r="C799" s="70">
        <v>15.15620232</v>
      </c>
      <c r="D799" s="4">
        <v>7.3</v>
      </c>
      <c r="E799" s="12">
        <f t="shared" si="156"/>
        <v>0</v>
      </c>
      <c r="F799" s="12">
        <f t="shared" si="157"/>
        <v>7.3</v>
      </c>
      <c r="G799" s="16">
        <f t="shared" si="146"/>
        <v>17.060287697132114</v>
      </c>
      <c r="H799" s="14">
        <f t="shared" si="147"/>
        <v>1.1267894564693162</v>
      </c>
      <c r="I799" s="14">
        <f t="shared" si="148"/>
        <v>8.9702228622308073</v>
      </c>
      <c r="J799" s="14">
        <f t="shared" si="149"/>
        <v>1.5637383581539879</v>
      </c>
      <c r="K799" s="14">
        <f t="shared" si="150"/>
        <v>6.370557088791081</v>
      </c>
      <c r="L799" s="14">
        <f t="shared" si="151"/>
        <v>659.21344421176013</v>
      </c>
      <c r="M799" s="14">
        <f t="shared" ref="M799:M862" si="158">MAX(0,K799-$F$9)*$F$8+K799*$F$10+L799*$F$11</f>
        <v>0.31149515135386108</v>
      </c>
      <c r="N799" s="14">
        <f t="shared" si="152"/>
        <v>7.9712474495762375</v>
      </c>
      <c r="O799" s="4">
        <v>8.02</v>
      </c>
      <c r="P799" s="14">
        <f t="shared" si="155"/>
        <v>2.3768111728214593E-3</v>
      </c>
      <c r="Q799" s="14">
        <f t="shared" si="153"/>
        <v>2.209239312285507</v>
      </c>
    </row>
    <row r="800" spans="1:17" x14ac:dyDescent="0.25">
      <c r="A800" s="5" t="s">
        <v>857</v>
      </c>
      <c r="B800" s="6">
        <f t="shared" si="154"/>
        <v>2</v>
      </c>
      <c r="C800" s="70">
        <v>17.11600876</v>
      </c>
      <c r="D800" s="4">
        <v>9</v>
      </c>
      <c r="E800" s="12">
        <f t="shared" si="156"/>
        <v>0</v>
      </c>
      <c r="F800" s="12">
        <f t="shared" si="157"/>
        <v>9</v>
      </c>
      <c r="G800" s="16">
        <f t="shared" ref="G800:G863" si="159">G799+F800-H800-J800</f>
        <v>21.311806872601885</v>
      </c>
      <c r="H800" s="14">
        <f t="shared" ref="H800:H863" si="160">(F800*(G799/$C$11)^$C$12)</f>
        <v>1.6431531635796295</v>
      </c>
      <c r="I800" s="14">
        <f t="shared" ref="I800:I863" si="161">(1+$C$13*(C800-INDEX($A$16:$A$27,B800)))*INDEX($C$16:$C$27,B800)</f>
        <v>13.000439151210104</v>
      </c>
      <c r="J800" s="14">
        <f t="shared" ref="J800:J863" si="162">IF(G799&gt;$F$13,I800,I800*(G799/$F$13))</f>
        <v>3.1053276609506013</v>
      </c>
      <c r="K800" s="14">
        <f t="shared" ref="K800:K863" si="163">K799+H800-MAX(0,K799-$F$9)*$F$8-K799*$F$10-K799*$F$12</f>
        <v>7.5289551726965982</v>
      </c>
      <c r="L800" s="14">
        <f t="shared" ref="L800:L863" si="164">L799+K799*$F$12-L799*$F$11</f>
        <v>659.38670414008038</v>
      </c>
      <c r="M800" s="14">
        <f t="shared" si="158"/>
        <v>0.35675921825775775</v>
      </c>
      <c r="N800" s="14">
        <f t="shared" ref="N800:N863" si="165">M800*$C$8*1000/(24*3600)</f>
        <v>9.1295674949988701</v>
      </c>
      <c r="O800" s="4">
        <v>11.99</v>
      </c>
      <c r="P800" s="14">
        <f t="shared" si="155"/>
        <v>8.1820741156670405</v>
      </c>
      <c r="Q800" s="14">
        <f t="shared" ref="Q800:Q863" si="166">(O800-$F$23)^2</f>
        <v>29.771766297917733</v>
      </c>
    </row>
    <row r="801" spans="1:17" x14ac:dyDescent="0.25">
      <c r="A801" s="5" t="s">
        <v>858</v>
      </c>
      <c r="B801" s="6">
        <f t="shared" ref="B801:B864" si="167">MONTH(A801)</f>
        <v>2</v>
      </c>
      <c r="C801" s="70">
        <v>14.753915790000001</v>
      </c>
      <c r="D801" s="4">
        <v>2.7</v>
      </c>
      <c r="E801" s="12">
        <f t="shared" si="156"/>
        <v>0</v>
      </c>
      <c r="F801" s="12">
        <f t="shared" si="157"/>
        <v>2.7</v>
      </c>
      <c r="G801" s="16">
        <f t="shared" si="159"/>
        <v>21.027016118431288</v>
      </c>
      <c r="H801" s="14">
        <f t="shared" si="160"/>
        <v>0.55502220276851832</v>
      </c>
      <c r="I801" s="14">
        <f t="shared" si="161"/>
        <v>8.1429464062748007</v>
      </c>
      <c r="J801" s="14">
        <f t="shared" si="162"/>
        <v>2.4297685514020779</v>
      </c>
      <c r="K801" s="14">
        <f t="shared" si="163"/>
        <v>7.4969549237896382</v>
      </c>
      <c r="L801" s="14">
        <f t="shared" si="164"/>
        <v>659.61696737349814</v>
      </c>
      <c r="M801" s="14">
        <f t="shared" si="158"/>
        <v>0.35555888970324989</v>
      </c>
      <c r="N801" s="14">
        <f t="shared" si="165"/>
        <v>9.098850753864415</v>
      </c>
      <c r="O801" s="4">
        <v>19.23</v>
      </c>
      <c r="P801" s="14">
        <f t="shared" ref="P801:P864" si="168">(O801-N801)^2</f>
        <v>102.64018504747364</v>
      </c>
      <c r="Q801" s="14">
        <f t="shared" si="166"/>
        <v>161.19732886113621</v>
      </c>
    </row>
    <row r="802" spans="1:17" x14ac:dyDescent="0.25">
      <c r="A802" s="5" t="s">
        <v>859</v>
      </c>
      <c r="B802" s="6">
        <f t="shared" si="167"/>
        <v>2</v>
      </c>
      <c r="C802" s="70">
        <v>15.164834020000001</v>
      </c>
      <c r="D802" s="4">
        <v>1</v>
      </c>
      <c r="E802" s="12">
        <f t="shared" si="156"/>
        <v>0</v>
      </c>
      <c r="F802" s="12">
        <f t="shared" si="157"/>
        <v>1</v>
      </c>
      <c r="G802" s="16">
        <f t="shared" si="159"/>
        <v>19.176844174993416</v>
      </c>
      <c r="H802" s="14">
        <f t="shared" si="160"/>
        <v>0.20409490394500421</v>
      </c>
      <c r="I802" s="14">
        <f t="shared" si="161"/>
        <v>8.987973399851036</v>
      </c>
      <c r="J802" s="14">
        <f t="shared" si="162"/>
        <v>2.6460770394928663</v>
      </c>
      <c r="K802" s="14">
        <f t="shared" si="163"/>
        <v>7.1168524682313405</v>
      </c>
      <c r="L802" s="14">
        <f t="shared" si="164"/>
        <v>659.84560584329824</v>
      </c>
      <c r="M802" s="14">
        <f t="shared" si="158"/>
        <v>0.34076731421278761</v>
      </c>
      <c r="N802" s="14">
        <f t="shared" si="165"/>
        <v>8.7203302282925161</v>
      </c>
      <c r="O802" s="4">
        <v>17.62</v>
      </c>
      <c r="P802" s="14">
        <f t="shared" si="168"/>
        <v>79.204122045443953</v>
      </c>
      <c r="Q802" s="14">
        <f t="shared" si="166"/>
        <v>122.90717862263047</v>
      </c>
    </row>
    <row r="803" spans="1:17" x14ac:dyDescent="0.25">
      <c r="A803" s="5" t="s">
        <v>860</v>
      </c>
      <c r="B803" s="6">
        <f t="shared" si="167"/>
        <v>2</v>
      </c>
      <c r="C803" s="70">
        <v>15.85056591</v>
      </c>
      <c r="D803" s="4">
        <v>5</v>
      </c>
      <c r="E803" s="12">
        <f t="shared" si="156"/>
        <v>0</v>
      </c>
      <c r="F803" s="12">
        <f t="shared" si="157"/>
        <v>5</v>
      </c>
      <c r="G803" s="16">
        <f t="shared" si="159"/>
        <v>20.41338802784972</v>
      </c>
      <c r="H803" s="14">
        <f t="shared" si="160"/>
        <v>0.97158265348370998</v>
      </c>
      <c r="I803" s="14">
        <f t="shared" si="161"/>
        <v>10.398137065274319</v>
      </c>
      <c r="J803" s="14">
        <f t="shared" si="162"/>
        <v>2.7918734936599829</v>
      </c>
      <c r="K803" s="14">
        <f t="shared" si="163"/>
        <v>7.5377945159402744</v>
      </c>
      <c r="L803" s="14">
        <f t="shared" si="164"/>
        <v>660.05547913486032</v>
      </c>
      <c r="M803" s="14">
        <f t="shared" si="158"/>
        <v>0.35724679835108919</v>
      </c>
      <c r="N803" s="14">
        <f t="shared" si="165"/>
        <v>9.1420448050261367</v>
      </c>
      <c r="O803" s="4">
        <v>12.94</v>
      </c>
      <c r="P803" s="14">
        <f t="shared" si="168"/>
        <v>14.424463663028952</v>
      </c>
      <c r="Q803" s="14">
        <f t="shared" si="166"/>
        <v>41.041333208837273</v>
      </c>
    </row>
    <row r="804" spans="1:17" x14ac:dyDescent="0.25">
      <c r="A804" s="5" t="s">
        <v>861</v>
      </c>
      <c r="B804" s="6">
        <f t="shared" si="167"/>
        <v>3</v>
      </c>
      <c r="C804" s="70">
        <v>14.26501274</v>
      </c>
      <c r="D804" s="4">
        <v>4.5999999999999996</v>
      </c>
      <c r="E804" s="12">
        <f t="shared" si="156"/>
        <v>0</v>
      </c>
      <c r="F804" s="12">
        <f t="shared" si="157"/>
        <v>4.5999999999999996</v>
      </c>
      <c r="G804" s="16">
        <f t="shared" si="159"/>
        <v>21.815948848719351</v>
      </c>
      <c r="H804" s="14">
        <f t="shared" si="160"/>
        <v>0.92413104727483619</v>
      </c>
      <c r="I804" s="14">
        <f t="shared" si="161"/>
        <v>7.953900543788162</v>
      </c>
      <c r="J804" s="14">
        <f t="shared" si="162"/>
        <v>2.2733081318555324</v>
      </c>
      <c r="K804" s="14">
        <f t="shared" si="163"/>
        <v>7.8741227438781998</v>
      </c>
      <c r="L804" s="14">
        <f t="shared" si="164"/>
        <v>660.28603515584609</v>
      </c>
      <c r="M804" s="14">
        <f t="shared" si="158"/>
        <v>0.3704271241366312</v>
      </c>
      <c r="N804" s="14">
        <f t="shared" si="165"/>
        <v>9.4793330030797645</v>
      </c>
      <c r="O804" s="4">
        <v>12.29</v>
      </c>
      <c r="P804" s="14">
        <f t="shared" si="168"/>
        <v>7.8998489675766104</v>
      </c>
      <c r="Q804" s="14">
        <f t="shared" si="166"/>
        <v>33.135576901366001</v>
      </c>
    </row>
    <row r="805" spans="1:17" x14ac:dyDescent="0.25">
      <c r="A805" s="5" t="s">
        <v>862</v>
      </c>
      <c r="B805" s="6">
        <f t="shared" si="167"/>
        <v>3</v>
      </c>
      <c r="C805" s="70">
        <v>15.74338818</v>
      </c>
      <c r="D805" s="4">
        <v>10.4</v>
      </c>
      <c r="E805" s="12">
        <f t="shared" si="156"/>
        <v>0</v>
      </c>
      <c r="F805" s="12">
        <f t="shared" si="157"/>
        <v>10.4</v>
      </c>
      <c r="G805" s="16">
        <f t="shared" si="159"/>
        <v>26.703548403169822</v>
      </c>
      <c r="H805" s="14">
        <f t="shared" si="160"/>
        <v>2.1646738437329933</v>
      </c>
      <c r="I805" s="14">
        <f t="shared" si="161"/>
        <v>10.960057140898797</v>
      </c>
      <c r="J805" s="14">
        <f t="shared" si="162"/>
        <v>3.3477266018165346</v>
      </c>
      <c r="K805" s="14">
        <f t="shared" si="163"/>
        <v>9.4213015541045859</v>
      </c>
      <c r="L805" s="14">
        <f t="shared" si="164"/>
        <v>660.5331030652161</v>
      </c>
      <c r="M805" s="14">
        <f t="shared" si="158"/>
        <v>0.4308860201097538</v>
      </c>
      <c r="N805" s="14">
        <f t="shared" si="165"/>
        <v>11.026492945169741</v>
      </c>
      <c r="O805" s="4">
        <v>12.55</v>
      </c>
      <c r="P805" s="14">
        <f t="shared" si="168"/>
        <v>2.3210737461175723</v>
      </c>
      <c r="Q805" s="14">
        <f t="shared" si="166"/>
        <v>36.196479424354528</v>
      </c>
    </row>
    <row r="806" spans="1:17" x14ac:dyDescent="0.25">
      <c r="A806" s="5" t="s">
        <v>863</v>
      </c>
      <c r="B806" s="6">
        <f t="shared" si="167"/>
        <v>3</v>
      </c>
      <c r="C806" s="70">
        <v>15.33193874</v>
      </c>
      <c r="D806" s="4">
        <v>8.6999999999999993</v>
      </c>
      <c r="E806" s="12">
        <f t="shared" si="156"/>
        <v>0</v>
      </c>
      <c r="F806" s="12">
        <f t="shared" si="157"/>
        <v>8.6999999999999993</v>
      </c>
      <c r="G806" s="16">
        <f t="shared" si="159"/>
        <v>29.601741077489564</v>
      </c>
      <c r="H806" s="14">
        <f t="shared" si="160"/>
        <v>2.0168692698760129</v>
      </c>
      <c r="I806" s="14">
        <f t="shared" si="161"/>
        <v>10.123408063156084</v>
      </c>
      <c r="J806" s="14">
        <f t="shared" si="162"/>
        <v>3.7849380558042465</v>
      </c>
      <c r="K806" s="14">
        <f t="shared" si="163"/>
        <v>10.68408551711598</v>
      </c>
      <c r="L806" s="14">
        <f t="shared" si="164"/>
        <v>660.85630235197095</v>
      </c>
      <c r="M806" s="14">
        <f t="shared" si="158"/>
        <v>0.48025754990477482</v>
      </c>
      <c r="N806" s="14">
        <f t="shared" si="165"/>
        <v>12.289924106938162</v>
      </c>
      <c r="O806" s="4">
        <v>16.23</v>
      </c>
      <c r="P806" s="14">
        <f t="shared" si="168"/>
        <v>15.52419804308704</v>
      </c>
      <c r="Q806" s="14">
        <f t="shared" si="166"/>
        <v>94.019222826653433</v>
      </c>
    </row>
    <row r="807" spans="1:17" x14ac:dyDescent="0.25">
      <c r="A807" s="5" t="s">
        <v>864</v>
      </c>
      <c r="B807" s="6">
        <f t="shared" si="167"/>
        <v>3</v>
      </c>
      <c r="C807" s="70">
        <v>15.99103642</v>
      </c>
      <c r="D807" s="4">
        <v>2.2000000000000002</v>
      </c>
      <c r="E807" s="12">
        <f t="shared" si="156"/>
        <v>0</v>
      </c>
      <c r="F807" s="12">
        <f t="shared" si="157"/>
        <v>2.2000000000000002</v>
      </c>
      <c r="G807" s="16">
        <f t="shared" si="159"/>
        <v>26.511741884808245</v>
      </c>
      <c r="H807" s="14">
        <f t="shared" si="160"/>
        <v>0.53880846105692137</v>
      </c>
      <c r="I807" s="14">
        <f t="shared" si="161"/>
        <v>11.463629758716934</v>
      </c>
      <c r="J807" s="14">
        <f t="shared" si="162"/>
        <v>4.751190731624396</v>
      </c>
      <c r="K807" s="14">
        <f t="shared" si="163"/>
        <v>10.35732575442772</v>
      </c>
      <c r="L807" s="14">
        <f t="shared" si="164"/>
        <v>661.24161302581138</v>
      </c>
      <c r="M807" s="14">
        <f t="shared" si="158"/>
        <v>0.46758200032644881</v>
      </c>
      <c r="N807" s="14">
        <f t="shared" si="165"/>
        <v>11.965553272242804</v>
      </c>
      <c r="O807" s="4">
        <v>16.7</v>
      </c>
      <c r="P807" s="14">
        <f t="shared" si="168"/>
        <v>22.414985817970813</v>
      </c>
      <c r="Q807" s="14">
        <f t="shared" si="166"/>
        <v>103.35469277205571</v>
      </c>
    </row>
    <row r="808" spans="1:17" x14ac:dyDescent="0.25">
      <c r="A808" s="5" t="s">
        <v>865</v>
      </c>
      <c r="B808" s="6">
        <f t="shared" si="167"/>
        <v>3</v>
      </c>
      <c r="C808" s="70">
        <v>15.78754616</v>
      </c>
      <c r="D808" s="4">
        <v>1.8</v>
      </c>
      <c r="E808" s="12">
        <f t="shared" si="156"/>
        <v>0</v>
      </c>
      <c r="F808" s="12">
        <f t="shared" si="157"/>
        <v>1.8</v>
      </c>
      <c r="G808" s="16">
        <f t="shared" si="159"/>
        <v>23.794417872209614</v>
      </c>
      <c r="H808" s="14">
        <f t="shared" si="160"/>
        <v>0.41568290477222553</v>
      </c>
      <c r="I808" s="14">
        <f t="shared" si="161"/>
        <v>11.049848813095462</v>
      </c>
      <c r="J808" s="14">
        <f t="shared" si="162"/>
        <v>4.1016411078264072</v>
      </c>
      <c r="K808" s="14">
        <f t="shared" si="163"/>
        <v>9.93628791256147</v>
      </c>
      <c r="L808" s="14">
        <f t="shared" si="164"/>
        <v>661.61075177212342</v>
      </c>
      <c r="M808" s="14">
        <f t="shared" si="158"/>
        <v>0.45122212117589688</v>
      </c>
      <c r="N808" s="14">
        <f t="shared" si="165"/>
        <v>11.546899420369305</v>
      </c>
      <c r="O808" s="4">
        <v>14.49</v>
      </c>
      <c r="P808" s="14">
        <f t="shared" si="168"/>
        <v>8.6618410218225321</v>
      </c>
      <c r="Q808" s="14">
        <f t="shared" si="166"/>
        <v>63.303521326653389</v>
      </c>
    </row>
    <row r="809" spans="1:17" x14ac:dyDescent="0.25">
      <c r="A809" s="5" t="s">
        <v>866</v>
      </c>
      <c r="B809" s="6">
        <f t="shared" si="167"/>
        <v>3</v>
      </c>
      <c r="C809" s="70">
        <v>17.058700559999998</v>
      </c>
      <c r="D809" s="4">
        <v>10.1</v>
      </c>
      <c r="E809" s="12">
        <f t="shared" si="156"/>
        <v>0</v>
      </c>
      <c r="F809" s="12">
        <f t="shared" si="157"/>
        <v>10.1</v>
      </c>
      <c r="G809" s="16">
        <f t="shared" si="159"/>
        <v>27.150259334454802</v>
      </c>
      <c r="H809" s="14">
        <f t="shared" si="160"/>
        <v>2.2017963320971718</v>
      </c>
      <c r="I809" s="14">
        <f t="shared" si="161"/>
        <v>13.634638225929733</v>
      </c>
      <c r="J809" s="14">
        <f t="shared" si="162"/>
        <v>4.5423622056576418</v>
      </c>
      <c r="K809" s="14">
        <f t="shared" si="163"/>
        <v>11.338534168620395</v>
      </c>
      <c r="L809" s="14">
        <f t="shared" si="164"/>
        <v>661.95907972698581</v>
      </c>
      <c r="M809" s="14">
        <f t="shared" si="158"/>
        <v>0.50604400886866918</v>
      </c>
      <c r="N809" s="14">
        <f t="shared" si="165"/>
        <v>12.949806754729485</v>
      </c>
      <c r="O809" s="4">
        <v>13.62</v>
      </c>
      <c r="P809" s="14">
        <f t="shared" si="168"/>
        <v>0.44915898600622384</v>
      </c>
      <c r="Q809" s="14">
        <f t="shared" si="166"/>
        <v>50.216370576653368</v>
      </c>
    </row>
    <row r="810" spans="1:17" x14ac:dyDescent="0.25">
      <c r="A810" s="5" t="s">
        <v>867</v>
      </c>
      <c r="B810" s="6">
        <f t="shared" si="167"/>
        <v>3</v>
      </c>
      <c r="C810" s="70">
        <v>16.117706299999998</v>
      </c>
      <c r="D810" s="4">
        <v>9.6</v>
      </c>
      <c r="E810" s="12">
        <f t="shared" si="156"/>
        <v>0</v>
      </c>
      <c r="F810" s="12">
        <f t="shared" si="157"/>
        <v>9.6</v>
      </c>
      <c r="G810" s="16">
        <f t="shared" si="159"/>
        <v>30.049348977144813</v>
      </c>
      <c r="H810" s="14">
        <f t="shared" si="160"/>
        <v>2.2452793599927778</v>
      </c>
      <c r="I810" s="14">
        <f t="shared" si="161"/>
        <v>11.72120268986439</v>
      </c>
      <c r="J810" s="14">
        <f t="shared" si="162"/>
        <v>4.4556309973172112</v>
      </c>
      <c r="K810" s="14">
        <f t="shared" si="163"/>
        <v>12.660468324200394</v>
      </c>
      <c r="L810" s="14">
        <f t="shared" si="164"/>
        <v>662.37638092252996</v>
      </c>
      <c r="M810" s="14">
        <f t="shared" si="158"/>
        <v>0.55774497674382206</v>
      </c>
      <c r="N810" s="14">
        <f t="shared" si="165"/>
        <v>14.272848884034614</v>
      </c>
      <c r="O810" s="4">
        <v>16.32</v>
      </c>
      <c r="P810" s="14">
        <f t="shared" si="168"/>
        <v>4.1908276915983258</v>
      </c>
      <c r="Q810" s="14">
        <f t="shared" si="166"/>
        <v>95.772666007687903</v>
      </c>
    </row>
    <row r="811" spans="1:17" x14ac:dyDescent="0.25">
      <c r="A811" s="5" t="s">
        <v>868</v>
      </c>
      <c r="B811" s="6">
        <f t="shared" si="167"/>
        <v>3</v>
      </c>
      <c r="C811" s="70">
        <v>16.957695009999998</v>
      </c>
      <c r="D811" s="4">
        <v>6.6</v>
      </c>
      <c r="E811" s="12">
        <f t="shared" si="156"/>
        <v>0</v>
      </c>
      <c r="F811" s="12">
        <f t="shared" si="157"/>
        <v>6.6</v>
      </c>
      <c r="G811" s="16">
        <f t="shared" si="159"/>
        <v>29.369921000951784</v>
      </c>
      <c r="H811" s="14">
        <f t="shared" si="160"/>
        <v>1.629408600761582</v>
      </c>
      <c r="I811" s="14">
        <f t="shared" si="161"/>
        <v>13.42925162908713</v>
      </c>
      <c r="J811" s="14">
        <f t="shared" si="162"/>
        <v>5.6500193754314472</v>
      </c>
      <c r="K811" s="14">
        <f t="shared" si="163"/>
        <v>13.249826820974246</v>
      </c>
      <c r="L811" s="14">
        <f t="shared" si="164"/>
        <v>662.85868604977384</v>
      </c>
      <c r="M811" s="14">
        <f t="shared" si="158"/>
        <v>0.58085795362695347</v>
      </c>
      <c r="N811" s="14">
        <f t="shared" si="165"/>
        <v>14.864316382745303</v>
      </c>
      <c r="O811" s="4">
        <v>17.649999999999999</v>
      </c>
      <c r="P811" s="14">
        <f t="shared" si="168"/>
        <v>7.7600332154412071</v>
      </c>
      <c r="Q811" s="14">
        <f t="shared" si="166"/>
        <v>123.57325968297525</v>
      </c>
    </row>
    <row r="812" spans="1:17" x14ac:dyDescent="0.25">
      <c r="A812" s="5" t="s">
        <v>869</v>
      </c>
      <c r="B812" s="6">
        <f t="shared" si="167"/>
        <v>3</v>
      </c>
      <c r="C812" s="70">
        <v>16.331769940000001</v>
      </c>
      <c r="D812" s="4">
        <v>2.8</v>
      </c>
      <c r="E812" s="12">
        <f t="shared" si="156"/>
        <v>0</v>
      </c>
      <c r="F812" s="12">
        <f t="shared" si="157"/>
        <v>2.8</v>
      </c>
      <c r="G812" s="16">
        <f t="shared" si="159"/>
        <v>26.488140073359283</v>
      </c>
      <c r="H812" s="14">
        <f t="shared" si="160"/>
        <v>0.6828882784551118</v>
      </c>
      <c r="I812" s="14">
        <f t="shared" si="161"/>
        <v>12.15648374647307</v>
      </c>
      <c r="J812" s="14">
        <f t="shared" si="162"/>
        <v>4.9988926491373871</v>
      </c>
      <c r="K812" s="14">
        <f t="shared" si="163"/>
        <v>12.840634397783409</v>
      </c>
      <c r="L812" s="14">
        <f t="shared" si="164"/>
        <v>663.36990879779285</v>
      </c>
      <c r="M812" s="14">
        <f t="shared" si="158"/>
        <v>0.56499082102853893</v>
      </c>
      <c r="N812" s="14">
        <f t="shared" si="165"/>
        <v>14.458272052015042</v>
      </c>
      <c r="O812" s="4">
        <v>19.010000000000002</v>
      </c>
      <c r="P812" s="14">
        <f t="shared" si="168"/>
        <v>20.71822731246737</v>
      </c>
      <c r="Q812" s="14">
        <f t="shared" si="166"/>
        <v>155.6593344186075</v>
      </c>
    </row>
    <row r="813" spans="1:17" x14ac:dyDescent="0.25">
      <c r="A813" s="5" t="s">
        <v>870</v>
      </c>
      <c r="B813" s="6">
        <f t="shared" si="167"/>
        <v>3</v>
      </c>
      <c r="C813" s="70">
        <v>17.93013573</v>
      </c>
      <c r="D813" s="4">
        <v>8.6</v>
      </c>
      <c r="E813" s="12">
        <f t="shared" si="156"/>
        <v>0</v>
      </c>
      <c r="F813" s="12">
        <f t="shared" si="157"/>
        <v>8.6</v>
      </c>
      <c r="G813" s="16">
        <f t="shared" si="159"/>
        <v>27.389279440384918</v>
      </c>
      <c r="H813" s="14">
        <f t="shared" si="160"/>
        <v>1.9850978823291565</v>
      </c>
      <c r="I813" s="14">
        <f t="shared" si="161"/>
        <v>15.406630992022853</v>
      </c>
      <c r="J813" s="14">
        <f t="shared" si="162"/>
        <v>5.7137627506452109</v>
      </c>
      <c r="K813" s="14">
        <f t="shared" si="163"/>
        <v>13.769776494714332</v>
      </c>
      <c r="L813" s="14">
        <f t="shared" si="164"/>
        <v>663.86087376216256</v>
      </c>
      <c r="M813" s="14">
        <f t="shared" si="158"/>
        <v>0.60137176143500803</v>
      </c>
      <c r="N813" s="14">
        <f t="shared" si="165"/>
        <v>15.389270422833366</v>
      </c>
      <c r="O813" s="4">
        <v>18.239999999999998</v>
      </c>
      <c r="P813" s="14">
        <f t="shared" si="168"/>
        <v>8.1266591221326454</v>
      </c>
      <c r="Q813" s="14">
        <f t="shared" si="166"/>
        <v>137.03865386975684</v>
      </c>
    </row>
    <row r="814" spans="1:17" x14ac:dyDescent="0.25">
      <c r="A814" s="5" t="s">
        <v>871</v>
      </c>
      <c r="B814" s="6">
        <f t="shared" si="167"/>
        <v>3</v>
      </c>
      <c r="C814" s="70">
        <v>17.240154270000001</v>
      </c>
      <c r="D814" s="4">
        <v>15.2</v>
      </c>
      <c r="E814" s="12">
        <f t="shared" si="156"/>
        <v>0</v>
      </c>
      <c r="F814" s="12">
        <f t="shared" si="157"/>
        <v>15.2</v>
      </c>
      <c r="G814" s="16">
        <f t="shared" si="159"/>
        <v>33.647489008739392</v>
      </c>
      <c r="H814" s="14">
        <f t="shared" si="160"/>
        <v>3.5716745052304617</v>
      </c>
      <c r="I814" s="14">
        <f t="shared" si="161"/>
        <v>14.003609633752033</v>
      </c>
      <c r="J814" s="14">
        <f t="shared" si="162"/>
        <v>5.3701159264150586</v>
      </c>
      <c r="K814" s="14">
        <f t="shared" si="163"/>
        <v>16.203467350559936</v>
      </c>
      <c r="L814" s="14">
        <f t="shared" si="164"/>
        <v>664.39748565011234</v>
      </c>
      <c r="M814" s="14">
        <f t="shared" si="158"/>
        <v>0.69650429122775237</v>
      </c>
      <c r="N814" s="14">
        <f t="shared" si="165"/>
        <v>17.823738285932411</v>
      </c>
      <c r="O814" s="4">
        <v>19.010000000000002</v>
      </c>
      <c r="P814" s="14">
        <f t="shared" si="168"/>
        <v>1.4072168542625787</v>
      </c>
      <c r="Q814" s="14">
        <f t="shared" si="166"/>
        <v>155.6593344186075</v>
      </c>
    </row>
    <row r="815" spans="1:17" x14ac:dyDescent="0.25">
      <c r="A815" s="5" t="s">
        <v>872</v>
      </c>
      <c r="B815" s="6">
        <f t="shared" si="167"/>
        <v>3</v>
      </c>
      <c r="C815" s="70">
        <v>15.75150204</v>
      </c>
      <c r="D815" s="4">
        <v>17.600000000000001</v>
      </c>
      <c r="E815" s="12">
        <f t="shared" si="156"/>
        <v>0</v>
      </c>
      <c r="F815" s="12">
        <f t="shared" si="157"/>
        <v>17.600000000000001</v>
      </c>
      <c r="G815" s="16">
        <f t="shared" si="159"/>
        <v>41.46130311068508</v>
      </c>
      <c r="H815" s="14">
        <f t="shared" si="160"/>
        <v>4.6150992340017991</v>
      </c>
      <c r="I815" s="14">
        <f t="shared" si="161"/>
        <v>10.976556017372987</v>
      </c>
      <c r="J815" s="14">
        <f t="shared" si="162"/>
        <v>5.1710866640525186</v>
      </c>
      <c r="K815" s="14">
        <f t="shared" si="163"/>
        <v>19.465728325566374</v>
      </c>
      <c r="L815" s="14">
        <f t="shared" si="164"/>
        <v>665.05381961787987</v>
      </c>
      <c r="M815" s="14">
        <f t="shared" si="158"/>
        <v>0.82401206052266007</v>
      </c>
      <c r="N815" s="14">
        <f t="shared" si="165"/>
        <v>21.086697521013903</v>
      </c>
      <c r="O815" s="4">
        <v>22.45</v>
      </c>
      <c r="P815" s="14">
        <f t="shared" si="168"/>
        <v>1.8585936492096351</v>
      </c>
      <c r="Q815" s="14">
        <f t="shared" si="166"/>
        <v>253.33022933814772</v>
      </c>
    </row>
    <row r="816" spans="1:17" x14ac:dyDescent="0.25">
      <c r="A816" s="5" t="s">
        <v>873</v>
      </c>
      <c r="B816" s="6">
        <f t="shared" si="167"/>
        <v>3</v>
      </c>
      <c r="C816" s="70">
        <v>16.983867650000001</v>
      </c>
      <c r="D816" s="4">
        <v>5.9</v>
      </c>
      <c r="E816" s="12">
        <f t="shared" si="156"/>
        <v>0</v>
      </c>
      <c r="F816" s="12">
        <f t="shared" si="157"/>
        <v>5.9</v>
      </c>
      <c r="G816" s="16">
        <f t="shared" si="159"/>
        <v>37.805388775769821</v>
      </c>
      <c r="H816" s="14">
        <f t="shared" si="160"/>
        <v>1.729271433403291</v>
      </c>
      <c r="I816" s="14">
        <f t="shared" si="161"/>
        <v>13.482471570565464</v>
      </c>
      <c r="J816" s="14">
        <f t="shared" si="162"/>
        <v>7.8266429015119696</v>
      </c>
      <c r="K816" s="14">
        <f t="shared" si="163"/>
        <v>19.55415786691259</v>
      </c>
      <c r="L816" s="14">
        <f t="shared" si="164"/>
        <v>665.87064944941426</v>
      </c>
      <c r="M816" s="14">
        <f t="shared" si="158"/>
        <v>0.82763860810071788</v>
      </c>
      <c r="N816" s="14">
        <f t="shared" si="165"/>
        <v>21.179501880910731</v>
      </c>
      <c r="O816" s="4">
        <v>26.02</v>
      </c>
      <c r="P816" s="14">
        <f t="shared" si="168"/>
        <v>23.430422040906745</v>
      </c>
      <c r="Q816" s="14">
        <f t="shared" si="166"/>
        <v>379.71787551918226</v>
      </c>
    </row>
    <row r="817" spans="1:17" x14ac:dyDescent="0.25">
      <c r="A817" s="5" t="s">
        <v>874</v>
      </c>
      <c r="B817" s="6">
        <f t="shared" si="167"/>
        <v>3</v>
      </c>
      <c r="C817" s="70">
        <v>18.053941729999998</v>
      </c>
      <c r="D817" s="4">
        <v>7.7</v>
      </c>
      <c r="E817" s="12">
        <f t="shared" si="156"/>
        <v>0</v>
      </c>
      <c r="F817" s="12">
        <f t="shared" si="157"/>
        <v>7.7</v>
      </c>
      <c r="G817" s="16">
        <f t="shared" si="159"/>
        <v>35.068639939480171</v>
      </c>
      <c r="H817" s="14">
        <f t="shared" si="160"/>
        <v>2.1484842264826494</v>
      </c>
      <c r="I817" s="14">
        <f t="shared" si="161"/>
        <v>15.658380455381007</v>
      </c>
      <c r="J817" s="14">
        <f t="shared" si="162"/>
        <v>8.2882646098070012</v>
      </c>
      <c r="K817" s="14">
        <f t="shared" si="163"/>
        <v>20.053993336904938</v>
      </c>
      <c r="L817" s="14">
        <f t="shared" si="164"/>
        <v>666.69165959780389</v>
      </c>
      <c r="M817" s="14">
        <f t="shared" si="158"/>
        <v>0.84732850447982533</v>
      </c>
      <c r="N817" s="14">
        <f t="shared" si="165"/>
        <v>21.683371798667753</v>
      </c>
      <c r="O817" s="4">
        <v>26.11</v>
      </c>
      <c r="P817" s="14">
        <f t="shared" si="168"/>
        <v>19.595037232829956</v>
      </c>
      <c r="Q817" s="14">
        <f t="shared" si="166"/>
        <v>383.23351870021673</v>
      </c>
    </row>
    <row r="818" spans="1:17" x14ac:dyDescent="0.25">
      <c r="A818" s="5" t="s">
        <v>875</v>
      </c>
      <c r="B818" s="6">
        <f t="shared" si="167"/>
        <v>3</v>
      </c>
      <c r="C818" s="70">
        <v>17.422542570000001</v>
      </c>
      <c r="D818" s="4">
        <v>1.4</v>
      </c>
      <c r="E818" s="12">
        <f t="shared" si="156"/>
        <v>0</v>
      </c>
      <c r="F818" s="12">
        <f t="shared" si="157"/>
        <v>1.4</v>
      </c>
      <c r="G818" s="16">
        <f t="shared" si="159"/>
        <v>29.035466064792129</v>
      </c>
      <c r="H818" s="14">
        <f t="shared" si="160"/>
        <v>0.37529553010736511</v>
      </c>
      <c r="I818" s="14">
        <f t="shared" si="161"/>
        <v>14.374481454566908</v>
      </c>
      <c r="J818" s="14">
        <f t="shared" si="162"/>
        <v>7.0578783445806756</v>
      </c>
      <c r="K818" s="14">
        <f t="shared" si="163"/>
        <v>18.736512913956851</v>
      </c>
      <c r="L818" s="14">
        <f t="shared" si="164"/>
        <v>667.53710704637956</v>
      </c>
      <c r="M818" s="14">
        <f t="shared" si="158"/>
        <v>0.79607042226667446</v>
      </c>
      <c r="N818" s="14">
        <f t="shared" si="165"/>
        <v>20.371663236477051</v>
      </c>
      <c r="O818" s="4">
        <v>22.82</v>
      </c>
      <c r="P818" s="14">
        <f t="shared" si="168"/>
        <v>5.9943529076180297</v>
      </c>
      <c r="Q818" s="14">
        <f t="shared" si="166"/>
        <v>265.24522908240061</v>
      </c>
    </row>
    <row r="819" spans="1:17" x14ac:dyDescent="0.25">
      <c r="A819" s="5" t="s">
        <v>876</v>
      </c>
      <c r="B819" s="6">
        <f t="shared" si="167"/>
        <v>3</v>
      </c>
      <c r="C819" s="70">
        <v>17.183816910000001</v>
      </c>
      <c r="D819" s="4">
        <v>0</v>
      </c>
      <c r="E819" s="12">
        <f t="shared" si="156"/>
        <v>0</v>
      </c>
      <c r="F819" s="12">
        <f t="shared" si="157"/>
        <v>0</v>
      </c>
      <c r="G819" s="16">
        <f t="shared" si="159"/>
        <v>23.389159305272027</v>
      </c>
      <c r="H819" s="14">
        <f t="shared" si="160"/>
        <v>0</v>
      </c>
      <c r="I819" s="14">
        <f t="shared" si="161"/>
        <v>13.889052179775526</v>
      </c>
      <c r="J819" s="14">
        <f t="shared" si="162"/>
        <v>5.6463067595201002</v>
      </c>
      <c r="K819" s="14">
        <f t="shared" si="163"/>
        <v>17.16004866962237</v>
      </c>
      <c r="L819" s="14">
        <f t="shared" si="164"/>
        <v>668.31750086844727</v>
      </c>
      <c r="M819" s="14">
        <f t="shared" si="158"/>
        <v>0.73468701645608703</v>
      </c>
      <c r="N819" s="14">
        <f t="shared" si="165"/>
        <v>18.800844830838059</v>
      </c>
      <c r="O819" s="4">
        <v>17.22</v>
      </c>
      <c r="P819" s="14">
        <f t="shared" si="168"/>
        <v>2.4990703791874163</v>
      </c>
      <c r="Q819" s="14">
        <f t="shared" si="166"/>
        <v>114.19809781803272</v>
      </c>
    </row>
    <row r="820" spans="1:17" x14ac:dyDescent="0.25">
      <c r="A820" s="5" t="s">
        <v>877</v>
      </c>
      <c r="B820" s="6">
        <f t="shared" si="167"/>
        <v>3</v>
      </c>
      <c r="C820" s="70">
        <v>17.593715670000002</v>
      </c>
      <c r="D820" s="4">
        <v>0</v>
      </c>
      <c r="E820" s="12">
        <f t="shared" si="156"/>
        <v>0</v>
      </c>
      <c r="F820" s="12">
        <f t="shared" si="157"/>
        <v>0</v>
      </c>
      <c r="G820" s="16">
        <f t="shared" si="159"/>
        <v>18.567898209752784</v>
      </c>
      <c r="H820" s="14">
        <f t="shared" si="160"/>
        <v>0</v>
      </c>
      <c r="I820" s="14">
        <f t="shared" si="161"/>
        <v>14.722548075460503</v>
      </c>
      <c r="J820" s="14">
        <f t="shared" si="162"/>
        <v>4.821261095519243</v>
      </c>
      <c r="K820" s="14">
        <f t="shared" si="163"/>
        <v>15.722760117618675</v>
      </c>
      <c r="L820" s="14">
        <f t="shared" si="164"/>
        <v>669.02010240399488</v>
      </c>
      <c r="M820" s="14">
        <f t="shared" si="158"/>
        <v>0.67872085391708792</v>
      </c>
      <c r="N820" s="14">
        <f t="shared" si="165"/>
        <v>17.36865518530881</v>
      </c>
      <c r="O820" s="4">
        <v>13.59</v>
      </c>
      <c r="P820" s="14">
        <f t="shared" si="168"/>
        <v>14.278235009461161</v>
      </c>
      <c r="Q820" s="14">
        <f t="shared" si="166"/>
        <v>49.79208951630855</v>
      </c>
    </row>
    <row r="821" spans="1:17" x14ac:dyDescent="0.25">
      <c r="A821" s="5" t="s">
        <v>878</v>
      </c>
      <c r="B821" s="6">
        <f t="shared" si="167"/>
        <v>3</v>
      </c>
      <c r="C821" s="70">
        <v>15.95825005</v>
      </c>
      <c r="D821" s="4">
        <v>0</v>
      </c>
      <c r="E821" s="12">
        <f t="shared" si="156"/>
        <v>0</v>
      </c>
      <c r="F821" s="12">
        <f t="shared" si="157"/>
        <v>0</v>
      </c>
      <c r="G821" s="16">
        <f t="shared" si="159"/>
        <v>15.605012633581463</v>
      </c>
      <c r="H821" s="14">
        <f t="shared" si="160"/>
        <v>0</v>
      </c>
      <c r="I821" s="14">
        <f t="shared" si="161"/>
        <v>11.396961333495524</v>
      </c>
      <c r="J821" s="14">
        <f t="shared" si="162"/>
        <v>2.96288557617132</v>
      </c>
      <c r="K821" s="14">
        <f t="shared" si="163"/>
        <v>14.412360348550028</v>
      </c>
      <c r="L821" s="14">
        <f t="shared" si="164"/>
        <v>669.65178131914638</v>
      </c>
      <c r="M821" s="14">
        <f t="shared" si="158"/>
        <v>0.62769368216212351</v>
      </c>
      <c r="N821" s="14">
        <f t="shared" si="165"/>
        <v>16.062855685884898</v>
      </c>
      <c r="O821" s="4">
        <v>11.6</v>
      </c>
      <c r="P821" s="14">
        <f t="shared" si="168"/>
        <v>19.917080873035168</v>
      </c>
      <c r="Q821" s="14">
        <f t="shared" si="166"/>
        <v>25.667912513434963</v>
      </c>
    </row>
    <row r="822" spans="1:17" x14ac:dyDescent="0.25">
      <c r="A822" s="5" t="s">
        <v>879</v>
      </c>
      <c r="B822" s="6">
        <f t="shared" si="167"/>
        <v>3</v>
      </c>
      <c r="C822" s="70">
        <v>16.009267810000001</v>
      </c>
      <c r="D822" s="4">
        <v>0</v>
      </c>
      <c r="E822" s="12">
        <f t="shared" si="156"/>
        <v>0</v>
      </c>
      <c r="F822" s="12">
        <f t="shared" si="157"/>
        <v>0</v>
      </c>
      <c r="G822" s="16">
        <f t="shared" si="159"/>
        <v>13.092249647115745</v>
      </c>
      <c r="H822" s="14">
        <f t="shared" si="160"/>
        <v>0</v>
      </c>
      <c r="I822" s="14">
        <f t="shared" si="161"/>
        <v>11.500701812161626</v>
      </c>
      <c r="J822" s="14">
        <f t="shared" si="162"/>
        <v>2.5127629864657179</v>
      </c>
      <c r="K822" s="14">
        <f t="shared" si="163"/>
        <v>13.217647183694353</v>
      </c>
      <c r="L822" s="14">
        <f t="shared" si="164"/>
        <v>670.21880080183985</v>
      </c>
      <c r="M822" s="14">
        <f t="shared" si="158"/>
        <v>0.58116947048010559</v>
      </c>
      <c r="N822" s="14">
        <f t="shared" si="165"/>
        <v>14.872288185549925</v>
      </c>
      <c r="O822" s="4">
        <v>9.81</v>
      </c>
      <c r="P822" s="14">
        <f t="shared" si="168"/>
        <v>25.626761673558345</v>
      </c>
      <c r="Q822" s="14">
        <f t="shared" si="166"/>
        <v>10.73447591286024</v>
      </c>
    </row>
    <row r="823" spans="1:17" x14ac:dyDescent="0.25">
      <c r="A823" s="5" t="s">
        <v>880</v>
      </c>
      <c r="B823" s="6">
        <f t="shared" si="167"/>
        <v>3</v>
      </c>
      <c r="C823" s="70">
        <v>16.163402560000002</v>
      </c>
      <c r="D823" s="4">
        <v>4.2</v>
      </c>
      <c r="E823" s="12">
        <f t="shared" si="156"/>
        <v>0</v>
      </c>
      <c r="F823" s="12">
        <f t="shared" si="157"/>
        <v>4.2</v>
      </c>
      <c r="G823" s="16">
        <f t="shared" si="159"/>
        <v>14.460762904769767</v>
      </c>
      <c r="H823" s="14">
        <f t="shared" si="160"/>
        <v>0.665883965035581</v>
      </c>
      <c r="I823" s="14">
        <f t="shared" si="161"/>
        <v>11.814122329724134</v>
      </c>
      <c r="J823" s="14">
        <f t="shared" si="162"/>
        <v>2.1656027773103985</v>
      </c>
      <c r="K823" s="14">
        <f t="shared" si="163"/>
        <v>12.794291376279482</v>
      </c>
      <c r="L823" s="14">
        <f t="shared" si="164"/>
        <v>670.72687110381014</v>
      </c>
      <c r="M823" s="14">
        <f t="shared" si="158"/>
        <v>0.56474868749836282</v>
      </c>
      <c r="N823" s="14">
        <f t="shared" si="165"/>
        <v>14.452075787718519</v>
      </c>
      <c r="O823" s="4">
        <v>10.01</v>
      </c>
      <c r="P823" s="14">
        <f t="shared" si="168"/>
        <v>19.732037303835099</v>
      </c>
      <c r="Q823" s="14">
        <f t="shared" si="166"/>
        <v>12.085016315159089</v>
      </c>
    </row>
    <row r="824" spans="1:17" x14ac:dyDescent="0.25">
      <c r="A824" s="5" t="s">
        <v>881</v>
      </c>
      <c r="B824" s="6">
        <f t="shared" si="167"/>
        <v>3</v>
      </c>
      <c r="C824" s="70">
        <v>15.87269592</v>
      </c>
      <c r="D824" s="4">
        <v>2</v>
      </c>
      <c r="E824" s="12">
        <f t="shared" si="156"/>
        <v>0</v>
      </c>
      <c r="F824" s="12">
        <f t="shared" si="157"/>
        <v>2</v>
      </c>
      <c r="G824" s="16">
        <f t="shared" si="159"/>
        <v>13.854131871943181</v>
      </c>
      <c r="H824" s="14">
        <f t="shared" si="160"/>
        <v>0.33434503370286361</v>
      </c>
      <c r="I824" s="14">
        <f t="shared" si="161"/>
        <v>11.222993946490257</v>
      </c>
      <c r="J824" s="14">
        <f t="shared" si="162"/>
        <v>2.2722859991237216</v>
      </c>
      <c r="K824" s="14">
        <f t="shared" si="163"/>
        <v>12.076771946113087</v>
      </c>
      <c r="L824" s="14">
        <f t="shared" si="164"/>
        <v>671.21398688018098</v>
      </c>
      <c r="M824" s="14">
        <f t="shared" si="158"/>
        <v>0.53683845564410937</v>
      </c>
      <c r="N824" s="14">
        <f t="shared" si="165"/>
        <v>13.737845201725994</v>
      </c>
      <c r="O824" s="4">
        <v>12.69</v>
      </c>
      <c r="P824" s="14">
        <f t="shared" si="168"/>
        <v>1.0979795667801906</v>
      </c>
      <c r="Q824" s="14">
        <f t="shared" si="166"/>
        <v>37.90065770596371</v>
      </c>
    </row>
    <row r="825" spans="1:17" x14ac:dyDescent="0.25">
      <c r="A825" s="5" t="s">
        <v>882</v>
      </c>
      <c r="B825" s="6">
        <f t="shared" si="167"/>
        <v>3</v>
      </c>
      <c r="C825" s="70">
        <v>16.57884026</v>
      </c>
      <c r="D825" s="4">
        <v>0.5</v>
      </c>
      <c r="E825" s="12">
        <f t="shared" si="156"/>
        <v>0</v>
      </c>
      <c r="F825" s="12">
        <f t="shared" si="157"/>
        <v>0.5</v>
      </c>
      <c r="G825" s="16">
        <f t="shared" si="159"/>
        <v>11.816946090345612</v>
      </c>
      <c r="H825" s="14">
        <f t="shared" si="160"/>
        <v>8.1698437788170458E-2</v>
      </c>
      <c r="I825" s="14">
        <f t="shared" si="161"/>
        <v>12.658881210826396</v>
      </c>
      <c r="J825" s="14">
        <f t="shared" si="162"/>
        <v>2.4554873438093989</v>
      </c>
      <c r="K825" s="14">
        <f t="shared" si="163"/>
        <v>11.169951006235561</v>
      </c>
      <c r="L825" s="14">
        <f t="shared" si="164"/>
        <v>671.66566780220262</v>
      </c>
      <c r="M825" s="14">
        <f t="shared" si="158"/>
        <v>0.5015298055416948</v>
      </c>
      <c r="N825" s="14">
        <f t="shared" si="165"/>
        <v>12.834287037646842</v>
      </c>
      <c r="O825" s="4">
        <v>12.65</v>
      </c>
      <c r="P825" s="14">
        <f t="shared" si="168"/>
        <v>3.3961712244648383E-2</v>
      </c>
      <c r="Q825" s="14">
        <f t="shared" si="166"/>
        <v>37.409749625503949</v>
      </c>
    </row>
    <row r="826" spans="1:17" x14ac:dyDescent="0.25">
      <c r="A826" s="5" t="s">
        <v>883</v>
      </c>
      <c r="B826" s="6">
        <f t="shared" si="167"/>
        <v>3</v>
      </c>
      <c r="C826" s="70">
        <v>16.219415659999999</v>
      </c>
      <c r="D826" s="4">
        <v>0.7</v>
      </c>
      <c r="E826" s="12">
        <f t="shared" si="156"/>
        <v>0</v>
      </c>
      <c r="F826" s="12">
        <f t="shared" si="157"/>
        <v>0.7</v>
      </c>
      <c r="G826" s="16">
        <f t="shared" si="159"/>
        <v>10.438367733038351</v>
      </c>
      <c r="H826" s="14">
        <f t="shared" si="160"/>
        <v>0.10508037487222628</v>
      </c>
      <c r="I826" s="14">
        <f t="shared" si="161"/>
        <v>11.928020427280199</v>
      </c>
      <c r="J826" s="14">
        <f t="shared" si="162"/>
        <v>1.9734979824350334</v>
      </c>
      <c r="K826" s="14">
        <f t="shared" si="163"/>
        <v>10.366569278817078</v>
      </c>
      <c r="L826" s="14">
        <f t="shared" si="164"/>
        <v>672.07260009895163</v>
      </c>
      <c r="M826" s="14">
        <f t="shared" si="158"/>
        <v>0.47025018401803198</v>
      </c>
      <c r="N826" s="14">
        <f t="shared" si="165"/>
        <v>12.033832834072555</v>
      </c>
      <c r="O826" s="4">
        <v>9.9</v>
      </c>
      <c r="P826" s="14">
        <f t="shared" si="168"/>
        <v>4.553242563766112</v>
      </c>
      <c r="Q826" s="14">
        <f t="shared" si="166"/>
        <v>11.332319093894723</v>
      </c>
    </row>
    <row r="827" spans="1:17" x14ac:dyDescent="0.25">
      <c r="A827" s="5" t="s">
        <v>884</v>
      </c>
      <c r="B827" s="6">
        <f t="shared" si="167"/>
        <v>3</v>
      </c>
      <c r="C827" s="70">
        <v>16.655111309999999</v>
      </c>
      <c r="D827" s="4">
        <v>3.2</v>
      </c>
      <c r="E827" s="12">
        <f t="shared" si="156"/>
        <v>0</v>
      </c>
      <c r="F827" s="12">
        <f t="shared" si="157"/>
        <v>3.2</v>
      </c>
      <c r="G827" s="16">
        <f t="shared" si="159"/>
        <v>11.315988057302816</v>
      </c>
      <c r="H827" s="14">
        <f t="shared" si="160"/>
        <v>0.44963130234206405</v>
      </c>
      <c r="I827" s="14">
        <f t="shared" si="161"/>
        <v>12.813972207282649</v>
      </c>
      <c r="J827" s="14">
        <f t="shared" si="162"/>
        <v>1.8727483733934707</v>
      </c>
      <c r="K827" s="14">
        <f t="shared" si="163"/>
        <v>9.9786637843558204</v>
      </c>
      <c r="L827" s="14">
        <f t="shared" si="164"/>
        <v>672.4398867117369</v>
      </c>
      <c r="M827" s="14">
        <f t="shared" si="158"/>
        <v>0.45518349144807324</v>
      </c>
      <c r="N827" s="14">
        <f t="shared" si="165"/>
        <v>11.64827198601493</v>
      </c>
      <c r="O827" s="4">
        <v>11.27</v>
      </c>
      <c r="P827" s="14">
        <f t="shared" si="168"/>
        <v>0.14308969540367936</v>
      </c>
      <c r="Q827" s="14">
        <f t="shared" si="166"/>
        <v>22.433020849641856</v>
      </c>
    </row>
    <row r="828" spans="1:17" x14ac:dyDescent="0.25">
      <c r="A828" s="5" t="s">
        <v>885</v>
      </c>
      <c r="B828" s="6">
        <f t="shared" si="167"/>
        <v>3</v>
      </c>
      <c r="C828" s="70">
        <v>16.638097760000001</v>
      </c>
      <c r="D828" s="4">
        <v>2.9</v>
      </c>
      <c r="E828" s="12">
        <f t="shared" si="156"/>
        <v>0</v>
      </c>
      <c r="F828" s="12">
        <f t="shared" si="157"/>
        <v>2.9</v>
      </c>
      <c r="G828" s="16">
        <f t="shared" si="159"/>
        <v>11.765871019557638</v>
      </c>
      <c r="H828" s="14">
        <f t="shared" si="160"/>
        <v>0.4253959545276384</v>
      </c>
      <c r="I828" s="14">
        <f t="shared" si="161"/>
        <v>12.779376532740892</v>
      </c>
      <c r="J828" s="14">
        <f t="shared" si="162"/>
        <v>2.0247210832175391</v>
      </c>
      <c r="K828" s="14">
        <f t="shared" si="163"/>
        <v>9.6007685749541967</v>
      </c>
      <c r="L828" s="14">
        <f t="shared" si="164"/>
        <v>672.78799438421811</v>
      </c>
      <c r="M828" s="14">
        <f t="shared" si="158"/>
        <v>0.44050354326758068</v>
      </c>
      <c r="N828" s="14">
        <f t="shared" si="165"/>
        <v>11.272608034312741</v>
      </c>
      <c r="O828" s="4">
        <v>12.04</v>
      </c>
      <c r="P828" s="14">
        <f t="shared" si="168"/>
        <v>0.58889042900135391</v>
      </c>
      <c r="Q828" s="14">
        <f t="shared" si="166"/>
        <v>30.319901398492433</v>
      </c>
    </row>
    <row r="829" spans="1:17" x14ac:dyDescent="0.25">
      <c r="A829" s="5" t="s">
        <v>886</v>
      </c>
      <c r="B829" s="6">
        <f t="shared" si="167"/>
        <v>3</v>
      </c>
      <c r="C829" s="70">
        <v>17.060552600000001</v>
      </c>
      <c r="D829" s="4">
        <v>4.7</v>
      </c>
      <c r="E829" s="12">
        <f t="shared" si="156"/>
        <v>0</v>
      </c>
      <c r="F829" s="12">
        <f t="shared" si="157"/>
        <v>4.7</v>
      </c>
      <c r="G829" s="16">
        <f t="shared" si="159"/>
        <v>13.5152294965742</v>
      </c>
      <c r="H829" s="14">
        <f t="shared" si="160"/>
        <v>0.70391248226960701</v>
      </c>
      <c r="I829" s="14">
        <f t="shared" si="161"/>
        <v>13.638404199114545</v>
      </c>
      <c r="J829" s="14">
        <f t="shared" si="162"/>
        <v>2.2467290407138334</v>
      </c>
      <c r="K829" s="14">
        <f t="shared" si="163"/>
        <v>9.5347517837313021</v>
      </c>
      <c r="L829" s="14">
        <f t="shared" si="164"/>
        <v>673.11742011444312</v>
      </c>
      <c r="M829" s="14">
        <f t="shared" si="158"/>
        <v>0.43799623635919693</v>
      </c>
      <c r="N829" s="14">
        <f t="shared" si="165"/>
        <v>11.20844535405306</v>
      </c>
      <c r="O829" s="4">
        <v>12.38</v>
      </c>
      <c r="P829" s="14">
        <f t="shared" si="168"/>
        <v>1.3725402884398619</v>
      </c>
      <c r="Q829" s="14">
        <f t="shared" si="166"/>
        <v>34.179820082400504</v>
      </c>
    </row>
    <row r="830" spans="1:17" x14ac:dyDescent="0.25">
      <c r="A830" s="5" t="s">
        <v>887</v>
      </c>
      <c r="B830" s="6">
        <f t="shared" si="167"/>
        <v>3</v>
      </c>
      <c r="C830" s="70">
        <v>16.98792267</v>
      </c>
      <c r="D830" s="4">
        <v>3.1</v>
      </c>
      <c r="E830" s="12">
        <f t="shared" si="156"/>
        <v>0</v>
      </c>
      <c r="F830" s="12">
        <f t="shared" si="157"/>
        <v>3.1</v>
      </c>
      <c r="G830" s="16">
        <f t="shared" si="159"/>
        <v>13.562514553824769</v>
      </c>
      <c r="H830" s="14">
        <f t="shared" si="160"/>
        <v>0.49988715227679925</v>
      </c>
      <c r="I830" s="14">
        <f t="shared" si="161"/>
        <v>13.490717124972413</v>
      </c>
      <c r="J830" s="14">
        <f t="shared" si="162"/>
        <v>2.5528277904726342</v>
      </c>
      <c r="K830" s="14">
        <f t="shared" si="163"/>
        <v>9.2705378521855639</v>
      </c>
      <c r="L830" s="14">
        <f t="shared" si="164"/>
        <v>673.44352496190652</v>
      </c>
      <c r="M830" s="14">
        <f t="shared" si="158"/>
        <v>0.42775004160298286</v>
      </c>
      <c r="N830" s="14">
        <f t="shared" si="165"/>
        <v>10.946242384076331</v>
      </c>
      <c r="O830" s="4">
        <v>14.43</v>
      </c>
      <c r="P830" s="14">
        <f t="shared" si="168"/>
        <v>12.136567126506161</v>
      </c>
      <c r="Q830" s="14">
        <f t="shared" si="166"/>
        <v>62.352359205963722</v>
      </c>
    </row>
    <row r="831" spans="1:17" x14ac:dyDescent="0.25">
      <c r="A831" s="5" t="s">
        <v>888</v>
      </c>
      <c r="B831" s="6">
        <f t="shared" si="167"/>
        <v>3</v>
      </c>
      <c r="C831" s="70">
        <v>17.455352779999998</v>
      </c>
      <c r="D831" s="4">
        <v>4.8</v>
      </c>
      <c r="E831" s="12">
        <f t="shared" si="156"/>
        <v>0</v>
      </c>
      <c r="F831" s="12">
        <f t="shared" si="157"/>
        <v>4.8</v>
      </c>
      <c r="G831" s="16">
        <f t="shared" si="159"/>
        <v>14.844806781139843</v>
      </c>
      <c r="H831" s="14">
        <f t="shared" si="160"/>
        <v>0.77546115947040584</v>
      </c>
      <c r="I831" s="14">
        <f t="shared" si="161"/>
        <v>14.441198356495471</v>
      </c>
      <c r="J831" s="14">
        <f t="shared" si="162"/>
        <v>2.7422466132145207</v>
      </c>
      <c r="K831" s="14">
        <f t="shared" si="163"/>
        <v>9.3052236435789535</v>
      </c>
      <c r="L831" s="14">
        <f t="shared" si="164"/>
        <v>673.75655028838059</v>
      </c>
      <c r="M831" s="14">
        <f t="shared" si="158"/>
        <v>0.42917095638613556</v>
      </c>
      <c r="N831" s="14">
        <f t="shared" si="165"/>
        <v>10.982603988075761</v>
      </c>
      <c r="O831" s="4">
        <v>16.579999999999998</v>
      </c>
      <c r="P831" s="14">
        <f t="shared" si="168"/>
        <v>31.330842114305359</v>
      </c>
      <c r="Q831" s="14">
        <f t="shared" si="166"/>
        <v>100.92916853067638</v>
      </c>
    </row>
    <row r="832" spans="1:17" x14ac:dyDescent="0.25">
      <c r="A832" s="5" t="s">
        <v>889</v>
      </c>
      <c r="B832" s="6">
        <f t="shared" si="167"/>
        <v>3</v>
      </c>
      <c r="C832" s="70">
        <v>16.517049790000002</v>
      </c>
      <c r="D832" s="4">
        <v>6.1</v>
      </c>
      <c r="E832" s="12">
        <f t="shared" si="156"/>
        <v>0</v>
      </c>
      <c r="F832" s="12">
        <f t="shared" si="157"/>
        <v>6.1</v>
      </c>
      <c r="G832" s="16">
        <f t="shared" si="159"/>
        <v>17.30574806900761</v>
      </c>
      <c r="H832" s="14">
        <f t="shared" si="160"/>
        <v>1.0341002609741656</v>
      </c>
      <c r="I832" s="14">
        <f t="shared" si="161"/>
        <v>12.533235299778887</v>
      </c>
      <c r="J832" s="14">
        <f t="shared" si="162"/>
        <v>2.604958451158065</v>
      </c>
      <c r="K832" s="14">
        <f t="shared" si="163"/>
        <v>9.59548635536507</v>
      </c>
      <c r="L832" s="14">
        <f t="shared" si="164"/>
        <v>674.07121688118252</v>
      </c>
      <c r="M832" s="14">
        <f t="shared" si="158"/>
        <v>0.44057067112589993</v>
      </c>
      <c r="N832" s="14">
        <f t="shared" si="165"/>
        <v>11.274325854853759</v>
      </c>
      <c r="O832" s="4">
        <v>17.72</v>
      </c>
      <c r="P832" s="14">
        <f t="shared" si="168"/>
        <v>41.546715185406718</v>
      </c>
      <c r="Q832" s="14">
        <f t="shared" si="166"/>
        <v>125.13444882377985</v>
      </c>
    </row>
    <row r="833" spans="1:17" x14ac:dyDescent="0.25">
      <c r="A833" s="5" t="s">
        <v>890</v>
      </c>
      <c r="B833" s="6">
        <f t="shared" si="167"/>
        <v>3</v>
      </c>
      <c r="C833" s="70">
        <v>15.66065502</v>
      </c>
      <c r="D833" s="4">
        <v>2.2000000000000002</v>
      </c>
      <c r="E833" s="12">
        <f t="shared" si="156"/>
        <v>0</v>
      </c>
      <c r="F833" s="12">
        <f t="shared" si="157"/>
        <v>2.2000000000000002</v>
      </c>
      <c r="G833" s="16">
        <f t="shared" si="159"/>
        <v>16.486158602145814</v>
      </c>
      <c r="H833" s="14">
        <f t="shared" si="160"/>
        <v>0.40472990681756454</v>
      </c>
      <c r="I833" s="14">
        <f t="shared" si="161"/>
        <v>10.791825967676786</v>
      </c>
      <c r="J833" s="14">
        <f t="shared" si="162"/>
        <v>2.6148595600442288</v>
      </c>
      <c r="K833" s="14">
        <f t="shared" si="163"/>
        <v>9.2307533212257429</v>
      </c>
      <c r="L833" s="14">
        <f t="shared" si="164"/>
        <v>674.40010915101345</v>
      </c>
      <c r="M833" s="14">
        <f t="shared" si="158"/>
        <v>0.42640051833094889</v>
      </c>
      <c r="N833" s="14">
        <f t="shared" si="165"/>
        <v>10.911707708677408</v>
      </c>
      <c r="O833" s="4">
        <v>20.62</v>
      </c>
      <c r="P833" s="14">
        <f t="shared" si="168"/>
        <v>94.250939213753682</v>
      </c>
      <c r="Q833" s="14">
        <f t="shared" si="166"/>
        <v>198.42528465711328</v>
      </c>
    </row>
    <row r="834" spans="1:17" x14ac:dyDescent="0.25">
      <c r="A834" s="5" t="s">
        <v>891</v>
      </c>
      <c r="B834" s="6">
        <f t="shared" si="167"/>
        <v>3</v>
      </c>
      <c r="C834" s="70">
        <v>14.482223510000001</v>
      </c>
      <c r="D834" s="4">
        <v>0.2</v>
      </c>
      <c r="E834" s="12">
        <f t="shared" si="156"/>
        <v>0</v>
      </c>
      <c r="F834" s="12">
        <f t="shared" si="157"/>
        <v>0.2</v>
      </c>
      <c r="G834" s="16">
        <f t="shared" si="159"/>
        <v>14.712395749676944</v>
      </c>
      <c r="H834" s="14">
        <f t="shared" si="160"/>
        <v>3.5854254094632783E-2</v>
      </c>
      <c r="I834" s="14">
        <f t="shared" si="161"/>
        <v>8.3955810340964856</v>
      </c>
      <c r="J834" s="14">
        <f t="shared" si="162"/>
        <v>1.9379085983742352</v>
      </c>
      <c r="K834" s="14">
        <f t="shared" si="163"/>
        <v>8.5293445226417486</v>
      </c>
      <c r="L834" s="14">
        <f t="shared" si="164"/>
        <v>674.71097168536107</v>
      </c>
      <c r="M834" s="14">
        <f t="shared" si="158"/>
        <v>0.39908174472433294</v>
      </c>
      <c r="N834" s="14">
        <f t="shared" si="165"/>
        <v>10.21261270353588</v>
      </c>
      <c r="O834" s="4">
        <v>23.3</v>
      </c>
      <c r="P834" s="14">
        <f t="shared" si="168"/>
        <v>171.27970624765044</v>
      </c>
      <c r="Q834" s="14">
        <f t="shared" si="166"/>
        <v>281.11052604791792</v>
      </c>
    </row>
    <row r="835" spans="1:17" x14ac:dyDescent="0.25">
      <c r="A835" s="5" t="s">
        <v>892</v>
      </c>
      <c r="B835" s="6">
        <f t="shared" si="167"/>
        <v>4</v>
      </c>
      <c r="C835" s="70">
        <v>15.84720898</v>
      </c>
      <c r="D835" s="4">
        <v>1.3</v>
      </c>
      <c r="E835" s="12">
        <f t="shared" si="156"/>
        <v>0</v>
      </c>
      <c r="F835" s="12">
        <f t="shared" si="157"/>
        <v>1.3</v>
      </c>
      <c r="G835" s="16">
        <f t="shared" si="159"/>
        <v>13.763092796621589</v>
      </c>
      <c r="H835" s="14">
        <f t="shared" si="160"/>
        <v>0.21933198713438165</v>
      </c>
      <c r="I835" s="14">
        <f t="shared" si="161"/>
        <v>9.854699130838009</v>
      </c>
      <c r="J835" s="14">
        <f t="shared" si="162"/>
        <v>2.029970965920973</v>
      </c>
      <c r="K835" s="14">
        <f t="shared" si="163"/>
        <v>8.073336241265082</v>
      </c>
      <c r="L835" s="14">
        <f t="shared" si="164"/>
        <v>674.98723020914781</v>
      </c>
      <c r="M835" s="14">
        <f t="shared" si="158"/>
        <v>0.38133673411850066</v>
      </c>
      <c r="N835" s="14">
        <f t="shared" si="165"/>
        <v>9.7585129529630201</v>
      </c>
      <c r="O835" s="4">
        <v>22.35</v>
      </c>
      <c r="P835" s="14">
        <f t="shared" si="168"/>
        <v>158.54554605570007</v>
      </c>
      <c r="Q835" s="14">
        <f t="shared" si="166"/>
        <v>250.15695913699835</v>
      </c>
    </row>
    <row r="836" spans="1:17" x14ac:dyDescent="0.25">
      <c r="A836" s="5" t="s">
        <v>893</v>
      </c>
      <c r="B836" s="6">
        <f t="shared" si="167"/>
        <v>4</v>
      </c>
      <c r="C836" s="70">
        <v>15.60423756</v>
      </c>
      <c r="D836" s="4">
        <v>12.2</v>
      </c>
      <c r="E836" s="12">
        <f t="shared" si="156"/>
        <v>0</v>
      </c>
      <c r="F836" s="12">
        <f t="shared" si="157"/>
        <v>12.2</v>
      </c>
      <c r="G836" s="16">
        <f t="shared" si="159"/>
        <v>22.169572298276307</v>
      </c>
      <c r="H836" s="14">
        <f t="shared" si="160"/>
        <v>1.9864484416904722</v>
      </c>
      <c r="I836" s="14">
        <f t="shared" si="161"/>
        <v>9.3777008364840899</v>
      </c>
      <c r="J836" s="14">
        <f t="shared" si="162"/>
        <v>1.8070720566548055</v>
      </c>
      <c r="K836" s="14">
        <f t="shared" si="163"/>
        <v>9.4247023958717744</v>
      </c>
      <c r="L836" s="14">
        <f t="shared" si="164"/>
        <v>675.24097576211307</v>
      </c>
      <c r="M836" s="14">
        <f t="shared" si="158"/>
        <v>0.43415196926642585</v>
      </c>
      <c r="N836" s="14">
        <f t="shared" si="165"/>
        <v>11.110069491297077</v>
      </c>
      <c r="O836" s="4">
        <v>27.09</v>
      </c>
      <c r="P836" s="14">
        <f t="shared" si="168"/>
        <v>255.35817906297444</v>
      </c>
      <c r="Q836" s="14">
        <f t="shared" si="166"/>
        <v>422.56356667148111</v>
      </c>
    </row>
    <row r="837" spans="1:17" x14ac:dyDescent="0.25">
      <c r="A837" s="5" t="s">
        <v>894</v>
      </c>
      <c r="B837" s="6">
        <f t="shared" si="167"/>
        <v>4</v>
      </c>
      <c r="C837" s="70">
        <v>15.192347529999999</v>
      </c>
      <c r="D837" s="4">
        <v>2.2999999999999998</v>
      </c>
      <c r="E837" s="12">
        <f t="shared" si="156"/>
        <v>0</v>
      </c>
      <c r="F837" s="12">
        <f t="shared" si="157"/>
        <v>2.2999999999999998</v>
      </c>
      <c r="G837" s="16">
        <f t="shared" si="159"/>
        <v>21.326890070779271</v>
      </c>
      <c r="H837" s="14">
        <f t="shared" si="160"/>
        <v>0.48284683613263363</v>
      </c>
      <c r="I837" s="14">
        <f t="shared" si="161"/>
        <v>8.5690837498679571</v>
      </c>
      <c r="J837" s="14">
        <f t="shared" si="162"/>
        <v>2.6598353913644024</v>
      </c>
      <c r="K837" s="14">
        <f t="shared" si="163"/>
        <v>9.153163687117166</v>
      </c>
      <c r="L837" s="14">
        <f t="shared" si="164"/>
        <v>675.56120933773389</v>
      </c>
      <c r="M837" s="14">
        <f t="shared" si="158"/>
        <v>0.42361854362418927</v>
      </c>
      <c r="N837" s="14">
        <f t="shared" si="165"/>
        <v>10.840516203160675</v>
      </c>
      <c r="O837" s="4">
        <v>24.43</v>
      </c>
      <c r="P837" s="14">
        <f t="shared" si="168"/>
        <v>184.67406986455856</v>
      </c>
      <c r="Q837" s="14">
        <f t="shared" si="166"/>
        <v>320.2793793209064</v>
      </c>
    </row>
    <row r="838" spans="1:17" x14ac:dyDescent="0.25">
      <c r="A838" s="5" t="s">
        <v>895</v>
      </c>
      <c r="B838" s="6">
        <f t="shared" si="167"/>
        <v>4</v>
      </c>
      <c r="C838" s="70">
        <v>14.78314209</v>
      </c>
      <c r="D838" s="4">
        <v>5.2</v>
      </c>
      <c r="E838" s="12">
        <f t="shared" si="156"/>
        <v>0</v>
      </c>
      <c r="F838" s="12">
        <f t="shared" si="157"/>
        <v>5.2</v>
      </c>
      <c r="G838" s="16">
        <f t="shared" si="159"/>
        <v>23.138701953831109</v>
      </c>
      <c r="H838" s="14">
        <f t="shared" si="160"/>
        <v>1.0693348513306766</v>
      </c>
      <c r="I838" s="14">
        <f t="shared" si="161"/>
        <v>7.7657370150118794</v>
      </c>
      <c r="J838" s="14">
        <f t="shared" si="162"/>
        <v>2.3188532656174843</v>
      </c>
      <c r="K838" s="14">
        <f t="shared" si="163"/>
        <v>9.4920853658623177</v>
      </c>
      <c r="L838" s="14">
        <f t="shared" si="164"/>
        <v>675.86800396669526</v>
      </c>
      <c r="M838" s="14">
        <f t="shared" si="158"/>
        <v>0.4369163659744057</v>
      </c>
      <c r="N838" s="14">
        <f t="shared" si="165"/>
        <v>11.180811170942256</v>
      </c>
      <c r="O838" s="4">
        <v>19.7</v>
      </c>
      <c r="P838" s="14">
        <f t="shared" si="168"/>
        <v>72.576578305142235</v>
      </c>
      <c r="Q838" s="14">
        <f t="shared" si="166"/>
        <v>173.35279880653849</v>
      </c>
    </row>
    <row r="839" spans="1:17" x14ac:dyDescent="0.25">
      <c r="A839" s="5" t="s">
        <v>896</v>
      </c>
      <c r="B839" s="6">
        <f t="shared" si="167"/>
        <v>4</v>
      </c>
      <c r="C839" s="70">
        <v>15.677819250000001</v>
      </c>
      <c r="D839" s="4">
        <v>0.2</v>
      </c>
      <c r="E839" s="12">
        <f t="shared" si="156"/>
        <v>0</v>
      </c>
      <c r="F839" s="12">
        <f t="shared" si="157"/>
        <v>0.2</v>
      </c>
      <c r="G839" s="16">
        <f t="shared" si="159"/>
        <v>20.210873475193416</v>
      </c>
      <c r="H839" s="14">
        <f t="shared" si="160"/>
        <v>4.2955282418441279E-2</v>
      </c>
      <c r="I839" s="14">
        <f t="shared" si="161"/>
        <v>9.5221554419915169</v>
      </c>
      <c r="J839" s="14">
        <f t="shared" si="162"/>
        <v>3.0848731962192515</v>
      </c>
      <c r="K839" s="14">
        <f t="shared" si="163"/>
        <v>8.7747063027572576</v>
      </c>
      <c r="L839" s="14">
        <f t="shared" si="164"/>
        <v>676.1914219462443</v>
      </c>
      <c r="M839" s="14">
        <f t="shared" si="158"/>
        <v>0.4089767424367714</v>
      </c>
      <c r="N839" s="14">
        <f t="shared" si="165"/>
        <v>10.465828443607656</v>
      </c>
      <c r="O839" s="4">
        <v>17.53</v>
      </c>
      <c r="P839" s="14">
        <f t="shared" si="168"/>
        <v>49.902519778142654</v>
      </c>
      <c r="Q839" s="14">
        <f t="shared" si="166"/>
        <v>120.91973544159599</v>
      </c>
    </row>
    <row r="840" spans="1:17" x14ac:dyDescent="0.25">
      <c r="A840" s="5" t="s">
        <v>897</v>
      </c>
      <c r="B840" s="6">
        <f t="shared" si="167"/>
        <v>4</v>
      </c>
      <c r="C840" s="70">
        <v>15.005108829999999</v>
      </c>
      <c r="D840" s="4">
        <v>1</v>
      </c>
      <c r="E840" s="12">
        <f t="shared" si="156"/>
        <v>0</v>
      </c>
      <c r="F840" s="12">
        <f t="shared" si="157"/>
        <v>1</v>
      </c>
      <c r="G840" s="16">
        <f t="shared" si="159"/>
        <v>18.690220667717217</v>
      </c>
      <c r="H840" s="14">
        <f t="shared" si="160"/>
        <v>0.19983318185325852</v>
      </c>
      <c r="I840" s="14">
        <f t="shared" si="161"/>
        <v>8.2014991980015477</v>
      </c>
      <c r="J840" s="14">
        <f t="shared" si="162"/>
        <v>2.3208196256229412</v>
      </c>
      <c r="K840" s="14">
        <f t="shared" si="163"/>
        <v>8.2775378332030183</v>
      </c>
      <c r="L840" s="14">
        <f t="shared" si="164"/>
        <v>676.47944685521497</v>
      </c>
      <c r="M840" s="14">
        <f t="shared" si="158"/>
        <v>0.38962722750102063</v>
      </c>
      <c r="N840" s="14">
        <f t="shared" si="165"/>
        <v>9.9706689815365337</v>
      </c>
      <c r="O840" s="4">
        <v>13.57</v>
      </c>
      <c r="P840" s="14">
        <f t="shared" si="168"/>
        <v>12.955183780473256</v>
      </c>
      <c r="Q840" s="14">
        <f t="shared" si="166"/>
        <v>49.51023547607867</v>
      </c>
    </row>
    <row r="841" spans="1:17" x14ac:dyDescent="0.25">
      <c r="A841" s="5" t="s">
        <v>898</v>
      </c>
      <c r="B841" s="6">
        <f t="shared" si="167"/>
        <v>4</v>
      </c>
      <c r="C841" s="70">
        <v>12.941486360000001</v>
      </c>
      <c r="D841" s="4">
        <v>0.5</v>
      </c>
      <c r="E841" s="12">
        <f t="shared" si="156"/>
        <v>0</v>
      </c>
      <c r="F841" s="12">
        <f t="shared" si="157"/>
        <v>0.5</v>
      </c>
      <c r="G841" s="16">
        <f t="shared" si="159"/>
        <v>18.008336825136155</v>
      </c>
      <c r="H841" s="14">
        <f t="shared" si="160"/>
        <v>9.5836165751342114E-2</v>
      </c>
      <c r="I841" s="14">
        <f t="shared" si="161"/>
        <v>4.1502227212026668</v>
      </c>
      <c r="J841" s="14">
        <f t="shared" si="162"/>
        <v>1.0860476768297165</v>
      </c>
      <c r="K841" s="14">
        <f t="shared" si="163"/>
        <v>7.7202640921290309</v>
      </c>
      <c r="L841" s="14">
        <f t="shared" si="164"/>
        <v>676.74292953453926</v>
      </c>
      <c r="M841" s="14">
        <f t="shared" si="158"/>
        <v>0.36792580355858606</v>
      </c>
      <c r="N841" s="14">
        <f t="shared" si="165"/>
        <v>9.4153235146763183</v>
      </c>
      <c r="O841" s="4">
        <v>11.12</v>
      </c>
      <c r="P841" s="14">
        <f t="shared" si="168"/>
        <v>2.9059219196154977</v>
      </c>
      <c r="Q841" s="14">
        <f t="shared" si="166"/>
        <v>21.034615547917713</v>
      </c>
    </row>
    <row r="842" spans="1:17" x14ac:dyDescent="0.25">
      <c r="A842" s="5" t="s">
        <v>899</v>
      </c>
      <c r="B842" s="6">
        <f t="shared" si="167"/>
        <v>4</v>
      </c>
      <c r="C842" s="70">
        <v>15.243179319999999</v>
      </c>
      <c r="D842" s="4">
        <v>3.2</v>
      </c>
      <c r="E842" s="12">
        <f t="shared" si="156"/>
        <v>0</v>
      </c>
      <c r="F842" s="12">
        <f t="shared" si="157"/>
        <v>3.2</v>
      </c>
      <c r="G842" s="16">
        <f t="shared" si="159"/>
        <v>18.421272243708515</v>
      </c>
      <c r="H842" s="14">
        <f t="shared" si="160"/>
        <v>0.60131976698677381</v>
      </c>
      <c r="I842" s="14">
        <f t="shared" si="161"/>
        <v>8.6688760510734095</v>
      </c>
      <c r="J842" s="14">
        <f t="shared" si="162"/>
        <v>2.1857448144408669</v>
      </c>
      <c r="K842" s="14">
        <f t="shared" si="163"/>
        <v>7.7176719972258248</v>
      </c>
      <c r="L842" s="14">
        <f t="shared" si="164"/>
        <v>676.97891559287064</v>
      </c>
      <c r="M842" s="14">
        <f t="shared" si="158"/>
        <v>0.36787487214447023</v>
      </c>
      <c r="N842" s="14">
        <f t="shared" si="165"/>
        <v>9.4140201656414764</v>
      </c>
      <c r="O842" s="4">
        <v>9.8699999999999992</v>
      </c>
      <c r="P842" s="14">
        <f t="shared" si="168"/>
        <v>0.20791760934162593</v>
      </c>
      <c r="Q842" s="14">
        <f t="shared" si="166"/>
        <v>11.131238033549888</v>
      </c>
    </row>
    <row r="843" spans="1:17" x14ac:dyDescent="0.25">
      <c r="A843" s="5" t="s">
        <v>900</v>
      </c>
      <c r="B843" s="6">
        <f t="shared" si="167"/>
        <v>4</v>
      </c>
      <c r="C843" s="70">
        <v>13.83739948</v>
      </c>
      <c r="D843" s="4">
        <v>0.5</v>
      </c>
      <c r="E843" s="12">
        <f t="shared" si="156"/>
        <v>0</v>
      </c>
      <c r="F843" s="12">
        <f t="shared" si="157"/>
        <v>0.5</v>
      </c>
      <c r="G843" s="16">
        <f t="shared" si="159"/>
        <v>17.302115187033337</v>
      </c>
      <c r="H843" s="14">
        <f t="shared" si="160"/>
        <v>9.5098564250637799E-2</v>
      </c>
      <c r="I843" s="14">
        <f t="shared" si="161"/>
        <v>5.9090675685896468</v>
      </c>
      <c r="J843" s="14">
        <f t="shared" si="162"/>
        <v>1.5240584924245391</v>
      </c>
      <c r="K843" s="14">
        <f t="shared" si="163"/>
        <v>7.2090875386508859</v>
      </c>
      <c r="L843" s="14">
        <f t="shared" si="164"/>
        <v>677.21472374355176</v>
      </c>
      <c r="M843" s="14">
        <f t="shared" si="158"/>
        <v>0.34806852094102597</v>
      </c>
      <c r="N843" s="14">
        <f t="shared" si="165"/>
        <v>8.9071701365811169</v>
      </c>
      <c r="O843" s="4">
        <v>8.9</v>
      </c>
      <c r="P843" s="14">
        <f t="shared" si="168"/>
        <v>5.141085859186555E-5</v>
      </c>
      <c r="Q843" s="14">
        <f t="shared" si="166"/>
        <v>5.599617082400461</v>
      </c>
    </row>
    <row r="844" spans="1:17" x14ac:dyDescent="0.25">
      <c r="A844" s="5" t="s">
        <v>901</v>
      </c>
      <c r="B844" s="6">
        <f t="shared" si="167"/>
        <v>4</v>
      </c>
      <c r="C844" s="70">
        <v>17.300819400000002</v>
      </c>
      <c r="D844" s="4">
        <v>0</v>
      </c>
      <c r="E844" s="12">
        <f t="shared" si="156"/>
        <v>0</v>
      </c>
      <c r="F844" s="12">
        <f t="shared" si="157"/>
        <v>0</v>
      </c>
      <c r="G844" s="16">
        <f t="shared" si="159"/>
        <v>14.223514189182289</v>
      </c>
      <c r="H844" s="14">
        <f t="shared" si="160"/>
        <v>0</v>
      </c>
      <c r="I844" s="14">
        <f t="shared" si="161"/>
        <v>12.708407978549749</v>
      </c>
      <c r="J844" s="14">
        <f t="shared" si="162"/>
        <v>3.0786009978510469</v>
      </c>
      <c r="K844" s="14">
        <f t="shared" si="163"/>
        <v>6.6503041032312549</v>
      </c>
      <c r="L844" s="14">
        <f t="shared" si="164"/>
        <v>677.42543865803032</v>
      </c>
      <c r="M844" s="14">
        <f t="shared" si="158"/>
        <v>0.32629691328836186</v>
      </c>
      <c r="N844" s="14">
        <f t="shared" si="165"/>
        <v>8.3500286490806488</v>
      </c>
      <c r="O844" s="4">
        <v>7.81</v>
      </c>
      <c r="P844" s="14">
        <f t="shared" si="168"/>
        <v>0.29163094182787092</v>
      </c>
      <c r="Q844" s="14">
        <f t="shared" si="166"/>
        <v>1.6290718898717123</v>
      </c>
    </row>
    <row r="845" spans="1:17" x14ac:dyDescent="0.25">
      <c r="A845" s="5" t="s">
        <v>902</v>
      </c>
      <c r="B845" s="6">
        <f t="shared" si="167"/>
        <v>4</v>
      </c>
      <c r="C845" s="70">
        <v>16.458232880000001</v>
      </c>
      <c r="D845" s="4">
        <v>0</v>
      </c>
      <c r="E845" s="12">
        <f t="shared" si="156"/>
        <v>0</v>
      </c>
      <c r="F845" s="12">
        <f t="shared" si="157"/>
        <v>0</v>
      </c>
      <c r="G845" s="16">
        <f t="shared" si="159"/>
        <v>12.022112086200982</v>
      </c>
      <c r="H845" s="14">
        <f t="shared" si="160"/>
        <v>0</v>
      </c>
      <c r="I845" s="14">
        <f t="shared" si="161"/>
        <v>11.054253210529689</v>
      </c>
      <c r="J845" s="14">
        <f t="shared" si="162"/>
        <v>2.2014021029813073</v>
      </c>
      <c r="K845" s="14">
        <f t="shared" si="163"/>
        <v>6.1408519937627126</v>
      </c>
      <c r="L845" s="14">
        <f t="shared" si="164"/>
        <v>677.60859385421054</v>
      </c>
      <c r="M845" s="14">
        <f t="shared" si="158"/>
        <v>0.30644547003593525</v>
      </c>
      <c r="N845" s="14">
        <f t="shared" si="165"/>
        <v>7.8420247019612601</v>
      </c>
      <c r="O845" s="4">
        <v>7.17</v>
      </c>
      <c r="P845" s="14">
        <f t="shared" si="168"/>
        <v>0.4516172000461206</v>
      </c>
      <c r="Q845" s="14">
        <f t="shared" si="166"/>
        <v>0.40494260251538527</v>
      </c>
    </row>
    <row r="846" spans="1:17" x14ac:dyDescent="0.25">
      <c r="A846" s="5" t="s">
        <v>903</v>
      </c>
      <c r="B846" s="6">
        <f t="shared" si="167"/>
        <v>8</v>
      </c>
      <c r="C846" s="70">
        <v>16.516298290000002</v>
      </c>
      <c r="D846" s="4">
        <v>0</v>
      </c>
      <c r="E846" s="12">
        <f t="shared" si="156"/>
        <v>0</v>
      </c>
      <c r="F846" s="12">
        <f t="shared" si="157"/>
        <v>0</v>
      </c>
      <c r="G846" s="16">
        <f t="shared" si="159"/>
        <v>10.814708544277808</v>
      </c>
      <c r="H846" s="14">
        <f t="shared" si="160"/>
        <v>0</v>
      </c>
      <c r="I846" s="14">
        <f t="shared" si="161"/>
        <v>7.1731285597377576</v>
      </c>
      <c r="J846" s="14">
        <f t="shared" si="162"/>
        <v>1.2074035419231737</v>
      </c>
      <c r="K846" s="14">
        <f t="shared" si="163"/>
        <v>5.6763760709089173</v>
      </c>
      <c r="L846" s="14">
        <f t="shared" si="164"/>
        <v>677.76662430702834</v>
      </c>
      <c r="M846" s="14">
        <f t="shared" si="158"/>
        <v>0.28834467286453436</v>
      </c>
      <c r="N846" s="14">
        <f t="shared" si="165"/>
        <v>7.3788202743458964</v>
      </c>
      <c r="O846" s="4">
        <v>7.5651000000000002</v>
      </c>
      <c r="P846" s="14">
        <f t="shared" si="168"/>
        <v>3.4700136189768166E-2</v>
      </c>
      <c r="Q846" s="14">
        <f t="shared" si="166"/>
        <v>1.0638911772567687</v>
      </c>
    </row>
    <row r="847" spans="1:17" x14ac:dyDescent="0.25">
      <c r="A847" s="5" t="s">
        <v>904</v>
      </c>
      <c r="B847" s="6">
        <f t="shared" si="167"/>
        <v>8</v>
      </c>
      <c r="C847" s="70">
        <v>16.59674644</v>
      </c>
      <c r="D847" s="4">
        <v>0</v>
      </c>
      <c r="E847" s="12">
        <f t="shared" si="156"/>
        <v>0</v>
      </c>
      <c r="F847" s="12">
        <f t="shared" si="157"/>
        <v>0</v>
      </c>
      <c r="G847" s="16">
        <f t="shared" si="159"/>
        <v>9.7096295086668594</v>
      </c>
      <c r="H847" s="14">
        <f t="shared" si="160"/>
        <v>0</v>
      </c>
      <c r="I847" s="14">
        <f t="shared" si="161"/>
        <v>7.2981949820215135</v>
      </c>
      <c r="J847" s="14">
        <f t="shared" si="162"/>
        <v>1.1050790356109486</v>
      </c>
      <c r="K847" s="14">
        <f t="shared" si="163"/>
        <v>5.2529056820318507</v>
      </c>
      <c r="L847" s="14">
        <f t="shared" si="164"/>
        <v>677.9017500230409</v>
      </c>
      <c r="M847" s="14">
        <f t="shared" si="158"/>
        <v>0.27183996911584773</v>
      </c>
      <c r="N847" s="14">
        <f t="shared" si="165"/>
        <v>6.9564603207770768</v>
      </c>
      <c r="O847" s="4">
        <v>7.9926000000000004</v>
      </c>
      <c r="P847" s="14">
        <f t="shared" si="168"/>
        <v>1.073585434860183</v>
      </c>
      <c r="Q847" s="14">
        <f t="shared" si="166"/>
        <v>2.1285380371705669</v>
      </c>
    </row>
    <row r="848" spans="1:17" x14ac:dyDescent="0.25">
      <c r="A848" s="5" t="s">
        <v>905</v>
      </c>
      <c r="B848" s="6">
        <f t="shared" si="167"/>
        <v>8</v>
      </c>
      <c r="C848" s="70">
        <v>14.380715370000001</v>
      </c>
      <c r="D848" s="4">
        <v>0</v>
      </c>
      <c r="E848" s="12">
        <f t="shared" si="156"/>
        <v>0</v>
      </c>
      <c r="F848" s="12">
        <f t="shared" si="157"/>
        <v>0</v>
      </c>
      <c r="G848" s="16">
        <f t="shared" si="159"/>
        <v>9.1858160963301092</v>
      </c>
      <c r="H848" s="14">
        <f t="shared" si="160"/>
        <v>0</v>
      </c>
      <c r="I848" s="14">
        <f t="shared" si="161"/>
        <v>3.8531054728836889</v>
      </c>
      <c r="J848" s="14">
        <f t="shared" si="162"/>
        <v>0.52381341233675061</v>
      </c>
      <c r="K848" s="14">
        <f t="shared" si="163"/>
        <v>4.866820717382045</v>
      </c>
      <c r="L848" s="14">
        <f t="shared" si="164"/>
        <v>678.01599501857493</v>
      </c>
      <c r="M848" s="14">
        <f t="shared" si="158"/>
        <v>0.25679045057238337</v>
      </c>
      <c r="N848" s="14">
        <f t="shared" si="165"/>
        <v>6.5713389608280055</v>
      </c>
      <c r="O848" s="4">
        <v>9.4324999999999992</v>
      </c>
      <c r="P848" s="14">
        <f t="shared" si="168"/>
        <v>8.1862424920757633</v>
      </c>
      <c r="Q848" s="14">
        <f t="shared" si="166"/>
        <v>8.4033371535211501</v>
      </c>
    </row>
    <row r="849" spans="1:17" x14ac:dyDescent="0.25">
      <c r="A849" s="5" t="s">
        <v>906</v>
      </c>
      <c r="B849" s="6">
        <f t="shared" si="167"/>
        <v>8</v>
      </c>
      <c r="C849" s="70">
        <v>14.987160680000001</v>
      </c>
      <c r="D849" s="4">
        <v>0</v>
      </c>
      <c r="E849" s="12">
        <f t="shared" si="156"/>
        <v>0</v>
      </c>
      <c r="F849" s="12">
        <f t="shared" si="157"/>
        <v>0</v>
      </c>
      <c r="G849" s="16">
        <f t="shared" si="159"/>
        <v>8.5690069897494663</v>
      </c>
      <c r="H849" s="14">
        <f t="shared" si="160"/>
        <v>0</v>
      </c>
      <c r="I849" s="14">
        <f t="shared" si="161"/>
        <v>4.7958983802714155</v>
      </c>
      <c r="J849" s="14">
        <f t="shared" si="162"/>
        <v>0.61680910658064325</v>
      </c>
      <c r="K849" s="14">
        <f t="shared" si="163"/>
        <v>4.514820662965219</v>
      </c>
      <c r="L849" s="14">
        <f t="shared" si="164"/>
        <v>678.11120462241934</v>
      </c>
      <c r="M849" s="14">
        <f t="shared" si="158"/>
        <v>0.24306764887924584</v>
      </c>
      <c r="N849" s="14">
        <f t="shared" si="165"/>
        <v>6.2201686536112568</v>
      </c>
      <c r="O849" s="4">
        <v>10.1495</v>
      </c>
      <c r="P849" s="14">
        <f t="shared" si="168"/>
        <v>15.439644829713171</v>
      </c>
      <c r="Q849" s="14">
        <f t="shared" si="166"/>
        <v>13.074378495762538</v>
      </c>
    </row>
    <row r="850" spans="1:17" x14ac:dyDescent="0.25">
      <c r="A850" s="5" t="s">
        <v>907</v>
      </c>
      <c r="B850" s="6">
        <f t="shared" si="167"/>
        <v>8</v>
      </c>
      <c r="C850" s="70">
        <v>15.94672108</v>
      </c>
      <c r="D850" s="4">
        <v>0</v>
      </c>
      <c r="E850" s="12">
        <f t="shared" si="156"/>
        <v>0</v>
      </c>
      <c r="F850" s="12">
        <f t="shared" si="157"/>
        <v>0</v>
      </c>
      <c r="G850" s="16">
        <f t="shared" si="159"/>
        <v>7.814641131967127</v>
      </c>
      <c r="H850" s="14">
        <f t="shared" si="160"/>
        <v>0</v>
      </c>
      <c r="I850" s="14">
        <f t="shared" si="161"/>
        <v>6.2876515926594045</v>
      </c>
      <c r="J850" s="14">
        <f t="shared" si="162"/>
        <v>0.75436585778233944</v>
      </c>
      <c r="K850" s="14">
        <f t="shared" si="163"/>
        <v>4.1938963855284266</v>
      </c>
      <c r="L850" s="14">
        <f t="shared" si="164"/>
        <v>678.18906125097681</v>
      </c>
      <c r="M850" s="14">
        <f t="shared" si="158"/>
        <v>0.23055443731022762</v>
      </c>
      <c r="N850" s="14">
        <f t="shared" si="165"/>
        <v>5.8999520936679781</v>
      </c>
      <c r="O850" s="4">
        <v>6.6155999999999997</v>
      </c>
      <c r="P850" s="14">
        <f t="shared" si="168"/>
        <v>0.51215192583740587</v>
      </c>
      <c r="Q850" s="14">
        <f t="shared" si="166"/>
        <v>6.7159673429662784E-3</v>
      </c>
    </row>
    <row r="851" spans="1:17" x14ac:dyDescent="0.25">
      <c r="A851" s="5" t="s">
        <v>908</v>
      </c>
      <c r="B851" s="6">
        <f t="shared" si="167"/>
        <v>8</v>
      </c>
      <c r="C851" s="70">
        <v>16.79219818</v>
      </c>
      <c r="D851" s="4">
        <v>0</v>
      </c>
      <c r="E851" s="12">
        <f t="shared" si="156"/>
        <v>0</v>
      </c>
      <c r="F851" s="12">
        <f t="shared" si="157"/>
        <v>0</v>
      </c>
      <c r="G851" s="16">
        <f t="shared" si="159"/>
        <v>6.9828721309843278</v>
      </c>
      <c r="H851" s="14">
        <f t="shared" si="160"/>
        <v>0</v>
      </c>
      <c r="I851" s="14">
        <f t="shared" si="161"/>
        <v>7.6020484559787764</v>
      </c>
      <c r="J851" s="14">
        <f t="shared" si="162"/>
        <v>0.83176900098279949</v>
      </c>
      <c r="K851" s="14">
        <f t="shared" si="163"/>
        <v>3.9013044084647883</v>
      </c>
      <c r="L851" s="14">
        <f t="shared" si="164"/>
        <v>678.25109879073023</v>
      </c>
      <c r="M851" s="14">
        <f t="shared" si="158"/>
        <v>0.2191440294897713</v>
      </c>
      <c r="N851" s="14">
        <f t="shared" si="165"/>
        <v>5.6079565879847726</v>
      </c>
      <c r="O851" s="4">
        <v>5.8666999999999998</v>
      </c>
      <c r="P851" s="14">
        <f t="shared" si="168"/>
        <v>6.6948153261281632E-2</v>
      </c>
      <c r="Q851" s="14">
        <f t="shared" si="166"/>
        <v>0.44482096093491352</v>
      </c>
    </row>
    <row r="852" spans="1:17" x14ac:dyDescent="0.25">
      <c r="A852" s="5" t="s">
        <v>909</v>
      </c>
      <c r="B852" s="6">
        <f t="shared" si="167"/>
        <v>8</v>
      </c>
      <c r="C852" s="70">
        <v>18.16203308</v>
      </c>
      <c r="D852" s="4">
        <v>0</v>
      </c>
      <c r="E852" s="12">
        <f t="shared" si="156"/>
        <v>0</v>
      </c>
      <c r="F852" s="12">
        <f t="shared" si="157"/>
        <v>0</v>
      </c>
      <c r="G852" s="16">
        <f t="shared" si="159"/>
        <v>6.0314298793303971</v>
      </c>
      <c r="H852" s="14">
        <f t="shared" si="160"/>
        <v>0</v>
      </c>
      <c r="I852" s="14">
        <f t="shared" si="161"/>
        <v>9.731623220127215</v>
      </c>
      <c r="J852" s="14">
        <f t="shared" si="162"/>
        <v>0.95144225165393037</v>
      </c>
      <c r="K852" s="14">
        <f t="shared" si="163"/>
        <v>3.6345434587299401</v>
      </c>
      <c r="L852" s="14">
        <f t="shared" si="164"/>
        <v>678.29871571097533</v>
      </c>
      <c r="M852" s="14">
        <f t="shared" si="158"/>
        <v>0.20873906651120544</v>
      </c>
      <c r="N852" s="14">
        <f t="shared" si="165"/>
        <v>5.3416906950957781</v>
      </c>
      <c r="O852" s="4">
        <v>4.319</v>
      </c>
      <c r="P852" s="14">
        <f t="shared" si="168"/>
        <v>1.0458962578354858</v>
      </c>
      <c r="Q852" s="14">
        <f t="shared" si="166"/>
        <v>4.9046701677452438</v>
      </c>
    </row>
    <row r="853" spans="1:17" x14ac:dyDescent="0.25">
      <c r="A853" s="5" t="s">
        <v>910</v>
      </c>
      <c r="B853" s="6">
        <f t="shared" si="167"/>
        <v>8</v>
      </c>
      <c r="C853" s="70">
        <v>17.4563427</v>
      </c>
      <c r="D853" s="4">
        <v>0</v>
      </c>
      <c r="E853" s="12">
        <f t="shared" si="156"/>
        <v>0</v>
      </c>
      <c r="F853" s="12">
        <f t="shared" si="157"/>
        <v>0</v>
      </c>
      <c r="G853" s="16">
        <f t="shared" si="159"/>
        <v>5.3022702131529904</v>
      </c>
      <c r="H853" s="14">
        <f t="shared" si="160"/>
        <v>0</v>
      </c>
      <c r="I853" s="14">
        <f t="shared" si="161"/>
        <v>8.634541794803388</v>
      </c>
      <c r="J853" s="14">
        <f t="shared" si="162"/>
        <v>0.72915966617740657</v>
      </c>
      <c r="K853" s="14">
        <f t="shared" si="163"/>
        <v>3.3913330842774627</v>
      </c>
      <c r="L853" s="14">
        <f t="shared" si="164"/>
        <v>678.33318701891653</v>
      </c>
      <c r="M853" s="14">
        <f t="shared" si="158"/>
        <v>0.19925078464732632</v>
      </c>
      <c r="N853" s="14">
        <f t="shared" si="165"/>
        <v>5.0988829265652598</v>
      </c>
      <c r="O853" s="4">
        <v>4.6007999999999996</v>
      </c>
      <c r="P853" s="14">
        <f t="shared" si="168"/>
        <v>0.2480866017358144</v>
      </c>
      <c r="Q853" s="14">
        <f t="shared" si="166"/>
        <v>3.7359052345843282</v>
      </c>
    </row>
    <row r="854" spans="1:17" x14ac:dyDescent="0.25">
      <c r="A854" s="5" t="s">
        <v>911</v>
      </c>
      <c r="B854" s="6">
        <f t="shared" si="167"/>
        <v>8</v>
      </c>
      <c r="C854" s="70">
        <v>16.569450379999999</v>
      </c>
      <c r="D854" s="4">
        <v>0</v>
      </c>
      <c r="E854" s="12">
        <f t="shared" si="156"/>
        <v>0</v>
      </c>
      <c r="F854" s="12">
        <f t="shared" si="157"/>
        <v>0</v>
      </c>
      <c r="G854" s="16">
        <f t="shared" si="159"/>
        <v>4.7636187793762161</v>
      </c>
      <c r="H854" s="14">
        <f t="shared" si="160"/>
        <v>0</v>
      </c>
      <c r="I854" s="14">
        <f t="shared" si="161"/>
        <v>7.2557599407353814</v>
      </c>
      <c r="J854" s="14">
        <f t="shared" si="162"/>
        <v>0.53865143377677438</v>
      </c>
      <c r="K854" s="14">
        <f t="shared" si="163"/>
        <v>3.1695941592207451</v>
      </c>
      <c r="L854" s="14">
        <f t="shared" si="164"/>
        <v>678.35567515932587</v>
      </c>
      <c r="M854" s="14">
        <f t="shared" si="158"/>
        <v>0.19059825653835505</v>
      </c>
      <c r="N854" s="14">
        <f t="shared" si="165"/>
        <v>4.8774623287766543</v>
      </c>
      <c r="O854" s="4">
        <v>4.6863000000000001</v>
      </c>
      <c r="P854" s="14">
        <f t="shared" si="168"/>
        <v>3.6543035943313623E-2</v>
      </c>
      <c r="Q854" s="14">
        <f t="shared" si="166"/>
        <v>3.4126983065670853</v>
      </c>
    </row>
    <row r="855" spans="1:17" x14ac:dyDescent="0.25">
      <c r="A855" s="5" t="s">
        <v>912</v>
      </c>
      <c r="B855" s="6">
        <f t="shared" si="167"/>
        <v>8</v>
      </c>
      <c r="C855" s="70">
        <v>16.820051190000001</v>
      </c>
      <c r="D855" s="4">
        <v>0</v>
      </c>
      <c r="E855" s="12">
        <f t="shared" si="156"/>
        <v>0</v>
      </c>
      <c r="F855" s="12">
        <f t="shared" si="157"/>
        <v>0</v>
      </c>
      <c r="G855" s="16">
        <f t="shared" si="159"/>
        <v>4.253704244308774</v>
      </c>
      <c r="H855" s="14">
        <f t="shared" si="160"/>
        <v>0</v>
      </c>
      <c r="I855" s="14">
        <f t="shared" si="161"/>
        <v>7.6453493437000457</v>
      </c>
      <c r="J855" s="14">
        <f t="shared" si="162"/>
        <v>0.50991453506744178</v>
      </c>
      <c r="K855" s="14">
        <f t="shared" si="163"/>
        <v>2.9674311100662942</v>
      </c>
      <c r="L855" s="14">
        <f t="shared" si="164"/>
        <v>678.367239951942</v>
      </c>
      <c r="M855" s="14">
        <f t="shared" si="158"/>
        <v>0.18270769937043596</v>
      </c>
      <c r="N855" s="14">
        <f t="shared" si="165"/>
        <v>4.6755407790281698</v>
      </c>
      <c r="O855" s="4">
        <v>5.3525999999999998</v>
      </c>
      <c r="P855" s="14">
        <f t="shared" si="168"/>
        <v>0.45840918870298136</v>
      </c>
      <c r="Q855" s="14">
        <f t="shared" si="166"/>
        <v>1.3948767268257134</v>
      </c>
    </row>
    <row r="856" spans="1:17" x14ac:dyDescent="0.25">
      <c r="A856" s="5" t="s">
        <v>913</v>
      </c>
      <c r="B856" s="6">
        <f t="shared" si="167"/>
        <v>8</v>
      </c>
      <c r="C856" s="70">
        <v>15.58245945</v>
      </c>
      <c r="D856" s="4">
        <v>0</v>
      </c>
      <c r="E856" s="12">
        <f t="shared" si="156"/>
        <v>0</v>
      </c>
      <c r="F856" s="12">
        <f t="shared" si="157"/>
        <v>0</v>
      </c>
      <c r="G856" s="16">
        <f t="shared" si="159"/>
        <v>3.9129589833937759</v>
      </c>
      <c r="H856" s="14">
        <f t="shared" si="160"/>
        <v>0</v>
      </c>
      <c r="I856" s="14">
        <f t="shared" si="161"/>
        <v>5.7213626371104001</v>
      </c>
      <c r="J856" s="14">
        <f t="shared" si="162"/>
        <v>0.34074526091499791</v>
      </c>
      <c r="K856" s="14">
        <f t="shared" si="163"/>
        <v>2.7831157110763742</v>
      </c>
      <c r="L856" s="14">
        <f t="shared" si="164"/>
        <v>678.36884765156151</v>
      </c>
      <c r="M856" s="14">
        <f t="shared" si="158"/>
        <v>0.17551184413051843</v>
      </c>
      <c r="N856" s="14">
        <f t="shared" si="165"/>
        <v>4.4913968445900023</v>
      </c>
      <c r="O856" s="4">
        <v>5.8052999999999999</v>
      </c>
      <c r="P856" s="14">
        <f t="shared" si="168"/>
        <v>1.7263415017963482</v>
      </c>
      <c r="Q856" s="14">
        <f t="shared" si="166"/>
        <v>0.53049225742916573</v>
      </c>
    </row>
    <row r="857" spans="1:17" x14ac:dyDescent="0.25">
      <c r="A857" s="5" t="s">
        <v>914</v>
      </c>
      <c r="B857" s="6">
        <f t="shared" si="167"/>
        <v>8</v>
      </c>
      <c r="C857" s="70">
        <v>15.41623306</v>
      </c>
      <c r="D857" s="4">
        <v>0</v>
      </c>
      <c r="E857" s="12">
        <f t="shared" si="156"/>
        <v>0</v>
      </c>
      <c r="F857" s="12">
        <f t="shared" si="157"/>
        <v>0</v>
      </c>
      <c r="G857" s="16">
        <f t="shared" si="159"/>
        <v>3.6136670137811744</v>
      </c>
      <c r="H857" s="14">
        <f t="shared" si="160"/>
        <v>0</v>
      </c>
      <c r="I857" s="14">
        <f t="shared" si="161"/>
        <v>5.4629435201208283</v>
      </c>
      <c r="J857" s="14">
        <f t="shared" si="162"/>
        <v>0.29929196961260157</v>
      </c>
      <c r="K857" s="14">
        <f t="shared" si="163"/>
        <v>2.6150723102328355</v>
      </c>
      <c r="L857" s="14">
        <f t="shared" si="164"/>
        <v>678.36137920827457</v>
      </c>
      <c r="M857" s="14">
        <f t="shared" si="158"/>
        <v>0.16894936054559059</v>
      </c>
      <c r="N857" s="14">
        <f t="shared" si="165"/>
        <v>4.3234610667395925</v>
      </c>
      <c r="O857" s="4">
        <v>6.3521000000000001</v>
      </c>
      <c r="P857" s="14">
        <f t="shared" si="168"/>
        <v>4.1153759215399246</v>
      </c>
      <c r="Q857" s="14">
        <f t="shared" si="166"/>
        <v>3.2960037314228169E-2</v>
      </c>
    </row>
    <row r="858" spans="1:17" x14ac:dyDescent="0.25">
      <c r="A858" s="5" t="s">
        <v>915</v>
      </c>
      <c r="B858" s="6">
        <f t="shared" si="167"/>
        <v>9</v>
      </c>
      <c r="C858" s="70">
        <v>15.46910763</v>
      </c>
      <c r="D858" s="4">
        <v>0</v>
      </c>
      <c r="E858" s="12">
        <f t="shared" si="156"/>
        <v>0</v>
      </c>
      <c r="F858" s="12">
        <f t="shared" si="157"/>
        <v>0</v>
      </c>
      <c r="G858" s="16">
        <f t="shared" si="159"/>
        <v>3.4183370068628469</v>
      </c>
      <c r="H858" s="14">
        <f t="shared" si="160"/>
        <v>0</v>
      </c>
      <c r="I858" s="14">
        <f t="shared" si="161"/>
        <v>3.8606263961571829</v>
      </c>
      <c r="J858" s="14">
        <f t="shared" si="162"/>
        <v>0.19533000691832741</v>
      </c>
      <c r="K858" s="14">
        <f t="shared" si="163"/>
        <v>2.4618643595037342</v>
      </c>
      <c r="L858" s="14">
        <f t="shared" si="164"/>
        <v>678.34563779845803</v>
      </c>
      <c r="M858" s="14">
        <f t="shared" si="158"/>
        <v>0.16296433279025774</v>
      </c>
      <c r="N858" s="14">
        <f t="shared" si="165"/>
        <v>4.1703025439729151</v>
      </c>
      <c r="O858" s="4">
        <v>6.1471</v>
      </c>
      <c r="P858" s="14">
        <f t="shared" si="168"/>
        <v>3.9077281821551546</v>
      </c>
      <c r="Q858" s="14">
        <f t="shared" si="166"/>
        <v>0.14942012495790441</v>
      </c>
    </row>
    <row r="859" spans="1:17" x14ac:dyDescent="0.25">
      <c r="A859" s="5" t="s">
        <v>916</v>
      </c>
      <c r="B859" s="6">
        <f t="shared" si="167"/>
        <v>9</v>
      </c>
      <c r="C859" s="70">
        <v>16.84425354</v>
      </c>
      <c r="D859" s="4">
        <v>0</v>
      </c>
      <c r="E859" s="12">
        <f t="shared" ref="E859:E922" si="169">IF(C859&gt;$C$9,MAX(E858-$C$10*(C859-$C$9),0),E858+D859)</f>
        <v>0</v>
      </c>
      <c r="F859" s="12">
        <f t="shared" ref="F859:F922" si="170">IF(C859&gt;$C$9,D859+MIN(E858,$C$10*(C859-$C$9)),0)</f>
        <v>0</v>
      </c>
      <c r="G859" s="16">
        <f t="shared" si="159"/>
        <v>3.1355489602996967</v>
      </c>
      <c r="H859" s="14">
        <f t="shared" si="160"/>
        <v>0</v>
      </c>
      <c r="I859" s="14">
        <f t="shared" si="161"/>
        <v>5.9085799023485635</v>
      </c>
      <c r="J859" s="14">
        <f t="shared" si="162"/>
        <v>0.28278804656315015</v>
      </c>
      <c r="K859" s="14">
        <f t="shared" si="163"/>
        <v>2.3221821342644011</v>
      </c>
      <c r="L859" s="14">
        <f t="shared" si="164"/>
        <v>678.3223556909071</v>
      </c>
      <c r="M859" s="14">
        <f t="shared" si="158"/>
        <v>0.15750578148066088</v>
      </c>
      <c r="N859" s="14">
        <f t="shared" si="165"/>
        <v>4.0306166996960791</v>
      </c>
      <c r="O859" s="4">
        <v>6.3692000000000002</v>
      </c>
      <c r="P859" s="14">
        <f t="shared" si="168"/>
        <v>5.4689718524603794</v>
      </c>
      <c r="Q859" s="14">
        <f t="shared" si="166"/>
        <v>2.7043471710780021E-2</v>
      </c>
    </row>
    <row r="860" spans="1:17" x14ac:dyDescent="0.25">
      <c r="A860" s="5" t="s">
        <v>917</v>
      </c>
      <c r="B860" s="6">
        <f t="shared" si="167"/>
        <v>9</v>
      </c>
      <c r="C860" s="70">
        <v>17.100978850000001</v>
      </c>
      <c r="D860" s="4">
        <v>0</v>
      </c>
      <c r="E860" s="12">
        <f t="shared" si="169"/>
        <v>0</v>
      </c>
      <c r="F860" s="12">
        <f t="shared" si="170"/>
        <v>0</v>
      </c>
      <c r="G860" s="16">
        <f t="shared" si="159"/>
        <v>2.8593702427295549</v>
      </c>
      <c r="H860" s="14">
        <f t="shared" si="160"/>
        <v>0</v>
      </c>
      <c r="I860" s="14">
        <f t="shared" si="161"/>
        <v>6.290911329813281</v>
      </c>
      <c r="J860" s="14">
        <f t="shared" si="162"/>
        <v>0.27617871757014184</v>
      </c>
      <c r="K860" s="14">
        <f t="shared" si="163"/>
        <v>2.1948315368903075</v>
      </c>
      <c r="L860" s="14">
        <f t="shared" si="164"/>
        <v>678.29220050680044</v>
      </c>
      <c r="M860" s="14">
        <f t="shared" si="158"/>
        <v>0.15252722786841849</v>
      </c>
      <c r="N860" s="14">
        <f t="shared" si="165"/>
        <v>3.9032141298272371</v>
      </c>
      <c r="O860" s="4">
        <v>7.0529999999999999</v>
      </c>
      <c r="P860" s="14">
        <f t="shared" si="168"/>
        <v>9.9211510279399882</v>
      </c>
      <c r="Q860" s="14">
        <f t="shared" si="166"/>
        <v>0.26972546717055662</v>
      </c>
    </row>
    <row r="861" spans="1:17" x14ac:dyDescent="0.25">
      <c r="A861" s="5" t="s">
        <v>918</v>
      </c>
      <c r="B861" s="6">
        <f t="shared" si="167"/>
        <v>9</v>
      </c>
      <c r="C861" s="70">
        <v>16.959125520000001</v>
      </c>
      <c r="D861" s="4">
        <v>0</v>
      </c>
      <c r="E861" s="12">
        <f t="shared" si="169"/>
        <v>0</v>
      </c>
      <c r="F861" s="12">
        <f t="shared" si="170"/>
        <v>0</v>
      </c>
      <c r="G861" s="16">
        <f t="shared" si="159"/>
        <v>2.6159748529292974</v>
      </c>
      <c r="H861" s="14">
        <f t="shared" si="160"/>
        <v>0</v>
      </c>
      <c r="I861" s="14">
        <f t="shared" si="161"/>
        <v>6.0796544570510145</v>
      </c>
      <c r="J861" s="14">
        <f t="shared" si="162"/>
        <v>0.24339538980025741</v>
      </c>
      <c r="K861" s="14">
        <f t="shared" si="163"/>
        <v>2.0787238888073096</v>
      </c>
      <c r="L861" s="14">
        <f t="shared" si="164"/>
        <v>678.25578092701494</v>
      </c>
      <c r="M861" s="14">
        <f t="shared" si="158"/>
        <v>0.14798629650902789</v>
      </c>
      <c r="N861" s="14">
        <f t="shared" si="165"/>
        <v>3.7870104349706093</v>
      </c>
      <c r="O861" s="4">
        <v>5.7933000000000003</v>
      </c>
      <c r="P861" s="14">
        <f t="shared" si="168"/>
        <v>4.0251978187458235</v>
      </c>
      <c r="Q861" s="14">
        <f t="shared" si="166"/>
        <v>0.54811663329123395</v>
      </c>
    </row>
    <row r="862" spans="1:17" x14ac:dyDescent="0.25">
      <c r="A862" s="5" t="s">
        <v>919</v>
      </c>
      <c r="B862" s="6">
        <f t="shared" si="167"/>
        <v>9</v>
      </c>
      <c r="C862" s="70">
        <v>17.80679512</v>
      </c>
      <c r="D862" s="4">
        <v>0</v>
      </c>
      <c r="E862" s="12">
        <f t="shared" si="169"/>
        <v>0</v>
      </c>
      <c r="F862" s="12">
        <f t="shared" si="170"/>
        <v>0</v>
      </c>
      <c r="G862" s="16">
        <f t="shared" si="159"/>
        <v>2.3470602508375924</v>
      </c>
      <c r="H862" s="14">
        <f t="shared" si="160"/>
        <v>0</v>
      </c>
      <c r="I862" s="14">
        <f t="shared" si="161"/>
        <v>7.3420571714014082</v>
      </c>
      <c r="J862" s="14">
        <f t="shared" si="162"/>
        <v>0.26891460209170509</v>
      </c>
      <c r="K862" s="14">
        <f t="shared" si="163"/>
        <v>1.972866623734852</v>
      </c>
      <c r="L862" s="14">
        <f t="shared" si="164"/>
        <v>678.21365189557844</v>
      </c>
      <c r="M862" s="14">
        <f t="shared" si="158"/>
        <v>0.14489793710130092</v>
      </c>
      <c r="N862" s="14">
        <f t="shared" si="165"/>
        <v>3.7079784598492624</v>
      </c>
      <c r="O862" s="4">
        <v>5.4466000000000001</v>
      </c>
      <c r="P862" s="14">
        <f t="shared" si="168"/>
        <v>3.022804859876123</v>
      </c>
      <c r="Q862" s="14">
        <f t="shared" si="166"/>
        <v>1.1816755159061734</v>
      </c>
    </row>
    <row r="863" spans="1:17" x14ac:dyDescent="0.25">
      <c r="A863" s="5" t="s">
        <v>920</v>
      </c>
      <c r="B863" s="6">
        <f t="shared" si="167"/>
        <v>9</v>
      </c>
      <c r="C863" s="70">
        <v>17.605607989999999</v>
      </c>
      <c r="D863" s="4">
        <v>0</v>
      </c>
      <c r="E863" s="12">
        <f t="shared" si="169"/>
        <v>0</v>
      </c>
      <c r="F863" s="12">
        <f t="shared" si="170"/>
        <v>0</v>
      </c>
      <c r="G863" s="16">
        <f t="shared" si="159"/>
        <v>2.1156352639608635</v>
      </c>
      <c r="H863" s="14">
        <f t="shared" si="160"/>
        <v>0</v>
      </c>
      <c r="I863" s="14">
        <f t="shared" si="161"/>
        <v>7.0424366836496155</v>
      </c>
      <c r="J863" s="14">
        <f t="shared" si="162"/>
        <v>0.23142498687672897</v>
      </c>
      <c r="K863" s="14">
        <f t="shared" si="163"/>
        <v>1.8753012184684761</v>
      </c>
      <c r="L863" s="14">
        <f t="shared" si="164"/>
        <v>678.16631936374347</v>
      </c>
      <c r="M863" s="14">
        <f t="shared" ref="M863:M926" si="171">MAX(0,K863-$F$9)*$F$8+K863*$F$10+L863*$F$11</f>
        <v>0.14486706996176699</v>
      </c>
      <c r="N863" s="14">
        <f t="shared" si="165"/>
        <v>3.7071885611743847</v>
      </c>
      <c r="O863" s="4">
        <v>5.4123999999999999</v>
      </c>
      <c r="P863" s="14">
        <f t="shared" si="168"/>
        <v>2.907746051101725</v>
      </c>
      <c r="Q863" s="14">
        <f t="shared" si="166"/>
        <v>1.25719930711307</v>
      </c>
    </row>
    <row r="864" spans="1:17" x14ac:dyDescent="0.25">
      <c r="A864" s="5" t="s">
        <v>921</v>
      </c>
      <c r="B864" s="6">
        <f t="shared" si="167"/>
        <v>9</v>
      </c>
      <c r="C864" s="70">
        <v>17.919050219999999</v>
      </c>
      <c r="D864" s="4">
        <v>0</v>
      </c>
      <c r="E864" s="12">
        <f t="shared" si="169"/>
        <v>0</v>
      </c>
      <c r="F864" s="12">
        <f t="shared" si="170"/>
        <v>0</v>
      </c>
      <c r="G864" s="16">
        <f t="shared" ref="G864:G927" si="172">G863+F864-H864-J864</f>
        <v>1.8932021085901414</v>
      </c>
      <c r="H864" s="14">
        <f t="shared" ref="H864:H927" si="173">(F864*(G863/$C$11)^$C$12)</f>
        <v>0</v>
      </c>
      <c r="I864" s="14">
        <f t="shared" ref="I864:I927" si="174">(1+$C$13*(C864-INDEX($A$16:$A$27,B864)))*INDEX($C$16:$C$27,B864)</f>
        <v>7.5092345043382904</v>
      </c>
      <c r="J864" s="14">
        <f t="shared" ref="J864:J927" si="175">IF(G863&gt;$F$13,I864,I864*(G863/$F$13))</f>
        <v>0.22243315537072209</v>
      </c>
      <c r="K864" s="14">
        <f t="shared" ref="K864:K927" si="176">K863+H864-MAX(0,K863-$F$9)*$F$8-K863*$F$10-K863*$F$12</f>
        <v>1.7825607761216775</v>
      </c>
      <c r="L864" s="14">
        <f t="shared" ref="L864:L927" si="177">L863+K863*$F$12-L863*$F$11</f>
        <v>678.11419273612853</v>
      </c>
      <c r="M864" s="14">
        <f t="shared" si="171"/>
        <v>0.14483620939776012</v>
      </c>
      <c r="N864" s="14">
        <f t="shared" ref="N864:N927" si="178">M864*$C$8*1000/(24*3600)</f>
        <v>3.7063988307690696</v>
      </c>
      <c r="O864" s="4">
        <v>6.1898</v>
      </c>
      <c r="P864" s="14">
        <f t="shared" si="168"/>
        <v>6.1672813673375524</v>
      </c>
      <c r="Q864" s="14">
        <f t="shared" ref="Q864:Q927" si="179">(O864-$F$23)^2</f>
        <v>0.11823213084870944</v>
      </c>
    </row>
    <row r="865" spans="1:17" x14ac:dyDescent="0.25">
      <c r="A865" s="5" t="s">
        <v>922</v>
      </c>
      <c r="B865" s="6">
        <f t="shared" ref="B865:B928" si="180">MONTH(A865)</f>
        <v>9</v>
      </c>
      <c r="C865" s="70">
        <v>16.545372010000001</v>
      </c>
      <c r="D865" s="4">
        <v>0</v>
      </c>
      <c r="E865" s="12">
        <f t="shared" si="169"/>
        <v>0</v>
      </c>
      <c r="F865" s="12">
        <f t="shared" si="170"/>
        <v>0</v>
      </c>
      <c r="G865" s="16">
        <f t="shared" si="172"/>
        <v>1.7483821745807373</v>
      </c>
      <c r="H865" s="14">
        <f t="shared" si="173"/>
        <v>0</v>
      </c>
      <c r="I865" s="14">
        <f t="shared" si="174"/>
        <v>5.4634667890067634</v>
      </c>
      <c r="J865" s="14">
        <f t="shared" si="175"/>
        <v>0.1448199340094041</v>
      </c>
      <c r="K865" s="14">
        <f t="shared" si="176"/>
        <v>1.6944066847898396</v>
      </c>
      <c r="L865" s="14">
        <f t="shared" si="177"/>
        <v>678.05751061806257</v>
      </c>
      <c r="M865" s="14">
        <f t="shared" si="171"/>
        <v>0.14480535540787953</v>
      </c>
      <c r="N865" s="14">
        <f t="shared" si="178"/>
        <v>3.7056092685974726</v>
      </c>
      <c r="O865" s="4">
        <v>6.0103999999999997</v>
      </c>
      <c r="P865" s="14">
        <f t="shared" ref="P865:P928" si="181">(O865-N865)^2</f>
        <v>5.3120603155589956</v>
      </c>
      <c r="Q865" s="14">
        <f t="shared" si="179"/>
        <v>0.27378950998663903</v>
      </c>
    </row>
    <row r="866" spans="1:17" x14ac:dyDescent="0.25">
      <c r="A866" s="5" t="s">
        <v>923</v>
      </c>
      <c r="B866" s="6">
        <f t="shared" si="180"/>
        <v>9</v>
      </c>
      <c r="C866" s="70">
        <v>18.120519640000001</v>
      </c>
      <c r="D866" s="4">
        <v>0</v>
      </c>
      <c r="E866" s="12">
        <f t="shared" si="169"/>
        <v>0</v>
      </c>
      <c r="F866" s="12">
        <f t="shared" si="170"/>
        <v>0</v>
      </c>
      <c r="G866" s="16">
        <f t="shared" si="172"/>
        <v>1.5572163885227988</v>
      </c>
      <c r="H866" s="14">
        <f t="shared" si="173"/>
        <v>0</v>
      </c>
      <c r="I866" s="14">
        <f t="shared" si="174"/>
        <v>7.8092753960567176</v>
      </c>
      <c r="J866" s="14">
        <f t="shared" si="175"/>
        <v>0.19116578605793857</v>
      </c>
      <c r="K866" s="14">
        <f t="shared" si="176"/>
        <v>1.6106121327918861</v>
      </c>
      <c r="L866" s="14">
        <f t="shared" si="177"/>
        <v>677.99649981465268</v>
      </c>
      <c r="M866" s="14">
        <f t="shared" si="171"/>
        <v>0.14477450799072475</v>
      </c>
      <c r="N866" s="14">
        <f t="shared" si="178"/>
        <v>3.7048198746237548</v>
      </c>
      <c r="O866" s="4">
        <v>5.2756999999999996</v>
      </c>
      <c r="P866" s="14">
        <f t="shared" si="181"/>
        <v>2.4676643683020867</v>
      </c>
      <c r="Q866" s="14">
        <f t="shared" si="179"/>
        <v>1.5824356721418051</v>
      </c>
    </row>
    <row r="867" spans="1:17" x14ac:dyDescent="0.25">
      <c r="A867" s="5" t="s">
        <v>924</v>
      </c>
      <c r="B867" s="6">
        <f t="shared" si="180"/>
        <v>9</v>
      </c>
      <c r="C867" s="70">
        <v>18.2128315</v>
      </c>
      <c r="D867" s="4">
        <v>0</v>
      </c>
      <c r="E867" s="12">
        <f t="shared" si="169"/>
        <v>0</v>
      </c>
      <c r="F867" s="12">
        <f t="shared" si="170"/>
        <v>0</v>
      </c>
      <c r="G867" s="16">
        <f t="shared" si="172"/>
        <v>1.3839550424289477</v>
      </c>
      <c r="H867" s="14">
        <f t="shared" si="173"/>
        <v>0</v>
      </c>
      <c r="I867" s="14">
        <f t="shared" si="174"/>
        <v>7.9467520056115877</v>
      </c>
      <c r="J867" s="14">
        <f t="shared" si="175"/>
        <v>0.17326134609385099</v>
      </c>
      <c r="K867" s="14">
        <f t="shared" si="176"/>
        <v>1.5309615251064566</v>
      </c>
      <c r="L867" s="14">
        <f t="shared" si="177"/>
        <v>677.93137591434743</v>
      </c>
      <c r="M867" s="14">
        <f t="shared" si="171"/>
        <v>0.14474366714489562</v>
      </c>
      <c r="N867" s="14">
        <f t="shared" si="178"/>
        <v>3.7040306488120858</v>
      </c>
      <c r="O867" s="4">
        <v>5.2073999999999998</v>
      </c>
      <c r="P867" s="14">
        <f t="shared" si="181"/>
        <v>2.2601194060911696</v>
      </c>
      <c r="Q867" s="14">
        <f t="shared" si="179"/>
        <v>1.7589363947567467</v>
      </c>
    </row>
    <row r="868" spans="1:17" x14ac:dyDescent="0.25">
      <c r="A868" s="5" t="s">
        <v>925</v>
      </c>
      <c r="B868" s="6">
        <f t="shared" si="180"/>
        <v>9</v>
      </c>
      <c r="C868" s="70">
        <v>17.56961441</v>
      </c>
      <c r="D868" s="4">
        <v>0</v>
      </c>
      <c r="E868" s="12">
        <f t="shared" si="169"/>
        <v>0</v>
      </c>
      <c r="F868" s="12">
        <f t="shared" si="170"/>
        <v>0</v>
      </c>
      <c r="G868" s="16">
        <f t="shared" si="172"/>
        <v>1.2485328968027889</v>
      </c>
      <c r="H868" s="14">
        <f t="shared" si="173"/>
        <v>0</v>
      </c>
      <c r="I868" s="14">
        <f t="shared" si="174"/>
        <v>6.9888327876373166</v>
      </c>
      <c r="J868" s="14">
        <f t="shared" si="175"/>
        <v>0.13542214562615873</v>
      </c>
      <c r="K868" s="14">
        <f t="shared" si="176"/>
        <v>1.4552499286674287</v>
      </c>
      <c r="L868" s="14">
        <f t="shared" si="177"/>
        <v>677.8623438436415</v>
      </c>
      <c r="M868" s="14">
        <f t="shared" si="171"/>
        <v>0.14471283286899225</v>
      </c>
      <c r="N868" s="14">
        <f t="shared" si="178"/>
        <v>3.7032415911266421</v>
      </c>
      <c r="O868" s="4">
        <v>5.7114000000000003</v>
      </c>
      <c r="P868" s="14">
        <f t="shared" si="181"/>
        <v>4.0327001951287773</v>
      </c>
      <c r="Q868" s="14">
        <f t="shared" si="179"/>
        <v>0.67609340854985389</v>
      </c>
    </row>
    <row r="869" spans="1:17" x14ac:dyDescent="0.25">
      <c r="A869" s="5" t="s">
        <v>926</v>
      </c>
      <c r="B869" s="6">
        <f t="shared" si="180"/>
        <v>9</v>
      </c>
      <c r="C869" s="70">
        <v>17.095872880000002</v>
      </c>
      <c r="D869" s="4">
        <v>0</v>
      </c>
      <c r="E869" s="12">
        <f t="shared" si="169"/>
        <v>0</v>
      </c>
      <c r="F869" s="12">
        <f t="shared" si="170"/>
        <v>0</v>
      </c>
      <c r="G869" s="16">
        <f t="shared" si="172"/>
        <v>1.1386952192258624</v>
      </c>
      <c r="H869" s="14">
        <f t="shared" si="173"/>
        <v>0</v>
      </c>
      <c r="I869" s="14">
        <f t="shared" si="174"/>
        <v>6.2833071991621532</v>
      </c>
      <c r="J869" s="14">
        <f t="shared" si="175"/>
        <v>0.10983767757692652</v>
      </c>
      <c r="K869" s="14">
        <f t="shared" si="176"/>
        <v>1.3832825450915869</v>
      </c>
      <c r="L869" s="14">
        <f t="shared" si="177"/>
        <v>677.78959839434833</v>
      </c>
      <c r="M869" s="14">
        <f t="shared" si="171"/>
        <v>0.14468200516161511</v>
      </c>
      <c r="N869" s="14">
        <f t="shared" si="178"/>
        <v>3.7024527015316089</v>
      </c>
      <c r="O869" s="4">
        <v>6.8029999999999999</v>
      </c>
      <c r="P869" s="14">
        <f t="shared" si="181"/>
        <v>9.6133935500396372</v>
      </c>
      <c r="Q869" s="14">
        <f t="shared" si="179"/>
        <v>7.2549964296991051E-2</v>
      </c>
    </row>
    <row r="870" spans="1:17" x14ac:dyDescent="0.25">
      <c r="A870" s="5" t="s">
        <v>927</v>
      </c>
      <c r="B870" s="6">
        <f t="shared" si="180"/>
        <v>9</v>
      </c>
      <c r="C870" s="70">
        <v>16.710437769999999</v>
      </c>
      <c r="D870" s="4">
        <v>0</v>
      </c>
      <c r="E870" s="12">
        <f t="shared" si="169"/>
        <v>0</v>
      </c>
      <c r="F870" s="12">
        <f t="shared" si="170"/>
        <v>0</v>
      </c>
      <c r="G870" s="16">
        <f t="shared" si="172"/>
        <v>1.0476718530643798</v>
      </c>
      <c r="H870" s="14">
        <f t="shared" si="173"/>
        <v>0</v>
      </c>
      <c r="I870" s="14">
        <f t="shared" si="174"/>
        <v>5.7092930678662475</v>
      </c>
      <c r="J870" s="14">
        <f t="shared" si="175"/>
        <v>9.1023366161482586E-2</v>
      </c>
      <c r="K870" s="14">
        <f t="shared" si="176"/>
        <v>1.3148742094818184</v>
      </c>
      <c r="L870" s="14">
        <f t="shared" si="177"/>
        <v>677.71332472479651</v>
      </c>
      <c r="M870" s="14">
        <f t="shared" si="171"/>
        <v>0.14465118402136487</v>
      </c>
      <c r="N870" s="14">
        <f t="shared" si="178"/>
        <v>3.7016639799911779</v>
      </c>
      <c r="O870" s="4">
        <v>7.2918000000000003</v>
      </c>
      <c r="P870" s="14">
        <f t="shared" si="181"/>
        <v>12.889076642164788</v>
      </c>
      <c r="Q870" s="14">
        <f t="shared" si="179"/>
        <v>0.57479294751538701</v>
      </c>
    </row>
    <row r="871" spans="1:17" x14ac:dyDescent="0.25">
      <c r="A871" s="5" t="s">
        <v>928</v>
      </c>
      <c r="B871" s="6">
        <f t="shared" si="180"/>
        <v>9</v>
      </c>
      <c r="C871" s="70">
        <v>16.233226779999999</v>
      </c>
      <c r="D871" s="4">
        <v>0</v>
      </c>
      <c r="E871" s="12">
        <f t="shared" si="169"/>
        <v>0</v>
      </c>
      <c r="F871" s="12">
        <f t="shared" si="170"/>
        <v>0</v>
      </c>
      <c r="G871" s="16">
        <f t="shared" si="172"/>
        <v>0.97434943710011401</v>
      </c>
      <c r="H871" s="14">
        <f t="shared" si="173"/>
        <v>0</v>
      </c>
      <c r="I871" s="14">
        <f t="shared" si="174"/>
        <v>4.9986005420356188</v>
      </c>
      <c r="J871" s="14">
        <f t="shared" si="175"/>
        <v>7.3322415964265808E-2</v>
      </c>
      <c r="K871" s="14">
        <f t="shared" si="176"/>
        <v>1.2498489140163096</v>
      </c>
      <c r="L871" s="14">
        <f t="shared" si="177"/>
        <v>677.63369883624068</v>
      </c>
      <c r="M871" s="14">
        <f t="shared" si="171"/>
        <v>0.14462036944684262</v>
      </c>
      <c r="N871" s="14">
        <f t="shared" si="178"/>
        <v>3.7008754264695489</v>
      </c>
      <c r="O871" s="4">
        <v>7.9130000000000003</v>
      </c>
      <c r="P871" s="14">
        <f t="shared" si="181"/>
        <v>17.741993422939082</v>
      </c>
      <c r="Q871" s="14">
        <f t="shared" si="179"/>
        <v>1.9026091970556229</v>
      </c>
    </row>
    <row r="872" spans="1:17" x14ac:dyDescent="0.25">
      <c r="A872" s="5" t="s">
        <v>929</v>
      </c>
      <c r="B872" s="6">
        <f t="shared" si="180"/>
        <v>9</v>
      </c>
      <c r="C872" s="70">
        <v>16.66274834</v>
      </c>
      <c r="D872" s="4">
        <v>0</v>
      </c>
      <c r="E872" s="12">
        <f t="shared" si="169"/>
        <v>0</v>
      </c>
      <c r="F872" s="12">
        <f t="shared" si="170"/>
        <v>0</v>
      </c>
      <c r="G872" s="16">
        <f t="shared" si="172"/>
        <v>0.89743218838652461</v>
      </c>
      <c r="H872" s="14">
        <f t="shared" si="173"/>
        <v>0</v>
      </c>
      <c r="I872" s="14">
        <f t="shared" si="174"/>
        <v>5.6382709787435266</v>
      </c>
      <c r="J872" s="14">
        <f t="shared" si="175"/>
        <v>7.6917248713589376E-2</v>
      </c>
      <c r="K872" s="14">
        <f t="shared" si="176"/>
        <v>1.1880393550979822</v>
      </c>
      <c r="L872" s="14">
        <f t="shared" si="177"/>
        <v>677.5508880257122</v>
      </c>
      <c r="M872" s="14">
        <f t="shared" si="171"/>
        <v>0.14458956143664964</v>
      </c>
      <c r="N872" s="14">
        <f t="shared" si="178"/>
        <v>3.7000870409309297</v>
      </c>
      <c r="O872" s="4">
        <v>9.2797000000000001</v>
      </c>
      <c r="P872" s="14">
        <f t="shared" si="181"/>
        <v>31.132080773011509</v>
      </c>
      <c r="Q872" s="14">
        <f t="shared" si="179"/>
        <v>7.5407961261648309</v>
      </c>
    </row>
    <row r="873" spans="1:17" x14ac:dyDescent="0.25">
      <c r="A873" s="5" t="s">
        <v>930</v>
      </c>
      <c r="B873" s="6">
        <f t="shared" si="180"/>
        <v>9</v>
      </c>
      <c r="C873" s="70">
        <v>17.593946460000002</v>
      </c>
      <c r="D873" s="4">
        <v>0</v>
      </c>
      <c r="E873" s="12">
        <f t="shared" si="169"/>
        <v>0</v>
      </c>
      <c r="F873" s="12">
        <f t="shared" si="170"/>
        <v>0</v>
      </c>
      <c r="G873" s="16">
        <f t="shared" si="172"/>
        <v>0.80916174010863018</v>
      </c>
      <c r="H873" s="14">
        <f t="shared" si="173"/>
        <v>0</v>
      </c>
      <c r="I873" s="14">
        <f t="shared" si="174"/>
        <v>7.0250696020349448</v>
      </c>
      <c r="J873" s="14">
        <f t="shared" si="175"/>
        <v>8.8270448277894389E-2</v>
      </c>
      <c r="K873" s="14">
        <f t="shared" si="176"/>
        <v>1.1292865028990307</v>
      </c>
      <c r="L873" s="14">
        <f t="shared" si="177"/>
        <v>677.4650513164745</v>
      </c>
      <c r="M873" s="14">
        <f t="shared" si="171"/>
        <v>0.14455875998938753</v>
      </c>
      <c r="N873" s="14">
        <f t="shared" si="178"/>
        <v>3.699298823339535</v>
      </c>
      <c r="O873" s="4">
        <v>9.0722000000000005</v>
      </c>
      <c r="P873" s="14">
        <f t="shared" si="181"/>
        <v>28.868067054159415</v>
      </c>
      <c r="Q873" s="14">
        <f t="shared" si="179"/>
        <v>6.4442412087797738</v>
      </c>
    </row>
    <row r="874" spans="1:17" x14ac:dyDescent="0.25">
      <c r="A874" s="5" t="s">
        <v>931</v>
      </c>
      <c r="B874" s="6">
        <f t="shared" si="180"/>
        <v>9</v>
      </c>
      <c r="C874" s="70">
        <v>17.595045089999999</v>
      </c>
      <c r="D874" s="4">
        <v>0</v>
      </c>
      <c r="E874" s="12">
        <f t="shared" si="169"/>
        <v>0</v>
      </c>
      <c r="F874" s="12">
        <f t="shared" si="170"/>
        <v>0</v>
      </c>
      <c r="G874" s="16">
        <f t="shared" si="172"/>
        <v>0.72955494033786017</v>
      </c>
      <c r="H874" s="14">
        <f t="shared" si="173"/>
        <v>0</v>
      </c>
      <c r="I874" s="14">
        <f t="shared" si="174"/>
        <v>7.0267057507113444</v>
      </c>
      <c r="J874" s="14">
        <f t="shared" si="175"/>
        <v>7.9606799770769968E-2</v>
      </c>
      <c r="K874" s="14">
        <f t="shared" si="176"/>
        <v>1.0734391921930433</v>
      </c>
      <c r="L874" s="14">
        <f t="shared" si="177"/>
        <v>677.37633986719106</v>
      </c>
      <c r="M874" s="14">
        <f t="shared" si="171"/>
        <v>0.14452796510365828</v>
      </c>
      <c r="N874" s="14">
        <f t="shared" si="178"/>
        <v>3.6985107736595886</v>
      </c>
      <c r="O874" s="4">
        <v>9.4613999999999994</v>
      </c>
      <c r="P874" s="14">
        <f t="shared" si="181"/>
        <v>33.210892235070375</v>
      </c>
      <c r="Q874" s="14">
        <f t="shared" si="179"/>
        <v>8.5717259516533346</v>
      </c>
    </row>
    <row r="875" spans="1:17" x14ac:dyDescent="0.25">
      <c r="A875" s="5" t="s">
        <v>932</v>
      </c>
      <c r="B875" s="6">
        <f t="shared" si="180"/>
        <v>9</v>
      </c>
      <c r="C875" s="70">
        <v>16.728557590000001</v>
      </c>
      <c r="D875" s="4">
        <v>0</v>
      </c>
      <c r="E875" s="12">
        <f t="shared" si="169"/>
        <v>0</v>
      </c>
      <c r="F875" s="12">
        <f t="shared" si="170"/>
        <v>0</v>
      </c>
      <c r="G875" s="16">
        <f t="shared" si="172"/>
        <v>0.67096119357290207</v>
      </c>
      <c r="H875" s="14">
        <f t="shared" si="173"/>
        <v>0</v>
      </c>
      <c r="I875" s="14">
        <f t="shared" si="174"/>
        <v>5.7362782398619681</v>
      </c>
      <c r="J875" s="14">
        <f t="shared" si="175"/>
        <v>5.8593746764958148E-2</v>
      </c>
      <c r="K875" s="14">
        <f t="shared" si="176"/>
        <v>1.0203537334219586</v>
      </c>
      <c r="L875" s="14">
        <f t="shared" si="177"/>
        <v>677.28489736085839</v>
      </c>
      <c r="M875" s="14">
        <f t="shared" si="171"/>
        <v>0.14449717677806406</v>
      </c>
      <c r="N875" s="14">
        <f t="shared" si="178"/>
        <v>3.69772289185532</v>
      </c>
      <c r="O875" s="4">
        <v>10.931699999999999</v>
      </c>
      <c r="P875" s="14">
        <f t="shared" si="181"/>
        <v>52.330424801161257</v>
      </c>
      <c r="Q875" s="14">
        <f t="shared" si="179"/>
        <v>19.342852649153347</v>
      </c>
    </row>
    <row r="876" spans="1:17" x14ac:dyDescent="0.25">
      <c r="A876" s="5" t="s">
        <v>933</v>
      </c>
      <c r="B876" s="6">
        <f t="shared" si="180"/>
        <v>9</v>
      </c>
      <c r="C876" s="70">
        <v>17.066486359999999</v>
      </c>
      <c r="D876" s="4">
        <v>0</v>
      </c>
      <c r="E876" s="12">
        <f t="shared" si="169"/>
        <v>0</v>
      </c>
      <c r="F876" s="12">
        <f t="shared" si="170"/>
        <v>0</v>
      </c>
      <c r="G876" s="16">
        <f t="shared" si="172"/>
        <v>0.61234559025019142</v>
      </c>
      <c r="H876" s="14">
        <f t="shared" si="173"/>
        <v>0</v>
      </c>
      <c r="I876" s="14">
        <f t="shared" si="174"/>
        <v>6.2395429511422691</v>
      </c>
      <c r="J876" s="14">
        <f t="shared" si="175"/>
        <v>5.8615603322710701E-2</v>
      </c>
      <c r="K876" s="14">
        <f t="shared" si="176"/>
        <v>0.96989354299716857</v>
      </c>
      <c r="L876" s="14">
        <f t="shared" si="177"/>
        <v>677.19086037450506</v>
      </c>
      <c r="M876" s="14">
        <f t="shared" si="171"/>
        <v>0.14446639501120737</v>
      </c>
      <c r="N876" s="14">
        <f t="shared" si="178"/>
        <v>3.6969351778909663</v>
      </c>
      <c r="O876" s="4">
        <v>12.7623</v>
      </c>
      <c r="P876" s="14">
        <f t="shared" si="181"/>
        <v>82.180839357931958</v>
      </c>
      <c r="Q876" s="14">
        <f t="shared" si="179"/>
        <v>38.796093351394745</v>
      </c>
    </row>
    <row r="877" spans="1:17" x14ac:dyDescent="0.25">
      <c r="A877" s="5" t="s">
        <v>934</v>
      </c>
      <c r="B877" s="6">
        <f t="shared" si="180"/>
        <v>9</v>
      </c>
      <c r="C877" s="70">
        <v>18.137817380000001</v>
      </c>
      <c r="D877" s="4">
        <v>1.5</v>
      </c>
      <c r="E877" s="12">
        <f t="shared" si="169"/>
        <v>0</v>
      </c>
      <c r="F877" s="12">
        <f t="shared" si="170"/>
        <v>1.5</v>
      </c>
      <c r="G877" s="16">
        <f t="shared" si="172"/>
        <v>1.9986912722203611</v>
      </c>
      <c r="H877" s="14">
        <f t="shared" si="173"/>
        <v>4.648040239869531E-2</v>
      </c>
      <c r="I877" s="14">
        <f t="shared" si="174"/>
        <v>7.8350362749747866</v>
      </c>
      <c r="J877" s="14">
        <f t="shared" si="175"/>
        <v>6.7173915631135089E-2</v>
      </c>
      <c r="K877" s="14">
        <f t="shared" si="176"/>
        <v>0.96840919428226913</v>
      </c>
      <c r="L877" s="14">
        <f t="shared" si="177"/>
        <v>677.09435873060738</v>
      </c>
      <c r="M877" s="14">
        <f t="shared" si="171"/>
        <v>0.1444455213716867</v>
      </c>
      <c r="N877" s="14">
        <f t="shared" si="178"/>
        <v>3.6964010156573992</v>
      </c>
      <c r="O877" s="4">
        <v>15.3858</v>
      </c>
      <c r="P877" s="14">
        <f t="shared" si="181"/>
        <v>136.64204861514983</v>
      </c>
      <c r="Q877" s="14">
        <f t="shared" si="179"/>
        <v>78.360577428549959</v>
      </c>
    </row>
    <row r="878" spans="1:17" x14ac:dyDescent="0.25">
      <c r="A878" s="5" t="s">
        <v>935</v>
      </c>
      <c r="B878" s="6">
        <f t="shared" si="180"/>
        <v>9</v>
      </c>
      <c r="C878" s="70">
        <v>17.446865079999998</v>
      </c>
      <c r="D878" s="4">
        <v>0</v>
      </c>
      <c r="E878" s="12">
        <f t="shared" si="169"/>
        <v>0</v>
      </c>
      <c r="F878" s="12">
        <f t="shared" si="170"/>
        <v>0</v>
      </c>
      <c r="G878" s="16">
        <f t="shared" si="172"/>
        <v>1.8082318649128239</v>
      </c>
      <c r="H878" s="14">
        <f t="shared" si="173"/>
        <v>0</v>
      </c>
      <c r="I878" s="14">
        <f t="shared" si="174"/>
        <v>6.8060267894315363</v>
      </c>
      <c r="J878" s="14">
        <f t="shared" si="175"/>
        <v>0.19045940730753719</v>
      </c>
      <c r="K878" s="14">
        <f t="shared" si="176"/>
        <v>0.92051784959269911</v>
      </c>
      <c r="L878" s="14">
        <f t="shared" si="177"/>
        <v>676.99780455392533</v>
      </c>
      <c r="M878" s="14">
        <f t="shared" si="171"/>
        <v>0.14441475060881445</v>
      </c>
      <c r="N878" s="14">
        <f t="shared" si="178"/>
        <v>3.6956135832880643</v>
      </c>
      <c r="O878" s="4">
        <v>17.274100000000001</v>
      </c>
      <c r="P878" s="14">
        <f t="shared" si="181"/>
        <v>184.37529336883054</v>
      </c>
      <c r="Q878" s="14">
        <f t="shared" si="179"/>
        <v>115.3572878068546</v>
      </c>
    </row>
    <row r="879" spans="1:17" x14ac:dyDescent="0.25">
      <c r="A879" s="5" t="s">
        <v>936</v>
      </c>
      <c r="B879" s="6">
        <f t="shared" si="180"/>
        <v>9</v>
      </c>
      <c r="C879" s="70">
        <v>16.967138290000001</v>
      </c>
      <c r="D879" s="4">
        <v>0</v>
      </c>
      <c r="E879" s="12">
        <f t="shared" si="169"/>
        <v>0</v>
      </c>
      <c r="F879" s="12">
        <f t="shared" si="170"/>
        <v>0</v>
      </c>
      <c r="G879" s="16">
        <f t="shared" si="172"/>
        <v>1.6540093898288855</v>
      </c>
      <c r="H879" s="14">
        <f t="shared" si="173"/>
        <v>0</v>
      </c>
      <c r="I879" s="14">
        <f t="shared" si="174"/>
        <v>6.0915875765087204</v>
      </c>
      <c r="J879" s="14">
        <f t="shared" si="175"/>
        <v>0.15422247508393844</v>
      </c>
      <c r="K879" s="14">
        <f t="shared" si="176"/>
        <v>0.87499490548184833</v>
      </c>
      <c r="L879" s="14">
        <f t="shared" si="177"/>
        <v>676.89891274742729</v>
      </c>
      <c r="M879" s="14">
        <f t="shared" si="171"/>
        <v>0.14438398640093836</v>
      </c>
      <c r="N879" s="14">
        <f t="shared" si="178"/>
        <v>3.6948263186629018</v>
      </c>
      <c r="O879" s="4">
        <v>18.571400000000001</v>
      </c>
      <c r="P879" s="14">
        <f t="shared" si="181"/>
        <v>221.31244449625166</v>
      </c>
      <c r="Q879" s="14">
        <f t="shared" si="179"/>
        <v>144.90744927636609</v>
      </c>
    </row>
    <row r="880" spans="1:17" x14ac:dyDescent="0.25">
      <c r="A880" s="5" t="s">
        <v>937</v>
      </c>
      <c r="B880" s="6">
        <f t="shared" si="180"/>
        <v>9</v>
      </c>
      <c r="C880" s="70">
        <v>16.02801895</v>
      </c>
      <c r="D880" s="4">
        <v>0</v>
      </c>
      <c r="E880" s="12">
        <f t="shared" si="169"/>
        <v>0</v>
      </c>
      <c r="F880" s="12">
        <f t="shared" si="170"/>
        <v>0</v>
      </c>
      <c r="G880" s="16">
        <f t="shared" si="172"/>
        <v>1.5453290821742609</v>
      </c>
      <c r="H880" s="14">
        <f t="shared" si="173"/>
        <v>0</v>
      </c>
      <c r="I880" s="14">
        <f t="shared" si="174"/>
        <v>4.6929921757594739</v>
      </c>
      <c r="J880" s="14">
        <f t="shared" si="175"/>
        <v>0.1086803076546245</v>
      </c>
      <c r="K880" s="14">
        <f t="shared" si="176"/>
        <v>0.83172323595675013</v>
      </c>
      <c r="L880" s="14">
        <f t="shared" si="177"/>
        <v>676.79780043055143</v>
      </c>
      <c r="M880" s="14">
        <f t="shared" si="171"/>
        <v>0.14435322874666215</v>
      </c>
      <c r="N880" s="14">
        <f t="shared" si="178"/>
        <v>3.694039221746181</v>
      </c>
      <c r="O880" s="4">
        <v>13.007400000000001</v>
      </c>
      <c r="P880" s="14">
        <f t="shared" si="181"/>
        <v>86.738688985916596</v>
      </c>
      <c r="Q880" s="14">
        <f t="shared" si="179"/>
        <v>41.909452084412003</v>
      </c>
    </row>
    <row r="881" spans="1:17" x14ac:dyDescent="0.25">
      <c r="A881" s="5" t="s">
        <v>938</v>
      </c>
      <c r="B881" s="6">
        <f t="shared" si="180"/>
        <v>9</v>
      </c>
      <c r="C881" s="70">
        <v>16.864967350000001</v>
      </c>
      <c r="D881" s="4">
        <v>0</v>
      </c>
      <c r="E881" s="12">
        <f t="shared" si="169"/>
        <v>0</v>
      </c>
      <c r="F881" s="12">
        <f t="shared" si="170"/>
        <v>0</v>
      </c>
      <c r="G881" s="16">
        <f t="shared" si="172"/>
        <v>1.4168215234612793</v>
      </c>
      <c r="H881" s="14">
        <f t="shared" si="173"/>
        <v>0</v>
      </c>
      <c r="I881" s="14">
        <f t="shared" si="174"/>
        <v>5.9394282068867206</v>
      </c>
      <c r="J881" s="14">
        <f t="shared" si="175"/>
        <v>0.12850755871298153</v>
      </c>
      <c r="K881" s="14">
        <f t="shared" si="176"/>
        <v>0.79059150732931704</v>
      </c>
      <c r="L881" s="14">
        <f t="shared" si="177"/>
        <v>676.69457893043227</v>
      </c>
      <c r="M881" s="14">
        <f t="shared" si="171"/>
        <v>0.14432247764458969</v>
      </c>
      <c r="N881" s="14">
        <f t="shared" si="178"/>
        <v>3.6932522925021738</v>
      </c>
      <c r="O881" s="4">
        <v>13.050599999999999</v>
      </c>
      <c r="P881" s="14">
        <f t="shared" si="181"/>
        <v>87.559956119014828</v>
      </c>
      <c r="Q881" s="14">
        <f t="shared" si="179"/>
        <v>42.470650411308533</v>
      </c>
    </row>
    <row r="882" spans="1:17" x14ac:dyDescent="0.25">
      <c r="A882" s="5" t="s">
        <v>939</v>
      </c>
      <c r="B882" s="6">
        <f t="shared" si="180"/>
        <v>9</v>
      </c>
      <c r="C882" s="70">
        <v>17.026550289999999</v>
      </c>
      <c r="D882" s="4">
        <v>0</v>
      </c>
      <c r="E882" s="12">
        <f t="shared" si="169"/>
        <v>0</v>
      </c>
      <c r="F882" s="12">
        <f t="shared" si="170"/>
        <v>0</v>
      </c>
      <c r="G882" s="16">
        <f t="shared" si="172"/>
        <v>1.2942268973991895</v>
      </c>
      <c r="H882" s="14">
        <f t="shared" si="173"/>
        <v>0</v>
      </c>
      <c r="I882" s="14">
        <f t="shared" si="174"/>
        <v>6.1800676518411182</v>
      </c>
      <c r="J882" s="14">
        <f t="shared" si="175"/>
        <v>0.12259462606208975</v>
      </c>
      <c r="K882" s="14">
        <f t="shared" si="176"/>
        <v>0.75149389176587056</v>
      </c>
      <c r="L882" s="14">
        <f t="shared" si="177"/>
        <v>676.5893540683511</v>
      </c>
      <c r="M882" s="14">
        <f t="shared" si="171"/>
        <v>0.14429173309332519</v>
      </c>
      <c r="N882" s="14">
        <f t="shared" si="178"/>
        <v>3.6924655308951624</v>
      </c>
      <c r="O882" s="4">
        <v>10.0235</v>
      </c>
      <c r="P882" s="14">
        <f t="shared" si="181"/>
        <v>40.081997448993569</v>
      </c>
      <c r="Q882" s="14">
        <f t="shared" si="179"/>
        <v>12.179060042314266</v>
      </c>
    </row>
    <row r="883" spans="1:17" x14ac:dyDescent="0.25">
      <c r="A883" s="5" t="s">
        <v>940</v>
      </c>
      <c r="B883" s="6">
        <f t="shared" si="180"/>
        <v>9</v>
      </c>
      <c r="C883" s="70">
        <v>16.26657677</v>
      </c>
      <c r="D883" s="4">
        <v>0</v>
      </c>
      <c r="E883" s="12">
        <f t="shared" si="169"/>
        <v>0</v>
      </c>
      <c r="F883" s="12">
        <f t="shared" si="170"/>
        <v>0</v>
      </c>
      <c r="G883" s="16">
        <f t="shared" si="172"/>
        <v>1.2027490716412379</v>
      </c>
      <c r="H883" s="14">
        <f t="shared" si="173"/>
        <v>0</v>
      </c>
      <c r="I883" s="14">
        <f t="shared" si="174"/>
        <v>5.0482674380757278</v>
      </c>
      <c r="J883" s="14">
        <f t="shared" si="175"/>
        <v>9.14778257579517E-2</v>
      </c>
      <c r="K883" s="14">
        <f t="shared" si="176"/>
        <v>0.71432979500268401</v>
      </c>
      <c r="L883" s="14">
        <f t="shared" si="177"/>
        <v>676.48222643202098</v>
      </c>
      <c r="M883" s="14">
        <f t="shared" si="171"/>
        <v>0.14426099509147314</v>
      </c>
      <c r="N883" s="14">
        <f t="shared" si="178"/>
        <v>3.691678936889434</v>
      </c>
      <c r="O883" s="4">
        <v>9.6199999999999992</v>
      </c>
      <c r="P883" s="14">
        <f t="shared" si="181"/>
        <v>35.144990627320382</v>
      </c>
      <c r="Q883" s="14">
        <f t="shared" si="179"/>
        <v>9.5255625306763232</v>
      </c>
    </row>
    <row r="884" spans="1:17" x14ac:dyDescent="0.25">
      <c r="A884" s="5" t="s">
        <v>941</v>
      </c>
      <c r="B884" s="6">
        <f t="shared" si="180"/>
        <v>9</v>
      </c>
      <c r="C884" s="70">
        <v>16.125936509999999</v>
      </c>
      <c r="D884" s="4">
        <v>0</v>
      </c>
      <c r="E884" s="12">
        <f t="shared" si="169"/>
        <v>0</v>
      </c>
      <c r="F884" s="12">
        <f t="shared" si="170"/>
        <v>0</v>
      </c>
      <c r="G884" s="16">
        <f t="shared" si="172"/>
        <v>1.1212641411445592</v>
      </c>
      <c r="H884" s="14">
        <f t="shared" si="173"/>
        <v>0</v>
      </c>
      <c r="I884" s="14">
        <f t="shared" si="174"/>
        <v>4.8388171452128628</v>
      </c>
      <c r="J884" s="14">
        <f t="shared" si="175"/>
        <v>8.1484930496678765E-2</v>
      </c>
      <c r="K884" s="14">
        <f t="shared" si="176"/>
        <v>0.67900359752697936</v>
      </c>
      <c r="L884" s="14">
        <f t="shared" si="177"/>
        <v>676.37329163440518</v>
      </c>
      <c r="M884" s="14">
        <f t="shared" si="171"/>
        <v>0.1442302636376383</v>
      </c>
      <c r="N884" s="14">
        <f t="shared" si="178"/>
        <v>3.6908925104492858</v>
      </c>
      <c r="O884" s="4">
        <v>6.1989999999999998</v>
      </c>
      <c r="P884" s="14">
        <f t="shared" si="181"/>
        <v>6.2906031791403851</v>
      </c>
      <c r="Q884" s="14">
        <f t="shared" si="179"/>
        <v>0.11198994935445673</v>
      </c>
    </row>
    <row r="885" spans="1:17" x14ac:dyDescent="0.25">
      <c r="A885" s="5" t="s">
        <v>942</v>
      </c>
      <c r="B885" s="6">
        <f t="shared" si="180"/>
        <v>9</v>
      </c>
      <c r="C885" s="70">
        <v>16.848182680000001</v>
      </c>
      <c r="D885" s="4">
        <v>0</v>
      </c>
      <c r="E885" s="12">
        <f t="shared" si="169"/>
        <v>0</v>
      </c>
      <c r="F885" s="12">
        <f t="shared" si="170"/>
        <v>0</v>
      </c>
      <c r="G885" s="16">
        <f t="shared" si="172"/>
        <v>1.0284136955566745</v>
      </c>
      <c r="H885" s="14">
        <f t="shared" si="173"/>
        <v>0</v>
      </c>
      <c r="I885" s="14">
        <f t="shared" si="174"/>
        <v>5.9144314239804148</v>
      </c>
      <c r="J885" s="14">
        <f t="shared" si="175"/>
        <v>9.2850445587884689E-2</v>
      </c>
      <c r="K885" s="14">
        <f t="shared" si="176"/>
        <v>0.64542440855746164</v>
      </c>
      <c r="L885" s="14">
        <f t="shared" si="177"/>
        <v>676.26264055973706</v>
      </c>
      <c r="M885" s="14">
        <f t="shared" si="171"/>
        <v>0.14419953873042585</v>
      </c>
      <c r="N885" s="14">
        <f t="shared" si="178"/>
        <v>3.6901062515390226</v>
      </c>
      <c r="O885" s="4">
        <v>5.2329999999999997</v>
      </c>
      <c r="P885" s="14">
        <f t="shared" si="181"/>
        <v>2.3805211190399649</v>
      </c>
      <c r="Q885" s="14">
        <f t="shared" si="179"/>
        <v>1.6916878062510001</v>
      </c>
    </row>
    <row r="886" spans="1:17" x14ac:dyDescent="0.25">
      <c r="A886" s="5" t="s">
        <v>943</v>
      </c>
      <c r="B886" s="6">
        <f t="shared" si="180"/>
        <v>9</v>
      </c>
      <c r="C886" s="70">
        <v>17.216745379999999</v>
      </c>
      <c r="D886" s="4">
        <v>0</v>
      </c>
      <c r="E886" s="12">
        <f t="shared" si="169"/>
        <v>0</v>
      </c>
      <c r="F886" s="12">
        <f t="shared" si="170"/>
        <v>0</v>
      </c>
      <c r="G886" s="16">
        <f t="shared" si="172"/>
        <v>0.93534868285665917</v>
      </c>
      <c r="H886" s="14">
        <f t="shared" si="173"/>
        <v>0</v>
      </c>
      <c r="I886" s="14">
        <f t="shared" si="174"/>
        <v>6.4633181044610035</v>
      </c>
      <c r="J886" s="14">
        <f t="shared" si="175"/>
        <v>9.306501270001534E-2</v>
      </c>
      <c r="K886" s="14">
        <f t="shared" si="176"/>
        <v>0.61350583219140775</v>
      </c>
      <c r="L886" s="14">
        <f t="shared" si="177"/>
        <v>676.1503595973727</v>
      </c>
      <c r="M886" s="14">
        <f t="shared" si="171"/>
        <v>0.14416882036844114</v>
      </c>
      <c r="N886" s="14">
        <f t="shared" si="178"/>
        <v>3.6893201601229553</v>
      </c>
      <c r="O886" s="4">
        <v>4.9425999999999997</v>
      </c>
      <c r="P886" s="14">
        <f t="shared" si="181"/>
        <v>1.5707103570422301</v>
      </c>
      <c r="Q886" s="14">
        <f t="shared" si="179"/>
        <v>2.5314369021130667</v>
      </c>
    </row>
    <row r="887" spans="1:17" x14ac:dyDescent="0.25">
      <c r="A887" s="5" t="s">
        <v>944</v>
      </c>
      <c r="B887" s="6">
        <f t="shared" si="180"/>
        <v>9</v>
      </c>
      <c r="C887" s="70">
        <v>15.46901321</v>
      </c>
      <c r="D887" s="4">
        <v>1.2</v>
      </c>
      <c r="E887" s="12">
        <f t="shared" si="169"/>
        <v>0</v>
      </c>
      <c r="F887" s="12">
        <f t="shared" si="170"/>
        <v>1.2</v>
      </c>
      <c r="G887" s="16">
        <f t="shared" si="172"/>
        <v>2.0381873327848323</v>
      </c>
      <c r="H887" s="14">
        <f t="shared" si="173"/>
        <v>4.6604669164006379E-2</v>
      </c>
      <c r="I887" s="14">
        <f t="shared" si="174"/>
        <v>3.8604857799733669</v>
      </c>
      <c r="J887" s="14">
        <f t="shared" si="175"/>
        <v>5.0556680907820645E-2</v>
      </c>
      <c r="K887" s="14">
        <f t="shared" si="176"/>
        <v>0.62977041428063552</v>
      </c>
      <c r="L887" s="14">
        <f t="shared" si="177"/>
        <v>676.03653086407905</v>
      </c>
      <c r="M887" s="14">
        <f t="shared" si="171"/>
        <v>0.14414803659243314</v>
      </c>
      <c r="N887" s="14">
        <f t="shared" si="178"/>
        <v>3.6887882975216395</v>
      </c>
      <c r="O887" s="4">
        <v>5.3098999999999998</v>
      </c>
      <c r="P887" s="14">
        <f t="shared" si="181"/>
        <v>2.6280031519122877</v>
      </c>
      <c r="Q887" s="14">
        <f t="shared" si="179"/>
        <v>1.4975616009349084</v>
      </c>
    </row>
    <row r="888" spans="1:17" x14ac:dyDescent="0.25">
      <c r="A888" s="5" t="s">
        <v>945</v>
      </c>
      <c r="B888" s="6">
        <f t="shared" si="180"/>
        <v>10</v>
      </c>
      <c r="C888" s="70">
        <v>13.643279079999999</v>
      </c>
      <c r="D888" s="4">
        <v>0</v>
      </c>
      <c r="E888" s="12">
        <f t="shared" si="169"/>
        <v>0</v>
      </c>
      <c r="F888" s="12">
        <f t="shared" si="170"/>
        <v>0</v>
      </c>
      <c r="G888" s="16">
        <f t="shared" si="172"/>
        <v>1.994899860210958</v>
      </c>
      <c r="H888" s="14">
        <f t="shared" si="173"/>
        <v>0</v>
      </c>
      <c r="I888" s="14">
        <f t="shared" si="174"/>
        <v>1.5168934392421054</v>
      </c>
      <c r="J888" s="14">
        <f t="shared" si="175"/>
        <v>4.3287472573874289E-2</v>
      </c>
      <c r="K888" s="14">
        <f t="shared" si="176"/>
        <v>0.59862598467000938</v>
      </c>
      <c r="L888" s="14">
        <f t="shared" si="177"/>
        <v>675.92352725709725</v>
      </c>
      <c r="M888" s="14">
        <f t="shared" si="171"/>
        <v>0.14411732920178255</v>
      </c>
      <c r="N888" s="14">
        <f t="shared" si="178"/>
        <v>3.6880024868650603</v>
      </c>
      <c r="O888" s="4">
        <v>10.081200000000001</v>
      </c>
      <c r="P888" s="14">
        <f t="shared" si="181"/>
        <v>40.872974441954788</v>
      </c>
      <c r="Q888" s="14">
        <f t="shared" si="179"/>
        <v>12.585118138377489</v>
      </c>
    </row>
    <row r="889" spans="1:17" x14ac:dyDescent="0.25">
      <c r="A889" s="5" t="s">
        <v>946</v>
      </c>
      <c r="B889" s="6">
        <f t="shared" si="180"/>
        <v>10</v>
      </c>
      <c r="C889" s="70">
        <v>16.586423870000001</v>
      </c>
      <c r="D889" s="4">
        <v>0</v>
      </c>
      <c r="E889" s="12">
        <f t="shared" si="169"/>
        <v>0</v>
      </c>
      <c r="F889" s="12">
        <f t="shared" si="170"/>
        <v>0</v>
      </c>
      <c r="G889" s="16">
        <f t="shared" si="172"/>
        <v>1.8365606600751263</v>
      </c>
      <c r="H889" s="14">
        <f t="shared" si="173"/>
        <v>0</v>
      </c>
      <c r="I889" s="14">
        <f t="shared" si="174"/>
        <v>5.6689716945724937</v>
      </c>
      <c r="J889" s="14">
        <f t="shared" si="175"/>
        <v>0.15833920013583175</v>
      </c>
      <c r="K889" s="14">
        <f t="shared" si="176"/>
        <v>0.56902175998768112</v>
      </c>
      <c r="L889" s="14">
        <f t="shared" si="177"/>
        <v>675.80901415257779</v>
      </c>
      <c r="M889" s="14">
        <f t="shared" si="171"/>
        <v>0.1440866283526282</v>
      </c>
      <c r="N889" s="14">
        <f t="shared" si="178"/>
        <v>3.687216843607187</v>
      </c>
      <c r="O889" s="4">
        <v>11.436199999999999</v>
      </c>
      <c r="P889" s="14">
        <f t="shared" si="181"/>
        <v>60.046739958059511</v>
      </c>
      <c r="Q889" s="14">
        <f t="shared" si="179"/>
        <v>24.035006363952203</v>
      </c>
    </row>
    <row r="890" spans="1:17" x14ac:dyDescent="0.25">
      <c r="A890" s="5" t="s">
        <v>947</v>
      </c>
      <c r="B890" s="6">
        <f t="shared" si="180"/>
        <v>10</v>
      </c>
      <c r="C890" s="70">
        <v>16.645481109999999</v>
      </c>
      <c r="D890" s="4">
        <v>0</v>
      </c>
      <c r="E890" s="12">
        <f t="shared" si="169"/>
        <v>0</v>
      </c>
      <c r="F890" s="12">
        <f t="shared" si="170"/>
        <v>0</v>
      </c>
      <c r="G890" s="16">
        <f t="shared" si="172"/>
        <v>1.6886467851314866</v>
      </c>
      <c r="H890" s="14">
        <f t="shared" si="173"/>
        <v>0</v>
      </c>
      <c r="I890" s="14">
        <f t="shared" si="174"/>
        <v>5.752287433185483</v>
      </c>
      <c r="J890" s="14">
        <f t="shared" si="175"/>
        <v>0.14791387494363964</v>
      </c>
      <c r="K890" s="14">
        <f t="shared" si="176"/>
        <v>0.54088157151742089</v>
      </c>
      <c r="L890" s="14">
        <f t="shared" si="177"/>
        <v>675.69306771269544</v>
      </c>
      <c r="M890" s="14">
        <f t="shared" si="171"/>
        <v>0.14405593404357658</v>
      </c>
      <c r="N890" s="14">
        <f t="shared" si="178"/>
        <v>3.6864313677123586</v>
      </c>
      <c r="O890" s="4">
        <v>13.886699999999999</v>
      </c>
      <c r="P890" s="14">
        <f t="shared" si="181"/>
        <v>104.04548017083117</v>
      </c>
      <c r="Q890" s="14">
        <f t="shared" si="179"/>
        <v>54.067359093118888</v>
      </c>
    </row>
    <row r="891" spans="1:17" x14ac:dyDescent="0.25">
      <c r="A891" s="5" t="s">
        <v>948</v>
      </c>
      <c r="B891" s="6">
        <f t="shared" si="180"/>
        <v>10</v>
      </c>
      <c r="C891" s="70">
        <v>16.495931630000001</v>
      </c>
      <c r="D891" s="4">
        <v>0</v>
      </c>
      <c r="E891" s="12">
        <f t="shared" si="169"/>
        <v>0</v>
      </c>
      <c r="F891" s="12">
        <f t="shared" si="170"/>
        <v>0</v>
      </c>
      <c r="G891" s="16">
        <f t="shared" si="172"/>
        <v>1.5576338381195733</v>
      </c>
      <c r="H891" s="14">
        <f t="shared" si="173"/>
        <v>0</v>
      </c>
      <c r="I891" s="14">
        <f t="shared" si="174"/>
        <v>5.5413086372683589</v>
      </c>
      <c r="J891" s="14">
        <f t="shared" si="175"/>
        <v>0.13101294701191329</v>
      </c>
      <c r="K891" s="14">
        <f t="shared" si="176"/>
        <v>0.51413301736209249</v>
      </c>
      <c r="L891" s="14">
        <f t="shared" si="177"/>
        <v>675.57576033280725</v>
      </c>
      <c r="M891" s="14">
        <f t="shared" si="171"/>
        <v>0.14402524627323449</v>
      </c>
      <c r="N891" s="14">
        <f t="shared" si="178"/>
        <v>3.6856460591449238</v>
      </c>
      <c r="O891" s="4">
        <v>13.411</v>
      </c>
      <c r="P891" s="14">
        <f t="shared" si="181"/>
        <v>94.582509274905348</v>
      </c>
      <c r="Q891" s="14">
        <f t="shared" si="179"/>
        <v>47.297956856251069</v>
      </c>
    </row>
    <row r="892" spans="1:17" x14ac:dyDescent="0.25">
      <c r="A892" s="5" t="s">
        <v>949</v>
      </c>
      <c r="B892" s="6">
        <f t="shared" si="180"/>
        <v>10</v>
      </c>
      <c r="C892" s="70">
        <v>17.197731019999999</v>
      </c>
      <c r="D892" s="4">
        <v>0</v>
      </c>
      <c r="E892" s="12">
        <f t="shared" si="169"/>
        <v>0</v>
      </c>
      <c r="F892" s="12">
        <f t="shared" si="170"/>
        <v>0</v>
      </c>
      <c r="G892" s="16">
        <f t="shared" si="172"/>
        <v>1.4151933534857175</v>
      </c>
      <c r="H892" s="14">
        <f t="shared" si="173"/>
        <v>0</v>
      </c>
      <c r="I892" s="14">
        <f t="shared" si="174"/>
        <v>6.5313808881218831</v>
      </c>
      <c r="J892" s="14">
        <f t="shared" si="175"/>
        <v>0.14244048463385572</v>
      </c>
      <c r="K892" s="14">
        <f t="shared" si="176"/>
        <v>0.48870727616079629</v>
      </c>
      <c r="L892" s="14">
        <f t="shared" si="177"/>
        <v>675.45716082773538</v>
      </c>
      <c r="M892" s="14">
        <f t="shared" si="171"/>
        <v>0.14399456504020899</v>
      </c>
      <c r="N892" s="14">
        <f t="shared" si="178"/>
        <v>3.6848609178692371</v>
      </c>
      <c r="O892" s="4">
        <v>12.517300000000001</v>
      </c>
      <c r="P892" s="14">
        <f t="shared" si="181"/>
        <v>78.011980139550928</v>
      </c>
      <c r="Q892" s="14">
        <f t="shared" si="179"/>
        <v>35.804079358578662</v>
      </c>
    </row>
    <row r="893" spans="1:17" x14ac:dyDescent="0.25">
      <c r="A893" s="5" t="s">
        <v>950</v>
      </c>
      <c r="B893" s="6">
        <f t="shared" si="180"/>
        <v>10</v>
      </c>
      <c r="C893" s="70">
        <v>17.038986210000001</v>
      </c>
      <c r="D893" s="4">
        <v>0</v>
      </c>
      <c r="E893" s="12">
        <f t="shared" si="169"/>
        <v>0</v>
      </c>
      <c r="F893" s="12">
        <f t="shared" si="170"/>
        <v>0</v>
      </c>
      <c r="G893" s="16">
        <f t="shared" si="172"/>
        <v>1.2902160198369104</v>
      </c>
      <c r="H893" s="14">
        <f t="shared" si="173"/>
        <v>0</v>
      </c>
      <c r="I893" s="14">
        <f t="shared" si="174"/>
        <v>6.307429665610826</v>
      </c>
      <c r="J893" s="14">
        <f t="shared" si="175"/>
        <v>0.12497733364880712</v>
      </c>
      <c r="K893" s="14">
        <f t="shared" si="176"/>
        <v>0.4645389300183746</v>
      </c>
      <c r="L893" s="14">
        <f t="shared" si="177"/>
        <v>675.33733460883764</v>
      </c>
      <c r="M893" s="14">
        <f t="shared" si="171"/>
        <v>0.14396389034310747</v>
      </c>
      <c r="N893" s="14">
        <f t="shared" si="178"/>
        <v>3.6840759438496606</v>
      </c>
      <c r="O893" s="4">
        <v>12.2277</v>
      </c>
      <c r="P893" s="14">
        <f t="shared" si="181"/>
        <v>72.993512012830763</v>
      </c>
      <c r="Q893" s="14">
        <f t="shared" si="179"/>
        <v>32.422216856049921</v>
      </c>
    </row>
    <row r="894" spans="1:17" x14ac:dyDescent="0.25">
      <c r="A894" s="5" t="s">
        <v>951</v>
      </c>
      <c r="B894" s="6">
        <f t="shared" si="180"/>
        <v>10</v>
      </c>
      <c r="C894" s="70">
        <v>16.52380943</v>
      </c>
      <c r="D894" s="4">
        <v>0</v>
      </c>
      <c r="E894" s="12">
        <f t="shared" si="169"/>
        <v>0</v>
      </c>
      <c r="F894" s="12">
        <f t="shared" si="170"/>
        <v>0</v>
      </c>
      <c r="G894" s="16">
        <f t="shared" si="172"/>
        <v>1.1894046981800279</v>
      </c>
      <c r="H894" s="14">
        <f t="shared" si="173"/>
        <v>0</v>
      </c>
      <c r="I894" s="14">
        <f t="shared" si="174"/>
        <v>5.5806375916506692</v>
      </c>
      <c r="J894" s="14">
        <f t="shared" si="175"/>
        <v>0.10081132165688239</v>
      </c>
      <c r="K894" s="14">
        <f t="shared" si="176"/>
        <v>0.4415657961916945</v>
      </c>
      <c r="L894" s="14">
        <f t="shared" si="177"/>
        <v>675.2163438523213</v>
      </c>
      <c r="M894" s="14">
        <f t="shared" si="171"/>
        <v>0.14393322218053761</v>
      </c>
      <c r="N894" s="14">
        <f t="shared" si="178"/>
        <v>3.683291137050563</v>
      </c>
      <c r="O894" s="4">
        <v>13.6128</v>
      </c>
      <c r="P894" s="14">
        <f t="shared" si="181"/>
        <v>98.595146259391413</v>
      </c>
      <c r="Q894" s="14">
        <f t="shared" si="179"/>
        <v>50.114378962170619</v>
      </c>
    </row>
    <row r="895" spans="1:17" x14ac:dyDescent="0.25">
      <c r="A895" s="5" t="s">
        <v>952</v>
      </c>
      <c r="B895" s="6">
        <f t="shared" si="180"/>
        <v>10</v>
      </c>
      <c r="C895" s="70">
        <v>16.510353089999999</v>
      </c>
      <c r="D895" s="4">
        <v>0</v>
      </c>
      <c r="E895" s="12">
        <f t="shared" si="169"/>
        <v>0</v>
      </c>
      <c r="F895" s="12">
        <f t="shared" si="170"/>
        <v>0</v>
      </c>
      <c r="G895" s="16">
        <f t="shared" si="172"/>
        <v>1.0967864277449233</v>
      </c>
      <c r="H895" s="14">
        <f t="shared" si="173"/>
        <v>0</v>
      </c>
      <c r="I895" s="14">
        <f t="shared" si="174"/>
        <v>5.5616538920038927</v>
      </c>
      <c r="J895" s="14">
        <f t="shared" si="175"/>
        <v>9.2618270435104649E-2</v>
      </c>
      <c r="K895" s="14">
        <f t="shared" si="176"/>
        <v>0.41972876709965456</v>
      </c>
      <c r="L895" s="14">
        <f t="shared" si="177"/>
        <v>675.09424765923279</v>
      </c>
      <c r="M895" s="14">
        <f t="shared" si="171"/>
        <v>0.14390256055110734</v>
      </c>
      <c r="N895" s="14">
        <f t="shared" si="178"/>
        <v>3.6825064974363233</v>
      </c>
      <c r="O895" s="4">
        <v>14.3912</v>
      </c>
      <c r="P895" s="14">
        <f t="shared" si="181"/>
        <v>114.6761165318495</v>
      </c>
      <c r="Q895" s="14">
        <f t="shared" si="179"/>
        <v>61.741107807917743</v>
      </c>
    </row>
    <row r="896" spans="1:17" x14ac:dyDescent="0.25">
      <c r="A896" s="5" t="s">
        <v>953</v>
      </c>
      <c r="B896" s="6">
        <f t="shared" si="180"/>
        <v>10</v>
      </c>
      <c r="C896" s="70">
        <v>16.58750534</v>
      </c>
      <c r="D896" s="4">
        <v>0.9</v>
      </c>
      <c r="E896" s="12">
        <f t="shared" si="169"/>
        <v>0</v>
      </c>
      <c r="F896" s="12">
        <f t="shared" si="170"/>
        <v>0.9</v>
      </c>
      <c r="G896" s="16">
        <f t="shared" si="172"/>
        <v>1.871659220973414</v>
      </c>
      <c r="H896" s="14">
        <f t="shared" si="173"/>
        <v>3.8049640806487497E-2</v>
      </c>
      <c r="I896" s="14">
        <f t="shared" si="174"/>
        <v>5.6704973918762915</v>
      </c>
      <c r="J896" s="14">
        <f t="shared" si="175"/>
        <v>8.7077565965021836E-2</v>
      </c>
      <c r="K896" s="14">
        <f t="shared" si="176"/>
        <v>0.43702129905176379</v>
      </c>
      <c r="L896" s="14">
        <f t="shared" si="177"/>
        <v>674.97110220753609</v>
      </c>
      <c r="M896" s="14">
        <f t="shared" si="171"/>
        <v>0.14388001104550918</v>
      </c>
      <c r="N896" s="14">
        <f t="shared" si="178"/>
        <v>3.6819294493243149</v>
      </c>
      <c r="O896" s="4">
        <v>12.709099999999999</v>
      </c>
      <c r="P896" s="14">
        <f t="shared" si="181"/>
        <v>81.489808150986335</v>
      </c>
      <c r="Q896" s="14">
        <f t="shared" si="179"/>
        <v>38.136195124383249</v>
      </c>
    </row>
    <row r="897" spans="1:17" x14ac:dyDescent="0.25">
      <c r="A897" s="5" t="s">
        <v>954</v>
      </c>
      <c r="B897" s="6">
        <f t="shared" si="180"/>
        <v>10</v>
      </c>
      <c r="C897" s="70">
        <v>15.25893402</v>
      </c>
      <c r="D897" s="4">
        <v>0.3</v>
      </c>
      <c r="E897" s="12">
        <f t="shared" si="169"/>
        <v>0</v>
      </c>
      <c r="F897" s="12">
        <f t="shared" si="170"/>
        <v>0.3</v>
      </c>
      <c r="G897" s="16">
        <f t="shared" si="172"/>
        <v>2.0553148053060406</v>
      </c>
      <c r="H897" s="14">
        <f t="shared" si="173"/>
        <v>1.6863726353663427E-2</v>
      </c>
      <c r="I897" s="14">
        <f t="shared" si="174"/>
        <v>3.796198816022812</v>
      </c>
      <c r="J897" s="14">
        <f t="shared" si="175"/>
        <v>9.9480689313709889E-2</v>
      </c>
      <c r="K897" s="14">
        <f t="shared" si="176"/>
        <v>0.43227273816864242</v>
      </c>
      <c r="L897" s="14">
        <f t="shared" si="177"/>
        <v>674.84883448372739</v>
      </c>
      <c r="M897" s="14">
        <f t="shared" si="171"/>
        <v>0.14385295317663202</v>
      </c>
      <c r="N897" s="14">
        <f t="shared" si="178"/>
        <v>3.6812370309436737</v>
      </c>
      <c r="O897" s="4">
        <v>12.0128</v>
      </c>
      <c r="P897" s="14">
        <f t="shared" si="181"/>
        <v>69.414941507350676</v>
      </c>
      <c r="Q897" s="14">
        <f t="shared" si="179"/>
        <v>30.021095743779803</v>
      </c>
    </row>
    <row r="898" spans="1:17" x14ac:dyDescent="0.25">
      <c r="A898" s="5" t="s">
        <v>955</v>
      </c>
      <c r="B898" s="6">
        <f t="shared" si="180"/>
        <v>10</v>
      </c>
      <c r="C898" s="70">
        <v>15.746083260000001</v>
      </c>
      <c r="D898" s="4">
        <v>0</v>
      </c>
      <c r="E898" s="12">
        <f t="shared" si="169"/>
        <v>0</v>
      </c>
      <c r="F898" s="12">
        <f t="shared" si="170"/>
        <v>0</v>
      </c>
      <c r="G898" s="16">
        <f t="shared" si="172"/>
        <v>1.9262957652103569</v>
      </c>
      <c r="H898" s="14">
        <f t="shared" si="173"/>
        <v>0</v>
      </c>
      <c r="I898" s="14">
        <f t="shared" si="174"/>
        <v>4.483450688026271</v>
      </c>
      <c r="J898" s="14">
        <f t="shared" si="175"/>
        <v>0.12901904009568377</v>
      </c>
      <c r="K898" s="14">
        <f t="shared" si="176"/>
        <v>0.41089528447884965</v>
      </c>
      <c r="L898" s="14">
        <f t="shared" si="177"/>
        <v>674.72635898424051</v>
      </c>
      <c r="M898" s="14">
        <f t="shared" si="171"/>
        <v>0.14382230864664838</v>
      </c>
      <c r="N898" s="14">
        <f t="shared" si="178"/>
        <v>3.680452828909023</v>
      </c>
      <c r="O898" s="4">
        <v>9.5335000000000001</v>
      </c>
      <c r="P898" s="14">
        <f t="shared" si="181"/>
        <v>34.258161187016093</v>
      </c>
      <c r="Q898" s="14">
        <f t="shared" si="179"/>
        <v>8.9991060566820753</v>
      </c>
    </row>
    <row r="899" spans="1:17" x14ac:dyDescent="0.25">
      <c r="A899" s="5" t="s">
        <v>956</v>
      </c>
      <c r="B899" s="6">
        <f t="shared" si="180"/>
        <v>10</v>
      </c>
      <c r="C899" s="70">
        <v>15.05336571</v>
      </c>
      <c r="D899" s="4">
        <v>0</v>
      </c>
      <c r="E899" s="12">
        <f t="shared" si="169"/>
        <v>0</v>
      </c>
      <c r="F899" s="12">
        <f t="shared" si="170"/>
        <v>0</v>
      </c>
      <c r="G899" s="16">
        <f t="shared" si="172"/>
        <v>1.8317326940279057</v>
      </c>
      <c r="H899" s="14">
        <f t="shared" si="173"/>
        <v>0</v>
      </c>
      <c r="I899" s="14">
        <f t="shared" si="174"/>
        <v>3.5061907563323418</v>
      </c>
      <c r="J899" s="14">
        <f t="shared" si="175"/>
        <v>9.4563071182451261E-2</v>
      </c>
      <c r="K899" s="14">
        <f t="shared" si="176"/>
        <v>0.39057502335733063</v>
      </c>
      <c r="L899" s="14">
        <f t="shared" si="177"/>
        <v>674.6028569367154</v>
      </c>
      <c r="M899" s="14">
        <f t="shared" si="171"/>
        <v>0.14379167064477</v>
      </c>
      <c r="N899" s="14">
        <f t="shared" si="178"/>
        <v>3.6796687939303991</v>
      </c>
      <c r="O899" s="4">
        <v>9.4182000000000006</v>
      </c>
      <c r="P899" s="14">
        <f t="shared" si="181"/>
        <v>32.930740403034633</v>
      </c>
      <c r="Q899" s="14">
        <f t="shared" si="179"/>
        <v>8.3206345047567893</v>
      </c>
    </row>
    <row r="900" spans="1:17" x14ac:dyDescent="0.25">
      <c r="A900" s="5" t="s">
        <v>957</v>
      </c>
      <c r="B900" s="6">
        <f t="shared" si="180"/>
        <v>10</v>
      </c>
      <c r="C900" s="70">
        <v>12.991519930000001</v>
      </c>
      <c r="D900" s="4">
        <v>0</v>
      </c>
      <c r="E900" s="12">
        <f t="shared" si="169"/>
        <v>0</v>
      </c>
      <c r="F900" s="12">
        <f t="shared" si="170"/>
        <v>0</v>
      </c>
      <c r="G900" s="16">
        <f t="shared" si="172"/>
        <v>1.8164111665481986</v>
      </c>
      <c r="H900" s="14">
        <f t="shared" si="173"/>
        <v>0</v>
      </c>
      <c r="I900" s="14">
        <f t="shared" si="174"/>
        <v>0.59741608168145077</v>
      </c>
      <c r="J900" s="14">
        <f t="shared" si="175"/>
        <v>1.5321527479707102E-2</v>
      </c>
      <c r="K900" s="14">
        <f t="shared" si="176"/>
        <v>0.37125967279975353</v>
      </c>
      <c r="L900" s="14">
        <f t="shared" si="177"/>
        <v>674.47838061662821</v>
      </c>
      <c r="M900" s="14">
        <f t="shared" si="171"/>
        <v>0.1437610391696062</v>
      </c>
      <c r="N900" s="14">
        <f t="shared" si="178"/>
        <v>3.6788849259722141</v>
      </c>
      <c r="O900" s="4">
        <v>7.5115999999999996</v>
      </c>
      <c r="P900" s="14">
        <f t="shared" si="181"/>
        <v>14.689704838679814</v>
      </c>
      <c r="Q900" s="14">
        <f t="shared" si="179"/>
        <v>0.9563881696418246</v>
      </c>
    </row>
    <row r="901" spans="1:17" x14ac:dyDescent="0.25">
      <c r="A901" s="5" t="s">
        <v>958</v>
      </c>
      <c r="B901" s="6">
        <f t="shared" si="180"/>
        <v>10</v>
      </c>
      <c r="C901" s="70">
        <v>15.296921729999999</v>
      </c>
      <c r="D901" s="4">
        <v>0</v>
      </c>
      <c r="E901" s="12">
        <f t="shared" si="169"/>
        <v>0</v>
      </c>
      <c r="F901" s="12">
        <f t="shared" si="170"/>
        <v>0</v>
      </c>
      <c r="G901" s="16">
        <f t="shared" si="172"/>
        <v>1.7185040382603125</v>
      </c>
      <c r="H901" s="14">
        <f t="shared" si="173"/>
        <v>0</v>
      </c>
      <c r="I901" s="14">
        <f t="shared" si="174"/>
        <v>3.8497904521518636</v>
      </c>
      <c r="J901" s="14">
        <f t="shared" si="175"/>
        <v>9.7907128287886072E-2</v>
      </c>
      <c r="K901" s="14">
        <f t="shared" si="176"/>
        <v>0.35289953633639864</v>
      </c>
      <c r="L901" s="14">
        <f t="shared" si="177"/>
        <v>674.35297971392197</v>
      </c>
      <c r="M901" s="14">
        <f t="shared" si="171"/>
        <v>0.14373041421976662</v>
      </c>
      <c r="N901" s="14">
        <f t="shared" si="178"/>
        <v>3.6781012249988891</v>
      </c>
      <c r="O901" s="4">
        <v>8.0123999999999995</v>
      </c>
      <c r="P901" s="14">
        <f t="shared" si="181"/>
        <v>18.786145870976132</v>
      </c>
      <c r="Q901" s="14">
        <f t="shared" si="179"/>
        <v>2.1867045369981506</v>
      </c>
    </row>
    <row r="902" spans="1:17" x14ac:dyDescent="0.25">
      <c r="A902" s="5" t="s">
        <v>959</v>
      </c>
      <c r="B902" s="6">
        <f t="shared" si="180"/>
        <v>10</v>
      </c>
      <c r="C902" s="70">
        <v>14.112867359999999</v>
      </c>
      <c r="D902" s="4">
        <v>0</v>
      </c>
      <c r="E902" s="12">
        <f t="shared" si="169"/>
        <v>0</v>
      </c>
      <c r="F902" s="12">
        <f t="shared" si="170"/>
        <v>0</v>
      </c>
      <c r="G902" s="16">
        <f t="shared" si="172"/>
        <v>1.6660662003862963</v>
      </c>
      <c r="H902" s="14">
        <f t="shared" si="173"/>
        <v>0</v>
      </c>
      <c r="I902" s="14">
        <f t="shared" si="174"/>
        <v>2.1793709676908497</v>
      </c>
      <c r="J902" s="14">
        <f t="shared" si="175"/>
        <v>5.2437837874016235E-2</v>
      </c>
      <c r="K902" s="14">
        <f t="shared" si="176"/>
        <v>0.33544737516810053</v>
      </c>
      <c r="L902" s="14">
        <f t="shared" si="177"/>
        <v>674.22670146087046</v>
      </c>
      <c r="M902" s="14">
        <f t="shared" si="171"/>
        <v>0.14369979579386119</v>
      </c>
      <c r="N902" s="14">
        <f t="shared" si="178"/>
        <v>3.6773176909748511</v>
      </c>
      <c r="O902" s="4">
        <v>7.7736999999999998</v>
      </c>
      <c r="P902" s="14">
        <f t="shared" si="181"/>
        <v>16.780348021694209</v>
      </c>
      <c r="Q902" s="14">
        <f t="shared" si="179"/>
        <v>1.537726496854471</v>
      </c>
    </row>
    <row r="903" spans="1:17" x14ac:dyDescent="0.25">
      <c r="A903" s="5" t="s">
        <v>960</v>
      </c>
      <c r="B903" s="6">
        <f t="shared" si="180"/>
        <v>10</v>
      </c>
      <c r="C903" s="70">
        <v>16.541902539999999</v>
      </c>
      <c r="D903" s="4">
        <v>0</v>
      </c>
      <c r="E903" s="12">
        <f t="shared" si="169"/>
        <v>0</v>
      </c>
      <c r="F903" s="12">
        <f t="shared" si="170"/>
        <v>0</v>
      </c>
      <c r="G903" s="16">
        <f t="shared" si="172"/>
        <v>1.5352923208786688</v>
      </c>
      <c r="H903" s="14">
        <f t="shared" si="173"/>
        <v>0</v>
      </c>
      <c r="I903" s="14">
        <f t="shared" si="174"/>
        <v>5.6061626724613545</v>
      </c>
      <c r="J903" s="14">
        <f t="shared" si="175"/>
        <v>0.13077387950762734</v>
      </c>
      <c r="K903" s="14">
        <f t="shared" si="176"/>
        <v>0.31885828662553095</v>
      </c>
      <c r="L903" s="14">
        <f t="shared" si="177"/>
        <v>674.09959075361917</v>
      </c>
      <c r="M903" s="14">
        <f t="shared" si="171"/>
        <v>0.1436691838905001</v>
      </c>
      <c r="N903" s="14">
        <f t="shared" si="178"/>
        <v>3.6765343238645336</v>
      </c>
      <c r="O903" s="4">
        <v>8.39</v>
      </c>
      <c r="P903" s="14">
        <f t="shared" si="181"/>
        <v>22.216758680107176</v>
      </c>
      <c r="Q903" s="14">
        <f t="shared" si="179"/>
        <v>3.4460390565383876</v>
      </c>
    </row>
    <row r="904" spans="1:17" x14ac:dyDescent="0.25">
      <c r="A904" s="5" t="s">
        <v>961</v>
      </c>
      <c r="B904" s="6">
        <f t="shared" si="180"/>
        <v>10</v>
      </c>
      <c r="C904" s="70">
        <v>16.350055690000001</v>
      </c>
      <c r="D904" s="4">
        <v>0</v>
      </c>
      <c r="E904" s="12">
        <f t="shared" si="169"/>
        <v>0</v>
      </c>
      <c r="F904" s="12">
        <f t="shared" si="170"/>
        <v>0</v>
      </c>
      <c r="G904" s="16">
        <f t="shared" si="172"/>
        <v>1.420601076661949</v>
      </c>
      <c r="H904" s="14">
        <f t="shared" si="173"/>
        <v>0</v>
      </c>
      <c r="I904" s="14">
        <f t="shared" si="174"/>
        <v>5.3355123337674772</v>
      </c>
      <c r="J904" s="14">
        <f t="shared" si="175"/>
        <v>0.11469124421671989</v>
      </c>
      <c r="K904" s="14">
        <f t="shared" si="176"/>
        <v>0.30308958863911134</v>
      </c>
      <c r="L904" s="14">
        <f t="shared" si="177"/>
        <v>673.97169026771508</v>
      </c>
      <c r="M904" s="14">
        <f t="shared" si="171"/>
        <v>0.14363857850829395</v>
      </c>
      <c r="N904" s="14">
        <f t="shared" si="178"/>
        <v>3.6757511236323834</v>
      </c>
      <c r="O904" s="4">
        <v>10.1533</v>
      </c>
      <c r="P904" s="14">
        <f t="shared" si="181"/>
        <v>41.958639445731372</v>
      </c>
      <c r="Q904" s="14">
        <f t="shared" si="179"/>
        <v>13.101873403406216</v>
      </c>
    </row>
    <row r="905" spans="1:17" x14ac:dyDescent="0.25">
      <c r="A905" s="5" t="s">
        <v>962</v>
      </c>
      <c r="B905" s="6">
        <f t="shared" si="180"/>
        <v>10</v>
      </c>
      <c r="C905" s="70">
        <v>16.096567149999998</v>
      </c>
      <c r="D905" s="4">
        <v>0</v>
      </c>
      <c r="E905" s="12">
        <f t="shared" si="169"/>
        <v>0</v>
      </c>
      <c r="F905" s="12">
        <f t="shared" si="170"/>
        <v>0</v>
      </c>
      <c r="G905" s="16">
        <f t="shared" si="172"/>
        <v>1.3215905469259812</v>
      </c>
      <c r="H905" s="14">
        <f t="shared" si="173"/>
        <v>0</v>
      </c>
      <c r="I905" s="14">
        <f t="shared" si="174"/>
        <v>4.9779002113582838</v>
      </c>
      <c r="J905" s="14">
        <f t="shared" si="175"/>
        <v>9.9010529735967856E-2</v>
      </c>
      <c r="K905" s="14">
        <f t="shared" si="176"/>
        <v>0.28810070992230641</v>
      </c>
      <c r="L905" s="14">
        <f t="shared" si="177"/>
        <v>673.84304056792348</v>
      </c>
      <c r="M905" s="14">
        <f t="shared" si="171"/>
        <v>0.14360797964585348</v>
      </c>
      <c r="N905" s="14">
        <f t="shared" si="178"/>
        <v>3.6749680902428472</v>
      </c>
      <c r="O905" s="4">
        <v>11.378500000000001</v>
      </c>
      <c r="P905" s="14">
        <f t="shared" si="181"/>
        <v>59.344403884646688</v>
      </c>
      <c r="Q905" s="14">
        <f t="shared" si="179"/>
        <v>23.472581267888994</v>
      </c>
    </row>
    <row r="906" spans="1:17" x14ac:dyDescent="0.25">
      <c r="A906" s="5" t="s">
        <v>963</v>
      </c>
      <c r="B906" s="6">
        <f t="shared" si="180"/>
        <v>10</v>
      </c>
      <c r="C906" s="70">
        <v>16.17117691</v>
      </c>
      <c r="D906" s="4">
        <v>0</v>
      </c>
      <c r="E906" s="12">
        <f t="shared" si="169"/>
        <v>0</v>
      </c>
      <c r="F906" s="12">
        <f t="shared" si="170"/>
        <v>0</v>
      </c>
      <c r="G906" s="16">
        <f t="shared" si="172"/>
        <v>1.2275330333966235</v>
      </c>
      <c r="H906" s="14">
        <f t="shared" si="173"/>
        <v>0</v>
      </c>
      <c r="I906" s="14">
        <f t="shared" si="174"/>
        <v>5.0831568617222054</v>
      </c>
      <c r="J906" s="14">
        <f t="shared" si="175"/>
        <v>9.4057513529357692E-2</v>
      </c>
      <c r="K906" s="14">
        <f t="shared" si="176"/>
        <v>0.27385308558575211</v>
      </c>
      <c r="L906" s="14">
        <f t="shared" si="177"/>
        <v>673.71368021261424</v>
      </c>
      <c r="M906" s="14">
        <f t="shared" si="171"/>
        <v>0.1435773873017899</v>
      </c>
      <c r="N906" s="14">
        <f t="shared" si="178"/>
        <v>3.6741852236603876</v>
      </c>
      <c r="O906" s="4">
        <v>14.6218</v>
      </c>
      <c r="P906" s="14">
        <f t="shared" si="181"/>
        <v>119.85026929112944</v>
      </c>
      <c r="Q906" s="14">
        <f t="shared" si="179"/>
        <v>65.418186691768355</v>
      </c>
    </row>
    <row r="907" spans="1:17" x14ac:dyDescent="0.25">
      <c r="A907" s="5" t="s">
        <v>964</v>
      </c>
      <c r="B907" s="6">
        <f t="shared" si="180"/>
        <v>10</v>
      </c>
      <c r="C907" s="70">
        <v>16.54036713</v>
      </c>
      <c r="D907" s="4">
        <v>0</v>
      </c>
      <c r="E907" s="12">
        <f t="shared" si="169"/>
        <v>0</v>
      </c>
      <c r="F907" s="12">
        <f t="shared" si="170"/>
        <v>0</v>
      </c>
      <c r="G907" s="16">
        <f t="shared" si="172"/>
        <v>1.131217993835371</v>
      </c>
      <c r="H907" s="14">
        <f t="shared" si="173"/>
        <v>0</v>
      </c>
      <c r="I907" s="14">
        <f t="shared" si="174"/>
        <v>5.6039965736354747</v>
      </c>
      <c r="J907" s="14">
        <f t="shared" si="175"/>
        <v>9.6315039561252494E-2</v>
      </c>
      <c r="K907" s="14">
        <f t="shared" si="176"/>
        <v>0.26031005791364309</v>
      </c>
      <c r="L907" s="14">
        <f t="shared" si="177"/>
        <v>673.58364585298466</v>
      </c>
      <c r="M907" s="14">
        <f t="shared" si="171"/>
        <v>0.14354680147471455</v>
      </c>
      <c r="N907" s="14">
        <f t="shared" si="178"/>
        <v>3.6734025238494654</v>
      </c>
      <c r="O907" s="4">
        <v>18.369599999999998</v>
      </c>
      <c r="P907" s="14">
        <f t="shared" si="181"/>
        <v>215.97822025801332</v>
      </c>
      <c r="Q907" s="14">
        <f t="shared" si="179"/>
        <v>140.08973621044652</v>
      </c>
    </row>
    <row r="908" spans="1:17" x14ac:dyDescent="0.25">
      <c r="A908" s="5" t="s">
        <v>965</v>
      </c>
      <c r="B908" s="6">
        <f t="shared" si="180"/>
        <v>10</v>
      </c>
      <c r="C908" s="70">
        <v>16.374691009999999</v>
      </c>
      <c r="D908" s="4">
        <v>0</v>
      </c>
      <c r="E908" s="12">
        <f t="shared" si="169"/>
        <v>0</v>
      </c>
      <c r="F908" s="12">
        <f t="shared" si="170"/>
        <v>0</v>
      </c>
      <c r="G908" s="16">
        <f t="shared" si="172"/>
        <v>1.0461619389884371</v>
      </c>
      <c r="H908" s="14">
        <f t="shared" si="173"/>
        <v>0</v>
      </c>
      <c r="I908" s="14">
        <f t="shared" si="174"/>
        <v>5.3702669190099845</v>
      </c>
      <c r="J908" s="14">
        <f t="shared" si="175"/>
        <v>8.5056054846933876E-2</v>
      </c>
      <c r="K908" s="14">
        <f t="shared" si="176"/>
        <v>0.24743678204708777</v>
      </c>
      <c r="L908" s="14">
        <f t="shared" si="177"/>
        <v>673.45297232737653</v>
      </c>
      <c r="M908" s="14">
        <f t="shared" si="171"/>
        <v>0.14351622216323914</v>
      </c>
      <c r="N908" s="14">
        <f t="shared" si="178"/>
        <v>3.6726199907745576</v>
      </c>
      <c r="O908" s="4">
        <v>20.805700000000002</v>
      </c>
      <c r="P908" s="14">
        <f t="shared" si="181"/>
        <v>293.5424306025206</v>
      </c>
      <c r="Q908" s="14">
        <f t="shared" si="179"/>
        <v>203.69143991064777</v>
      </c>
    </row>
    <row r="909" spans="1:17" x14ac:dyDescent="0.25">
      <c r="A909" s="5" t="s">
        <v>966</v>
      </c>
      <c r="B909" s="6">
        <f t="shared" si="180"/>
        <v>10</v>
      </c>
      <c r="C909" s="70">
        <v>16.790460589999999</v>
      </c>
      <c r="D909" s="4">
        <v>0</v>
      </c>
      <c r="E909" s="12">
        <f t="shared" si="169"/>
        <v>0</v>
      </c>
      <c r="F909" s="12">
        <f t="shared" si="170"/>
        <v>0</v>
      </c>
      <c r="G909" s="16">
        <f t="shared" si="172"/>
        <v>0.95890973996685747</v>
      </c>
      <c r="H909" s="14">
        <f t="shared" si="173"/>
        <v>0</v>
      </c>
      <c r="I909" s="14">
        <f t="shared" si="174"/>
        <v>5.9568190445497704</v>
      </c>
      <c r="J909" s="14">
        <f t="shared" si="175"/>
        <v>8.7252199021579643E-2</v>
      </c>
      <c r="K909" s="14">
        <f t="shared" si="176"/>
        <v>0.23520013633176315</v>
      </c>
      <c r="L909" s="14">
        <f t="shared" si="177"/>
        <v>673.32169275092872</v>
      </c>
      <c r="M909" s="14">
        <f t="shared" si="171"/>
        <v>0.14348564936597571</v>
      </c>
      <c r="N909" s="14">
        <f t="shared" si="178"/>
        <v>3.6718376244001423</v>
      </c>
      <c r="O909" s="4">
        <v>20.3444</v>
      </c>
      <c r="P909" s="14">
        <f t="shared" si="181"/>
        <v>277.97433616826805</v>
      </c>
      <c r="Q909" s="14">
        <f t="shared" si="179"/>
        <v>190.73684334274543</v>
      </c>
    </row>
    <row r="910" spans="1:17" x14ac:dyDescent="0.25">
      <c r="A910" s="5" t="s">
        <v>967</v>
      </c>
      <c r="B910" s="6">
        <f t="shared" si="180"/>
        <v>10</v>
      </c>
      <c r="C910" s="70">
        <v>15.8907156</v>
      </c>
      <c r="D910" s="4">
        <v>0</v>
      </c>
      <c r="E910" s="12">
        <f t="shared" si="169"/>
        <v>0</v>
      </c>
      <c r="F910" s="12">
        <f t="shared" si="170"/>
        <v>0</v>
      </c>
      <c r="G910" s="16">
        <f t="shared" si="172"/>
        <v>0.89597631315646931</v>
      </c>
      <c r="H910" s="14">
        <f t="shared" si="173"/>
        <v>0</v>
      </c>
      <c r="I910" s="14">
        <f t="shared" si="174"/>
        <v>4.6874925673017893</v>
      </c>
      <c r="J910" s="14">
        <f t="shared" si="175"/>
        <v>6.2933426810388132E-2</v>
      </c>
      <c r="K910" s="14">
        <f t="shared" si="176"/>
        <v>0.22356863709920305</v>
      </c>
      <c r="L910" s="14">
        <f t="shared" si="177"/>
        <v>673.18983860079527</v>
      </c>
      <c r="M910" s="14">
        <f t="shared" si="171"/>
        <v>0.14345508308153651</v>
      </c>
      <c r="N910" s="14">
        <f t="shared" si="178"/>
        <v>3.6710554246907088</v>
      </c>
      <c r="O910" s="4">
        <v>22.362400000000001</v>
      </c>
      <c r="P910" s="14">
        <f t="shared" si="181"/>
        <v>349.36636203294404</v>
      </c>
      <c r="Q910" s="14">
        <f t="shared" si="179"/>
        <v>250.54935840194088</v>
      </c>
    </row>
    <row r="911" spans="1:17" x14ac:dyDescent="0.25">
      <c r="A911" s="5" t="s">
        <v>968</v>
      </c>
      <c r="B911" s="6">
        <f t="shared" si="180"/>
        <v>10</v>
      </c>
      <c r="C911" s="70">
        <v>15.88498688</v>
      </c>
      <c r="D911" s="4">
        <v>1.1000000000000001</v>
      </c>
      <c r="E911" s="12">
        <f t="shared" si="169"/>
        <v>0</v>
      </c>
      <c r="F911" s="12">
        <f t="shared" si="170"/>
        <v>1.1000000000000001</v>
      </c>
      <c r="G911" s="16">
        <f t="shared" si="172"/>
        <v>1.8955218594835923</v>
      </c>
      <c r="H911" s="14">
        <f t="shared" si="173"/>
        <v>4.1752743903522273E-2</v>
      </c>
      <c r="I911" s="14">
        <f t="shared" si="174"/>
        <v>4.679410704043244</v>
      </c>
      <c r="J911" s="14">
        <f t="shared" si="175"/>
        <v>5.8701709769354626E-2</v>
      </c>
      <c r="K911" s="14">
        <f t="shared" si="176"/>
        <v>0.25426510156598298</v>
      </c>
      <c r="L911" s="14">
        <f t="shared" si="177"/>
        <v>673.05743979715044</v>
      </c>
      <c r="M911" s="14">
        <f t="shared" si="171"/>
        <v>0.14343341776071047</v>
      </c>
      <c r="N911" s="14">
        <f t="shared" si="178"/>
        <v>3.6705010031126255</v>
      </c>
      <c r="O911" s="4">
        <v>25.980499999999999</v>
      </c>
      <c r="P911" s="14">
        <f t="shared" si="181"/>
        <v>497.73605524111559</v>
      </c>
      <c r="Q911" s="14">
        <f t="shared" si="179"/>
        <v>378.18001403972823</v>
      </c>
    </row>
    <row r="912" spans="1:17" x14ac:dyDescent="0.25">
      <c r="A912" s="5" t="s">
        <v>969</v>
      </c>
      <c r="B912" s="6">
        <f t="shared" si="180"/>
        <v>10</v>
      </c>
      <c r="C912" s="70">
        <v>15.46038437</v>
      </c>
      <c r="D912" s="4">
        <v>0</v>
      </c>
      <c r="E912" s="12">
        <f t="shared" si="169"/>
        <v>0</v>
      </c>
      <c r="F912" s="12">
        <f t="shared" si="170"/>
        <v>0</v>
      </c>
      <c r="G912" s="16">
        <f t="shared" si="172"/>
        <v>1.7872303720707803</v>
      </c>
      <c r="H912" s="14">
        <f t="shared" si="173"/>
        <v>0</v>
      </c>
      <c r="I912" s="14">
        <f t="shared" si="174"/>
        <v>4.080397412233804</v>
      </c>
      <c r="J912" s="14">
        <f t="shared" si="175"/>
        <v>0.10829148741281205</v>
      </c>
      <c r="K912" s="14">
        <f t="shared" si="176"/>
        <v>0.24169077070097089</v>
      </c>
      <c r="L912" s="14">
        <f t="shared" si="177"/>
        <v>672.92658071025471</v>
      </c>
      <c r="M912" s="14">
        <f t="shared" si="171"/>
        <v>0.14340286260300142</v>
      </c>
      <c r="N912" s="14">
        <f t="shared" si="178"/>
        <v>3.6697190881393071</v>
      </c>
      <c r="O912" s="4">
        <v>15.5588</v>
      </c>
      <c r="P912" s="14">
        <f t="shared" si="181"/>
        <v>141.35024492877025</v>
      </c>
      <c r="Q912" s="14">
        <f t="shared" si="179"/>
        <v>81.453350676538435</v>
      </c>
    </row>
    <row r="913" spans="1:17" x14ac:dyDescent="0.25">
      <c r="A913" s="5" t="s">
        <v>970</v>
      </c>
      <c r="B913" s="6">
        <f t="shared" si="180"/>
        <v>10</v>
      </c>
      <c r="C913" s="70">
        <v>14.624742510000001</v>
      </c>
      <c r="D913" s="4">
        <v>0</v>
      </c>
      <c r="E913" s="12">
        <f t="shared" si="169"/>
        <v>0</v>
      </c>
      <c r="F913" s="12">
        <f t="shared" si="170"/>
        <v>0</v>
      </c>
      <c r="G913" s="16">
        <f t="shared" si="172"/>
        <v>1.7146253015466222</v>
      </c>
      <c r="H913" s="14">
        <f t="shared" si="173"/>
        <v>0</v>
      </c>
      <c r="I913" s="14">
        <f t="shared" si="174"/>
        <v>2.9015052259102645</v>
      </c>
      <c r="J913" s="14">
        <f t="shared" si="175"/>
        <v>7.2605070524158141E-2</v>
      </c>
      <c r="K913" s="14">
        <f t="shared" si="176"/>
        <v>0.22973828607332678</v>
      </c>
      <c r="L913" s="14">
        <f t="shared" si="177"/>
        <v>672.79513033227931</v>
      </c>
      <c r="M913" s="14">
        <f t="shared" si="171"/>
        <v>0.14337231395435893</v>
      </c>
      <c r="N913" s="14">
        <f t="shared" si="178"/>
        <v>3.6689373397348102</v>
      </c>
      <c r="O913" s="4">
        <v>11.738899999999999</v>
      </c>
      <c r="P913" s="14">
        <f t="shared" si="181"/>
        <v>65.124297338074399</v>
      </c>
      <c r="Q913" s="14">
        <f t="shared" si="179"/>
        <v>27.094638032831512</v>
      </c>
    </row>
    <row r="914" spans="1:17" x14ac:dyDescent="0.25">
      <c r="A914" s="5" t="s">
        <v>971</v>
      </c>
      <c r="B914" s="6">
        <f t="shared" si="180"/>
        <v>10</v>
      </c>
      <c r="C914" s="70">
        <v>15.328635220000001</v>
      </c>
      <c r="D914" s="4">
        <v>0</v>
      </c>
      <c r="E914" s="12">
        <f t="shared" si="169"/>
        <v>0</v>
      </c>
      <c r="F914" s="12">
        <f t="shared" si="170"/>
        <v>0</v>
      </c>
      <c r="G914" s="16">
        <f t="shared" si="172"/>
        <v>1.6211305110327106</v>
      </c>
      <c r="H914" s="14">
        <f t="shared" si="173"/>
        <v>0</v>
      </c>
      <c r="I914" s="14">
        <f t="shared" si="174"/>
        <v>3.8945306540872373</v>
      </c>
      <c r="J914" s="14">
        <f t="shared" si="175"/>
        <v>9.3494790513911727E-2</v>
      </c>
      <c r="K914" s="14">
        <f t="shared" si="176"/>
        <v>0.2183768951327098</v>
      </c>
      <c r="L914" s="14">
        <f t="shared" si="177"/>
        <v>672.66311940926562</v>
      </c>
      <c r="M914" s="14">
        <f t="shared" si="171"/>
        <v>0.14334177181339641</v>
      </c>
      <c r="N914" s="14">
        <f t="shared" si="178"/>
        <v>3.6681557578636514</v>
      </c>
      <c r="O914" s="4">
        <v>10.2974</v>
      </c>
      <c r="P914" s="14">
        <f t="shared" si="181"/>
        <v>43.946879221897923</v>
      </c>
      <c r="Q914" s="14">
        <f t="shared" si="179"/>
        <v>14.165821633262539</v>
      </c>
    </row>
    <row r="915" spans="1:17" x14ac:dyDescent="0.25">
      <c r="A915" s="5" t="s">
        <v>972</v>
      </c>
      <c r="B915" s="6">
        <f t="shared" si="180"/>
        <v>10</v>
      </c>
      <c r="C915" s="70">
        <v>15.83504486</v>
      </c>
      <c r="D915" s="4">
        <v>0</v>
      </c>
      <c r="E915" s="12">
        <f t="shared" si="169"/>
        <v>0</v>
      </c>
      <c r="F915" s="12">
        <f t="shared" si="170"/>
        <v>0</v>
      </c>
      <c r="G915" s="16">
        <f t="shared" si="172"/>
        <v>1.5165180432803342</v>
      </c>
      <c r="H915" s="14">
        <f t="shared" si="173"/>
        <v>0</v>
      </c>
      <c r="I915" s="14">
        <f t="shared" si="174"/>
        <v>4.6089543758415736</v>
      </c>
      <c r="J915" s="14">
        <f t="shared" si="175"/>
        <v>0.10461246775237634</v>
      </c>
      <c r="K915" s="14">
        <f t="shared" si="176"/>
        <v>0.20757736615385716</v>
      </c>
      <c r="L915" s="14">
        <f t="shared" si="177"/>
        <v>672.53057716643104</v>
      </c>
      <c r="M915" s="14">
        <f t="shared" si="171"/>
        <v>0.14331123617872751</v>
      </c>
      <c r="N915" s="14">
        <f t="shared" si="178"/>
        <v>3.667374342490354</v>
      </c>
      <c r="O915" s="4">
        <v>8.6829999999999998</v>
      </c>
      <c r="P915" s="14">
        <f t="shared" si="181"/>
        <v>25.156500736269066</v>
      </c>
      <c r="Q915" s="14">
        <f t="shared" si="179"/>
        <v>4.6197097459062038</v>
      </c>
    </row>
    <row r="916" spans="1:17" x14ac:dyDescent="0.25">
      <c r="A916" s="5" t="s">
        <v>973</v>
      </c>
      <c r="B916" s="6">
        <f t="shared" si="180"/>
        <v>10</v>
      </c>
      <c r="C916" s="70">
        <v>16.1007061</v>
      </c>
      <c r="D916" s="4">
        <v>0</v>
      </c>
      <c r="E916" s="12">
        <f t="shared" si="169"/>
        <v>0</v>
      </c>
      <c r="F916" s="12">
        <f t="shared" si="170"/>
        <v>0</v>
      </c>
      <c r="G916" s="16">
        <f t="shared" si="172"/>
        <v>1.4106984823468027</v>
      </c>
      <c r="H916" s="14">
        <f t="shared" si="173"/>
        <v>0</v>
      </c>
      <c r="I916" s="14">
        <f t="shared" si="174"/>
        <v>4.9837392867423072</v>
      </c>
      <c r="J916" s="14">
        <f t="shared" si="175"/>
        <v>0.10581956093353151</v>
      </c>
      <c r="K916" s="14">
        <f t="shared" si="176"/>
        <v>0.19731191302627168</v>
      </c>
      <c r="L916" s="14">
        <f t="shared" si="177"/>
        <v>672.39753138337994</v>
      </c>
      <c r="M916" s="14">
        <f t="shared" si="171"/>
        <v>0.14328070704896628</v>
      </c>
      <c r="N916" s="14">
        <f t="shared" si="178"/>
        <v>3.6665930935794502</v>
      </c>
      <c r="O916" s="4">
        <v>8.6252999999999993</v>
      </c>
      <c r="P916" s="14">
        <f t="shared" si="181"/>
        <v>24.588774183782849</v>
      </c>
      <c r="Q916" s="14">
        <f t="shared" si="179"/>
        <v>4.3750039298429826</v>
      </c>
    </row>
    <row r="917" spans="1:17" x14ac:dyDescent="0.25">
      <c r="A917" s="5" t="s">
        <v>974</v>
      </c>
      <c r="B917" s="6">
        <f t="shared" si="180"/>
        <v>10</v>
      </c>
      <c r="C917" s="70">
        <v>17.307939529999999</v>
      </c>
      <c r="D917" s="4">
        <v>1.2</v>
      </c>
      <c r="E917" s="12">
        <f t="shared" si="169"/>
        <v>0</v>
      </c>
      <c r="F917" s="12">
        <f t="shared" si="170"/>
        <v>1.2</v>
      </c>
      <c r="G917" s="16">
        <f t="shared" si="172"/>
        <v>2.4206064136356646</v>
      </c>
      <c r="H917" s="14">
        <f t="shared" si="173"/>
        <v>5.801743409480993E-2</v>
      </c>
      <c r="I917" s="14">
        <f t="shared" si="174"/>
        <v>6.6868589194705743</v>
      </c>
      <c r="J917" s="14">
        <f t="shared" si="175"/>
        <v>0.1320746346163284</v>
      </c>
      <c r="K917" s="14">
        <f t="shared" si="176"/>
        <v>0.24557155785814189</v>
      </c>
      <c r="L917" s="14">
        <f t="shared" si="177"/>
        <v>672.26400846559397</v>
      </c>
      <c r="M917" s="14">
        <f t="shared" si="171"/>
        <v>0.14326254368932129</v>
      </c>
      <c r="N917" s="14">
        <f t="shared" si="178"/>
        <v>3.6661282881607566</v>
      </c>
      <c r="O917" s="4">
        <v>10.441599999999999</v>
      </c>
      <c r="P917" s="14">
        <f t="shared" si="181"/>
        <v>45.907016917933802</v>
      </c>
      <c r="Q917" s="14">
        <f t="shared" si="179"/>
        <v>15.272081063320009</v>
      </c>
    </row>
    <row r="918" spans="1:17" x14ac:dyDescent="0.25">
      <c r="A918" s="5" t="s">
        <v>975</v>
      </c>
      <c r="B918" s="6">
        <f t="shared" si="180"/>
        <v>10</v>
      </c>
      <c r="C918" s="70">
        <v>15.807214739999999</v>
      </c>
      <c r="D918" s="4">
        <v>0</v>
      </c>
      <c r="E918" s="12">
        <f t="shared" si="169"/>
        <v>0</v>
      </c>
      <c r="F918" s="12">
        <f t="shared" si="170"/>
        <v>0</v>
      </c>
      <c r="G918" s="16">
        <f t="shared" si="172"/>
        <v>2.2657339408709918</v>
      </c>
      <c r="H918" s="14">
        <f t="shared" si="173"/>
        <v>0</v>
      </c>
      <c r="I918" s="14">
        <f t="shared" si="174"/>
        <v>4.5696926866145082</v>
      </c>
      <c r="J918" s="14">
        <f t="shared" si="175"/>
        <v>0.15487247276467306</v>
      </c>
      <c r="K918" s="14">
        <f t="shared" si="176"/>
        <v>0.23342715423952962</v>
      </c>
      <c r="L918" s="14">
        <f t="shared" si="177"/>
        <v>672.13289032552325</v>
      </c>
      <c r="M918" s="14">
        <f t="shared" si="171"/>
        <v>0.14323202493236376</v>
      </c>
      <c r="N918" s="14">
        <f t="shared" si="178"/>
        <v>3.6653473046927814</v>
      </c>
      <c r="O918" s="4">
        <v>9.7640999999999991</v>
      </c>
      <c r="P918" s="14">
        <f t="shared" si="181"/>
        <v>37.194784438517047</v>
      </c>
      <c r="Q918" s="14">
        <f t="shared" si="179"/>
        <v>10.435813700532645</v>
      </c>
    </row>
    <row r="919" spans="1:17" x14ac:dyDescent="0.25">
      <c r="A919" s="5" t="s">
        <v>976</v>
      </c>
      <c r="B919" s="6">
        <f t="shared" si="180"/>
        <v>11</v>
      </c>
      <c r="C919" s="70">
        <v>14.7813406</v>
      </c>
      <c r="D919" s="4">
        <v>0</v>
      </c>
      <c r="E919" s="12">
        <f t="shared" si="169"/>
        <v>0</v>
      </c>
      <c r="F919" s="12">
        <f t="shared" si="170"/>
        <v>0</v>
      </c>
      <c r="G919" s="16">
        <f t="shared" si="172"/>
        <v>2.1814039693384957</v>
      </c>
      <c r="H919" s="14">
        <f t="shared" si="173"/>
        <v>0</v>
      </c>
      <c r="I919" s="14">
        <f t="shared" si="174"/>
        <v>2.6583366873527843</v>
      </c>
      <c r="J919" s="14">
        <f t="shared" si="175"/>
        <v>8.432997153249594E-2</v>
      </c>
      <c r="K919" s="14">
        <f t="shared" si="176"/>
        <v>0.22188333539766483</v>
      </c>
      <c r="L919" s="14">
        <f t="shared" si="177"/>
        <v>672.00120211943272</v>
      </c>
      <c r="M919" s="14">
        <f t="shared" si="171"/>
        <v>0.14320151267671843</v>
      </c>
      <c r="N919" s="14">
        <f t="shared" si="178"/>
        <v>3.6645664875951902</v>
      </c>
      <c r="O919" s="4">
        <v>5.9762000000000004</v>
      </c>
      <c r="P919" s="14">
        <f t="shared" si="181"/>
        <v>5.3436494956729996</v>
      </c>
      <c r="Q919" s="14">
        <f t="shared" si="179"/>
        <v>0.31074938119353451</v>
      </c>
    </row>
    <row r="920" spans="1:17" x14ac:dyDescent="0.25">
      <c r="A920" s="5" t="s">
        <v>977</v>
      </c>
      <c r="B920" s="6">
        <f t="shared" si="180"/>
        <v>11</v>
      </c>
      <c r="C920" s="70">
        <v>12.422846789999999</v>
      </c>
      <c r="D920" s="4">
        <v>0</v>
      </c>
      <c r="E920" s="12">
        <f t="shared" si="169"/>
        <v>0</v>
      </c>
      <c r="F920" s="12">
        <f t="shared" si="170"/>
        <v>0</v>
      </c>
      <c r="G920" s="16">
        <f t="shared" si="172"/>
        <v>2.1896036319184189</v>
      </c>
      <c r="H920" s="14">
        <f t="shared" si="173"/>
        <v>0</v>
      </c>
      <c r="I920" s="14">
        <f t="shared" si="174"/>
        <v>-0.26847065599461367</v>
      </c>
      <c r="J920" s="14">
        <f t="shared" si="175"/>
        <v>-8.1996625799234217E-3</v>
      </c>
      <c r="K920" s="14">
        <f t="shared" si="176"/>
        <v>0.21091040023849728</v>
      </c>
      <c r="L920" s="14">
        <f t="shared" si="177"/>
        <v>671.86897354191524</v>
      </c>
      <c r="M920" s="14">
        <f t="shared" si="171"/>
        <v>0.14317100692100046</v>
      </c>
      <c r="N920" s="14">
        <f t="shared" si="178"/>
        <v>3.6637858368325471</v>
      </c>
      <c r="O920" s="4">
        <v>7.6261999999999999</v>
      </c>
      <c r="P920" s="14">
        <f t="shared" si="181"/>
        <v>15.700726000470025</v>
      </c>
      <c r="Q920" s="14">
        <f t="shared" si="179"/>
        <v>1.1936677001590676</v>
      </c>
    </row>
    <row r="921" spans="1:17" x14ac:dyDescent="0.25">
      <c r="A921" s="5" t="s">
        <v>978</v>
      </c>
      <c r="B921" s="6">
        <f t="shared" si="180"/>
        <v>11</v>
      </c>
      <c r="C921" s="70">
        <v>15.40803051</v>
      </c>
      <c r="D921" s="4">
        <v>0</v>
      </c>
      <c r="E921" s="12">
        <f t="shared" si="169"/>
        <v>0</v>
      </c>
      <c r="F921" s="12">
        <f t="shared" si="170"/>
        <v>0</v>
      </c>
      <c r="G921" s="16">
        <f t="shared" si="172"/>
        <v>2.0842653198416965</v>
      </c>
      <c r="H921" s="14">
        <f t="shared" si="173"/>
        <v>0</v>
      </c>
      <c r="I921" s="14">
        <f t="shared" si="174"/>
        <v>3.4360366850431401</v>
      </c>
      <c r="J921" s="14">
        <f t="shared" si="175"/>
        <v>0.10533831207672226</v>
      </c>
      <c r="K921" s="14">
        <f t="shared" si="176"/>
        <v>0.20048011649473005</v>
      </c>
      <c r="L921" s="14">
        <f t="shared" si="177"/>
        <v>671.73623281873802</v>
      </c>
      <c r="M921" s="14">
        <f t="shared" si="171"/>
        <v>0.14314050766382505</v>
      </c>
      <c r="N921" s="14">
        <f t="shared" si="178"/>
        <v>3.6630053523694119</v>
      </c>
      <c r="O921" s="4">
        <v>9.3605</v>
      </c>
      <c r="P921" s="14">
        <f t="shared" si="181"/>
        <v>32.461445259779197</v>
      </c>
      <c r="Q921" s="14">
        <f t="shared" si="179"/>
        <v>7.9910866086935677</v>
      </c>
    </row>
    <row r="922" spans="1:17" x14ac:dyDescent="0.25">
      <c r="A922" s="5" t="s">
        <v>979</v>
      </c>
      <c r="B922" s="6">
        <f t="shared" si="180"/>
        <v>11</v>
      </c>
      <c r="C922" s="70">
        <v>15.037502290000001</v>
      </c>
      <c r="D922" s="4">
        <v>0</v>
      </c>
      <c r="E922" s="12">
        <f t="shared" si="169"/>
        <v>0</v>
      </c>
      <c r="F922" s="12">
        <f t="shared" si="170"/>
        <v>0</v>
      </c>
      <c r="G922" s="16">
        <f t="shared" si="172"/>
        <v>1.9974129414664592</v>
      </c>
      <c r="H922" s="14">
        <f t="shared" si="173"/>
        <v>0</v>
      </c>
      <c r="I922" s="14">
        <f t="shared" si="174"/>
        <v>2.9762242782370194</v>
      </c>
      <c r="J922" s="14">
        <f t="shared" si="175"/>
        <v>8.6852378375237307E-2</v>
      </c>
      <c r="K922" s="14">
        <f t="shared" si="176"/>
        <v>0.19056564808701298</v>
      </c>
      <c r="L922" s="14">
        <f t="shared" si="177"/>
        <v>671.60300677948192</v>
      </c>
      <c r="M922" s="14">
        <f t="shared" si="171"/>
        <v>0.14311001490380787</v>
      </c>
      <c r="N922" s="14">
        <f t="shared" si="178"/>
        <v>3.6622250341703606</v>
      </c>
      <c r="O922" s="4">
        <v>8.2075999999999993</v>
      </c>
      <c r="P922" s="14">
        <f t="shared" si="181"/>
        <v>20.660433579990794</v>
      </c>
      <c r="Q922" s="14">
        <f t="shared" si="179"/>
        <v>2.80211196964183</v>
      </c>
    </row>
    <row r="923" spans="1:17" x14ac:dyDescent="0.25">
      <c r="A923" s="5" t="s">
        <v>980</v>
      </c>
      <c r="B923" s="6">
        <f t="shared" si="180"/>
        <v>11</v>
      </c>
      <c r="C923" s="70">
        <v>15.638441090000001</v>
      </c>
      <c r="D923" s="4">
        <v>0</v>
      </c>
      <c r="E923" s="12">
        <f t="shared" ref="E923:E986" si="182">IF(C923&gt;$C$9,MAX(E922-$C$10*(C923-$C$9),0),E922+D923)</f>
        <v>0</v>
      </c>
      <c r="F923" s="12">
        <f t="shared" ref="F923:F986" si="183">IF(C923&gt;$C$9,D923+MIN(E922,$C$10*(C923-$C$9)),0)</f>
        <v>0</v>
      </c>
      <c r="G923" s="16">
        <f t="shared" si="172"/>
        <v>1.893324247441589</v>
      </c>
      <c r="H923" s="14">
        <f t="shared" si="173"/>
        <v>0</v>
      </c>
      <c r="I923" s="14">
        <f t="shared" si="174"/>
        <v>3.7219680598339582</v>
      </c>
      <c r="J923" s="14">
        <f t="shared" si="175"/>
        <v>0.1040886940248702</v>
      </c>
      <c r="K923" s="14">
        <f t="shared" si="176"/>
        <v>0.18114148607738806</v>
      </c>
      <c r="L923" s="14">
        <f t="shared" si="177"/>
        <v>671.46932092658767</v>
      </c>
      <c r="M923" s="14">
        <f t="shared" si="171"/>
        <v>0.14307952863956486</v>
      </c>
      <c r="N923" s="14">
        <f t="shared" si="178"/>
        <v>3.6614448821999752</v>
      </c>
      <c r="O923" s="4">
        <v>7.6896000000000004</v>
      </c>
      <c r="P923" s="14">
        <f t="shared" si="181"/>
        <v>16.22603365305854</v>
      </c>
      <c r="Q923" s="14">
        <f t="shared" si="179"/>
        <v>1.3362227276878051</v>
      </c>
    </row>
    <row r="924" spans="1:17" x14ac:dyDescent="0.25">
      <c r="A924" s="5" t="s">
        <v>981</v>
      </c>
      <c r="B924" s="6">
        <f t="shared" si="180"/>
        <v>11</v>
      </c>
      <c r="C924" s="70">
        <v>15.793438910000001</v>
      </c>
      <c r="D924" s="4">
        <v>0</v>
      </c>
      <c r="E924" s="12">
        <f t="shared" si="182"/>
        <v>0</v>
      </c>
      <c r="F924" s="12">
        <f t="shared" si="183"/>
        <v>0</v>
      </c>
      <c r="G924" s="16">
        <f t="shared" si="172"/>
        <v>1.7895609385026581</v>
      </c>
      <c r="H924" s="14">
        <f t="shared" si="173"/>
        <v>0</v>
      </c>
      <c r="I924" s="14">
        <f t="shared" si="174"/>
        <v>3.914314868570691</v>
      </c>
      <c r="J924" s="14">
        <f t="shared" si="175"/>
        <v>0.10376330893893092</v>
      </c>
      <c r="K924" s="14">
        <f t="shared" si="176"/>
        <v>0.17218338303733727</v>
      </c>
      <c r="L924" s="14">
        <f t="shared" si="177"/>
        <v>671.33519950098821</v>
      </c>
      <c r="M924" s="14">
        <f t="shared" si="171"/>
        <v>0.14304904886971229</v>
      </c>
      <c r="N924" s="14">
        <f t="shared" si="178"/>
        <v>3.6606648964228459</v>
      </c>
      <c r="O924" s="4">
        <v>8.468</v>
      </c>
      <c r="P924" s="14">
        <f t="shared" si="181"/>
        <v>23.110470798085167</v>
      </c>
      <c r="Q924" s="14">
        <f t="shared" si="179"/>
        <v>3.7417138134349379</v>
      </c>
    </row>
    <row r="925" spans="1:17" x14ac:dyDescent="0.25">
      <c r="A925" s="5" t="s">
        <v>982</v>
      </c>
      <c r="B925" s="6">
        <f t="shared" si="180"/>
        <v>11</v>
      </c>
      <c r="C925" s="70">
        <v>14.830038070000001</v>
      </c>
      <c r="D925" s="4">
        <v>0</v>
      </c>
      <c r="E925" s="12">
        <f t="shared" si="182"/>
        <v>0</v>
      </c>
      <c r="F925" s="12">
        <f t="shared" si="183"/>
        <v>0</v>
      </c>
      <c r="G925" s="16">
        <f t="shared" si="172"/>
        <v>1.7214398179428119</v>
      </c>
      <c r="H925" s="14">
        <f t="shared" si="173"/>
        <v>0</v>
      </c>
      <c r="I925" s="14">
        <f t="shared" si="174"/>
        <v>2.7187685240589574</v>
      </c>
      <c r="J925" s="14">
        <f t="shared" si="175"/>
        <v>6.8121120559846093E-2</v>
      </c>
      <c r="K925" s="14">
        <f t="shared" si="176"/>
        <v>0.16366829066156843</v>
      </c>
      <c r="L925" s="14">
        <f t="shared" si="177"/>
        <v>671.20066554449431</v>
      </c>
      <c r="M925" s="14">
        <f t="shared" si="171"/>
        <v>0.14301857559286665</v>
      </c>
      <c r="N925" s="14">
        <f t="shared" si="178"/>
        <v>3.6598850768035671</v>
      </c>
      <c r="O925" s="4">
        <v>5.7287999999999997</v>
      </c>
      <c r="P925" s="14">
        <f t="shared" si="181"/>
        <v>4.2804089594249008</v>
      </c>
      <c r="Q925" s="14">
        <f t="shared" si="179"/>
        <v>0.64778190354985499</v>
      </c>
    </row>
    <row r="926" spans="1:17" x14ac:dyDescent="0.25">
      <c r="A926" s="5" t="s">
        <v>983</v>
      </c>
      <c r="B926" s="6">
        <f t="shared" si="180"/>
        <v>11</v>
      </c>
      <c r="C926" s="70">
        <v>15.44493866</v>
      </c>
      <c r="D926" s="4">
        <v>0</v>
      </c>
      <c r="E926" s="12">
        <f t="shared" si="182"/>
        <v>0</v>
      </c>
      <c r="F926" s="12">
        <f t="shared" si="183"/>
        <v>0</v>
      </c>
      <c r="G926" s="16">
        <f t="shared" si="172"/>
        <v>1.6375201972355529</v>
      </c>
      <c r="H926" s="14">
        <f t="shared" si="173"/>
        <v>0</v>
      </c>
      <c r="I926" s="14">
        <f t="shared" si="174"/>
        <v>3.481838392892171</v>
      </c>
      <c r="J926" s="14">
        <f t="shared" si="175"/>
        <v>8.3919620707258918E-2</v>
      </c>
      <c r="K926" s="14">
        <f t="shared" si="176"/>
        <v>0.15557430046702547</v>
      </c>
      <c r="L926" s="14">
        <f t="shared" si="177"/>
        <v>671.06574095909593</v>
      </c>
      <c r="M926" s="14">
        <f t="shared" si="171"/>
        <v>0.1429881088076447</v>
      </c>
      <c r="N926" s="14">
        <f t="shared" si="178"/>
        <v>3.659105423306741</v>
      </c>
      <c r="O926" s="4">
        <v>5.5064000000000002</v>
      </c>
      <c r="P926" s="14">
        <f t="shared" si="181"/>
        <v>3.4124972530803275</v>
      </c>
      <c r="Q926" s="14">
        <f t="shared" si="179"/>
        <v>1.0552404961935302</v>
      </c>
    </row>
    <row r="927" spans="1:17" x14ac:dyDescent="0.25">
      <c r="A927" s="5" t="s">
        <v>984</v>
      </c>
      <c r="B927" s="6">
        <f t="shared" si="180"/>
        <v>11</v>
      </c>
      <c r="C927" s="70">
        <v>16.48138428</v>
      </c>
      <c r="D927" s="4">
        <v>0</v>
      </c>
      <c r="E927" s="12">
        <f t="shared" si="182"/>
        <v>0</v>
      </c>
      <c r="F927" s="12">
        <f t="shared" si="183"/>
        <v>0</v>
      </c>
      <c r="G927" s="16">
        <f t="shared" si="172"/>
        <v>1.5282029294040185</v>
      </c>
      <c r="H927" s="14">
        <f t="shared" si="173"/>
        <v>0</v>
      </c>
      <c r="I927" s="14">
        <f t="shared" si="174"/>
        <v>4.7680307240886002</v>
      </c>
      <c r="J927" s="14">
        <f t="shared" si="175"/>
        <v>0.10931726783153428</v>
      </c>
      <c r="K927" s="14">
        <f t="shared" si="176"/>
        <v>0.14788058742454752</v>
      </c>
      <c r="L927" s="14">
        <f t="shared" si="177"/>
        <v>670.93044656333075</v>
      </c>
      <c r="M927" s="14">
        <f t="shared" ref="M927:M990" si="184">MAX(0,K927-$F$9)*$F$8+K927*$F$10+L927*$F$11</f>
        <v>0.14295764851266365</v>
      </c>
      <c r="N927" s="14">
        <f t="shared" si="178"/>
        <v>3.6583259358969835</v>
      </c>
      <c r="O927" s="4">
        <v>5.6260000000000003</v>
      </c>
      <c r="P927" s="14">
        <f t="shared" si="181"/>
        <v>3.8717412225436831</v>
      </c>
      <c r="Q927" s="14">
        <f t="shared" si="179"/>
        <v>0.82382669676824372</v>
      </c>
    </row>
    <row r="928" spans="1:17" x14ac:dyDescent="0.25">
      <c r="A928" s="5" t="s">
        <v>985</v>
      </c>
      <c r="B928" s="6">
        <f t="shared" si="180"/>
        <v>11</v>
      </c>
      <c r="C928" s="70">
        <v>16.725486759999999</v>
      </c>
      <c r="D928" s="4">
        <v>0</v>
      </c>
      <c r="E928" s="12">
        <f t="shared" si="182"/>
        <v>0</v>
      </c>
      <c r="F928" s="12">
        <f t="shared" si="183"/>
        <v>0</v>
      </c>
      <c r="G928" s="16">
        <f t="shared" ref="G928:G991" si="185">G927+F928-H928-J928</f>
        <v>1.4197019411391405</v>
      </c>
      <c r="H928" s="14">
        <f t="shared" ref="H928:H991" si="186">(F928*(G927/$C$11)^$C$12)</f>
        <v>0</v>
      </c>
      <c r="I928" s="14">
        <f t="shared" ref="I928:I991" si="187">(1+$C$13*(C928-INDEX($A$16:$A$27,B928)))*INDEX($C$16:$C$27,B928)</f>
        <v>5.0709532621779863</v>
      </c>
      <c r="J928" s="14">
        <f t="shared" ref="J928:J991" si="188">IF(G927&gt;$F$13,I928,I928*(G927/$F$13))</f>
        <v>0.10850098826487803</v>
      </c>
      <c r="K928" s="14">
        <f t="shared" ref="K928:K991" si="189">K927+H928-MAX(0,K927-$F$9)*$F$8-K927*$F$10-K927*$F$12</f>
        <v>0.14056735637814669</v>
      </c>
      <c r="L928" s="14">
        <f t="shared" ref="L928:L991" si="190">L927+K927*$F$12-L927*$F$11</f>
        <v>670.79480214586442</v>
      </c>
      <c r="M928" s="14">
        <f t="shared" si="184"/>
        <v>0.14292719470654083</v>
      </c>
      <c r="N928" s="14">
        <f t="shared" ref="N928:N991" si="191">M928*$C$8*1000/(24*3600)</f>
        <v>3.6575466145389099</v>
      </c>
      <c r="O928" s="4">
        <v>6.0787000000000004</v>
      </c>
      <c r="P928" s="14">
        <f t="shared" si="181"/>
        <v>5.8619837159296999</v>
      </c>
      <c r="Q928" s="14">
        <f t="shared" ref="Q928:Q991" si="192">(O928-$F$23)^2</f>
        <v>0.20697858737169647</v>
      </c>
    </row>
    <row r="929" spans="1:17" x14ac:dyDescent="0.25">
      <c r="A929" s="5" t="s">
        <v>986</v>
      </c>
      <c r="B929" s="6">
        <f t="shared" ref="B929:B992" si="193">MONTH(A929)</f>
        <v>11</v>
      </c>
      <c r="C929" s="70">
        <v>16.322715760000001</v>
      </c>
      <c r="D929" s="4">
        <v>0</v>
      </c>
      <c r="E929" s="12">
        <f t="shared" si="182"/>
        <v>0</v>
      </c>
      <c r="F929" s="12">
        <f t="shared" si="183"/>
        <v>0</v>
      </c>
      <c r="G929" s="16">
        <f t="shared" si="185"/>
        <v>1.3288396498973662</v>
      </c>
      <c r="H929" s="14">
        <f t="shared" si="186"/>
        <v>0</v>
      </c>
      <c r="I929" s="14">
        <f t="shared" si="187"/>
        <v>4.5711287065700281</v>
      </c>
      <c r="J929" s="14">
        <f t="shared" si="188"/>
        <v>9.0862291241774154E-2</v>
      </c>
      <c r="K929" s="14">
        <f t="shared" si="189"/>
        <v>0.13361579111404692</v>
      </c>
      <c r="L929" s="14">
        <f t="shared" si="190"/>
        <v>670.65882651642198</v>
      </c>
      <c r="M929" s="14">
        <f t="shared" si="184"/>
        <v>0.14289674738789396</v>
      </c>
      <c r="N929" s="14">
        <f t="shared" si="191"/>
        <v>3.6567674591971477</v>
      </c>
      <c r="O929" s="4">
        <v>7.0758999999999999</v>
      </c>
      <c r="P929" s="14">
        <f t="shared" ref="P929:P992" si="194">(O929-N929)^2</f>
        <v>11.690467331576967</v>
      </c>
      <c r="Q929" s="14">
        <f t="shared" si="192"/>
        <v>0.29403615323377513</v>
      </c>
    </row>
    <row r="930" spans="1:17" x14ac:dyDescent="0.25">
      <c r="A930" s="5" t="s">
        <v>987</v>
      </c>
      <c r="B930" s="6">
        <f t="shared" si="193"/>
        <v>11</v>
      </c>
      <c r="C930" s="70">
        <v>15.58049774</v>
      </c>
      <c r="D930" s="4">
        <v>0</v>
      </c>
      <c r="E930" s="12">
        <f t="shared" si="182"/>
        <v>0</v>
      </c>
      <c r="F930" s="12">
        <f t="shared" si="183"/>
        <v>0</v>
      </c>
      <c r="G930" s="16">
        <f t="shared" si="185"/>
        <v>1.2609293064239295</v>
      </c>
      <c r="H930" s="14">
        <f t="shared" si="186"/>
        <v>0</v>
      </c>
      <c r="I930" s="14">
        <f t="shared" si="187"/>
        <v>3.650062413289926</v>
      </c>
      <c r="J930" s="14">
        <f t="shared" si="188"/>
        <v>6.7910343473436774E-2</v>
      </c>
      <c r="K930" s="14">
        <f t="shared" si="189"/>
        <v>0.12700800594844341</v>
      </c>
      <c r="L930" s="14">
        <f t="shared" si="190"/>
        <v>670.52253755419974</v>
      </c>
      <c r="M930" s="14">
        <f t="shared" si="184"/>
        <v>0.14286630655534108</v>
      </c>
      <c r="N930" s="14">
        <f t="shared" si="191"/>
        <v>3.6559884698363323</v>
      </c>
      <c r="O930" s="4">
        <v>10.1244</v>
      </c>
      <c r="P930" s="14">
        <f t="shared" si="194"/>
        <v>41.840347723554274</v>
      </c>
      <c r="Q930" s="14">
        <f t="shared" si="192"/>
        <v>12.893492785274031</v>
      </c>
    </row>
    <row r="931" spans="1:17" x14ac:dyDescent="0.25">
      <c r="A931" s="5" t="s">
        <v>988</v>
      </c>
      <c r="B931" s="6">
        <f t="shared" si="193"/>
        <v>11</v>
      </c>
      <c r="C931" s="70">
        <v>15.679876330000001</v>
      </c>
      <c r="D931" s="4">
        <v>0</v>
      </c>
      <c r="E931" s="12">
        <f t="shared" si="182"/>
        <v>0</v>
      </c>
      <c r="F931" s="12">
        <f t="shared" si="183"/>
        <v>0</v>
      </c>
      <c r="G931" s="16">
        <f t="shared" si="185"/>
        <v>1.1943122821166117</v>
      </c>
      <c r="H931" s="14">
        <f t="shared" si="186"/>
        <v>0</v>
      </c>
      <c r="I931" s="14">
        <f t="shared" si="187"/>
        <v>3.7733877261443665</v>
      </c>
      <c r="J931" s="14">
        <f t="shared" si="188"/>
        <v>6.6617024307317793E-2</v>
      </c>
      <c r="K931" s="14">
        <f t="shared" si="189"/>
        <v>0.12072699970942277</v>
      </c>
      <c r="L931" s="14">
        <f t="shared" si="190"/>
        <v>670.38595225388349</v>
      </c>
      <c r="M931" s="14">
        <f t="shared" si="184"/>
        <v>0.14283587220750041</v>
      </c>
      <c r="N931" s="14">
        <f t="shared" si="191"/>
        <v>3.6552096464211039</v>
      </c>
      <c r="O931" s="4">
        <v>10.383900000000001</v>
      </c>
      <c r="P931" s="14">
        <f t="shared" si="194"/>
        <v>45.275273874345693</v>
      </c>
      <c r="Q931" s="14">
        <f t="shared" si="192"/>
        <v>14.8244328072568</v>
      </c>
    </row>
    <row r="932" spans="1:17" x14ac:dyDescent="0.25">
      <c r="A932" s="5" t="s">
        <v>989</v>
      </c>
      <c r="B932" s="6">
        <f t="shared" si="193"/>
        <v>11</v>
      </c>
      <c r="C932" s="70">
        <v>16.11481667</v>
      </c>
      <c r="D932" s="4">
        <v>0</v>
      </c>
      <c r="E932" s="12">
        <f t="shared" si="182"/>
        <v>0</v>
      </c>
      <c r="F932" s="12">
        <f t="shared" si="183"/>
        <v>0</v>
      </c>
      <c r="G932" s="16">
        <f t="shared" si="185"/>
        <v>1.1221892732222067</v>
      </c>
      <c r="H932" s="14">
        <f t="shared" si="186"/>
        <v>0</v>
      </c>
      <c r="I932" s="14">
        <f t="shared" si="187"/>
        <v>4.313133294113447</v>
      </c>
      <c r="J932" s="14">
        <f t="shared" si="188"/>
        <v>7.2123008894404844E-2</v>
      </c>
      <c r="K932" s="14">
        <f t="shared" si="189"/>
        <v>0.11475661199464408</v>
      </c>
      <c r="L932" s="14">
        <f t="shared" si="190"/>
        <v>670.24908676939071</v>
      </c>
      <c r="M932" s="14">
        <f t="shared" si="184"/>
        <v>0.14280544434299056</v>
      </c>
      <c r="N932" s="14">
        <f t="shared" si="191"/>
        <v>3.6544309889161126</v>
      </c>
      <c r="O932" s="4">
        <v>9.3172999999999995</v>
      </c>
      <c r="P932" s="14">
        <f t="shared" si="194"/>
        <v>32.06808543669419</v>
      </c>
      <c r="Q932" s="14">
        <f t="shared" si="192"/>
        <v>7.7487129217970123</v>
      </c>
    </row>
    <row r="933" spans="1:17" x14ac:dyDescent="0.25">
      <c r="A933" s="5" t="s">
        <v>990</v>
      </c>
      <c r="B933" s="6">
        <f t="shared" si="193"/>
        <v>11</v>
      </c>
      <c r="C933" s="70">
        <v>16.175741200000001</v>
      </c>
      <c r="D933" s="4">
        <v>0</v>
      </c>
      <c r="E933" s="12">
        <f t="shared" si="182"/>
        <v>0</v>
      </c>
      <c r="F933" s="12">
        <f t="shared" si="183"/>
        <v>0</v>
      </c>
      <c r="G933" s="16">
        <f t="shared" si="185"/>
        <v>1.0532337792741036</v>
      </c>
      <c r="H933" s="14">
        <f t="shared" si="186"/>
        <v>0</v>
      </c>
      <c r="I933" s="14">
        <f t="shared" si="187"/>
        <v>4.3887384795237034</v>
      </c>
      <c r="J933" s="14">
        <f t="shared" si="188"/>
        <v>6.8955493948103103E-2</v>
      </c>
      <c r="K933" s="14">
        <f t="shared" si="189"/>
        <v>0.10908148159223607</v>
      </c>
      <c r="L933" s="14">
        <f t="shared" si="190"/>
        <v>670.11195645545013</v>
      </c>
      <c r="M933" s="14">
        <f t="shared" si="184"/>
        <v>0.1427750229604304</v>
      </c>
      <c r="N933" s="14">
        <f t="shared" si="191"/>
        <v>3.6536524972860138</v>
      </c>
      <c r="O933" s="4">
        <v>10.0236</v>
      </c>
      <c r="P933" s="14">
        <f t="shared" si="194"/>
        <v>40.576231187332141</v>
      </c>
      <c r="Q933" s="14">
        <f t="shared" si="192"/>
        <v>12.179758022515413</v>
      </c>
    </row>
    <row r="934" spans="1:17" x14ac:dyDescent="0.25">
      <c r="A934" s="5" t="s">
        <v>991</v>
      </c>
      <c r="B934" s="6">
        <f t="shared" si="193"/>
        <v>11</v>
      </c>
      <c r="C934" s="70">
        <v>15.66133499</v>
      </c>
      <c r="D934" s="4">
        <v>0.2</v>
      </c>
      <c r="E934" s="12">
        <f t="shared" si="182"/>
        <v>0</v>
      </c>
      <c r="F934" s="12">
        <f t="shared" si="183"/>
        <v>0.2</v>
      </c>
      <c r="G934" s="16">
        <f t="shared" si="185"/>
        <v>1.189654159199298</v>
      </c>
      <c r="H934" s="14">
        <f t="shared" si="186"/>
        <v>8.2748046644602041E-3</v>
      </c>
      <c r="I934" s="14">
        <f t="shared" si="187"/>
        <v>3.7503785794434461</v>
      </c>
      <c r="J934" s="14">
        <f t="shared" si="188"/>
        <v>5.5304815410345272E-2</v>
      </c>
      <c r="K934" s="14">
        <f t="shared" si="189"/>
        <v>0.11196181162239197</v>
      </c>
      <c r="L934" s="14">
        <f t="shared" si="190"/>
        <v>669.97457590712406</v>
      </c>
      <c r="M934" s="14">
        <f t="shared" si="184"/>
        <v>0.14274637081334995</v>
      </c>
      <c r="N934" s="14">
        <f t="shared" si="191"/>
        <v>3.6529192808832955</v>
      </c>
      <c r="O934" s="4">
        <v>12.228999999999999</v>
      </c>
      <c r="P934" s="14">
        <f t="shared" si="194"/>
        <v>73.549160500805272</v>
      </c>
      <c r="Q934" s="14">
        <f t="shared" si="192"/>
        <v>32.437023078664851</v>
      </c>
    </row>
    <row r="935" spans="1:17" x14ac:dyDescent="0.25">
      <c r="A935" s="5" t="s">
        <v>992</v>
      </c>
      <c r="B935" s="6">
        <f t="shared" si="193"/>
        <v>11</v>
      </c>
      <c r="C935" s="70">
        <v>15.1623888</v>
      </c>
      <c r="D935" s="4">
        <v>0</v>
      </c>
      <c r="E935" s="12">
        <f t="shared" si="182"/>
        <v>0</v>
      </c>
      <c r="F935" s="12">
        <f t="shared" si="183"/>
        <v>0</v>
      </c>
      <c r="G935" s="16">
        <f t="shared" si="185"/>
        <v>1.1374992551148841</v>
      </c>
      <c r="H935" s="14">
        <f t="shared" si="186"/>
        <v>0</v>
      </c>
      <c r="I935" s="14">
        <f t="shared" si="187"/>
        <v>3.1312040170021715</v>
      </c>
      <c r="J935" s="14">
        <f t="shared" si="188"/>
        <v>5.2154904084413742E-2</v>
      </c>
      <c r="K935" s="14">
        <f t="shared" si="189"/>
        <v>0.10642489422824154</v>
      </c>
      <c r="L935" s="14">
        <f t="shared" si="190"/>
        <v>669.83736645370493</v>
      </c>
      <c r="M935" s="14">
        <f t="shared" si="184"/>
        <v>0.14271596201503303</v>
      </c>
      <c r="N935" s="14">
        <f t="shared" si="191"/>
        <v>3.6521411112874773</v>
      </c>
      <c r="O935" s="4">
        <v>13.209199999999999</v>
      </c>
      <c r="P935" s="14">
        <f t="shared" si="194"/>
        <v>91.337374602319017</v>
      </c>
      <c r="Q935" s="14">
        <f t="shared" si="192"/>
        <v>44.562981230331523</v>
      </c>
    </row>
    <row r="936" spans="1:17" x14ac:dyDescent="0.25">
      <c r="A936" s="5" t="s">
        <v>993</v>
      </c>
      <c r="B936" s="6">
        <f t="shared" si="193"/>
        <v>11</v>
      </c>
      <c r="C936" s="70">
        <v>15.383930210000001</v>
      </c>
      <c r="D936" s="4">
        <v>0</v>
      </c>
      <c r="E936" s="12">
        <f t="shared" si="182"/>
        <v>0</v>
      </c>
      <c r="F936" s="12">
        <f t="shared" si="183"/>
        <v>0</v>
      </c>
      <c r="G936" s="16">
        <f t="shared" si="185"/>
        <v>1.0832523108282848</v>
      </c>
      <c r="H936" s="14">
        <f t="shared" si="186"/>
        <v>0</v>
      </c>
      <c r="I936" s="14">
        <f t="shared" si="187"/>
        <v>3.4061290657321219</v>
      </c>
      <c r="J936" s="14">
        <f t="shared" si="188"/>
        <v>5.424694428659934E-2</v>
      </c>
      <c r="K936" s="14">
        <f t="shared" si="189"/>
        <v>0.10116179746797871</v>
      </c>
      <c r="L936" s="14">
        <f t="shared" si="190"/>
        <v>669.69991358845016</v>
      </c>
      <c r="M936" s="14">
        <f t="shared" si="184"/>
        <v>0.1426855596946042</v>
      </c>
      <c r="N936" s="14">
        <f t="shared" si="191"/>
        <v>3.6513631074626147</v>
      </c>
      <c r="O936" s="4">
        <v>14.059699999999999</v>
      </c>
      <c r="P936" s="14">
        <f t="shared" si="194"/>
        <v>108.33347686855478</v>
      </c>
      <c r="Q936" s="14">
        <f t="shared" si="192"/>
        <v>56.641443741107395</v>
      </c>
    </row>
    <row r="937" spans="1:17" x14ac:dyDescent="0.25">
      <c r="A937" s="5" t="s">
        <v>994</v>
      </c>
      <c r="B937" s="6">
        <f t="shared" si="193"/>
        <v>11</v>
      </c>
      <c r="C937" s="70">
        <v>16.387718199999998</v>
      </c>
      <c r="D937" s="4">
        <v>0</v>
      </c>
      <c r="E937" s="12">
        <f t="shared" si="182"/>
        <v>0</v>
      </c>
      <c r="F937" s="12">
        <f t="shared" si="183"/>
        <v>0</v>
      </c>
      <c r="G937" s="16">
        <f t="shared" si="185"/>
        <v>1.0126996825329941</v>
      </c>
      <c r="H937" s="14">
        <f t="shared" si="186"/>
        <v>0</v>
      </c>
      <c r="I937" s="14">
        <f t="shared" si="187"/>
        <v>4.6517944339596164</v>
      </c>
      <c r="J937" s="14">
        <f t="shared" si="188"/>
        <v>7.0552628295290701E-2</v>
      </c>
      <c r="K937" s="14">
        <f t="shared" si="189"/>
        <v>9.6158979918785442E-2</v>
      </c>
      <c r="L937" s="14">
        <f t="shared" si="190"/>
        <v>669.56223084630471</v>
      </c>
      <c r="M937" s="14">
        <f t="shared" si="184"/>
        <v>0.14265516385068344</v>
      </c>
      <c r="N937" s="14">
        <f t="shared" si="191"/>
        <v>3.650585269373392</v>
      </c>
      <c r="O937" s="4">
        <v>15.947900000000001</v>
      </c>
      <c r="P937" s="14">
        <f t="shared" si="194"/>
        <v>151.22394958408617</v>
      </c>
      <c r="Q937" s="14">
        <f t="shared" si="192"/>
        <v>88.628121999210904</v>
      </c>
    </row>
    <row r="938" spans="1:17" x14ac:dyDescent="0.25">
      <c r="A938" s="5" t="s">
        <v>995</v>
      </c>
      <c r="B938" s="6">
        <f t="shared" si="193"/>
        <v>11</v>
      </c>
      <c r="C938" s="70">
        <v>15.96878719</v>
      </c>
      <c r="D938" s="4">
        <v>0</v>
      </c>
      <c r="E938" s="12">
        <f t="shared" si="182"/>
        <v>0</v>
      </c>
      <c r="F938" s="12">
        <f t="shared" si="183"/>
        <v>0</v>
      </c>
      <c r="G938" s="16">
        <f t="shared" si="185"/>
        <v>0.95411349961539382</v>
      </c>
      <c r="H938" s="14">
        <f t="shared" si="186"/>
        <v>0</v>
      </c>
      <c r="I938" s="14">
        <f t="shared" si="187"/>
        <v>4.1319158778976286</v>
      </c>
      <c r="J938" s="14">
        <f t="shared" si="188"/>
        <v>5.8586182917600274E-2</v>
      </c>
      <c r="K938" s="14">
        <f t="shared" si="189"/>
        <v>9.1403569830283443E-2</v>
      </c>
      <c r="L938" s="14">
        <f t="shared" si="190"/>
        <v>669.42433109254262</v>
      </c>
      <c r="M938" s="14">
        <f t="shared" si="184"/>
        <v>0.1426247744818912</v>
      </c>
      <c r="N938" s="14">
        <f t="shared" si="191"/>
        <v>3.6498075969845072</v>
      </c>
      <c r="O938" s="4">
        <v>17.951599999999999</v>
      </c>
      <c r="P938" s="14">
        <f t="shared" si="194"/>
        <v>204.54126593895163</v>
      </c>
      <c r="Q938" s="14">
        <f t="shared" si="192"/>
        <v>130.36960516964191</v>
      </c>
    </row>
    <row r="939" spans="1:17" x14ac:dyDescent="0.25">
      <c r="A939" s="5" t="s">
        <v>996</v>
      </c>
      <c r="B939" s="6">
        <f t="shared" si="193"/>
        <v>11</v>
      </c>
      <c r="C939" s="70">
        <v>15.83652496</v>
      </c>
      <c r="D939" s="4">
        <v>0</v>
      </c>
      <c r="E939" s="12">
        <f t="shared" si="182"/>
        <v>0</v>
      </c>
      <c r="F939" s="12">
        <f t="shared" si="183"/>
        <v>0</v>
      </c>
      <c r="G939" s="16">
        <f t="shared" si="185"/>
        <v>0.90110920909432313</v>
      </c>
      <c r="H939" s="14">
        <f t="shared" si="186"/>
        <v>0</v>
      </c>
      <c r="I939" s="14">
        <f t="shared" si="187"/>
        <v>3.9677831316634955</v>
      </c>
      <c r="J939" s="14">
        <f t="shared" si="188"/>
        <v>5.3004290521070745E-2</v>
      </c>
      <c r="K939" s="14">
        <f t="shared" si="189"/>
        <v>8.6883332006804703E-2</v>
      </c>
      <c r="L939" s="14">
        <f t="shared" si="190"/>
        <v>669.28622655588413</v>
      </c>
      <c r="M939" s="14">
        <f t="shared" si="184"/>
        <v>0.142594391586848</v>
      </c>
      <c r="N939" s="14">
        <f t="shared" si="191"/>
        <v>3.6490300902606583</v>
      </c>
      <c r="O939" s="4">
        <v>18.888500000000001</v>
      </c>
      <c r="P939" s="14">
        <f t="shared" si="194"/>
        <v>232.24144312985081</v>
      </c>
      <c r="Q939" s="14">
        <f t="shared" si="192"/>
        <v>152.64234337421092</v>
      </c>
    </row>
    <row r="940" spans="1:17" x14ac:dyDescent="0.25">
      <c r="A940" s="5" t="s">
        <v>997</v>
      </c>
      <c r="B940" s="6">
        <f t="shared" si="193"/>
        <v>11</v>
      </c>
      <c r="C940" s="70">
        <v>17.16536331</v>
      </c>
      <c r="D940" s="4">
        <v>0</v>
      </c>
      <c r="E940" s="12">
        <f t="shared" si="182"/>
        <v>0</v>
      </c>
      <c r="F940" s="12">
        <f t="shared" si="183"/>
        <v>0</v>
      </c>
      <c r="G940" s="16">
        <f t="shared" si="185"/>
        <v>0.83024428273760786</v>
      </c>
      <c r="H940" s="14">
        <f t="shared" si="186"/>
        <v>0</v>
      </c>
      <c r="I940" s="14">
        <f t="shared" si="187"/>
        <v>5.6168244920483419</v>
      </c>
      <c r="J940" s="14">
        <f t="shared" si="188"/>
        <v>7.0864926356715305E-2</v>
      </c>
      <c r="K940" s="14">
        <f t="shared" si="189"/>
        <v>8.2586636327453875E-2</v>
      </c>
      <c r="L940" s="14">
        <f t="shared" si="190"/>
        <v>669.14792885997667</v>
      </c>
      <c r="M940" s="14">
        <f t="shared" si="184"/>
        <v>0.14256401516417483</v>
      </c>
      <c r="N940" s="14">
        <f t="shared" si="191"/>
        <v>3.6482527491665575</v>
      </c>
      <c r="O940" s="4">
        <v>16.120899999999999</v>
      </c>
      <c r="P940" s="14">
        <f t="shared" si="194"/>
        <v>155.56692944372301</v>
      </c>
      <c r="Q940" s="14">
        <f t="shared" si="192"/>
        <v>91.91538184719937</v>
      </c>
    </row>
    <row r="941" spans="1:17" x14ac:dyDescent="0.25">
      <c r="A941" s="5" t="s">
        <v>998</v>
      </c>
      <c r="B941" s="6">
        <f t="shared" si="193"/>
        <v>11</v>
      </c>
      <c r="C941" s="70">
        <v>17.60868073</v>
      </c>
      <c r="D941" s="4">
        <v>0</v>
      </c>
      <c r="E941" s="12">
        <f t="shared" si="182"/>
        <v>0</v>
      </c>
      <c r="F941" s="12">
        <f t="shared" si="183"/>
        <v>0</v>
      </c>
      <c r="G941" s="16">
        <f t="shared" si="185"/>
        <v>0.75855726951761038</v>
      </c>
      <c r="H941" s="14">
        <f t="shared" si="186"/>
        <v>0</v>
      </c>
      <c r="I941" s="14">
        <f t="shared" si="187"/>
        <v>6.1669657198049759</v>
      </c>
      <c r="J941" s="14">
        <f t="shared" si="188"/>
        <v>7.1687013219997486E-2</v>
      </c>
      <c r="K941" s="14">
        <f t="shared" si="189"/>
        <v>7.850242782296768E-2</v>
      </c>
      <c r="L941" s="14">
        <f t="shared" si="190"/>
        <v>669.00944905331698</v>
      </c>
      <c r="M941" s="14">
        <f t="shared" si="184"/>
        <v>0.14253364521249282</v>
      </c>
      <c r="N941" s="14">
        <f t="shared" si="191"/>
        <v>3.6474755736669167</v>
      </c>
      <c r="O941" s="4">
        <v>15.8903</v>
      </c>
      <c r="P941" s="14">
        <f t="shared" si="194"/>
        <v>149.88674993401798</v>
      </c>
      <c r="Q941" s="14">
        <f t="shared" si="192"/>
        <v>87.546918043348811</v>
      </c>
    </row>
    <row r="942" spans="1:17" x14ac:dyDescent="0.25">
      <c r="A942" s="5" t="s">
        <v>999</v>
      </c>
      <c r="B942" s="6">
        <f t="shared" si="193"/>
        <v>11</v>
      </c>
      <c r="C942" s="70">
        <v>16.96549225</v>
      </c>
      <c r="D942" s="4">
        <v>0.2</v>
      </c>
      <c r="E942" s="12">
        <f t="shared" si="182"/>
        <v>0</v>
      </c>
      <c r="F942" s="12">
        <f t="shared" si="183"/>
        <v>0.2</v>
      </c>
      <c r="G942" s="16">
        <f t="shared" si="185"/>
        <v>0.89459047438049388</v>
      </c>
      <c r="H942" s="14">
        <f t="shared" si="186"/>
        <v>6.9466947277706248E-3</v>
      </c>
      <c r="I942" s="14">
        <f t="shared" si="187"/>
        <v>5.3687915806833439</v>
      </c>
      <c r="J942" s="14">
        <f t="shared" si="188"/>
        <v>5.7020100409345777E-2</v>
      </c>
      <c r="K942" s="14">
        <f t="shared" si="189"/>
        <v>8.1566892960152654E-2</v>
      </c>
      <c r="L942" s="14">
        <f t="shared" si="190"/>
        <v>668.87079763769509</v>
      </c>
      <c r="M942" s="14">
        <f t="shared" si="184"/>
        <v>0.14250476156236425</v>
      </c>
      <c r="N942" s="14">
        <f t="shared" si="191"/>
        <v>3.6467364330368905</v>
      </c>
      <c r="O942" s="4">
        <v>14.189399999999999</v>
      </c>
      <c r="P942" s="14">
        <f t="shared" si="194"/>
        <v>111.1477550861713</v>
      </c>
      <c r="Q942" s="14">
        <f t="shared" si="192"/>
        <v>58.610523461998199</v>
      </c>
    </row>
    <row r="943" spans="1:17" x14ac:dyDescent="0.25">
      <c r="A943" s="5" t="s">
        <v>1000</v>
      </c>
      <c r="B943" s="6">
        <f t="shared" si="193"/>
        <v>11</v>
      </c>
      <c r="C943" s="70">
        <v>15.461623189999999</v>
      </c>
      <c r="D943" s="4">
        <v>0</v>
      </c>
      <c r="E943" s="12">
        <f t="shared" si="182"/>
        <v>0</v>
      </c>
      <c r="F943" s="12">
        <f t="shared" si="183"/>
        <v>0</v>
      </c>
      <c r="G943" s="16">
        <f t="shared" si="185"/>
        <v>0.85072015044520111</v>
      </c>
      <c r="H943" s="14">
        <f t="shared" si="186"/>
        <v>0</v>
      </c>
      <c r="I943" s="14">
        <f t="shared" si="187"/>
        <v>3.5025433041017098</v>
      </c>
      <c r="J943" s="14">
        <f t="shared" si="188"/>
        <v>4.3870323935292804E-2</v>
      </c>
      <c r="K943" s="14">
        <f t="shared" si="189"/>
        <v>7.7533114461274283E-2</v>
      </c>
      <c r="L943" s="14">
        <f t="shared" si="190"/>
        <v>668.73232665463161</v>
      </c>
      <c r="M943" s="14">
        <f t="shared" si="184"/>
        <v>0.14247440423328567</v>
      </c>
      <c r="N943" s="14">
        <f t="shared" si="191"/>
        <v>3.6459595805531784</v>
      </c>
      <c r="O943" s="4">
        <v>9.4994999999999994</v>
      </c>
      <c r="P943" s="14">
        <f t="shared" si="194"/>
        <v>34.263935442097669</v>
      </c>
      <c r="Q943" s="14">
        <f t="shared" si="192"/>
        <v>8.7962721882912653</v>
      </c>
    </row>
    <row r="944" spans="1:17" x14ac:dyDescent="0.25">
      <c r="A944" s="5" t="s">
        <v>1001</v>
      </c>
      <c r="B944" s="6">
        <f t="shared" si="193"/>
        <v>11</v>
      </c>
      <c r="C944" s="70">
        <v>15.69956779</v>
      </c>
      <c r="D944" s="4">
        <v>0</v>
      </c>
      <c r="E944" s="12">
        <f t="shared" si="182"/>
        <v>0</v>
      </c>
      <c r="F944" s="12">
        <f t="shared" si="183"/>
        <v>0</v>
      </c>
      <c r="G944" s="16">
        <f t="shared" si="185"/>
        <v>0.80548410541654614</v>
      </c>
      <c r="H944" s="14">
        <f t="shared" si="186"/>
        <v>0</v>
      </c>
      <c r="I944" s="14">
        <f t="shared" si="187"/>
        <v>3.7978241310587499</v>
      </c>
      <c r="J944" s="14">
        <f t="shared" si="188"/>
        <v>4.5236045028654942E-2</v>
      </c>
      <c r="K944" s="14">
        <f t="shared" si="189"/>
        <v>7.3698820929733858E-2</v>
      </c>
      <c r="L944" s="14">
        <f t="shared" si="190"/>
        <v>668.59368654392983</v>
      </c>
      <c r="M944" s="14">
        <f t="shared" si="184"/>
        <v>0.14244405337113086</v>
      </c>
      <c r="N944" s="14">
        <f t="shared" si="191"/>
        <v>3.6451828935598423</v>
      </c>
      <c r="O944" s="4">
        <v>6.2409999999999997</v>
      </c>
      <c r="P944" s="14">
        <f t="shared" si="194"/>
        <v>6.7382664500873517</v>
      </c>
      <c r="Q944" s="14">
        <f t="shared" si="192"/>
        <v>8.5643433837215843E-2</v>
      </c>
    </row>
    <row r="945" spans="1:17" x14ac:dyDescent="0.25">
      <c r="A945" s="5" t="s">
        <v>1002</v>
      </c>
      <c r="B945" s="6">
        <f t="shared" si="193"/>
        <v>11</v>
      </c>
      <c r="C945" s="70">
        <v>14.752311710000001</v>
      </c>
      <c r="D945" s="4">
        <v>0.3</v>
      </c>
      <c r="E945" s="12">
        <f t="shared" si="182"/>
        <v>0</v>
      </c>
      <c r="F945" s="12">
        <f t="shared" si="183"/>
        <v>0.3</v>
      </c>
      <c r="G945" s="16">
        <f t="shared" si="185"/>
        <v>1.0651516423916609</v>
      </c>
      <c r="H945" s="14">
        <f t="shared" si="186"/>
        <v>1.0758839608721543E-2</v>
      </c>
      <c r="I945" s="14">
        <f t="shared" si="187"/>
        <v>2.6223128622907961</v>
      </c>
      <c r="J945" s="14">
        <f t="shared" si="188"/>
        <v>2.9573623416163687E-2</v>
      </c>
      <c r="K945" s="14">
        <f t="shared" si="189"/>
        <v>8.0812986719577956E-2</v>
      </c>
      <c r="L945" s="14">
        <f t="shared" si="190"/>
        <v>668.45488716437762</v>
      </c>
      <c r="M945" s="14">
        <f t="shared" si="184"/>
        <v>0.14241600089537401</v>
      </c>
      <c r="N945" s="14">
        <f t="shared" si="191"/>
        <v>3.6444650229128697</v>
      </c>
      <c r="O945" s="4">
        <v>6.3007999999999997</v>
      </c>
      <c r="P945" s="14">
        <f t="shared" si="194"/>
        <v>7.0561155104964834</v>
      </c>
      <c r="Q945" s="14">
        <f t="shared" si="192"/>
        <v>5.4218654124572663E-2</v>
      </c>
    </row>
    <row r="946" spans="1:17" x14ac:dyDescent="0.25">
      <c r="A946" s="5" t="s">
        <v>1003</v>
      </c>
      <c r="B946" s="6">
        <f t="shared" si="193"/>
        <v>11</v>
      </c>
      <c r="C946" s="70">
        <v>14.969990729999999</v>
      </c>
      <c r="D946" s="4">
        <v>0</v>
      </c>
      <c r="E946" s="12">
        <f t="shared" si="182"/>
        <v>0</v>
      </c>
      <c r="F946" s="12">
        <f t="shared" si="183"/>
        <v>0</v>
      </c>
      <c r="G946" s="16">
        <f t="shared" si="185"/>
        <v>1.0220156710038499</v>
      </c>
      <c r="H946" s="14">
        <f t="shared" si="186"/>
        <v>0</v>
      </c>
      <c r="I946" s="14">
        <f t="shared" si="187"/>
        <v>2.892444821733446</v>
      </c>
      <c r="J946" s="14">
        <f t="shared" si="188"/>
        <v>4.3135971387811077E-2</v>
      </c>
      <c r="K946" s="14">
        <f t="shared" si="189"/>
        <v>7.6816491616855012E-2</v>
      </c>
      <c r="L946" s="14">
        <f t="shared" si="190"/>
        <v>668.31646765858488</v>
      </c>
      <c r="M946" s="14">
        <f t="shared" si="184"/>
        <v>0.14238566247469359</v>
      </c>
      <c r="N946" s="14">
        <f t="shared" si="191"/>
        <v>3.6436886543003189</v>
      </c>
      <c r="O946" s="4">
        <v>5.9164000000000003</v>
      </c>
      <c r="P946" s="14">
        <f t="shared" si="194"/>
        <v>5.1652168608720572</v>
      </c>
      <c r="Q946" s="14">
        <f t="shared" si="192"/>
        <v>0.38099632090617769</v>
      </c>
    </row>
    <row r="947" spans="1:17" x14ac:dyDescent="0.25">
      <c r="A947" s="5" t="s">
        <v>1004</v>
      </c>
      <c r="B947" s="6">
        <f t="shared" si="193"/>
        <v>11</v>
      </c>
      <c r="C947" s="70">
        <v>13.71873283</v>
      </c>
      <c r="D947" s="4">
        <v>0</v>
      </c>
      <c r="E947" s="12">
        <f t="shared" si="182"/>
        <v>0</v>
      </c>
      <c r="F947" s="12">
        <f t="shared" si="183"/>
        <v>0</v>
      </c>
      <c r="G947" s="16">
        <f t="shared" si="185"/>
        <v>1.0028457176387375</v>
      </c>
      <c r="H947" s="14">
        <f t="shared" si="186"/>
        <v>0</v>
      </c>
      <c r="I947" s="14">
        <f t="shared" si="187"/>
        <v>1.3396780539709985</v>
      </c>
      <c r="J947" s="14">
        <f t="shared" si="188"/>
        <v>1.9169953365112478E-2</v>
      </c>
      <c r="K947" s="14">
        <f t="shared" si="189"/>
        <v>7.3017637682395178E-2</v>
      </c>
      <c r="L947" s="14">
        <f t="shared" si="190"/>
        <v>668.17788085004463</v>
      </c>
      <c r="M947" s="14">
        <f t="shared" si="184"/>
        <v>0.14235533051690899</v>
      </c>
      <c r="N947" s="14">
        <f t="shared" si="191"/>
        <v>3.6429124510750666</v>
      </c>
      <c r="O947" s="4">
        <v>5.4893000000000001</v>
      </c>
      <c r="P947" s="14">
        <f t="shared" si="194"/>
        <v>3.4091469808250237</v>
      </c>
      <c r="Q947" s="14">
        <f t="shared" si="192"/>
        <v>1.0906648217969785</v>
      </c>
    </row>
    <row r="948" spans="1:17" x14ac:dyDescent="0.25">
      <c r="A948" s="5" t="s">
        <v>1005</v>
      </c>
      <c r="B948" s="6">
        <f t="shared" si="193"/>
        <v>11</v>
      </c>
      <c r="C948" s="70">
        <v>16.054784770000001</v>
      </c>
      <c r="D948" s="4">
        <v>0</v>
      </c>
      <c r="E948" s="12">
        <f t="shared" si="182"/>
        <v>0</v>
      </c>
      <c r="F948" s="12">
        <f t="shared" si="183"/>
        <v>0</v>
      </c>
      <c r="G948" s="16">
        <f t="shared" si="185"/>
        <v>0.94333114934235851</v>
      </c>
      <c r="H948" s="14">
        <f t="shared" si="186"/>
        <v>0</v>
      </c>
      <c r="I948" s="14">
        <f t="shared" si="187"/>
        <v>4.238635830940078</v>
      </c>
      <c r="J948" s="14">
        <f t="shared" si="188"/>
        <v>5.9514568296378981E-2</v>
      </c>
      <c r="K948" s="14">
        <f t="shared" si="189"/>
        <v>6.9406650844070661E-2</v>
      </c>
      <c r="L948" s="14">
        <f t="shared" si="190"/>
        <v>668.03913650636605</v>
      </c>
      <c r="M948" s="14">
        <f t="shared" si="184"/>
        <v>0.14232500502064338</v>
      </c>
      <c r="N948" s="14">
        <f t="shared" si="191"/>
        <v>3.642136413201881</v>
      </c>
      <c r="O948" s="4">
        <v>5.4806999999999997</v>
      </c>
      <c r="P948" s="14">
        <f t="shared" si="194"/>
        <v>3.3803160626999635</v>
      </c>
      <c r="Q948" s="14">
        <f t="shared" si="192"/>
        <v>1.1087015844981287</v>
      </c>
    </row>
    <row r="949" spans="1:17" x14ac:dyDescent="0.25">
      <c r="A949" s="5" t="s">
        <v>1006</v>
      </c>
      <c r="B949" s="6">
        <f t="shared" si="193"/>
        <v>12</v>
      </c>
      <c r="C949" s="70">
        <v>14.96056271</v>
      </c>
      <c r="D949" s="4">
        <v>7.4</v>
      </c>
      <c r="E949" s="12">
        <f t="shared" si="182"/>
        <v>0</v>
      </c>
      <c r="F949" s="12">
        <f t="shared" si="183"/>
        <v>7.4</v>
      </c>
      <c r="G949" s="16">
        <f t="shared" si="185"/>
        <v>8.0009378545502035</v>
      </c>
      <c r="H949" s="14">
        <f t="shared" si="186"/>
        <v>0.28870028315541374</v>
      </c>
      <c r="I949" s="14">
        <f t="shared" si="187"/>
        <v>4.0652806287018155</v>
      </c>
      <c r="J949" s="14">
        <f t="shared" si="188"/>
        <v>5.3693011636740701E-2</v>
      </c>
      <c r="K949" s="14">
        <f t="shared" si="189"/>
        <v>0.35467452354846057</v>
      </c>
      <c r="L949" s="14">
        <f t="shared" si="190"/>
        <v>667.90024391179645</v>
      </c>
      <c r="M949" s="14">
        <f t="shared" si="184"/>
        <v>0.14235618687336596</v>
      </c>
      <c r="N949" s="14">
        <f t="shared" si="191"/>
        <v>3.6429343654746771</v>
      </c>
      <c r="O949" s="4">
        <v>9.3309999999999995</v>
      </c>
      <c r="P949" s="14">
        <f t="shared" si="194"/>
        <v>32.354090662667964</v>
      </c>
      <c r="Q949" s="14">
        <f t="shared" si="192"/>
        <v>7.8251726493544833</v>
      </c>
    </row>
    <row r="950" spans="1:17" x14ac:dyDescent="0.25">
      <c r="A950" s="5" t="s">
        <v>1007</v>
      </c>
      <c r="B950" s="6">
        <f t="shared" si="193"/>
        <v>12</v>
      </c>
      <c r="C950" s="70">
        <v>15.037579539999999</v>
      </c>
      <c r="D950" s="4">
        <v>0</v>
      </c>
      <c r="E950" s="12">
        <f t="shared" si="182"/>
        <v>0</v>
      </c>
      <c r="F950" s="12">
        <f t="shared" si="183"/>
        <v>0</v>
      </c>
      <c r="G950" s="16">
        <f t="shared" si="185"/>
        <v>7.5336225275585988</v>
      </c>
      <c r="H950" s="14">
        <f t="shared" si="186"/>
        <v>0</v>
      </c>
      <c r="I950" s="14">
        <f t="shared" si="187"/>
        <v>4.1716327645268105</v>
      </c>
      <c r="J950" s="14">
        <f t="shared" si="188"/>
        <v>0.46731532699160416</v>
      </c>
      <c r="K950" s="14">
        <f t="shared" si="189"/>
        <v>0.33713458282902398</v>
      </c>
      <c r="L950" s="14">
        <f t="shared" si="190"/>
        <v>667.77542766564261</v>
      </c>
      <c r="M950" s="14">
        <f t="shared" si="184"/>
        <v>0.14232586119467353</v>
      </c>
      <c r="N950" s="14">
        <f t="shared" si="191"/>
        <v>3.6421583229331387</v>
      </c>
      <c r="O950" s="4">
        <v>6.2704000000000004</v>
      </c>
      <c r="P950" s="14">
        <f t="shared" si="194"/>
        <v>6.9076543130712302</v>
      </c>
      <c r="Q950" s="14">
        <f t="shared" si="192"/>
        <v>6.9300032975146739E-2</v>
      </c>
    </row>
    <row r="951" spans="1:17" x14ac:dyDescent="0.25">
      <c r="A951" s="5" t="s">
        <v>1008</v>
      </c>
      <c r="B951" s="6">
        <f t="shared" si="193"/>
        <v>12</v>
      </c>
      <c r="C951" s="70">
        <v>14.29859066</v>
      </c>
      <c r="D951" s="4">
        <v>0</v>
      </c>
      <c r="E951" s="12">
        <f t="shared" si="182"/>
        <v>0</v>
      </c>
      <c r="F951" s="12">
        <f t="shared" si="183"/>
        <v>0</v>
      </c>
      <c r="G951" s="16">
        <f t="shared" si="185"/>
        <v>7.2012398968450126</v>
      </c>
      <c r="H951" s="14">
        <f t="shared" si="186"/>
        <v>0</v>
      </c>
      <c r="I951" s="14">
        <f t="shared" si="187"/>
        <v>3.1511669035075918</v>
      </c>
      <c r="J951" s="14">
        <f t="shared" si="188"/>
        <v>0.33238263071358654</v>
      </c>
      <c r="K951" s="14">
        <f t="shared" si="189"/>
        <v>0.32046205575227976</v>
      </c>
      <c r="L951" s="14">
        <f t="shared" si="190"/>
        <v>667.64977433152467</v>
      </c>
      <c r="M951" s="14">
        <f t="shared" si="184"/>
        <v>0.14229554197616245</v>
      </c>
      <c r="N951" s="14">
        <f t="shared" si="191"/>
        <v>3.6413824457094348</v>
      </c>
      <c r="O951" s="4">
        <v>6.1726999999999999</v>
      </c>
      <c r="P951" s="14">
        <f t="shared" si="194"/>
        <v>6.407568560659568</v>
      </c>
      <c r="Q951" s="14">
        <f t="shared" si="192"/>
        <v>0.13028417645215765</v>
      </c>
    </row>
    <row r="952" spans="1:17" x14ac:dyDescent="0.25">
      <c r="A952" s="5" t="s">
        <v>1009</v>
      </c>
      <c r="B952" s="6">
        <f t="shared" si="193"/>
        <v>12</v>
      </c>
      <c r="C952" s="70">
        <v>16.632112500000002</v>
      </c>
      <c r="D952" s="4">
        <v>9.1999999999999993</v>
      </c>
      <c r="E952" s="12">
        <f t="shared" si="182"/>
        <v>0</v>
      </c>
      <c r="F952" s="12">
        <f t="shared" si="183"/>
        <v>9.1999999999999993</v>
      </c>
      <c r="G952" s="16">
        <f t="shared" si="185"/>
        <v>14.698024597986219</v>
      </c>
      <c r="H952" s="14">
        <f t="shared" si="186"/>
        <v>1.0606025370698</v>
      </c>
      <c r="I952" s="14">
        <f t="shared" si="187"/>
        <v>6.3735149497498496</v>
      </c>
      <c r="J952" s="14">
        <f t="shared" si="188"/>
        <v>0.64261276178899474</v>
      </c>
      <c r="K952" s="14">
        <f t="shared" si="189"/>
        <v>1.3652165826394262</v>
      </c>
      <c r="L952" s="14">
        <f t="shared" si="190"/>
        <v>667.52332679973108</v>
      </c>
      <c r="M952" s="14">
        <f t="shared" si="184"/>
        <v>0.14249116594928149</v>
      </c>
      <c r="N952" s="14">
        <f t="shared" si="191"/>
        <v>3.6463885175215438</v>
      </c>
      <c r="O952" s="4">
        <v>6.1641000000000004</v>
      </c>
      <c r="P952" s="14">
        <f t="shared" si="194"/>
        <v>6.3388711090038674</v>
      </c>
      <c r="Q952" s="14">
        <f t="shared" si="192"/>
        <v>0.13656645915330662</v>
      </c>
    </row>
    <row r="953" spans="1:17" x14ac:dyDescent="0.25">
      <c r="A953" s="5" t="s">
        <v>1010</v>
      </c>
      <c r="B953" s="6">
        <f t="shared" si="193"/>
        <v>12</v>
      </c>
      <c r="C953" s="70">
        <v>17.073249820000001</v>
      </c>
      <c r="D953" s="4">
        <v>3.5</v>
      </c>
      <c r="E953" s="12">
        <f t="shared" si="182"/>
        <v>0</v>
      </c>
      <c r="F953" s="12">
        <f t="shared" si="183"/>
        <v>3.5</v>
      </c>
      <c r="G953" s="16">
        <f t="shared" si="185"/>
        <v>16.170864808712242</v>
      </c>
      <c r="H953" s="14">
        <f t="shared" si="186"/>
        <v>0.59020165390050994</v>
      </c>
      <c r="I953" s="14">
        <f t="shared" si="187"/>
        <v>6.9826791567694597</v>
      </c>
      <c r="J953" s="14">
        <f t="shared" si="188"/>
        <v>1.4369581353734648</v>
      </c>
      <c r="K953" s="14">
        <f t="shared" si="189"/>
        <v>1.8879033282541269</v>
      </c>
      <c r="L953" s="14">
        <f t="shared" si="190"/>
        <v>667.4483505420676</v>
      </c>
      <c r="M953" s="14">
        <f t="shared" si="184"/>
        <v>0.14258654026846673</v>
      </c>
      <c r="N953" s="14">
        <f t="shared" si="191"/>
        <v>3.6488291728423605</v>
      </c>
      <c r="O953" s="4">
        <v>6.1043000000000003</v>
      </c>
      <c r="P953" s="14">
        <f t="shared" si="194"/>
        <v>6.0293369830222234</v>
      </c>
      <c r="Q953" s="14">
        <f t="shared" si="192"/>
        <v>0.18434055886594974</v>
      </c>
    </row>
    <row r="954" spans="1:17" x14ac:dyDescent="0.25">
      <c r="A954" s="5" t="s">
        <v>1011</v>
      </c>
      <c r="B954" s="6">
        <f t="shared" si="193"/>
        <v>12</v>
      </c>
      <c r="C954" s="70">
        <v>16.893329619999999</v>
      </c>
      <c r="D954" s="4">
        <v>9.6</v>
      </c>
      <c r="E954" s="12">
        <f t="shared" si="182"/>
        <v>0</v>
      </c>
      <c r="F954" s="12">
        <f t="shared" si="183"/>
        <v>9.6</v>
      </c>
      <c r="G954" s="16">
        <f t="shared" si="185"/>
        <v>22.542785418868903</v>
      </c>
      <c r="H954" s="14">
        <f t="shared" si="186"/>
        <v>1.7033803035996027</v>
      </c>
      <c r="I954" s="14">
        <f t="shared" si="187"/>
        <v>6.7342282980667525</v>
      </c>
      <c r="J954" s="14">
        <f t="shared" si="188"/>
        <v>1.5246990862437364</v>
      </c>
      <c r="K954" s="14">
        <f t="shared" si="189"/>
        <v>3.4979199695012517</v>
      </c>
      <c r="L954" s="14">
        <f t="shared" si="190"/>
        <v>667.39912766415159</v>
      </c>
      <c r="M954" s="14">
        <f t="shared" si="184"/>
        <v>0.20108299263558246</v>
      </c>
      <c r="N954" s="14">
        <f t="shared" si="191"/>
        <v>5.145769637931398</v>
      </c>
      <c r="O954" s="4">
        <v>6.8902999999999999</v>
      </c>
      <c r="P954" s="14">
        <f t="shared" si="194"/>
        <v>3.0433861841792074</v>
      </c>
      <c r="Q954" s="14">
        <f t="shared" si="192"/>
        <v>0.1271999399004401</v>
      </c>
    </row>
    <row r="955" spans="1:17" x14ac:dyDescent="0.25">
      <c r="A955" s="5" t="s">
        <v>1012</v>
      </c>
      <c r="B955" s="6">
        <f t="shared" si="193"/>
        <v>12</v>
      </c>
      <c r="C955" s="70">
        <v>16.512714389999999</v>
      </c>
      <c r="D955" s="4">
        <v>0</v>
      </c>
      <c r="E955" s="12">
        <f t="shared" si="182"/>
        <v>0</v>
      </c>
      <c r="F955" s="12">
        <f t="shared" si="183"/>
        <v>0</v>
      </c>
      <c r="G955" s="16">
        <f t="shared" si="185"/>
        <v>20.583187250305389</v>
      </c>
      <c r="H955" s="14">
        <f t="shared" si="186"/>
        <v>0</v>
      </c>
      <c r="I955" s="14">
        <f t="shared" si="187"/>
        <v>6.2086387270856864</v>
      </c>
      <c r="J955" s="14">
        <f t="shared" si="188"/>
        <v>1.959598168563512</v>
      </c>
      <c r="K955" s="14">
        <f t="shared" si="189"/>
        <v>3.266771187165681</v>
      </c>
      <c r="L955" s="14">
        <f t="shared" si="190"/>
        <v>667.42919345385155</v>
      </c>
      <c r="M955" s="14">
        <f t="shared" si="184"/>
        <v>0.19206469116092115</v>
      </c>
      <c r="N955" s="14">
        <f t="shared" si="191"/>
        <v>4.9149887981110725</v>
      </c>
      <c r="O955" s="4">
        <v>7.7519</v>
      </c>
      <c r="P955" s="14">
        <f t="shared" si="194"/>
        <v>8.0480651674028802</v>
      </c>
      <c r="Q955" s="14">
        <f t="shared" si="192"/>
        <v>1.4841355130038967</v>
      </c>
    </row>
    <row r="956" spans="1:17" x14ac:dyDescent="0.25">
      <c r="A956" s="5" t="s">
        <v>1013</v>
      </c>
      <c r="B956" s="6">
        <f t="shared" si="193"/>
        <v>12</v>
      </c>
      <c r="C956" s="70">
        <v>15.73703098</v>
      </c>
      <c r="D956" s="4">
        <v>0</v>
      </c>
      <c r="E956" s="12">
        <f t="shared" si="182"/>
        <v>0</v>
      </c>
      <c r="F956" s="12">
        <f t="shared" si="183"/>
        <v>0</v>
      </c>
      <c r="G956" s="16">
        <f t="shared" si="185"/>
        <v>19.102621659566882</v>
      </c>
      <c r="H956" s="14">
        <f t="shared" si="186"/>
        <v>0</v>
      </c>
      <c r="I956" s="14">
        <f t="shared" si="187"/>
        <v>5.1375015824185395</v>
      </c>
      <c r="J956" s="14">
        <f t="shared" si="188"/>
        <v>1.4805655907385078</v>
      </c>
      <c r="K956" s="14">
        <f t="shared" si="189"/>
        <v>3.0560290153375069</v>
      </c>
      <c r="L956" s="14">
        <f t="shared" si="190"/>
        <v>667.44787093451885</v>
      </c>
      <c r="M956" s="14">
        <f t="shared" si="184"/>
        <v>0.1838406958213073</v>
      </c>
      <c r="N956" s="14">
        <f t="shared" si="191"/>
        <v>4.7045344729272047</v>
      </c>
      <c r="O956" s="4">
        <v>10.917299999999999</v>
      </c>
      <c r="P956" s="14">
        <f t="shared" si="194"/>
        <v>38.598455494384098</v>
      </c>
      <c r="Q956" s="14">
        <f t="shared" si="192"/>
        <v>19.216396140187825</v>
      </c>
    </row>
    <row r="957" spans="1:17" x14ac:dyDescent="0.25">
      <c r="A957" s="5" t="s">
        <v>1014</v>
      </c>
      <c r="B957" s="6">
        <f t="shared" si="193"/>
        <v>12</v>
      </c>
      <c r="C957" s="70">
        <v>15.69390965</v>
      </c>
      <c r="D957" s="4">
        <v>2.2999999999999998</v>
      </c>
      <c r="E957" s="12">
        <f t="shared" si="182"/>
        <v>0</v>
      </c>
      <c r="F957" s="12">
        <f t="shared" si="183"/>
        <v>2.2999999999999998</v>
      </c>
      <c r="G957" s="16">
        <f t="shared" si="185"/>
        <v>19.598475335402135</v>
      </c>
      <c r="H957" s="14">
        <f t="shared" si="186"/>
        <v>0.44600510929887566</v>
      </c>
      <c r="I957" s="14">
        <f t="shared" si="187"/>
        <v>5.0779555644233243</v>
      </c>
      <c r="J957" s="14">
        <f t="shared" si="188"/>
        <v>1.3581412148658691</v>
      </c>
      <c r="K957" s="14">
        <f t="shared" si="189"/>
        <v>3.3098969974661423</v>
      </c>
      <c r="L957" s="14">
        <f t="shared" si="190"/>
        <v>667.45616736586783</v>
      </c>
      <c r="M957" s="14">
        <f t="shared" si="184"/>
        <v>0.1937541916929004</v>
      </c>
      <c r="N957" s="14">
        <f t="shared" si="191"/>
        <v>4.9582235860301251</v>
      </c>
      <c r="O957" s="4">
        <v>9.3521000000000001</v>
      </c>
      <c r="P957" s="14">
        <f t="shared" si="194"/>
        <v>19.306149941240768</v>
      </c>
      <c r="Q957" s="14">
        <f t="shared" si="192"/>
        <v>7.9436660717970158</v>
      </c>
    </row>
    <row r="958" spans="1:17" x14ac:dyDescent="0.25">
      <c r="A958" s="5" t="s">
        <v>1015</v>
      </c>
      <c r="B958" s="6">
        <f t="shared" si="193"/>
        <v>12</v>
      </c>
      <c r="C958" s="70">
        <v>12.724501610000001</v>
      </c>
      <c r="D958" s="4">
        <v>9.5</v>
      </c>
      <c r="E958" s="12">
        <f t="shared" si="182"/>
        <v>0</v>
      </c>
      <c r="F958" s="12">
        <f t="shared" si="183"/>
        <v>9.5</v>
      </c>
      <c r="G958" s="16">
        <f t="shared" si="185"/>
        <v>26.962711985323057</v>
      </c>
      <c r="H958" s="14">
        <f t="shared" si="186"/>
        <v>1.8675323031517175</v>
      </c>
      <c r="I958" s="14">
        <f t="shared" si="187"/>
        <v>0.97751560617119104</v>
      </c>
      <c r="J958" s="14">
        <f t="shared" si="188"/>
        <v>0.26823104692736</v>
      </c>
      <c r="K958" s="14">
        <f t="shared" si="189"/>
        <v>4.9628798337448004</v>
      </c>
      <c r="L958" s="14">
        <f t="shared" si="190"/>
        <v>667.47696264104798</v>
      </c>
      <c r="M958" s="14">
        <f t="shared" si="184"/>
        <v>0.25829577582420454</v>
      </c>
      <c r="N958" s="14">
        <f t="shared" si="191"/>
        <v>6.6098606521680123</v>
      </c>
      <c r="O958" s="4">
        <v>6.9348999999999998</v>
      </c>
      <c r="P958" s="14">
        <f t="shared" si="194"/>
        <v>0.10565057763904377</v>
      </c>
      <c r="Q958" s="14">
        <f t="shared" si="192"/>
        <v>0.16100236961308417</v>
      </c>
    </row>
    <row r="959" spans="1:17" x14ac:dyDescent="0.25">
      <c r="A959" s="5" t="s">
        <v>1016</v>
      </c>
      <c r="B959" s="6">
        <f t="shared" si="193"/>
        <v>12</v>
      </c>
      <c r="C959" s="70">
        <v>16.230667109999999</v>
      </c>
      <c r="D959" s="4">
        <v>5.5</v>
      </c>
      <c r="E959" s="12">
        <f t="shared" si="182"/>
        <v>0</v>
      </c>
      <c r="F959" s="12">
        <f t="shared" si="183"/>
        <v>5.5</v>
      </c>
      <c r="G959" s="16">
        <f t="shared" si="185"/>
        <v>28.984316054587865</v>
      </c>
      <c r="H959" s="14">
        <f t="shared" si="186"/>
        <v>1.2816136698108509</v>
      </c>
      <c r="I959" s="14">
        <f t="shared" si="187"/>
        <v>5.8191611202868812</v>
      </c>
      <c r="J959" s="14">
        <f t="shared" si="188"/>
        <v>2.1967822609243375</v>
      </c>
      <c r="K959" s="14">
        <f t="shared" si="189"/>
        <v>5.8840130195493074</v>
      </c>
      <c r="L959" s="14">
        <f t="shared" si="190"/>
        <v>667.5791473492302</v>
      </c>
      <c r="M959" s="14">
        <f t="shared" si="184"/>
        <v>0.29428120494534682</v>
      </c>
      <c r="N959" s="14">
        <f t="shared" si="191"/>
        <v>7.5307377793305772</v>
      </c>
      <c r="O959" s="4">
        <v>4.8657000000000004</v>
      </c>
      <c r="P959" s="14">
        <f t="shared" si="194"/>
        <v>7.1024263652592525</v>
      </c>
      <c r="Q959" s="14">
        <f t="shared" si="192"/>
        <v>2.7820538474291556</v>
      </c>
    </row>
    <row r="960" spans="1:17" x14ac:dyDescent="0.25">
      <c r="A960" s="5" t="s">
        <v>1017</v>
      </c>
      <c r="B960" s="6">
        <f t="shared" si="193"/>
        <v>12</v>
      </c>
      <c r="C960" s="70">
        <v>14.84874344</v>
      </c>
      <c r="D960" s="4">
        <v>0</v>
      </c>
      <c r="E960" s="12">
        <f t="shared" si="182"/>
        <v>0</v>
      </c>
      <c r="F960" s="12">
        <f t="shared" si="183"/>
        <v>0</v>
      </c>
      <c r="G960" s="16">
        <f t="shared" si="185"/>
        <v>27.397233589113405</v>
      </c>
      <c r="H960" s="14">
        <f t="shared" si="186"/>
        <v>0</v>
      </c>
      <c r="I960" s="14">
        <f t="shared" si="187"/>
        <v>3.9108699863669938</v>
      </c>
      <c r="J960" s="14">
        <f t="shared" si="188"/>
        <v>1.5870824654744577</v>
      </c>
      <c r="K960" s="14">
        <f t="shared" si="189"/>
        <v>5.4422117258107257</v>
      </c>
      <c r="L960" s="14">
        <f t="shared" si="190"/>
        <v>667.72666743802347</v>
      </c>
      <c r="M960" s="14">
        <f t="shared" si="184"/>
        <v>0.27706345083582562</v>
      </c>
      <c r="N960" s="14">
        <f t="shared" si="191"/>
        <v>7.0901306689584551</v>
      </c>
      <c r="O960" s="4">
        <v>4.9596</v>
      </c>
      <c r="P960" s="14">
        <f t="shared" si="194"/>
        <v>4.539160931372562</v>
      </c>
      <c r="Q960" s="14">
        <f t="shared" si="192"/>
        <v>2.4776302363084679</v>
      </c>
    </row>
    <row r="961" spans="1:17" x14ac:dyDescent="0.25">
      <c r="A961" s="5" t="s">
        <v>1018</v>
      </c>
      <c r="B961" s="6">
        <f t="shared" si="193"/>
        <v>12</v>
      </c>
      <c r="C961" s="70">
        <v>12.85677052</v>
      </c>
      <c r="D961" s="4">
        <v>8.1999999999999993</v>
      </c>
      <c r="E961" s="12">
        <f t="shared" si="182"/>
        <v>0</v>
      </c>
      <c r="F961" s="12">
        <f t="shared" si="183"/>
        <v>8.1999999999999993</v>
      </c>
      <c r="G961" s="16">
        <f t="shared" si="185"/>
        <v>33.225080657076056</v>
      </c>
      <c r="H961" s="14">
        <f t="shared" si="186"/>
        <v>1.9271226652506026</v>
      </c>
      <c r="I961" s="14">
        <f t="shared" si="187"/>
        <v>1.1601650489195345</v>
      </c>
      <c r="J961" s="14">
        <f t="shared" si="188"/>
        <v>0.4450302667867419</v>
      </c>
      <c r="K961" s="14">
        <f t="shared" si="189"/>
        <v>6.9665368369569816</v>
      </c>
      <c r="L961" s="14">
        <f t="shared" si="190"/>
        <v>667.85240154129201</v>
      </c>
      <c r="M961" s="14">
        <f t="shared" si="184"/>
        <v>0.3366042260083022</v>
      </c>
      <c r="N961" s="14">
        <f t="shared" si="191"/>
        <v>8.6137956447263431</v>
      </c>
      <c r="O961" s="4">
        <v>5.2586000000000004</v>
      </c>
      <c r="P961" s="14">
        <f t="shared" si="194"/>
        <v>11.257337814390619</v>
      </c>
      <c r="Q961" s="14">
        <f t="shared" si="192"/>
        <v>1.6257499377452513</v>
      </c>
    </row>
    <row r="962" spans="1:17" x14ac:dyDescent="0.25">
      <c r="A962" s="5" t="s">
        <v>1019</v>
      </c>
      <c r="B962" s="6">
        <f t="shared" si="193"/>
        <v>12</v>
      </c>
      <c r="C962" s="70">
        <v>15.87421894</v>
      </c>
      <c r="D962" s="4">
        <v>1.3</v>
      </c>
      <c r="E962" s="12">
        <f t="shared" si="182"/>
        <v>0</v>
      </c>
      <c r="F962" s="12">
        <f t="shared" si="183"/>
        <v>1.3</v>
      </c>
      <c r="G962" s="16">
        <f t="shared" si="185"/>
        <v>31.708446856684297</v>
      </c>
      <c r="H962" s="14">
        <f t="shared" si="186"/>
        <v>0.33860008907676531</v>
      </c>
      <c r="I962" s="14">
        <f t="shared" si="187"/>
        <v>5.3269437154623684</v>
      </c>
      <c r="J962" s="14">
        <f t="shared" si="188"/>
        <v>2.4780337113149917</v>
      </c>
      <c r="K962" s="14">
        <f t="shared" si="189"/>
        <v>6.7677667018270471</v>
      </c>
      <c r="L962" s="14">
        <f t="shared" si="190"/>
        <v>668.05316753949046</v>
      </c>
      <c r="M962" s="14">
        <f t="shared" si="184"/>
        <v>0.32888644278157642</v>
      </c>
      <c r="N962" s="14">
        <f t="shared" si="191"/>
        <v>8.4162954281257569</v>
      </c>
      <c r="O962" s="4">
        <v>5.2586000000000004</v>
      </c>
      <c r="P962" s="14">
        <f t="shared" si="194"/>
        <v>9.9710404168063054</v>
      </c>
      <c r="Q962" s="14">
        <f t="shared" si="192"/>
        <v>1.6257499377452513</v>
      </c>
    </row>
    <row r="963" spans="1:17" x14ac:dyDescent="0.25">
      <c r="A963" s="5" t="s">
        <v>1020</v>
      </c>
      <c r="B963" s="6">
        <f t="shared" si="193"/>
        <v>12</v>
      </c>
      <c r="C963" s="70">
        <v>15.169313430000001</v>
      </c>
      <c r="D963" s="4">
        <v>1.7</v>
      </c>
      <c r="E963" s="12">
        <f t="shared" si="182"/>
        <v>0</v>
      </c>
      <c r="F963" s="12">
        <f t="shared" si="183"/>
        <v>1.7</v>
      </c>
      <c r="G963" s="16">
        <f t="shared" si="185"/>
        <v>31.043780363688363</v>
      </c>
      <c r="H963" s="14">
        <f t="shared" si="186"/>
        <v>0.43189324157602932</v>
      </c>
      <c r="I963" s="14">
        <f t="shared" si="187"/>
        <v>4.3535434009686762</v>
      </c>
      <c r="J963" s="14">
        <f t="shared" si="188"/>
        <v>1.9327732514199112</v>
      </c>
      <c r="K963" s="14">
        <f t="shared" si="189"/>
        <v>6.6798378312267062</v>
      </c>
      <c r="L963" s="14">
        <f t="shared" si="190"/>
        <v>668.24410320888535</v>
      </c>
      <c r="M963" s="14">
        <f t="shared" si="184"/>
        <v>0.32549412384397969</v>
      </c>
      <c r="N963" s="14">
        <f t="shared" si="191"/>
        <v>8.3294850442018404</v>
      </c>
      <c r="O963" s="4">
        <v>4.3872999999999998</v>
      </c>
      <c r="P963" s="14">
        <f t="shared" si="194"/>
        <v>15.540822922728669</v>
      </c>
      <c r="Q963" s="14">
        <f t="shared" si="192"/>
        <v>4.6068140051303024</v>
      </c>
    </row>
    <row r="964" spans="1:17" x14ac:dyDescent="0.25">
      <c r="A964" s="5" t="s">
        <v>1021</v>
      </c>
      <c r="B964" s="6">
        <f t="shared" si="193"/>
        <v>12</v>
      </c>
      <c r="C964" s="70">
        <v>16.167304990000002</v>
      </c>
      <c r="D964" s="4">
        <v>0.7</v>
      </c>
      <c r="E964" s="12">
        <f t="shared" si="182"/>
        <v>0</v>
      </c>
      <c r="F964" s="12">
        <f t="shared" si="183"/>
        <v>0.7</v>
      </c>
      <c r="G964" s="16">
        <f t="shared" si="185"/>
        <v>29.076682466264135</v>
      </c>
      <c r="H964" s="14">
        <f t="shared" si="186"/>
        <v>0.17584144259356047</v>
      </c>
      <c r="I964" s="14">
        <f t="shared" si="187"/>
        <v>5.731664701745645</v>
      </c>
      <c r="J964" s="14">
        <f t="shared" si="188"/>
        <v>2.4912564548306655</v>
      </c>
      <c r="K964" s="14">
        <f t="shared" si="189"/>
        <v>6.3436198251395295</v>
      </c>
      <c r="L964" s="14">
        <f t="shared" si="190"/>
        <v>668.43066853372216</v>
      </c>
      <c r="M964" s="14">
        <f t="shared" si="184"/>
        <v>0.31240695944621077</v>
      </c>
      <c r="N964" s="14">
        <f t="shared" si="191"/>
        <v>7.9945808719394904</v>
      </c>
      <c r="O964" s="4">
        <v>3.4476</v>
      </c>
      <c r="P964" s="14">
        <f t="shared" si="194"/>
        <v>20.675035049783613</v>
      </c>
      <c r="Q964" s="14">
        <f t="shared" si="192"/>
        <v>9.5236983949291432</v>
      </c>
    </row>
    <row r="965" spans="1:17" x14ac:dyDescent="0.25">
      <c r="A965" s="5" t="s">
        <v>1022</v>
      </c>
      <c r="B965" s="6">
        <f t="shared" si="193"/>
        <v>12</v>
      </c>
      <c r="C965" s="70">
        <v>16.290300370000001</v>
      </c>
      <c r="D965" s="4">
        <v>1.1000000000000001</v>
      </c>
      <c r="E965" s="12">
        <f t="shared" si="182"/>
        <v>0</v>
      </c>
      <c r="F965" s="12">
        <f t="shared" si="183"/>
        <v>1.1000000000000001</v>
      </c>
      <c r="G965" s="16">
        <f t="shared" si="185"/>
        <v>27.507294362023806</v>
      </c>
      <c r="H965" s="14">
        <f t="shared" si="186"/>
        <v>0.26684637342198636</v>
      </c>
      <c r="I965" s="14">
        <f t="shared" si="187"/>
        <v>5.9015083756492155</v>
      </c>
      <c r="J965" s="14">
        <f t="shared" si="188"/>
        <v>2.4025417308183421</v>
      </c>
      <c r="K965" s="14">
        <f t="shared" si="189"/>
        <v>6.1280892332859231</v>
      </c>
      <c r="L965" s="14">
        <f t="shared" si="190"/>
        <v>668.60063853955148</v>
      </c>
      <c r="M965" s="14">
        <f t="shared" si="184"/>
        <v>0.30402823991933059</v>
      </c>
      <c r="N965" s="14">
        <f t="shared" si="191"/>
        <v>7.7801671118245359</v>
      </c>
      <c r="O965" s="4">
        <v>2.9094000000000002</v>
      </c>
      <c r="P965" s="14">
        <f t="shared" si="194"/>
        <v>23.724372257631533</v>
      </c>
      <c r="Q965" s="14">
        <f t="shared" si="192"/>
        <v>13.135180772342929</v>
      </c>
    </row>
    <row r="966" spans="1:17" x14ac:dyDescent="0.25">
      <c r="A966" s="5" t="s">
        <v>1023</v>
      </c>
      <c r="B966" s="6">
        <f t="shared" si="193"/>
        <v>12</v>
      </c>
      <c r="C966" s="70">
        <v>16.134115220000002</v>
      </c>
      <c r="D966" s="4">
        <v>0.4</v>
      </c>
      <c r="E966" s="12">
        <f t="shared" si="182"/>
        <v>0</v>
      </c>
      <c r="F966" s="12">
        <f t="shared" si="183"/>
        <v>0.4</v>
      </c>
      <c r="G966" s="16">
        <f t="shared" si="185"/>
        <v>25.623284283109072</v>
      </c>
      <c r="H966" s="14">
        <f t="shared" si="186"/>
        <v>9.4207099132382607E-2</v>
      </c>
      <c r="I966" s="14">
        <f t="shared" si="187"/>
        <v>5.6858331227642669</v>
      </c>
      <c r="J966" s="14">
        <f t="shared" si="188"/>
        <v>2.1898029797823511</v>
      </c>
      <c r="K966" s="14">
        <f t="shared" si="189"/>
        <v>5.7589471500102842</v>
      </c>
      <c r="L966" s="14">
        <f t="shared" si="190"/>
        <v>668.75995948204024</v>
      </c>
      <c r="M966" s="14">
        <f t="shared" si="184"/>
        <v>0.28964982206614392</v>
      </c>
      <c r="N966" s="14">
        <f t="shared" si="191"/>
        <v>7.4122194049565309</v>
      </c>
      <c r="O966" s="4">
        <v>2.7936999999999999</v>
      </c>
      <c r="P966" s="14">
        <f t="shared" si="194"/>
        <v>21.330721493960034</v>
      </c>
      <c r="Q966" s="14">
        <f t="shared" si="192"/>
        <v>13.987218479613047</v>
      </c>
    </row>
    <row r="967" spans="1:17" x14ac:dyDescent="0.25">
      <c r="A967" s="5" t="s">
        <v>1024</v>
      </c>
      <c r="B967" s="6">
        <f t="shared" si="193"/>
        <v>12</v>
      </c>
      <c r="C967" s="70">
        <v>16.16523552</v>
      </c>
      <c r="D967" s="4">
        <v>0.8</v>
      </c>
      <c r="E967" s="12">
        <f t="shared" si="182"/>
        <v>0</v>
      </c>
      <c r="F967" s="12">
        <f t="shared" si="183"/>
        <v>0.8</v>
      </c>
      <c r="G967" s="16">
        <f t="shared" si="185"/>
        <v>24.186625213709931</v>
      </c>
      <c r="H967" s="14">
        <f t="shared" si="186"/>
        <v>0.18142143802887889</v>
      </c>
      <c r="I967" s="14">
        <f t="shared" si="187"/>
        <v>5.7288069814976685</v>
      </c>
      <c r="J967" s="14">
        <f t="shared" si="188"/>
        <v>2.0552376313702641</v>
      </c>
      <c r="K967" s="14">
        <f t="shared" si="189"/>
        <v>5.5096085399505217</v>
      </c>
      <c r="L967" s="14">
        <f t="shared" si="190"/>
        <v>668.90106970806266</v>
      </c>
      <c r="M967" s="14">
        <f t="shared" si="184"/>
        <v>0.27994499338798884</v>
      </c>
      <c r="N967" s="14">
        <f t="shared" si="191"/>
        <v>7.1638701432967977</v>
      </c>
      <c r="O967" s="4">
        <v>3.3451</v>
      </c>
      <c r="P967" s="14">
        <f t="shared" si="194"/>
        <v>14.583005407335046</v>
      </c>
      <c r="Q967" s="14">
        <f t="shared" si="192"/>
        <v>10.166844688750981</v>
      </c>
    </row>
    <row r="968" spans="1:17" x14ac:dyDescent="0.25">
      <c r="A968" s="5" t="s">
        <v>1025</v>
      </c>
      <c r="B968" s="6">
        <f t="shared" si="193"/>
        <v>1</v>
      </c>
      <c r="C968" s="70">
        <v>14.96869373</v>
      </c>
      <c r="D968" s="4">
        <v>10</v>
      </c>
      <c r="E968" s="12">
        <f t="shared" si="182"/>
        <v>0</v>
      </c>
      <c r="F968" s="12">
        <f t="shared" si="183"/>
        <v>10</v>
      </c>
      <c r="G968" s="16">
        <f t="shared" si="185"/>
        <v>29.783625767878821</v>
      </c>
      <c r="H968" s="14">
        <f t="shared" si="186"/>
        <v>2.1990775856940137</v>
      </c>
      <c r="I968" s="14">
        <f t="shared" si="187"/>
        <v>6.5081545746972367</v>
      </c>
      <c r="J968" s="14">
        <f t="shared" si="188"/>
        <v>2.2039218601370969</v>
      </c>
      <c r="K968" s="14">
        <f t="shared" si="189"/>
        <v>7.2999385486947563</v>
      </c>
      <c r="L968" s="14">
        <f t="shared" si="190"/>
        <v>669.02987229162443</v>
      </c>
      <c r="M968" s="14">
        <f t="shared" si="184"/>
        <v>0.34987201045911354</v>
      </c>
      <c r="N968" s="14">
        <f t="shared" si="191"/>
        <v>8.9533219343182875</v>
      </c>
      <c r="O968" s="4">
        <v>3.69</v>
      </c>
      <c r="P968" s="14">
        <f t="shared" si="194"/>
        <v>27.702557784276003</v>
      </c>
      <c r="Q968" s="14">
        <f t="shared" si="192"/>
        <v>8.086339602515352</v>
      </c>
    </row>
    <row r="969" spans="1:17" x14ac:dyDescent="0.25">
      <c r="A969" s="5" t="s">
        <v>1026</v>
      </c>
      <c r="B969" s="6">
        <f t="shared" si="193"/>
        <v>1</v>
      </c>
      <c r="C969" s="70">
        <v>16.558246610000001</v>
      </c>
      <c r="D969" s="4">
        <v>3.8</v>
      </c>
      <c r="E969" s="12">
        <f t="shared" si="182"/>
        <v>0</v>
      </c>
      <c r="F969" s="12">
        <f t="shared" si="183"/>
        <v>3.8</v>
      </c>
      <c r="G969" s="16">
        <f t="shared" si="185"/>
        <v>28.615378167243186</v>
      </c>
      <c r="H969" s="14">
        <f t="shared" si="186"/>
        <v>0.93371301146052177</v>
      </c>
      <c r="I969" s="14">
        <f t="shared" si="187"/>
        <v>9.6750410985579141</v>
      </c>
      <c r="J969" s="14">
        <f t="shared" si="188"/>
        <v>4.0345345891751148</v>
      </c>
      <c r="K969" s="14">
        <f t="shared" si="189"/>
        <v>7.6668474847070209</v>
      </c>
      <c r="L969" s="14">
        <f t="shared" si="190"/>
        <v>669.24680435661355</v>
      </c>
      <c r="M969" s="14">
        <f t="shared" si="184"/>
        <v>0.3642433918507062</v>
      </c>
      <c r="N969" s="14">
        <f t="shared" si="191"/>
        <v>9.3210895761795296</v>
      </c>
      <c r="O969" s="4">
        <v>4.96</v>
      </c>
      <c r="P969" s="14">
        <f t="shared" si="194"/>
        <v>19.019102291461749</v>
      </c>
      <c r="Q969" s="14">
        <f t="shared" si="192"/>
        <v>2.4763711571130655</v>
      </c>
    </row>
    <row r="970" spans="1:17" x14ac:dyDescent="0.25">
      <c r="A970" s="5" t="s">
        <v>1027</v>
      </c>
      <c r="B970" s="6">
        <f t="shared" si="193"/>
        <v>1</v>
      </c>
      <c r="C970" s="70">
        <v>17.03171158</v>
      </c>
      <c r="D970" s="4">
        <v>3.3</v>
      </c>
      <c r="E970" s="12">
        <f t="shared" si="182"/>
        <v>0</v>
      </c>
      <c r="F970" s="12">
        <f t="shared" si="183"/>
        <v>3.3</v>
      </c>
      <c r="G970" s="16">
        <f t="shared" si="185"/>
        <v>26.867425415380534</v>
      </c>
      <c r="H970" s="14">
        <f t="shared" si="186"/>
        <v>0.79374373177135749</v>
      </c>
      <c r="I970" s="14">
        <f t="shared" si="187"/>
        <v>10.618331411122472</v>
      </c>
      <c r="J970" s="14">
        <f t="shared" si="188"/>
        <v>4.2542090200912952</v>
      </c>
      <c r="K970" s="14">
        <f t="shared" si="189"/>
        <v>7.8613951566414029</v>
      </c>
      <c r="L970" s="14">
        <f t="shared" si="190"/>
        <v>669.4817570245998</v>
      </c>
      <c r="M970" s="14">
        <f t="shared" si="184"/>
        <v>0.37188913783762279</v>
      </c>
      <c r="N970" s="14">
        <f t="shared" si="191"/>
        <v>9.5167463398030545</v>
      </c>
      <c r="O970" s="4">
        <v>5.36</v>
      </c>
      <c r="P970" s="14">
        <f t="shared" si="194"/>
        <v>17.278540133466088</v>
      </c>
      <c r="Q970" s="14">
        <f t="shared" si="192"/>
        <v>1.3774519617107697</v>
      </c>
    </row>
    <row r="971" spans="1:17" x14ac:dyDescent="0.25">
      <c r="A971" s="5" t="s">
        <v>1028</v>
      </c>
      <c r="B971" s="6">
        <f t="shared" si="193"/>
        <v>1</v>
      </c>
      <c r="C971" s="70">
        <v>16.45755196</v>
      </c>
      <c r="D971" s="4">
        <v>1.6</v>
      </c>
      <c r="E971" s="12">
        <f t="shared" si="182"/>
        <v>0</v>
      </c>
      <c r="F971" s="12">
        <f t="shared" si="183"/>
        <v>1.6</v>
      </c>
      <c r="G971" s="16">
        <f t="shared" si="185"/>
        <v>24.531259854598066</v>
      </c>
      <c r="H971" s="14">
        <f t="shared" si="186"/>
        <v>0.37213013739795325</v>
      </c>
      <c r="I971" s="14">
        <f t="shared" si="187"/>
        <v>9.4744258600703013</v>
      </c>
      <c r="J971" s="14">
        <f t="shared" si="188"/>
        <v>3.564035423384516</v>
      </c>
      <c r="K971" s="14">
        <f t="shared" si="189"/>
        <v>7.6171538957637708</v>
      </c>
      <c r="L971" s="14">
        <f t="shared" si="190"/>
        <v>669.72623928503776</v>
      </c>
      <c r="M971" s="14">
        <f t="shared" si="184"/>
        <v>0.36240534518878254</v>
      </c>
      <c r="N971" s="14">
        <f t="shared" si="191"/>
        <v>9.2740534515323869</v>
      </c>
      <c r="O971" s="4">
        <v>4.9000000000000004</v>
      </c>
      <c r="P971" s="14">
        <f t="shared" si="194"/>
        <v>19.132343596862384</v>
      </c>
      <c r="Q971" s="14">
        <f t="shared" si="192"/>
        <v>2.6688090364234087</v>
      </c>
    </row>
    <row r="972" spans="1:17" x14ac:dyDescent="0.25">
      <c r="A972" s="5" t="s">
        <v>1029</v>
      </c>
      <c r="B972" s="6">
        <f t="shared" si="193"/>
        <v>1</v>
      </c>
      <c r="C972" s="70">
        <v>17.376062390000001</v>
      </c>
      <c r="D972" s="4">
        <v>0</v>
      </c>
      <c r="E972" s="12">
        <f t="shared" si="182"/>
        <v>0</v>
      </c>
      <c r="F972" s="12">
        <f t="shared" si="183"/>
        <v>0</v>
      </c>
      <c r="G972" s="16">
        <f t="shared" si="185"/>
        <v>20.648595156098942</v>
      </c>
      <c r="H972" s="14">
        <f t="shared" si="186"/>
        <v>0</v>
      </c>
      <c r="I972" s="14">
        <f t="shared" si="187"/>
        <v>11.304385932107968</v>
      </c>
      <c r="J972" s="14">
        <f t="shared" si="188"/>
        <v>3.882664698499124</v>
      </c>
      <c r="K972" s="14">
        <f t="shared" si="189"/>
        <v>7.0223449570876024</v>
      </c>
      <c r="L972" s="14">
        <f t="shared" si="190"/>
        <v>669.9586428785251</v>
      </c>
      <c r="M972" s="14">
        <f t="shared" si="184"/>
        <v>0.33923181963261212</v>
      </c>
      <c r="N972" s="14">
        <f t="shared" si="191"/>
        <v>8.6810364954595531</v>
      </c>
      <c r="O972" s="4">
        <v>4.43</v>
      </c>
      <c r="P972" s="14">
        <f t="shared" si="194"/>
        <v>18.071311285729042</v>
      </c>
      <c r="Q972" s="14">
        <f t="shared" si="192"/>
        <v>4.4253390910211081</v>
      </c>
    </row>
    <row r="973" spans="1:17" x14ac:dyDescent="0.25">
      <c r="A973" s="5" t="s">
        <v>1030</v>
      </c>
      <c r="B973" s="6">
        <f t="shared" si="193"/>
        <v>1</v>
      </c>
      <c r="C973" s="70">
        <v>16.647924419999999</v>
      </c>
      <c r="D973" s="4">
        <v>5.4</v>
      </c>
      <c r="E973" s="12">
        <f t="shared" si="182"/>
        <v>0</v>
      </c>
      <c r="F973" s="12">
        <f t="shared" si="183"/>
        <v>5.4</v>
      </c>
      <c r="G973" s="16">
        <f t="shared" si="185"/>
        <v>22.108357686111393</v>
      </c>
      <c r="H973" s="14">
        <f t="shared" si="186"/>
        <v>1.0914947565851998</v>
      </c>
      <c r="I973" s="14">
        <f t="shared" si="187"/>
        <v>9.8537073458729001</v>
      </c>
      <c r="J973" s="14">
        <f t="shared" si="188"/>
        <v>2.8487427134023484</v>
      </c>
      <c r="K973" s="14">
        <f t="shared" si="189"/>
        <v>7.5715425564355741</v>
      </c>
      <c r="L973" s="14">
        <f t="shared" si="190"/>
        <v>670.16170821612968</v>
      </c>
      <c r="M973" s="14">
        <f t="shared" si="184"/>
        <v>0.36071731523517037</v>
      </c>
      <c r="N973" s="14">
        <f t="shared" si="191"/>
        <v>9.2308562961222425</v>
      </c>
      <c r="O973" s="4">
        <v>5.88</v>
      </c>
      <c r="P973" s="14">
        <f t="shared" si="194"/>
        <v>11.228237917262074</v>
      </c>
      <c r="Q973" s="14">
        <f t="shared" si="192"/>
        <v>0.42725700768778707</v>
      </c>
    </row>
    <row r="974" spans="1:17" x14ac:dyDescent="0.25">
      <c r="A974" s="5" t="s">
        <v>1031</v>
      </c>
      <c r="B974" s="6">
        <f t="shared" si="193"/>
        <v>1</v>
      </c>
      <c r="C974" s="70">
        <v>16.231105800000002</v>
      </c>
      <c r="D974" s="4">
        <v>1.3</v>
      </c>
      <c r="E974" s="12">
        <f t="shared" si="182"/>
        <v>0</v>
      </c>
      <c r="F974" s="12">
        <f t="shared" si="183"/>
        <v>1.3</v>
      </c>
      <c r="G974" s="16">
        <f t="shared" si="185"/>
        <v>20.342764122327161</v>
      </c>
      <c r="H974" s="14">
        <f t="shared" si="186"/>
        <v>0.27251147748649562</v>
      </c>
      <c r="I974" s="14">
        <f t="shared" si="187"/>
        <v>9.0232742805871489</v>
      </c>
      <c r="J974" s="14">
        <f t="shared" si="188"/>
        <v>2.7930820862977361</v>
      </c>
      <c r="K974" s="14">
        <f t="shared" si="189"/>
        <v>7.2532718213527252</v>
      </c>
      <c r="L974" s="14">
        <f t="shared" si="190"/>
        <v>670.39177311346384</v>
      </c>
      <c r="M974" s="14">
        <f t="shared" si="184"/>
        <v>0.34834012994729152</v>
      </c>
      <c r="N974" s="14">
        <f t="shared" si="191"/>
        <v>8.9141206864983982</v>
      </c>
      <c r="O974" s="4">
        <v>4.6900000000000004</v>
      </c>
      <c r="P974" s="14">
        <f t="shared" si="194"/>
        <v>17.843195574103696</v>
      </c>
      <c r="Q974" s="14">
        <f t="shared" si="192"/>
        <v>3.3990416140096134</v>
      </c>
    </row>
    <row r="975" spans="1:17" x14ac:dyDescent="0.25">
      <c r="A975" s="5" t="s">
        <v>1032</v>
      </c>
      <c r="B975" s="6">
        <f t="shared" si="193"/>
        <v>1</v>
      </c>
      <c r="C975" s="70">
        <v>16.129089359999998</v>
      </c>
      <c r="D975" s="4">
        <v>0.7</v>
      </c>
      <c r="E975" s="12">
        <f t="shared" si="182"/>
        <v>0</v>
      </c>
      <c r="F975" s="12">
        <f t="shared" si="183"/>
        <v>0.7</v>
      </c>
      <c r="G975" s="16">
        <f t="shared" si="185"/>
        <v>18.390260653591291</v>
      </c>
      <c r="H975" s="14">
        <f t="shared" si="186"/>
        <v>0.14036908077598095</v>
      </c>
      <c r="I975" s="14">
        <f t="shared" si="187"/>
        <v>8.820025622984609</v>
      </c>
      <c r="J975" s="14">
        <f t="shared" si="188"/>
        <v>2.5121343879598883</v>
      </c>
      <c r="K975" s="14">
        <f t="shared" si="189"/>
        <v>6.8309567260755548</v>
      </c>
      <c r="L975" s="14">
        <f t="shared" si="190"/>
        <v>670.60611715956975</v>
      </c>
      <c r="M975" s="14">
        <f t="shared" si="184"/>
        <v>0.33189740777360704</v>
      </c>
      <c r="N975" s="14">
        <f t="shared" si="191"/>
        <v>8.4933468586509857</v>
      </c>
      <c r="O975" s="4">
        <v>4.8099999999999996</v>
      </c>
      <c r="P975" s="14">
        <f t="shared" si="194"/>
        <v>13.567044081134087</v>
      </c>
      <c r="Q975" s="14">
        <f t="shared" si="192"/>
        <v>2.9709658553889278</v>
      </c>
    </row>
    <row r="976" spans="1:17" x14ac:dyDescent="0.25">
      <c r="A976" s="5" t="s">
        <v>1033</v>
      </c>
      <c r="B976" s="6">
        <f t="shared" si="193"/>
        <v>1</v>
      </c>
      <c r="C976" s="70">
        <v>16.54774475</v>
      </c>
      <c r="D976" s="4">
        <v>3.2</v>
      </c>
      <c r="E976" s="12">
        <f t="shared" si="182"/>
        <v>0</v>
      </c>
      <c r="F976" s="12">
        <f t="shared" si="183"/>
        <v>3.2</v>
      </c>
      <c r="G976" s="16">
        <f t="shared" si="185"/>
        <v>18.496391299412256</v>
      </c>
      <c r="H976" s="14">
        <f t="shared" si="186"/>
        <v>0.60808442466464463</v>
      </c>
      <c r="I976" s="14">
        <f t="shared" si="187"/>
        <v>9.6541181086228587</v>
      </c>
      <c r="J976" s="14">
        <f t="shared" si="188"/>
        <v>2.485784929514391</v>
      </c>
      <c r="K976" s="14">
        <f t="shared" si="189"/>
        <v>6.9136404056168468</v>
      </c>
      <c r="L976" s="14">
        <f t="shared" si="190"/>
        <v>670.79962049691949</v>
      </c>
      <c r="M976" s="14">
        <f t="shared" si="184"/>
        <v>0.33516683532478253</v>
      </c>
      <c r="N976" s="14">
        <f t="shared" si="191"/>
        <v>8.577012417859887</v>
      </c>
      <c r="O976" s="4">
        <v>5.07</v>
      </c>
      <c r="P976" s="14">
        <f t="shared" si="194"/>
        <v>12.299136099023448</v>
      </c>
      <c r="Q976" s="14">
        <f t="shared" si="192"/>
        <v>2.1422683783774334</v>
      </c>
    </row>
    <row r="977" spans="1:17" x14ac:dyDescent="0.25">
      <c r="A977" s="5" t="s">
        <v>1034</v>
      </c>
      <c r="B977" s="6">
        <f t="shared" si="193"/>
        <v>1</v>
      </c>
      <c r="C977" s="70">
        <v>16.943796160000002</v>
      </c>
      <c r="D977" s="4">
        <v>3.4</v>
      </c>
      <c r="E977" s="12">
        <f t="shared" si="182"/>
        <v>0</v>
      </c>
      <c r="F977" s="12">
        <f t="shared" si="183"/>
        <v>3.4</v>
      </c>
      <c r="G977" s="16">
        <f t="shared" si="185"/>
        <v>18.543843560241097</v>
      </c>
      <c r="H977" s="14">
        <f t="shared" si="186"/>
        <v>0.64807457397374379</v>
      </c>
      <c r="I977" s="14">
        <f t="shared" si="187"/>
        <v>10.44317639593509</v>
      </c>
      <c r="J977" s="14">
        <f t="shared" si="188"/>
        <v>2.7044731651974137</v>
      </c>
      <c r="K977" s="14">
        <f t="shared" si="189"/>
        <v>7.029014634501066</v>
      </c>
      <c r="L977" s="14">
        <f t="shared" si="190"/>
        <v>670.99715400668424</v>
      </c>
      <c r="M977" s="14">
        <f t="shared" si="184"/>
        <v>0.33971345349152293</v>
      </c>
      <c r="N977" s="14">
        <f t="shared" si="191"/>
        <v>8.6933616396962634</v>
      </c>
      <c r="O977" s="4">
        <v>5.35</v>
      </c>
      <c r="P977" s="14">
        <f t="shared" si="194"/>
        <v>11.178067053792489</v>
      </c>
      <c r="Q977" s="14">
        <f t="shared" si="192"/>
        <v>1.4010249415958287</v>
      </c>
    </row>
    <row r="978" spans="1:17" x14ac:dyDescent="0.25">
      <c r="A978" s="5" t="s">
        <v>1035</v>
      </c>
      <c r="B978" s="6">
        <f t="shared" si="193"/>
        <v>1</v>
      </c>
      <c r="C978" s="70">
        <v>18.000862120000001</v>
      </c>
      <c r="D978" s="4">
        <v>0</v>
      </c>
      <c r="E978" s="12">
        <f t="shared" si="182"/>
        <v>0</v>
      </c>
      <c r="F978" s="12">
        <f t="shared" si="183"/>
        <v>0</v>
      </c>
      <c r="G978" s="16">
        <f t="shared" si="185"/>
        <v>15.28563976207097</v>
      </c>
      <c r="H978" s="14">
        <f t="shared" si="186"/>
        <v>0</v>
      </c>
      <c r="I978" s="14">
        <f t="shared" si="187"/>
        <v>12.54918242170244</v>
      </c>
      <c r="J978" s="14">
        <f t="shared" si="188"/>
        <v>3.2582037981701277</v>
      </c>
      <c r="K978" s="14">
        <f t="shared" si="189"/>
        <v>6.4861286551735313</v>
      </c>
      <c r="L978" s="14">
        <f t="shared" si="190"/>
        <v>671.20032653252031</v>
      </c>
      <c r="M978" s="14">
        <f t="shared" si="184"/>
        <v>0.31856092103685041</v>
      </c>
      <c r="N978" s="14">
        <f t="shared" si="191"/>
        <v>8.1520624584777348</v>
      </c>
      <c r="O978" s="4">
        <v>5.4</v>
      </c>
      <c r="P978" s="14">
        <f t="shared" si="194"/>
        <v>7.5738477753625117</v>
      </c>
      <c r="Q978" s="14">
        <f t="shared" si="192"/>
        <v>1.2851600421705403</v>
      </c>
    </row>
    <row r="979" spans="1:17" x14ac:dyDescent="0.25">
      <c r="A979" s="5" t="s">
        <v>1036</v>
      </c>
      <c r="B979" s="6">
        <f t="shared" si="193"/>
        <v>1</v>
      </c>
      <c r="C979" s="70">
        <v>18.086002350000001</v>
      </c>
      <c r="D979" s="4">
        <v>0</v>
      </c>
      <c r="E979" s="12">
        <f t="shared" si="182"/>
        <v>0</v>
      </c>
      <c r="F979" s="12">
        <f t="shared" si="183"/>
        <v>0</v>
      </c>
      <c r="G979" s="16">
        <f t="shared" si="185"/>
        <v>12.563608533782794</v>
      </c>
      <c r="H979" s="14">
        <f t="shared" si="186"/>
        <v>0</v>
      </c>
      <c r="I979" s="14">
        <f t="shared" si="187"/>
        <v>12.718808390374459</v>
      </c>
      <c r="J979" s="14">
        <f t="shared" si="188"/>
        <v>2.7220312282881753</v>
      </c>
      <c r="K979" s="14">
        <f t="shared" si="189"/>
        <v>5.9911705196274978</v>
      </c>
      <c r="L979" s="14">
        <f t="shared" si="190"/>
        <v>671.37672374702947</v>
      </c>
      <c r="M979" s="14">
        <f t="shared" si="184"/>
        <v>0.299273924144004</v>
      </c>
      <c r="N979" s="14">
        <f t="shared" si="191"/>
        <v>7.6585028504906569</v>
      </c>
      <c r="O979" s="4">
        <v>5.18</v>
      </c>
      <c r="P979" s="14">
        <f t="shared" si="194"/>
        <v>6.142976379890313</v>
      </c>
      <c r="Q979" s="14">
        <f t="shared" si="192"/>
        <v>1.832365599641804</v>
      </c>
    </row>
    <row r="980" spans="1:17" x14ac:dyDescent="0.25">
      <c r="A980" s="5" t="s">
        <v>1037</v>
      </c>
      <c r="B980" s="6">
        <f t="shared" si="193"/>
        <v>1</v>
      </c>
      <c r="C980" s="70">
        <v>17.48657227</v>
      </c>
      <c r="D980" s="4">
        <v>0.6</v>
      </c>
      <c r="E980" s="12">
        <f t="shared" si="182"/>
        <v>0</v>
      </c>
      <c r="F980" s="12">
        <f t="shared" si="183"/>
        <v>0.6</v>
      </c>
      <c r="G980" s="16">
        <f t="shared" si="185"/>
        <v>11.043325771238738</v>
      </c>
      <c r="H980" s="14">
        <f t="shared" si="186"/>
        <v>9.3059115676278628E-2</v>
      </c>
      <c r="I980" s="14">
        <f t="shared" si="187"/>
        <v>11.524556178803662</v>
      </c>
      <c r="J980" s="14">
        <f t="shared" si="188"/>
        <v>2.0272236468677756</v>
      </c>
      <c r="K980" s="14">
        <f t="shared" si="189"/>
        <v>5.632968108441978</v>
      </c>
      <c r="L980" s="14">
        <f t="shared" si="190"/>
        <v>671.52871134974725</v>
      </c>
      <c r="M980" s="14">
        <f t="shared" si="184"/>
        <v>0.28532106002493385</v>
      </c>
      <c r="N980" s="14">
        <f t="shared" si="191"/>
        <v>7.3014451818880639</v>
      </c>
      <c r="O980" s="4">
        <v>4.63</v>
      </c>
      <c r="P980" s="14">
        <f t="shared" si="194"/>
        <v>7.1366193598329515</v>
      </c>
      <c r="Q980" s="14">
        <f t="shared" si="192"/>
        <v>3.6238794933199596</v>
      </c>
    </row>
    <row r="981" spans="1:17" x14ac:dyDescent="0.25">
      <c r="A981" s="5" t="s">
        <v>1038</v>
      </c>
      <c r="B981" s="6">
        <f t="shared" si="193"/>
        <v>1</v>
      </c>
      <c r="C981" s="70">
        <v>17.12880135</v>
      </c>
      <c r="D981" s="4">
        <v>0.6</v>
      </c>
      <c r="E981" s="12">
        <f t="shared" si="182"/>
        <v>0</v>
      </c>
      <c r="F981" s="12">
        <f t="shared" si="183"/>
        <v>0.6</v>
      </c>
      <c r="G981" s="16">
        <f t="shared" si="185"/>
        <v>9.8847451510066406</v>
      </c>
      <c r="H981" s="14">
        <f t="shared" si="186"/>
        <v>8.6876074031855544E-2</v>
      </c>
      <c r="I981" s="14">
        <f t="shared" si="187"/>
        <v>10.81176460110086</v>
      </c>
      <c r="J981" s="14">
        <f t="shared" si="188"/>
        <v>1.6717045462002404</v>
      </c>
      <c r="K981" s="14">
        <f t="shared" si="189"/>
        <v>5.3002059980065512</v>
      </c>
      <c r="L981" s="14">
        <f t="shared" si="190"/>
        <v>671.66302847418956</v>
      </c>
      <c r="M981" s="14">
        <f t="shared" si="184"/>
        <v>0.27235769336322968</v>
      </c>
      <c r="N981" s="14">
        <f t="shared" si="191"/>
        <v>6.9697090280798699</v>
      </c>
      <c r="O981" s="4">
        <v>4.3600000000000003</v>
      </c>
      <c r="P981" s="14">
        <f t="shared" si="194"/>
        <v>6.810581211241578</v>
      </c>
      <c r="Q981" s="14">
        <f t="shared" si="192"/>
        <v>4.7247499502165065</v>
      </c>
    </row>
    <row r="982" spans="1:17" x14ac:dyDescent="0.25">
      <c r="A982" s="5" t="s">
        <v>1039</v>
      </c>
      <c r="B982" s="6">
        <f t="shared" si="193"/>
        <v>1</v>
      </c>
      <c r="C982" s="70">
        <v>16.262317660000001</v>
      </c>
      <c r="D982" s="4">
        <v>3.9</v>
      </c>
      <c r="E982" s="12">
        <f t="shared" si="182"/>
        <v>0</v>
      </c>
      <c r="F982" s="12">
        <f t="shared" si="183"/>
        <v>3.9</v>
      </c>
      <c r="G982" s="16">
        <f t="shared" si="185"/>
        <v>11.995041024884699</v>
      </c>
      <c r="H982" s="14">
        <f t="shared" si="186"/>
        <v>0.53229860363727999</v>
      </c>
      <c r="I982" s="14">
        <f t="shared" si="187"/>
        <v>9.0854580682813495</v>
      </c>
      <c r="J982" s="14">
        <f t="shared" si="188"/>
        <v>1.2574055224846616</v>
      </c>
      <c r="K982" s="14">
        <f t="shared" si="189"/>
        <v>5.4422438022125501</v>
      </c>
      <c r="L982" s="14">
        <f t="shared" si="190"/>
        <v>671.78093158025752</v>
      </c>
      <c r="M982" s="14">
        <f t="shared" si="184"/>
        <v>0.27792836998516557</v>
      </c>
      <c r="N982" s="14">
        <f t="shared" si="191"/>
        <v>7.1122641902453836</v>
      </c>
      <c r="O982" s="4">
        <v>3.55</v>
      </c>
      <c r="P982" s="14">
        <f t="shared" si="194"/>
        <v>12.6897261611046</v>
      </c>
      <c r="Q982" s="14">
        <f t="shared" si="192"/>
        <v>8.9021613209061563</v>
      </c>
    </row>
    <row r="983" spans="1:17" x14ac:dyDescent="0.25">
      <c r="A983" s="5" t="s">
        <v>1040</v>
      </c>
      <c r="B983" s="6">
        <f t="shared" si="193"/>
        <v>1</v>
      </c>
      <c r="C983" s="70">
        <v>16.693429949999999</v>
      </c>
      <c r="D983" s="4">
        <v>0</v>
      </c>
      <c r="E983" s="12">
        <f t="shared" si="182"/>
        <v>0</v>
      </c>
      <c r="F983" s="12">
        <f t="shared" si="183"/>
        <v>0</v>
      </c>
      <c r="G983" s="16">
        <f t="shared" si="185"/>
        <v>10.324942819648177</v>
      </c>
      <c r="H983" s="14">
        <f t="shared" si="186"/>
        <v>0</v>
      </c>
      <c r="I983" s="14">
        <f t="shared" si="187"/>
        <v>9.9443685950401122</v>
      </c>
      <c r="J983" s="14">
        <f t="shared" si="188"/>
        <v>1.6700982052365223</v>
      </c>
      <c r="K983" s="14">
        <f t="shared" si="189"/>
        <v>5.0394434162929898</v>
      </c>
      <c r="L983" s="14">
        <f t="shared" si="190"/>
        <v>671.90580359619196</v>
      </c>
      <c r="M983" s="14">
        <f t="shared" si="184"/>
        <v>0.26222849766445266</v>
      </c>
      <c r="N983" s="14">
        <f t="shared" si="191"/>
        <v>6.7105000964826953</v>
      </c>
      <c r="O983" s="4">
        <v>3.25</v>
      </c>
      <c r="P983" s="14">
        <f t="shared" si="194"/>
        <v>11.975060917756743</v>
      </c>
      <c r="Q983" s="14">
        <f t="shared" si="192"/>
        <v>10.782350717457877</v>
      </c>
    </row>
    <row r="984" spans="1:17" x14ac:dyDescent="0.25">
      <c r="A984" s="5" t="s">
        <v>1041</v>
      </c>
      <c r="B984" s="6">
        <f t="shared" si="193"/>
        <v>1</v>
      </c>
      <c r="C984" s="70">
        <v>15.762046809999999</v>
      </c>
      <c r="D984" s="4">
        <v>0.3</v>
      </c>
      <c r="E984" s="12">
        <f t="shared" si="182"/>
        <v>0</v>
      </c>
      <c r="F984" s="12">
        <f t="shared" si="183"/>
        <v>0.3</v>
      </c>
      <c r="G984" s="16">
        <f t="shared" si="185"/>
        <v>9.4137162945113708</v>
      </c>
      <c r="H984" s="14">
        <f t="shared" si="186"/>
        <v>4.1908151857204333E-2</v>
      </c>
      <c r="I984" s="14">
        <f t="shared" si="187"/>
        <v>8.0887620583031659</v>
      </c>
      <c r="J984" s="14">
        <f t="shared" si="188"/>
        <v>1.1693183732796042</v>
      </c>
      <c r="K984" s="14">
        <f t="shared" si="189"/>
        <v>4.7141117874158951</v>
      </c>
      <c r="L984" s="14">
        <f t="shared" si="190"/>
        <v>672.01081487926183</v>
      </c>
      <c r="M984" s="14">
        <f t="shared" si="184"/>
        <v>0.24954899522059054</v>
      </c>
      <c r="N984" s="14">
        <f t="shared" si="191"/>
        <v>6.38602810686025</v>
      </c>
      <c r="O984" s="4">
        <v>3.07</v>
      </c>
      <c r="P984" s="14">
        <f t="shared" si="194"/>
        <v>10.996042405487175</v>
      </c>
      <c r="Q984" s="14">
        <f t="shared" si="192"/>
        <v>11.996864355388912</v>
      </c>
    </row>
    <row r="985" spans="1:17" x14ac:dyDescent="0.25">
      <c r="A985" s="5" t="s">
        <v>1042</v>
      </c>
      <c r="B985" s="6">
        <f t="shared" si="193"/>
        <v>1</v>
      </c>
      <c r="C985" s="70">
        <v>16.577556609999998</v>
      </c>
      <c r="D985" s="4">
        <v>13.7</v>
      </c>
      <c r="E985" s="12">
        <f t="shared" si="182"/>
        <v>0</v>
      </c>
      <c r="F985" s="12">
        <f t="shared" si="183"/>
        <v>13.7</v>
      </c>
      <c r="G985" s="16">
        <f t="shared" si="185"/>
        <v>20.011617958950815</v>
      </c>
      <c r="H985" s="14">
        <f t="shared" si="186"/>
        <v>1.8218315622993793</v>
      </c>
      <c r="I985" s="14">
        <f t="shared" si="187"/>
        <v>9.7135126584192886</v>
      </c>
      <c r="J985" s="14">
        <f t="shared" si="188"/>
        <v>1.2802667732611759</v>
      </c>
      <c r="K985" s="14">
        <f t="shared" si="189"/>
        <v>6.1974249655167943</v>
      </c>
      <c r="L985" s="14">
        <f t="shared" si="190"/>
        <v>672.09978426823977</v>
      </c>
      <c r="M985" s="14">
        <f t="shared" si="184"/>
        <v>0.30748071594206217</v>
      </c>
      <c r="N985" s="14">
        <f t="shared" si="191"/>
        <v>7.8685169322673536</v>
      </c>
      <c r="O985" s="4">
        <v>3.08</v>
      </c>
      <c r="P985" s="14">
        <f t="shared" si="194"/>
        <v>22.929894410611148</v>
      </c>
      <c r="Q985" s="14">
        <f t="shared" si="192"/>
        <v>11.927691375503851</v>
      </c>
    </row>
    <row r="986" spans="1:17" x14ac:dyDescent="0.25">
      <c r="A986" s="5" t="s">
        <v>1043</v>
      </c>
      <c r="B986" s="6">
        <f t="shared" si="193"/>
        <v>1</v>
      </c>
      <c r="C986" s="70">
        <v>16.85434914</v>
      </c>
      <c r="D986" s="4">
        <v>6.9</v>
      </c>
      <c r="E986" s="12">
        <f t="shared" si="182"/>
        <v>0</v>
      </c>
      <c r="F986" s="12">
        <f t="shared" si="183"/>
        <v>6.9</v>
      </c>
      <c r="G986" s="16">
        <f t="shared" si="185"/>
        <v>22.66393888038408</v>
      </c>
      <c r="H986" s="14">
        <f t="shared" si="186"/>
        <v>1.371585953198609</v>
      </c>
      <c r="I986" s="14">
        <f t="shared" si="187"/>
        <v>10.264969954487542</v>
      </c>
      <c r="J986" s="14">
        <f t="shared" si="188"/>
        <v>2.876093125368127</v>
      </c>
      <c r="K986" s="14">
        <f t="shared" si="189"/>
        <v>7.0995405390958544</v>
      </c>
      <c r="L986" s="14">
        <f t="shared" si="190"/>
        <v>672.26177393191722</v>
      </c>
      <c r="M986" s="14">
        <f t="shared" si="184"/>
        <v>0.34273638341587342</v>
      </c>
      <c r="N986" s="14">
        <f t="shared" si="191"/>
        <v>8.7707192561631508</v>
      </c>
      <c r="O986" s="4">
        <v>4.6900000000000004</v>
      </c>
      <c r="P986" s="14">
        <f t="shared" si="194"/>
        <v>16.652269647620734</v>
      </c>
      <c r="Q986" s="14">
        <f t="shared" si="192"/>
        <v>3.3990416140096134</v>
      </c>
    </row>
    <row r="987" spans="1:17" x14ac:dyDescent="0.25">
      <c r="A987" s="5" t="s">
        <v>1044</v>
      </c>
      <c r="B987" s="6">
        <f t="shared" si="193"/>
        <v>1</v>
      </c>
      <c r="C987" s="70">
        <v>17.100112920000001</v>
      </c>
      <c r="D987" s="4">
        <v>4.0999999999999996</v>
      </c>
      <c r="E987" s="12">
        <f t="shared" ref="E987:E1050" si="195">IF(C987&gt;$C$9,MAX(E986-$C$10*(C987-$C$9),0),E986+D987)</f>
        <v>0</v>
      </c>
      <c r="F987" s="12">
        <f t="shared" ref="F987:F1050" si="196">IF(C987&gt;$C$9,D987+MIN(E986,$C$10*(C987-$C$9)),0)</f>
        <v>4.0999999999999996</v>
      </c>
      <c r="G987" s="16">
        <f t="shared" si="185"/>
        <v>22.480373191589681</v>
      </c>
      <c r="H987" s="14">
        <f t="shared" si="186"/>
        <v>0.87090550942841216</v>
      </c>
      <c r="I987" s="14">
        <f t="shared" si="187"/>
        <v>10.754608275255494</v>
      </c>
      <c r="J987" s="14">
        <f t="shared" si="188"/>
        <v>3.4126601793659885</v>
      </c>
      <c r="K987" s="14">
        <f t="shared" si="189"/>
        <v>7.421333799470343</v>
      </c>
      <c r="L987" s="14">
        <f t="shared" si="190"/>
        <v>672.46814979755527</v>
      </c>
      <c r="M987" s="14">
        <f t="shared" si="184"/>
        <v>0.35534407168202714</v>
      </c>
      <c r="N987" s="14">
        <f t="shared" si="191"/>
        <v>9.0933535010296538</v>
      </c>
      <c r="O987" s="4">
        <v>5.66</v>
      </c>
      <c r="P987" s="14">
        <f t="shared" si="194"/>
        <v>11.78791626303258</v>
      </c>
      <c r="Q987" s="14">
        <f t="shared" si="192"/>
        <v>0.763262565159049</v>
      </c>
    </row>
    <row r="988" spans="1:17" x14ac:dyDescent="0.25">
      <c r="A988" s="5" t="s">
        <v>1045</v>
      </c>
      <c r="B988" s="6">
        <f t="shared" si="193"/>
        <v>1</v>
      </c>
      <c r="C988" s="70">
        <v>17.319320680000001</v>
      </c>
      <c r="D988" s="4">
        <v>2.6</v>
      </c>
      <c r="E988" s="12">
        <f t="shared" si="195"/>
        <v>0</v>
      </c>
      <c r="F988" s="12">
        <f t="shared" si="196"/>
        <v>2.6</v>
      </c>
      <c r="G988" s="16">
        <f t="shared" si="185"/>
        <v>21.007999985412695</v>
      </c>
      <c r="H988" s="14">
        <f t="shared" si="186"/>
        <v>0.54989256964084909</v>
      </c>
      <c r="I988" s="14">
        <f t="shared" si="187"/>
        <v>11.191338697882067</v>
      </c>
      <c r="J988" s="14">
        <f t="shared" si="188"/>
        <v>3.5224806365361374</v>
      </c>
      <c r="K988" s="14">
        <f t="shared" si="189"/>
        <v>7.393705102877874</v>
      </c>
      <c r="L988" s="14">
        <f t="shared" si="190"/>
        <v>672.69032699210652</v>
      </c>
      <c r="M988" s="14">
        <f t="shared" si="184"/>
        <v>0.35431269842821134</v>
      </c>
      <c r="N988" s="14">
        <f t="shared" si="191"/>
        <v>9.0669603729719359</v>
      </c>
      <c r="O988" s="4">
        <v>5.66</v>
      </c>
      <c r="P988" s="14">
        <f t="shared" si="194"/>
        <v>11.607378983001071</v>
      </c>
      <c r="Q988" s="14">
        <f t="shared" si="192"/>
        <v>0.763262565159049</v>
      </c>
    </row>
    <row r="989" spans="1:17" x14ac:dyDescent="0.25">
      <c r="A989" s="5" t="s">
        <v>1046</v>
      </c>
      <c r="B989" s="6">
        <f t="shared" si="193"/>
        <v>1</v>
      </c>
      <c r="C989" s="70">
        <v>16.604694370000001</v>
      </c>
      <c r="D989" s="4">
        <v>9.8000000000000007</v>
      </c>
      <c r="E989" s="12">
        <f t="shared" si="195"/>
        <v>0</v>
      </c>
      <c r="F989" s="12">
        <f t="shared" si="196"/>
        <v>9.8000000000000007</v>
      </c>
      <c r="G989" s="16">
        <f t="shared" si="185"/>
        <v>25.935840309761204</v>
      </c>
      <c r="H989" s="14">
        <f t="shared" si="186"/>
        <v>1.9991656405334102</v>
      </c>
      <c r="I989" s="14">
        <f t="shared" si="187"/>
        <v>9.7675795645997052</v>
      </c>
      <c r="J989" s="14">
        <f t="shared" si="188"/>
        <v>2.872994035118082</v>
      </c>
      <c r="K989" s="14">
        <f t="shared" si="189"/>
        <v>8.8177886336575817</v>
      </c>
      <c r="L989" s="14">
        <f t="shared" si="190"/>
        <v>672.911096403432</v>
      </c>
      <c r="M989" s="14">
        <f t="shared" si="184"/>
        <v>0.40996000208863648</v>
      </c>
      <c r="N989" s="14">
        <f t="shared" si="191"/>
        <v>10.490990331226566</v>
      </c>
      <c r="O989" s="4">
        <v>5.09</v>
      </c>
      <c r="P989" s="14">
        <f t="shared" si="194"/>
        <v>29.170696558002856</v>
      </c>
      <c r="Q989" s="14">
        <f t="shared" si="192"/>
        <v>2.0841224186073202</v>
      </c>
    </row>
    <row r="990" spans="1:17" x14ac:dyDescent="0.25">
      <c r="A990" s="5" t="s">
        <v>1047</v>
      </c>
      <c r="B990" s="6">
        <f t="shared" si="193"/>
        <v>1</v>
      </c>
      <c r="C990" s="70">
        <v>18.48280334</v>
      </c>
      <c r="D990" s="4">
        <v>5.6</v>
      </c>
      <c r="E990" s="12">
        <f t="shared" si="195"/>
        <v>0</v>
      </c>
      <c r="F990" s="12">
        <f t="shared" si="196"/>
        <v>5.6</v>
      </c>
      <c r="G990" s="16">
        <f t="shared" si="185"/>
        <v>25.351988015462545</v>
      </c>
      <c r="H990" s="14">
        <f t="shared" si="186"/>
        <v>1.2781842262169063</v>
      </c>
      <c r="I990" s="14">
        <f t="shared" si="187"/>
        <v>13.509360075503407</v>
      </c>
      <c r="J990" s="14">
        <f t="shared" si="188"/>
        <v>4.905668068081753</v>
      </c>
      <c r="K990" s="14">
        <f t="shared" si="189"/>
        <v>9.395167751933279</v>
      </c>
      <c r="L990" s="14">
        <f t="shared" si="190"/>
        <v>673.20194150928455</v>
      </c>
      <c r="M990" s="14">
        <f t="shared" si="184"/>
        <v>0.43256448383291868</v>
      </c>
      <c r="N990" s="14">
        <f t="shared" si="191"/>
        <v>11.069445298085455</v>
      </c>
      <c r="O990" s="4">
        <v>4.78</v>
      </c>
      <c r="P990" s="14">
        <f t="shared" si="194"/>
        <v>39.557122157609236</v>
      </c>
      <c r="Q990" s="14">
        <f t="shared" si="192"/>
        <v>3.0752847950440976</v>
      </c>
    </row>
    <row r="991" spans="1:17" x14ac:dyDescent="0.25">
      <c r="A991" s="5" t="s">
        <v>1048</v>
      </c>
      <c r="B991" s="6">
        <f t="shared" si="193"/>
        <v>1</v>
      </c>
      <c r="C991" s="70">
        <v>17.50006866</v>
      </c>
      <c r="D991" s="4">
        <v>0.5</v>
      </c>
      <c r="E991" s="12">
        <f t="shared" si="195"/>
        <v>0</v>
      </c>
      <c r="F991" s="12">
        <f t="shared" si="196"/>
        <v>0.5</v>
      </c>
      <c r="G991" s="16">
        <f t="shared" si="185"/>
        <v>21.6389811113728</v>
      </c>
      <c r="H991" s="14">
        <f t="shared" si="186"/>
        <v>0.11274685496861434</v>
      </c>
      <c r="I991" s="14">
        <f t="shared" si="187"/>
        <v>11.55144520914015</v>
      </c>
      <c r="J991" s="14">
        <f t="shared" si="188"/>
        <v>4.1002600491211325</v>
      </c>
      <c r="K991" s="14">
        <f t="shared" si="189"/>
        <v>8.7561364820894525</v>
      </c>
      <c r="L991" s="14">
        <f t="shared" si="190"/>
        <v>673.52115515026401</v>
      </c>
      <c r="M991" s="14">
        <f t="shared" ref="M991:M1054" si="197">MAX(0,K991-$F$9)*$F$8+K991*$F$10+L991*$F$11</f>
        <v>0.40768288547888826</v>
      </c>
      <c r="N991" s="14">
        <f t="shared" si="191"/>
        <v>10.432718284650717</v>
      </c>
      <c r="O991" s="4">
        <v>4.59</v>
      </c>
      <c r="P991" s="14">
        <f t="shared" si="194"/>
        <v>34.137356953791816</v>
      </c>
      <c r="Q991" s="14">
        <f t="shared" si="192"/>
        <v>3.7777714128601891</v>
      </c>
    </row>
    <row r="992" spans="1:17" x14ac:dyDescent="0.25">
      <c r="A992" s="5" t="s">
        <v>1049</v>
      </c>
      <c r="B992" s="6">
        <f t="shared" si="193"/>
        <v>1</v>
      </c>
      <c r="C992" s="70">
        <v>16.94721985</v>
      </c>
      <c r="D992" s="4">
        <v>1.5</v>
      </c>
      <c r="E992" s="12">
        <f t="shared" si="195"/>
        <v>0</v>
      </c>
      <c r="F992" s="12">
        <f t="shared" si="196"/>
        <v>1.5</v>
      </c>
      <c r="G992" s="16">
        <f t="shared" ref="G992:G1055" si="198">G991+F992-H992-J992</f>
        <v>19.66208365460604</v>
      </c>
      <c r="H992" s="14">
        <f t="shared" ref="H992:H1055" si="199">(F992*(G991/$C$11)^$C$12)</f>
        <v>0.31085998345066179</v>
      </c>
      <c r="I992" s="14">
        <f t="shared" ref="I992:I1055" si="200">(1+$C$13*(C992-INDEX($A$16:$A$27,B992)))*INDEX($C$16:$C$27,B992)</f>
        <v>10.449997457290955</v>
      </c>
      <c r="J992" s="14">
        <f t="shared" ref="J992:J1055" si="201">IF(G991&gt;$F$13,I992,I992*(G991/$F$13))</f>
        <v>3.1660374733160976</v>
      </c>
      <c r="K992" s="14">
        <f t="shared" ref="K992:K1055" si="202">K991+H992-MAX(0,K991-$F$9)*$F$8-K991*$F$10-K991*$F$12</f>
        <v>8.3716342218497211</v>
      </c>
      <c r="L992" s="14">
        <f t="shared" ref="L992:L1055" si="203">L991+K991*$F$12-L991*$F$11</f>
        <v>673.80883450847557</v>
      </c>
      <c r="M992" s="14">
        <f t="shared" si="197"/>
        <v>0.39273210638194367</v>
      </c>
      <c r="N992" s="14">
        <f t="shared" ref="N992:N1055" si="204">M992*$C$8*1000/(24*3600)</f>
        <v>10.050123694565711</v>
      </c>
      <c r="O992" s="4">
        <v>4.4400000000000004</v>
      </c>
      <c r="P992" s="14">
        <f t="shared" si="194"/>
        <v>31.473487868327616</v>
      </c>
      <c r="Q992" s="14">
        <f t="shared" ref="Q992:Q1055" si="205">(O992-$F$23)^2</f>
        <v>4.3833661111360476</v>
      </c>
    </row>
    <row r="993" spans="1:17" x14ac:dyDescent="0.25">
      <c r="A993" s="5" t="s">
        <v>1050</v>
      </c>
      <c r="B993" s="6">
        <f t="shared" ref="B993:B1056" si="206">MONTH(A993)</f>
        <v>1</v>
      </c>
      <c r="C993" s="70">
        <v>17.015346529999999</v>
      </c>
      <c r="D993" s="4">
        <v>0.4</v>
      </c>
      <c r="E993" s="12">
        <f t="shared" si="195"/>
        <v>0</v>
      </c>
      <c r="F993" s="12">
        <f t="shared" si="196"/>
        <v>0.4</v>
      </c>
      <c r="G993" s="16">
        <f t="shared" si="198"/>
        <v>17.069155454074156</v>
      </c>
      <c r="H993" s="14">
        <f t="shared" si="199"/>
        <v>7.8768876270351673E-2</v>
      </c>
      <c r="I993" s="14">
        <f t="shared" si="200"/>
        <v>10.585727112794686</v>
      </c>
      <c r="J993" s="14">
        <f t="shared" si="201"/>
        <v>2.9141593242615298</v>
      </c>
      <c r="K993" s="14">
        <f t="shared" si="202"/>
        <v>7.7889860380670104</v>
      </c>
      <c r="L993" s="14">
        <f t="shared" si="203"/>
        <v>674.07751946214671</v>
      </c>
      <c r="M993" s="14">
        <f t="shared" si="197"/>
        <v>0.37004110020629277</v>
      </c>
      <c r="N993" s="14">
        <f t="shared" si="204"/>
        <v>9.4694545434735335</v>
      </c>
      <c r="O993" s="4">
        <v>4.78</v>
      </c>
      <c r="P993" s="14">
        <f t="shared" ref="P993:P1056" si="207">(O993-N993)^2</f>
        <v>21.990983915304565</v>
      </c>
      <c r="Q993" s="14">
        <f t="shared" si="205"/>
        <v>3.0752847950440976</v>
      </c>
    </row>
    <row r="994" spans="1:17" x14ac:dyDescent="0.25">
      <c r="A994" s="5" t="s">
        <v>1051</v>
      </c>
      <c r="B994" s="6">
        <f t="shared" si="206"/>
        <v>1</v>
      </c>
      <c r="C994" s="70">
        <v>18.075237269999999</v>
      </c>
      <c r="D994" s="4">
        <v>0</v>
      </c>
      <c r="E994" s="12">
        <f t="shared" si="195"/>
        <v>0</v>
      </c>
      <c r="F994" s="12">
        <f t="shared" si="196"/>
        <v>0</v>
      </c>
      <c r="G994" s="16">
        <f t="shared" si="198"/>
        <v>14.034645554477629</v>
      </c>
      <c r="H994" s="14">
        <f t="shared" si="199"/>
        <v>0</v>
      </c>
      <c r="I994" s="14">
        <f t="shared" si="200"/>
        <v>12.697360983868368</v>
      </c>
      <c r="J994" s="14">
        <f t="shared" si="201"/>
        <v>3.0345098995965274</v>
      </c>
      <c r="K994" s="14">
        <f t="shared" si="202"/>
        <v>7.1790071661331236</v>
      </c>
      <c r="L994" s="14">
        <f t="shared" si="203"/>
        <v>674.31745723387428</v>
      </c>
      <c r="M994" s="14">
        <f t="shared" si="197"/>
        <v>0.34627690226501917</v>
      </c>
      <c r="N994" s="14">
        <f t="shared" si="204"/>
        <v>8.8613221169902463</v>
      </c>
      <c r="O994" s="4">
        <v>4.8499999999999996</v>
      </c>
      <c r="P994" s="14">
        <f t="shared" si="207"/>
        <v>16.090705126255113</v>
      </c>
      <c r="Q994" s="14">
        <f t="shared" si="205"/>
        <v>2.8346739358486981</v>
      </c>
    </row>
    <row r="995" spans="1:17" x14ac:dyDescent="0.25">
      <c r="A995" s="5" t="s">
        <v>1052</v>
      </c>
      <c r="B995" s="6">
        <f t="shared" si="206"/>
        <v>1</v>
      </c>
      <c r="C995" s="70">
        <v>17.914728159999999</v>
      </c>
      <c r="D995" s="4">
        <v>0</v>
      </c>
      <c r="E995" s="12">
        <f t="shared" si="195"/>
        <v>0</v>
      </c>
      <c r="F995" s="12">
        <f t="shared" si="196"/>
        <v>0</v>
      </c>
      <c r="G995" s="16">
        <f t="shared" si="198"/>
        <v>11.602440811247035</v>
      </c>
      <c r="H995" s="14">
        <f t="shared" si="199"/>
        <v>0</v>
      </c>
      <c r="I995" s="14">
        <f t="shared" si="200"/>
        <v>12.377576632047452</v>
      </c>
      <c r="J995" s="14">
        <f t="shared" si="201"/>
        <v>2.4322047432305935</v>
      </c>
      <c r="K995" s="14">
        <f t="shared" si="202"/>
        <v>6.6228793295865866</v>
      </c>
      <c r="L995" s="14">
        <f t="shared" si="203"/>
        <v>674.52730816815574</v>
      </c>
      <c r="M995" s="14">
        <f t="shared" si="197"/>
        <v>0.32460879269906501</v>
      </c>
      <c r="N995" s="14">
        <f t="shared" si="204"/>
        <v>8.3068291742781568</v>
      </c>
      <c r="O995" s="4">
        <v>4.8600000000000003</v>
      </c>
      <c r="P995" s="14">
        <f t="shared" si="207"/>
        <v>11.880631356655037</v>
      </c>
      <c r="Q995" s="14">
        <f t="shared" si="205"/>
        <v>2.8011009559636384</v>
      </c>
    </row>
    <row r="996" spans="1:17" x14ac:dyDescent="0.25">
      <c r="A996" s="5" t="s">
        <v>1053</v>
      </c>
      <c r="B996" s="6">
        <f t="shared" si="206"/>
        <v>1</v>
      </c>
      <c r="C996" s="70">
        <v>16.697191239999999</v>
      </c>
      <c r="D996" s="4">
        <v>0.6</v>
      </c>
      <c r="E996" s="12">
        <f t="shared" si="195"/>
        <v>0</v>
      </c>
      <c r="F996" s="12">
        <f t="shared" si="196"/>
        <v>0.6</v>
      </c>
      <c r="G996" s="16">
        <f t="shared" si="198"/>
        <v>10.496594301715106</v>
      </c>
      <c r="H996" s="14">
        <f t="shared" si="199"/>
        <v>8.9193643926704022E-2</v>
      </c>
      <c r="I996" s="14">
        <f t="shared" si="200"/>
        <v>9.9518622611918985</v>
      </c>
      <c r="J996" s="14">
        <f t="shared" si="201"/>
        <v>1.6166528656052253</v>
      </c>
      <c r="K996" s="14">
        <f t="shared" si="202"/>
        <v>6.2050420175042884</v>
      </c>
      <c r="L996" s="14">
        <f t="shared" si="203"/>
        <v>674.70973033146572</v>
      </c>
      <c r="M996" s="14">
        <f t="shared" si="197"/>
        <v>0.30833409570912229</v>
      </c>
      <c r="N996" s="14">
        <f t="shared" si="204"/>
        <v>7.8903551575563577</v>
      </c>
      <c r="O996" s="4">
        <v>5.18</v>
      </c>
      <c r="P996" s="14">
        <f t="shared" si="207"/>
        <v>7.3460250800923506</v>
      </c>
      <c r="Q996" s="14">
        <f t="shared" si="205"/>
        <v>1.832365599641804</v>
      </c>
    </row>
    <row r="997" spans="1:17" x14ac:dyDescent="0.25">
      <c r="A997" s="5" t="s">
        <v>1054</v>
      </c>
      <c r="B997" s="6">
        <f t="shared" si="206"/>
        <v>1</v>
      </c>
      <c r="C997" s="70">
        <v>14.561157229999999</v>
      </c>
      <c r="D997" s="4">
        <v>0</v>
      </c>
      <c r="E997" s="12">
        <f t="shared" si="195"/>
        <v>0</v>
      </c>
      <c r="F997" s="12">
        <f t="shared" si="196"/>
        <v>0</v>
      </c>
      <c r="G997" s="16">
        <f t="shared" si="198"/>
        <v>9.6594548734339707</v>
      </c>
      <c r="H997" s="14">
        <f t="shared" si="199"/>
        <v>0</v>
      </c>
      <c r="I997" s="14">
        <f t="shared" si="200"/>
        <v>5.6962143957512241</v>
      </c>
      <c r="J997" s="14">
        <f t="shared" si="201"/>
        <v>0.83713942828113563</v>
      </c>
      <c r="K997" s="14">
        <f t="shared" si="202"/>
        <v>5.7348991783045822</v>
      </c>
      <c r="L997" s="14">
        <f t="shared" si="203"/>
        <v>674.87153907495633</v>
      </c>
      <c r="M997" s="14">
        <f t="shared" si="197"/>
        <v>0.29001285087305939</v>
      </c>
      <c r="N997" s="14">
        <f t="shared" si="204"/>
        <v>7.4215094129668326</v>
      </c>
      <c r="O997" s="4">
        <v>4.9000000000000004</v>
      </c>
      <c r="P997" s="14">
        <f t="shared" si="207"/>
        <v>6.3580097196803393</v>
      </c>
      <c r="Q997" s="14">
        <f t="shared" si="205"/>
        <v>2.6688090364234087</v>
      </c>
    </row>
    <row r="998" spans="1:17" x14ac:dyDescent="0.25">
      <c r="A998" s="5" t="s">
        <v>1055</v>
      </c>
      <c r="B998" s="6">
        <f t="shared" si="206"/>
        <v>1</v>
      </c>
      <c r="C998" s="70">
        <v>14.866680150000001</v>
      </c>
      <c r="D998" s="4">
        <v>2.5</v>
      </c>
      <c r="E998" s="12">
        <f t="shared" si="195"/>
        <v>0</v>
      </c>
      <c r="F998" s="12">
        <f t="shared" si="196"/>
        <v>2.5</v>
      </c>
      <c r="G998" s="16">
        <f t="shared" si="198"/>
        <v>10.96970875394492</v>
      </c>
      <c r="H998" s="14">
        <f t="shared" si="199"/>
        <v>0.33704922943431981</v>
      </c>
      <c r="I998" s="14">
        <f t="shared" si="200"/>
        <v>6.3049116151092681</v>
      </c>
      <c r="J998" s="14">
        <f t="shared" si="201"/>
        <v>0.85269689005473148</v>
      </c>
      <c r="K998" s="14">
        <f t="shared" si="202"/>
        <v>5.6433113974059985</v>
      </c>
      <c r="L998" s="14">
        <f t="shared" si="203"/>
        <v>675.01016323441627</v>
      </c>
      <c r="M998" s="14">
        <f t="shared" si="197"/>
        <v>0.28646653391246246</v>
      </c>
      <c r="N998" s="14">
        <f t="shared" si="204"/>
        <v>7.3307581768571115</v>
      </c>
      <c r="O998" s="4">
        <v>4.45</v>
      </c>
      <c r="P998" s="14">
        <f t="shared" si="207"/>
        <v>8.2987676735291078</v>
      </c>
      <c r="Q998" s="14">
        <f t="shared" si="205"/>
        <v>4.341593131250991</v>
      </c>
    </row>
    <row r="999" spans="1:17" x14ac:dyDescent="0.25">
      <c r="A999" s="5" t="s">
        <v>1056</v>
      </c>
      <c r="B999" s="6">
        <f t="shared" si="206"/>
        <v>2</v>
      </c>
      <c r="C999" s="70">
        <v>16.222784040000001</v>
      </c>
      <c r="D999" s="4">
        <v>7.4</v>
      </c>
      <c r="E999" s="12">
        <f t="shared" si="195"/>
        <v>0</v>
      </c>
      <c r="F999" s="12">
        <f t="shared" si="196"/>
        <v>7.4</v>
      </c>
      <c r="G999" s="16">
        <f t="shared" si="198"/>
        <v>15.587455202812809</v>
      </c>
      <c r="H999" s="14">
        <f t="shared" si="199"/>
        <v>1.067658222953475</v>
      </c>
      <c r="I999" s="14">
        <f t="shared" si="200"/>
        <v>11.163579784494802</v>
      </c>
      <c r="J999" s="14">
        <f t="shared" si="201"/>
        <v>1.7145953281786364</v>
      </c>
      <c r="K999" s="14">
        <f t="shared" si="202"/>
        <v>6.2904182947234535</v>
      </c>
      <c r="L999" s="14">
        <f t="shared" si="203"/>
        <v>675.14424802613985</v>
      </c>
      <c r="M999" s="14">
        <f t="shared" si="197"/>
        <v>0.3117599924466396</v>
      </c>
      <c r="N999" s="14">
        <f t="shared" si="204"/>
        <v>7.978024806707408</v>
      </c>
      <c r="O999" s="4">
        <v>4.4000000000000004</v>
      </c>
      <c r="P999" s="14">
        <f t="shared" si="207"/>
        <v>12.802261517413582</v>
      </c>
      <c r="Q999" s="14">
        <f t="shared" si="205"/>
        <v>4.5524580306762772</v>
      </c>
    </row>
    <row r="1000" spans="1:17" x14ac:dyDescent="0.25">
      <c r="A1000" s="5" t="s">
        <v>1057</v>
      </c>
      <c r="B1000" s="6">
        <f t="shared" si="206"/>
        <v>2</v>
      </c>
      <c r="C1000" s="70">
        <v>16.018716810000001</v>
      </c>
      <c r="D1000" s="4">
        <v>5.8</v>
      </c>
      <c r="E1000" s="12">
        <f t="shared" si="195"/>
        <v>0</v>
      </c>
      <c r="F1000" s="12">
        <f t="shared" si="196"/>
        <v>5.8</v>
      </c>
      <c r="G1000" s="16">
        <f t="shared" si="198"/>
        <v>18.033514693424991</v>
      </c>
      <c r="H1000" s="14">
        <f t="shared" si="199"/>
        <v>1.0091643455533497</v>
      </c>
      <c r="I1000" s="14">
        <f t="shared" si="200"/>
        <v>10.743928609967137</v>
      </c>
      <c r="J1000" s="14">
        <f t="shared" si="201"/>
        <v>2.3447761638344664</v>
      </c>
      <c r="K1000" s="14">
        <f t="shared" si="202"/>
        <v>6.8219024893154723</v>
      </c>
      <c r="L1000" s="14">
        <f t="shared" si="203"/>
        <v>675.31016818465457</v>
      </c>
      <c r="M1000" s="14">
        <f t="shared" si="197"/>
        <v>0.33254599339911184</v>
      </c>
      <c r="N1000" s="14">
        <f t="shared" si="204"/>
        <v>8.5099443449703269</v>
      </c>
      <c r="O1000" s="4">
        <v>4.95</v>
      </c>
      <c r="P1000" s="14">
        <f t="shared" si="207"/>
        <v>12.673203739286208</v>
      </c>
      <c r="Q1000" s="14">
        <f t="shared" si="205"/>
        <v>2.5079441369981224</v>
      </c>
    </row>
    <row r="1001" spans="1:17" x14ac:dyDescent="0.25">
      <c r="A1001" s="5" t="s">
        <v>1058</v>
      </c>
      <c r="B1001" s="6">
        <f t="shared" si="206"/>
        <v>2</v>
      </c>
      <c r="C1001" s="70">
        <v>15.32880402</v>
      </c>
      <c r="D1001" s="4">
        <v>6.2</v>
      </c>
      <c r="E1001" s="12">
        <f t="shared" si="195"/>
        <v>0</v>
      </c>
      <c r="F1001" s="12">
        <f t="shared" si="196"/>
        <v>6.2</v>
      </c>
      <c r="G1001" s="16">
        <f t="shared" si="198"/>
        <v>20.713082221144504</v>
      </c>
      <c r="H1001" s="14">
        <f t="shared" si="199"/>
        <v>1.1659250524690137</v>
      </c>
      <c r="I1001" s="14">
        <f t="shared" si="200"/>
        <v>9.3251671917562877</v>
      </c>
      <c r="J1001" s="14">
        <f t="shared" si="201"/>
        <v>2.3545074198114739</v>
      </c>
      <c r="K1001" s="14">
        <f t="shared" si="202"/>
        <v>7.4632261358622216</v>
      </c>
      <c r="L1001" s="14">
        <f t="shared" si="203"/>
        <v>675.50222359717782</v>
      </c>
      <c r="M1001" s="14">
        <f t="shared" si="197"/>
        <v>0.35762600665865563</v>
      </c>
      <c r="N1001" s="14">
        <f t="shared" si="204"/>
        <v>9.1517488509524014</v>
      </c>
      <c r="O1001" s="4">
        <v>5.76</v>
      </c>
      <c r="P1001" s="14">
        <f t="shared" si="207"/>
        <v>11.503960267936938</v>
      </c>
      <c r="Q1001" s="14">
        <f t="shared" si="205"/>
        <v>0.59853276630847574</v>
      </c>
    </row>
    <row r="1002" spans="1:17" x14ac:dyDescent="0.25">
      <c r="A1002" s="5" t="s">
        <v>1059</v>
      </c>
      <c r="B1002" s="6">
        <f t="shared" si="206"/>
        <v>2</v>
      </c>
      <c r="C1002" s="70">
        <v>14.808494570000001</v>
      </c>
      <c r="D1002" s="4">
        <v>3.4</v>
      </c>
      <c r="E1002" s="12">
        <f t="shared" si="195"/>
        <v>0</v>
      </c>
      <c r="F1002" s="12">
        <f t="shared" si="196"/>
        <v>3.4</v>
      </c>
      <c r="G1002" s="16">
        <f t="shared" si="198"/>
        <v>21.030644152908135</v>
      </c>
      <c r="H1002" s="14">
        <f t="shared" si="199"/>
        <v>0.68838069523414758</v>
      </c>
      <c r="I1002" s="14">
        <f t="shared" si="200"/>
        <v>8.2551841679736651</v>
      </c>
      <c r="J1002" s="14">
        <f t="shared" si="201"/>
        <v>2.3940573730022194</v>
      </c>
      <c r="K1002" s="14">
        <f t="shared" si="202"/>
        <v>7.570387165142507</v>
      </c>
      <c r="L1002" s="14">
        <f t="shared" si="203"/>
        <v>675.72581725647296</v>
      </c>
      <c r="M1002" s="14">
        <f t="shared" si="197"/>
        <v>0.36185750964825303</v>
      </c>
      <c r="N1002" s="14">
        <f t="shared" si="204"/>
        <v>9.260034187873698</v>
      </c>
      <c r="O1002" s="4">
        <v>7.3</v>
      </c>
      <c r="P1002" s="14">
        <f t="shared" si="207"/>
        <v>3.8417340176337076</v>
      </c>
      <c r="Q1002" s="14">
        <f t="shared" si="205"/>
        <v>0.58729386400963923</v>
      </c>
    </row>
    <row r="1003" spans="1:17" x14ac:dyDescent="0.25">
      <c r="A1003" s="5" t="s">
        <v>1060</v>
      </c>
      <c r="B1003" s="6">
        <f t="shared" si="206"/>
        <v>2</v>
      </c>
      <c r="C1003" s="70">
        <v>14.8039608</v>
      </c>
      <c r="D1003" s="4">
        <v>17</v>
      </c>
      <c r="E1003" s="12">
        <f t="shared" si="195"/>
        <v>0</v>
      </c>
      <c r="F1003" s="12">
        <f t="shared" si="196"/>
        <v>17</v>
      </c>
      <c r="G1003" s="16">
        <f t="shared" si="198"/>
        <v>32.132695203809625</v>
      </c>
      <c r="H1003" s="14">
        <f t="shared" si="199"/>
        <v>3.4699324680799144</v>
      </c>
      <c r="I1003" s="14">
        <f t="shared" si="200"/>
        <v>8.2458607606557024</v>
      </c>
      <c r="J1003" s="14">
        <f t="shared" si="201"/>
        <v>2.4280164810185925</v>
      </c>
      <c r="K1003" s="14">
        <f t="shared" si="202"/>
        <v>10.449639422575228</v>
      </c>
      <c r="L1003" s="14">
        <f t="shared" si="203"/>
        <v>675.95463995747195</v>
      </c>
      <c r="M1003" s="14">
        <f t="shared" si="197"/>
        <v>0.47432045725355571</v>
      </c>
      <c r="N1003" s="14">
        <f t="shared" si="204"/>
        <v>12.137992256801061</v>
      </c>
      <c r="O1003" s="4">
        <v>10.95</v>
      </c>
      <c r="P1003" s="14">
        <f t="shared" si="207"/>
        <v>1.4113256022192797</v>
      </c>
      <c r="Q1003" s="14">
        <f t="shared" si="205"/>
        <v>19.504156205963692</v>
      </c>
    </row>
    <row r="1004" spans="1:17" x14ac:dyDescent="0.25">
      <c r="A1004" s="5" t="s">
        <v>1061</v>
      </c>
      <c r="B1004" s="6">
        <f t="shared" si="206"/>
        <v>2</v>
      </c>
      <c r="C1004" s="70">
        <v>17.110500340000002</v>
      </c>
      <c r="D1004" s="4">
        <v>0</v>
      </c>
      <c r="E1004" s="12">
        <f t="shared" si="195"/>
        <v>0</v>
      </c>
      <c r="F1004" s="12">
        <f t="shared" si="196"/>
        <v>0</v>
      </c>
      <c r="G1004" s="16">
        <f t="shared" si="198"/>
        <v>26.288971746504576</v>
      </c>
      <c r="H1004" s="14">
        <f t="shared" si="199"/>
        <v>0</v>
      </c>
      <c r="I1004" s="14">
        <f t="shared" si="200"/>
        <v>12.989111438657771</v>
      </c>
      <c r="J1004" s="14">
        <f t="shared" si="201"/>
        <v>5.8437234573050496</v>
      </c>
      <c r="K1004" s="14">
        <f t="shared" si="202"/>
        <v>9.6047689074138098</v>
      </c>
      <c r="L1004" s="14">
        <f t="shared" si="203"/>
        <v>676.3251900153798</v>
      </c>
      <c r="M1004" s="14">
        <f t="shared" si="197"/>
        <v>0.44141324499191503</v>
      </c>
      <c r="N1004" s="14">
        <f t="shared" si="204"/>
        <v>11.295887554133381</v>
      </c>
      <c r="O1004" s="4">
        <v>12.21</v>
      </c>
      <c r="P1004" s="14">
        <f t="shared" si="207"/>
        <v>0.83560156368825322</v>
      </c>
      <c r="Q1004" s="14">
        <f t="shared" si="205"/>
        <v>32.220960740446479</v>
      </c>
    </row>
    <row r="1005" spans="1:17" x14ac:dyDescent="0.25">
      <c r="A1005" s="5" t="s">
        <v>1062</v>
      </c>
      <c r="B1005" s="6">
        <f t="shared" si="206"/>
        <v>2</v>
      </c>
      <c r="C1005" s="70">
        <v>18.023471829999998</v>
      </c>
      <c r="D1005" s="4">
        <v>0.1</v>
      </c>
      <c r="E1005" s="12">
        <f t="shared" si="195"/>
        <v>0</v>
      </c>
      <c r="F1005" s="12">
        <f t="shared" si="196"/>
        <v>0.1</v>
      </c>
      <c r="G1005" s="16">
        <f t="shared" si="198"/>
        <v>20.893961663312261</v>
      </c>
      <c r="H1005" s="14">
        <f t="shared" si="199"/>
        <v>2.298985316222114E-2</v>
      </c>
      <c r="I1005" s="14">
        <f t="shared" si="200"/>
        <v>14.866578771794856</v>
      </c>
      <c r="J1005" s="14">
        <f t="shared" si="201"/>
        <v>5.4720202300300951</v>
      </c>
      <c r="K1005" s="14">
        <f t="shared" si="202"/>
        <v>8.8574763239581227</v>
      </c>
      <c r="L1005" s="14">
        <f t="shared" si="203"/>
        <v>676.65405920700584</v>
      </c>
      <c r="M1005" s="14">
        <f t="shared" si="197"/>
        <v>0.41230687374248487</v>
      </c>
      <c r="N1005" s="14">
        <f t="shared" si="204"/>
        <v>10.551047428757339</v>
      </c>
      <c r="O1005" s="4">
        <v>9.08</v>
      </c>
      <c r="P1005" s="14">
        <f t="shared" si="207"/>
        <v>2.1639805376535795</v>
      </c>
      <c r="Q1005" s="14">
        <f t="shared" si="205"/>
        <v>6.4839034444694272</v>
      </c>
    </row>
    <row r="1006" spans="1:17" x14ac:dyDescent="0.25">
      <c r="A1006" s="5" t="s">
        <v>1063</v>
      </c>
      <c r="B1006" s="6">
        <f t="shared" si="206"/>
        <v>2</v>
      </c>
      <c r="C1006" s="70">
        <v>18.3041172</v>
      </c>
      <c r="D1006" s="4">
        <v>1.1000000000000001</v>
      </c>
      <c r="E1006" s="12">
        <f t="shared" si="195"/>
        <v>0</v>
      </c>
      <c r="F1006" s="12">
        <f t="shared" si="196"/>
        <v>1.1000000000000001</v>
      </c>
      <c r="G1006" s="16">
        <f t="shared" si="198"/>
        <v>17.252327941165305</v>
      </c>
      <c r="H1006" s="14">
        <f t="shared" si="199"/>
        <v>0.22374600784907403</v>
      </c>
      <c r="I1006" s="14">
        <f t="shared" si="200"/>
        <v>15.443707981351199</v>
      </c>
      <c r="J1006" s="14">
        <f t="shared" si="201"/>
        <v>4.5178877142978831</v>
      </c>
      <c r="K1006" s="14">
        <f t="shared" si="202"/>
        <v>8.3769134578944886</v>
      </c>
      <c r="L1006" s="14">
        <f t="shared" si="203"/>
        <v>676.94606120717606</v>
      </c>
      <c r="M1006" s="14">
        <f t="shared" si="197"/>
        <v>0.39360653605207652</v>
      </c>
      <c r="N1006" s="14">
        <f t="shared" si="204"/>
        <v>10.072500592721541</v>
      </c>
      <c r="O1006" s="4">
        <v>7.04</v>
      </c>
      <c r="P1006" s="14">
        <f t="shared" si="207"/>
        <v>9.1960598448564976</v>
      </c>
      <c r="Q1006" s="14">
        <f t="shared" si="205"/>
        <v>0.25639134102113131</v>
      </c>
    </row>
    <row r="1007" spans="1:17" x14ac:dyDescent="0.25">
      <c r="A1007" s="5" t="s">
        <v>1064</v>
      </c>
      <c r="B1007" s="6">
        <f t="shared" si="206"/>
        <v>2</v>
      </c>
      <c r="C1007" s="70">
        <v>18.161247249999999</v>
      </c>
      <c r="D1007" s="4">
        <v>7.8</v>
      </c>
      <c r="E1007" s="12">
        <f t="shared" si="195"/>
        <v>0</v>
      </c>
      <c r="F1007" s="12">
        <f t="shared" si="196"/>
        <v>7.8</v>
      </c>
      <c r="G1007" s="16">
        <f t="shared" si="198"/>
        <v>19.960248371214682</v>
      </c>
      <c r="H1007" s="14">
        <f t="shared" si="199"/>
        <v>1.4325886388642286</v>
      </c>
      <c r="I1007" s="14">
        <f t="shared" si="200"/>
        <v>15.14990508942088</v>
      </c>
      <c r="J1007" s="14">
        <f t="shared" si="201"/>
        <v>3.6594909310863968</v>
      </c>
      <c r="K1007" s="14">
        <f t="shared" si="202"/>
        <v>9.1476189675676132</v>
      </c>
      <c r="L1007" s="14">
        <f t="shared" si="203"/>
        <v>677.21433780031509</v>
      </c>
      <c r="M1007" s="14">
        <f t="shared" si="197"/>
        <v>0.42375422261009388</v>
      </c>
      <c r="N1007" s="14">
        <f t="shared" si="204"/>
        <v>10.843988266098583</v>
      </c>
      <c r="O1007" s="4">
        <v>6.71</v>
      </c>
      <c r="P1007" s="14">
        <f t="shared" si="207"/>
        <v>17.089858984240767</v>
      </c>
      <c r="Q1007" s="14">
        <f t="shared" si="205"/>
        <v>3.1099677228024682E-2</v>
      </c>
    </row>
    <row r="1008" spans="1:17" x14ac:dyDescent="0.25">
      <c r="A1008" s="5" t="s">
        <v>1065</v>
      </c>
      <c r="B1008" s="6">
        <f t="shared" si="206"/>
        <v>2</v>
      </c>
      <c r="C1008" s="70">
        <v>18.375558850000001</v>
      </c>
      <c r="D1008" s="4">
        <v>0</v>
      </c>
      <c r="E1008" s="12">
        <f t="shared" si="195"/>
        <v>0</v>
      </c>
      <c r="F1008" s="12">
        <f t="shared" si="196"/>
        <v>0</v>
      </c>
      <c r="G1008" s="16">
        <f t="shared" si="198"/>
        <v>15.603199076008529</v>
      </c>
      <c r="H1008" s="14">
        <f t="shared" si="199"/>
        <v>0</v>
      </c>
      <c r="I1008" s="14">
        <f t="shared" si="200"/>
        <v>15.590623154025883</v>
      </c>
      <c r="J1008" s="14">
        <f t="shared" si="201"/>
        <v>4.3570492952061528</v>
      </c>
      <c r="K1008" s="14">
        <f t="shared" si="202"/>
        <v>8.4176953019181706</v>
      </c>
      <c r="L1008" s="14">
        <f t="shared" si="203"/>
        <v>677.52050724335447</v>
      </c>
      <c r="M1008" s="14">
        <f t="shared" si="197"/>
        <v>0.39532114768820226</v>
      </c>
      <c r="N1008" s="14">
        <f t="shared" si="204"/>
        <v>10.116377980771009</v>
      </c>
      <c r="O1008" s="4">
        <v>6.82</v>
      </c>
      <c r="P1008" s="14">
        <f t="shared" si="207"/>
        <v>10.866107792111954</v>
      </c>
      <c r="Q1008" s="14">
        <f t="shared" si="205"/>
        <v>8.1996898492393708E-2</v>
      </c>
    </row>
    <row r="1009" spans="1:17" x14ac:dyDescent="0.25">
      <c r="A1009" s="5" t="s">
        <v>1066</v>
      </c>
      <c r="B1009" s="6">
        <f t="shared" si="206"/>
        <v>2</v>
      </c>
      <c r="C1009" s="70">
        <v>17.549617770000001</v>
      </c>
      <c r="D1009" s="4">
        <v>0</v>
      </c>
      <c r="E1009" s="12">
        <f t="shared" si="195"/>
        <v>0</v>
      </c>
      <c r="F1009" s="12">
        <f t="shared" si="196"/>
        <v>0</v>
      </c>
      <c r="G1009" s="16">
        <f t="shared" si="198"/>
        <v>12.568291339415858</v>
      </c>
      <c r="H1009" s="14">
        <f t="shared" si="199"/>
        <v>0</v>
      </c>
      <c r="I1009" s="14">
        <f t="shared" si="200"/>
        <v>13.89212827901509</v>
      </c>
      <c r="J1009" s="14">
        <f t="shared" si="201"/>
        <v>3.0349077365926727</v>
      </c>
      <c r="K1009" s="14">
        <f t="shared" si="202"/>
        <v>7.75221181109697</v>
      </c>
      <c r="L1009" s="14">
        <f t="shared" si="203"/>
        <v>677.79066958648741</v>
      </c>
      <c r="M1009" s="14">
        <f t="shared" si="197"/>
        <v>0.36939633010682904</v>
      </c>
      <c r="N1009" s="14">
        <f t="shared" si="204"/>
        <v>9.4529546975254508</v>
      </c>
      <c r="O1009" s="4">
        <v>6.25</v>
      </c>
      <c r="P1009" s="14">
        <f t="shared" si="207"/>
        <v>10.258918794400351</v>
      </c>
      <c r="Q1009" s="14">
        <f t="shared" si="205"/>
        <v>8.0456751940664012E-2</v>
      </c>
    </row>
    <row r="1010" spans="1:17" x14ac:dyDescent="0.25">
      <c r="A1010" s="5" t="s">
        <v>1067</v>
      </c>
      <c r="B1010" s="6">
        <f t="shared" si="206"/>
        <v>2</v>
      </c>
      <c r="C1010" s="70">
        <v>17.461839680000001</v>
      </c>
      <c r="D1010" s="4">
        <v>4.4000000000000004</v>
      </c>
      <c r="E1010" s="12">
        <f t="shared" si="195"/>
        <v>0</v>
      </c>
      <c r="F1010" s="12">
        <f t="shared" si="196"/>
        <v>4.4000000000000004</v>
      </c>
      <c r="G1010" s="16">
        <f t="shared" si="198"/>
        <v>13.872885095014466</v>
      </c>
      <c r="H1010" s="14">
        <f t="shared" si="199"/>
        <v>0.68256909168310487</v>
      </c>
      <c r="I1010" s="14">
        <f t="shared" si="200"/>
        <v>13.711618264907013</v>
      </c>
      <c r="J1010" s="14">
        <f t="shared" si="201"/>
        <v>2.4128371527182835</v>
      </c>
      <c r="K1010" s="14">
        <f t="shared" si="202"/>
        <v>7.8280485862418328</v>
      </c>
      <c r="L1010" s="14">
        <f t="shared" si="203"/>
        <v>678.0280055729188</v>
      </c>
      <c r="M1010" s="14">
        <f t="shared" si="197"/>
        <v>0.37240777255230184</v>
      </c>
      <c r="N1010" s="14">
        <f t="shared" si="204"/>
        <v>9.5300183462168899</v>
      </c>
      <c r="O1010" s="4">
        <v>6.25</v>
      </c>
      <c r="P1010" s="14">
        <f t="shared" si="207"/>
        <v>10.758520351519381</v>
      </c>
      <c r="Q1010" s="14">
        <f t="shared" si="205"/>
        <v>8.0456751940664012E-2</v>
      </c>
    </row>
    <row r="1011" spans="1:17" x14ac:dyDescent="0.25">
      <c r="A1011" s="5" t="s">
        <v>1068</v>
      </c>
      <c r="B1011" s="6">
        <f t="shared" si="206"/>
        <v>2</v>
      </c>
      <c r="C1011" s="70">
        <v>19.08376694</v>
      </c>
      <c r="D1011" s="4">
        <v>6.3</v>
      </c>
      <c r="E1011" s="12">
        <f t="shared" si="195"/>
        <v>0</v>
      </c>
      <c r="F1011" s="12">
        <f t="shared" si="196"/>
        <v>6.3</v>
      </c>
      <c r="G1011" s="16">
        <f t="shared" si="198"/>
        <v>15.831598736336826</v>
      </c>
      <c r="H1011" s="14">
        <f t="shared" si="199"/>
        <v>1.0301428470735408</v>
      </c>
      <c r="I1011" s="14">
        <f t="shared" si="200"/>
        <v>17.047007683665917</v>
      </c>
      <c r="J1011" s="14">
        <f t="shared" si="201"/>
        <v>3.3111435116040964</v>
      </c>
      <c r="K1011" s="14">
        <f t="shared" si="202"/>
        <v>8.2447639851096337</v>
      </c>
      <c r="L1011" s="14">
        <f t="shared" si="203"/>
        <v>678.26902524857223</v>
      </c>
      <c r="M1011" s="14">
        <f t="shared" si="197"/>
        <v>0.38872887130475509</v>
      </c>
      <c r="N1011" s="14">
        <f t="shared" si="204"/>
        <v>9.9476797969307107</v>
      </c>
      <c r="O1011" s="4">
        <v>6.72</v>
      </c>
      <c r="P1011" s="14">
        <f t="shared" si="207"/>
        <v>10.417916871514675</v>
      </c>
      <c r="Q1011" s="14">
        <f t="shared" si="205"/>
        <v>3.4726697342967225E-2</v>
      </c>
    </row>
    <row r="1012" spans="1:17" x14ac:dyDescent="0.25">
      <c r="A1012" s="5" t="s">
        <v>1069</v>
      </c>
      <c r="B1012" s="6">
        <f t="shared" si="206"/>
        <v>2</v>
      </c>
      <c r="C1012" s="70">
        <v>19.157417299999999</v>
      </c>
      <c r="D1012" s="4">
        <v>1.4</v>
      </c>
      <c r="E1012" s="12">
        <f t="shared" si="195"/>
        <v>0</v>
      </c>
      <c r="F1012" s="12">
        <f t="shared" si="196"/>
        <v>1.4</v>
      </c>
      <c r="G1012" s="16">
        <f t="shared" si="198"/>
        <v>13.173764796068411</v>
      </c>
      <c r="H1012" s="14">
        <f t="shared" si="199"/>
        <v>0.24561778741292817</v>
      </c>
      <c r="I1012" s="14">
        <f t="shared" si="200"/>
        <v>17.198464926842028</v>
      </c>
      <c r="J1012" s="14">
        <f t="shared" si="201"/>
        <v>3.8122161528554837</v>
      </c>
      <c r="K1012" s="14">
        <f t="shared" si="202"/>
        <v>7.8401652538696158</v>
      </c>
      <c r="L1012" s="14">
        <f t="shared" si="203"/>
        <v>678.53051289592042</v>
      </c>
      <c r="M1012" s="14">
        <f t="shared" si="197"/>
        <v>0.37298788925149357</v>
      </c>
      <c r="N1012" s="14">
        <f t="shared" si="204"/>
        <v>9.5448636936927347</v>
      </c>
      <c r="O1012" s="4">
        <v>6.45</v>
      </c>
      <c r="P1012" s="14">
        <f t="shared" si="207"/>
        <v>9.5781812825374359</v>
      </c>
      <c r="Q1012" s="14">
        <f t="shared" si="205"/>
        <v>6.997154239516452E-3</v>
      </c>
    </row>
    <row r="1013" spans="1:17" x14ac:dyDescent="0.25">
      <c r="A1013" s="5" t="s">
        <v>1070</v>
      </c>
      <c r="B1013" s="6">
        <f t="shared" si="206"/>
        <v>2</v>
      </c>
      <c r="C1013" s="70">
        <v>18.100704189999998</v>
      </c>
      <c r="D1013" s="4">
        <v>3.8</v>
      </c>
      <c r="E1013" s="12">
        <f t="shared" si="195"/>
        <v>0</v>
      </c>
      <c r="F1013" s="12">
        <f t="shared" si="196"/>
        <v>3.8</v>
      </c>
      <c r="G1013" s="16">
        <f t="shared" si="198"/>
        <v>13.597902638614242</v>
      </c>
      <c r="H1013" s="14">
        <f t="shared" si="199"/>
        <v>0.60446307594747817</v>
      </c>
      <c r="I1013" s="14">
        <f t="shared" si="200"/>
        <v>15.025402168307583</v>
      </c>
      <c r="J1013" s="14">
        <f t="shared" si="201"/>
        <v>2.7713990815066918</v>
      </c>
      <c r="K1013" s="14">
        <f t="shared" si="202"/>
        <v>7.8301311804672284</v>
      </c>
      <c r="L1013" s="14">
        <f t="shared" si="203"/>
        <v>678.77202215601881</v>
      </c>
      <c r="M1013" s="14">
        <f t="shared" si="197"/>
        <v>0.3726475784073463</v>
      </c>
      <c r="N1013" s="14">
        <f t="shared" si="204"/>
        <v>9.5361550446602159</v>
      </c>
      <c r="O1013" s="4">
        <v>6.97</v>
      </c>
      <c r="P1013" s="14">
        <f t="shared" si="207"/>
        <v>6.5851517132350761</v>
      </c>
      <c r="Q1013" s="14">
        <f t="shared" si="205"/>
        <v>0.19040220021653267</v>
      </c>
    </row>
    <row r="1014" spans="1:17" x14ac:dyDescent="0.25">
      <c r="A1014" s="5" t="s">
        <v>1071</v>
      </c>
      <c r="B1014" s="6">
        <f t="shared" si="206"/>
        <v>2</v>
      </c>
      <c r="C1014" s="70">
        <v>18.128393169999999</v>
      </c>
      <c r="D1014" s="4">
        <v>7.7</v>
      </c>
      <c r="E1014" s="12">
        <f t="shared" si="195"/>
        <v>0</v>
      </c>
      <c r="F1014" s="12">
        <f t="shared" si="196"/>
        <v>7.7</v>
      </c>
      <c r="G1014" s="16">
        <f t="shared" si="198"/>
        <v>17.180737789642805</v>
      </c>
      <c r="H1014" s="14">
        <f t="shared" si="199"/>
        <v>1.2456980942651101</v>
      </c>
      <c r="I1014" s="14">
        <f t="shared" si="200"/>
        <v>15.082342780371917</v>
      </c>
      <c r="J1014" s="14">
        <f t="shared" si="201"/>
        <v>2.8714667547063302</v>
      </c>
      <c r="K1014" s="14">
        <f t="shared" si="202"/>
        <v>8.4622179679365885</v>
      </c>
      <c r="L1014" s="14">
        <f t="shared" si="203"/>
        <v>679.01298588440716</v>
      </c>
      <c r="M1014" s="14">
        <f t="shared" si="197"/>
        <v>0.39737737718172994</v>
      </c>
      <c r="N1014" s="14">
        <f t="shared" si="204"/>
        <v>10.168997464685242</v>
      </c>
      <c r="O1014" s="4">
        <v>9.43</v>
      </c>
      <c r="P1014" s="14">
        <f t="shared" si="207"/>
        <v>0.54611725281121648</v>
      </c>
      <c r="Q1014" s="14">
        <f t="shared" si="205"/>
        <v>8.388849148492417</v>
      </c>
    </row>
    <row r="1015" spans="1:17" x14ac:dyDescent="0.25">
      <c r="A1015" s="5" t="s">
        <v>1072</v>
      </c>
      <c r="B1015" s="6">
        <f t="shared" si="206"/>
        <v>2</v>
      </c>
      <c r="C1015" s="70">
        <v>17.079713819999998</v>
      </c>
      <c r="D1015" s="4">
        <v>19.899999999999999</v>
      </c>
      <c r="E1015" s="12">
        <f t="shared" si="195"/>
        <v>0</v>
      </c>
      <c r="F1015" s="12">
        <f t="shared" si="196"/>
        <v>19.899999999999999</v>
      </c>
      <c r="G1015" s="16">
        <f t="shared" si="198"/>
        <v>30.324594633333803</v>
      </c>
      <c r="H1015" s="14">
        <f t="shared" si="199"/>
        <v>3.6468452727253284</v>
      </c>
      <c r="I1015" s="14">
        <f t="shared" si="200"/>
        <v>12.925800934185196</v>
      </c>
      <c r="J1015" s="14">
        <f t="shared" si="201"/>
        <v>3.10929788358367</v>
      </c>
      <c r="K1015" s="14">
        <f t="shared" si="202"/>
        <v>11.439649135562723</v>
      </c>
      <c r="L1015" s="14">
        <f t="shared" si="203"/>
        <v>679.28502261232461</v>
      </c>
      <c r="M1015" s="14">
        <f t="shared" si="197"/>
        <v>0.51368271459463333</v>
      </c>
      <c r="N1015" s="14">
        <f t="shared" si="204"/>
        <v>13.145283356119609</v>
      </c>
      <c r="O1015" s="4">
        <v>14.16</v>
      </c>
      <c r="P1015" s="14">
        <f t="shared" si="207"/>
        <v>1.0296498673678838</v>
      </c>
      <c r="Q1015" s="14">
        <f t="shared" si="205"/>
        <v>58.161229662860279</v>
      </c>
    </row>
    <row r="1016" spans="1:17" x14ac:dyDescent="0.25">
      <c r="A1016" s="5" t="s">
        <v>1073</v>
      </c>
      <c r="B1016" s="6">
        <f t="shared" si="206"/>
        <v>2</v>
      </c>
      <c r="C1016" s="70">
        <v>18.684829709999999</v>
      </c>
      <c r="D1016" s="4">
        <v>10.199999999999999</v>
      </c>
      <c r="E1016" s="12">
        <f t="shared" si="195"/>
        <v>0</v>
      </c>
      <c r="F1016" s="12">
        <f t="shared" si="196"/>
        <v>10.199999999999999</v>
      </c>
      <c r="G1016" s="16">
        <f t="shared" si="198"/>
        <v>31.104673981026224</v>
      </c>
      <c r="H1016" s="14">
        <f t="shared" si="199"/>
        <v>2.5304461460809113</v>
      </c>
      <c r="I1016" s="14">
        <f t="shared" si="200"/>
        <v>16.226618848416308</v>
      </c>
      <c r="J1016" s="14">
        <f t="shared" si="201"/>
        <v>6.8894745062266702</v>
      </c>
      <c r="K1016" s="14">
        <f t="shared" si="202"/>
        <v>13.037823299741431</v>
      </c>
      <c r="L1016" s="14">
        <f t="shared" si="203"/>
        <v>679.70361187963226</v>
      </c>
      <c r="M1016" s="14">
        <f t="shared" si="197"/>
        <v>0.57616915295550519</v>
      </c>
      <c r="N1016" s="14">
        <f t="shared" si="204"/>
        <v>14.744328671118309</v>
      </c>
      <c r="O1016" s="4">
        <v>22.26</v>
      </c>
      <c r="P1016" s="14">
        <f t="shared" si="207"/>
        <v>56.485315523774311</v>
      </c>
      <c r="Q1016" s="14">
        <f t="shared" si="205"/>
        <v>247.31811595596389</v>
      </c>
    </row>
    <row r="1017" spans="1:17" x14ac:dyDescent="0.25">
      <c r="A1017" s="5" t="s">
        <v>1074</v>
      </c>
      <c r="B1017" s="6">
        <f t="shared" si="206"/>
        <v>2</v>
      </c>
      <c r="C1017" s="70">
        <v>17.736925129999999</v>
      </c>
      <c r="D1017" s="4">
        <v>10</v>
      </c>
      <c r="E1017" s="12">
        <f t="shared" si="195"/>
        <v>0</v>
      </c>
      <c r="F1017" s="12">
        <f t="shared" si="196"/>
        <v>10</v>
      </c>
      <c r="G1017" s="16">
        <f t="shared" si="198"/>
        <v>32.37224989438247</v>
      </c>
      <c r="H1017" s="14">
        <f t="shared" si="199"/>
        <v>2.5146459902252625</v>
      </c>
      <c r="I1017" s="14">
        <f t="shared" si="200"/>
        <v>14.277313855462987</v>
      </c>
      <c r="J1017" s="14">
        <f t="shared" si="201"/>
        <v>6.217778096418491</v>
      </c>
      <c r="K1017" s="14">
        <f t="shared" si="202"/>
        <v>14.479104989247809</v>
      </c>
      <c r="L1017" s="14">
        <f t="shared" si="203"/>
        <v>680.20080702739563</v>
      </c>
      <c r="M1017" s="14">
        <f t="shared" si="197"/>
        <v>0.63254680775896333</v>
      </c>
      <c r="N1017" s="14">
        <f t="shared" si="204"/>
        <v>16.187048517998473</v>
      </c>
      <c r="O1017" s="4">
        <v>23.13</v>
      </c>
      <c r="P1017" s="14">
        <f t="shared" si="207"/>
        <v>48.204575281427182</v>
      </c>
      <c r="Q1017" s="14">
        <f t="shared" si="205"/>
        <v>275.43886670596379</v>
      </c>
    </row>
    <row r="1018" spans="1:17" x14ac:dyDescent="0.25">
      <c r="A1018" s="5" t="s">
        <v>1075</v>
      </c>
      <c r="B1018" s="6">
        <f t="shared" si="206"/>
        <v>2</v>
      </c>
      <c r="C1018" s="70">
        <v>18.064218520000001</v>
      </c>
      <c r="D1018" s="4">
        <v>17.8</v>
      </c>
      <c r="E1018" s="12">
        <f t="shared" si="195"/>
        <v>0</v>
      </c>
      <c r="F1018" s="12">
        <f t="shared" si="196"/>
        <v>17.8</v>
      </c>
      <c r="G1018" s="16">
        <f t="shared" si="198"/>
        <v>38.823626847832777</v>
      </c>
      <c r="H1018" s="14">
        <f t="shared" si="199"/>
        <v>4.5723962424417053</v>
      </c>
      <c r="I1018" s="14">
        <f t="shared" si="200"/>
        <v>14.95037172726652</v>
      </c>
      <c r="J1018" s="14">
        <f t="shared" si="201"/>
        <v>6.7762268041079929</v>
      </c>
      <c r="K1018" s="14">
        <f t="shared" si="202"/>
        <v>17.850895620105746</v>
      </c>
      <c r="L1018" s="14">
        <f t="shared" si="203"/>
        <v>680.76886583122052</v>
      </c>
      <c r="M1018" s="14">
        <f t="shared" si="197"/>
        <v>0.76431212155761696</v>
      </c>
      <c r="N1018" s="14">
        <f t="shared" si="204"/>
        <v>19.558959499582073</v>
      </c>
      <c r="O1018" s="4">
        <v>22.45</v>
      </c>
      <c r="P1018" s="14">
        <f t="shared" si="207"/>
        <v>8.3581151750567315</v>
      </c>
      <c r="Q1018" s="14">
        <f t="shared" si="205"/>
        <v>253.33022933814772</v>
      </c>
    </row>
    <row r="1019" spans="1:17" x14ac:dyDescent="0.25">
      <c r="A1019" s="5" t="s">
        <v>1076</v>
      </c>
      <c r="B1019" s="6">
        <f t="shared" si="206"/>
        <v>2</v>
      </c>
      <c r="C1019" s="70">
        <v>18.92651176</v>
      </c>
      <c r="D1019" s="4">
        <v>3.6</v>
      </c>
      <c r="E1019" s="12">
        <f t="shared" si="195"/>
        <v>0</v>
      </c>
      <c r="F1019" s="12">
        <f t="shared" si="196"/>
        <v>3.6</v>
      </c>
      <c r="G1019" s="16">
        <f t="shared" si="198"/>
        <v>32.314272167591234</v>
      </c>
      <c r="H1019" s="14">
        <f t="shared" si="199"/>
        <v>1.0188181192353094</v>
      </c>
      <c r="I1019" s="14">
        <f t="shared" si="200"/>
        <v>16.723622488563503</v>
      </c>
      <c r="J1019" s="14">
        <f t="shared" si="201"/>
        <v>9.0905365610062301</v>
      </c>
      <c r="K1019" s="14">
        <f t="shared" si="202"/>
        <v>17.371434839491741</v>
      </c>
      <c r="L1019" s="14">
        <f t="shared" si="203"/>
        <v>681.50283260951221</v>
      </c>
      <c r="M1019" s="14">
        <f t="shared" si="197"/>
        <v>0.74574896274878455</v>
      </c>
      <c r="N1019" s="14">
        <f t="shared" si="204"/>
        <v>19.083923109231051</v>
      </c>
      <c r="O1019" s="4">
        <v>23.93</v>
      </c>
      <c r="P1019" s="14">
        <f t="shared" si="207"/>
        <v>23.48446123124484</v>
      </c>
      <c r="Q1019" s="14">
        <f t="shared" si="205"/>
        <v>302.63302831515927</v>
      </c>
    </row>
    <row r="1020" spans="1:17" x14ac:dyDescent="0.25">
      <c r="A1020" s="5" t="s">
        <v>1077</v>
      </c>
      <c r="B1020" s="6">
        <f t="shared" si="206"/>
        <v>2</v>
      </c>
      <c r="C1020" s="70">
        <v>18.9534111</v>
      </c>
      <c r="D1020" s="4">
        <v>2.2000000000000002</v>
      </c>
      <c r="E1020" s="12">
        <f t="shared" si="195"/>
        <v>0</v>
      </c>
      <c r="F1020" s="12">
        <f t="shared" si="196"/>
        <v>2.2000000000000002</v>
      </c>
      <c r="G1020" s="16">
        <f t="shared" si="198"/>
        <v>26.358283182870551</v>
      </c>
      <c r="H1020" s="14">
        <f t="shared" si="199"/>
        <v>0.56458788200300702</v>
      </c>
      <c r="I1020" s="14">
        <f t="shared" si="200"/>
        <v>16.778939256596367</v>
      </c>
      <c r="J1020" s="14">
        <f t="shared" si="201"/>
        <v>7.5914011027176844</v>
      </c>
      <c r="K1020" s="14">
        <f t="shared" si="202"/>
        <v>16.480072270468316</v>
      </c>
      <c r="L1020" s="14">
        <f t="shared" si="203"/>
        <v>682.21303409778977</v>
      </c>
      <c r="M1020" s="14">
        <f t="shared" si="197"/>
        <v>0.71109892323899371</v>
      </c>
      <c r="N1020" s="14">
        <f t="shared" si="204"/>
        <v>18.197218973164524</v>
      </c>
      <c r="O1020" s="4">
        <v>17.23</v>
      </c>
      <c r="P1020" s="14">
        <f t="shared" si="207"/>
        <v>0.93551254204943612</v>
      </c>
      <c r="Q1020" s="14">
        <f t="shared" si="205"/>
        <v>114.4119248381477</v>
      </c>
    </row>
    <row r="1021" spans="1:17" x14ac:dyDescent="0.25">
      <c r="A1021" s="5" t="s">
        <v>1078</v>
      </c>
      <c r="B1021" s="6">
        <f t="shared" si="206"/>
        <v>2</v>
      </c>
      <c r="C1021" s="70">
        <v>19.425039290000001</v>
      </c>
      <c r="D1021" s="4">
        <v>10.9</v>
      </c>
      <c r="E1021" s="12">
        <f t="shared" si="195"/>
        <v>0</v>
      </c>
      <c r="F1021" s="12">
        <f t="shared" si="196"/>
        <v>10.9</v>
      </c>
      <c r="G1021" s="16">
        <f t="shared" si="198"/>
        <v>28.198746230723327</v>
      </c>
      <c r="H1021" s="14">
        <f t="shared" si="199"/>
        <v>2.5094136307759309</v>
      </c>
      <c r="I1021" s="14">
        <f t="shared" si="200"/>
        <v>17.748812390434942</v>
      </c>
      <c r="J1021" s="14">
        <f t="shared" si="201"/>
        <v>6.5501233213712924</v>
      </c>
      <c r="K1021" s="14">
        <f t="shared" si="202"/>
        <v>17.612228007380093</v>
      </c>
      <c r="L1021" s="14">
        <f t="shared" si="203"/>
        <v>682.87919306841491</v>
      </c>
      <c r="M1021" s="14">
        <f t="shared" si="197"/>
        <v>0.75544341492366607</v>
      </c>
      <c r="N1021" s="14">
        <f t="shared" si="204"/>
        <v>19.33200683328965</v>
      </c>
      <c r="O1021" s="4">
        <v>15.2</v>
      </c>
      <c r="P1021" s="14">
        <f t="shared" si="207"/>
        <v>17.073480470352372</v>
      </c>
      <c r="Q1021" s="14">
        <f t="shared" si="205"/>
        <v>75.10563975481432</v>
      </c>
    </row>
    <row r="1022" spans="1:17" x14ac:dyDescent="0.25">
      <c r="A1022" s="5" t="s">
        <v>1079</v>
      </c>
      <c r="B1022" s="6">
        <f t="shared" si="206"/>
        <v>2</v>
      </c>
      <c r="C1022" s="70">
        <v>18.14401054</v>
      </c>
      <c r="D1022" s="4">
        <v>10.4</v>
      </c>
      <c r="E1022" s="12">
        <f t="shared" si="195"/>
        <v>0</v>
      </c>
      <c r="F1022" s="12">
        <f t="shared" si="196"/>
        <v>10.4</v>
      </c>
      <c r="G1022" s="16">
        <f t="shared" si="198"/>
        <v>30.149327406585527</v>
      </c>
      <c r="H1022" s="14">
        <f t="shared" si="199"/>
        <v>2.4820145435919767</v>
      </c>
      <c r="I1022" s="14">
        <f t="shared" si="200"/>
        <v>15.114458900454173</v>
      </c>
      <c r="J1022" s="14">
        <f t="shared" si="201"/>
        <v>5.9674042805458214</v>
      </c>
      <c r="K1022" s="14">
        <f t="shared" si="202"/>
        <v>18.617034049869449</v>
      </c>
      <c r="L1022" s="14">
        <f t="shared" si="203"/>
        <v>683.60095815459385</v>
      </c>
      <c r="M1022" s="14">
        <f t="shared" si="197"/>
        <v>0.7948276577025648</v>
      </c>
      <c r="N1022" s="14">
        <f t="shared" si="204"/>
        <v>20.339860546069104</v>
      </c>
      <c r="O1022" s="4">
        <v>16.55</v>
      </c>
      <c r="P1022" s="14">
        <f t="shared" si="207"/>
        <v>14.363042958651205</v>
      </c>
      <c r="Q1022" s="14">
        <f t="shared" si="205"/>
        <v>100.3272874703316</v>
      </c>
    </row>
    <row r="1023" spans="1:17" x14ac:dyDescent="0.25">
      <c r="A1023" s="5" t="s">
        <v>1080</v>
      </c>
      <c r="B1023" s="6">
        <f t="shared" si="206"/>
        <v>2</v>
      </c>
      <c r="C1023" s="70">
        <v>18.762640000000001</v>
      </c>
      <c r="D1023" s="4">
        <v>0.2</v>
      </c>
      <c r="E1023" s="12">
        <f t="shared" si="195"/>
        <v>0</v>
      </c>
      <c r="F1023" s="12">
        <f t="shared" si="196"/>
        <v>0.2</v>
      </c>
      <c r="G1023" s="16">
        <f t="shared" si="198"/>
        <v>23.38266356184225</v>
      </c>
      <c r="H1023" s="14">
        <f t="shared" si="199"/>
        <v>4.9463520854587405E-2</v>
      </c>
      <c r="I1023" s="14">
        <f t="shared" si="200"/>
        <v>16.386630720919499</v>
      </c>
      <c r="J1023" s="14">
        <f t="shared" si="201"/>
        <v>6.9172003238886877</v>
      </c>
      <c r="K1023" s="14">
        <f t="shared" si="202"/>
        <v>17.100581331958359</v>
      </c>
      <c r="L1023" s="14">
        <f t="shared" si="203"/>
        <v>684.37204673565702</v>
      </c>
      <c r="M1023" s="14">
        <f t="shared" si="197"/>
        <v>0.73578529040596008</v>
      </c>
      <c r="N1023" s="14">
        <f t="shared" si="204"/>
        <v>18.828949966291411</v>
      </c>
      <c r="O1023" s="4">
        <v>17.27</v>
      </c>
      <c r="P1023" s="14">
        <f t="shared" si="207"/>
        <v>2.430324997399993</v>
      </c>
      <c r="Q1023" s="14">
        <f t="shared" si="205"/>
        <v>115.26923291860744</v>
      </c>
    </row>
    <row r="1024" spans="1:17" x14ac:dyDescent="0.25">
      <c r="A1024" s="5" t="s">
        <v>1081</v>
      </c>
      <c r="B1024" s="6">
        <f t="shared" si="206"/>
        <v>2</v>
      </c>
      <c r="C1024" s="70">
        <v>15.214244839999999</v>
      </c>
      <c r="D1024" s="4">
        <v>3.5</v>
      </c>
      <c r="E1024" s="12">
        <f t="shared" si="195"/>
        <v>0</v>
      </c>
      <c r="F1024" s="12">
        <f t="shared" si="196"/>
        <v>3.5</v>
      </c>
      <c r="G1024" s="16">
        <f t="shared" si="198"/>
        <v>23.150950235826098</v>
      </c>
      <c r="H1024" s="14">
        <f t="shared" si="199"/>
        <v>0.75593191331394838</v>
      </c>
      <c r="I1024" s="14">
        <f t="shared" si="200"/>
        <v>9.0895835831586371</v>
      </c>
      <c r="J1024" s="14">
        <f t="shared" si="201"/>
        <v>2.975781412702204</v>
      </c>
      <c r="K1024" s="14">
        <f t="shared" si="202"/>
        <v>16.424474674624168</v>
      </c>
      <c r="L1024" s="14">
        <f t="shared" si="203"/>
        <v>685.06830001589924</v>
      </c>
      <c r="M1024" s="14">
        <f t="shared" si="197"/>
        <v>0.70953648294736338</v>
      </c>
      <c r="N1024" s="14">
        <f t="shared" si="204"/>
        <v>18.157235692090513</v>
      </c>
      <c r="O1024" s="4">
        <v>14.19</v>
      </c>
      <c r="P1024" s="14">
        <f t="shared" si="207"/>
        <v>15.738959036596896</v>
      </c>
      <c r="Q1024" s="14">
        <f t="shared" si="205"/>
        <v>58.619710723205102</v>
      </c>
    </row>
    <row r="1025" spans="1:17" x14ac:dyDescent="0.25">
      <c r="A1025" s="5" t="s">
        <v>1082</v>
      </c>
      <c r="B1025" s="6">
        <f t="shared" si="206"/>
        <v>2</v>
      </c>
      <c r="C1025" s="70">
        <v>18.122642519999999</v>
      </c>
      <c r="D1025" s="4">
        <v>0</v>
      </c>
      <c r="E1025" s="12">
        <f t="shared" si="195"/>
        <v>0</v>
      </c>
      <c r="F1025" s="12">
        <f t="shared" si="196"/>
        <v>0</v>
      </c>
      <c r="G1025" s="16">
        <f t="shared" si="198"/>
        <v>18.266001289965757</v>
      </c>
      <c r="H1025" s="14">
        <f t="shared" si="199"/>
        <v>0</v>
      </c>
      <c r="I1025" s="14">
        <f t="shared" si="200"/>
        <v>15.070516937355391</v>
      </c>
      <c r="J1025" s="14">
        <f t="shared" si="201"/>
        <v>4.8849489458603408</v>
      </c>
      <c r="K1025" s="14">
        <f t="shared" si="202"/>
        <v>15.052125127981554</v>
      </c>
      <c r="L1025" s="14">
        <f t="shared" si="203"/>
        <v>685.73111307959448</v>
      </c>
      <c r="M1025" s="14">
        <f t="shared" si="197"/>
        <v>0.65609724797906299</v>
      </c>
      <c r="N1025" s="14">
        <f t="shared" si="204"/>
        <v>16.789710825019771</v>
      </c>
      <c r="O1025" s="4">
        <v>12.17</v>
      </c>
      <c r="P1025" s="14">
        <f t="shared" si="207"/>
        <v>21.341728106804855</v>
      </c>
      <c r="Q1025" s="14">
        <f t="shared" si="205"/>
        <v>31.768452659986696</v>
      </c>
    </row>
    <row r="1026" spans="1:17" x14ac:dyDescent="0.25">
      <c r="A1026" s="5" t="s">
        <v>1083</v>
      </c>
      <c r="B1026" s="6">
        <f t="shared" si="206"/>
        <v>2</v>
      </c>
      <c r="C1026" s="70">
        <v>18.7669754</v>
      </c>
      <c r="D1026" s="4">
        <v>0</v>
      </c>
      <c r="E1026" s="12">
        <f t="shared" si="195"/>
        <v>0</v>
      </c>
      <c r="F1026" s="12">
        <f t="shared" si="196"/>
        <v>0</v>
      </c>
      <c r="G1026" s="16">
        <f t="shared" si="198"/>
        <v>14.072928212747602</v>
      </c>
      <c r="H1026" s="14">
        <f t="shared" si="199"/>
        <v>0</v>
      </c>
      <c r="I1026" s="14">
        <f t="shared" si="200"/>
        <v>16.395546193051143</v>
      </c>
      <c r="J1026" s="14">
        <f t="shared" si="201"/>
        <v>4.1930730772181564</v>
      </c>
      <c r="K1026" s="14">
        <f t="shared" si="202"/>
        <v>13.800931325251456</v>
      </c>
      <c r="L1026" s="14">
        <f t="shared" si="203"/>
        <v>686.32620963434556</v>
      </c>
      <c r="M1026" s="14">
        <f t="shared" si="197"/>
        <v>0.60737385262316934</v>
      </c>
      <c r="N1026" s="14">
        <f t="shared" si="204"/>
        <v>15.542865603585966</v>
      </c>
      <c r="O1026" s="4">
        <v>9.26</v>
      </c>
      <c r="P1026" s="14">
        <f t="shared" si="207"/>
        <v>39.47440019272365</v>
      </c>
      <c r="Q1026" s="14">
        <f t="shared" si="205"/>
        <v>7.4329898065383926</v>
      </c>
    </row>
    <row r="1027" spans="1:17" x14ac:dyDescent="0.25">
      <c r="A1027" s="5" t="s">
        <v>1084</v>
      </c>
      <c r="B1027" s="6">
        <f t="shared" si="206"/>
        <v>3</v>
      </c>
      <c r="C1027" s="70">
        <v>19.532512659999998</v>
      </c>
      <c r="D1027" s="4">
        <v>0</v>
      </c>
      <c r="E1027" s="12">
        <f t="shared" si="195"/>
        <v>0</v>
      </c>
      <c r="F1027" s="12">
        <f t="shared" si="196"/>
        <v>0</v>
      </c>
      <c r="G1027" s="16">
        <f t="shared" si="198"/>
        <v>10.39524766787261</v>
      </c>
      <c r="H1027" s="14">
        <f t="shared" si="199"/>
        <v>0</v>
      </c>
      <c r="I1027" s="14">
        <f t="shared" si="200"/>
        <v>18.664934565557179</v>
      </c>
      <c r="J1027" s="14">
        <f t="shared" si="201"/>
        <v>3.6776805448749914</v>
      </c>
      <c r="K1027" s="14">
        <f t="shared" si="202"/>
        <v>12.660197220139466</v>
      </c>
      <c r="L1027" s="14">
        <f t="shared" si="203"/>
        <v>686.85956988683438</v>
      </c>
      <c r="M1027" s="14">
        <f t="shared" si="197"/>
        <v>0.56294996673639797</v>
      </c>
      <c r="N1027" s="14">
        <f t="shared" si="204"/>
        <v>14.406046023775184</v>
      </c>
      <c r="O1027" s="4">
        <v>7.69</v>
      </c>
      <c r="P1027" s="14">
        <f t="shared" si="207"/>
        <v>45.105274193466457</v>
      </c>
      <c r="Q1027" s="14">
        <f t="shared" si="205"/>
        <v>1.3371476484924028</v>
      </c>
    </row>
    <row r="1028" spans="1:17" x14ac:dyDescent="0.25">
      <c r="A1028" s="5" t="s">
        <v>1085</v>
      </c>
      <c r="B1028" s="6">
        <f t="shared" si="206"/>
        <v>3</v>
      </c>
      <c r="C1028" s="70">
        <v>20.120870589999999</v>
      </c>
      <c r="D1028" s="4">
        <v>0.9</v>
      </c>
      <c r="E1028" s="12">
        <f t="shared" si="195"/>
        <v>0</v>
      </c>
      <c r="F1028" s="12">
        <f t="shared" si="196"/>
        <v>0.9</v>
      </c>
      <c r="G1028" s="16">
        <f t="shared" si="198"/>
        <v>8.2783487846743338</v>
      </c>
      <c r="H1028" s="14">
        <f t="shared" si="199"/>
        <v>0.12618007216983357</v>
      </c>
      <c r="I1028" s="14">
        <f t="shared" si="200"/>
        <v>19.861312714758483</v>
      </c>
      <c r="J1028" s="14">
        <f t="shared" si="201"/>
        <v>2.8907188110284423</v>
      </c>
      <c r="K1028" s="14">
        <f t="shared" si="202"/>
        <v>11.746351122321663</v>
      </c>
      <c r="L1028" s="14">
        <f t="shared" si="203"/>
        <v>687.33664609008565</v>
      </c>
      <c r="M1028" s="14">
        <f t="shared" si="197"/>
        <v>0.52737244434971142</v>
      </c>
      <c r="N1028" s="14">
        <f t="shared" si="204"/>
        <v>13.495607343254768</v>
      </c>
      <c r="O1028" s="4">
        <v>7.18</v>
      </c>
      <c r="P1028" s="14">
        <f t="shared" si="207"/>
        <v>39.88689611417356</v>
      </c>
      <c r="Q1028" s="14">
        <f t="shared" si="205"/>
        <v>0.41776962263032763</v>
      </c>
    </row>
    <row r="1029" spans="1:17" x14ac:dyDescent="0.25">
      <c r="A1029" s="5" t="s">
        <v>1086</v>
      </c>
      <c r="B1029" s="6">
        <f t="shared" si="206"/>
        <v>3</v>
      </c>
      <c r="C1029" s="70">
        <v>19.449939730000001</v>
      </c>
      <c r="D1029" s="4">
        <v>0</v>
      </c>
      <c r="E1029" s="12">
        <f t="shared" si="195"/>
        <v>0</v>
      </c>
      <c r="F1029" s="12">
        <f t="shared" si="196"/>
        <v>0</v>
      </c>
      <c r="G1029" s="16">
        <f t="shared" si="198"/>
        <v>6.1344278708187829</v>
      </c>
      <c r="H1029" s="14">
        <f t="shared" si="199"/>
        <v>0</v>
      </c>
      <c r="I1029" s="14">
        <f t="shared" si="200"/>
        <v>18.497029207049433</v>
      </c>
      <c r="J1029" s="14">
        <f t="shared" si="201"/>
        <v>2.1439209138555513</v>
      </c>
      <c r="K1029" s="14">
        <f t="shared" si="202"/>
        <v>10.787002432844389</v>
      </c>
      <c r="L1029" s="14">
        <f t="shared" si="203"/>
        <v>687.76862233521319</v>
      </c>
      <c r="M1029" s="14">
        <f t="shared" si="197"/>
        <v>0.49000876378960956</v>
      </c>
      <c r="N1029" s="14">
        <f t="shared" si="204"/>
        <v>12.539460378921605</v>
      </c>
      <c r="O1029" s="4">
        <v>6.8</v>
      </c>
      <c r="P1029" s="14">
        <f t="shared" si="207"/>
        <v>32.941405441210939</v>
      </c>
      <c r="Q1029" s="14">
        <f t="shared" si="205"/>
        <v>7.0942858262508207E-2</v>
      </c>
    </row>
    <row r="1030" spans="1:17" x14ac:dyDescent="0.25">
      <c r="A1030" s="5" t="s">
        <v>1087</v>
      </c>
      <c r="B1030" s="6">
        <f t="shared" si="206"/>
        <v>3</v>
      </c>
      <c r="C1030" s="70">
        <v>19.49826813</v>
      </c>
      <c r="D1030" s="4">
        <v>0.6</v>
      </c>
      <c r="E1030" s="12">
        <f t="shared" si="195"/>
        <v>0</v>
      </c>
      <c r="F1030" s="12">
        <f t="shared" si="196"/>
        <v>0.6</v>
      </c>
      <c r="G1030" s="16">
        <f t="shared" si="198"/>
        <v>5.07379408568438</v>
      </c>
      <c r="H1030" s="14">
        <f t="shared" si="199"/>
        <v>6.3503527843195517E-2</v>
      </c>
      <c r="I1030" s="14">
        <f t="shared" si="200"/>
        <v>18.595301090196923</v>
      </c>
      <c r="J1030" s="14">
        <f t="shared" si="201"/>
        <v>1.5971302572912065</v>
      </c>
      <c r="K1030" s="14">
        <f t="shared" si="202"/>
        <v>9.9758518772088074</v>
      </c>
      <c r="L1030" s="14">
        <f t="shared" si="203"/>
        <v>688.15326765490238</v>
      </c>
      <c r="M1030" s="14">
        <f t="shared" si="197"/>
        <v>0.45842107738016935</v>
      </c>
      <c r="N1030" s="14">
        <f t="shared" si="204"/>
        <v>11.731122709346694</v>
      </c>
      <c r="O1030" s="4">
        <v>5.88</v>
      </c>
      <c r="P1030" s="14">
        <f t="shared" si="207"/>
        <v>34.235636959832604</v>
      </c>
      <c r="Q1030" s="14">
        <f t="shared" si="205"/>
        <v>0.42725700768778707</v>
      </c>
    </row>
    <row r="1031" spans="1:17" x14ac:dyDescent="0.25">
      <c r="A1031" s="5" t="s">
        <v>1088</v>
      </c>
      <c r="B1031" s="6">
        <f t="shared" si="206"/>
        <v>3</v>
      </c>
      <c r="C1031" s="70">
        <v>19.332847600000001</v>
      </c>
      <c r="D1031" s="4">
        <v>2.2999999999999998</v>
      </c>
      <c r="E1031" s="12">
        <f t="shared" si="195"/>
        <v>0</v>
      </c>
      <c r="F1031" s="12">
        <f t="shared" si="196"/>
        <v>2.2999999999999998</v>
      </c>
      <c r="G1031" s="16">
        <f t="shared" si="198"/>
        <v>5.8566975176159293</v>
      </c>
      <c r="H1031" s="14">
        <f t="shared" si="199"/>
        <v>0.22000312504483222</v>
      </c>
      <c r="I1031" s="14">
        <f t="shared" si="200"/>
        <v>18.25893185400545</v>
      </c>
      <c r="J1031" s="14">
        <f t="shared" si="201"/>
        <v>1.2970934430236178</v>
      </c>
      <c r="K1031" s="14">
        <f t="shared" si="202"/>
        <v>9.3928120831706288</v>
      </c>
      <c r="L1031" s="14">
        <f t="shared" si="203"/>
        <v>688.49788949660524</v>
      </c>
      <c r="M1031" s="14">
        <f t="shared" si="197"/>
        <v>0.43573095821564284</v>
      </c>
      <c r="N1031" s="14">
        <f t="shared" si="204"/>
        <v>11.150476257115583</v>
      </c>
      <c r="O1031" s="4">
        <v>5.59</v>
      </c>
      <c r="P1031" s="14">
        <f t="shared" si="207"/>
        <v>30.91889620594613</v>
      </c>
      <c r="Q1031" s="14">
        <f t="shared" si="205"/>
        <v>0.89047342435445109</v>
      </c>
    </row>
    <row r="1032" spans="1:17" x14ac:dyDescent="0.25">
      <c r="A1032" s="5" t="s">
        <v>1089</v>
      </c>
      <c r="B1032" s="6">
        <f t="shared" si="206"/>
        <v>3</v>
      </c>
      <c r="C1032" s="70">
        <v>18.618133539999999</v>
      </c>
      <c r="D1032" s="4">
        <v>1.9</v>
      </c>
      <c r="E1032" s="12">
        <f t="shared" si="195"/>
        <v>0</v>
      </c>
      <c r="F1032" s="12">
        <f t="shared" si="196"/>
        <v>1.9</v>
      </c>
      <c r="G1032" s="16">
        <f t="shared" si="198"/>
        <v>6.1824415063423599</v>
      </c>
      <c r="H1032" s="14">
        <f t="shared" si="199"/>
        <v>0.19618892558043344</v>
      </c>
      <c r="I1032" s="14">
        <f t="shared" si="200"/>
        <v>16.805618758844229</v>
      </c>
      <c r="J1032" s="14">
        <f t="shared" si="201"/>
        <v>1.3780670856931367</v>
      </c>
      <c r="K1032" s="14">
        <f t="shared" si="202"/>
        <v>8.8374308504891612</v>
      </c>
      <c r="L1032" s="14">
        <f t="shared" si="203"/>
        <v>688.81372869665154</v>
      </c>
      <c r="M1032" s="14">
        <f t="shared" si="197"/>
        <v>0.41411457652727762</v>
      </c>
      <c r="N1032" s="14">
        <f t="shared" si="204"/>
        <v>10.597307045159846</v>
      </c>
      <c r="O1032" s="4">
        <v>7.15</v>
      </c>
      <c r="P1032" s="14">
        <f t="shared" si="207"/>
        <v>11.883925863608708</v>
      </c>
      <c r="Q1032" s="14">
        <f t="shared" si="205"/>
        <v>0.37988856228550055</v>
      </c>
    </row>
    <row r="1033" spans="1:17" x14ac:dyDescent="0.25">
      <c r="A1033" s="5" t="s">
        <v>1090</v>
      </c>
      <c r="B1033" s="6">
        <f t="shared" si="206"/>
        <v>3</v>
      </c>
      <c r="C1033" s="70">
        <v>18.082723619999999</v>
      </c>
      <c r="D1033" s="4">
        <v>4.5999999999999996</v>
      </c>
      <c r="E1033" s="12">
        <f t="shared" si="195"/>
        <v>0</v>
      </c>
      <c r="F1033" s="12">
        <f t="shared" si="196"/>
        <v>4.5999999999999996</v>
      </c>
      <c r="G1033" s="16">
        <f t="shared" si="198"/>
        <v>8.9330799186702823</v>
      </c>
      <c r="H1033" s="14">
        <f t="shared" si="199"/>
        <v>0.48888794372012068</v>
      </c>
      <c r="I1033" s="14">
        <f t="shared" si="200"/>
        <v>15.716906095187912</v>
      </c>
      <c r="J1033" s="14">
        <f t="shared" si="201"/>
        <v>1.360473643951956</v>
      </c>
      <c r="K1033" s="14">
        <f t="shared" si="202"/>
        <v>8.6237796037246426</v>
      </c>
      <c r="L1033" s="14">
        <f t="shared" si="203"/>
        <v>689.10215331060886</v>
      </c>
      <c r="M1033" s="14">
        <f t="shared" si="197"/>
        <v>0.40583446598370854</v>
      </c>
      <c r="N1033" s="14">
        <f t="shared" si="204"/>
        <v>10.385416716319208</v>
      </c>
      <c r="O1033" s="4">
        <v>6.9</v>
      </c>
      <c r="P1033" s="14">
        <f t="shared" si="207"/>
        <v>12.148129686397366</v>
      </c>
      <c r="Q1033" s="14">
        <f t="shared" si="205"/>
        <v>0.13421305941193479</v>
      </c>
    </row>
    <row r="1034" spans="1:17" x14ac:dyDescent="0.25">
      <c r="A1034" s="5" t="s">
        <v>1091</v>
      </c>
      <c r="B1034" s="6">
        <f t="shared" si="206"/>
        <v>3</v>
      </c>
      <c r="C1034" s="70">
        <v>17.896446229999999</v>
      </c>
      <c r="D1034" s="4">
        <v>2.2999999999999998</v>
      </c>
      <c r="E1034" s="12">
        <f t="shared" si="195"/>
        <v>0</v>
      </c>
      <c r="F1034" s="12">
        <f t="shared" si="196"/>
        <v>2.2999999999999998</v>
      </c>
      <c r="G1034" s="16">
        <f t="shared" si="198"/>
        <v>9.0172623705305632</v>
      </c>
      <c r="H1034" s="14">
        <f t="shared" si="199"/>
        <v>0.2974289599364478</v>
      </c>
      <c r="I1034" s="14">
        <f t="shared" si="200"/>
        <v>15.33812612516822</v>
      </c>
      <c r="J1034" s="14">
        <f t="shared" si="201"/>
        <v>1.9183885882032687</v>
      </c>
      <c r="K1034" s="14">
        <f t="shared" si="202"/>
        <v>8.2375312409876944</v>
      </c>
      <c r="L1034" s="14">
        <f t="shared" si="203"/>
        <v>689.3799961672986</v>
      </c>
      <c r="M1034" s="14">
        <f t="shared" si="197"/>
        <v>0.39081341863786084</v>
      </c>
      <c r="N1034" s="14">
        <f t="shared" si="204"/>
        <v>10.001023942225814</v>
      </c>
      <c r="O1034" s="4">
        <v>6.35</v>
      </c>
      <c r="P1034" s="14">
        <f t="shared" si="207"/>
        <v>13.329975826706125</v>
      </c>
      <c r="Q1034" s="14">
        <f t="shared" si="205"/>
        <v>3.3726953090090377E-2</v>
      </c>
    </row>
    <row r="1035" spans="1:17" x14ac:dyDescent="0.25">
      <c r="A1035" s="5" t="s">
        <v>1092</v>
      </c>
      <c r="B1035" s="6">
        <f t="shared" si="206"/>
        <v>3</v>
      </c>
      <c r="C1035" s="70">
        <v>17.610687259999999</v>
      </c>
      <c r="D1035" s="4">
        <v>9</v>
      </c>
      <c r="E1035" s="12">
        <f t="shared" si="195"/>
        <v>0</v>
      </c>
      <c r="F1035" s="12">
        <f t="shared" si="196"/>
        <v>9</v>
      </c>
      <c r="G1035" s="16">
        <f t="shared" si="198"/>
        <v>14.984470328056219</v>
      </c>
      <c r="H1035" s="14">
        <f t="shared" si="199"/>
        <v>1.1696860556807496</v>
      </c>
      <c r="I1035" s="14">
        <f t="shared" si="200"/>
        <v>14.757058427744186</v>
      </c>
      <c r="J1035" s="14">
        <f t="shared" si="201"/>
        <v>1.8631059867935953</v>
      </c>
      <c r="K1035" s="14">
        <f t="shared" si="202"/>
        <v>8.7576393095738503</v>
      </c>
      <c r="L1035" s="14">
        <f t="shared" si="203"/>
        <v>689.63876073575534</v>
      </c>
      <c r="M1035" s="14">
        <f t="shared" si="197"/>
        <v>0.41117504160032003</v>
      </c>
      <c r="N1035" s="14">
        <f t="shared" si="204"/>
        <v>10.522083529841522</v>
      </c>
      <c r="O1035" s="4">
        <v>6.43</v>
      </c>
      <c r="P1035" s="14">
        <f t="shared" si="207"/>
        <v>16.745147615200253</v>
      </c>
      <c r="Q1035" s="14">
        <f t="shared" si="205"/>
        <v>1.0743114009631294E-2</v>
      </c>
    </row>
    <row r="1036" spans="1:17" x14ac:dyDescent="0.25">
      <c r="A1036" s="5" t="s">
        <v>1093</v>
      </c>
      <c r="B1036" s="6">
        <f t="shared" si="206"/>
        <v>3</v>
      </c>
      <c r="C1036" s="70">
        <v>17.292551039999999</v>
      </c>
      <c r="D1036" s="4">
        <v>12.6</v>
      </c>
      <c r="E1036" s="12">
        <f t="shared" si="195"/>
        <v>0</v>
      </c>
      <c r="F1036" s="12">
        <f t="shared" si="196"/>
        <v>12.6</v>
      </c>
      <c r="G1036" s="16">
        <f t="shared" si="198"/>
        <v>22.477467738427411</v>
      </c>
      <c r="H1036" s="14">
        <f t="shared" si="199"/>
        <v>2.1466992521197681</v>
      </c>
      <c r="I1036" s="14">
        <f t="shared" si="200"/>
        <v>14.110154217449107</v>
      </c>
      <c r="J1036" s="14">
        <f t="shared" si="201"/>
        <v>2.9603033375090417</v>
      </c>
      <c r="K1036" s="14">
        <f t="shared" si="202"/>
        <v>10.208843643217644</v>
      </c>
      <c r="L1036" s="14">
        <f t="shared" si="203"/>
        <v>689.923080612631</v>
      </c>
      <c r="M1036" s="14">
        <f t="shared" si="197"/>
        <v>0.46789475653853896</v>
      </c>
      <c r="N1036" s="14">
        <f t="shared" si="204"/>
        <v>11.973556790586917</v>
      </c>
      <c r="O1036" s="4">
        <v>8.59</v>
      </c>
      <c r="P1036" s="14">
        <f t="shared" si="207"/>
        <v>11.448456555126841</v>
      </c>
      <c r="Q1036" s="14">
        <f t="shared" si="205"/>
        <v>4.2285794588372374</v>
      </c>
    </row>
    <row r="1037" spans="1:17" x14ac:dyDescent="0.25">
      <c r="A1037" s="5" t="s">
        <v>1094</v>
      </c>
      <c r="B1037" s="6">
        <f t="shared" si="206"/>
        <v>3</v>
      </c>
      <c r="C1037" s="70">
        <v>17.95985031</v>
      </c>
      <c r="D1037" s="4">
        <v>8</v>
      </c>
      <c r="E1037" s="12">
        <f t="shared" si="195"/>
        <v>0</v>
      </c>
      <c r="F1037" s="12">
        <f t="shared" si="196"/>
        <v>8</v>
      </c>
      <c r="G1037" s="16">
        <f t="shared" si="198"/>
        <v>23.917972004461681</v>
      </c>
      <c r="H1037" s="14">
        <f t="shared" si="199"/>
        <v>1.6918605668194462</v>
      </c>
      <c r="I1037" s="14">
        <f t="shared" si="200"/>
        <v>15.467053181326387</v>
      </c>
      <c r="J1037" s="14">
        <f t="shared" si="201"/>
        <v>4.8676351671462808</v>
      </c>
      <c r="K1037" s="14">
        <f t="shared" si="202"/>
        <v>11.077091975501359</v>
      </c>
      <c r="L1037" s="14">
        <f t="shared" si="203"/>
        <v>690.27879809062813</v>
      </c>
      <c r="M1037" s="14">
        <f t="shared" si="197"/>
        <v>0.50186941973936905</v>
      </c>
      <c r="N1037" s="14">
        <f t="shared" si="204"/>
        <v>12.842977859302604</v>
      </c>
      <c r="O1037" s="4">
        <v>11.09</v>
      </c>
      <c r="P1037" s="14">
        <f t="shared" si="207"/>
        <v>3.072931375205139</v>
      </c>
      <c r="Q1037" s="14">
        <f t="shared" si="205"/>
        <v>20.760334487572891</v>
      </c>
    </row>
    <row r="1038" spans="1:17" x14ac:dyDescent="0.25">
      <c r="A1038" s="5" t="s">
        <v>1095</v>
      </c>
      <c r="B1038" s="6">
        <f t="shared" si="206"/>
        <v>3</v>
      </c>
      <c r="C1038" s="70">
        <v>19.154087069999999</v>
      </c>
      <c r="D1038" s="4">
        <v>24.7</v>
      </c>
      <c r="E1038" s="12">
        <f t="shared" si="195"/>
        <v>0</v>
      </c>
      <c r="F1038" s="12">
        <f t="shared" si="196"/>
        <v>24.7</v>
      </c>
      <c r="G1038" s="16">
        <f t="shared" si="198"/>
        <v>37.225695849787392</v>
      </c>
      <c r="H1038" s="14">
        <f t="shared" si="199"/>
        <v>5.3994771069977672</v>
      </c>
      <c r="I1038" s="14">
        <f t="shared" si="200"/>
        <v>17.895436809362053</v>
      </c>
      <c r="J1038" s="14">
        <f t="shared" si="201"/>
        <v>5.9927990476765221</v>
      </c>
      <c r="K1038" s="14">
        <f t="shared" si="202"/>
        <v>15.57630489521857</v>
      </c>
      <c r="L1038" s="14">
        <f t="shared" si="203"/>
        <v>690.67719285816929</v>
      </c>
      <c r="M1038" s="14">
        <f t="shared" si="197"/>
        <v>0.67761636526419144</v>
      </c>
      <c r="N1038" s="14">
        <f t="shared" si="204"/>
        <v>17.34039101387879</v>
      </c>
      <c r="O1038" s="4">
        <v>16.14</v>
      </c>
      <c r="P1038" s="14">
        <f t="shared" si="207"/>
        <v>1.4409385862009481</v>
      </c>
      <c r="Q1038" s="14">
        <f t="shared" si="205"/>
        <v>92.281979645618947</v>
      </c>
    </row>
    <row r="1039" spans="1:17" x14ac:dyDescent="0.25">
      <c r="A1039" s="5" t="s">
        <v>1096</v>
      </c>
      <c r="B1039" s="6">
        <f t="shared" si="206"/>
        <v>3</v>
      </c>
      <c r="C1039" s="70">
        <v>18.60898018</v>
      </c>
      <c r="D1039" s="4">
        <v>2.9</v>
      </c>
      <c r="E1039" s="12">
        <f t="shared" si="195"/>
        <v>0</v>
      </c>
      <c r="F1039" s="12">
        <f t="shared" si="196"/>
        <v>2.9</v>
      </c>
      <c r="G1039" s="16">
        <f t="shared" si="198"/>
        <v>30.573746840312776</v>
      </c>
      <c r="H1039" s="14">
        <f t="shared" si="199"/>
        <v>0.80253167372481704</v>
      </c>
      <c r="I1039" s="14">
        <f t="shared" si="200"/>
        <v>16.787006143398095</v>
      </c>
      <c r="J1039" s="14">
        <f t="shared" si="201"/>
        <v>8.7494173357498006</v>
      </c>
      <c r="K1039" s="14">
        <f t="shared" si="202"/>
        <v>15.081366371253379</v>
      </c>
      <c r="L1039" s="14">
        <f t="shared" si="203"/>
        <v>691.29704669059515</v>
      </c>
      <c r="M1039" s="14">
        <f t="shared" si="197"/>
        <v>0.65842460219426546</v>
      </c>
      <c r="N1039" s="14">
        <f t="shared" si="204"/>
        <v>16.849268465874086</v>
      </c>
      <c r="O1039" s="4">
        <v>23</v>
      </c>
      <c r="P1039" s="14">
        <f t="shared" si="207"/>
        <v>37.831498404890915</v>
      </c>
      <c r="Q1039" s="14">
        <f t="shared" si="205"/>
        <v>271.14071544446961</v>
      </c>
    </row>
    <row r="1040" spans="1:17" x14ac:dyDescent="0.25">
      <c r="A1040" s="5" t="s">
        <v>1097</v>
      </c>
      <c r="B1040" s="6">
        <f t="shared" si="206"/>
        <v>3</v>
      </c>
      <c r="C1040" s="70">
        <v>18.525001530000001</v>
      </c>
      <c r="D1040" s="4">
        <v>5.3</v>
      </c>
      <c r="E1040" s="12">
        <f t="shared" si="195"/>
        <v>0</v>
      </c>
      <c r="F1040" s="12">
        <f t="shared" si="196"/>
        <v>5.3</v>
      </c>
      <c r="G1040" s="16">
        <f t="shared" si="198"/>
        <v>27.440295022973455</v>
      </c>
      <c r="H1040" s="14">
        <f t="shared" si="199"/>
        <v>1.320587214937043</v>
      </c>
      <c r="I1040" s="14">
        <f t="shared" si="200"/>
        <v>16.616242367239895</v>
      </c>
      <c r="J1040" s="14">
        <f t="shared" si="201"/>
        <v>7.1128646024022784</v>
      </c>
      <c r="K1040" s="14">
        <f t="shared" si="202"/>
        <v>15.148178265806756</v>
      </c>
      <c r="L1040" s="14">
        <f t="shared" si="203"/>
        <v>691.89239740878463</v>
      </c>
      <c r="M1040" s="14">
        <f t="shared" si="197"/>
        <v>0.66115995433933394</v>
      </c>
      <c r="N1040" s="14">
        <f t="shared" si="204"/>
        <v>16.91926688708643</v>
      </c>
      <c r="O1040" s="4">
        <v>20.73</v>
      </c>
      <c r="P1040" s="14">
        <f t="shared" si="207"/>
        <v>14.521686857855954</v>
      </c>
      <c r="Q1040" s="14">
        <f t="shared" si="205"/>
        <v>201.53638187837763</v>
      </c>
    </row>
    <row r="1041" spans="1:17" x14ac:dyDescent="0.25">
      <c r="A1041" s="5" t="s">
        <v>1098</v>
      </c>
      <c r="B1041" s="6">
        <f t="shared" si="206"/>
        <v>3</v>
      </c>
      <c r="C1041" s="70">
        <v>18.125192640000002</v>
      </c>
      <c r="D1041" s="4">
        <v>14.4</v>
      </c>
      <c r="E1041" s="12">
        <f t="shared" si="195"/>
        <v>0</v>
      </c>
      <c r="F1041" s="12">
        <f t="shared" si="196"/>
        <v>14.4</v>
      </c>
      <c r="G1041" s="16">
        <f t="shared" si="198"/>
        <v>32.381708728480923</v>
      </c>
      <c r="H1041" s="14">
        <f t="shared" si="199"/>
        <v>3.3870497481728674</v>
      </c>
      <c r="I1041" s="14">
        <f t="shared" si="200"/>
        <v>15.803263404157974</v>
      </c>
      <c r="J1041" s="14">
        <f t="shared" si="201"/>
        <v>6.0715365463196651</v>
      </c>
      <c r="K1041" s="14">
        <f t="shared" si="202"/>
        <v>17.275554309465893</v>
      </c>
      <c r="L1041" s="14">
        <f t="shared" si="203"/>
        <v>692.49091115895908</v>
      </c>
      <c r="M1041" s="14">
        <f t="shared" si="197"/>
        <v>0.7443462688714253</v>
      </c>
      <c r="N1041" s="14">
        <f t="shared" si="204"/>
        <v>19.048027783272236</v>
      </c>
      <c r="O1041" s="4">
        <v>19.03</v>
      </c>
      <c r="P1041" s="14">
        <f t="shared" si="207"/>
        <v>3.2500096971066321E-4</v>
      </c>
      <c r="Q1041" s="14">
        <f t="shared" si="205"/>
        <v>156.15878845883739</v>
      </c>
    </row>
    <row r="1042" spans="1:17" x14ac:dyDescent="0.25">
      <c r="A1042" s="5" t="s">
        <v>1099</v>
      </c>
      <c r="B1042" s="6">
        <f t="shared" si="206"/>
        <v>3</v>
      </c>
      <c r="C1042" s="70">
        <v>19.66306496</v>
      </c>
      <c r="D1042" s="4">
        <v>6.8</v>
      </c>
      <c r="E1042" s="12">
        <f t="shared" si="195"/>
        <v>0</v>
      </c>
      <c r="F1042" s="12">
        <f t="shared" si="196"/>
        <v>6.8</v>
      </c>
      <c r="G1042" s="16">
        <f t="shared" si="198"/>
        <v>28.852003739724676</v>
      </c>
      <c r="H1042" s="14">
        <f t="shared" si="199"/>
        <v>1.7470301588127579</v>
      </c>
      <c r="I1042" s="14">
        <f t="shared" si="200"/>
        <v>18.930402083005234</v>
      </c>
      <c r="J1042" s="14">
        <f t="shared" si="201"/>
        <v>8.582674829943489</v>
      </c>
      <c r="K1042" s="14">
        <f t="shared" si="202"/>
        <v>17.575098680624922</v>
      </c>
      <c r="L1042" s="14">
        <f t="shared" si="203"/>
        <v>693.19405067774142</v>
      </c>
      <c r="M1042" s="14">
        <f t="shared" si="197"/>
        <v>0.75619112114063469</v>
      </c>
      <c r="N1042" s="14">
        <f t="shared" si="204"/>
        <v>19.351140843078046</v>
      </c>
      <c r="O1042" s="4">
        <v>18.45</v>
      </c>
      <c r="P1042" s="14">
        <f t="shared" si="207"/>
        <v>0.81205481906341215</v>
      </c>
      <c r="Q1042" s="14">
        <f t="shared" si="205"/>
        <v>141.99942129217067</v>
      </c>
    </row>
    <row r="1043" spans="1:17" x14ac:dyDescent="0.25">
      <c r="A1043" s="5" t="s">
        <v>1100</v>
      </c>
      <c r="B1043" s="6">
        <f t="shared" si="206"/>
        <v>3</v>
      </c>
      <c r="C1043" s="70">
        <v>18.61074829</v>
      </c>
      <c r="D1043" s="4">
        <v>2.9</v>
      </c>
      <c r="E1043" s="12">
        <f t="shared" si="195"/>
        <v>0</v>
      </c>
      <c r="F1043" s="12">
        <f t="shared" si="196"/>
        <v>2.9</v>
      </c>
      <c r="G1043" s="16">
        <f t="shared" si="198"/>
        <v>24.268660721641115</v>
      </c>
      <c r="H1043" s="14">
        <f t="shared" si="199"/>
        <v>0.70060112028215993</v>
      </c>
      <c r="I1043" s="14">
        <f t="shared" si="200"/>
        <v>16.790601451732574</v>
      </c>
      <c r="J1043" s="14">
        <f t="shared" si="201"/>
        <v>6.7827418978014018</v>
      </c>
      <c r="K1043" s="14">
        <f t="shared" si="202"/>
        <v>16.801769204631984</v>
      </c>
      <c r="L1043" s="14">
        <f t="shared" si="203"/>
        <v>693.91179015287582</v>
      </c>
      <c r="M1043" s="14">
        <f t="shared" si="197"/>
        <v>0.72615103528818492</v>
      </c>
      <c r="N1043" s="14">
        <f t="shared" si="204"/>
        <v>18.582406701645567</v>
      </c>
      <c r="O1043" s="4">
        <v>18.28</v>
      </c>
      <c r="P1043" s="14">
        <f t="shared" si="207"/>
        <v>9.1449813200150401E-2</v>
      </c>
      <c r="Q1043" s="14">
        <f t="shared" si="205"/>
        <v>137.97676195021668</v>
      </c>
    </row>
    <row r="1044" spans="1:17" x14ac:dyDescent="0.25">
      <c r="A1044" s="5" t="s">
        <v>1101</v>
      </c>
      <c r="B1044" s="6">
        <f t="shared" si="206"/>
        <v>3</v>
      </c>
      <c r="C1044" s="70">
        <v>18.454360959999999</v>
      </c>
      <c r="D1044" s="4">
        <v>18.899999999999999</v>
      </c>
      <c r="E1044" s="12">
        <f t="shared" si="195"/>
        <v>0</v>
      </c>
      <c r="F1044" s="12">
        <f t="shared" si="196"/>
        <v>18.899999999999999</v>
      </c>
      <c r="G1044" s="16">
        <f t="shared" si="198"/>
        <v>33.407692839383714</v>
      </c>
      <c r="H1044" s="14">
        <f t="shared" si="199"/>
        <v>4.1637651910331153</v>
      </c>
      <c r="I1044" s="14">
        <f t="shared" si="200"/>
        <v>16.472600495369271</v>
      </c>
      <c r="J1044" s="14">
        <f t="shared" si="201"/>
        <v>5.5972026912242905</v>
      </c>
      <c r="K1044" s="14">
        <f t="shared" si="202"/>
        <v>19.559875988631163</v>
      </c>
      <c r="L1044" s="14">
        <f t="shared" si="203"/>
        <v>694.59129752462161</v>
      </c>
      <c r="M1044" s="14">
        <f t="shared" si="197"/>
        <v>0.83398012674036637</v>
      </c>
      <c r="N1044" s="14">
        <f t="shared" si="204"/>
        <v>21.341783104432292</v>
      </c>
      <c r="O1044" s="4">
        <v>16.7</v>
      </c>
      <c r="P1044" s="14">
        <f t="shared" si="207"/>
        <v>21.546150388593091</v>
      </c>
      <c r="Q1044" s="14">
        <f t="shared" si="205"/>
        <v>103.35469277205571</v>
      </c>
    </row>
    <row r="1045" spans="1:17" x14ac:dyDescent="0.25">
      <c r="A1045" s="5" t="s">
        <v>1102</v>
      </c>
      <c r="B1045" s="6">
        <f t="shared" si="206"/>
        <v>3</v>
      </c>
      <c r="C1045" s="70">
        <v>18.480716709999999</v>
      </c>
      <c r="D1045" s="4">
        <v>3.7</v>
      </c>
      <c r="E1045" s="12">
        <f t="shared" si="195"/>
        <v>0</v>
      </c>
      <c r="F1045" s="12">
        <f t="shared" si="196"/>
        <v>3.7</v>
      </c>
      <c r="G1045" s="16">
        <f t="shared" si="198"/>
        <v>28.411114102881498</v>
      </c>
      <c r="H1045" s="14">
        <f t="shared" si="199"/>
        <v>0.96652778165621744</v>
      </c>
      <c r="I1045" s="14">
        <f t="shared" si="200"/>
        <v>16.526192776186853</v>
      </c>
      <c r="J1045" s="14">
        <f t="shared" si="201"/>
        <v>7.7300509548459981</v>
      </c>
      <c r="K1045" s="14">
        <f t="shared" si="202"/>
        <v>18.877250198320368</v>
      </c>
      <c r="L1045" s="14">
        <f t="shared" si="203"/>
        <v>695.40647096984821</v>
      </c>
      <c r="M1045" s="14">
        <f t="shared" si="197"/>
        <v>0.80750212695609447</v>
      </c>
      <c r="N1045" s="14">
        <f t="shared" si="204"/>
        <v>20.664203734952835</v>
      </c>
      <c r="O1045" s="4">
        <v>19.649999999999999</v>
      </c>
      <c r="P1045" s="14">
        <f t="shared" si="207"/>
        <v>1.0286092159922835</v>
      </c>
      <c r="Q1045" s="14">
        <f t="shared" si="205"/>
        <v>172.03866370596376</v>
      </c>
    </row>
    <row r="1046" spans="1:17" x14ac:dyDescent="0.25">
      <c r="A1046" s="5" t="s">
        <v>1103</v>
      </c>
      <c r="B1046" s="6">
        <f t="shared" si="206"/>
        <v>3</v>
      </c>
      <c r="C1046" s="70">
        <v>18.520118709999998</v>
      </c>
      <c r="D1046" s="4">
        <v>0.1</v>
      </c>
      <c r="E1046" s="12">
        <f t="shared" si="195"/>
        <v>0</v>
      </c>
      <c r="F1046" s="12">
        <f t="shared" si="196"/>
        <v>0.1</v>
      </c>
      <c r="G1046" s="16">
        <f t="shared" si="198"/>
        <v>21.881366085664133</v>
      </c>
      <c r="H1046" s="14">
        <f t="shared" si="199"/>
        <v>2.3961164408552199E-2</v>
      </c>
      <c r="I1046" s="14">
        <f t="shared" si="200"/>
        <v>16.6063135486473</v>
      </c>
      <c r="J1046" s="14">
        <f t="shared" si="201"/>
        <v>6.6057868528088166</v>
      </c>
      <c r="K1046" s="14">
        <f t="shared" si="202"/>
        <v>17.312322346276428</v>
      </c>
      <c r="L1046" s="14">
        <f t="shared" si="203"/>
        <v>696.1878578593446</v>
      </c>
      <c r="M1046" s="14">
        <f t="shared" si="197"/>
        <v>0.74656934628209659</v>
      </c>
      <c r="N1046" s="14">
        <f t="shared" si="204"/>
        <v>19.104916951732822</v>
      </c>
      <c r="O1046" s="4">
        <v>17.97</v>
      </c>
      <c r="P1046" s="14">
        <f t="shared" si="207"/>
        <v>1.2880364873305226</v>
      </c>
      <c r="Q1046" s="14">
        <f t="shared" si="205"/>
        <v>130.79012432665343</v>
      </c>
    </row>
    <row r="1047" spans="1:17" x14ac:dyDescent="0.25">
      <c r="A1047" s="5" t="s">
        <v>1104</v>
      </c>
      <c r="B1047" s="6">
        <f t="shared" si="206"/>
        <v>3</v>
      </c>
      <c r="C1047" s="70">
        <v>18.362743380000001</v>
      </c>
      <c r="D1047" s="4">
        <v>0</v>
      </c>
      <c r="E1047" s="12">
        <f t="shared" si="195"/>
        <v>0</v>
      </c>
      <c r="F1047" s="12">
        <f t="shared" si="196"/>
        <v>0</v>
      </c>
      <c r="G1047" s="16">
        <f t="shared" si="198"/>
        <v>16.89183174343195</v>
      </c>
      <c r="H1047" s="14">
        <f t="shared" si="199"/>
        <v>0</v>
      </c>
      <c r="I1047" s="14">
        <f t="shared" si="200"/>
        <v>16.286303574386665</v>
      </c>
      <c r="J1047" s="14">
        <f t="shared" si="201"/>
        <v>4.9895343422321812</v>
      </c>
      <c r="K1047" s="14">
        <f t="shared" si="202"/>
        <v>15.86159054971565</v>
      </c>
      <c r="L1047" s="14">
        <f t="shared" si="203"/>
        <v>696.89202030962326</v>
      </c>
      <c r="M1047" s="14">
        <f t="shared" si="197"/>
        <v>0.69007865373384825</v>
      </c>
      <c r="N1047" s="14">
        <f t="shared" si="204"/>
        <v>17.659304437564103</v>
      </c>
      <c r="O1047" s="4">
        <v>14</v>
      </c>
      <c r="P1047" s="14">
        <f t="shared" si="207"/>
        <v>13.390508966776334</v>
      </c>
      <c r="Q1047" s="14">
        <f t="shared" si="205"/>
        <v>55.746397341021201</v>
      </c>
    </row>
    <row r="1048" spans="1:17" x14ac:dyDescent="0.25">
      <c r="A1048" s="5" t="s">
        <v>1105</v>
      </c>
      <c r="B1048" s="6">
        <f t="shared" si="206"/>
        <v>3</v>
      </c>
      <c r="C1048" s="70">
        <v>15.710821149999999</v>
      </c>
      <c r="D1048" s="4">
        <v>0</v>
      </c>
      <c r="E1048" s="12">
        <f t="shared" si="195"/>
        <v>0</v>
      </c>
      <c r="F1048" s="12">
        <f t="shared" si="196"/>
        <v>0</v>
      </c>
      <c r="G1048" s="16">
        <f t="shared" si="198"/>
        <v>14.315388455663562</v>
      </c>
      <c r="H1048" s="14">
        <f t="shared" si="199"/>
        <v>0</v>
      </c>
      <c r="I1048" s="14">
        <f t="shared" si="200"/>
        <v>10.893834725784272</v>
      </c>
      <c r="J1048" s="14">
        <f t="shared" si="201"/>
        <v>2.5764432877683872</v>
      </c>
      <c r="K1048" s="14">
        <f t="shared" si="202"/>
        <v>14.538934352013676</v>
      </c>
      <c r="L1048" s="14">
        <f t="shared" si="203"/>
        <v>697.52459785359144</v>
      </c>
      <c r="M1048" s="14">
        <f t="shared" si="197"/>
        <v>0.63857314755624939</v>
      </c>
      <c r="N1048" s="14">
        <f t="shared" si="204"/>
        <v>16.341264227394298</v>
      </c>
      <c r="O1048" s="4">
        <v>11.44</v>
      </c>
      <c r="P1048" s="14">
        <f t="shared" si="207"/>
        <v>24.022391026735029</v>
      </c>
      <c r="Q1048" s="14">
        <f t="shared" si="205"/>
        <v>24.07228019159588</v>
      </c>
    </row>
    <row r="1049" spans="1:17" x14ac:dyDescent="0.25">
      <c r="A1049" s="5" t="s">
        <v>1106</v>
      </c>
      <c r="B1049" s="6">
        <f t="shared" si="206"/>
        <v>3</v>
      </c>
      <c r="C1049" s="70">
        <v>16.068790440000001</v>
      </c>
      <c r="D1049" s="4">
        <v>0</v>
      </c>
      <c r="E1049" s="12">
        <f t="shared" si="195"/>
        <v>0</v>
      </c>
      <c r="F1049" s="12">
        <f t="shared" si="196"/>
        <v>0</v>
      </c>
      <c r="G1049" s="16">
        <f t="shared" si="198"/>
        <v>11.986025251299214</v>
      </c>
      <c r="H1049" s="14">
        <f t="shared" si="199"/>
        <v>0</v>
      </c>
      <c r="I1049" s="14">
        <f t="shared" si="200"/>
        <v>11.621736254435556</v>
      </c>
      <c r="J1049" s="14">
        <f t="shared" si="201"/>
        <v>2.3293632043643493</v>
      </c>
      <c r="K1049" s="14">
        <f t="shared" si="202"/>
        <v>13.333046798251663</v>
      </c>
      <c r="L1049" s="14">
        <f t="shared" si="203"/>
        <v>698.09191225979725</v>
      </c>
      <c r="M1049" s="14">
        <f t="shared" si="197"/>
        <v>0.59161271875654287</v>
      </c>
      <c r="N1049" s="14">
        <f t="shared" si="204"/>
        <v>15.139533809846252</v>
      </c>
      <c r="O1049" s="4">
        <v>9.1199999999999992</v>
      </c>
      <c r="P1049" s="14">
        <f t="shared" si="207"/>
        <v>36.234787287882149</v>
      </c>
      <c r="Q1049" s="14">
        <f t="shared" si="205"/>
        <v>6.6892115249291928</v>
      </c>
    </row>
    <row r="1050" spans="1:17" x14ac:dyDescent="0.25">
      <c r="A1050" s="5" t="s">
        <v>1107</v>
      </c>
      <c r="B1050" s="6">
        <f t="shared" si="206"/>
        <v>3</v>
      </c>
      <c r="C1050" s="70">
        <v>14.4309206</v>
      </c>
      <c r="D1050" s="4">
        <v>3</v>
      </c>
      <c r="E1050" s="12">
        <f t="shared" si="195"/>
        <v>0</v>
      </c>
      <c r="F1050" s="12">
        <f t="shared" si="196"/>
        <v>3</v>
      </c>
      <c r="G1050" s="16">
        <f t="shared" si="198"/>
        <v>13.14083554049774</v>
      </c>
      <c r="H1050" s="14">
        <f t="shared" si="199"/>
        <v>0.45376786154533355</v>
      </c>
      <c r="I1050" s="14">
        <f t="shared" si="200"/>
        <v>8.2912607260240829</v>
      </c>
      <c r="J1050" s="14">
        <f t="shared" si="201"/>
        <v>1.3914218492561397</v>
      </c>
      <c r="K1050" s="14">
        <f t="shared" si="202"/>
        <v>12.687387011973893</v>
      </c>
      <c r="L1050" s="14">
        <f t="shared" si="203"/>
        <v>698.59972718886388</v>
      </c>
      <c r="M1050" s="14">
        <f t="shared" si="197"/>
        <v>0.56651250137995746</v>
      </c>
      <c r="N1050" s="14">
        <f t="shared" si="204"/>
        <v>14.497212274896826</v>
      </c>
      <c r="O1050" s="4">
        <v>8.39</v>
      </c>
      <c r="P1050" s="14">
        <f t="shared" si="207"/>
        <v>37.298041770650464</v>
      </c>
      <c r="Q1050" s="14">
        <f t="shared" si="205"/>
        <v>3.4460390565383876</v>
      </c>
    </row>
    <row r="1051" spans="1:17" x14ac:dyDescent="0.25">
      <c r="A1051" s="5" t="s">
        <v>1108</v>
      </c>
      <c r="B1051" s="6">
        <f t="shared" si="206"/>
        <v>3</v>
      </c>
      <c r="C1051" s="70">
        <v>18.77737999</v>
      </c>
      <c r="D1051" s="4">
        <v>0.2</v>
      </c>
      <c r="E1051" s="12">
        <f t="shared" ref="E1051:E1114" si="208">IF(C1051&gt;$C$9,MAX(E1050-$C$10*(C1051-$C$9),0),E1050+D1051)</f>
        <v>0</v>
      </c>
      <c r="F1051" s="12">
        <f t="shared" ref="F1051:F1114" si="209">IF(C1051&gt;$C$9,D1051+MIN(E1050,$C$10*(C1051-$C$9)),0)</f>
        <v>0.2</v>
      </c>
      <c r="G1051" s="16">
        <f t="shared" si="198"/>
        <v>10.157479007061584</v>
      </c>
      <c r="H1051" s="14">
        <f t="shared" si="199"/>
        <v>3.1771431762903618E-2</v>
      </c>
      <c r="I1051" s="14">
        <f t="shared" si="200"/>
        <v>17.129433503922755</v>
      </c>
      <c r="J1051" s="14">
        <f t="shared" si="201"/>
        <v>3.1515851016732523</v>
      </c>
      <c r="K1051" s="14">
        <f t="shared" si="202"/>
        <v>11.676731865293032</v>
      </c>
      <c r="L1051" s="14">
        <f t="shared" si="203"/>
        <v>699.07564126592774</v>
      </c>
      <c r="M1051" s="14">
        <f t="shared" si="197"/>
        <v>0.52715503065110858</v>
      </c>
      <c r="N1051" s="14">
        <f t="shared" si="204"/>
        <v>13.490043666314827</v>
      </c>
      <c r="O1051" s="4">
        <v>8.57</v>
      </c>
      <c r="P1051" s="14">
        <f t="shared" si="207"/>
        <v>24.206829678444645</v>
      </c>
      <c r="Q1051" s="14">
        <f t="shared" si="205"/>
        <v>4.1467254186073541</v>
      </c>
    </row>
    <row r="1052" spans="1:17" x14ac:dyDescent="0.25">
      <c r="A1052" s="5" t="s">
        <v>1109</v>
      </c>
      <c r="B1052" s="6">
        <f t="shared" si="206"/>
        <v>3</v>
      </c>
      <c r="C1052" s="70">
        <v>17.21952057</v>
      </c>
      <c r="D1052" s="4">
        <v>0</v>
      </c>
      <c r="E1052" s="12">
        <f t="shared" si="208"/>
        <v>0</v>
      </c>
      <c r="F1052" s="12">
        <f t="shared" si="209"/>
        <v>0</v>
      </c>
      <c r="G1052" s="16">
        <f t="shared" si="198"/>
        <v>8.1719061761858214</v>
      </c>
      <c r="H1052" s="14">
        <f t="shared" si="199"/>
        <v>0</v>
      </c>
      <c r="I1052" s="14">
        <f t="shared" si="200"/>
        <v>13.961652677690989</v>
      </c>
      <c r="J1052" s="14">
        <f t="shared" si="201"/>
        <v>1.9855728308757614</v>
      </c>
      <c r="K1052" s="14">
        <f t="shared" si="202"/>
        <v>10.723529403572799</v>
      </c>
      <c r="L1052" s="14">
        <f t="shared" si="203"/>
        <v>699.50168869699678</v>
      </c>
      <c r="M1052" s="14">
        <f t="shared" si="197"/>
        <v>0.49003005331818905</v>
      </c>
      <c r="N1052" s="14">
        <f t="shared" si="204"/>
        <v>12.540005183871711</v>
      </c>
      <c r="O1052" s="4">
        <v>7.98</v>
      </c>
      <c r="P1052" s="14">
        <f t="shared" si="207"/>
        <v>20.793647276936877</v>
      </c>
      <c r="Q1052" s="14">
        <f t="shared" si="205"/>
        <v>2.0919312318257393</v>
      </c>
    </row>
    <row r="1053" spans="1:17" x14ac:dyDescent="0.25">
      <c r="A1053" s="5" t="s">
        <v>1110</v>
      </c>
      <c r="B1053" s="6">
        <f t="shared" si="206"/>
        <v>3</v>
      </c>
      <c r="C1053" s="70">
        <v>19.451360699999999</v>
      </c>
      <c r="D1053" s="4">
        <v>0</v>
      </c>
      <c r="E1053" s="12">
        <f t="shared" si="208"/>
        <v>0</v>
      </c>
      <c r="F1053" s="12">
        <f t="shared" si="209"/>
        <v>0</v>
      </c>
      <c r="G1053" s="16">
        <f t="shared" si="198"/>
        <v>6.0552210973400493</v>
      </c>
      <c r="H1053" s="14">
        <f t="shared" si="199"/>
        <v>0</v>
      </c>
      <c r="I1053" s="14">
        <f t="shared" si="200"/>
        <v>18.499918634338481</v>
      </c>
      <c r="J1053" s="14">
        <f t="shared" si="201"/>
        <v>2.1166850788457721</v>
      </c>
      <c r="K1053" s="14">
        <f t="shared" si="202"/>
        <v>9.8544789376990227</v>
      </c>
      <c r="L1053" s="14">
        <f t="shared" si="203"/>
        <v>699.88070910955241</v>
      </c>
      <c r="M1053" s="14">
        <f t="shared" si="197"/>
        <v>0.45618059137888667</v>
      </c>
      <c r="N1053" s="14">
        <f t="shared" si="204"/>
        <v>11.673788050216649</v>
      </c>
      <c r="O1053" s="4">
        <v>7.6</v>
      </c>
      <c r="P1053" s="14">
        <f t="shared" si="207"/>
        <v>16.595749078087966</v>
      </c>
      <c r="Q1053" s="14">
        <f t="shared" si="205"/>
        <v>1.1371044674579174</v>
      </c>
    </row>
    <row r="1054" spans="1:17" x14ac:dyDescent="0.25">
      <c r="A1054" s="5" t="s">
        <v>1111</v>
      </c>
      <c r="B1054" s="6">
        <f t="shared" si="206"/>
        <v>3</v>
      </c>
      <c r="C1054" s="70">
        <v>16.770915989999999</v>
      </c>
      <c r="D1054" s="4">
        <v>8.1999999999999993</v>
      </c>
      <c r="E1054" s="12">
        <f t="shared" si="208"/>
        <v>0</v>
      </c>
      <c r="F1054" s="12">
        <f t="shared" si="209"/>
        <v>8.1999999999999993</v>
      </c>
      <c r="G1054" s="16">
        <f t="shared" si="198"/>
        <v>12.286999422065106</v>
      </c>
      <c r="H1054" s="14">
        <f t="shared" si="199"/>
        <v>0.86189005357775472</v>
      </c>
      <c r="I1054" s="14">
        <f t="shared" si="200"/>
        <v>13.049451635132375</v>
      </c>
      <c r="J1054" s="14">
        <f t="shared" si="201"/>
        <v>1.106331621697187</v>
      </c>
      <c r="K1054" s="14">
        <f t="shared" si="202"/>
        <v>9.9240412932634516</v>
      </c>
      <c r="L1054" s="14">
        <f t="shared" si="203"/>
        <v>700.2168562161869</v>
      </c>
      <c r="M1054" s="14">
        <f t="shared" si="197"/>
        <v>0.45896811204124544</v>
      </c>
      <c r="N1054" s="14">
        <f t="shared" si="204"/>
        <v>11.745121478277705</v>
      </c>
      <c r="O1054" s="4">
        <v>7.44</v>
      </c>
      <c r="P1054" s="14">
        <f t="shared" si="207"/>
        <v>18.534070942728007</v>
      </c>
      <c r="Q1054" s="14">
        <f t="shared" si="205"/>
        <v>0.82147214561883697</v>
      </c>
    </row>
    <row r="1055" spans="1:17" x14ac:dyDescent="0.25">
      <c r="A1055" s="5" t="s">
        <v>1112</v>
      </c>
      <c r="B1055" s="6">
        <f t="shared" si="206"/>
        <v>3</v>
      </c>
      <c r="C1055" s="70">
        <v>18.516221999999999</v>
      </c>
      <c r="D1055" s="4">
        <v>4.0999999999999996</v>
      </c>
      <c r="E1055" s="12">
        <f t="shared" si="208"/>
        <v>0</v>
      </c>
      <c r="F1055" s="12">
        <f t="shared" si="209"/>
        <v>4.0999999999999996</v>
      </c>
      <c r="G1055" s="16">
        <f t="shared" si="198"/>
        <v>12.903145301252531</v>
      </c>
      <c r="H1055" s="14">
        <f t="shared" si="199"/>
        <v>0.62840215884049666</v>
      </c>
      <c r="I1055" s="14">
        <f t="shared" si="200"/>
        <v>16.598389904790277</v>
      </c>
      <c r="J1055" s="14">
        <f t="shared" si="201"/>
        <v>2.8554519619720775</v>
      </c>
      <c r="K1055" s="14">
        <f t="shared" si="202"/>
        <v>9.7539745497907884</v>
      </c>
      <c r="L1055" s="14">
        <f t="shared" si="203"/>
        <v>700.55635700645882</v>
      </c>
      <c r="M1055" s="14">
        <f t="shared" ref="M1055:M1118" si="210">MAX(0,K1055-$F$9)*$F$8+K1055*$F$10+L1055*$F$11</f>
        <v>0.45240054513695738</v>
      </c>
      <c r="N1055" s="14">
        <f t="shared" si="204"/>
        <v>11.577055616872833</v>
      </c>
      <c r="O1055" s="4">
        <v>7.51</v>
      </c>
      <c r="P1055" s="14">
        <f t="shared" si="207"/>
        <v>16.540941390736865</v>
      </c>
      <c r="Q1055" s="14">
        <f t="shared" si="205"/>
        <v>0.95326128642343411</v>
      </c>
    </row>
    <row r="1056" spans="1:17" x14ac:dyDescent="0.25">
      <c r="A1056" s="5" t="s">
        <v>1113</v>
      </c>
      <c r="B1056" s="6">
        <f t="shared" si="206"/>
        <v>3</v>
      </c>
      <c r="C1056" s="70">
        <v>18.060241699999999</v>
      </c>
      <c r="D1056" s="4">
        <v>4.8</v>
      </c>
      <c r="E1056" s="12">
        <f t="shared" si="208"/>
        <v>0</v>
      </c>
      <c r="F1056" s="12">
        <f t="shared" si="209"/>
        <v>4.8</v>
      </c>
      <c r="G1056" s="16">
        <f t="shared" ref="G1056:G1119" si="211">G1055+F1056-H1056-J1056</f>
        <v>14.116878841984679</v>
      </c>
      <c r="H1056" s="14">
        <f t="shared" ref="H1056:H1119" si="212">(F1056*(G1055/$C$11)^$C$12)</f>
        <v>0.7551310072659333</v>
      </c>
      <c r="I1056" s="14">
        <f t="shared" ref="I1056:I1119" si="213">(1+$C$13*(C1056-INDEX($A$16:$A$27,B1056)))*INDEX($C$16:$C$27,B1056)</f>
        <v>15.671190933602357</v>
      </c>
      <c r="J1056" s="14">
        <f t="shared" ref="J1056:J1119" si="214">IF(G1055&gt;$F$13,I1056,I1056*(G1055/$F$13))</f>
        <v>2.8311354520019156</v>
      </c>
      <c r="K1056" s="14">
        <f t="shared" ref="K1056:K1119" si="215">K1055+H1056-MAX(0,K1055-$F$9)*$F$8-K1055*$F$10-K1055*$F$12</f>
        <v>9.7256507325130475</v>
      </c>
      <c r="L1056" s="14">
        <f t="shared" ref="L1056:L1119" si="216">L1055+K1055*$F$12-L1055*$F$11</f>
        <v>700.88741128586548</v>
      </c>
      <c r="M1056" s="14">
        <f t="shared" si="210"/>
        <v>0.45136522612705643</v>
      </c>
      <c r="N1056" s="14">
        <f t="shared" ref="N1056:N1119" si="217">M1056*$C$8*1000/(24*3600)</f>
        <v>11.550561515820855</v>
      </c>
      <c r="O1056" s="4">
        <v>7.33</v>
      </c>
      <c r="P1056" s="14">
        <f t="shared" si="207"/>
        <v>17.81313950882803</v>
      </c>
      <c r="Q1056" s="14">
        <f t="shared" ref="Q1056:Q1119" si="218">(O1056-$F$23)^2</f>
        <v>0.63417492435446743</v>
      </c>
    </row>
    <row r="1057" spans="1:17" x14ac:dyDescent="0.25">
      <c r="A1057" s="5" t="s">
        <v>1114</v>
      </c>
      <c r="B1057" s="6">
        <f t="shared" ref="B1057:B1120" si="219">MONTH(A1057)</f>
        <v>3</v>
      </c>
      <c r="C1057" s="70">
        <v>17.593708039999999</v>
      </c>
      <c r="D1057" s="4">
        <v>0</v>
      </c>
      <c r="E1057" s="12">
        <f t="shared" si="208"/>
        <v>0</v>
      </c>
      <c r="F1057" s="12">
        <f t="shared" si="209"/>
        <v>0</v>
      </c>
      <c r="G1057" s="16">
        <f t="shared" si="211"/>
        <v>11.206937268704591</v>
      </c>
      <c r="H1057" s="14">
        <f t="shared" si="212"/>
        <v>0</v>
      </c>
      <c r="I1057" s="14">
        <f t="shared" si="213"/>
        <v>14.722532560474102</v>
      </c>
      <c r="J1057" s="14">
        <f t="shared" si="214"/>
        <v>2.9099415732800886</v>
      </c>
      <c r="K1057" s="14">
        <f t="shared" si="215"/>
        <v>8.9446964320968618</v>
      </c>
      <c r="L1057" s="14">
        <f t="shared" si="216"/>
        <v>701.21700036015466</v>
      </c>
      <c r="M1057" s="14">
        <f t="shared" si="210"/>
        <v>0.42094475900329964</v>
      </c>
      <c r="N1057" s="14">
        <f t="shared" si="217"/>
        <v>10.77209331199416</v>
      </c>
      <c r="O1057" s="4">
        <v>7.2</v>
      </c>
      <c r="P1057" s="14">
        <f t="shared" ref="P1057:P1120" si="220">(O1057-N1057)^2</f>
        <v>12.759850629593407</v>
      </c>
      <c r="Q1057" s="14">
        <f t="shared" si="218"/>
        <v>0.4440236628602135</v>
      </c>
    </row>
    <row r="1058" spans="1:17" x14ac:dyDescent="0.25">
      <c r="A1058" s="5" t="s">
        <v>1115</v>
      </c>
      <c r="B1058" s="6">
        <f t="shared" si="219"/>
        <v>4</v>
      </c>
      <c r="C1058" s="70">
        <v>18.172906879999999</v>
      </c>
      <c r="D1058" s="4">
        <v>0</v>
      </c>
      <c r="E1058" s="12">
        <f t="shared" si="208"/>
        <v>0</v>
      </c>
      <c r="F1058" s="12">
        <f t="shared" si="209"/>
        <v>0</v>
      </c>
      <c r="G1058" s="16">
        <f t="shared" si="211"/>
        <v>8.9442232115228322</v>
      </c>
      <c r="H1058" s="14">
        <f t="shared" si="212"/>
        <v>0</v>
      </c>
      <c r="I1058" s="14">
        <f t="shared" si="213"/>
        <v>14.420478643022989</v>
      </c>
      <c r="J1058" s="14">
        <f t="shared" si="214"/>
        <v>2.2627140571817592</v>
      </c>
      <c r="K1058" s="14">
        <f t="shared" si="215"/>
        <v>8.2326874666793817</v>
      </c>
      <c r="L1058" s="14">
        <f t="shared" si="216"/>
        <v>701.50806456656881</v>
      </c>
      <c r="M1058" s="14">
        <f t="shared" si="210"/>
        <v>0.39320790714245191</v>
      </c>
      <c r="N1058" s="14">
        <f t="shared" si="217"/>
        <v>10.062299568193994</v>
      </c>
      <c r="O1058" s="4">
        <v>5.83</v>
      </c>
      <c r="P1058" s="14">
        <f t="shared" si="220"/>
        <v>17.912359634935072</v>
      </c>
      <c r="Q1058" s="14">
        <f t="shared" si="218"/>
        <v>0.49512190711307374</v>
      </c>
    </row>
    <row r="1059" spans="1:17" x14ac:dyDescent="0.25">
      <c r="A1059" s="5" t="s">
        <v>1116</v>
      </c>
      <c r="B1059" s="6">
        <f t="shared" si="219"/>
        <v>4</v>
      </c>
      <c r="C1059" s="70">
        <v>17.34072304</v>
      </c>
      <c r="D1059" s="4">
        <v>4.2</v>
      </c>
      <c r="E1059" s="12">
        <f t="shared" si="208"/>
        <v>0</v>
      </c>
      <c r="F1059" s="12">
        <f t="shared" si="209"/>
        <v>4.2</v>
      </c>
      <c r="G1059" s="16">
        <f t="shared" si="211"/>
        <v>10.999456716350487</v>
      </c>
      <c r="H1059" s="14">
        <f t="shared" si="212"/>
        <v>0.54349218932411958</v>
      </c>
      <c r="I1059" s="14">
        <f t="shared" si="213"/>
        <v>12.786746279484536</v>
      </c>
      <c r="J1059" s="14">
        <f t="shared" si="214"/>
        <v>1.6012743058482251</v>
      </c>
      <c r="K1059" s="14">
        <f t="shared" si="215"/>
        <v>8.1270292939852613</v>
      </c>
      <c r="L1059" s="14">
        <f t="shared" si="216"/>
        <v>701.76400702144463</v>
      </c>
      <c r="M1059" s="14">
        <f t="shared" si="210"/>
        <v>0.38913723398052918</v>
      </c>
      <c r="N1059" s="14">
        <f t="shared" si="217"/>
        <v>9.9581299112378474</v>
      </c>
      <c r="O1059" s="4">
        <v>5.96</v>
      </c>
      <c r="P1059" s="14">
        <f t="shared" si="220"/>
        <v>15.985042787134757</v>
      </c>
      <c r="Q1059" s="14">
        <f t="shared" si="218"/>
        <v>0.32907316860732799</v>
      </c>
    </row>
    <row r="1060" spans="1:17" x14ac:dyDescent="0.25">
      <c r="A1060" s="5" t="s">
        <v>1117</v>
      </c>
      <c r="B1060" s="6">
        <f t="shared" si="219"/>
        <v>4</v>
      </c>
      <c r="C1060" s="70">
        <v>17.51978493</v>
      </c>
      <c r="D1060" s="4">
        <v>1</v>
      </c>
      <c r="E1060" s="12">
        <f t="shared" si="208"/>
        <v>0</v>
      </c>
      <c r="F1060" s="12">
        <f t="shared" si="209"/>
        <v>1</v>
      </c>
      <c r="G1060" s="16">
        <f t="shared" si="211"/>
        <v>9.8316120692590907</v>
      </c>
      <c r="H1060" s="14">
        <f t="shared" si="212"/>
        <v>0.14448656755317699</v>
      </c>
      <c r="I1060" s="14">
        <f t="shared" si="213"/>
        <v>13.138278225561933</v>
      </c>
      <c r="J1060" s="14">
        <f t="shared" si="214"/>
        <v>2.02335807953822</v>
      </c>
      <c r="K1060" s="14">
        <f t="shared" si="215"/>
        <v>7.6316933668587419</v>
      </c>
      <c r="L1060" s="14">
        <f t="shared" si="216"/>
        <v>702.01469228214387</v>
      </c>
      <c r="M1060" s="14">
        <f t="shared" si="210"/>
        <v>0.36985131237175339</v>
      </c>
      <c r="N1060" s="14">
        <f t="shared" si="217"/>
        <v>9.4645978200688283</v>
      </c>
      <c r="O1060" s="4">
        <v>5.21</v>
      </c>
      <c r="P1060" s="14">
        <f t="shared" si="220"/>
        <v>18.101602610534428</v>
      </c>
      <c r="Q1060" s="14">
        <f t="shared" si="218"/>
        <v>1.7520466599866313</v>
      </c>
    </row>
    <row r="1061" spans="1:17" x14ac:dyDescent="0.25">
      <c r="A1061" s="5" t="s">
        <v>1118</v>
      </c>
      <c r="B1061" s="6">
        <f t="shared" si="219"/>
        <v>4</v>
      </c>
      <c r="C1061" s="70">
        <v>16.51310539</v>
      </c>
      <c r="D1061" s="4">
        <v>1.9</v>
      </c>
      <c r="E1061" s="12">
        <f t="shared" si="208"/>
        <v>0</v>
      </c>
      <c r="F1061" s="12">
        <f t="shared" si="209"/>
        <v>1.9</v>
      </c>
      <c r="G1061" s="16">
        <f t="shared" si="211"/>
        <v>9.9365438322599005</v>
      </c>
      <c r="H1061" s="14">
        <f t="shared" si="212"/>
        <v>0.25858098151245595</v>
      </c>
      <c r="I1061" s="14">
        <f t="shared" si="213"/>
        <v>11.161978200065157</v>
      </c>
      <c r="J1061" s="14">
        <f t="shared" si="214"/>
        <v>1.5364872554867355</v>
      </c>
      <c r="K1061" s="14">
        <f t="shared" si="215"/>
        <v>7.2941818151174562</v>
      </c>
      <c r="L1061" s="14">
        <f t="shared" si="216"/>
        <v>702.24093350302587</v>
      </c>
      <c r="M1061" s="14">
        <f t="shared" si="210"/>
        <v>0.35672209629830909</v>
      </c>
      <c r="N1061" s="14">
        <f t="shared" si="217"/>
        <v>9.128617533744924</v>
      </c>
      <c r="O1061" s="4">
        <v>5.19</v>
      </c>
      <c r="P1061" s="14">
        <f t="shared" si="220"/>
        <v>15.512708077122944</v>
      </c>
      <c r="Q1061" s="14">
        <f t="shared" si="218"/>
        <v>1.8053926197567449</v>
      </c>
    </row>
    <row r="1062" spans="1:17" x14ac:dyDescent="0.25">
      <c r="A1062" s="5" t="s">
        <v>1119</v>
      </c>
      <c r="B1062" s="6">
        <f t="shared" si="219"/>
        <v>4</v>
      </c>
      <c r="C1062" s="70">
        <v>16.949405670000001</v>
      </c>
      <c r="D1062" s="4">
        <v>0.2</v>
      </c>
      <c r="E1062" s="12">
        <f t="shared" si="208"/>
        <v>0</v>
      </c>
      <c r="F1062" s="12">
        <f t="shared" si="209"/>
        <v>0.2</v>
      </c>
      <c r="G1062" s="16">
        <f t="shared" si="211"/>
        <v>8.4371201602378854</v>
      </c>
      <c r="H1062" s="14">
        <f t="shared" si="212"/>
        <v>2.7373522103475878E-2</v>
      </c>
      <c r="I1062" s="14">
        <f t="shared" si="213"/>
        <v>12.018517168253835</v>
      </c>
      <c r="J1062" s="14">
        <f t="shared" si="214"/>
        <v>1.6720501499185394</v>
      </c>
      <c r="K1062" s="14">
        <f t="shared" si="215"/>
        <v>6.7552594860372368</v>
      </c>
      <c r="L1062" s="14">
        <f t="shared" si="216"/>
        <v>702.45050725791123</v>
      </c>
      <c r="M1062" s="14">
        <f t="shared" si="210"/>
        <v>0.3357256796626622</v>
      </c>
      <c r="N1062" s="14">
        <f t="shared" si="217"/>
        <v>8.5913133997007645</v>
      </c>
      <c r="O1062" s="4">
        <v>5.57</v>
      </c>
      <c r="P1062" s="14">
        <f t="shared" si="220"/>
        <v>9.1283346592113901</v>
      </c>
      <c r="Q1062" s="14">
        <f t="shared" si="218"/>
        <v>0.92861938412456502</v>
      </c>
    </row>
    <row r="1063" spans="1:17" x14ac:dyDescent="0.25">
      <c r="A1063" s="5" t="s">
        <v>1120</v>
      </c>
      <c r="B1063" s="6">
        <f t="shared" si="219"/>
        <v>4</v>
      </c>
      <c r="C1063" s="70">
        <v>17.346443180000001</v>
      </c>
      <c r="D1063" s="4">
        <v>1.9</v>
      </c>
      <c r="E1063" s="12">
        <f t="shared" si="208"/>
        <v>0</v>
      </c>
      <c r="F1063" s="12">
        <f t="shared" si="209"/>
        <v>1.9</v>
      </c>
      <c r="G1063" s="16">
        <f t="shared" si="211"/>
        <v>8.5869716313195994</v>
      </c>
      <c r="H1063" s="14">
        <f t="shared" si="212"/>
        <v>0.23833376076683851</v>
      </c>
      <c r="I1063" s="14">
        <f t="shared" si="213"/>
        <v>12.797975983058175</v>
      </c>
      <c r="J1063" s="14">
        <f t="shared" si="214"/>
        <v>1.5118147681514484</v>
      </c>
      <c r="K1063" s="14">
        <f t="shared" si="215"/>
        <v>6.4748753147084992</v>
      </c>
      <c r="L1063" s="14">
        <f t="shared" si="216"/>
        <v>702.63349951034411</v>
      </c>
      <c r="M1063" s="14">
        <f t="shared" si="210"/>
        <v>0.32481766591227329</v>
      </c>
      <c r="N1063" s="14">
        <f t="shared" si="217"/>
        <v>8.3121742978244928</v>
      </c>
      <c r="O1063" s="4">
        <v>5.47</v>
      </c>
      <c r="P1063" s="14">
        <f t="shared" si="220"/>
        <v>8.0779547392141495</v>
      </c>
      <c r="Q1063" s="14">
        <f t="shared" si="218"/>
        <v>1.1313491829751399</v>
      </c>
    </row>
    <row r="1064" spans="1:17" x14ac:dyDescent="0.25">
      <c r="A1064" s="5" t="s">
        <v>1121</v>
      </c>
      <c r="B1064" s="6">
        <f t="shared" si="219"/>
        <v>4</v>
      </c>
      <c r="C1064" s="70">
        <v>18.4371109</v>
      </c>
      <c r="D1064" s="4">
        <v>8.4</v>
      </c>
      <c r="E1064" s="12">
        <f t="shared" si="208"/>
        <v>0</v>
      </c>
      <c r="F1064" s="12">
        <f t="shared" si="209"/>
        <v>8.4</v>
      </c>
      <c r="G1064" s="16">
        <f t="shared" si="211"/>
        <v>14.127255817214502</v>
      </c>
      <c r="H1064" s="14">
        <f t="shared" si="212"/>
        <v>1.0636209147581568</v>
      </c>
      <c r="I1064" s="14">
        <f t="shared" si="213"/>
        <v>14.93916049828584</v>
      </c>
      <c r="J1064" s="14">
        <f t="shared" si="214"/>
        <v>1.7960948993469379</v>
      </c>
      <c r="K1064" s="14">
        <f t="shared" si="215"/>
        <v>7.0445315775697965</v>
      </c>
      <c r="L1064" s="14">
        <f t="shared" si="216"/>
        <v>702.80264649632875</v>
      </c>
      <c r="M1064" s="14">
        <f t="shared" si="210"/>
        <v>0.34709470044516655</v>
      </c>
      <c r="N1064" s="14">
        <f t="shared" si="217"/>
        <v>8.8822497995863792</v>
      </c>
      <c r="O1064" s="4">
        <v>4.97</v>
      </c>
      <c r="P1064" s="14">
        <f t="shared" si="220"/>
        <v>15.305698494363666</v>
      </c>
      <c r="Q1064" s="14">
        <f t="shared" si="218"/>
        <v>2.4449981772280092</v>
      </c>
    </row>
    <row r="1065" spans="1:17" x14ac:dyDescent="0.25">
      <c r="A1065" s="5" t="s">
        <v>1122</v>
      </c>
      <c r="B1065" s="6">
        <f t="shared" si="219"/>
        <v>4</v>
      </c>
      <c r="C1065" s="70">
        <v>16.71845055</v>
      </c>
      <c r="D1065" s="4">
        <v>0.6</v>
      </c>
      <c r="E1065" s="12">
        <f t="shared" si="208"/>
        <v>0</v>
      </c>
      <c r="F1065" s="12">
        <f t="shared" si="209"/>
        <v>0.6</v>
      </c>
      <c r="G1065" s="16">
        <f t="shared" si="211"/>
        <v>12.34064209310775</v>
      </c>
      <c r="H1065" s="14">
        <f t="shared" si="212"/>
        <v>9.9063687201274564E-2</v>
      </c>
      <c r="I1065" s="14">
        <f t="shared" si="213"/>
        <v>11.565109115931035</v>
      </c>
      <c r="J1065" s="14">
        <f t="shared" si="214"/>
        <v>2.2875500369054778</v>
      </c>
      <c r="K1065" s="14">
        <f t="shared" si="215"/>
        <v>6.5993393962740177</v>
      </c>
      <c r="L1065" s="14">
        <f t="shared" si="216"/>
        <v>702.99980766438068</v>
      </c>
      <c r="M1065" s="14">
        <f t="shared" si="210"/>
        <v>0.32975513131400469</v>
      </c>
      <c r="N1065" s="14">
        <f t="shared" si="217"/>
        <v>8.4385254089729678</v>
      </c>
      <c r="O1065" s="4">
        <v>4.83</v>
      </c>
      <c r="P1065" s="14">
        <f t="shared" si="220"/>
        <v>13.021455627203524</v>
      </c>
      <c r="Q1065" s="14">
        <f t="shared" si="218"/>
        <v>2.9024198956188112</v>
      </c>
    </row>
    <row r="1066" spans="1:17" x14ac:dyDescent="0.25">
      <c r="A1066" s="5" t="s">
        <v>1123</v>
      </c>
      <c r="B1066" s="6">
        <f t="shared" si="219"/>
        <v>4</v>
      </c>
      <c r="C1066" s="70">
        <v>16.25576401</v>
      </c>
      <c r="D1066" s="4">
        <v>3</v>
      </c>
      <c r="E1066" s="12">
        <f t="shared" si="208"/>
        <v>0</v>
      </c>
      <c r="F1066" s="12">
        <f t="shared" si="209"/>
        <v>3</v>
      </c>
      <c r="G1066" s="16">
        <f t="shared" si="211"/>
        <v>13.038458968787021</v>
      </c>
      <c r="H1066" s="14">
        <f t="shared" si="212"/>
        <v>0.46087543504005668</v>
      </c>
      <c r="I1066" s="14">
        <f t="shared" si="213"/>
        <v>10.656768989341181</v>
      </c>
      <c r="J1066" s="14">
        <f t="shared" si="214"/>
        <v>1.8413076892806715</v>
      </c>
      <c r="K1066" s="14">
        <f t="shared" si="215"/>
        <v>6.5552620616819421</v>
      </c>
      <c r="L1066" s="14">
        <f t="shared" si="216"/>
        <v>703.17500530269876</v>
      </c>
      <c r="M1066" s="14">
        <f t="shared" si="210"/>
        <v>0.32807154851809384</v>
      </c>
      <c r="N1066" s="14">
        <f t="shared" si="217"/>
        <v>8.3954420575637201</v>
      </c>
      <c r="O1066" s="4">
        <v>4.84</v>
      </c>
      <c r="P1066" s="14">
        <f t="shared" si="220"/>
        <v>12.64116822469294</v>
      </c>
      <c r="Q1066" s="14">
        <f t="shared" si="218"/>
        <v>2.8684469157337547</v>
      </c>
    </row>
    <row r="1067" spans="1:17" x14ac:dyDescent="0.25">
      <c r="A1067" s="5" t="s">
        <v>1124</v>
      </c>
      <c r="B1067" s="6">
        <f t="shared" si="219"/>
        <v>4</v>
      </c>
      <c r="C1067" s="70">
        <v>16.98812294</v>
      </c>
      <c r="D1067" s="4">
        <v>0.7</v>
      </c>
      <c r="E1067" s="12">
        <f t="shared" si="208"/>
        <v>0</v>
      </c>
      <c r="F1067" s="12">
        <f t="shared" si="209"/>
        <v>0.7</v>
      </c>
      <c r="G1067" s="16">
        <f t="shared" si="211"/>
        <v>11.419827749538523</v>
      </c>
      <c r="H1067" s="14">
        <f t="shared" si="212"/>
        <v>0.11073736867467959</v>
      </c>
      <c r="I1067" s="14">
        <f t="shared" si="213"/>
        <v>12.094526403216694</v>
      </c>
      <c r="J1067" s="14">
        <f t="shared" si="214"/>
        <v>2.2078938505738162</v>
      </c>
      <c r="K1067" s="14">
        <f t="shared" si="215"/>
        <v>6.1649379596105849</v>
      </c>
      <c r="L1067" s="14">
        <f t="shared" si="216"/>
        <v>703.34799522492676</v>
      </c>
      <c r="M1067" s="14">
        <f t="shared" si="210"/>
        <v>0.31286903622744994</v>
      </c>
      <c r="N1067" s="14">
        <f t="shared" si="217"/>
        <v>8.0064055451260625</v>
      </c>
      <c r="O1067" s="4">
        <v>4.87</v>
      </c>
      <c r="P1067" s="14">
        <f t="shared" si="220"/>
        <v>9.8370397434975132</v>
      </c>
      <c r="Q1067" s="14">
        <f t="shared" si="218"/>
        <v>2.7677279760785818</v>
      </c>
    </row>
    <row r="1068" spans="1:17" x14ac:dyDescent="0.25">
      <c r="A1068" s="5" t="s">
        <v>1125</v>
      </c>
      <c r="B1068" s="6">
        <f t="shared" si="219"/>
        <v>4</v>
      </c>
      <c r="C1068" s="70">
        <v>15.80809212</v>
      </c>
      <c r="D1068" s="4">
        <v>0</v>
      </c>
      <c r="E1068" s="12">
        <f t="shared" si="208"/>
        <v>0</v>
      </c>
      <c r="F1068" s="12">
        <f t="shared" si="209"/>
        <v>0</v>
      </c>
      <c r="G1068" s="16">
        <f t="shared" si="211"/>
        <v>9.8564337385159178</v>
      </c>
      <c r="H1068" s="14">
        <f t="shared" si="212"/>
        <v>0</v>
      </c>
      <c r="I1068" s="14">
        <f t="shared" si="213"/>
        <v>9.7779054260455638</v>
      </c>
      <c r="J1068" s="14">
        <f t="shared" si="214"/>
        <v>1.5633940110226066</v>
      </c>
      <c r="K1068" s="14">
        <f t="shared" si="215"/>
        <v>5.6983356447473419</v>
      </c>
      <c r="L1068" s="14">
        <f t="shared" si="216"/>
        <v>703.5017285035625</v>
      </c>
      <c r="M1068" s="14">
        <f t="shared" si="210"/>
        <v>0.29468430324732753</v>
      </c>
      <c r="N1068" s="14">
        <f t="shared" si="217"/>
        <v>7.5410531768500135</v>
      </c>
      <c r="O1068" s="4">
        <v>4.58</v>
      </c>
      <c r="P1068" s="14">
        <f t="shared" si="220"/>
        <v>8.7678359161335564</v>
      </c>
      <c r="Q1068" s="14">
        <f t="shared" si="218"/>
        <v>3.8167443927452456</v>
      </c>
    </row>
    <row r="1069" spans="1:17" x14ac:dyDescent="0.25">
      <c r="A1069" s="5" t="s">
        <v>1126</v>
      </c>
      <c r="B1069" s="6">
        <f t="shared" si="219"/>
        <v>4</v>
      </c>
      <c r="C1069" s="70">
        <v>14.996763229999999</v>
      </c>
      <c r="D1069" s="4">
        <v>3.3</v>
      </c>
      <c r="E1069" s="12">
        <f t="shared" si="208"/>
        <v>0</v>
      </c>
      <c r="F1069" s="12">
        <f t="shared" si="209"/>
        <v>3.3</v>
      </c>
      <c r="G1069" s="16">
        <f t="shared" si="211"/>
        <v>11.577159616036472</v>
      </c>
      <c r="H1069" s="14">
        <f t="shared" si="212"/>
        <v>0.44971839377588108</v>
      </c>
      <c r="I1069" s="14">
        <f t="shared" si="213"/>
        <v>8.1851152259057347</v>
      </c>
      <c r="J1069" s="14">
        <f t="shared" si="214"/>
        <v>1.1295557287035654</v>
      </c>
      <c r="K1069" s="14">
        <f t="shared" si="215"/>
        <v>5.72264498284592</v>
      </c>
      <c r="L1069" s="14">
        <f t="shared" si="216"/>
        <v>703.63245325599257</v>
      </c>
      <c r="M1069" s="14">
        <f t="shared" si="210"/>
        <v>0.29566125686084671</v>
      </c>
      <c r="N1069" s="14">
        <f t="shared" si="217"/>
        <v>7.5660536911959735</v>
      </c>
      <c r="O1069" s="4">
        <v>4.6500000000000004</v>
      </c>
      <c r="P1069" s="14">
        <f t="shared" si="220"/>
        <v>8.5033691299376599</v>
      </c>
      <c r="Q1069" s="14">
        <f t="shared" si="218"/>
        <v>3.548133533549843</v>
      </c>
    </row>
    <row r="1070" spans="1:17" x14ac:dyDescent="0.25">
      <c r="A1070" s="5" t="s">
        <v>1127</v>
      </c>
      <c r="B1070" s="6">
        <f t="shared" si="219"/>
        <v>4</v>
      </c>
      <c r="C1070" s="70">
        <v>13.953808779999999</v>
      </c>
      <c r="D1070" s="4">
        <v>6.4</v>
      </c>
      <c r="E1070" s="12">
        <f t="shared" si="208"/>
        <v>0</v>
      </c>
      <c r="F1070" s="12">
        <f t="shared" si="209"/>
        <v>6.4</v>
      </c>
      <c r="G1070" s="16">
        <f t="shared" si="211"/>
        <v>16.032002361011877</v>
      </c>
      <c r="H1070" s="14">
        <f t="shared" si="212"/>
        <v>0.9502932563388935</v>
      </c>
      <c r="I1070" s="14">
        <f t="shared" si="213"/>
        <v>6.1376007744577823</v>
      </c>
      <c r="J1070" s="14">
        <f t="shared" si="214"/>
        <v>0.99486399868570197</v>
      </c>
      <c r="K1070" s="14">
        <f t="shared" si="215"/>
        <v>6.2453830714265477</v>
      </c>
      <c r="L1070" s="14">
        <f t="shared" si="216"/>
        <v>703.76434716689005</v>
      </c>
      <c r="M1070" s="14">
        <f t="shared" si="210"/>
        <v>0.31609853644231034</v>
      </c>
      <c r="N1070" s="14">
        <f t="shared" si="217"/>
        <v>8.0890493527077343</v>
      </c>
      <c r="O1070" s="4">
        <v>5</v>
      </c>
      <c r="P1070" s="14">
        <f t="shared" si="220"/>
        <v>9.5422259034640717</v>
      </c>
      <c r="Q1070" s="14">
        <f t="shared" si="218"/>
        <v>2.3520792375728359</v>
      </c>
    </row>
    <row r="1071" spans="1:17" x14ac:dyDescent="0.25">
      <c r="A1071" s="5" t="s">
        <v>1128</v>
      </c>
      <c r="B1071" s="6">
        <f t="shared" si="219"/>
        <v>4</v>
      </c>
      <c r="C1071" s="70">
        <v>17.83756065</v>
      </c>
      <c r="D1071" s="4">
        <v>0.2</v>
      </c>
      <c r="E1071" s="12">
        <f t="shared" si="208"/>
        <v>0</v>
      </c>
      <c r="F1071" s="12">
        <f t="shared" si="209"/>
        <v>0.2</v>
      </c>
      <c r="G1071" s="16">
        <f t="shared" si="211"/>
        <v>13.107545623588226</v>
      </c>
      <c r="H1071" s="14">
        <f t="shared" si="212"/>
        <v>3.5324322681109181E-2</v>
      </c>
      <c r="I1071" s="14">
        <f t="shared" si="213"/>
        <v>13.762131337286304</v>
      </c>
      <c r="J1071" s="14">
        <f t="shared" si="214"/>
        <v>3.089132414742541</v>
      </c>
      <c r="K1071" s="14">
        <f t="shared" si="215"/>
        <v>5.8070031077459481</v>
      </c>
      <c r="L1071" s="14">
        <f t="shared" si="216"/>
        <v>703.92195291680946</v>
      </c>
      <c r="M1071" s="14">
        <f t="shared" si="210"/>
        <v>0.29901650931088963</v>
      </c>
      <c r="N1071" s="14">
        <f t="shared" si="217"/>
        <v>7.6519155334071414</v>
      </c>
      <c r="O1071" s="4">
        <v>5.19</v>
      </c>
      <c r="P1071" s="14">
        <f t="shared" si="220"/>
        <v>6.0610280936313679</v>
      </c>
      <c r="Q1071" s="14">
        <f t="shared" si="218"/>
        <v>1.8053926197567449</v>
      </c>
    </row>
    <row r="1072" spans="1:17" x14ac:dyDescent="0.25">
      <c r="A1072" s="5" t="s">
        <v>1129</v>
      </c>
      <c r="B1072" s="6">
        <f t="shared" si="219"/>
        <v>4</v>
      </c>
      <c r="C1072" s="70">
        <v>17.33104324</v>
      </c>
      <c r="D1072" s="4">
        <v>0</v>
      </c>
      <c r="E1072" s="12">
        <f t="shared" si="208"/>
        <v>0</v>
      </c>
      <c r="F1072" s="12">
        <f t="shared" si="209"/>
        <v>0</v>
      </c>
      <c r="G1072" s="16">
        <f t="shared" si="211"/>
        <v>10.764403835617815</v>
      </c>
      <c r="H1072" s="14">
        <f t="shared" si="212"/>
        <v>0</v>
      </c>
      <c r="I1072" s="14">
        <f t="shared" si="213"/>
        <v>12.767743023506167</v>
      </c>
      <c r="J1072" s="14">
        <f t="shared" si="214"/>
        <v>2.3431417879704122</v>
      </c>
      <c r="K1072" s="14">
        <f t="shared" si="215"/>
        <v>5.3720005142189837</v>
      </c>
      <c r="L1072" s="14">
        <f t="shared" si="216"/>
        <v>704.05793900102549</v>
      </c>
      <c r="M1072" s="14">
        <f t="shared" si="210"/>
        <v>0.28206173875442808</v>
      </c>
      <c r="N1072" s="14">
        <f t="shared" si="217"/>
        <v>7.2180382452088017</v>
      </c>
      <c r="O1072" s="4">
        <v>4.87</v>
      </c>
      <c r="P1072" s="14">
        <f t="shared" si="220"/>
        <v>5.513283600963228</v>
      </c>
      <c r="Q1072" s="14">
        <f t="shared" si="218"/>
        <v>2.7677279760785818</v>
      </c>
    </row>
    <row r="1073" spans="1:17" x14ac:dyDescent="0.25">
      <c r="A1073" s="5" t="s">
        <v>1130</v>
      </c>
      <c r="B1073" s="6">
        <f t="shared" si="219"/>
        <v>4</v>
      </c>
      <c r="C1073" s="70">
        <v>18.28767204</v>
      </c>
      <c r="D1073" s="4">
        <v>3.7</v>
      </c>
      <c r="E1073" s="12">
        <f t="shared" si="208"/>
        <v>0</v>
      </c>
      <c r="F1073" s="12">
        <f t="shared" si="209"/>
        <v>3.7</v>
      </c>
      <c r="G1073" s="16">
        <f t="shared" si="211"/>
        <v>11.728602039082851</v>
      </c>
      <c r="H1073" s="14">
        <f t="shared" si="212"/>
        <v>0.52847991684632822</v>
      </c>
      <c r="I1073" s="14">
        <f t="shared" si="213"/>
        <v>14.645784094879241</v>
      </c>
      <c r="J1073" s="14">
        <f t="shared" si="214"/>
        <v>2.2073218796886374</v>
      </c>
      <c r="K1073" s="14">
        <f t="shared" si="215"/>
        <v>5.503881364505343</v>
      </c>
      <c r="L1073" s="14">
        <f t="shared" si="216"/>
        <v>704.17247632883107</v>
      </c>
      <c r="M1073" s="14">
        <f t="shared" si="210"/>
        <v>0.28723514198861688</v>
      </c>
      <c r="N1073" s="14">
        <f t="shared" si="217"/>
        <v>7.3504270710281476</v>
      </c>
      <c r="O1073" s="4">
        <v>4.9000000000000004</v>
      </c>
      <c r="P1073" s="14">
        <f t="shared" si="220"/>
        <v>6.0045928304275851</v>
      </c>
      <c r="Q1073" s="14">
        <f t="shared" si="218"/>
        <v>2.6688090364234087</v>
      </c>
    </row>
    <row r="1074" spans="1:17" x14ac:dyDescent="0.25">
      <c r="A1074" s="5" t="s">
        <v>1131</v>
      </c>
      <c r="B1074" s="6">
        <f t="shared" si="219"/>
        <v>4</v>
      </c>
      <c r="C1074" s="70">
        <v>18.609998699999998</v>
      </c>
      <c r="D1074" s="4">
        <v>0</v>
      </c>
      <c r="E1074" s="12">
        <f t="shared" si="208"/>
        <v>0</v>
      </c>
      <c r="F1074" s="12">
        <f t="shared" si="209"/>
        <v>0</v>
      </c>
      <c r="G1074" s="16">
        <f t="shared" si="211"/>
        <v>9.2196517226547439</v>
      </c>
      <c r="H1074" s="14">
        <f t="shared" si="212"/>
        <v>0</v>
      </c>
      <c r="I1074" s="14">
        <f t="shared" si="213"/>
        <v>15.278571552123367</v>
      </c>
      <c r="J1074" s="14">
        <f t="shared" si="214"/>
        <v>2.5089503164281068</v>
      </c>
      <c r="K1074" s="14">
        <f t="shared" si="215"/>
        <v>5.0956394023264338</v>
      </c>
      <c r="L1074" s="14">
        <f t="shared" si="216"/>
        <v>704.29348314902131</v>
      </c>
      <c r="M1074" s="14">
        <f t="shared" si="210"/>
        <v>0.27132199165429705</v>
      </c>
      <c r="N1074" s="14">
        <f t="shared" si="217"/>
        <v>6.9432051336533656</v>
      </c>
      <c r="O1074" s="4">
        <v>5.22</v>
      </c>
      <c r="P1074" s="14">
        <f t="shared" si="220"/>
        <v>2.9694359326493145</v>
      </c>
      <c r="Q1074" s="14">
        <f t="shared" si="218"/>
        <v>1.7256736801015744</v>
      </c>
    </row>
    <row r="1075" spans="1:17" x14ac:dyDescent="0.25">
      <c r="A1075" s="5" t="s">
        <v>1132</v>
      </c>
      <c r="B1075" s="6">
        <f t="shared" si="219"/>
        <v>4</v>
      </c>
      <c r="C1075" s="70">
        <v>17.977062230000001</v>
      </c>
      <c r="D1075" s="4">
        <v>0.6</v>
      </c>
      <c r="E1075" s="12">
        <f t="shared" si="208"/>
        <v>0</v>
      </c>
      <c r="F1075" s="12">
        <f t="shared" si="209"/>
        <v>0.6</v>
      </c>
      <c r="G1075" s="16">
        <f t="shared" si="211"/>
        <v>7.9289001114673923</v>
      </c>
      <c r="H1075" s="14">
        <f t="shared" si="212"/>
        <v>7.8907191865400725E-2</v>
      </c>
      <c r="I1075" s="14">
        <f t="shared" si="213"/>
        <v>14.035999003366856</v>
      </c>
      <c r="J1075" s="14">
        <f t="shared" si="214"/>
        <v>1.8118444193219505</v>
      </c>
      <c r="K1075" s="14">
        <f t="shared" si="215"/>
        <v>4.8023456382894194</v>
      </c>
      <c r="L1075" s="14">
        <f t="shared" si="216"/>
        <v>704.39436211326938</v>
      </c>
      <c r="M1075" s="14">
        <f t="shared" si="210"/>
        <v>0.25989245833637825</v>
      </c>
      <c r="N1075" s="14">
        <f t="shared" si="217"/>
        <v>6.6507202011774567</v>
      </c>
      <c r="O1075" s="4">
        <v>4.58</v>
      </c>
      <c r="P1075" s="14">
        <f t="shared" si="220"/>
        <v>4.2878821515644061</v>
      </c>
      <c r="Q1075" s="14">
        <f t="shared" si="218"/>
        <v>3.8167443927452456</v>
      </c>
    </row>
    <row r="1076" spans="1:17" x14ac:dyDescent="0.25">
      <c r="A1076" s="5" t="s">
        <v>1133</v>
      </c>
      <c r="B1076" s="6">
        <f t="shared" si="219"/>
        <v>4</v>
      </c>
      <c r="C1076" s="70">
        <v>18.381120679999999</v>
      </c>
      <c r="D1076" s="4">
        <v>0.2</v>
      </c>
      <c r="E1076" s="12">
        <f t="shared" si="208"/>
        <v>0</v>
      </c>
      <c r="F1076" s="12">
        <f t="shared" si="209"/>
        <v>0.2</v>
      </c>
      <c r="G1076" s="16">
        <f t="shared" si="211"/>
        <v>6.4583828017190399</v>
      </c>
      <c r="H1076" s="14">
        <f t="shared" si="212"/>
        <v>2.4270542814995615E-2</v>
      </c>
      <c r="I1076" s="14">
        <f t="shared" si="213"/>
        <v>14.829241235186906</v>
      </c>
      <c r="J1076" s="14">
        <f t="shared" si="214"/>
        <v>1.646246766933356</v>
      </c>
      <c r="K1076" s="14">
        <f t="shared" si="215"/>
        <v>4.4803082087015298</v>
      </c>
      <c r="L1076" s="14">
        <f t="shared" si="216"/>
        <v>704.48077762733578</v>
      </c>
      <c r="M1076" s="14">
        <f t="shared" si="210"/>
        <v>0.24733760941117761</v>
      </c>
      <c r="N1076" s="14">
        <f t="shared" si="217"/>
        <v>6.3294381297235383</v>
      </c>
      <c r="O1076" s="4">
        <v>4.18</v>
      </c>
      <c r="P1076" s="14">
        <f t="shared" si="220"/>
        <v>4.6200842735094234</v>
      </c>
      <c r="Q1076" s="14">
        <f t="shared" si="218"/>
        <v>5.5396635881475422</v>
      </c>
    </row>
    <row r="1077" spans="1:17" x14ac:dyDescent="0.25">
      <c r="A1077" s="5" t="s">
        <v>1134</v>
      </c>
      <c r="B1077" s="6">
        <f t="shared" si="219"/>
        <v>4</v>
      </c>
      <c r="C1077" s="70">
        <v>19.609771729999999</v>
      </c>
      <c r="D1077" s="4">
        <v>3.5</v>
      </c>
      <c r="E1077" s="12">
        <f t="shared" si="208"/>
        <v>0</v>
      </c>
      <c r="F1077" s="12">
        <f t="shared" si="209"/>
        <v>3.5</v>
      </c>
      <c r="G1077" s="16">
        <f t="shared" si="211"/>
        <v>8.0186033380904451</v>
      </c>
      <c r="H1077" s="14">
        <f t="shared" si="212"/>
        <v>0.38073977010695459</v>
      </c>
      <c r="I1077" s="14">
        <f t="shared" si="213"/>
        <v>17.241312808074582</v>
      </c>
      <c r="J1077" s="14">
        <f t="shared" si="214"/>
        <v>1.5590396935216406</v>
      </c>
      <c r="K1077" s="14">
        <f t="shared" si="215"/>
        <v>4.5431705796839941</v>
      </c>
      <c r="L1077" s="14">
        <f t="shared" si="216"/>
        <v>704.55131741704906</v>
      </c>
      <c r="M1077" s="14">
        <f t="shared" si="210"/>
        <v>0.24980696213901654</v>
      </c>
      <c r="N1077" s="14">
        <f t="shared" si="217"/>
        <v>6.3926295519602503</v>
      </c>
      <c r="O1077" s="4">
        <v>4.09</v>
      </c>
      <c r="P1077" s="14">
        <f t="shared" si="220"/>
        <v>5.3021028535606636</v>
      </c>
      <c r="Q1077" s="14">
        <f t="shared" si="218"/>
        <v>5.9714204071130581</v>
      </c>
    </row>
    <row r="1078" spans="1:17" x14ac:dyDescent="0.25">
      <c r="A1078" s="5" t="s">
        <v>1135</v>
      </c>
      <c r="B1078" s="6">
        <f t="shared" si="219"/>
        <v>4</v>
      </c>
      <c r="C1078" s="70">
        <v>19.561639790000001</v>
      </c>
      <c r="D1078" s="4">
        <v>0</v>
      </c>
      <c r="E1078" s="12">
        <f t="shared" si="208"/>
        <v>0</v>
      </c>
      <c r="F1078" s="12">
        <f t="shared" si="209"/>
        <v>0</v>
      </c>
      <c r="G1078" s="16">
        <f t="shared" si="211"/>
        <v>6.0935383372527756</v>
      </c>
      <c r="H1078" s="14">
        <f t="shared" si="212"/>
        <v>0</v>
      </c>
      <c r="I1078" s="14">
        <f t="shared" si="213"/>
        <v>17.146820816860373</v>
      </c>
      <c r="J1078" s="14">
        <f t="shared" si="214"/>
        <v>1.92506500083767</v>
      </c>
      <c r="K1078" s="14">
        <f t="shared" si="215"/>
        <v>4.2197434739711817</v>
      </c>
      <c r="L1078" s="14">
        <f t="shared" si="216"/>
        <v>704.62493756062293</v>
      </c>
      <c r="M1078" s="14">
        <f t="shared" si="210"/>
        <v>0.23719513054654728</v>
      </c>
      <c r="N1078" s="14">
        <f t="shared" si="217"/>
        <v>6.0698892782224085</v>
      </c>
      <c r="O1078" s="4">
        <v>3.83</v>
      </c>
      <c r="P1078" s="14">
        <f t="shared" si="220"/>
        <v>5.0171039786957019</v>
      </c>
      <c r="Q1078" s="14">
        <f t="shared" si="218"/>
        <v>7.3097178841245487</v>
      </c>
    </row>
    <row r="1079" spans="1:17" x14ac:dyDescent="0.25">
      <c r="A1079" s="5" t="s">
        <v>1136</v>
      </c>
      <c r="B1079" s="6">
        <f t="shared" si="219"/>
        <v>4</v>
      </c>
      <c r="C1079" s="70">
        <v>16.004650120000001</v>
      </c>
      <c r="D1079" s="4">
        <v>0</v>
      </c>
      <c r="E1079" s="12">
        <f t="shared" si="208"/>
        <v>0</v>
      </c>
      <c r="F1079" s="12">
        <f t="shared" si="209"/>
        <v>0</v>
      </c>
      <c r="G1079" s="16">
        <f t="shared" si="211"/>
        <v>5.2264005791049977</v>
      </c>
      <c r="H1079" s="14">
        <f t="shared" si="212"/>
        <v>0</v>
      </c>
      <c r="I1079" s="14">
        <f t="shared" si="213"/>
        <v>10.163785505034355</v>
      </c>
      <c r="J1079" s="14">
        <f t="shared" si="214"/>
        <v>0.86713775814777772</v>
      </c>
      <c r="K1079" s="14">
        <f t="shared" si="215"/>
        <v>3.9248696269306733</v>
      </c>
      <c r="L1079" s="14">
        <f t="shared" si="216"/>
        <v>704.68261627711695</v>
      </c>
      <c r="M1079" s="14">
        <f t="shared" si="210"/>
        <v>0.22569470348214002</v>
      </c>
      <c r="N1079" s="14">
        <f t="shared" si="217"/>
        <v>5.7755901550811526</v>
      </c>
      <c r="O1079" s="4">
        <v>3.51</v>
      </c>
      <c r="P1079" s="14">
        <f t="shared" si="220"/>
        <v>5.1328987508006421</v>
      </c>
      <c r="Q1079" s="14">
        <f t="shared" si="218"/>
        <v>9.1424532404463861</v>
      </c>
    </row>
    <row r="1080" spans="1:17" x14ac:dyDescent="0.25">
      <c r="A1080" s="5" t="s">
        <v>1137</v>
      </c>
      <c r="B1080" s="6">
        <f t="shared" si="219"/>
        <v>4</v>
      </c>
      <c r="C1080" s="70">
        <v>19.694162370000001</v>
      </c>
      <c r="D1080" s="4">
        <v>0</v>
      </c>
      <c r="E1080" s="12">
        <f t="shared" si="208"/>
        <v>0</v>
      </c>
      <c r="F1080" s="12">
        <f t="shared" si="209"/>
        <v>0</v>
      </c>
      <c r="G1080" s="16">
        <f t="shared" si="211"/>
        <v>3.9526354170475759</v>
      </c>
      <c r="H1080" s="14">
        <f t="shared" si="212"/>
        <v>0</v>
      </c>
      <c r="I1080" s="14">
        <f t="shared" si="213"/>
        <v>17.40698740198129</v>
      </c>
      <c r="J1080" s="14">
        <f t="shared" si="214"/>
        <v>1.2737651620574215</v>
      </c>
      <c r="K1080" s="14">
        <f t="shared" si="215"/>
        <v>3.6560282585585475</v>
      </c>
      <c r="L1080" s="14">
        <f t="shared" si="216"/>
        <v>704.7257629420069</v>
      </c>
      <c r="M1080" s="14">
        <f t="shared" si="210"/>
        <v>0.21520756275521538</v>
      </c>
      <c r="N1080" s="14">
        <f t="shared" si="217"/>
        <v>5.5072213107845052</v>
      </c>
      <c r="O1080" s="4">
        <v>3.42</v>
      </c>
      <c r="P1080" s="14">
        <f t="shared" si="220"/>
        <v>4.3564928001929886</v>
      </c>
      <c r="Q1080" s="14">
        <f t="shared" si="218"/>
        <v>9.6948100594119015</v>
      </c>
    </row>
    <row r="1081" spans="1:17" x14ac:dyDescent="0.25">
      <c r="A1081" s="5" t="s">
        <v>1138</v>
      </c>
      <c r="B1081" s="6">
        <f t="shared" si="219"/>
        <v>4</v>
      </c>
      <c r="C1081" s="70">
        <v>20.349250789999999</v>
      </c>
      <c r="D1081" s="4">
        <v>2.5</v>
      </c>
      <c r="E1081" s="12">
        <f t="shared" si="208"/>
        <v>0</v>
      </c>
      <c r="F1081" s="12">
        <f t="shared" si="209"/>
        <v>2.5</v>
      </c>
      <c r="G1081" s="16">
        <f t="shared" si="211"/>
        <v>5.2088057704693256</v>
      </c>
      <c r="H1081" s="14">
        <f t="shared" si="212"/>
        <v>0.20933095491685069</v>
      </c>
      <c r="I1081" s="14">
        <f t="shared" si="213"/>
        <v>18.693048367468521</v>
      </c>
      <c r="J1081" s="14">
        <f t="shared" si="214"/>
        <v>1.0344986916613994</v>
      </c>
      <c r="K1081" s="14">
        <f t="shared" si="215"/>
        <v>3.6202520869072408</v>
      </c>
      <c r="L1081" s="14">
        <f t="shared" si="216"/>
        <v>704.75566250581983</v>
      </c>
      <c r="M1081" s="14">
        <f t="shared" si="210"/>
        <v>0.21381712860542385</v>
      </c>
      <c r="N1081" s="14">
        <f t="shared" si="217"/>
        <v>5.4716397146596307</v>
      </c>
      <c r="O1081" s="4">
        <v>3.16</v>
      </c>
      <c r="P1081" s="14">
        <f t="shared" si="220"/>
        <v>5.3436781703916587</v>
      </c>
      <c r="Q1081" s="14">
        <f t="shared" si="218"/>
        <v>11.381507536423392</v>
      </c>
    </row>
    <row r="1082" spans="1:17" x14ac:dyDescent="0.25">
      <c r="A1082" s="5" t="s">
        <v>1139</v>
      </c>
      <c r="B1082" s="6">
        <f t="shared" si="219"/>
        <v>4</v>
      </c>
      <c r="C1082" s="70">
        <v>20.509990689999999</v>
      </c>
      <c r="D1082" s="4">
        <v>0</v>
      </c>
      <c r="E1082" s="12">
        <f t="shared" si="208"/>
        <v>0</v>
      </c>
      <c r="F1082" s="12">
        <f t="shared" si="209"/>
        <v>0</v>
      </c>
      <c r="G1082" s="16">
        <f t="shared" si="211"/>
        <v>3.8225237171909883</v>
      </c>
      <c r="H1082" s="14">
        <f t="shared" si="212"/>
        <v>0</v>
      </c>
      <c r="I1082" s="14">
        <f t="shared" si="213"/>
        <v>19.008610823886727</v>
      </c>
      <c r="J1082" s="14">
        <f t="shared" si="214"/>
        <v>1.3862820532783373</v>
      </c>
      <c r="K1082" s="14">
        <f t="shared" si="215"/>
        <v>3.3783034039742055</v>
      </c>
      <c r="L1082" s="14">
        <f t="shared" si="216"/>
        <v>704.78379406014744</v>
      </c>
      <c r="M1082" s="14">
        <f t="shared" si="210"/>
        <v>0.2043767562318981</v>
      </c>
      <c r="N1082" s="14">
        <f t="shared" si="217"/>
        <v>5.2300579632954483</v>
      </c>
      <c r="O1082" s="4">
        <v>3.22</v>
      </c>
      <c r="P1082" s="14">
        <f t="shared" si="220"/>
        <v>4.0403330158074446</v>
      </c>
      <c r="Q1082" s="14">
        <f t="shared" si="218"/>
        <v>10.980269657113048</v>
      </c>
    </row>
    <row r="1083" spans="1:17" x14ac:dyDescent="0.25">
      <c r="A1083" s="5" t="s">
        <v>1140</v>
      </c>
      <c r="B1083" s="6">
        <f t="shared" si="219"/>
        <v>4</v>
      </c>
      <c r="C1083" s="70">
        <v>15.446253779999999</v>
      </c>
      <c r="D1083" s="4">
        <v>0</v>
      </c>
      <c r="E1083" s="12">
        <f t="shared" si="208"/>
        <v>0</v>
      </c>
      <c r="F1083" s="12">
        <f t="shared" si="209"/>
        <v>0</v>
      </c>
      <c r="G1083" s="16">
        <f t="shared" si="211"/>
        <v>3.337231679567346</v>
      </c>
      <c r="H1083" s="14">
        <f t="shared" si="212"/>
        <v>0</v>
      </c>
      <c r="I1083" s="14">
        <f t="shared" si="213"/>
        <v>9.0675491585806363</v>
      </c>
      <c r="J1083" s="14">
        <f t="shared" si="214"/>
        <v>0.4852920376236422</v>
      </c>
      <c r="K1083" s="14">
        <f t="shared" si="215"/>
        <v>3.1577147839647299</v>
      </c>
      <c r="L1083" s="14">
        <f t="shared" si="216"/>
        <v>704.80000592392503</v>
      </c>
      <c r="M1083" s="14">
        <f t="shared" si="210"/>
        <v>0.19576780229070534</v>
      </c>
      <c r="N1083" s="14">
        <f t="shared" si="217"/>
        <v>5.0097524405642311</v>
      </c>
      <c r="O1083" s="4">
        <v>3.01</v>
      </c>
      <c r="P1083" s="14">
        <f t="shared" si="220"/>
        <v>3.9990098235425995</v>
      </c>
      <c r="Q1083" s="14">
        <f t="shared" si="218"/>
        <v>12.416102234699256</v>
      </c>
    </row>
    <row r="1084" spans="1:17" x14ac:dyDescent="0.25">
      <c r="A1084" s="5" t="s">
        <v>1141</v>
      </c>
      <c r="B1084" s="6">
        <f t="shared" si="219"/>
        <v>4</v>
      </c>
      <c r="C1084" s="70">
        <v>17.525115970000002</v>
      </c>
      <c r="D1084" s="4">
        <v>0</v>
      </c>
      <c r="E1084" s="12">
        <f t="shared" si="208"/>
        <v>0</v>
      </c>
      <c r="F1084" s="12">
        <f t="shared" si="209"/>
        <v>0</v>
      </c>
      <c r="G1084" s="16">
        <f t="shared" si="211"/>
        <v>2.7228564639749298</v>
      </c>
      <c r="H1084" s="14">
        <f t="shared" si="212"/>
        <v>0</v>
      </c>
      <c r="I1084" s="14">
        <f t="shared" si="213"/>
        <v>13.148744053135948</v>
      </c>
      <c r="J1084" s="14">
        <f t="shared" si="214"/>
        <v>0.61437521559241648</v>
      </c>
      <c r="K1084" s="14">
        <f t="shared" si="215"/>
        <v>2.9566004869666664</v>
      </c>
      <c r="L1084" s="14">
        <f t="shared" si="216"/>
        <v>704.80535241863242</v>
      </c>
      <c r="M1084" s="14">
        <f t="shared" si="210"/>
        <v>0.18791686672771468</v>
      </c>
      <c r="N1084" s="14">
        <f t="shared" si="217"/>
        <v>4.8088448186918651</v>
      </c>
      <c r="O1084" s="4">
        <v>2.79</v>
      </c>
      <c r="P1084" s="14">
        <f t="shared" si="220"/>
        <v>4.0757344019589894</v>
      </c>
      <c r="Q1084" s="14">
        <f t="shared" si="218"/>
        <v>14.014907792170517</v>
      </c>
    </row>
    <row r="1085" spans="1:17" x14ac:dyDescent="0.25">
      <c r="A1085" s="5" t="s">
        <v>1142</v>
      </c>
      <c r="B1085" s="6">
        <f t="shared" si="219"/>
        <v>4</v>
      </c>
      <c r="C1085" s="70">
        <v>17.787425989999999</v>
      </c>
      <c r="D1085" s="4">
        <v>0</v>
      </c>
      <c r="E1085" s="12">
        <f t="shared" si="208"/>
        <v>0</v>
      </c>
      <c r="F1085" s="12">
        <f t="shared" si="209"/>
        <v>0</v>
      </c>
      <c r="G1085" s="16">
        <f t="shared" si="211"/>
        <v>2.2019540536854674</v>
      </c>
      <c r="H1085" s="14">
        <f t="shared" si="212"/>
        <v>0</v>
      </c>
      <c r="I1085" s="14">
        <f t="shared" si="213"/>
        <v>13.663707632522943</v>
      </c>
      <c r="J1085" s="14">
        <f t="shared" si="214"/>
        <v>0.52090241028946227</v>
      </c>
      <c r="K1085" s="14">
        <f t="shared" si="215"/>
        <v>2.7732412526811991</v>
      </c>
      <c r="L1085" s="14">
        <f t="shared" si="216"/>
        <v>704.80079478619018</v>
      </c>
      <c r="M1085" s="14">
        <f t="shared" si="210"/>
        <v>0.18075702949824909</v>
      </c>
      <c r="N1085" s="14">
        <f t="shared" si="217"/>
        <v>4.625622595146166</v>
      </c>
      <c r="O1085" s="4">
        <v>2.66</v>
      </c>
      <c r="P1085" s="14">
        <f t="shared" si="220"/>
        <v>3.8636721865491479</v>
      </c>
      <c r="Q1085" s="14">
        <f t="shared" si="218"/>
        <v>15.005156530676262</v>
      </c>
    </row>
    <row r="1086" spans="1:17" x14ac:dyDescent="0.25">
      <c r="A1086" s="5" t="s">
        <v>1143</v>
      </c>
      <c r="B1086" s="6">
        <f t="shared" si="219"/>
        <v>4</v>
      </c>
      <c r="C1086" s="70">
        <v>17.630542760000001</v>
      </c>
      <c r="D1086" s="4">
        <v>0</v>
      </c>
      <c r="E1086" s="12">
        <f t="shared" si="208"/>
        <v>0</v>
      </c>
      <c r="F1086" s="12">
        <f t="shared" si="209"/>
        <v>0</v>
      </c>
      <c r="G1086" s="16">
        <f t="shared" si="211"/>
        <v>1.7901994116334308</v>
      </c>
      <c r="H1086" s="14">
        <f t="shared" si="212"/>
        <v>0</v>
      </c>
      <c r="I1086" s="14">
        <f t="shared" si="213"/>
        <v>13.355716539896772</v>
      </c>
      <c r="J1086" s="14">
        <f t="shared" si="214"/>
        <v>0.41175464205203671</v>
      </c>
      <c r="K1086" s="14">
        <f t="shared" si="215"/>
        <v>2.6060696030292769</v>
      </c>
      <c r="L1086" s="14">
        <f t="shared" si="216"/>
        <v>704.78720940634378</v>
      </c>
      <c r="M1086" s="14">
        <f t="shared" si="210"/>
        <v>0.17422727848953579</v>
      </c>
      <c r="N1086" s="14">
        <f t="shared" si="217"/>
        <v>4.4585244530134673</v>
      </c>
      <c r="O1086" s="4">
        <v>2.58</v>
      </c>
      <c r="P1086" s="14">
        <f t="shared" si="220"/>
        <v>3.5288541205695463</v>
      </c>
      <c r="Q1086" s="14">
        <f t="shared" si="218"/>
        <v>15.631340369756721</v>
      </c>
    </row>
    <row r="1087" spans="1:17" x14ac:dyDescent="0.25">
      <c r="A1087" s="5" t="s">
        <v>1144</v>
      </c>
      <c r="B1087" s="6">
        <f t="shared" si="219"/>
        <v>4</v>
      </c>
      <c r="C1087" s="70">
        <v>16.68989754</v>
      </c>
      <c r="D1087" s="4">
        <v>0</v>
      </c>
      <c r="E1087" s="12">
        <f t="shared" si="208"/>
        <v>0</v>
      </c>
      <c r="F1087" s="12">
        <f t="shared" si="209"/>
        <v>0</v>
      </c>
      <c r="G1087" s="16">
        <f t="shared" si="211"/>
        <v>1.5017271200669848</v>
      </c>
      <c r="H1087" s="14">
        <f t="shared" si="212"/>
        <v>0</v>
      </c>
      <c r="I1087" s="14">
        <f t="shared" si="213"/>
        <v>11.509054222443272</v>
      </c>
      <c r="J1087" s="14">
        <f t="shared" si="214"/>
        <v>0.28847229156644594</v>
      </c>
      <c r="K1087" s="14">
        <f t="shared" si="215"/>
        <v>2.4536564422945628</v>
      </c>
      <c r="L1087" s="14">
        <f t="shared" si="216"/>
        <v>704.76539528858893</v>
      </c>
      <c r="M1087" s="14">
        <f t="shared" si="210"/>
        <v>0.1682719879481327</v>
      </c>
      <c r="N1087" s="14">
        <f t="shared" si="217"/>
        <v>4.3061269138115899</v>
      </c>
      <c r="O1087" s="4">
        <v>2.5099999999999998</v>
      </c>
      <c r="P1087" s="14">
        <f t="shared" si="220"/>
        <v>3.2260718905183472</v>
      </c>
      <c r="Q1087" s="14">
        <f t="shared" si="218"/>
        <v>16.189751228952126</v>
      </c>
    </row>
    <row r="1088" spans="1:17" x14ac:dyDescent="0.25">
      <c r="A1088" s="5" t="s">
        <v>1145</v>
      </c>
      <c r="B1088" s="6">
        <f t="shared" si="219"/>
        <v>5</v>
      </c>
      <c r="C1088" s="70">
        <v>17.341241839999999</v>
      </c>
      <c r="D1088" s="4">
        <v>0</v>
      </c>
      <c r="E1088" s="12">
        <f t="shared" si="208"/>
        <v>0</v>
      </c>
      <c r="F1088" s="12">
        <f t="shared" si="209"/>
        <v>0</v>
      </c>
      <c r="G1088" s="16">
        <f t="shared" si="211"/>
        <v>1.2496196607967649</v>
      </c>
      <c r="H1088" s="14">
        <f t="shared" si="212"/>
        <v>0</v>
      </c>
      <c r="I1088" s="14">
        <f t="shared" si="213"/>
        <v>11.990343182396536</v>
      </c>
      <c r="J1088" s="14">
        <f t="shared" si="214"/>
        <v>0.25210745927021988</v>
      </c>
      <c r="K1088" s="14">
        <f t="shared" si="215"/>
        <v>2.3146988402519093</v>
      </c>
      <c r="L1088" s="14">
        <f t="shared" si="216"/>
        <v>704.7360809026834</v>
      </c>
      <c r="M1088" s="14">
        <f t="shared" si="210"/>
        <v>0.1628404429535778</v>
      </c>
      <c r="N1088" s="14">
        <f t="shared" si="217"/>
        <v>4.1671321686384326</v>
      </c>
      <c r="O1088" s="4">
        <v>2.48</v>
      </c>
      <c r="P1088" s="14">
        <f t="shared" si="220"/>
        <v>2.8464149544546204</v>
      </c>
      <c r="Q1088" s="14">
        <f t="shared" si="218"/>
        <v>16.4320701686073</v>
      </c>
    </row>
    <row r="1089" spans="1:17" x14ac:dyDescent="0.25">
      <c r="A1089" s="5" t="s">
        <v>1146</v>
      </c>
      <c r="B1089" s="6">
        <f t="shared" si="219"/>
        <v>5</v>
      </c>
      <c r="C1089" s="70">
        <v>18.365262990000002</v>
      </c>
      <c r="D1089" s="4">
        <v>0</v>
      </c>
      <c r="E1089" s="12">
        <f t="shared" si="208"/>
        <v>0</v>
      </c>
      <c r="F1089" s="12">
        <f t="shared" si="209"/>
        <v>0</v>
      </c>
      <c r="G1089" s="16">
        <f t="shared" si="211"/>
        <v>1.0056886630784303</v>
      </c>
      <c r="H1089" s="14">
        <f t="shared" si="212"/>
        <v>0</v>
      </c>
      <c r="I1089" s="14">
        <f t="shared" si="213"/>
        <v>13.942032292306257</v>
      </c>
      <c r="J1089" s="14">
        <f t="shared" si="214"/>
        <v>0.24393099771833462</v>
      </c>
      <c r="K1089" s="14">
        <f t="shared" si="215"/>
        <v>2.1880088938433206</v>
      </c>
      <c r="L1089" s="14">
        <f t="shared" si="216"/>
        <v>704.69993040613838</v>
      </c>
      <c r="M1089" s="14">
        <f t="shared" si="210"/>
        <v>0.15788640587314237</v>
      </c>
      <c r="N1089" s="14">
        <f t="shared" si="217"/>
        <v>4.0403569836286781</v>
      </c>
      <c r="O1089" s="4">
        <v>2.42</v>
      </c>
      <c r="P1089" s="14">
        <f t="shared" si="220"/>
        <v>2.6255567543942284</v>
      </c>
      <c r="Q1089" s="14">
        <f t="shared" si="218"/>
        <v>16.922108047917639</v>
      </c>
    </row>
    <row r="1090" spans="1:17" x14ac:dyDescent="0.25">
      <c r="A1090" s="5" t="s">
        <v>1147</v>
      </c>
      <c r="B1090" s="6">
        <f t="shared" si="219"/>
        <v>5</v>
      </c>
      <c r="C1090" s="70">
        <v>18.584329610000001</v>
      </c>
      <c r="D1090" s="4">
        <v>0</v>
      </c>
      <c r="E1090" s="12">
        <f t="shared" si="208"/>
        <v>0</v>
      </c>
      <c r="F1090" s="12">
        <f t="shared" si="209"/>
        <v>0</v>
      </c>
      <c r="G1090" s="16">
        <f t="shared" si="211"/>
        <v>0.80349500445528343</v>
      </c>
      <c r="H1090" s="14">
        <f t="shared" si="212"/>
        <v>0</v>
      </c>
      <c r="I1090" s="14">
        <f t="shared" si="213"/>
        <v>14.359552903671295</v>
      </c>
      <c r="J1090" s="14">
        <f t="shared" si="214"/>
        <v>0.20219365862314689</v>
      </c>
      <c r="K1090" s="14">
        <f t="shared" si="215"/>
        <v>2.0725035721835212</v>
      </c>
      <c r="L1090" s="14">
        <f t="shared" si="216"/>
        <v>704.65754932192499</v>
      </c>
      <c r="M1090" s="14">
        <f t="shared" si="210"/>
        <v>0.15336772109145155</v>
      </c>
      <c r="N1090" s="14">
        <f t="shared" si="217"/>
        <v>3.9247225848749934</v>
      </c>
      <c r="O1090" s="4">
        <v>2.39</v>
      </c>
      <c r="P1090" s="14">
        <f t="shared" si="220"/>
        <v>2.3553734125253807</v>
      </c>
      <c r="Q1090" s="14">
        <f t="shared" si="218"/>
        <v>17.169826987572815</v>
      </c>
    </row>
    <row r="1091" spans="1:17" x14ac:dyDescent="0.25">
      <c r="A1091" s="5" t="s">
        <v>1148</v>
      </c>
      <c r="B1091" s="6">
        <f t="shared" si="219"/>
        <v>5</v>
      </c>
      <c r="C1091" s="70">
        <v>18.725763319999999</v>
      </c>
      <c r="D1091" s="4">
        <v>0</v>
      </c>
      <c r="E1091" s="12">
        <f t="shared" si="208"/>
        <v>0</v>
      </c>
      <c r="F1091" s="12">
        <f t="shared" si="209"/>
        <v>0</v>
      </c>
      <c r="G1091" s="16">
        <f t="shared" si="211"/>
        <v>0.63891987090293734</v>
      </c>
      <c r="H1091" s="14">
        <f t="shared" si="212"/>
        <v>0</v>
      </c>
      <c r="I1091" s="14">
        <f t="shared" si="213"/>
        <v>14.629112406012748</v>
      </c>
      <c r="J1091" s="14">
        <f t="shared" si="214"/>
        <v>0.16457513355234604</v>
      </c>
      <c r="K1091" s="14">
        <f t="shared" si="215"/>
        <v>1.9671954580834017</v>
      </c>
      <c r="L1091" s="14">
        <f t="shared" si="216"/>
        <v>704.6094897149336</v>
      </c>
      <c r="M1091" s="14">
        <f t="shared" si="210"/>
        <v>0.15051974906576815</v>
      </c>
      <c r="N1091" s="14">
        <f t="shared" si="217"/>
        <v>3.8518421896344139</v>
      </c>
      <c r="O1091" s="4">
        <v>2.38</v>
      </c>
      <c r="P1091" s="14">
        <f t="shared" si="220"/>
        <v>2.1663194311878264</v>
      </c>
      <c r="Q1091" s="14">
        <f t="shared" si="218"/>
        <v>17.252799967457868</v>
      </c>
    </row>
    <row r="1092" spans="1:17" x14ac:dyDescent="0.25">
      <c r="A1092" s="5" t="s">
        <v>1149</v>
      </c>
      <c r="B1092" s="6">
        <f t="shared" si="219"/>
        <v>5</v>
      </c>
      <c r="C1092" s="70">
        <v>18.50686073</v>
      </c>
      <c r="D1092" s="4">
        <v>0</v>
      </c>
      <c r="E1092" s="12">
        <f t="shared" si="208"/>
        <v>0</v>
      </c>
      <c r="F1092" s="12">
        <f t="shared" si="209"/>
        <v>0</v>
      </c>
      <c r="G1092" s="16">
        <f t="shared" si="211"/>
        <v>0.51178586497898826</v>
      </c>
      <c r="H1092" s="14">
        <f t="shared" si="212"/>
        <v>0</v>
      </c>
      <c r="I1092" s="14">
        <f t="shared" si="213"/>
        <v>14.211904420578044</v>
      </c>
      <c r="J1092" s="14">
        <f t="shared" si="214"/>
        <v>0.12713400592394911</v>
      </c>
      <c r="K1092" s="14">
        <f t="shared" si="215"/>
        <v>1.8699105125138242</v>
      </c>
      <c r="L1092" s="14">
        <f t="shared" si="216"/>
        <v>704.55625491143746</v>
      </c>
      <c r="M1092" s="14">
        <f t="shared" si="210"/>
        <v>0.1504876843297894</v>
      </c>
      <c r="N1092" s="14">
        <f t="shared" si="217"/>
        <v>3.8510216441338465</v>
      </c>
      <c r="O1092" s="4">
        <v>2.38</v>
      </c>
      <c r="P1092" s="14">
        <f t="shared" si="220"/>
        <v>2.1639046775102453</v>
      </c>
      <c r="Q1092" s="14">
        <f t="shared" si="218"/>
        <v>17.252799967457868</v>
      </c>
    </row>
    <row r="1093" spans="1:17" x14ac:dyDescent="0.25">
      <c r="A1093" s="5" t="s">
        <v>1150</v>
      </c>
      <c r="B1093" s="6">
        <f t="shared" si="219"/>
        <v>5</v>
      </c>
      <c r="C1093" s="70">
        <v>18.06886673</v>
      </c>
      <c r="D1093" s="4">
        <v>0</v>
      </c>
      <c r="E1093" s="12">
        <f t="shared" si="208"/>
        <v>0</v>
      </c>
      <c r="F1093" s="12">
        <f t="shared" si="209"/>
        <v>0</v>
      </c>
      <c r="G1093" s="16">
        <f t="shared" si="211"/>
        <v>0.41593098083754648</v>
      </c>
      <c r="H1093" s="14">
        <f t="shared" si="212"/>
        <v>0</v>
      </c>
      <c r="I1093" s="14">
        <f t="shared" si="213"/>
        <v>13.377128576342997</v>
      </c>
      <c r="J1093" s="14">
        <f t="shared" si="214"/>
        <v>9.585488414144179E-2</v>
      </c>
      <c r="K1093" s="14">
        <f t="shared" si="215"/>
        <v>1.7774366601152816</v>
      </c>
      <c r="L1093" s="14">
        <f t="shared" si="216"/>
        <v>704.49824107950622</v>
      </c>
      <c r="M1093" s="14">
        <f t="shared" si="210"/>
        <v>0.15045562642445778</v>
      </c>
      <c r="N1093" s="14">
        <f t="shared" si="217"/>
        <v>3.8502012734314373</v>
      </c>
      <c r="O1093" s="4">
        <v>2.37</v>
      </c>
      <c r="P1093" s="14">
        <f t="shared" si="220"/>
        <v>2.1909958098680482</v>
      </c>
      <c r="Q1093" s="14">
        <f t="shared" si="218"/>
        <v>17.335972947342924</v>
      </c>
    </row>
    <row r="1094" spans="1:17" x14ac:dyDescent="0.25">
      <c r="A1094" s="5" t="s">
        <v>1151</v>
      </c>
      <c r="B1094" s="6">
        <f t="shared" si="219"/>
        <v>5</v>
      </c>
      <c r="C1094" s="70">
        <v>18.988555909999999</v>
      </c>
      <c r="D1094" s="4">
        <v>0</v>
      </c>
      <c r="E1094" s="12">
        <f t="shared" si="208"/>
        <v>0</v>
      </c>
      <c r="F1094" s="12">
        <f t="shared" si="209"/>
        <v>0</v>
      </c>
      <c r="G1094" s="16">
        <f t="shared" si="211"/>
        <v>0.32782154629392052</v>
      </c>
      <c r="H1094" s="14">
        <f t="shared" si="212"/>
        <v>0</v>
      </c>
      <c r="I1094" s="14">
        <f t="shared" si="213"/>
        <v>15.129970651047989</v>
      </c>
      <c r="J1094" s="14">
        <f t="shared" si="214"/>
        <v>8.810943454362595E-2</v>
      </c>
      <c r="K1094" s="14">
        <f t="shared" si="215"/>
        <v>1.6895359748924939</v>
      </c>
      <c r="L1094" s="14">
        <f t="shared" si="216"/>
        <v>704.4356861383045</v>
      </c>
      <c r="M1094" s="14">
        <f t="shared" si="210"/>
        <v>0.15042357534831818</v>
      </c>
      <c r="N1094" s="14">
        <f t="shared" si="217"/>
        <v>3.8493810774899475</v>
      </c>
      <c r="O1094" s="4">
        <v>2.37</v>
      </c>
      <c r="P1094" s="14">
        <f t="shared" si="220"/>
        <v>2.1885683724353178</v>
      </c>
      <c r="Q1094" s="14">
        <f t="shared" si="218"/>
        <v>17.335972947342924</v>
      </c>
    </row>
    <row r="1095" spans="1:17" x14ac:dyDescent="0.25">
      <c r="A1095" s="5" t="s">
        <v>1152</v>
      </c>
      <c r="B1095" s="6">
        <f t="shared" si="219"/>
        <v>5</v>
      </c>
      <c r="C1095" s="70">
        <v>18.175510410000001</v>
      </c>
      <c r="D1095" s="4">
        <v>0</v>
      </c>
      <c r="E1095" s="12">
        <f t="shared" si="208"/>
        <v>0</v>
      </c>
      <c r="F1095" s="12">
        <f t="shared" si="209"/>
        <v>0</v>
      </c>
      <c r="G1095" s="16">
        <f t="shared" si="211"/>
        <v>0.26548933651935036</v>
      </c>
      <c r="H1095" s="14">
        <f t="shared" si="212"/>
        <v>0</v>
      </c>
      <c r="I1095" s="14">
        <f t="shared" si="213"/>
        <v>13.580381515890876</v>
      </c>
      <c r="J1095" s="14">
        <f t="shared" si="214"/>
        <v>6.2332209774570137E-2</v>
      </c>
      <c r="K1095" s="14">
        <f t="shared" si="215"/>
        <v>1.6059822971530189</v>
      </c>
      <c r="L1095" s="14">
        <f t="shared" si="216"/>
        <v>704.36881624069576</v>
      </c>
      <c r="M1095" s="14">
        <f t="shared" si="210"/>
        <v>0.15039153109991585</v>
      </c>
      <c r="N1095" s="14">
        <f t="shared" si="217"/>
        <v>3.8485610562721519</v>
      </c>
      <c r="O1095" s="4">
        <v>2.48</v>
      </c>
      <c r="P1095" s="14">
        <f t="shared" si="220"/>
        <v>1.8729593647447482</v>
      </c>
      <c r="Q1095" s="14">
        <f t="shared" si="218"/>
        <v>16.4320701686073</v>
      </c>
    </row>
    <row r="1096" spans="1:17" x14ac:dyDescent="0.25">
      <c r="A1096" s="5" t="s">
        <v>1153</v>
      </c>
      <c r="B1096" s="6">
        <f t="shared" si="219"/>
        <v>5</v>
      </c>
      <c r="C1096" s="70">
        <v>17.802713390000001</v>
      </c>
      <c r="D1096" s="4">
        <v>0</v>
      </c>
      <c r="E1096" s="12">
        <f t="shared" si="208"/>
        <v>0</v>
      </c>
      <c r="F1096" s="12">
        <f t="shared" si="209"/>
        <v>0</v>
      </c>
      <c r="G1096" s="16">
        <f t="shared" si="211"/>
        <v>0.21765011171720036</v>
      </c>
      <c r="H1096" s="14">
        <f t="shared" si="212"/>
        <v>0</v>
      </c>
      <c r="I1096" s="14">
        <f t="shared" si="213"/>
        <v>12.869865054252564</v>
      </c>
      <c r="J1096" s="14">
        <f t="shared" si="214"/>
        <v>4.7839224802149992E-2</v>
      </c>
      <c r="K1096" s="14">
        <f t="shared" si="215"/>
        <v>1.5265606516209294</v>
      </c>
      <c r="L1096" s="14">
        <f t="shared" si="216"/>
        <v>704.29784635512783</v>
      </c>
      <c r="M1096" s="14">
        <f t="shared" si="210"/>
        <v>0.15035949367779619</v>
      </c>
      <c r="N1096" s="14">
        <f t="shared" si="217"/>
        <v>3.8477412097408261</v>
      </c>
      <c r="O1096" s="4">
        <v>2.56</v>
      </c>
      <c r="P1096" s="14">
        <f t="shared" si="220"/>
        <v>1.6582774232647661</v>
      </c>
      <c r="Q1096" s="14">
        <f t="shared" si="218"/>
        <v>15.789886329526835</v>
      </c>
    </row>
    <row r="1097" spans="1:17" x14ac:dyDescent="0.25">
      <c r="A1097" s="5" t="s">
        <v>1154</v>
      </c>
      <c r="B1097" s="6">
        <f t="shared" si="219"/>
        <v>5</v>
      </c>
      <c r="C1097" s="70">
        <v>16.983587270000001</v>
      </c>
      <c r="D1097" s="4">
        <v>0</v>
      </c>
      <c r="E1097" s="12">
        <f t="shared" si="208"/>
        <v>0</v>
      </c>
      <c r="F1097" s="12">
        <f t="shared" si="209"/>
        <v>0</v>
      </c>
      <c r="G1097" s="16">
        <f t="shared" si="211"/>
        <v>0.18318861546184284</v>
      </c>
      <c r="H1097" s="14">
        <f t="shared" si="212"/>
        <v>0</v>
      </c>
      <c r="I1097" s="14">
        <f t="shared" si="213"/>
        <v>11.308686822683226</v>
      </c>
      <c r="J1097" s="14">
        <f t="shared" si="214"/>
        <v>3.4461496255357514E-2</v>
      </c>
      <c r="K1097" s="14">
        <f t="shared" si="215"/>
        <v>1.4510666943268777</v>
      </c>
      <c r="L1097" s="14">
        <f t="shared" si="216"/>
        <v>704.22298081874408</v>
      </c>
      <c r="M1097" s="14">
        <f t="shared" si="210"/>
        <v>0.15032746308050512</v>
      </c>
      <c r="N1097" s="14">
        <f t="shared" si="217"/>
        <v>3.8469215378587602</v>
      </c>
      <c r="O1097" s="4">
        <v>2.4700000000000002</v>
      </c>
      <c r="P1097" s="14">
        <f t="shared" si="220"/>
        <v>1.8959129214193327</v>
      </c>
      <c r="Q1097" s="14">
        <f t="shared" si="218"/>
        <v>16.513243148492354</v>
      </c>
    </row>
    <row r="1098" spans="1:17" x14ac:dyDescent="0.25">
      <c r="A1098" s="5" t="s">
        <v>1155</v>
      </c>
      <c r="B1098" s="6">
        <f t="shared" si="219"/>
        <v>5</v>
      </c>
      <c r="C1098" s="70">
        <v>16.63551331</v>
      </c>
      <c r="D1098" s="4">
        <v>0</v>
      </c>
      <c r="E1098" s="12">
        <f t="shared" si="208"/>
        <v>0</v>
      </c>
      <c r="F1098" s="12">
        <f t="shared" si="209"/>
        <v>0</v>
      </c>
      <c r="G1098" s="16">
        <f t="shared" si="211"/>
        <v>0.1558850700639498</v>
      </c>
      <c r="H1098" s="14">
        <f t="shared" si="212"/>
        <v>0</v>
      </c>
      <c r="I1098" s="14">
        <f t="shared" si="213"/>
        <v>10.64529021493235</v>
      </c>
      <c r="J1098" s="14">
        <f t="shared" si="214"/>
        <v>2.7303545397893036E-2</v>
      </c>
      <c r="K1098" s="14">
        <f t="shared" si="215"/>
        <v>1.3793061868514522</v>
      </c>
      <c r="L1098" s="14">
        <f t="shared" si="216"/>
        <v>704.14441386313899</v>
      </c>
      <c r="M1098" s="14">
        <f t="shared" si="210"/>
        <v>0.15029543930658873</v>
      </c>
      <c r="N1098" s="14">
        <f t="shared" si="217"/>
        <v>3.8461020405887463</v>
      </c>
      <c r="O1098" s="4">
        <v>2.41</v>
      </c>
      <c r="P1098" s="14">
        <f t="shared" si="220"/>
        <v>2.0623890709831607</v>
      </c>
      <c r="Q1098" s="14">
        <f t="shared" si="218"/>
        <v>17.004481027802694</v>
      </c>
    </row>
    <row r="1099" spans="1:17" x14ac:dyDescent="0.25">
      <c r="A1099" s="5" t="s">
        <v>1156</v>
      </c>
      <c r="B1099" s="6">
        <f t="shared" si="219"/>
        <v>5</v>
      </c>
      <c r="C1099" s="70">
        <v>14.496786119999999</v>
      </c>
      <c r="D1099" s="4">
        <v>0</v>
      </c>
      <c r="E1099" s="12">
        <f t="shared" si="208"/>
        <v>0</v>
      </c>
      <c r="F1099" s="12">
        <f t="shared" si="209"/>
        <v>0</v>
      </c>
      <c r="G1099" s="16">
        <f t="shared" si="211"/>
        <v>0.14154762381364089</v>
      </c>
      <c r="H1099" s="14">
        <f t="shared" si="212"/>
        <v>0</v>
      </c>
      <c r="I1099" s="14">
        <f t="shared" si="213"/>
        <v>6.5690750256359109</v>
      </c>
      <c r="J1099" s="14">
        <f t="shared" si="214"/>
        <v>1.433744625030892E-2</v>
      </c>
      <c r="K1099" s="14">
        <f t="shared" si="215"/>
        <v>1.3110944965691052</v>
      </c>
      <c r="L1099" s="14">
        <f t="shared" si="216"/>
        <v>704.06233011411473</v>
      </c>
      <c r="M1099" s="14">
        <f t="shared" si="210"/>
        <v>0.15026342235459345</v>
      </c>
      <c r="N1099" s="14">
        <f t="shared" si="217"/>
        <v>3.8452827178935896</v>
      </c>
      <c r="O1099" s="4">
        <v>2.31</v>
      </c>
      <c r="P1099" s="14">
        <f t="shared" si="220"/>
        <v>2.3570930238627272</v>
      </c>
      <c r="Q1099" s="14">
        <f t="shared" si="218"/>
        <v>17.839210826653275</v>
      </c>
    </row>
    <row r="1100" spans="1:17" x14ac:dyDescent="0.25">
      <c r="A1100" s="5" t="s">
        <v>1157</v>
      </c>
      <c r="B1100" s="6">
        <f t="shared" si="219"/>
        <v>5</v>
      </c>
      <c r="C1100" s="70">
        <v>16.621774670000001</v>
      </c>
      <c r="D1100" s="4">
        <v>0</v>
      </c>
      <c r="E1100" s="12">
        <f t="shared" si="208"/>
        <v>0</v>
      </c>
      <c r="F1100" s="12">
        <f t="shared" si="209"/>
        <v>0</v>
      </c>
      <c r="G1100" s="16">
        <f t="shared" si="211"/>
        <v>0.12050239834774097</v>
      </c>
      <c r="H1100" s="14">
        <f t="shared" si="212"/>
        <v>0</v>
      </c>
      <c r="I1100" s="14">
        <f t="shared" si="213"/>
        <v>10.619105644356861</v>
      </c>
      <c r="J1100" s="14">
        <f t="shared" si="214"/>
        <v>2.104522546589992E-2</v>
      </c>
      <c r="K1100" s="14">
        <f t="shared" si="215"/>
        <v>1.2462561216068291</v>
      </c>
      <c r="L1100" s="14">
        <f t="shared" si="216"/>
        <v>703.97690506672245</v>
      </c>
      <c r="M1100" s="14">
        <f t="shared" si="210"/>
        <v>0.15023141222306607</v>
      </c>
      <c r="N1100" s="14">
        <f t="shared" si="217"/>
        <v>3.8444635697361003</v>
      </c>
      <c r="O1100" s="4">
        <v>2.4900000000000002</v>
      </c>
      <c r="P1100" s="14">
        <f t="shared" si="220"/>
        <v>1.8345715617422591</v>
      </c>
      <c r="Q1100" s="14">
        <f t="shared" si="218"/>
        <v>16.351097188722235</v>
      </c>
    </row>
    <row r="1101" spans="1:17" x14ac:dyDescent="0.25">
      <c r="A1101" s="5" t="s">
        <v>1158</v>
      </c>
      <c r="B1101" s="6">
        <f t="shared" si="219"/>
        <v>5</v>
      </c>
      <c r="C1101" s="70">
        <v>16.141387940000001</v>
      </c>
      <c r="D1101" s="4">
        <v>0</v>
      </c>
      <c r="E1101" s="12">
        <f t="shared" si="208"/>
        <v>0</v>
      </c>
      <c r="F1101" s="12">
        <f t="shared" si="209"/>
        <v>0</v>
      </c>
      <c r="G1101" s="16">
        <f t="shared" si="211"/>
        <v>0.10413089184183744</v>
      </c>
      <c r="H1101" s="14">
        <f t="shared" si="212"/>
        <v>0</v>
      </c>
      <c r="I1101" s="14">
        <f t="shared" si="213"/>
        <v>9.7035331979419244</v>
      </c>
      <c r="J1101" s="14">
        <f t="shared" si="214"/>
        <v>1.6371506505903532E-2</v>
      </c>
      <c r="K1101" s="14">
        <f t="shared" si="215"/>
        <v>1.1846242392953497</v>
      </c>
      <c r="L1101" s="14">
        <f t="shared" si="216"/>
        <v>703.88830553681089</v>
      </c>
      <c r="M1101" s="14">
        <f t="shared" si="210"/>
        <v>0.15019940891055364</v>
      </c>
      <c r="N1101" s="14">
        <f t="shared" si="217"/>
        <v>3.8436445960790984</v>
      </c>
      <c r="O1101" s="4">
        <v>2.42</v>
      </c>
      <c r="P1101" s="14">
        <f t="shared" si="220"/>
        <v>2.0267639359452194</v>
      </c>
      <c r="Q1101" s="14">
        <f t="shared" si="218"/>
        <v>16.922108047917639</v>
      </c>
    </row>
    <row r="1102" spans="1:17" x14ac:dyDescent="0.25">
      <c r="A1102" s="5" t="s">
        <v>1159</v>
      </c>
      <c r="B1102" s="6">
        <f t="shared" si="219"/>
        <v>5</v>
      </c>
      <c r="C1102" s="70">
        <v>16.10955238</v>
      </c>
      <c r="D1102" s="4">
        <v>0</v>
      </c>
      <c r="E1102" s="12">
        <f t="shared" si="208"/>
        <v>0</v>
      </c>
      <c r="F1102" s="12">
        <f t="shared" si="209"/>
        <v>0</v>
      </c>
      <c r="G1102" s="16">
        <f t="shared" si="211"/>
        <v>9.0072087113397328E-2</v>
      </c>
      <c r="H1102" s="14">
        <f t="shared" si="212"/>
        <v>0</v>
      </c>
      <c r="I1102" s="14">
        <f t="shared" si="213"/>
        <v>9.642857580294887</v>
      </c>
      <c r="J1102" s="14">
        <f t="shared" si="214"/>
        <v>1.4058804728440103E-2</v>
      </c>
      <c r="K1102" s="14">
        <f t="shared" si="215"/>
        <v>1.1260402769510425</v>
      </c>
      <c r="L1102" s="14">
        <f t="shared" si="216"/>
        <v>703.79669009024462</v>
      </c>
      <c r="M1102" s="14">
        <f t="shared" si="210"/>
        <v>0.15016741241560344</v>
      </c>
      <c r="N1102" s="14">
        <f t="shared" si="217"/>
        <v>3.8428257968854074</v>
      </c>
      <c r="O1102" s="4">
        <v>2.35</v>
      </c>
      <c r="P1102" s="14">
        <f t="shared" si="220"/>
        <v>2.2285288598465511</v>
      </c>
      <c r="Q1102" s="14">
        <f t="shared" si="218"/>
        <v>17.502918907113035</v>
      </c>
    </row>
    <row r="1103" spans="1:17" x14ac:dyDescent="0.25">
      <c r="A1103" s="5" t="s">
        <v>1160</v>
      </c>
      <c r="B1103" s="6">
        <f t="shared" si="219"/>
        <v>5</v>
      </c>
      <c r="C1103" s="70">
        <v>16.9861927</v>
      </c>
      <c r="D1103" s="4">
        <v>0</v>
      </c>
      <c r="E1103" s="12">
        <f t="shared" si="208"/>
        <v>0</v>
      </c>
      <c r="F1103" s="12">
        <f t="shared" si="209"/>
        <v>0</v>
      </c>
      <c r="G1103" s="16">
        <f t="shared" si="211"/>
        <v>7.5804316422858592E-2</v>
      </c>
      <c r="H1103" s="14">
        <f t="shared" si="212"/>
        <v>0</v>
      </c>
      <c r="I1103" s="14">
        <f t="shared" si="213"/>
        <v>11.313652530039594</v>
      </c>
      <c r="J1103" s="14">
        <f t="shared" si="214"/>
        <v>1.4267770690538729E-2</v>
      </c>
      <c r="K1103" s="14">
        <f t="shared" si="215"/>
        <v>1.0703535038842404</v>
      </c>
      <c r="L1103" s="14">
        <f t="shared" si="216"/>
        <v>703.70220945089579</v>
      </c>
      <c r="M1103" s="14">
        <f t="shared" si="210"/>
        <v>0.15013542273676322</v>
      </c>
      <c r="N1103" s="14">
        <f t="shared" si="217"/>
        <v>3.8420071721178646</v>
      </c>
      <c r="O1103" s="4">
        <v>2.2999999999999998</v>
      </c>
      <c r="P1103" s="14">
        <f t="shared" si="220"/>
        <v>2.3777861188629341</v>
      </c>
      <c r="Q1103" s="14">
        <f t="shared" si="218"/>
        <v>17.923783806538328</v>
      </c>
    </row>
    <row r="1104" spans="1:17" x14ac:dyDescent="0.25">
      <c r="A1104" s="5" t="s">
        <v>1161</v>
      </c>
      <c r="B1104" s="6">
        <f t="shared" si="219"/>
        <v>5</v>
      </c>
      <c r="C1104" s="70">
        <v>16.343902589999999</v>
      </c>
      <c r="D1104" s="4">
        <v>0</v>
      </c>
      <c r="E1104" s="12">
        <f t="shared" si="208"/>
        <v>0</v>
      </c>
      <c r="F1104" s="12">
        <f t="shared" si="209"/>
        <v>0</v>
      </c>
      <c r="G1104" s="16">
        <f t="shared" si="211"/>
        <v>6.5095858052568636E-2</v>
      </c>
      <c r="H1104" s="14">
        <f t="shared" si="212"/>
        <v>0</v>
      </c>
      <c r="I1104" s="14">
        <f t="shared" si="213"/>
        <v>10.089507293303306</v>
      </c>
      <c r="J1104" s="14">
        <f t="shared" si="214"/>
        <v>1.0708458370289959E-2</v>
      </c>
      <c r="K1104" s="14">
        <f t="shared" si="215"/>
        <v>1.017420643584209</v>
      </c>
      <c r="L1104" s="14">
        <f t="shared" si="216"/>
        <v>703.60500688845912</v>
      </c>
      <c r="M1104" s="14">
        <f t="shared" si="210"/>
        <v>0.15010343987258104</v>
      </c>
      <c r="N1104" s="14">
        <f t="shared" si="217"/>
        <v>3.8411887217393135</v>
      </c>
      <c r="O1104" s="4">
        <v>2.17</v>
      </c>
      <c r="P1104" s="14">
        <f t="shared" si="220"/>
        <v>2.7928717436686807</v>
      </c>
      <c r="Q1104" s="14">
        <f t="shared" si="218"/>
        <v>19.041432545044074</v>
      </c>
    </row>
    <row r="1105" spans="1:17" x14ac:dyDescent="0.25">
      <c r="A1105" s="5" t="s">
        <v>1162</v>
      </c>
      <c r="B1105" s="6">
        <f t="shared" si="219"/>
        <v>5</v>
      </c>
      <c r="C1105" s="70">
        <v>17.290126799999999</v>
      </c>
      <c r="D1105" s="4">
        <v>0</v>
      </c>
      <c r="E1105" s="12">
        <f t="shared" si="208"/>
        <v>0</v>
      </c>
      <c r="F1105" s="12">
        <f t="shared" si="209"/>
        <v>0</v>
      </c>
      <c r="G1105" s="16">
        <f t="shared" si="211"/>
        <v>5.4256463889676719E-2</v>
      </c>
      <c r="H1105" s="14">
        <f t="shared" si="212"/>
        <v>0</v>
      </c>
      <c r="I1105" s="14">
        <f t="shared" si="213"/>
        <v>11.892922668259111</v>
      </c>
      <c r="J1105" s="14">
        <f t="shared" si="214"/>
        <v>1.0839394162891917E-2</v>
      </c>
      <c r="K1105" s="14">
        <f t="shared" si="215"/>
        <v>0.96710550508298043</v>
      </c>
      <c r="L1105" s="14">
        <f t="shared" si="216"/>
        <v>703.50521858708782</v>
      </c>
      <c r="M1105" s="14">
        <f t="shared" si="210"/>
        <v>0.15007146382160505</v>
      </c>
      <c r="N1105" s="14">
        <f t="shared" si="217"/>
        <v>3.8403704457126016</v>
      </c>
      <c r="O1105" s="4">
        <v>2.12</v>
      </c>
      <c r="P1105" s="14">
        <f t="shared" si="220"/>
        <v>2.9596744704813749</v>
      </c>
      <c r="Q1105" s="14">
        <f t="shared" si="218"/>
        <v>19.480297444469361</v>
      </c>
    </row>
    <row r="1106" spans="1:17" x14ac:dyDescent="0.25">
      <c r="A1106" s="5" t="s">
        <v>1163</v>
      </c>
      <c r="B1106" s="6">
        <f t="shared" si="219"/>
        <v>5</v>
      </c>
      <c r="C1106" s="70">
        <v>16.56527328</v>
      </c>
      <c r="D1106" s="4">
        <v>0</v>
      </c>
      <c r="E1106" s="12">
        <f t="shared" si="208"/>
        <v>0</v>
      </c>
      <c r="F1106" s="12">
        <f t="shared" si="209"/>
        <v>0</v>
      </c>
      <c r="G1106" s="16">
        <f t="shared" si="211"/>
        <v>4.6271445839535068E-2</v>
      </c>
      <c r="H1106" s="14">
        <f t="shared" si="212"/>
        <v>0</v>
      </c>
      <c r="I1106" s="14">
        <f t="shared" si="213"/>
        <v>10.511419247881785</v>
      </c>
      <c r="J1106" s="14">
        <f t="shared" si="214"/>
        <v>7.985018050141653E-3</v>
      </c>
      <c r="K1106" s="14">
        <f t="shared" si="215"/>
        <v>0.91927863254958142</v>
      </c>
      <c r="L1106" s="14">
        <f t="shared" si="216"/>
        <v>703.4029739957997</v>
      </c>
      <c r="M1106" s="14">
        <f t="shared" si="210"/>
        <v>0.15003949458238394</v>
      </c>
      <c r="N1106" s="14">
        <f t="shared" si="217"/>
        <v>3.8395523440005896</v>
      </c>
      <c r="O1106" s="4">
        <v>2.08</v>
      </c>
      <c r="P1106" s="14">
        <f t="shared" si="220"/>
        <v>3.0960244512779691</v>
      </c>
      <c r="Q1106" s="14">
        <f t="shared" si="218"/>
        <v>19.834989364009591</v>
      </c>
    </row>
    <row r="1107" spans="1:17" x14ac:dyDescent="0.25">
      <c r="A1107" s="5" t="s">
        <v>1164</v>
      </c>
      <c r="B1107" s="6">
        <f t="shared" si="219"/>
        <v>5</v>
      </c>
      <c r="C1107" s="70">
        <v>17.519302369999998</v>
      </c>
      <c r="D1107" s="4">
        <v>0</v>
      </c>
      <c r="E1107" s="12">
        <f t="shared" si="208"/>
        <v>0</v>
      </c>
      <c r="F1107" s="12">
        <f t="shared" si="209"/>
        <v>0</v>
      </c>
      <c r="G1107" s="16">
        <f t="shared" si="211"/>
        <v>3.8283612588521351E-2</v>
      </c>
      <c r="H1107" s="14">
        <f t="shared" si="212"/>
        <v>0</v>
      </c>
      <c r="I1107" s="14">
        <f t="shared" si="213"/>
        <v>12.329709998507465</v>
      </c>
      <c r="J1107" s="14">
        <f t="shared" si="214"/>
        <v>7.98783325101372E-3</v>
      </c>
      <c r="K1107" s="14">
        <f t="shared" si="215"/>
        <v>0.87381697221309751</v>
      </c>
      <c r="L1107" s="14">
        <f t="shared" si="216"/>
        <v>703.2983961615538</v>
      </c>
      <c r="M1107" s="14">
        <f t="shared" si="210"/>
        <v>0.15000753215346663</v>
      </c>
      <c r="N1107" s="14">
        <f t="shared" si="217"/>
        <v>3.8387344165661421</v>
      </c>
      <c r="O1107" s="4">
        <v>2.09</v>
      </c>
      <c r="P1107" s="14">
        <f t="shared" si="220"/>
        <v>3.0580720596829258</v>
      </c>
      <c r="Q1107" s="14">
        <f t="shared" si="218"/>
        <v>19.746016384124534</v>
      </c>
    </row>
    <row r="1108" spans="1:17" x14ac:dyDescent="0.25">
      <c r="A1108" s="5" t="s">
        <v>1165</v>
      </c>
      <c r="B1108" s="6">
        <f t="shared" si="219"/>
        <v>5</v>
      </c>
      <c r="C1108" s="70">
        <v>16.474153520000002</v>
      </c>
      <c r="D1108" s="4">
        <v>0</v>
      </c>
      <c r="E1108" s="12">
        <f t="shared" si="208"/>
        <v>0</v>
      </c>
      <c r="F1108" s="12">
        <f t="shared" si="209"/>
        <v>0</v>
      </c>
      <c r="G1108" s="16">
        <f t="shared" si="211"/>
        <v>3.2742434074639434E-2</v>
      </c>
      <c r="H1108" s="14">
        <f t="shared" si="212"/>
        <v>0</v>
      </c>
      <c r="I1108" s="14">
        <f t="shared" si="213"/>
        <v>10.337753456614111</v>
      </c>
      <c r="J1108" s="14">
        <f t="shared" si="214"/>
        <v>5.5411785138819187E-3</v>
      </c>
      <c r="K1108" s="14">
        <f t="shared" si="215"/>
        <v>0.83060355575759848</v>
      </c>
      <c r="L1108" s="14">
        <f t="shared" si="216"/>
        <v>703.1916020458558</v>
      </c>
      <c r="M1108" s="14">
        <f t="shared" si="210"/>
        <v>0.14997557653340227</v>
      </c>
      <c r="N1108" s="14">
        <f t="shared" si="217"/>
        <v>3.8379166633721344</v>
      </c>
      <c r="O1108" s="4">
        <v>2.02</v>
      </c>
      <c r="P1108" s="14">
        <f t="shared" si="220"/>
        <v>3.3048209949660743</v>
      </c>
      <c r="Q1108" s="14">
        <f t="shared" si="218"/>
        <v>20.373027243319932</v>
      </c>
    </row>
    <row r="1109" spans="1:17" x14ac:dyDescent="0.25">
      <c r="A1109" s="5" t="s">
        <v>1166</v>
      </c>
      <c r="B1109" s="6">
        <f t="shared" si="219"/>
        <v>5</v>
      </c>
      <c r="C1109" s="70">
        <v>17.257112500000002</v>
      </c>
      <c r="D1109" s="4">
        <v>0</v>
      </c>
      <c r="E1109" s="12">
        <f t="shared" si="208"/>
        <v>0</v>
      </c>
      <c r="F1109" s="12">
        <f t="shared" si="209"/>
        <v>0</v>
      </c>
      <c r="G1109" s="16">
        <f t="shared" si="211"/>
        <v>2.731919459616244E-2</v>
      </c>
      <c r="H1109" s="14">
        <f t="shared" si="212"/>
        <v>0</v>
      </c>
      <c r="I1109" s="14">
        <f t="shared" si="213"/>
        <v>11.830000481758091</v>
      </c>
      <c r="J1109" s="14">
        <f t="shared" si="214"/>
        <v>5.4232394784769948E-3</v>
      </c>
      <c r="K1109" s="14">
        <f t="shared" si="215"/>
        <v>0.78952719937433269</v>
      </c>
      <c r="L1109" s="14">
        <f t="shared" si="216"/>
        <v>703.08270282570561</v>
      </c>
      <c r="M1109" s="14">
        <f t="shared" si="210"/>
        <v>0.14994362772074044</v>
      </c>
      <c r="N1109" s="14">
        <f t="shared" si="217"/>
        <v>3.8370990843814483</v>
      </c>
      <c r="O1109" s="4">
        <v>2.02</v>
      </c>
      <c r="P1109" s="14">
        <f t="shared" si="220"/>
        <v>3.3018490824598978</v>
      </c>
      <c r="Q1109" s="14">
        <f t="shared" si="218"/>
        <v>20.373027243319932</v>
      </c>
    </row>
    <row r="1110" spans="1:17" x14ac:dyDescent="0.25">
      <c r="A1110" s="5" t="s">
        <v>1167</v>
      </c>
      <c r="B1110" s="6">
        <f t="shared" si="219"/>
        <v>5</v>
      </c>
      <c r="C1110" s="70">
        <v>17.964681630000001</v>
      </c>
      <c r="D1110" s="4">
        <v>0</v>
      </c>
      <c r="E1110" s="12">
        <f t="shared" si="208"/>
        <v>0</v>
      </c>
      <c r="F1110" s="12">
        <f t="shared" si="209"/>
        <v>0</v>
      </c>
      <c r="G1110" s="16">
        <f t="shared" si="211"/>
        <v>2.2278400519112385E-2</v>
      </c>
      <c r="H1110" s="14">
        <f t="shared" si="212"/>
        <v>0</v>
      </c>
      <c r="I1110" s="14">
        <f t="shared" si="213"/>
        <v>13.178561461703955</v>
      </c>
      <c r="J1110" s="14">
        <f t="shared" si="214"/>
        <v>5.0407940770500559E-3</v>
      </c>
      <c r="K1110" s="14">
        <f t="shared" si="215"/>
        <v>0.75048221769688084</v>
      </c>
      <c r="L1110" s="14">
        <f t="shared" si="216"/>
        <v>702.9718041796624</v>
      </c>
      <c r="M1110" s="14">
        <f t="shared" si="210"/>
        <v>0.14991168571403102</v>
      </c>
      <c r="N1110" s="14">
        <f t="shared" si="217"/>
        <v>3.8362816795569739</v>
      </c>
      <c r="O1110" s="4">
        <v>1.98</v>
      </c>
      <c r="P1110" s="14">
        <f t="shared" si="220"/>
        <v>3.44578167385886</v>
      </c>
      <c r="Q1110" s="14">
        <f t="shared" si="218"/>
        <v>20.735719162860168</v>
      </c>
    </row>
    <row r="1111" spans="1:17" x14ac:dyDescent="0.25">
      <c r="A1111" s="5" t="s">
        <v>1168</v>
      </c>
      <c r="B1111" s="6">
        <f t="shared" si="219"/>
        <v>5</v>
      </c>
      <c r="C1111" s="70">
        <v>17.680545810000002</v>
      </c>
      <c r="D1111" s="4">
        <v>0</v>
      </c>
      <c r="E1111" s="12">
        <f t="shared" si="208"/>
        <v>0</v>
      </c>
      <c r="F1111" s="12">
        <f t="shared" si="209"/>
        <v>0</v>
      </c>
      <c r="G1111" s="16">
        <f t="shared" si="211"/>
        <v>1.8336624795205439E-2</v>
      </c>
      <c r="H1111" s="14">
        <f t="shared" si="212"/>
        <v>0</v>
      </c>
      <c r="I1111" s="14">
        <f t="shared" si="213"/>
        <v>12.637025004542631</v>
      </c>
      <c r="J1111" s="14">
        <f t="shared" si="214"/>
        <v>3.9417757239069481E-3</v>
      </c>
      <c r="K1111" s="14">
        <f t="shared" si="215"/>
        <v>0.7133681518832532</v>
      </c>
      <c r="L1111" s="14">
        <f t="shared" si="216"/>
        <v>702.85900655976195</v>
      </c>
      <c r="M1111" s="14">
        <f t="shared" si="210"/>
        <v>0.14987975051182406</v>
      </c>
      <c r="N1111" s="14">
        <f t="shared" si="217"/>
        <v>3.8354644488616088</v>
      </c>
      <c r="O1111" s="4">
        <v>1.96</v>
      </c>
      <c r="P1111" s="14">
        <f t="shared" si="220"/>
        <v>3.5173668989437781</v>
      </c>
      <c r="Q1111" s="14">
        <f t="shared" si="218"/>
        <v>20.918265122630277</v>
      </c>
    </row>
    <row r="1112" spans="1:17" x14ac:dyDescent="0.25">
      <c r="A1112" s="5" t="s">
        <v>1169</v>
      </c>
      <c r="B1112" s="6">
        <f t="shared" si="219"/>
        <v>5</v>
      </c>
      <c r="C1112" s="70">
        <v>18.03822899</v>
      </c>
      <c r="D1112" s="4">
        <v>0</v>
      </c>
      <c r="E1112" s="12">
        <f t="shared" si="208"/>
        <v>0</v>
      </c>
      <c r="F1112" s="12">
        <f t="shared" si="209"/>
        <v>0</v>
      </c>
      <c r="G1112" s="16">
        <f t="shared" si="211"/>
        <v>1.4917259780788072E-2</v>
      </c>
      <c r="H1112" s="14">
        <f t="shared" si="212"/>
        <v>0</v>
      </c>
      <c r="I1112" s="14">
        <f t="shared" si="213"/>
        <v>13.318735892256107</v>
      </c>
      <c r="J1112" s="14">
        <f t="shared" si="214"/>
        <v>3.4193650144173672E-3</v>
      </c>
      <c r="K1112" s="14">
        <f t="shared" si="215"/>
        <v>0.67808951114531291</v>
      </c>
      <c r="L1112" s="14">
        <f t="shared" si="216"/>
        <v>702.74440544998811</v>
      </c>
      <c r="M1112" s="14">
        <f t="shared" si="210"/>
        <v>0.14984782211267011</v>
      </c>
      <c r="N1112" s="14">
        <f t="shared" si="217"/>
        <v>3.8346473922582596</v>
      </c>
      <c r="O1112" s="4">
        <v>1.9</v>
      </c>
      <c r="P1112" s="14">
        <f t="shared" si="220"/>
        <v>3.7428605323716844</v>
      </c>
      <c r="Q1112" s="14">
        <f t="shared" si="218"/>
        <v>21.470703001940628</v>
      </c>
    </row>
    <row r="1113" spans="1:17" x14ac:dyDescent="0.25">
      <c r="A1113" s="5" t="s">
        <v>1170</v>
      </c>
      <c r="B1113" s="6">
        <f t="shared" si="219"/>
        <v>5</v>
      </c>
      <c r="C1113" s="70">
        <v>17.936378479999998</v>
      </c>
      <c r="D1113" s="4">
        <v>0</v>
      </c>
      <c r="E1113" s="12">
        <f t="shared" si="208"/>
        <v>0</v>
      </c>
      <c r="F1113" s="12">
        <f t="shared" si="209"/>
        <v>0</v>
      </c>
      <c r="G1113" s="16">
        <f t="shared" si="211"/>
        <v>1.2176071965745898E-2</v>
      </c>
      <c r="H1113" s="14">
        <f t="shared" si="212"/>
        <v>0</v>
      </c>
      <c r="I1113" s="14">
        <f t="shared" si="213"/>
        <v>13.124618289113091</v>
      </c>
      <c r="J1113" s="14">
        <f t="shared" si="214"/>
        <v>2.7411878150421735E-3</v>
      </c>
      <c r="K1113" s="14">
        <f t="shared" si="215"/>
        <v>0.64455552706050601</v>
      </c>
      <c r="L1113" s="14">
        <f t="shared" si="216"/>
        <v>702.62809161196026</v>
      </c>
      <c r="M1113" s="14">
        <f t="shared" si="210"/>
        <v>0.14981590051511992</v>
      </c>
      <c r="N1113" s="14">
        <f t="shared" si="217"/>
        <v>3.8338305097098391</v>
      </c>
      <c r="O1113" s="4">
        <v>1.94</v>
      </c>
      <c r="P1113" s="14">
        <f t="shared" si="220"/>
        <v>3.5865939995078291</v>
      </c>
      <c r="Q1113" s="14">
        <f t="shared" si="218"/>
        <v>21.101611082400389</v>
      </c>
    </row>
    <row r="1114" spans="1:17" x14ac:dyDescent="0.25">
      <c r="A1114" s="5" t="s">
        <v>1171</v>
      </c>
      <c r="B1114" s="6">
        <f t="shared" si="219"/>
        <v>5</v>
      </c>
      <c r="C1114" s="70">
        <v>18.320047379999998</v>
      </c>
      <c r="D1114" s="4">
        <v>0</v>
      </c>
      <c r="E1114" s="12">
        <f t="shared" si="208"/>
        <v>0</v>
      </c>
      <c r="F1114" s="12">
        <f t="shared" si="209"/>
        <v>0</v>
      </c>
      <c r="G1114" s="16">
        <f t="shared" si="211"/>
        <v>9.8139429659437182E-3</v>
      </c>
      <c r="H1114" s="14">
        <f t="shared" si="212"/>
        <v>0</v>
      </c>
      <c r="I1114" s="14">
        <f t="shared" si="213"/>
        <v>13.855855543286053</v>
      </c>
      <c r="J1114" s="14">
        <f t="shared" si="214"/>
        <v>2.3621289998021796E-3</v>
      </c>
      <c r="K1114" s="14">
        <f t="shared" si="215"/>
        <v>0.61267992003376737</v>
      </c>
      <c r="L1114" s="14">
        <f t="shared" si="216"/>
        <v>702.51015131847191</v>
      </c>
      <c r="M1114" s="14">
        <f t="shared" si="210"/>
        <v>0.14978398571772453</v>
      </c>
      <c r="N1114" s="14">
        <f t="shared" si="217"/>
        <v>3.8330138011792694</v>
      </c>
      <c r="O1114" s="4">
        <v>1.91</v>
      </c>
      <c r="P1114" s="14">
        <f t="shared" si="220"/>
        <v>3.6979820795259428</v>
      </c>
      <c r="Q1114" s="14">
        <f t="shared" si="218"/>
        <v>21.378130022055565</v>
      </c>
    </row>
    <row r="1115" spans="1:17" x14ac:dyDescent="0.25">
      <c r="A1115" s="5" t="s">
        <v>1172</v>
      </c>
      <c r="B1115" s="6">
        <f t="shared" si="219"/>
        <v>5</v>
      </c>
      <c r="C1115" s="70">
        <v>16.959964750000001</v>
      </c>
      <c r="D1115" s="4">
        <v>0</v>
      </c>
      <c r="E1115" s="12">
        <f t="shared" ref="E1115:E1178" si="221">IF(C1115&gt;$C$9,MAX(E1114-$C$10*(C1115-$C$9),0),E1114+D1115)</f>
        <v>0</v>
      </c>
      <c r="F1115" s="12">
        <f t="shared" ref="F1115:F1178" si="222">IF(C1115&gt;$C$9,D1115+MIN(E1114,$C$10*(C1115-$C$9)),0)</f>
        <v>0</v>
      </c>
      <c r="G1115" s="16">
        <f t="shared" si="211"/>
        <v>8.266244707370269E-3</v>
      </c>
      <c r="H1115" s="14">
        <f t="shared" si="212"/>
        <v>0</v>
      </c>
      <c r="I1115" s="14">
        <f t="shared" si="213"/>
        <v>11.263664495719937</v>
      </c>
      <c r="J1115" s="14">
        <f t="shared" si="214"/>
        <v>1.5476982585734492E-3</v>
      </c>
      <c r="K1115" s="14">
        <f t="shared" si="215"/>
        <v>0.582380677308731</v>
      </c>
      <c r="L1115" s="14">
        <f t="shared" si="216"/>
        <v>702.39066657547914</v>
      </c>
      <c r="M1115" s="14">
        <f t="shared" si="210"/>
        <v>0.14975207771903534</v>
      </c>
      <c r="N1115" s="14">
        <f t="shared" si="217"/>
        <v>3.832197266629481</v>
      </c>
      <c r="O1115" s="4">
        <v>1.86</v>
      </c>
      <c r="P1115" s="14">
        <f t="shared" si="220"/>
        <v>3.8895620585007959</v>
      </c>
      <c r="Q1115" s="14">
        <f t="shared" si="218"/>
        <v>21.842994921480848</v>
      </c>
    </row>
    <row r="1116" spans="1:17" x14ac:dyDescent="0.25">
      <c r="A1116" s="5" t="s">
        <v>1173</v>
      </c>
      <c r="B1116" s="6">
        <f t="shared" si="219"/>
        <v>5</v>
      </c>
      <c r="C1116" s="70">
        <v>17.502151489999999</v>
      </c>
      <c r="D1116" s="4">
        <v>0</v>
      </c>
      <c r="E1116" s="12">
        <f t="shared" si="221"/>
        <v>0</v>
      </c>
      <c r="F1116" s="12">
        <f t="shared" si="222"/>
        <v>0</v>
      </c>
      <c r="G1116" s="16">
        <f t="shared" si="211"/>
        <v>6.8430272359643546E-3</v>
      </c>
      <c r="H1116" s="14">
        <f t="shared" si="212"/>
        <v>0</v>
      </c>
      <c r="I1116" s="14">
        <f t="shared" si="213"/>
        <v>12.297022015723744</v>
      </c>
      <c r="J1116" s="14">
        <f t="shared" si="214"/>
        <v>1.4232174714059144E-3</v>
      </c>
      <c r="K1116" s="14">
        <f t="shared" si="215"/>
        <v>0.55357984195709131</v>
      </c>
      <c r="L1116" s="14">
        <f t="shared" si="216"/>
        <v>702.26971533311166</v>
      </c>
      <c r="M1116" s="14">
        <f t="shared" si="210"/>
        <v>0.14972017651760405</v>
      </c>
      <c r="N1116" s="14">
        <f t="shared" si="217"/>
        <v>3.8313809060234094</v>
      </c>
      <c r="O1116" s="4">
        <v>1.85</v>
      </c>
      <c r="P1116" s="14">
        <f t="shared" si="220"/>
        <v>3.9258702947541466</v>
      </c>
      <c r="Q1116" s="14">
        <f t="shared" si="218"/>
        <v>21.936567901365905</v>
      </c>
    </row>
    <row r="1117" spans="1:17" x14ac:dyDescent="0.25">
      <c r="A1117" s="5" t="s">
        <v>1174</v>
      </c>
      <c r="B1117" s="6">
        <f t="shared" si="219"/>
        <v>5</v>
      </c>
      <c r="C1117" s="70">
        <v>18.05812263</v>
      </c>
      <c r="D1117" s="4">
        <v>0</v>
      </c>
      <c r="E1117" s="12">
        <f t="shared" si="221"/>
        <v>0</v>
      </c>
      <c r="F1117" s="12">
        <f t="shared" si="222"/>
        <v>0</v>
      </c>
      <c r="G1117" s="16">
        <f t="shared" si="211"/>
        <v>5.5633250389283909E-3</v>
      </c>
      <c r="H1117" s="14">
        <f t="shared" si="212"/>
        <v>0</v>
      </c>
      <c r="I1117" s="14">
        <f t="shared" si="213"/>
        <v>13.356651320608794</v>
      </c>
      <c r="J1117" s="14">
        <f t="shared" si="214"/>
        <v>1.2797021970359637E-3</v>
      </c>
      <c r="K1117" s="14">
        <f t="shared" si="215"/>
        <v>0.52620331230320483</v>
      </c>
      <c r="L1117" s="14">
        <f t="shared" si="216"/>
        <v>702.14737168624799</v>
      </c>
      <c r="M1117" s="14">
        <f t="shared" si="210"/>
        <v>0.14968828211198268</v>
      </c>
      <c r="N1117" s="14">
        <f t="shared" si="217"/>
        <v>3.8305647193240011</v>
      </c>
      <c r="O1117" s="4">
        <v>1.78</v>
      </c>
      <c r="P1117" s="14">
        <f t="shared" si="220"/>
        <v>4.2048156681363187</v>
      </c>
      <c r="Q1117" s="14">
        <f t="shared" si="218"/>
        <v>22.597178760561309</v>
      </c>
    </row>
    <row r="1118" spans="1:17" x14ac:dyDescent="0.25">
      <c r="A1118" s="5" t="s">
        <v>1175</v>
      </c>
      <c r="B1118" s="6">
        <f t="shared" si="219"/>
        <v>5</v>
      </c>
      <c r="C1118" s="70">
        <v>19.225448610000001</v>
      </c>
      <c r="D1118" s="4">
        <v>0</v>
      </c>
      <c r="E1118" s="12">
        <f t="shared" si="221"/>
        <v>0</v>
      </c>
      <c r="F1118" s="12">
        <f t="shared" si="222"/>
        <v>0</v>
      </c>
      <c r="G1118" s="16">
        <f t="shared" si="211"/>
        <v>4.3496405202422834E-3</v>
      </c>
      <c r="H1118" s="14">
        <f t="shared" si="212"/>
        <v>0</v>
      </c>
      <c r="I1118" s="14">
        <f t="shared" si="213"/>
        <v>15.581466113624238</v>
      </c>
      <c r="J1118" s="14">
        <f t="shared" si="214"/>
        <v>1.2136845186861073E-3</v>
      </c>
      <c r="K1118" s="14">
        <f t="shared" si="215"/>
        <v>0.50018065126787292</v>
      </c>
      <c r="L1118" s="14">
        <f t="shared" si="216"/>
        <v>702.02370606517127</v>
      </c>
      <c r="M1118" s="14">
        <f t="shared" si="210"/>
        <v>0.14965639450072352</v>
      </c>
      <c r="N1118" s="14">
        <f t="shared" si="217"/>
        <v>3.8297487064942093</v>
      </c>
      <c r="O1118" s="4">
        <v>1.79</v>
      </c>
      <c r="P1118" s="14">
        <f t="shared" si="220"/>
        <v>4.1605747856447994</v>
      </c>
      <c r="Q1118" s="14">
        <f t="shared" si="218"/>
        <v>22.502205780676253</v>
      </c>
    </row>
    <row r="1119" spans="1:17" x14ac:dyDescent="0.25">
      <c r="A1119" s="5" t="s">
        <v>1176</v>
      </c>
      <c r="B1119" s="6">
        <f t="shared" si="219"/>
        <v>6</v>
      </c>
      <c r="C1119" s="70">
        <v>18.299043659999999</v>
      </c>
      <c r="D1119" s="4">
        <v>0</v>
      </c>
      <c r="E1119" s="12">
        <f t="shared" si="221"/>
        <v>0</v>
      </c>
      <c r="F1119" s="12">
        <f t="shared" si="222"/>
        <v>0</v>
      </c>
      <c r="G1119" s="16">
        <f t="shared" si="211"/>
        <v>3.5794386592869799E-3</v>
      </c>
      <c r="H1119" s="14">
        <f t="shared" si="212"/>
        <v>0</v>
      </c>
      <c r="I1119" s="14">
        <f t="shared" si="213"/>
        <v>12.647018083404193</v>
      </c>
      <c r="J1119" s="14">
        <f t="shared" si="214"/>
        <v>7.7020186095530323E-4</v>
      </c>
      <c r="K1119" s="14">
        <f t="shared" si="215"/>
        <v>0.47544490514076498</v>
      </c>
      <c r="L1119" s="14">
        <f t="shared" si="216"/>
        <v>701.89878541679764</v>
      </c>
      <c r="M1119" s="14">
        <f t="shared" ref="M1119:M1182" si="223">MAX(0,K1119-$F$9)*$F$8+K1119*$F$10+L1119*$F$11</f>
        <v>0.1496245136823792</v>
      </c>
      <c r="N1119" s="14">
        <f t="shared" si="217"/>
        <v>3.8289328674969956</v>
      </c>
      <c r="O1119" s="4">
        <v>1.75</v>
      </c>
      <c r="P1119" s="14">
        <f t="shared" si="220"/>
        <v>4.3219618675592804</v>
      </c>
      <c r="Q1119" s="14">
        <f t="shared" si="218"/>
        <v>22.883297700216485</v>
      </c>
    </row>
    <row r="1120" spans="1:17" x14ac:dyDescent="0.25">
      <c r="A1120" s="5" t="s">
        <v>1177</v>
      </c>
      <c r="B1120" s="6">
        <f t="shared" si="219"/>
        <v>6</v>
      </c>
      <c r="C1120" s="70">
        <v>15.803940770000001</v>
      </c>
      <c r="D1120" s="4">
        <v>0</v>
      </c>
      <c r="E1120" s="12">
        <f t="shared" si="221"/>
        <v>0</v>
      </c>
      <c r="F1120" s="12">
        <f t="shared" si="222"/>
        <v>0</v>
      </c>
      <c r="G1120" s="16">
        <f t="shared" ref="G1120:G1183" si="224">G1119+F1120-H1120-J1120</f>
        <v>3.1711892838943148E-3</v>
      </c>
      <c r="H1120" s="14">
        <f t="shared" ref="H1120:H1183" si="225">(F1120*(G1119/$C$11)^$C$12)</f>
        <v>0</v>
      </c>
      <c r="I1120" s="14">
        <f t="shared" ref="I1120:I1183" si="226">(1+$C$13*(C1120-INDEX($A$16:$A$27,B1120)))*INDEX($C$16:$C$27,B1120)</f>
        <v>8.1460589077148793</v>
      </c>
      <c r="J1120" s="14">
        <f t="shared" ref="J1120:J1183" si="227">IF(G1119&gt;$F$13,I1120,I1120*(G1119/$F$13))</f>
        <v>4.0824937539266521E-4</v>
      </c>
      <c r="K1120" s="14">
        <f t="shared" ref="K1120:K1183" si="228">K1119+H1120-MAX(0,K1119-$F$9)*$F$8-K1119*$F$10-K1119*$F$12</f>
        <v>0.45193243131520211</v>
      </c>
      <c r="L1120" s="14">
        <f t="shared" ref="L1120:L1183" si="229">L1119+K1119*$F$12-L1119*$F$11</f>
        <v>701.77267337694082</v>
      </c>
      <c r="M1120" s="14">
        <f t="shared" si="223"/>
        <v>0.14959263965550262</v>
      </c>
      <c r="N1120" s="14">
        <f t="shared" ref="N1120:N1183" si="230">M1120*$C$8*1000/(24*3600)</f>
        <v>3.8281172022953269</v>
      </c>
      <c r="O1120" s="4">
        <v>1.77</v>
      </c>
      <c r="P1120" s="14">
        <f t="shared" si="220"/>
        <v>4.2358464183839439</v>
      </c>
      <c r="Q1120" s="14">
        <f t="shared" ref="Q1120:Q1183" si="231">(O1120-$F$23)^2</f>
        <v>22.692351740446366</v>
      </c>
    </row>
    <row r="1121" spans="1:17" x14ac:dyDescent="0.25">
      <c r="A1121" s="5" t="s">
        <v>1178</v>
      </c>
      <c r="B1121" s="6">
        <f t="shared" ref="B1121:B1184" si="232">MONTH(A1121)</f>
        <v>6</v>
      </c>
      <c r="C1121" s="70">
        <v>18.27415276</v>
      </c>
      <c r="D1121" s="4">
        <v>0</v>
      </c>
      <c r="E1121" s="12">
        <f t="shared" si="221"/>
        <v>0</v>
      </c>
      <c r="F1121" s="12">
        <f t="shared" si="222"/>
        <v>0</v>
      </c>
      <c r="G1121" s="16">
        <f t="shared" si="224"/>
        <v>2.6116523876583767E-3</v>
      </c>
      <c r="H1121" s="14">
        <f t="shared" si="225"/>
        <v>0</v>
      </c>
      <c r="I1121" s="14">
        <f t="shared" si="226"/>
        <v>12.602116959208002</v>
      </c>
      <c r="J1121" s="14">
        <f t="shared" si="227"/>
        <v>5.5953689623593824E-4</v>
      </c>
      <c r="K1121" s="14">
        <f t="shared" si="228"/>
        <v>0.42958273454208046</v>
      </c>
      <c r="L1121" s="14">
        <f t="shared" si="229"/>
        <v>701.64543043405843</v>
      </c>
      <c r="M1121" s="14">
        <f t="shared" si="223"/>
        <v>0.14956077241864707</v>
      </c>
      <c r="N1121" s="14">
        <f t="shared" si="230"/>
        <v>3.8273017108521836</v>
      </c>
      <c r="O1121" s="4">
        <v>1.74</v>
      </c>
      <c r="P1121" s="14">
        <f t="shared" ref="P1121:P1184" si="233">(O1121-N1121)^2</f>
        <v>4.3568284321264521</v>
      </c>
      <c r="Q1121" s="14">
        <f t="shared" si="231"/>
        <v>22.97907068010154</v>
      </c>
    </row>
    <row r="1122" spans="1:17" x14ac:dyDescent="0.25">
      <c r="A1122" s="5" t="s">
        <v>1179</v>
      </c>
      <c r="B1122" s="6">
        <f t="shared" si="232"/>
        <v>6</v>
      </c>
      <c r="C1122" s="70">
        <v>18.082386020000001</v>
      </c>
      <c r="D1122" s="4">
        <v>0</v>
      </c>
      <c r="E1122" s="12">
        <f t="shared" si="221"/>
        <v>0</v>
      </c>
      <c r="F1122" s="12">
        <f t="shared" si="222"/>
        <v>0</v>
      </c>
      <c r="G1122" s="16">
        <f t="shared" si="224"/>
        <v>2.1634916979267104E-3</v>
      </c>
      <c r="H1122" s="14">
        <f t="shared" si="225"/>
        <v>0</v>
      </c>
      <c r="I1122" s="14">
        <f t="shared" si="226"/>
        <v>12.256185626494497</v>
      </c>
      <c r="J1122" s="14">
        <f t="shared" si="227"/>
        <v>4.4816068973166606E-4</v>
      </c>
      <c r="K1122" s="14">
        <f t="shared" si="228"/>
        <v>0.40833831128163156</v>
      </c>
      <c r="L1122" s="14">
        <f t="shared" si="229"/>
        <v>701.51711408490019</v>
      </c>
      <c r="M1122" s="14">
        <f t="shared" si="223"/>
        <v>0.14952891197036602</v>
      </c>
      <c r="N1122" s="14">
        <f t="shared" si="230"/>
        <v>3.8264863931305473</v>
      </c>
      <c r="O1122" s="4">
        <v>1.71</v>
      </c>
      <c r="P1122" s="14">
        <f t="shared" si="233"/>
        <v>4.4795146523067535</v>
      </c>
      <c r="Q1122" s="14">
        <f t="shared" si="231"/>
        <v>23.267589619756713</v>
      </c>
    </row>
    <row r="1123" spans="1:17" x14ac:dyDescent="0.25">
      <c r="A1123" s="5" t="s">
        <v>1180</v>
      </c>
      <c r="B1123" s="6">
        <f t="shared" si="232"/>
        <v>6</v>
      </c>
      <c r="C1123" s="70">
        <v>19.825710300000001</v>
      </c>
      <c r="D1123" s="4">
        <v>0</v>
      </c>
      <c r="E1123" s="12">
        <f t="shared" si="221"/>
        <v>0</v>
      </c>
      <c r="F1123" s="12">
        <f t="shared" si="222"/>
        <v>0</v>
      </c>
      <c r="G1123" s="16">
        <f t="shared" si="224"/>
        <v>1.6969750281660033E-3</v>
      </c>
      <c r="H1123" s="14">
        <f t="shared" si="225"/>
        <v>0</v>
      </c>
      <c r="I1123" s="14">
        <f t="shared" si="226"/>
        <v>15.400998389814239</v>
      </c>
      <c r="J1123" s="14">
        <f t="shared" si="227"/>
        <v>4.6651666976070706E-4</v>
      </c>
      <c r="K1123" s="14">
        <f t="shared" si="228"/>
        <v>0.388144501752552</v>
      </c>
      <c r="L1123" s="14">
        <f t="shared" si="229"/>
        <v>701.38777898245894</v>
      </c>
      <c r="M1123" s="14">
        <f t="shared" si="223"/>
        <v>0.14949705830921337</v>
      </c>
      <c r="N1123" s="14">
        <f t="shared" si="230"/>
        <v>3.8256712490934115</v>
      </c>
      <c r="O1123" s="4">
        <v>1.72</v>
      </c>
      <c r="P1123" s="14">
        <f t="shared" si="233"/>
        <v>4.433851409258609</v>
      </c>
      <c r="Q1123" s="14">
        <f t="shared" si="231"/>
        <v>23.171216639871659</v>
      </c>
    </row>
    <row r="1124" spans="1:17" x14ac:dyDescent="0.25">
      <c r="A1124" s="5" t="s">
        <v>1181</v>
      </c>
      <c r="B1124" s="6">
        <f t="shared" si="232"/>
        <v>6</v>
      </c>
      <c r="C1124" s="70">
        <v>21.020336149999999</v>
      </c>
      <c r="D1124" s="4">
        <v>0</v>
      </c>
      <c r="E1124" s="12">
        <f t="shared" si="221"/>
        <v>0</v>
      </c>
      <c r="F1124" s="12">
        <f t="shared" si="222"/>
        <v>0</v>
      </c>
      <c r="G1124" s="16">
        <f t="shared" si="224"/>
        <v>1.2798519724487715E-3</v>
      </c>
      <c r="H1124" s="14">
        <f t="shared" si="225"/>
        <v>0</v>
      </c>
      <c r="I1124" s="14">
        <f t="shared" si="226"/>
        <v>17.55600458319536</v>
      </c>
      <c r="J1124" s="14">
        <f t="shared" si="227"/>
        <v>4.1712305571723165E-4</v>
      </c>
      <c r="K1124" s="14">
        <f t="shared" si="228"/>
        <v>0.36894934929784007</v>
      </c>
      <c r="L1124" s="14">
        <f t="shared" si="229"/>
        <v>701.25747707660446</v>
      </c>
      <c r="M1124" s="14">
        <f t="shared" si="223"/>
        <v>0.14946521143374331</v>
      </c>
      <c r="N1124" s="14">
        <f t="shared" si="230"/>
        <v>3.8248562787037783</v>
      </c>
      <c r="O1124" s="4">
        <v>1.71</v>
      </c>
      <c r="P1124" s="14">
        <f t="shared" si="233"/>
        <v>4.4726170795727933</v>
      </c>
      <c r="Q1124" s="14">
        <f t="shared" si="231"/>
        <v>23.267589619756713</v>
      </c>
    </row>
    <row r="1125" spans="1:17" x14ac:dyDescent="0.25">
      <c r="A1125" s="5" t="s">
        <v>1182</v>
      </c>
      <c r="B1125" s="6">
        <f t="shared" si="232"/>
        <v>6</v>
      </c>
      <c r="C1125" s="70">
        <v>20.359756470000001</v>
      </c>
      <c r="D1125" s="4">
        <v>0</v>
      </c>
      <c r="E1125" s="12">
        <f t="shared" si="221"/>
        <v>0</v>
      </c>
      <c r="F1125" s="12">
        <f t="shared" si="222"/>
        <v>0</v>
      </c>
      <c r="G1125" s="16">
        <f t="shared" si="224"/>
        <v>9.8661266610177486E-4</v>
      </c>
      <c r="H1125" s="14">
        <f t="shared" si="225"/>
        <v>0</v>
      </c>
      <c r="I1125" s="14">
        <f t="shared" si="226"/>
        <v>16.364373495000073</v>
      </c>
      <c r="J1125" s="14">
        <f t="shared" si="227"/>
        <v>2.932393063469967E-4</v>
      </c>
      <c r="K1125" s="14">
        <f t="shared" si="228"/>
        <v>0.35070346670550151</v>
      </c>
      <c r="L1125" s="14">
        <f t="shared" si="229"/>
        <v>701.12625774776302</v>
      </c>
      <c r="M1125" s="14">
        <f t="shared" si="223"/>
        <v>0.14943337134251022</v>
      </c>
      <c r="N1125" s="14">
        <f t="shared" si="230"/>
        <v>3.8240414819246542</v>
      </c>
      <c r="O1125" s="4">
        <v>1.74</v>
      </c>
      <c r="P1125" s="14">
        <f t="shared" si="233"/>
        <v>4.3432288983827076</v>
      </c>
      <c r="Q1125" s="14">
        <f t="shared" si="231"/>
        <v>22.97907068010154</v>
      </c>
    </row>
    <row r="1126" spans="1:17" x14ac:dyDescent="0.25">
      <c r="A1126" s="5" t="s">
        <v>1183</v>
      </c>
      <c r="B1126" s="6">
        <f t="shared" si="232"/>
        <v>6</v>
      </c>
      <c r="C1126" s="70">
        <v>20.186216349999999</v>
      </c>
      <c r="D1126" s="4">
        <v>0</v>
      </c>
      <c r="E1126" s="12">
        <f t="shared" si="221"/>
        <v>0</v>
      </c>
      <c r="F1126" s="12">
        <f t="shared" si="222"/>
        <v>0</v>
      </c>
      <c r="G1126" s="16">
        <f t="shared" si="224"/>
        <v>7.6488466703975911E-4</v>
      </c>
      <c r="H1126" s="14">
        <f t="shared" si="225"/>
        <v>0</v>
      </c>
      <c r="I1126" s="14">
        <f t="shared" si="226"/>
        <v>16.05132147674674</v>
      </c>
      <c r="J1126" s="14">
        <f t="shared" si="227"/>
        <v>2.2172799906201577E-4</v>
      </c>
      <c r="K1126" s="14">
        <f t="shared" si="228"/>
        <v>0.33335990914018082</v>
      </c>
      <c r="L1126" s="14">
        <f t="shared" si="229"/>
        <v>700.99416793398575</v>
      </c>
      <c r="M1126" s="14">
        <f t="shared" si="223"/>
        <v>0.14940153803406891</v>
      </c>
      <c r="N1126" s="14">
        <f t="shared" si="230"/>
        <v>3.8232268587190554</v>
      </c>
      <c r="O1126" s="4">
        <v>1.71</v>
      </c>
      <c r="P1126" s="14">
        <f t="shared" si="233"/>
        <v>4.4657277564116065</v>
      </c>
      <c r="Q1126" s="14">
        <f t="shared" si="231"/>
        <v>23.267589619756713</v>
      </c>
    </row>
    <row r="1127" spans="1:17" x14ac:dyDescent="0.25">
      <c r="A1127" s="5" t="s">
        <v>1184</v>
      </c>
      <c r="B1127" s="6">
        <f t="shared" si="232"/>
        <v>6</v>
      </c>
      <c r="C1127" s="70">
        <v>19.758998869999999</v>
      </c>
      <c r="D1127" s="4">
        <v>0</v>
      </c>
      <c r="E1127" s="12">
        <f t="shared" si="221"/>
        <v>0</v>
      </c>
      <c r="F1127" s="12">
        <f t="shared" si="222"/>
        <v>0</v>
      </c>
      <c r="G1127" s="16">
        <f t="shared" si="224"/>
        <v>6.0124031295777185E-4</v>
      </c>
      <c r="H1127" s="14">
        <f t="shared" si="225"/>
        <v>0</v>
      </c>
      <c r="I1127" s="14">
        <f t="shared" si="226"/>
        <v>15.280656489612333</v>
      </c>
      <c r="J1127" s="14">
        <f t="shared" si="227"/>
        <v>1.6364435408198729E-4</v>
      </c>
      <c r="K1127" s="14">
        <f t="shared" si="228"/>
        <v>0.31687405335878399</v>
      </c>
      <c r="L1127" s="14">
        <f t="shared" si="229"/>
        <v>700.86125225173316</v>
      </c>
      <c r="M1127" s="14">
        <f t="shared" si="223"/>
        <v>0.14936971150697453</v>
      </c>
      <c r="N1127" s="14">
        <f t="shared" si="230"/>
        <v>3.8224124090500085</v>
      </c>
      <c r="O1127" s="4">
        <v>1.75</v>
      </c>
      <c r="P1127" s="14">
        <f t="shared" si="233"/>
        <v>4.2948931931844596</v>
      </c>
      <c r="Q1127" s="14">
        <f t="shared" si="231"/>
        <v>22.883297700216485</v>
      </c>
    </row>
    <row r="1128" spans="1:17" x14ac:dyDescent="0.25">
      <c r="A1128" s="5" t="s">
        <v>1185</v>
      </c>
      <c r="B1128" s="6">
        <f t="shared" si="232"/>
        <v>6</v>
      </c>
      <c r="C1128" s="70">
        <v>18.19618225</v>
      </c>
      <c r="D1128" s="4">
        <v>0</v>
      </c>
      <c r="E1128" s="12">
        <f t="shared" si="221"/>
        <v>0</v>
      </c>
      <c r="F1128" s="12">
        <f t="shared" si="222"/>
        <v>0</v>
      </c>
      <c r="G1128" s="16">
        <f t="shared" si="224"/>
        <v>4.9633916545300193E-4</v>
      </c>
      <c r="H1128" s="14">
        <f t="shared" si="225"/>
        <v>0</v>
      </c>
      <c r="I1128" s="14">
        <f t="shared" si="226"/>
        <v>12.461464610231054</v>
      </c>
      <c r="J1128" s="14">
        <f t="shared" si="227"/>
        <v>1.0490114750476989E-4</v>
      </c>
      <c r="K1128" s="14">
        <f t="shared" si="228"/>
        <v>0.30120348289932652</v>
      </c>
      <c r="L1128" s="14">
        <f t="shared" si="229"/>
        <v>700.72755311068568</v>
      </c>
      <c r="M1128" s="14">
        <f t="shared" si="223"/>
        <v>0.14933789175978243</v>
      </c>
      <c r="N1128" s="14">
        <f t="shared" si="230"/>
        <v>3.8215981328805437</v>
      </c>
      <c r="O1128" s="4">
        <v>1.74</v>
      </c>
      <c r="P1128" s="14">
        <f t="shared" si="233"/>
        <v>4.3330507868117651</v>
      </c>
      <c r="Q1128" s="14">
        <f t="shared" si="231"/>
        <v>22.97907068010154</v>
      </c>
    </row>
    <row r="1129" spans="1:17" x14ac:dyDescent="0.25">
      <c r="A1129" s="5" t="s">
        <v>1186</v>
      </c>
      <c r="B1129" s="6">
        <f t="shared" si="232"/>
        <v>6</v>
      </c>
      <c r="C1129" s="70">
        <v>18.1445446</v>
      </c>
      <c r="D1129" s="4">
        <v>0</v>
      </c>
      <c r="E1129" s="12">
        <f t="shared" si="221"/>
        <v>0</v>
      </c>
      <c r="F1129" s="12">
        <f t="shared" si="222"/>
        <v>0</v>
      </c>
      <c r="G1129" s="16">
        <f t="shared" si="224"/>
        <v>4.1038792941745799E-4</v>
      </c>
      <c r="H1129" s="14">
        <f t="shared" si="225"/>
        <v>0</v>
      </c>
      <c r="I1129" s="14">
        <f t="shared" si="226"/>
        <v>12.368314561986537</v>
      </c>
      <c r="J1129" s="14">
        <f t="shared" si="227"/>
        <v>8.5951236035543952E-5</v>
      </c>
      <c r="K1129" s="14">
        <f t="shared" si="228"/>
        <v>0.2863078789476089</v>
      </c>
      <c r="L1129" s="14">
        <f t="shared" si="229"/>
        <v>700.59311082287763</v>
      </c>
      <c r="M1129" s="14">
        <f t="shared" si="223"/>
        <v>0.14930607879104829</v>
      </c>
      <c r="N1129" s="14">
        <f t="shared" si="230"/>
        <v>3.8207840301737015</v>
      </c>
      <c r="O1129" s="4">
        <v>1.54</v>
      </c>
      <c r="P1129" s="14">
        <f t="shared" si="233"/>
        <v>5.201975792295392</v>
      </c>
      <c r="Q1129" s="14">
        <f t="shared" si="231"/>
        <v>24.936530277802689</v>
      </c>
    </row>
    <row r="1130" spans="1:17" x14ac:dyDescent="0.25">
      <c r="A1130" s="5" t="s">
        <v>1187</v>
      </c>
      <c r="B1130" s="6">
        <f t="shared" si="232"/>
        <v>6</v>
      </c>
      <c r="C1130" s="70">
        <v>18.839420319999999</v>
      </c>
      <c r="D1130" s="4">
        <v>0</v>
      </c>
      <c r="E1130" s="12">
        <f t="shared" si="221"/>
        <v>0</v>
      </c>
      <c r="F1130" s="12">
        <f t="shared" si="222"/>
        <v>0</v>
      </c>
      <c r="G1130" s="16">
        <f t="shared" si="224"/>
        <v>3.3211843172661313E-4</v>
      </c>
      <c r="H1130" s="14">
        <f t="shared" si="225"/>
        <v>0</v>
      </c>
      <c r="I1130" s="14">
        <f t="shared" si="226"/>
        <v>13.621812868782902</v>
      </c>
      <c r="J1130" s="14">
        <f t="shared" si="227"/>
        <v>7.8269497690844854E-5</v>
      </c>
      <c r="K1130" s="14">
        <f t="shared" si="228"/>
        <v>0.27214891660093066</v>
      </c>
      <c r="L1130" s="14">
        <f t="shared" si="229"/>
        <v>700.45796370643325</v>
      </c>
      <c r="M1130" s="14">
        <f t="shared" si="223"/>
        <v>0.1492742725993281</v>
      </c>
      <c r="N1130" s="14">
        <f t="shared" si="230"/>
        <v>3.8199701008925282</v>
      </c>
      <c r="O1130" s="4">
        <v>1.55</v>
      </c>
      <c r="P1130" s="14">
        <f t="shared" si="233"/>
        <v>5.1527642589460338</v>
      </c>
      <c r="Q1130" s="14">
        <f t="shared" si="231"/>
        <v>24.836757297917632</v>
      </c>
    </row>
    <row r="1131" spans="1:17" x14ac:dyDescent="0.25">
      <c r="A1131" s="5" t="s">
        <v>1188</v>
      </c>
      <c r="B1131" s="6">
        <f t="shared" si="232"/>
        <v>6</v>
      </c>
      <c r="C1131" s="70">
        <v>17.5938549</v>
      </c>
      <c r="D1131" s="4">
        <v>0</v>
      </c>
      <c r="E1131" s="12">
        <f t="shared" si="221"/>
        <v>0</v>
      </c>
      <c r="F1131" s="12">
        <f t="shared" si="222"/>
        <v>0</v>
      </c>
      <c r="G1131" s="16">
        <f t="shared" si="224"/>
        <v>2.7922469717040871E-4</v>
      </c>
      <c r="H1131" s="14">
        <f t="shared" si="225"/>
        <v>0</v>
      </c>
      <c r="I1131" s="14">
        <f t="shared" si="226"/>
        <v>11.374915905720064</v>
      </c>
      <c r="J1131" s="14">
        <f t="shared" si="227"/>
        <v>5.2893734556204427E-5</v>
      </c>
      <c r="K1131" s="14">
        <f t="shared" si="228"/>
        <v>0.25869016626193991</v>
      </c>
      <c r="L1131" s="14">
        <f t="shared" si="229"/>
        <v>700.32214818417287</v>
      </c>
      <c r="M1131" s="14">
        <f t="shared" si="223"/>
        <v>0.14924247318317821</v>
      </c>
      <c r="N1131" s="14">
        <f t="shared" si="230"/>
        <v>3.8191563450000818</v>
      </c>
      <c r="O1131" s="4">
        <v>1.58</v>
      </c>
      <c r="P1131" s="14">
        <f t="shared" si="233"/>
        <v>5.0138211373541255</v>
      </c>
      <c r="Q1131" s="14">
        <f t="shared" si="231"/>
        <v>24.538638358262457</v>
      </c>
    </row>
    <row r="1132" spans="1:17" x14ac:dyDescent="0.25">
      <c r="A1132" s="5" t="s">
        <v>1189</v>
      </c>
      <c r="B1132" s="6">
        <f t="shared" si="232"/>
        <v>6</v>
      </c>
      <c r="C1132" s="70">
        <v>16.580049509999998</v>
      </c>
      <c r="D1132" s="4">
        <v>0</v>
      </c>
      <c r="E1132" s="12">
        <f t="shared" si="221"/>
        <v>0</v>
      </c>
      <c r="F1132" s="12">
        <f t="shared" si="222"/>
        <v>0</v>
      </c>
      <c r="G1132" s="16">
        <f t="shared" si="224"/>
        <v>2.4190461144860925E-4</v>
      </c>
      <c r="H1132" s="14">
        <f t="shared" si="225"/>
        <v>0</v>
      </c>
      <c r="I1132" s="14">
        <f t="shared" si="226"/>
        <v>9.5460948615971919</v>
      </c>
      <c r="J1132" s="14">
        <f t="shared" si="227"/>
        <v>3.7320085721799445E-5</v>
      </c>
      <c r="K1132" s="14">
        <f t="shared" si="228"/>
        <v>0.24589699990891412</v>
      </c>
      <c r="L1132" s="14">
        <f t="shared" si="229"/>
        <v>700.1856988773427</v>
      </c>
      <c r="M1132" s="14">
        <f t="shared" si="223"/>
        <v>0.14921068054115522</v>
      </c>
      <c r="N1132" s="14">
        <f t="shared" si="230"/>
        <v>3.8183427624594239</v>
      </c>
      <c r="O1132" s="4">
        <v>1.51</v>
      </c>
      <c r="P1132" s="14">
        <f t="shared" si="233"/>
        <v>5.3284463089988057</v>
      </c>
      <c r="Q1132" s="14">
        <f t="shared" si="231"/>
        <v>25.237049217457862</v>
      </c>
    </row>
    <row r="1133" spans="1:17" x14ac:dyDescent="0.25">
      <c r="A1133" s="5" t="s">
        <v>1190</v>
      </c>
      <c r="B1133" s="6">
        <f t="shared" si="232"/>
        <v>6</v>
      </c>
      <c r="C1133" s="70">
        <v>17.215801240000001</v>
      </c>
      <c r="D1133" s="4">
        <v>0</v>
      </c>
      <c r="E1133" s="12">
        <f t="shared" si="221"/>
        <v>0</v>
      </c>
      <c r="F1133" s="12">
        <f t="shared" si="222"/>
        <v>0</v>
      </c>
      <c r="G1133" s="16">
        <f t="shared" si="224"/>
        <v>2.0568829552625975E-4</v>
      </c>
      <c r="H1133" s="14">
        <f t="shared" si="225"/>
        <v>0</v>
      </c>
      <c r="I1133" s="14">
        <f t="shared" si="226"/>
        <v>10.692938382187988</v>
      </c>
      <c r="J1133" s="14">
        <f t="shared" si="227"/>
        <v>3.6216315922349499E-5</v>
      </c>
      <c r="K1133" s="14">
        <f t="shared" si="228"/>
        <v>0.23373650200131529</v>
      </c>
      <c r="L1133" s="14">
        <f t="shared" si="229"/>
        <v>700.04864869470907</v>
      </c>
      <c r="M1133" s="14">
        <f t="shared" si="223"/>
        <v>0.14917889467181608</v>
      </c>
      <c r="N1133" s="14">
        <f t="shared" si="230"/>
        <v>3.8175293532336263</v>
      </c>
      <c r="O1133" s="4">
        <v>1.51</v>
      </c>
      <c r="P1133" s="14">
        <f t="shared" si="233"/>
        <v>5.3246917160347964</v>
      </c>
      <c r="Q1133" s="14">
        <f t="shared" si="231"/>
        <v>25.237049217457862</v>
      </c>
    </row>
    <row r="1134" spans="1:17" x14ac:dyDescent="0.25">
      <c r="A1134" s="5" t="s">
        <v>1191</v>
      </c>
      <c r="B1134" s="6">
        <f t="shared" si="232"/>
        <v>6</v>
      </c>
      <c r="C1134" s="70">
        <v>15.634323119999999</v>
      </c>
      <c r="D1134" s="4">
        <v>0</v>
      </c>
      <c r="E1134" s="12">
        <f t="shared" si="221"/>
        <v>0</v>
      </c>
      <c r="F1134" s="12">
        <f t="shared" si="222"/>
        <v>0</v>
      </c>
      <c r="G1134" s="16">
        <f t="shared" si="224"/>
        <v>1.8310988935434162E-4</v>
      </c>
      <c r="H1134" s="14">
        <f t="shared" si="225"/>
        <v>0</v>
      </c>
      <c r="I1134" s="14">
        <f t="shared" si="226"/>
        <v>7.8400827008072902</v>
      </c>
      <c r="J1134" s="14">
        <f t="shared" si="227"/>
        <v>2.2578406171918137E-5</v>
      </c>
      <c r="K1134" s="14">
        <f t="shared" si="228"/>
        <v>0.22217738479138865</v>
      </c>
      <c r="L1134" s="14">
        <f t="shared" si="229"/>
        <v>699.91102891724722</v>
      </c>
      <c r="M1134" s="14">
        <f t="shared" si="223"/>
        <v>0.14914711557371801</v>
      </c>
      <c r="N1134" s="14">
        <f t="shared" si="230"/>
        <v>3.8167161172857704</v>
      </c>
      <c r="O1134" s="4">
        <v>1.54</v>
      </c>
      <c r="P1134" s="14">
        <f t="shared" si="233"/>
        <v>5.1834362787087942</v>
      </c>
      <c r="Q1134" s="14">
        <f t="shared" si="231"/>
        <v>24.936530277802689</v>
      </c>
    </row>
    <row r="1135" spans="1:17" x14ac:dyDescent="0.25">
      <c r="A1135" s="5" t="s">
        <v>1192</v>
      </c>
      <c r="B1135" s="6">
        <f t="shared" si="232"/>
        <v>6</v>
      </c>
      <c r="C1135" s="70">
        <v>15.35177803</v>
      </c>
      <c r="D1135" s="4">
        <v>0</v>
      </c>
      <c r="E1135" s="12">
        <f t="shared" si="221"/>
        <v>0</v>
      </c>
      <c r="F1135" s="12">
        <f t="shared" si="222"/>
        <v>0</v>
      </c>
      <c r="G1135" s="16">
        <f t="shared" si="224"/>
        <v>1.6431662511376451E-4</v>
      </c>
      <c r="H1135" s="14">
        <f t="shared" si="225"/>
        <v>0</v>
      </c>
      <c r="I1135" s="14">
        <f t="shared" si="226"/>
        <v>7.3303947354418773</v>
      </c>
      <c r="J1135" s="14">
        <f t="shared" si="227"/>
        <v>1.8793264240577117E-5</v>
      </c>
      <c r="K1135" s="14">
        <f t="shared" si="228"/>
        <v>0.21118990782390934</v>
      </c>
      <c r="L1135" s="14">
        <f t="shared" si="229"/>
        <v>699.772869278641</v>
      </c>
      <c r="M1135" s="14">
        <f t="shared" si="223"/>
        <v>0.14911534324541861</v>
      </c>
      <c r="N1135" s="14">
        <f t="shared" si="230"/>
        <v>3.8159030545789419</v>
      </c>
      <c r="O1135" s="4">
        <v>1.47</v>
      </c>
      <c r="P1135" s="14">
        <f t="shared" si="233"/>
        <v>5.5032611414828114</v>
      </c>
      <c r="Q1135" s="14">
        <f t="shared" si="231"/>
        <v>25.640541136998092</v>
      </c>
    </row>
    <row r="1136" spans="1:17" x14ac:dyDescent="0.25">
      <c r="A1136" s="5" t="s">
        <v>1193</v>
      </c>
      <c r="B1136" s="6">
        <f t="shared" si="232"/>
        <v>6</v>
      </c>
      <c r="C1136" s="70">
        <v>16.98264885</v>
      </c>
      <c r="D1136" s="4">
        <v>0</v>
      </c>
      <c r="E1136" s="12">
        <f t="shared" si="221"/>
        <v>0</v>
      </c>
      <c r="F1136" s="12">
        <f t="shared" si="222"/>
        <v>0</v>
      </c>
      <c r="G1136" s="16">
        <f t="shared" si="224"/>
        <v>1.4068386725839599E-4</v>
      </c>
      <c r="H1136" s="14">
        <f t="shared" si="225"/>
        <v>0</v>
      </c>
      <c r="I1136" s="14">
        <f t="shared" si="226"/>
        <v>10.272350761008006</v>
      </c>
      <c r="J1136" s="14">
        <f t="shared" si="227"/>
        <v>2.3632757855368525E-5</v>
      </c>
      <c r="K1136" s="14">
        <f t="shared" si="228"/>
        <v>0.20074580141695866</v>
      </c>
      <c r="L1136" s="14">
        <f t="shared" si="229"/>
        <v>699.63419804180251</v>
      </c>
      <c r="M1136" s="14">
        <f t="shared" si="223"/>
        <v>0.14908357768547564</v>
      </c>
      <c r="N1136" s="14">
        <f t="shared" si="230"/>
        <v>3.8150901650762341</v>
      </c>
      <c r="O1136" s="4">
        <v>1.44</v>
      </c>
      <c r="P1136" s="14">
        <f t="shared" si="233"/>
        <v>5.6410532922418533</v>
      </c>
      <c r="Q1136" s="14">
        <f t="shared" si="231"/>
        <v>25.945260076653259</v>
      </c>
    </row>
    <row r="1137" spans="1:17" x14ac:dyDescent="0.25">
      <c r="A1137" s="5" t="s">
        <v>1194</v>
      </c>
      <c r="B1137" s="6">
        <f t="shared" si="232"/>
        <v>6</v>
      </c>
      <c r="C1137" s="70">
        <v>15.012638089999999</v>
      </c>
      <c r="D1137" s="4">
        <v>0</v>
      </c>
      <c r="E1137" s="12">
        <f t="shared" si="221"/>
        <v>0</v>
      </c>
      <c r="F1137" s="12">
        <f t="shared" si="222"/>
        <v>0</v>
      </c>
      <c r="G1137" s="16">
        <f t="shared" si="224"/>
        <v>1.2744999101014284E-4</v>
      </c>
      <c r="H1137" s="14">
        <f t="shared" si="225"/>
        <v>0</v>
      </c>
      <c r="I1137" s="14">
        <f t="shared" si="226"/>
        <v>6.7186143431768794</v>
      </c>
      <c r="J1137" s="14">
        <f t="shared" si="227"/>
        <v>1.3233876248253166E-5</v>
      </c>
      <c r="K1137" s="14">
        <f t="shared" si="228"/>
        <v>0.19081819392685329</v>
      </c>
      <c r="L1137" s="14">
        <f t="shared" si="229"/>
        <v>699.49504207160714</v>
      </c>
      <c r="M1137" s="14">
        <f t="shared" si="223"/>
        <v>0.14905181889244731</v>
      </c>
      <c r="N1137" s="14">
        <f t="shared" si="230"/>
        <v>3.8142774487407527</v>
      </c>
      <c r="O1137" s="4">
        <v>1.48</v>
      </c>
      <c r="P1137" s="14">
        <f t="shared" si="233"/>
        <v>5.4488512076996374</v>
      </c>
      <c r="Q1137" s="14">
        <f t="shared" si="231"/>
        <v>25.539368157113039</v>
      </c>
    </row>
    <row r="1138" spans="1:17" x14ac:dyDescent="0.25">
      <c r="A1138" s="5" t="s">
        <v>1195</v>
      </c>
      <c r="B1138" s="6">
        <f t="shared" si="232"/>
        <v>6</v>
      </c>
      <c r="C1138" s="70">
        <v>16.058750150000002</v>
      </c>
      <c r="D1138" s="4">
        <v>0</v>
      </c>
      <c r="E1138" s="12">
        <f t="shared" si="221"/>
        <v>0</v>
      </c>
      <c r="F1138" s="12">
        <f t="shared" si="222"/>
        <v>0</v>
      </c>
      <c r="G1138" s="16">
        <f t="shared" si="224"/>
        <v>1.1209357836731397E-4</v>
      </c>
      <c r="H1138" s="14">
        <f t="shared" si="225"/>
        <v>0</v>
      </c>
      <c r="I1138" s="14">
        <f t="shared" si="226"/>
        <v>8.6057139470157669</v>
      </c>
      <c r="J1138" s="14">
        <f t="shared" si="227"/>
        <v>1.5356412642828866E-5</v>
      </c>
      <c r="K1138" s="14">
        <f t="shared" si="228"/>
        <v>0.18138154261008721</v>
      </c>
      <c r="L1138" s="14">
        <f t="shared" si="229"/>
        <v>699.35542690403156</v>
      </c>
      <c r="M1138" s="14">
        <f t="shared" si="223"/>
        <v>0.14902006686489211</v>
      </c>
      <c r="N1138" s="14">
        <f t="shared" si="230"/>
        <v>3.8134649055356076</v>
      </c>
      <c r="O1138" s="4">
        <v>1.51</v>
      </c>
      <c r="P1138" s="14">
        <f t="shared" si="233"/>
        <v>5.3059505710341641</v>
      </c>
      <c r="Q1138" s="14">
        <f t="shared" si="231"/>
        <v>25.237049217457862</v>
      </c>
    </row>
    <row r="1139" spans="1:17" x14ac:dyDescent="0.25">
      <c r="A1139" s="5" t="s">
        <v>1196</v>
      </c>
      <c r="B1139" s="6">
        <f t="shared" si="232"/>
        <v>6</v>
      </c>
      <c r="C1139" s="70">
        <v>17.942399980000001</v>
      </c>
      <c r="D1139" s="4">
        <v>0</v>
      </c>
      <c r="E1139" s="12">
        <f t="shared" si="221"/>
        <v>0</v>
      </c>
      <c r="F1139" s="12">
        <f t="shared" si="222"/>
        <v>0</v>
      </c>
      <c r="G1139" s="16">
        <f t="shared" si="224"/>
        <v>9.3254590609584498E-5</v>
      </c>
      <c r="H1139" s="14">
        <f t="shared" si="225"/>
        <v>0</v>
      </c>
      <c r="I1139" s="14">
        <f t="shared" si="226"/>
        <v>12.003662392389945</v>
      </c>
      <c r="J1139" s="14">
        <f t="shared" si="227"/>
        <v>1.8838987757729479E-5</v>
      </c>
      <c r="K1139" s="14">
        <f t="shared" si="228"/>
        <v>0.17241156790440132</v>
      </c>
      <c r="L1139" s="14">
        <f t="shared" si="229"/>
        <v>699.21537681187237</v>
      </c>
      <c r="M1139" s="14">
        <f t="shared" si="223"/>
        <v>0.14898832160136879</v>
      </c>
      <c r="N1139" s="14">
        <f t="shared" si="230"/>
        <v>3.8126525354239171</v>
      </c>
      <c r="O1139" s="4">
        <v>1.48</v>
      </c>
      <c r="P1139" s="14">
        <f t="shared" si="233"/>
        <v>5.4412678510196288</v>
      </c>
      <c r="Q1139" s="14">
        <f t="shared" si="231"/>
        <v>25.539368157113039</v>
      </c>
    </row>
    <row r="1140" spans="1:17" x14ac:dyDescent="0.25">
      <c r="A1140" s="5" t="s">
        <v>1197</v>
      </c>
      <c r="B1140" s="6">
        <f t="shared" si="232"/>
        <v>6</v>
      </c>
      <c r="C1140" s="70">
        <v>16.56002617</v>
      </c>
      <c r="D1140" s="4">
        <v>0</v>
      </c>
      <c r="E1140" s="12">
        <f t="shared" si="221"/>
        <v>0</v>
      </c>
      <c r="F1140" s="12">
        <f t="shared" si="222"/>
        <v>0</v>
      </c>
      <c r="G1140" s="16">
        <f t="shared" si="224"/>
        <v>8.0837706532651692E-5</v>
      </c>
      <c r="H1140" s="14">
        <f t="shared" si="225"/>
        <v>0</v>
      </c>
      <c r="I1140" s="14">
        <f t="shared" si="226"/>
        <v>9.5099744129126336</v>
      </c>
      <c r="J1140" s="14">
        <f t="shared" si="227"/>
        <v>1.2416884076932812E-5</v>
      </c>
      <c r="K1140" s="14">
        <f t="shared" si="228"/>
        <v>0.16388519095989229</v>
      </c>
      <c r="L1140" s="14">
        <f t="shared" si="229"/>
        <v>699.07491486721551</v>
      </c>
      <c r="M1140" s="14">
        <f t="shared" si="223"/>
        <v>0.14895658310043641</v>
      </c>
      <c r="N1140" s="14">
        <f t="shared" si="230"/>
        <v>3.8118403383688073</v>
      </c>
      <c r="O1140" s="4">
        <v>1.48</v>
      </c>
      <c r="P1140" s="14">
        <f t="shared" si="233"/>
        <v>5.4374793636439538</v>
      </c>
      <c r="Q1140" s="14">
        <f t="shared" si="231"/>
        <v>25.539368157113039</v>
      </c>
    </row>
    <row r="1141" spans="1:17" x14ac:dyDescent="0.25">
      <c r="A1141" s="5" t="s">
        <v>1198</v>
      </c>
      <c r="B1141" s="6">
        <f t="shared" si="232"/>
        <v>6</v>
      </c>
      <c r="C1141" s="70">
        <v>17.806426999999999</v>
      </c>
      <c r="D1141" s="4">
        <v>0</v>
      </c>
      <c r="E1141" s="12">
        <f t="shared" si="221"/>
        <v>0</v>
      </c>
      <c r="F1141" s="12">
        <f t="shared" si="222"/>
        <v>0</v>
      </c>
      <c r="G1141" s="16">
        <f t="shared" si="224"/>
        <v>6.7529348577764143E-5</v>
      </c>
      <c r="H1141" s="14">
        <f t="shared" si="225"/>
        <v>0</v>
      </c>
      <c r="I1141" s="14">
        <f t="shared" si="226"/>
        <v>11.758378386495973</v>
      </c>
      <c r="J1141" s="14">
        <f t="shared" si="227"/>
        <v>1.3308357954887552E-5</v>
      </c>
      <c r="K1141" s="14">
        <f t="shared" si="228"/>
        <v>0.15578047425943467</v>
      </c>
      <c r="L1141" s="14">
        <f t="shared" si="229"/>
        <v>698.93406300081563</v>
      </c>
      <c r="M1141" s="14">
        <f t="shared" si="223"/>
        <v>0.14892485136065436</v>
      </c>
      <c r="N1141" s="14">
        <f t="shared" si="230"/>
        <v>3.8110283143334125</v>
      </c>
      <c r="O1141" s="4">
        <v>1.5</v>
      </c>
      <c r="P1141" s="14">
        <f t="shared" si="233"/>
        <v>5.3408518696507343</v>
      </c>
      <c r="Q1141" s="14">
        <f t="shared" si="231"/>
        <v>25.337622197342917</v>
      </c>
    </row>
    <row r="1142" spans="1:17" x14ac:dyDescent="0.25">
      <c r="A1142" s="5" t="s">
        <v>1199</v>
      </c>
      <c r="B1142" s="6">
        <f t="shared" si="232"/>
        <v>6</v>
      </c>
      <c r="C1142" s="70">
        <v>17.84883499</v>
      </c>
      <c r="D1142" s="4">
        <v>0</v>
      </c>
      <c r="E1142" s="12">
        <f t="shared" si="221"/>
        <v>0</v>
      </c>
      <c r="F1142" s="12">
        <f t="shared" si="222"/>
        <v>0</v>
      </c>
      <c r="G1142" s="16">
        <f t="shared" si="224"/>
        <v>5.6339622977416883E-5</v>
      </c>
      <c r="H1142" s="14">
        <f t="shared" si="225"/>
        <v>0</v>
      </c>
      <c r="I1142" s="14">
        <f t="shared" si="226"/>
        <v>11.83487889173688</v>
      </c>
      <c r="J1142" s="14">
        <f t="shared" si="227"/>
        <v>1.1189725600347258E-5</v>
      </c>
      <c r="K1142" s="14">
        <f t="shared" si="228"/>
        <v>0.14807656517563811</v>
      </c>
      <c r="L1142" s="14">
        <f t="shared" si="229"/>
        <v>698.79284205853878</v>
      </c>
      <c r="M1142" s="14">
        <f t="shared" si="223"/>
        <v>0.14889312638058236</v>
      </c>
      <c r="N1142" s="14">
        <f t="shared" si="230"/>
        <v>3.810216463280875</v>
      </c>
      <c r="O1142" s="4">
        <v>1.47</v>
      </c>
      <c r="P1142" s="14">
        <f t="shared" si="233"/>
        <v>5.4766130950108467</v>
      </c>
      <c r="Q1142" s="14">
        <f t="shared" si="231"/>
        <v>25.640541136998092</v>
      </c>
    </row>
    <row r="1143" spans="1:17" x14ac:dyDescent="0.25">
      <c r="A1143" s="5" t="s">
        <v>1200</v>
      </c>
      <c r="B1143" s="6">
        <f t="shared" si="232"/>
        <v>6</v>
      </c>
      <c r="C1143" s="70">
        <v>16.62333679</v>
      </c>
      <c r="D1143" s="4">
        <v>0</v>
      </c>
      <c r="E1143" s="12">
        <f t="shared" si="221"/>
        <v>0</v>
      </c>
      <c r="F1143" s="12">
        <f t="shared" si="222"/>
        <v>0</v>
      </c>
      <c r="G1143" s="16">
        <f t="shared" si="224"/>
        <v>4.8747892158915239E-5</v>
      </c>
      <c r="H1143" s="14">
        <f t="shared" si="225"/>
        <v>0</v>
      </c>
      <c r="I1143" s="14">
        <f t="shared" si="226"/>
        <v>9.6241815332480911</v>
      </c>
      <c r="J1143" s="14">
        <f t="shared" si="227"/>
        <v>7.5917308185016445E-6</v>
      </c>
      <c r="K1143" s="14">
        <f t="shared" si="228"/>
        <v>0.14075364231911777</v>
      </c>
      <c r="L1143" s="14">
        <f t="shared" si="229"/>
        <v>698.65127185501467</v>
      </c>
      <c r="M1143" s="14">
        <f t="shared" si="223"/>
        <v>0.14886140815878038</v>
      </c>
      <c r="N1143" s="14">
        <f t="shared" si="230"/>
        <v>3.8094047851743453</v>
      </c>
      <c r="O1143" s="4">
        <v>1.39</v>
      </c>
      <c r="P1143" s="14">
        <f t="shared" si="233"/>
        <v>5.8535195145245194</v>
      </c>
      <c r="Q1143" s="14">
        <f t="shared" si="231"/>
        <v>26.457124976078553</v>
      </c>
    </row>
    <row r="1144" spans="1:17" x14ac:dyDescent="0.25">
      <c r="A1144" s="5" t="s">
        <v>1201</v>
      </c>
      <c r="B1144" s="6">
        <f t="shared" si="232"/>
        <v>6</v>
      </c>
      <c r="C1144" s="70">
        <v>17.882850650000002</v>
      </c>
      <c r="D1144" s="4">
        <v>0</v>
      </c>
      <c r="E1144" s="12">
        <f t="shared" si="221"/>
        <v>0</v>
      </c>
      <c r="F1144" s="12">
        <f t="shared" si="222"/>
        <v>0</v>
      </c>
      <c r="G1144" s="16">
        <f t="shared" si="224"/>
        <v>4.0628404440668711E-5</v>
      </c>
      <c r="H1144" s="14">
        <f t="shared" si="225"/>
        <v>0</v>
      </c>
      <c r="I1144" s="14">
        <f t="shared" si="226"/>
        <v>11.89624032801582</v>
      </c>
      <c r="J1144" s="14">
        <f t="shared" si="227"/>
        <v>8.1194877182465277E-6</v>
      </c>
      <c r="K1144" s="14">
        <f t="shared" si="228"/>
        <v>0.13379286454003722</v>
      </c>
      <c r="L1144" s="14">
        <f t="shared" si="229"/>
        <v>698.50937122463495</v>
      </c>
      <c r="M1144" s="14">
        <f t="shared" si="223"/>
        <v>0.14882969669380872</v>
      </c>
      <c r="N1144" s="14">
        <f t="shared" si="230"/>
        <v>3.8085932799769804</v>
      </c>
      <c r="O1144" s="4">
        <v>1.39</v>
      </c>
      <c r="P1144" s="14">
        <f t="shared" si="233"/>
        <v>5.8495934539498098</v>
      </c>
      <c r="Q1144" s="14">
        <f t="shared" si="231"/>
        <v>26.457124976078553</v>
      </c>
    </row>
    <row r="1145" spans="1:17" x14ac:dyDescent="0.25">
      <c r="A1145" s="5" t="s">
        <v>1202</v>
      </c>
      <c r="B1145" s="6">
        <f t="shared" si="232"/>
        <v>6</v>
      </c>
      <c r="C1145" s="70">
        <v>16.695858000000001</v>
      </c>
      <c r="D1145" s="4">
        <v>0</v>
      </c>
      <c r="E1145" s="12">
        <f t="shared" si="221"/>
        <v>0</v>
      </c>
      <c r="F1145" s="12">
        <f t="shared" si="222"/>
        <v>0</v>
      </c>
      <c r="G1145" s="16">
        <f t="shared" si="224"/>
        <v>3.5079333613964912E-5</v>
      </c>
      <c r="H1145" s="14">
        <f t="shared" si="225"/>
        <v>0</v>
      </c>
      <c r="I1145" s="14">
        <f t="shared" si="226"/>
        <v>9.7550037958849618</v>
      </c>
      <c r="J1145" s="14">
        <f t="shared" si="227"/>
        <v>5.5490708267037986E-6</v>
      </c>
      <c r="K1145" s="14">
        <f t="shared" si="228"/>
        <v>0.12717632245170982</v>
      </c>
      <c r="L1145" s="14">
        <f t="shared" si="229"/>
        <v>698.3671580700294</v>
      </c>
      <c r="M1145" s="14">
        <f t="shared" si="223"/>
        <v>0.14879799198422805</v>
      </c>
      <c r="N1145" s="14">
        <f t="shared" si="230"/>
        <v>3.807781947651947</v>
      </c>
      <c r="O1145" s="4">
        <v>1.38</v>
      </c>
      <c r="P1145" s="14">
        <f t="shared" si="233"/>
        <v>5.8941251853446817</v>
      </c>
      <c r="Q1145" s="14">
        <f t="shared" si="231"/>
        <v>26.560097955963606</v>
      </c>
    </row>
    <row r="1146" spans="1:17" x14ac:dyDescent="0.25">
      <c r="A1146" s="5" t="s">
        <v>1203</v>
      </c>
      <c r="B1146" s="6">
        <f t="shared" si="232"/>
        <v>6</v>
      </c>
      <c r="C1146" s="70">
        <v>17.641563420000001</v>
      </c>
      <c r="D1146" s="4">
        <v>0</v>
      </c>
      <c r="E1146" s="12">
        <f t="shared" si="221"/>
        <v>0</v>
      </c>
      <c r="F1146" s="12">
        <f t="shared" si="222"/>
        <v>0</v>
      </c>
      <c r="G1146" s="16">
        <f t="shared" si="224"/>
        <v>2.9450271035952658E-5</v>
      </c>
      <c r="H1146" s="14">
        <f t="shared" si="225"/>
        <v>0</v>
      </c>
      <c r="I1146" s="14">
        <f t="shared" si="226"/>
        <v>11.460978128529867</v>
      </c>
      <c r="J1146" s="14">
        <f t="shared" si="227"/>
        <v>5.6290625780122553E-6</v>
      </c>
      <c r="K1146" s="14">
        <f t="shared" si="228"/>
        <v>0.12088699235153373</v>
      </c>
      <c r="L1146" s="14">
        <f t="shared" si="229"/>
        <v>698.22464940814541</v>
      </c>
      <c r="M1146" s="14">
        <f t="shared" si="223"/>
        <v>0.14876629402859928</v>
      </c>
      <c r="N1146" s="14">
        <f t="shared" si="230"/>
        <v>3.8069707881624191</v>
      </c>
      <c r="O1146" s="4">
        <v>1.37</v>
      </c>
      <c r="P1146" s="14">
        <f t="shared" si="233"/>
        <v>5.9388266223569612</v>
      </c>
      <c r="Q1146" s="14">
        <f t="shared" si="231"/>
        <v>26.663270935848661</v>
      </c>
    </row>
    <row r="1147" spans="1:17" x14ac:dyDescent="0.25">
      <c r="A1147" s="5" t="s">
        <v>1204</v>
      </c>
      <c r="B1147" s="6">
        <f t="shared" si="232"/>
        <v>6</v>
      </c>
      <c r="C1147" s="70">
        <v>16.857925420000001</v>
      </c>
      <c r="D1147" s="4">
        <v>0</v>
      </c>
      <c r="E1147" s="12">
        <f t="shared" si="221"/>
        <v>0</v>
      </c>
      <c r="F1147" s="12">
        <f t="shared" si="222"/>
        <v>0</v>
      </c>
      <c r="G1147" s="16">
        <f t="shared" si="224"/>
        <v>2.530737229760667E-5</v>
      </c>
      <c r="H1147" s="14">
        <f t="shared" si="225"/>
        <v>0</v>
      </c>
      <c r="I1147" s="14">
        <f t="shared" si="226"/>
        <v>10.047360012557572</v>
      </c>
      <c r="J1147" s="14">
        <f t="shared" si="227"/>
        <v>4.1428987383459867E-6</v>
      </c>
      <c r="K1147" s="14">
        <f t="shared" si="228"/>
        <v>0.11490869242070384</v>
      </c>
      <c r="L1147" s="14">
        <f t="shared" si="229"/>
        <v>698.08186141404769</v>
      </c>
      <c r="M1147" s="14">
        <f t="shared" si="223"/>
        <v>0.14873460282548359</v>
      </c>
      <c r="N1147" s="14">
        <f t="shared" si="230"/>
        <v>3.8061598014715763</v>
      </c>
      <c r="O1147" s="4">
        <v>1.34</v>
      </c>
      <c r="P1147" s="14">
        <f t="shared" si="233"/>
        <v>6.081944166394325</v>
      </c>
      <c r="Q1147" s="14">
        <f t="shared" si="231"/>
        <v>26.973989875503836</v>
      </c>
    </row>
    <row r="1148" spans="1:17" x14ac:dyDescent="0.25">
      <c r="A1148" s="5" t="s">
        <v>1205</v>
      </c>
      <c r="B1148" s="6">
        <f t="shared" si="232"/>
        <v>6</v>
      </c>
      <c r="C1148" s="70">
        <v>17.490667340000002</v>
      </c>
      <c r="D1148" s="4">
        <v>0</v>
      </c>
      <c r="E1148" s="12">
        <f t="shared" si="221"/>
        <v>0</v>
      </c>
      <c r="F1148" s="12">
        <f t="shared" si="222"/>
        <v>0</v>
      </c>
      <c r="G1148" s="16">
        <f t="shared" si="224"/>
        <v>2.1342834001542818E-5</v>
      </c>
      <c r="H1148" s="14">
        <f t="shared" si="225"/>
        <v>0</v>
      </c>
      <c r="I1148" s="14">
        <f t="shared" si="226"/>
        <v>11.188774084931669</v>
      </c>
      <c r="J1148" s="14">
        <f t="shared" si="227"/>
        <v>3.9645382960638518E-6</v>
      </c>
      <c r="K1148" s="14">
        <f t="shared" si="228"/>
        <v>0.10922604109000646</v>
      </c>
      <c r="L1148" s="14">
        <f t="shared" si="229"/>
        <v>697.93880946255285</v>
      </c>
      <c r="M1148" s="14">
        <f t="shared" si="223"/>
        <v>0.14870291837344254</v>
      </c>
      <c r="N1148" s="14">
        <f t="shared" si="230"/>
        <v>3.8053489875426094</v>
      </c>
      <c r="O1148" s="4">
        <v>1.36</v>
      </c>
      <c r="P1148" s="14">
        <f t="shared" si="233"/>
        <v>5.9797316708756654</v>
      </c>
      <c r="Q1148" s="14">
        <f t="shared" si="231"/>
        <v>26.766643915733717</v>
      </c>
    </row>
    <row r="1149" spans="1:17" x14ac:dyDescent="0.25">
      <c r="A1149" s="5" t="s">
        <v>1206</v>
      </c>
      <c r="B1149" s="6">
        <f t="shared" si="232"/>
        <v>7</v>
      </c>
      <c r="C1149" s="70">
        <v>17.021196369999998</v>
      </c>
      <c r="D1149" s="4">
        <v>0</v>
      </c>
      <c r="E1149" s="12">
        <f t="shared" si="221"/>
        <v>0</v>
      </c>
      <c r="F1149" s="12">
        <f t="shared" si="222"/>
        <v>0</v>
      </c>
      <c r="G1149" s="16">
        <f t="shared" si="224"/>
        <v>1.8441980209341305E-5</v>
      </c>
      <c r="H1149" s="14">
        <f t="shared" si="225"/>
        <v>0</v>
      </c>
      <c r="I1149" s="14">
        <f t="shared" si="226"/>
        <v>9.7075736761890408</v>
      </c>
      <c r="J1149" s="14">
        <f t="shared" si="227"/>
        <v>2.9008537922015122E-6</v>
      </c>
      <c r="K1149" s="14">
        <f t="shared" si="228"/>
        <v>0.10382441746457655</v>
      </c>
      <c r="L1149" s="14">
        <f t="shared" si="229"/>
        <v>697.79550816780488</v>
      </c>
      <c r="M1149" s="14">
        <f t="shared" si="223"/>
        <v>0.14867124067103799</v>
      </c>
      <c r="N1149" s="14">
        <f t="shared" si="230"/>
        <v>3.804538346338715</v>
      </c>
      <c r="O1149" s="4">
        <v>1.32</v>
      </c>
      <c r="P1149" s="14">
        <f t="shared" si="233"/>
        <v>6.1729307944275149</v>
      </c>
      <c r="Q1149" s="14">
        <f t="shared" si="231"/>
        <v>27.182135835273947</v>
      </c>
    </row>
    <row r="1150" spans="1:17" x14ac:dyDescent="0.25">
      <c r="A1150" s="5" t="s">
        <v>1207</v>
      </c>
      <c r="B1150" s="6">
        <f t="shared" si="232"/>
        <v>7</v>
      </c>
      <c r="C1150" s="70">
        <v>16.463779450000001</v>
      </c>
      <c r="D1150" s="4">
        <v>0</v>
      </c>
      <c r="E1150" s="12">
        <f t="shared" si="221"/>
        <v>0</v>
      </c>
      <c r="F1150" s="12">
        <f t="shared" si="222"/>
        <v>0</v>
      </c>
      <c r="G1150" s="16">
        <f t="shared" si="224"/>
        <v>1.6179584774930585E-5</v>
      </c>
      <c r="H1150" s="14">
        <f t="shared" si="225"/>
        <v>0</v>
      </c>
      <c r="I1150" s="14">
        <f t="shared" si="226"/>
        <v>8.7618922029368935</v>
      </c>
      <c r="J1150" s="14">
        <f t="shared" si="227"/>
        <v>2.2623954344107202E-6</v>
      </c>
      <c r="K1150" s="14">
        <f t="shared" si="228"/>
        <v>9.8689923705794103E-2</v>
      </c>
      <c r="L1150" s="14">
        <f t="shared" si="229"/>
        <v>697.65197142089266</v>
      </c>
      <c r="M1150" s="14">
        <f t="shared" si="223"/>
        <v>0.14863956971683204</v>
      </c>
      <c r="N1150" s="14">
        <f t="shared" si="230"/>
        <v>3.8037278778230981</v>
      </c>
      <c r="O1150" s="4">
        <v>1.27</v>
      </c>
      <c r="P1150" s="14">
        <f t="shared" si="233"/>
        <v>6.4197769588579403</v>
      </c>
      <c r="Q1150" s="14">
        <f t="shared" si="231"/>
        <v>27.706000734699234</v>
      </c>
    </row>
    <row r="1151" spans="1:17" x14ac:dyDescent="0.25">
      <c r="A1151" s="5" t="s">
        <v>1208</v>
      </c>
      <c r="B1151" s="6">
        <f t="shared" si="232"/>
        <v>7</v>
      </c>
      <c r="C1151" s="70">
        <v>17.486207960000002</v>
      </c>
      <c r="D1151" s="4">
        <v>0</v>
      </c>
      <c r="E1151" s="12">
        <f t="shared" si="221"/>
        <v>0</v>
      </c>
      <c r="F1151" s="12">
        <f t="shared" si="222"/>
        <v>0</v>
      </c>
      <c r="G1151" s="16">
        <f t="shared" si="224"/>
        <v>1.3801790134537307E-5</v>
      </c>
      <c r="H1151" s="14">
        <f t="shared" si="225"/>
        <v>0</v>
      </c>
      <c r="I1151" s="14">
        <f t="shared" si="226"/>
        <v>10.496485583474755</v>
      </c>
      <c r="J1151" s="14">
        <f t="shared" si="227"/>
        <v>2.3777946403932782E-6</v>
      </c>
      <c r="K1151" s="14">
        <f t="shared" si="228"/>
        <v>9.3809349273532031E-2</v>
      </c>
      <c r="L1151" s="14">
        <f t="shared" si="229"/>
        <v>697.50821242560812</v>
      </c>
      <c r="M1151" s="14">
        <f t="shared" si="223"/>
        <v>0.14860790550938718</v>
      </c>
      <c r="N1151" s="14">
        <f t="shared" si="230"/>
        <v>3.8029175819589707</v>
      </c>
      <c r="O1151" s="4">
        <v>1.28</v>
      </c>
      <c r="P1151" s="14">
        <f t="shared" si="233"/>
        <v>6.3651131253576985</v>
      </c>
      <c r="Q1151" s="14">
        <f t="shared" si="231"/>
        <v>27.600827754814176</v>
      </c>
    </row>
    <row r="1152" spans="1:17" x14ac:dyDescent="0.25">
      <c r="A1152" s="5" t="s">
        <v>1209</v>
      </c>
      <c r="B1152" s="6">
        <f t="shared" si="232"/>
        <v>7</v>
      </c>
      <c r="C1152" s="70">
        <v>17.000810619999999</v>
      </c>
      <c r="D1152" s="4">
        <v>0</v>
      </c>
      <c r="E1152" s="12">
        <f t="shared" si="221"/>
        <v>0</v>
      </c>
      <c r="F1152" s="12">
        <f t="shared" si="222"/>
        <v>0</v>
      </c>
      <c r="G1152" s="16">
        <f t="shared" si="224"/>
        <v>1.1932575622971279E-5</v>
      </c>
      <c r="H1152" s="14">
        <f t="shared" si="225"/>
        <v>0</v>
      </c>
      <c r="I1152" s="14">
        <f t="shared" si="226"/>
        <v>9.6729883857149925</v>
      </c>
      <c r="J1152" s="14">
        <f t="shared" si="227"/>
        <v>1.8692145115660294E-6</v>
      </c>
      <c r="K1152" s="14">
        <f t="shared" si="228"/>
        <v>8.9170136936754602E-2</v>
      </c>
      <c r="L1152" s="14">
        <f t="shared" si="229"/>
        <v>697.36424373243551</v>
      </c>
      <c r="M1152" s="14">
        <f t="shared" si="223"/>
        <v>0.14857624804726616</v>
      </c>
      <c r="N1152" s="14">
        <f t="shared" si="230"/>
        <v>3.8021074587095542</v>
      </c>
      <c r="O1152" s="4">
        <v>1.32</v>
      </c>
      <c r="P1152" s="14">
        <f t="shared" si="233"/>
        <v>6.1608574365816002</v>
      </c>
      <c r="Q1152" s="14">
        <f t="shared" si="231"/>
        <v>27.182135835273947</v>
      </c>
    </row>
    <row r="1153" spans="1:17" x14ac:dyDescent="0.25">
      <c r="A1153" s="5" t="s">
        <v>1210</v>
      </c>
      <c r="B1153" s="6">
        <f t="shared" si="232"/>
        <v>7</v>
      </c>
      <c r="C1153" s="70">
        <v>16.477529530000002</v>
      </c>
      <c r="D1153" s="4">
        <v>0</v>
      </c>
      <c r="E1153" s="12">
        <f t="shared" si="221"/>
        <v>0</v>
      </c>
      <c r="F1153" s="12">
        <f t="shared" si="222"/>
        <v>0</v>
      </c>
      <c r="G1153" s="16">
        <f t="shared" si="224"/>
        <v>1.0464833070875691E-5</v>
      </c>
      <c r="H1153" s="14">
        <f t="shared" si="225"/>
        <v>0</v>
      </c>
      <c r="I1153" s="14">
        <f t="shared" si="226"/>
        <v>8.7852197974988524</v>
      </c>
      <c r="J1153" s="14">
        <f t="shared" si="227"/>
        <v>1.4677425520955889E-6</v>
      </c>
      <c r="K1153" s="14">
        <f t="shared" si="228"/>
        <v>8.4760350465014928E-2</v>
      </c>
      <c r="L1153" s="14">
        <f t="shared" si="229"/>
        <v>697.22007727085997</v>
      </c>
      <c r="M1153" s="14">
        <f t="shared" si="223"/>
        <v>0.14854459732903202</v>
      </c>
      <c r="N1153" s="14">
        <f t="shared" si="230"/>
        <v>3.8012975080380764</v>
      </c>
      <c r="O1153" s="4">
        <v>1.3</v>
      </c>
      <c r="P1153" s="14">
        <f t="shared" si="233"/>
        <v>6.2564892237174918</v>
      </c>
      <c r="Q1153" s="14">
        <f t="shared" si="231"/>
        <v>27.391081795044066</v>
      </c>
    </row>
    <row r="1154" spans="1:17" x14ac:dyDescent="0.25">
      <c r="A1154" s="5" t="s">
        <v>1211</v>
      </c>
      <c r="B1154" s="6">
        <f t="shared" si="232"/>
        <v>7</v>
      </c>
      <c r="C1154" s="70">
        <v>17.731096269999998</v>
      </c>
      <c r="D1154" s="4">
        <v>0</v>
      </c>
      <c r="E1154" s="12">
        <f t="shared" si="221"/>
        <v>0</v>
      </c>
      <c r="F1154" s="12">
        <f t="shared" si="222"/>
        <v>0</v>
      </c>
      <c r="G1154" s="16">
        <f t="shared" si="224"/>
        <v>8.8660199970984489E-6</v>
      </c>
      <c r="H1154" s="14">
        <f t="shared" si="225"/>
        <v>0</v>
      </c>
      <c r="I1154" s="14">
        <f t="shared" si="226"/>
        <v>10.911948999588901</v>
      </c>
      <c r="J1154" s="14">
        <f t="shared" si="227"/>
        <v>1.598813073777242E-6</v>
      </c>
      <c r="K1154" s="14">
        <f t="shared" si="228"/>
        <v>8.0568643917724961E-2</v>
      </c>
      <c r="L1154" s="14">
        <f t="shared" si="229"/>
        <v>697.07572438007833</v>
      </c>
      <c r="M1154" s="14">
        <f t="shared" si="223"/>
        <v>0.14851295335324821</v>
      </c>
      <c r="N1154" s="14">
        <f t="shared" si="230"/>
        <v>3.8004877299077755</v>
      </c>
      <c r="O1154" s="4">
        <v>1.23</v>
      </c>
      <c r="P1154" s="14">
        <f t="shared" si="233"/>
        <v>6.6074071696064287</v>
      </c>
      <c r="Q1154" s="14">
        <f t="shared" si="231"/>
        <v>28.128692654239472</v>
      </c>
    </row>
    <row r="1155" spans="1:17" x14ac:dyDescent="0.25">
      <c r="A1155" s="5" t="s">
        <v>1212</v>
      </c>
      <c r="B1155" s="6">
        <f t="shared" si="232"/>
        <v>7</v>
      </c>
      <c r="C1155" s="70">
        <v>17.5177269</v>
      </c>
      <c r="D1155" s="4">
        <v>0</v>
      </c>
      <c r="E1155" s="12">
        <f t="shared" si="221"/>
        <v>0</v>
      </c>
      <c r="F1155" s="12">
        <f t="shared" si="222"/>
        <v>0</v>
      </c>
      <c r="G1155" s="16">
        <f t="shared" si="224"/>
        <v>7.5564083508537188E-6</v>
      </c>
      <c r="H1155" s="14">
        <f t="shared" si="225"/>
        <v>0</v>
      </c>
      <c r="I1155" s="14">
        <f t="shared" si="226"/>
        <v>10.549958803510027</v>
      </c>
      <c r="J1155" s="14">
        <f t="shared" si="227"/>
        <v>1.3096116462447301E-6</v>
      </c>
      <c r="K1155" s="14">
        <f t="shared" si="228"/>
        <v>7.6584232452182502E-2</v>
      </c>
      <c r="L1155" s="14">
        <f t="shared" si="229"/>
        <v>696.93119583819066</v>
      </c>
      <c r="M1155" s="14">
        <f t="shared" si="223"/>
        <v>0.14848131611847834</v>
      </c>
      <c r="N1155" s="14">
        <f t="shared" si="230"/>
        <v>3.7996781242818933</v>
      </c>
      <c r="O1155" s="4">
        <v>1.23</v>
      </c>
      <c r="P1155" s="14">
        <f t="shared" si="233"/>
        <v>6.6032456624129097</v>
      </c>
      <c r="Q1155" s="14">
        <f t="shared" si="231"/>
        <v>28.128692654239472</v>
      </c>
    </row>
    <row r="1156" spans="1:17" x14ac:dyDescent="0.25">
      <c r="A1156" s="5" t="s">
        <v>1213</v>
      </c>
      <c r="B1156" s="6">
        <f t="shared" si="232"/>
        <v>7</v>
      </c>
      <c r="C1156" s="70">
        <v>17.48708534</v>
      </c>
      <c r="D1156" s="4">
        <v>0</v>
      </c>
      <c r="E1156" s="12">
        <f t="shared" si="221"/>
        <v>0</v>
      </c>
      <c r="F1156" s="12">
        <f t="shared" si="222"/>
        <v>0</v>
      </c>
      <c r="G1156" s="16">
        <f t="shared" si="224"/>
        <v>6.4457410796754516E-6</v>
      </c>
      <c r="H1156" s="14">
        <f t="shared" si="225"/>
        <v>0</v>
      </c>
      <c r="I1156" s="14">
        <f t="shared" si="226"/>
        <v>10.497974095899171</v>
      </c>
      <c r="J1156" s="14">
        <f t="shared" si="227"/>
        <v>1.1106672711782674E-6</v>
      </c>
      <c r="K1156" s="14">
        <f t="shared" si="228"/>
        <v>7.2796864575247019E-2</v>
      </c>
      <c r="L1156" s="14">
        <f t="shared" si="229"/>
        <v>696.78650188994902</v>
      </c>
      <c r="M1156" s="14">
        <f t="shared" si="223"/>
        <v>0.14844968562328636</v>
      </c>
      <c r="N1156" s="14">
        <f t="shared" si="230"/>
        <v>3.798868691123682</v>
      </c>
      <c r="O1156" s="4">
        <v>1.21</v>
      </c>
      <c r="P1156" s="14">
        <f t="shared" si="233"/>
        <v>6.702241099880446</v>
      </c>
      <c r="Q1156" s="14">
        <f t="shared" si="231"/>
        <v>28.341238614009583</v>
      </c>
    </row>
    <row r="1157" spans="1:17" x14ac:dyDescent="0.25">
      <c r="A1157" s="5" t="s">
        <v>1214</v>
      </c>
      <c r="B1157" s="6">
        <f t="shared" si="232"/>
        <v>7</v>
      </c>
      <c r="C1157" s="70">
        <v>17.098157879999999</v>
      </c>
      <c r="D1157" s="4">
        <v>0</v>
      </c>
      <c r="E1157" s="12">
        <f t="shared" si="221"/>
        <v>0</v>
      </c>
      <c r="F1157" s="12">
        <f t="shared" si="222"/>
        <v>0</v>
      </c>
      <c r="G1157" s="16">
        <f t="shared" si="224"/>
        <v>5.5578718448545407E-6</v>
      </c>
      <c r="H1157" s="14">
        <f t="shared" si="225"/>
        <v>0</v>
      </c>
      <c r="I1157" s="14">
        <f t="shared" si="226"/>
        <v>9.838142145765655</v>
      </c>
      <c r="J1157" s="14">
        <f t="shared" si="227"/>
        <v>8.8786923482091077E-7</v>
      </c>
      <c r="K1157" s="14">
        <f t="shared" si="228"/>
        <v>6.9196795767270669E-2</v>
      </c>
      <c r="L1157" s="14">
        <f t="shared" si="229"/>
        <v>696.64165227313367</v>
      </c>
      <c r="M1157" s="14">
        <f t="shared" si="223"/>
        <v>0.14841806186623666</v>
      </c>
      <c r="N1157" s="14">
        <f t="shared" si="230"/>
        <v>3.7980594303964037</v>
      </c>
      <c r="O1157" s="4">
        <v>1.23</v>
      </c>
      <c r="P1157" s="14">
        <f t="shared" si="233"/>
        <v>6.5949292380479019</v>
      </c>
      <c r="Q1157" s="14">
        <f t="shared" si="231"/>
        <v>28.128692654239472</v>
      </c>
    </row>
    <row r="1158" spans="1:17" x14ac:dyDescent="0.25">
      <c r="A1158" s="5" t="s">
        <v>1215</v>
      </c>
      <c r="B1158" s="6">
        <f t="shared" si="232"/>
        <v>7</v>
      </c>
      <c r="C1158" s="70">
        <v>16.959123609999999</v>
      </c>
      <c r="D1158" s="4">
        <v>0</v>
      </c>
      <c r="E1158" s="12">
        <f t="shared" si="221"/>
        <v>0</v>
      </c>
      <c r="F1158" s="12">
        <f t="shared" si="222"/>
        <v>0</v>
      </c>
      <c r="G1158" s="16">
        <f t="shared" si="224"/>
        <v>4.8106574048221027E-6</v>
      </c>
      <c r="H1158" s="14">
        <f t="shared" si="225"/>
        <v>0</v>
      </c>
      <c r="I1158" s="14">
        <f t="shared" si="226"/>
        <v>9.6022646031784351</v>
      </c>
      <c r="J1158" s="14">
        <f t="shared" si="227"/>
        <v>7.4721444003243818E-7</v>
      </c>
      <c r="K1158" s="14">
        <f t="shared" si="228"/>
        <v>6.5774763410421516E-2</v>
      </c>
      <c r="L1158" s="14">
        <f t="shared" si="229"/>
        <v>696.49665624362433</v>
      </c>
      <c r="M1158" s="14">
        <f t="shared" si="223"/>
        <v>0.14838644484589372</v>
      </c>
      <c r="N1158" s="14">
        <f t="shared" si="230"/>
        <v>3.7972503420633217</v>
      </c>
      <c r="O1158" s="4">
        <v>1.18</v>
      </c>
      <c r="P1158" s="14">
        <f t="shared" si="233"/>
        <v>6.8499993530305758</v>
      </c>
      <c r="Q1158" s="14">
        <f t="shared" si="231"/>
        <v>28.661557553664757</v>
      </c>
    </row>
    <row r="1159" spans="1:17" x14ac:dyDescent="0.25">
      <c r="A1159" s="5" t="s">
        <v>1216</v>
      </c>
      <c r="B1159" s="6">
        <f t="shared" si="232"/>
        <v>7</v>
      </c>
      <c r="C1159" s="70">
        <v>16.32628441</v>
      </c>
      <c r="D1159" s="4">
        <v>0</v>
      </c>
      <c r="E1159" s="12">
        <f t="shared" si="221"/>
        <v>0</v>
      </c>
      <c r="F1159" s="12">
        <f t="shared" si="222"/>
        <v>0</v>
      </c>
      <c r="G1159" s="16">
        <f t="shared" si="224"/>
        <v>4.2362149107269977E-6</v>
      </c>
      <c r="H1159" s="14">
        <f t="shared" si="225"/>
        <v>0</v>
      </c>
      <c r="I1159" s="14">
        <f t="shared" si="226"/>
        <v>8.5286260294018952</v>
      </c>
      <c r="J1159" s="14">
        <f t="shared" si="227"/>
        <v>5.7444249409510459E-7</v>
      </c>
      <c r="K1159" s="14">
        <f t="shared" si="228"/>
        <v>6.2521962956892108E-2</v>
      </c>
      <c r="L1159" s="14">
        <f t="shared" si="229"/>
        <v>696.351522599232</v>
      </c>
      <c r="M1159" s="14">
        <f t="shared" si="223"/>
        <v>0.14835483456082257</v>
      </c>
      <c r="N1159" s="14">
        <f t="shared" si="230"/>
        <v>3.7964414260877164</v>
      </c>
      <c r="O1159" s="4">
        <v>1.1399999999999999</v>
      </c>
      <c r="P1159" s="14">
        <f t="shared" si="233"/>
        <v>7.05668105023494</v>
      </c>
      <c r="Q1159" s="14">
        <f t="shared" si="231"/>
        <v>29.091449473204985</v>
      </c>
    </row>
    <row r="1160" spans="1:17" x14ac:dyDescent="0.25">
      <c r="A1160" s="5" t="s">
        <v>1217</v>
      </c>
      <c r="B1160" s="6">
        <f t="shared" si="232"/>
        <v>7</v>
      </c>
      <c r="C1160" s="70">
        <v>17.710586549999999</v>
      </c>
      <c r="D1160" s="4">
        <v>0</v>
      </c>
      <c r="E1160" s="12">
        <f t="shared" si="221"/>
        <v>0</v>
      </c>
      <c r="F1160" s="12">
        <f t="shared" si="222"/>
        <v>0</v>
      </c>
      <c r="G1160" s="16">
        <f t="shared" si="224"/>
        <v>3.5910714556111708E-6</v>
      </c>
      <c r="H1160" s="14">
        <f t="shared" si="225"/>
        <v>0</v>
      </c>
      <c r="I1160" s="14">
        <f t="shared" si="226"/>
        <v>10.877153388745963</v>
      </c>
      <c r="J1160" s="14">
        <f t="shared" si="227"/>
        <v>6.4514345511582694E-7</v>
      </c>
      <c r="K1160" s="14">
        <f t="shared" si="228"/>
        <v>5.9430025275676444E-2</v>
      </c>
      <c r="L1160" s="14">
        <f t="shared" si="229"/>
        <v>696.20625970235233</v>
      </c>
      <c r="M1160" s="14">
        <f t="shared" si="223"/>
        <v>0.14832323100958833</v>
      </c>
      <c r="N1160" s="14">
        <f t="shared" si="230"/>
        <v>3.7956326824328683</v>
      </c>
      <c r="O1160" s="4">
        <v>1.1399999999999999</v>
      </c>
      <c r="P1160" s="14">
        <f t="shared" si="233"/>
        <v>7.052384944005591</v>
      </c>
      <c r="Q1160" s="14">
        <f t="shared" si="231"/>
        <v>29.091449473204985</v>
      </c>
    </row>
    <row r="1161" spans="1:17" x14ac:dyDescent="0.25">
      <c r="A1161" s="5" t="s">
        <v>1218</v>
      </c>
      <c r="B1161" s="6">
        <f t="shared" si="232"/>
        <v>7</v>
      </c>
      <c r="C1161" s="70">
        <v>17.908168790000001</v>
      </c>
      <c r="D1161" s="4">
        <v>0</v>
      </c>
      <c r="E1161" s="12">
        <f t="shared" si="221"/>
        <v>0</v>
      </c>
      <c r="F1161" s="12">
        <f t="shared" si="222"/>
        <v>0</v>
      </c>
      <c r="G1161" s="16">
        <f t="shared" si="224"/>
        <v>3.027324589782215E-6</v>
      </c>
      <c r="H1161" s="14">
        <f t="shared" si="225"/>
        <v>0</v>
      </c>
      <c r="I1161" s="14">
        <f t="shared" si="226"/>
        <v>11.212360048442736</v>
      </c>
      <c r="J1161" s="14">
        <f t="shared" si="227"/>
        <v>5.6374686582895595E-7</v>
      </c>
      <c r="K1161" s="14">
        <f t="shared" si="228"/>
        <v>5.6490995119630974E-2</v>
      </c>
      <c r="L1161" s="14">
        <f t="shared" si="229"/>
        <v>696.0608755014988</v>
      </c>
      <c r="M1161" s="14">
        <f t="shared" si="223"/>
        <v>0.14829163419075653</v>
      </c>
      <c r="N1161" s="14">
        <f t="shared" si="230"/>
        <v>3.7948241110620682</v>
      </c>
      <c r="O1161" s="4">
        <v>1.1399999999999999</v>
      </c>
      <c r="P1161" s="14">
        <f t="shared" si="233"/>
        <v>7.0480910606765024</v>
      </c>
      <c r="Q1161" s="14">
        <f t="shared" si="231"/>
        <v>29.091449473204985</v>
      </c>
    </row>
    <row r="1162" spans="1:17" x14ac:dyDescent="0.25">
      <c r="A1162" s="5" t="s">
        <v>1219</v>
      </c>
      <c r="B1162" s="6">
        <f t="shared" si="232"/>
        <v>7</v>
      </c>
      <c r="C1162" s="70">
        <v>15.483381270000001</v>
      </c>
      <c r="D1162" s="4">
        <v>0</v>
      </c>
      <c r="E1162" s="12">
        <f t="shared" si="221"/>
        <v>0</v>
      </c>
      <c r="F1162" s="12">
        <f t="shared" si="222"/>
        <v>0</v>
      </c>
      <c r="G1162" s="16">
        <f t="shared" si="224"/>
        <v>2.7264433837360155E-6</v>
      </c>
      <c r="H1162" s="14">
        <f t="shared" si="225"/>
        <v>0</v>
      </c>
      <c r="I1162" s="14">
        <f t="shared" si="226"/>
        <v>7.0986050618932959</v>
      </c>
      <c r="J1162" s="14">
        <f t="shared" si="227"/>
        <v>3.0088120604619931E-7</v>
      </c>
      <c r="K1162" s="14">
        <f t="shared" si="228"/>
        <v>5.369731065741748E-2</v>
      </c>
      <c r="L1162" s="14">
        <f t="shared" si="229"/>
        <v>695.91537755177023</v>
      </c>
      <c r="M1162" s="14">
        <f t="shared" si="223"/>
        <v>0.14826004410289298</v>
      </c>
      <c r="N1162" s="14">
        <f t="shared" si="230"/>
        <v>3.7940157119386155</v>
      </c>
      <c r="O1162" s="4">
        <v>1.1200000000000001</v>
      </c>
      <c r="P1162" s="14">
        <f t="shared" si="233"/>
        <v>7.15036002769458</v>
      </c>
      <c r="Q1162" s="14">
        <f t="shared" si="231"/>
        <v>29.307595432975099</v>
      </c>
    </row>
    <row r="1163" spans="1:17" x14ac:dyDescent="0.25">
      <c r="A1163" s="5" t="s">
        <v>1220</v>
      </c>
      <c r="B1163" s="6">
        <f t="shared" si="232"/>
        <v>7</v>
      </c>
      <c r="C1163" s="70">
        <v>16.01314545</v>
      </c>
      <c r="D1163" s="4">
        <v>0</v>
      </c>
      <c r="E1163" s="12">
        <f t="shared" si="221"/>
        <v>0</v>
      </c>
      <c r="F1163" s="12">
        <f t="shared" si="222"/>
        <v>0</v>
      </c>
      <c r="G1163" s="16">
        <f t="shared" si="224"/>
        <v>2.4211573994057008E-6</v>
      </c>
      <c r="H1163" s="14">
        <f t="shared" si="225"/>
        <v>0</v>
      </c>
      <c r="I1163" s="14">
        <f t="shared" si="226"/>
        <v>7.9973724875728349</v>
      </c>
      <c r="J1163" s="14">
        <f t="shared" si="227"/>
        <v>3.0528598433031473E-7</v>
      </c>
      <c r="K1163" s="14">
        <f t="shared" si="228"/>
        <v>5.1041784017665515E-2</v>
      </c>
      <c r="L1163" s="14">
        <f t="shared" si="229"/>
        <v>695.76977303430704</v>
      </c>
      <c r="M1163" s="14">
        <f t="shared" si="223"/>
        <v>0.14822846074456381</v>
      </c>
      <c r="N1163" s="14">
        <f t="shared" si="230"/>
        <v>3.7932074850258166</v>
      </c>
      <c r="O1163" s="4">
        <v>1.22</v>
      </c>
      <c r="P1163" s="14">
        <f t="shared" si="233"/>
        <v>6.6213967609928899</v>
      </c>
      <c r="Q1163" s="14">
        <f t="shared" si="231"/>
        <v>28.234865634124528</v>
      </c>
    </row>
    <row r="1164" spans="1:17" x14ac:dyDescent="0.25">
      <c r="A1164" s="5" t="s">
        <v>1221</v>
      </c>
      <c r="B1164" s="6">
        <f t="shared" si="232"/>
        <v>7</v>
      </c>
      <c r="C1164" s="70">
        <v>16.028980260000001</v>
      </c>
      <c r="D1164" s="4">
        <v>0</v>
      </c>
      <c r="E1164" s="12">
        <f t="shared" si="221"/>
        <v>0</v>
      </c>
      <c r="F1164" s="12">
        <f t="shared" si="222"/>
        <v>0</v>
      </c>
      <c r="G1164" s="16">
        <f t="shared" si="224"/>
        <v>2.1491442963191536E-6</v>
      </c>
      <c r="H1164" s="14">
        <f t="shared" si="225"/>
        <v>0</v>
      </c>
      <c r="I1164" s="14">
        <f t="shared" si="226"/>
        <v>8.0242369150994843</v>
      </c>
      <c r="J1164" s="14">
        <f t="shared" si="227"/>
        <v>2.7201310308654707E-7</v>
      </c>
      <c r="K1164" s="14">
        <f t="shared" si="228"/>
        <v>4.8517582795296589E-2</v>
      </c>
      <c r="L1164" s="14">
        <f t="shared" si="229"/>
        <v>695.62406877478486</v>
      </c>
      <c r="M1164" s="14">
        <f t="shared" si="223"/>
        <v>0.14819688411433546</v>
      </c>
      <c r="N1164" s="14">
        <f t="shared" si="230"/>
        <v>3.7923994302869874</v>
      </c>
      <c r="O1164" s="4">
        <v>1.73</v>
      </c>
      <c r="P1164" s="14">
        <f t="shared" si="233"/>
        <v>4.2534914100480901</v>
      </c>
      <c r="Q1164" s="14">
        <f t="shared" si="231"/>
        <v>23.075043659986601</v>
      </c>
    </row>
    <row r="1165" spans="1:17" x14ac:dyDescent="0.25">
      <c r="A1165" s="5" t="s">
        <v>1222</v>
      </c>
      <c r="B1165" s="6">
        <f t="shared" si="232"/>
        <v>7</v>
      </c>
      <c r="C1165" s="70">
        <v>15.35908031</v>
      </c>
      <c r="D1165" s="4">
        <v>0</v>
      </c>
      <c r="E1165" s="12">
        <f t="shared" si="221"/>
        <v>0</v>
      </c>
      <c r="F1165" s="12">
        <f t="shared" si="222"/>
        <v>0</v>
      </c>
      <c r="G1165" s="16">
        <f t="shared" si="224"/>
        <v>1.9418896288706936E-6</v>
      </c>
      <c r="H1165" s="14">
        <f t="shared" si="225"/>
        <v>0</v>
      </c>
      <c r="I1165" s="14">
        <f t="shared" si="226"/>
        <v>6.8877232053119473</v>
      </c>
      <c r="J1165" s="14">
        <f t="shared" si="227"/>
        <v>2.0725466744846011E-7</v>
      </c>
      <c r="K1165" s="14">
        <f t="shared" si="228"/>
        <v>4.6118212472427644E-2</v>
      </c>
      <c r="L1165" s="14">
        <f t="shared" si="229"/>
        <v>695.47827126099344</v>
      </c>
      <c r="M1165" s="14">
        <f t="shared" si="223"/>
        <v>0.14816531421077467</v>
      </c>
      <c r="N1165" s="14">
        <f t="shared" si="230"/>
        <v>3.7915915476854489</v>
      </c>
      <c r="O1165" s="4">
        <v>1.86</v>
      </c>
      <c r="P1165" s="14">
        <f t="shared" si="233"/>
        <v>3.7310459070898676</v>
      </c>
      <c r="Q1165" s="14">
        <f t="shared" si="231"/>
        <v>21.842994921480848</v>
      </c>
    </row>
    <row r="1166" spans="1:17" x14ac:dyDescent="0.25">
      <c r="A1166" s="5" t="s">
        <v>1223</v>
      </c>
      <c r="B1166" s="6">
        <f t="shared" si="232"/>
        <v>7</v>
      </c>
      <c r="C1166" s="70">
        <v>16.501043320000001</v>
      </c>
      <c r="D1166" s="4">
        <v>0</v>
      </c>
      <c r="E1166" s="12">
        <f t="shared" si="221"/>
        <v>0</v>
      </c>
      <c r="F1166" s="12">
        <f t="shared" si="222"/>
        <v>0</v>
      </c>
      <c r="G1166" s="16">
        <f t="shared" si="224"/>
        <v>1.7019467731318548E-6</v>
      </c>
      <c r="H1166" s="14">
        <f t="shared" si="225"/>
        <v>0</v>
      </c>
      <c r="I1166" s="14">
        <f t="shared" si="226"/>
        <v>8.8251119406525635</v>
      </c>
      <c r="J1166" s="14">
        <f t="shared" si="227"/>
        <v>2.3994285573883878E-7</v>
      </c>
      <c r="K1166" s="14">
        <f t="shared" si="228"/>
        <v>4.3837499708624529E-2</v>
      </c>
      <c r="L1166" s="14">
        <f t="shared" si="229"/>
        <v>695.33238665954639</v>
      </c>
      <c r="M1166" s="14">
        <f t="shared" si="223"/>
        <v>0.14813375103244847</v>
      </c>
      <c r="N1166" s="14">
        <f t="shared" si="230"/>
        <v>3.7907838371845322</v>
      </c>
      <c r="O1166" s="4">
        <v>1.86</v>
      </c>
      <c r="P1166" s="14">
        <f t="shared" si="233"/>
        <v>3.7279262259330257</v>
      </c>
      <c r="Q1166" s="14">
        <f t="shared" si="231"/>
        <v>21.842994921480848</v>
      </c>
    </row>
    <row r="1167" spans="1:17" x14ac:dyDescent="0.25">
      <c r="A1167" s="5" t="s">
        <v>1224</v>
      </c>
      <c r="B1167" s="6">
        <f t="shared" si="232"/>
        <v>7</v>
      </c>
      <c r="C1167" s="70">
        <v>17.800254819999999</v>
      </c>
      <c r="D1167" s="4">
        <v>0</v>
      </c>
      <c r="E1167" s="12">
        <f t="shared" si="221"/>
        <v>0</v>
      </c>
      <c r="F1167" s="12">
        <f t="shared" si="222"/>
        <v>0</v>
      </c>
      <c r="G1167" s="16">
        <f t="shared" si="224"/>
        <v>1.4391281284487274E-6</v>
      </c>
      <c r="H1167" s="14">
        <f t="shared" si="225"/>
        <v>0</v>
      </c>
      <c r="I1167" s="14">
        <f t="shared" si="226"/>
        <v>11.02927941620414</v>
      </c>
      <c r="J1167" s="14">
        <f t="shared" si="227"/>
        <v>2.6281864468312733E-7</v>
      </c>
      <c r="K1167" s="14">
        <f t="shared" si="228"/>
        <v>4.1669576457513048E-2</v>
      </c>
      <c r="L1167" s="14">
        <f t="shared" si="229"/>
        <v>695.18642083176508</v>
      </c>
      <c r="M1167" s="14">
        <f t="shared" si="223"/>
        <v>0.1481021945779242</v>
      </c>
      <c r="N1167" s="14">
        <f t="shared" si="230"/>
        <v>3.7899762987475745</v>
      </c>
      <c r="O1167" s="4">
        <v>1.82</v>
      </c>
      <c r="P1167" s="14">
        <f t="shared" si="233"/>
        <v>3.8808066176271927</v>
      </c>
      <c r="Q1167" s="14">
        <f t="shared" si="231"/>
        <v>22.218486841021079</v>
      </c>
    </row>
    <row r="1168" spans="1:17" x14ac:dyDescent="0.25">
      <c r="A1168" s="5" t="s">
        <v>1225</v>
      </c>
      <c r="B1168" s="6">
        <f t="shared" si="232"/>
        <v>7</v>
      </c>
      <c r="C1168" s="70">
        <v>16.117481229999999</v>
      </c>
      <c r="D1168" s="4">
        <v>0</v>
      </c>
      <c r="E1168" s="12">
        <f t="shared" si="221"/>
        <v>0</v>
      </c>
      <c r="F1168" s="12">
        <f t="shared" si="222"/>
        <v>0</v>
      </c>
      <c r="G1168" s="16">
        <f t="shared" si="224"/>
        <v>1.2744190720075034E-6</v>
      </c>
      <c r="H1168" s="14">
        <f t="shared" si="225"/>
        <v>0</v>
      </c>
      <c r="I1168" s="14">
        <f t="shared" si="226"/>
        <v>8.1743825685429474</v>
      </c>
      <c r="J1168" s="14">
        <f t="shared" si="227"/>
        <v>1.6470905644122403E-7</v>
      </c>
      <c r="K1168" s="14">
        <f t="shared" si="228"/>
        <v>3.9608864868881148E-2</v>
      </c>
      <c r="L1168" s="14">
        <f t="shared" si="229"/>
        <v>695.04037934877579</v>
      </c>
      <c r="M1168" s="14">
        <f t="shared" si="223"/>
        <v>0.14807064484576948</v>
      </c>
      <c r="N1168" s="14">
        <f t="shared" si="230"/>
        <v>3.7891689323379203</v>
      </c>
      <c r="O1168" s="4">
        <v>1.72</v>
      </c>
      <c r="P1168" s="14">
        <f t="shared" si="233"/>
        <v>4.2814600705524484</v>
      </c>
      <c r="Q1168" s="14">
        <f t="shared" si="231"/>
        <v>23.171216639871659</v>
      </c>
    </row>
    <row r="1169" spans="1:17" x14ac:dyDescent="0.25">
      <c r="A1169" s="5" t="s">
        <v>1226</v>
      </c>
      <c r="B1169" s="6">
        <f t="shared" si="232"/>
        <v>7</v>
      </c>
      <c r="C1169" s="70">
        <v>15.955864910000001</v>
      </c>
      <c r="D1169" s="4">
        <v>0</v>
      </c>
      <c r="E1169" s="12">
        <f t="shared" si="221"/>
        <v>0</v>
      </c>
      <c r="F1169" s="12">
        <f t="shared" si="222"/>
        <v>0</v>
      </c>
      <c r="G1169" s="16">
        <f t="shared" si="224"/>
        <v>1.1334535007500482E-6</v>
      </c>
      <c r="H1169" s="14">
        <f t="shared" si="225"/>
        <v>0</v>
      </c>
      <c r="I1169" s="14">
        <f t="shared" si="226"/>
        <v>7.9001936192746172</v>
      </c>
      <c r="J1169" s="14">
        <f t="shared" si="227"/>
        <v>1.4096557125745524E-7</v>
      </c>
      <c r="K1169" s="14">
        <f t="shared" si="228"/>
        <v>3.765006293742687E-2</v>
      </c>
      <c r="L1169" s="14">
        <f t="shared" si="229"/>
        <v>694.89426750586142</v>
      </c>
      <c r="M1169" s="14">
        <f t="shared" si="223"/>
        <v>0.14803910183455235</v>
      </c>
      <c r="N1169" s="14">
        <f t="shared" si="230"/>
        <v>3.7883617379189269</v>
      </c>
      <c r="O1169" s="4">
        <v>1.56</v>
      </c>
      <c r="P1169" s="14">
        <f t="shared" si="233"/>
        <v>4.9655960350210604</v>
      </c>
      <c r="Q1169" s="14">
        <f t="shared" si="231"/>
        <v>24.737184318032579</v>
      </c>
    </row>
    <row r="1170" spans="1:17" x14ac:dyDescent="0.25">
      <c r="A1170" s="5" t="s">
        <v>1227</v>
      </c>
      <c r="B1170" s="6">
        <f t="shared" si="232"/>
        <v>7</v>
      </c>
      <c r="C1170" s="70">
        <v>17.796325679999999</v>
      </c>
      <c r="D1170" s="4">
        <v>0</v>
      </c>
      <c r="E1170" s="12">
        <f t="shared" si="221"/>
        <v>0</v>
      </c>
      <c r="F1170" s="12">
        <f t="shared" si="222"/>
        <v>0</v>
      </c>
      <c r="G1170" s="16">
        <f t="shared" si="224"/>
        <v>9.585287174946828E-7</v>
      </c>
      <c r="H1170" s="14">
        <f t="shared" si="225"/>
        <v>0</v>
      </c>
      <c r="I1170" s="14">
        <f t="shared" si="226"/>
        <v>11.022613463358979</v>
      </c>
      <c r="J1170" s="14">
        <f t="shared" si="227"/>
        <v>1.7492478325536547E-7</v>
      </c>
      <c r="K1170" s="14">
        <f t="shared" si="228"/>
        <v>3.5788130861227736E-2</v>
      </c>
      <c r="L1170" s="14">
        <f t="shared" si="229"/>
        <v>694.74809033610313</v>
      </c>
      <c r="M1170" s="14">
        <f t="shared" si="223"/>
        <v>0.148007565542841</v>
      </c>
      <c r="N1170" s="14">
        <f t="shared" si="230"/>
        <v>3.7875547154539522</v>
      </c>
      <c r="O1170" s="4">
        <v>1.66</v>
      </c>
      <c r="P1170" s="14">
        <f t="shared" si="233"/>
        <v>4.5264890672503464</v>
      </c>
      <c r="Q1170" s="14">
        <f t="shared" si="231"/>
        <v>23.752454519181999</v>
      </c>
    </row>
    <row r="1171" spans="1:17" x14ac:dyDescent="0.25">
      <c r="A1171" s="5" t="s">
        <v>1228</v>
      </c>
      <c r="B1171" s="6">
        <f t="shared" si="232"/>
        <v>7</v>
      </c>
      <c r="C1171" s="70">
        <v>16.64545631</v>
      </c>
      <c r="D1171" s="4">
        <v>0</v>
      </c>
      <c r="E1171" s="12">
        <f t="shared" si="221"/>
        <v>0</v>
      </c>
      <c r="F1171" s="12">
        <f t="shared" si="222"/>
        <v>0</v>
      </c>
      <c r="G1171" s="16">
        <f t="shared" si="224"/>
        <v>8.3680338576142817E-7</v>
      </c>
      <c r="H1171" s="14">
        <f t="shared" si="225"/>
        <v>0</v>
      </c>
      <c r="I1171" s="14">
        <f t="shared" si="226"/>
        <v>9.070114710105539</v>
      </c>
      <c r="J1171" s="14">
        <f t="shared" si="227"/>
        <v>1.2172533173325461E-7</v>
      </c>
      <c r="K1171" s="14">
        <f t="shared" si="228"/>
        <v>3.4018278074833264E-2</v>
      </c>
      <c r="L1171" s="14">
        <f t="shared" si="229"/>
        <v>694.60185262334676</v>
      </c>
      <c r="M1171" s="14">
        <f t="shared" si="223"/>
        <v>0.14797603596920403</v>
      </c>
      <c r="N1171" s="14">
        <f t="shared" si="230"/>
        <v>3.7867478649063666</v>
      </c>
      <c r="O1171" s="4">
        <v>1.74</v>
      </c>
      <c r="P1171" s="14">
        <f t="shared" si="233"/>
        <v>4.1891768224987711</v>
      </c>
      <c r="Q1171" s="14">
        <f t="shared" si="231"/>
        <v>22.97907068010154</v>
      </c>
    </row>
    <row r="1172" spans="1:17" x14ac:dyDescent="0.25">
      <c r="A1172" s="5" t="s">
        <v>1229</v>
      </c>
      <c r="B1172" s="6">
        <f t="shared" si="232"/>
        <v>7</v>
      </c>
      <c r="C1172" s="70">
        <v>15.510654450000001</v>
      </c>
      <c r="D1172" s="4">
        <v>0</v>
      </c>
      <c r="E1172" s="12">
        <f t="shared" si="221"/>
        <v>0</v>
      </c>
      <c r="F1172" s="12">
        <f t="shared" si="222"/>
        <v>0</v>
      </c>
      <c r="G1172" s="16">
        <f t="shared" si="224"/>
        <v>7.5309265512609946E-7</v>
      </c>
      <c r="H1172" s="14">
        <f t="shared" si="225"/>
        <v>0</v>
      </c>
      <c r="I1172" s="14">
        <f t="shared" si="226"/>
        <v>7.1448751698094162</v>
      </c>
      <c r="J1172" s="14">
        <f t="shared" si="227"/>
        <v>8.3710730635328723E-8</v>
      </c>
      <c r="K1172" s="14">
        <f t="shared" si="228"/>
        <v>3.2335950923618073E-2</v>
      </c>
      <c r="L1172" s="14">
        <f t="shared" si="229"/>
        <v>694.45555891452886</v>
      </c>
      <c r="M1172" s="14">
        <f t="shared" si="223"/>
        <v>0.1479445131122103</v>
      </c>
      <c r="N1172" s="14">
        <f t="shared" si="230"/>
        <v>3.785941186239548</v>
      </c>
      <c r="O1172" s="4">
        <v>1.74</v>
      </c>
      <c r="P1172" s="14">
        <f t="shared" si="233"/>
        <v>4.1858753375512894</v>
      </c>
      <c r="Q1172" s="14">
        <f t="shared" si="231"/>
        <v>22.97907068010154</v>
      </c>
    </row>
    <row r="1173" spans="1:17" x14ac:dyDescent="0.25">
      <c r="A1173" s="5" t="s">
        <v>1230</v>
      </c>
      <c r="B1173" s="6">
        <f t="shared" si="232"/>
        <v>7</v>
      </c>
      <c r="C1173" s="70">
        <v>16.40276909</v>
      </c>
      <c r="D1173" s="4">
        <v>0</v>
      </c>
      <c r="E1173" s="12">
        <f t="shared" si="221"/>
        <v>0</v>
      </c>
      <c r="F1173" s="12">
        <f t="shared" si="222"/>
        <v>0</v>
      </c>
      <c r="G1173" s="16">
        <f t="shared" si="224"/>
        <v>6.617973613976336E-7</v>
      </c>
      <c r="H1173" s="14">
        <f t="shared" si="225"/>
        <v>0</v>
      </c>
      <c r="I1173" s="14">
        <f t="shared" si="226"/>
        <v>8.6583855366368372</v>
      </c>
      <c r="J1173" s="14">
        <f t="shared" si="227"/>
        <v>9.1295293728465873E-8</v>
      </c>
      <c r="K1173" s="14">
        <f t="shared" si="228"/>
        <v>3.0736820947682892E-2</v>
      </c>
      <c r="L1173" s="14">
        <f t="shared" si="229"/>
        <v>694.30921353139263</v>
      </c>
      <c r="M1173" s="14">
        <f t="shared" si="223"/>
        <v>0.14791299697042895</v>
      </c>
      <c r="N1173" s="14">
        <f t="shared" si="230"/>
        <v>3.7851346794168799</v>
      </c>
      <c r="O1173" s="4">
        <v>1.73</v>
      </c>
      <c r="P1173" s="14">
        <f t="shared" si="233"/>
        <v>4.2235785505419212</v>
      </c>
      <c r="Q1173" s="14">
        <f t="shared" si="231"/>
        <v>23.075043659986601</v>
      </c>
    </row>
    <row r="1174" spans="1:17" x14ac:dyDescent="0.25">
      <c r="A1174" s="5" t="s">
        <v>1231</v>
      </c>
      <c r="B1174" s="6">
        <f t="shared" si="232"/>
        <v>7</v>
      </c>
      <c r="C1174" s="70">
        <v>17.525560380000002</v>
      </c>
      <c r="D1174" s="4">
        <v>0</v>
      </c>
      <c r="E1174" s="12">
        <f t="shared" si="221"/>
        <v>0</v>
      </c>
      <c r="F1174" s="12">
        <f t="shared" si="222"/>
        <v>0</v>
      </c>
      <c r="G1174" s="16">
        <f t="shared" si="224"/>
        <v>5.6391924753414613E-7</v>
      </c>
      <c r="H1174" s="14">
        <f t="shared" si="225"/>
        <v>0</v>
      </c>
      <c r="I1174" s="14">
        <f t="shared" si="226"/>
        <v>10.563248634947318</v>
      </c>
      <c r="J1174" s="14">
        <f t="shared" si="227"/>
        <v>9.7878113863487473E-8</v>
      </c>
      <c r="K1174" s="14">
        <f t="shared" si="228"/>
        <v>2.9216773745159103E-2</v>
      </c>
      <c r="L1174" s="14">
        <f t="shared" si="229"/>
        <v>694.16282058162471</v>
      </c>
      <c r="M1174" s="14">
        <f t="shared" si="223"/>
        <v>0.14788148754242947</v>
      </c>
      <c r="N1174" s="14">
        <f t="shared" si="230"/>
        <v>3.7843283444017537</v>
      </c>
      <c r="O1174" s="4">
        <v>1.71</v>
      </c>
      <c r="P1174" s="14">
        <f t="shared" si="233"/>
        <v>4.3028380803885202</v>
      </c>
      <c r="Q1174" s="14">
        <f t="shared" si="231"/>
        <v>23.267589619756713</v>
      </c>
    </row>
    <row r="1175" spans="1:17" x14ac:dyDescent="0.25">
      <c r="A1175" s="5" t="s">
        <v>1232</v>
      </c>
      <c r="B1175" s="6">
        <f t="shared" si="232"/>
        <v>7</v>
      </c>
      <c r="C1175" s="70">
        <v>16.642648699999999</v>
      </c>
      <c r="D1175" s="4">
        <v>0</v>
      </c>
      <c r="E1175" s="12">
        <f t="shared" si="221"/>
        <v>0</v>
      </c>
      <c r="F1175" s="12">
        <f t="shared" si="222"/>
        <v>0</v>
      </c>
      <c r="G1175" s="16">
        <f t="shared" si="224"/>
        <v>4.9234370913586004E-7</v>
      </c>
      <c r="H1175" s="14">
        <f t="shared" si="225"/>
        <v>0</v>
      </c>
      <c r="I1175" s="14">
        <f t="shared" si="226"/>
        <v>9.0653514805266475</v>
      </c>
      <c r="J1175" s="14">
        <f t="shared" si="227"/>
        <v>7.1575538398286072E-8</v>
      </c>
      <c r="K1175" s="14">
        <f t="shared" si="228"/>
        <v>2.7771898386263292E-2</v>
      </c>
      <c r="L1175" s="14">
        <f t="shared" si="229"/>
        <v>694.01638396944122</v>
      </c>
      <c r="M1175" s="14">
        <f t="shared" si="223"/>
        <v>0.14784998482678172</v>
      </c>
      <c r="N1175" s="14">
        <f t="shared" si="230"/>
        <v>3.7835221811575739</v>
      </c>
      <c r="O1175" s="4">
        <v>1.72</v>
      </c>
      <c r="P1175" s="14">
        <f t="shared" si="233"/>
        <v>4.2581237921293118</v>
      </c>
      <c r="Q1175" s="14">
        <f t="shared" si="231"/>
        <v>23.171216639871659</v>
      </c>
    </row>
    <row r="1176" spans="1:17" x14ac:dyDescent="0.25">
      <c r="A1176" s="5" t="s">
        <v>1233</v>
      </c>
      <c r="B1176" s="6">
        <f t="shared" si="232"/>
        <v>7</v>
      </c>
      <c r="C1176" s="70">
        <v>16.789667130000002</v>
      </c>
      <c r="D1176" s="4">
        <v>0</v>
      </c>
      <c r="E1176" s="12">
        <f t="shared" si="221"/>
        <v>0</v>
      </c>
      <c r="F1176" s="12">
        <f t="shared" si="222"/>
        <v>0</v>
      </c>
      <c r="G1176" s="16">
        <f t="shared" si="224"/>
        <v>4.2813354256597068E-7</v>
      </c>
      <c r="H1176" s="14">
        <f t="shared" si="225"/>
        <v>0</v>
      </c>
      <c r="I1176" s="14">
        <f t="shared" si="226"/>
        <v>9.3147744895691797</v>
      </c>
      <c r="J1176" s="14">
        <f t="shared" si="227"/>
        <v>6.4210166569889336E-8</v>
      </c>
      <c r="K1176" s="14">
        <f t="shared" si="228"/>
        <v>2.6398477350865132E-2</v>
      </c>
      <c r="L1176" s="14">
        <f t="shared" si="229"/>
        <v>693.86990740564988</v>
      </c>
      <c r="M1176" s="14">
        <f t="shared" si="223"/>
        <v>0.1478184888220557</v>
      </c>
      <c r="N1176" s="14">
        <f t="shared" si="230"/>
        <v>3.7827161896477448</v>
      </c>
      <c r="O1176" s="4">
        <v>1.69</v>
      </c>
      <c r="P1176" s="14">
        <f t="shared" si="233"/>
        <v>4.3794610504137763</v>
      </c>
      <c r="Q1176" s="14">
        <f t="shared" si="231"/>
        <v>23.460935579526822</v>
      </c>
    </row>
    <row r="1177" spans="1:17" x14ac:dyDescent="0.25">
      <c r="A1177" s="5" t="s">
        <v>1234</v>
      </c>
      <c r="B1177" s="6">
        <f t="shared" si="232"/>
        <v>7</v>
      </c>
      <c r="C1177" s="70">
        <v>17.414031980000001</v>
      </c>
      <c r="D1177" s="4">
        <v>0</v>
      </c>
      <c r="E1177" s="12">
        <f t="shared" si="221"/>
        <v>0</v>
      </c>
      <c r="F1177" s="12">
        <f t="shared" si="222"/>
        <v>0</v>
      </c>
      <c r="G1177" s="16">
        <f t="shared" si="224"/>
        <v>3.6594790918036995E-7</v>
      </c>
      <c r="H1177" s="14">
        <f t="shared" si="225"/>
        <v>0</v>
      </c>
      <c r="I1177" s="14">
        <f t="shared" si="226"/>
        <v>10.374035968741463</v>
      </c>
      <c r="J1177" s="14">
        <f t="shared" si="227"/>
        <v>6.2185633385600742E-8</v>
      </c>
      <c r="K1177" s="14">
        <f t="shared" si="228"/>
        <v>2.5092976963679021E-2</v>
      </c>
      <c r="L1177" s="14">
        <f t="shared" si="229"/>
        <v>693.7233944172151</v>
      </c>
      <c r="M1177" s="14">
        <f t="shared" si="223"/>
        <v>0.14778699952682187</v>
      </c>
      <c r="N1177" s="14">
        <f t="shared" si="230"/>
        <v>3.7819103698356851</v>
      </c>
      <c r="O1177" s="4">
        <v>1.71</v>
      </c>
      <c r="P1177" s="14">
        <f t="shared" si="233"/>
        <v>4.2928125806326456</v>
      </c>
      <c r="Q1177" s="14">
        <f t="shared" si="231"/>
        <v>23.267589619756713</v>
      </c>
    </row>
    <row r="1178" spans="1:17" x14ac:dyDescent="0.25">
      <c r="A1178" s="5" t="s">
        <v>1235</v>
      </c>
      <c r="B1178" s="6">
        <f t="shared" si="232"/>
        <v>7</v>
      </c>
      <c r="C1178" s="70">
        <v>15.27194023</v>
      </c>
      <c r="D1178" s="4">
        <v>0</v>
      </c>
      <c r="E1178" s="12">
        <f t="shared" si="221"/>
        <v>0</v>
      </c>
      <c r="F1178" s="12">
        <f t="shared" si="222"/>
        <v>0</v>
      </c>
      <c r="G1178" s="16">
        <f t="shared" si="224"/>
        <v>3.3141486196043063E-7</v>
      </c>
      <c r="H1178" s="14">
        <f t="shared" si="225"/>
        <v>0</v>
      </c>
      <c r="I1178" s="14">
        <f t="shared" si="226"/>
        <v>6.7398863595382128</v>
      </c>
      <c r="J1178" s="14">
        <f t="shared" si="227"/>
        <v>3.4533047219939305E-8</v>
      </c>
      <c r="K1178" s="14">
        <f t="shared" si="228"/>
        <v>2.3852038302470159E-2</v>
      </c>
      <c r="L1178" s="14">
        <f t="shared" si="229"/>
        <v>693.5768483563495</v>
      </c>
      <c r="M1178" s="14">
        <f t="shared" si="223"/>
        <v>0.14775551693965083</v>
      </c>
      <c r="N1178" s="14">
        <f t="shared" si="230"/>
        <v>3.7811047216848142</v>
      </c>
      <c r="O1178" s="4">
        <v>1.66</v>
      </c>
      <c r="P1178" s="14">
        <f t="shared" si="233"/>
        <v>4.4990852403536126</v>
      </c>
      <c r="Q1178" s="14">
        <f t="shared" si="231"/>
        <v>23.752454519181999</v>
      </c>
    </row>
    <row r="1179" spans="1:17" x14ac:dyDescent="0.25">
      <c r="A1179" s="5" t="s">
        <v>1236</v>
      </c>
      <c r="B1179" s="6">
        <f t="shared" si="232"/>
        <v>7</v>
      </c>
      <c r="C1179" s="70">
        <v>15.9823904</v>
      </c>
      <c r="D1179" s="4">
        <v>0</v>
      </c>
      <c r="E1179" s="12">
        <f t="shared" ref="E1179:E1242" si="234">IF(C1179&gt;$C$9,MAX(E1178-$C$10*(C1179-$C$9),0),E1178+D1179)</f>
        <v>0</v>
      </c>
      <c r="F1179" s="12">
        <f t="shared" ref="F1179:F1242" si="235">IF(C1179&gt;$C$9,D1179+MIN(E1178,$C$10*(C1179-$C$9)),0)</f>
        <v>0</v>
      </c>
      <c r="G1179" s="16">
        <f t="shared" si="224"/>
        <v>2.9454770805017765E-7</v>
      </c>
      <c r="H1179" s="14">
        <f t="shared" si="225"/>
        <v>0</v>
      </c>
      <c r="I1179" s="14">
        <f t="shared" si="226"/>
        <v>7.9451952393580809</v>
      </c>
      <c r="J1179" s="14">
        <f t="shared" si="227"/>
        <v>3.6867153910252973E-8</v>
      </c>
      <c r="K1179" s="14">
        <f t="shared" si="228"/>
        <v>2.2672468555882778E-2</v>
      </c>
      <c r="L1179" s="14">
        <f t="shared" si="229"/>
        <v>693.43027240915637</v>
      </c>
      <c r="M1179" s="14">
        <f t="shared" si="223"/>
        <v>0.14772404105911369</v>
      </c>
      <c r="N1179" s="14">
        <f t="shared" si="230"/>
        <v>3.7802992451585689</v>
      </c>
      <c r="O1179" s="4">
        <v>1.7</v>
      </c>
      <c r="P1179" s="14">
        <f t="shared" si="233"/>
        <v>4.3276449494073121</v>
      </c>
      <c r="Q1179" s="14">
        <f t="shared" si="231"/>
        <v>23.364162599641769</v>
      </c>
    </row>
    <row r="1180" spans="1:17" x14ac:dyDescent="0.25">
      <c r="A1180" s="5" t="s">
        <v>1237</v>
      </c>
      <c r="B1180" s="6">
        <f t="shared" si="232"/>
        <v>8</v>
      </c>
      <c r="C1180" s="70">
        <v>16.964658740000001</v>
      </c>
      <c r="D1180" s="4">
        <v>0</v>
      </c>
      <c r="E1180" s="12">
        <f t="shared" si="234"/>
        <v>0</v>
      </c>
      <c r="F1180" s="12">
        <f t="shared" si="235"/>
        <v>0</v>
      </c>
      <c r="G1180" s="16">
        <f t="shared" si="224"/>
        <v>2.620911672081784E-7</v>
      </c>
      <c r="H1180" s="14">
        <f t="shared" si="225"/>
        <v>0</v>
      </c>
      <c r="I1180" s="14">
        <f t="shared" si="226"/>
        <v>7.8701593475810494</v>
      </c>
      <c r="J1180" s="14">
        <f t="shared" si="227"/>
        <v>3.2456540841999245E-8</v>
      </c>
      <c r="K1180" s="14">
        <f t="shared" si="228"/>
        <v>2.1551232808655112E-2</v>
      </c>
      <c r="L1180" s="14">
        <f t="shared" si="229"/>
        <v>693.28366960384449</v>
      </c>
      <c r="M1180" s="14">
        <f t="shared" si="223"/>
        <v>0.14769257188378171</v>
      </c>
      <c r="N1180" s="14">
        <f t="shared" si="230"/>
        <v>3.7794939402203864</v>
      </c>
      <c r="O1180" s="4">
        <v>1.55</v>
      </c>
      <c r="P1180" s="14">
        <f t="shared" si="233"/>
        <v>4.9706432294794247</v>
      </c>
      <c r="Q1180" s="14">
        <f t="shared" si="231"/>
        <v>24.836757297917632</v>
      </c>
    </row>
    <row r="1181" spans="1:17" x14ac:dyDescent="0.25">
      <c r="A1181" s="5" t="s">
        <v>1238</v>
      </c>
      <c r="B1181" s="6">
        <f t="shared" si="232"/>
        <v>8</v>
      </c>
      <c r="C1181" s="70">
        <v>14.08752441</v>
      </c>
      <c r="D1181" s="4">
        <v>0</v>
      </c>
      <c r="E1181" s="12">
        <f t="shared" si="234"/>
        <v>0</v>
      </c>
      <c r="F1181" s="12">
        <f t="shared" si="235"/>
        <v>0</v>
      </c>
      <c r="G1181" s="16">
        <f t="shared" si="224"/>
        <v>2.4962451285280568E-7</v>
      </c>
      <c r="H1181" s="14">
        <f t="shared" si="225"/>
        <v>0</v>
      </c>
      <c r="I1181" s="14">
        <f t="shared" si="226"/>
        <v>3.3973045077509889</v>
      </c>
      <c r="J1181" s="14">
        <f t="shared" si="227"/>
        <v>1.2466654355372703E-8</v>
      </c>
      <c r="K1181" s="14">
        <f t="shared" si="228"/>
        <v>2.0485446233085246E-2</v>
      </c>
      <c r="L1181" s="14">
        <f t="shared" si="229"/>
        <v>693.13704281853632</v>
      </c>
      <c r="M1181" s="14">
        <f t="shared" si="223"/>
        <v>0.14766110941222652</v>
      </c>
      <c r="N1181" s="14">
        <f t="shared" si="230"/>
        <v>3.7786888068337134</v>
      </c>
      <c r="O1181" s="4">
        <v>1.48</v>
      </c>
      <c r="P1181" s="14">
        <f t="shared" si="233"/>
        <v>5.2839702306626011</v>
      </c>
      <c r="Q1181" s="14">
        <f t="shared" si="231"/>
        <v>25.539368157113039</v>
      </c>
    </row>
    <row r="1182" spans="1:17" x14ac:dyDescent="0.25">
      <c r="A1182" s="5" t="s">
        <v>1239</v>
      </c>
      <c r="B1182" s="6">
        <f t="shared" si="232"/>
        <v>8</v>
      </c>
      <c r="C1182" s="70">
        <v>14.191771510000001</v>
      </c>
      <c r="D1182" s="4">
        <v>0</v>
      </c>
      <c r="E1182" s="12">
        <f t="shared" si="234"/>
        <v>0</v>
      </c>
      <c r="F1182" s="12">
        <f t="shared" si="235"/>
        <v>0</v>
      </c>
      <c r="G1182" s="16">
        <f t="shared" si="224"/>
        <v>2.3718442814559671E-7</v>
      </c>
      <c r="H1182" s="14">
        <f t="shared" si="225"/>
        <v>0</v>
      </c>
      <c r="I1182" s="14">
        <f t="shared" si="226"/>
        <v>3.5593692889853257</v>
      </c>
      <c r="J1182" s="14">
        <f t="shared" si="227"/>
        <v>1.2440084707208958E-8</v>
      </c>
      <c r="K1182" s="14">
        <f t="shared" si="228"/>
        <v>1.9472366666657276E-2</v>
      </c>
      <c r="L1182" s="14">
        <f t="shared" si="229"/>
        <v>692.99039478869054</v>
      </c>
      <c r="M1182" s="14">
        <f t="shared" si="223"/>
        <v>0.14762965364302003</v>
      </c>
      <c r="N1182" s="14">
        <f t="shared" si="230"/>
        <v>3.7778838449620054</v>
      </c>
      <c r="O1182" s="4">
        <v>1.4</v>
      </c>
      <c r="P1182" s="14">
        <f t="shared" si="233"/>
        <v>5.6543315801312906</v>
      </c>
      <c r="Q1182" s="14">
        <f t="shared" si="231"/>
        <v>26.354351996193497</v>
      </c>
    </row>
    <row r="1183" spans="1:17" x14ac:dyDescent="0.25">
      <c r="A1183" s="5" t="s">
        <v>1240</v>
      </c>
      <c r="B1183" s="6">
        <f t="shared" si="232"/>
        <v>8</v>
      </c>
      <c r="C1183" s="70">
        <v>16.058849330000001</v>
      </c>
      <c r="D1183" s="4">
        <v>0</v>
      </c>
      <c r="E1183" s="12">
        <f t="shared" si="234"/>
        <v>0</v>
      </c>
      <c r="F1183" s="12">
        <f t="shared" si="235"/>
        <v>0</v>
      </c>
      <c r="G1183" s="16">
        <f t="shared" si="224"/>
        <v>2.1572520117923534E-7</v>
      </c>
      <c r="H1183" s="14">
        <f t="shared" si="225"/>
        <v>0</v>
      </c>
      <c r="I1183" s="14">
        <f t="shared" si="226"/>
        <v>6.46196857899705</v>
      </c>
      <c r="J1183" s="14">
        <f t="shared" si="227"/>
        <v>2.1459226966361354E-8</v>
      </c>
      <c r="K1183" s="14">
        <f t="shared" si="228"/>
        <v>1.8509387556730778E-2</v>
      </c>
      <c r="L1183" s="14">
        <f t="shared" si="229"/>
        <v>692.84372811415744</v>
      </c>
      <c r="M1183" s="14">
        <f t="shared" ref="M1183:M1246" si="236">MAX(0,K1183-$F$9)*$F$8+K1183*$F$10+L1183*$F$11</f>
        <v>0.14759820457473441</v>
      </c>
      <c r="N1183" s="14">
        <f t="shared" si="230"/>
        <v>3.7770790545687243</v>
      </c>
      <c r="O1183" s="4">
        <v>1.48</v>
      </c>
      <c r="P1183" s="14">
        <f t="shared" si="233"/>
        <v>5.2765721829383443</v>
      </c>
      <c r="Q1183" s="14">
        <f t="shared" si="231"/>
        <v>25.539368157113039</v>
      </c>
    </row>
    <row r="1184" spans="1:17" x14ac:dyDescent="0.25">
      <c r="A1184" s="5" t="s">
        <v>1241</v>
      </c>
      <c r="B1184" s="6">
        <f t="shared" si="232"/>
        <v>8</v>
      </c>
      <c r="C1184" s="70">
        <v>16.905929570000001</v>
      </c>
      <c r="D1184" s="4">
        <v>0</v>
      </c>
      <c r="E1184" s="12">
        <f t="shared" si="234"/>
        <v>0</v>
      </c>
      <c r="F1184" s="12">
        <f t="shared" si="235"/>
        <v>0</v>
      </c>
      <c r="G1184" s="16">
        <f t="shared" ref="G1184:G1247" si="237">G1183+F1184-H1184-J1184</f>
        <v>1.9222996749333931E-7</v>
      </c>
      <c r="H1184" s="14">
        <f t="shared" ref="H1184:H1247" si="238">(F1184*(G1183/$C$11)^$C$12)</f>
        <v>0</v>
      </c>
      <c r="I1184" s="14">
        <f t="shared" ref="I1184:I1247" si="239">(1+$C$13*(C1184-INDEX($A$16:$A$27,B1184)))*INDEX($C$16:$C$27,B1184)</f>
        <v>7.7788577182011993</v>
      </c>
      <c r="J1184" s="14">
        <f t="shared" ref="J1184:J1247" si="240">IF(G1183&gt;$F$13,I1184,I1184*(G1183/$F$13))</f>
        <v>2.3495233685896031E-8</v>
      </c>
      <c r="K1184" s="14">
        <f t="shared" ref="K1184:K1247" si="241">K1183+H1184-MAX(0,K1183-$F$9)*$F$8-K1183*$F$10-K1183*$F$12</f>
        <v>1.7594031254140927E-2</v>
      </c>
      <c r="L1184" s="14">
        <f t="shared" ref="L1184:L1247" si="242">L1183+K1183*$F$12-L1183*$F$11</f>
        <v>692.69704526588532</v>
      </c>
      <c r="M1184" s="14">
        <f t="shared" si="236"/>
        <v>0.14756676220594228</v>
      </c>
      <c r="N1184" s="14">
        <f t="shared" ref="N1184:N1247" si="243">M1184*$C$8*1000/(24*3600)</f>
        <v>3.7762744356173426</v>
      </c>
      <c r="O1184" s="4">
        <v>1.61</v>
      </c>
      <c r="P1184" s="14">
        <f t="shared" si="233"/>
        <v>4.6927449304092361</v>
      </c>
      <c r="Q1184" s="14">
        <f t="shared" ref="Q1184:Q1247" si="244">(O1184-$F$23)^2</f>
        <v>24.242319418607284</v>
      </c>
    </row>
    <row r="1185" spans="1:17" x14ac:dyDescent="0.25">
      <c r="A1185" s="5" t="s">
        <v>1242</v>
      </c>
      <c r="B1185" s="6">
        <f t="shared" ref="B1185:B1248" si="245">MONTH(A1185)</f>
        <v>8</v>
      </c>
      <c r="C1185" s="70">
        <v>17.575942990000001</v>
      </c>
      <c r="D1185" s="4">
        <v>0</v>
      </c>
      <c r="E1185" s="12">
        <f t="shared" si="234"/>
        <v>0</v>
      </c>
      <c r="F1185" s="12">
        <f t="shared" si="235"/>
        <v>0</v>
      </c>
      <c r="G1185" s="16">
        <f t="shared" si="237"/>
        <v>1.6849021848853757E-7</v>
      </c>
      <c r="H1185" s="14">
        <f t="shared" si="238"/>
        <v>0</v>
      </c>
      <c r="I1185" s="14">
        <f t="shared" si="239"/>
        <v>8.8204749750492972</v>
      </c>
      <c r="J1185" s="14">
        <f t="shared" si="240"/>
        <v>2.3739749004801736E-8</v>
      </c>
      <c r="K1185" s="14">
        <f t="shared" si="241"/>
        <v>1.6723942638454434E-2</v>
      </c>
      <c r="L1185" s="14">
        <f t="shared" si="242"/>
        <v>692.55034859229511</v>
      </c>
      <c r="M1185" s="14">
        <f t="shared" si="236"/>
        <v>0.14753532653521639</v>
      </c>
      <c r="N1185" s="14">
        <f t="shared" si="243"/>
        <v>3.7754699880713356</v>
      </c>
      <c r="O1185" s="4">
        <v>1.63</v>
      </c>
      <c r="P1185" s="14">
        <f t="shared" ref="P1185:P1248" si="246">(O1185-N1185)^2</f>
        <v>4.6030414697148174</v>
      </c>
      <c r="Q1185" s="14">
        <f t="shared" si="244"/>
        <v>24.045773458837171</v>
      </c>
    </row>
    <row r="1186" spans="1:17" x14ac:dyDescent="0.25">
      <c r="A1186" s="5" t="s">
        <v>1243</v>
      </c>
      <c r="B1186" s="6">
        <f t="shared" si="245"/>
        <v>8</v>
      </c>
      <c r="C1186" s="70">
        <v>16.826976779999999</v>
      </c>
      <c r="D1186" s="4">
        <v>0</v>
      </c>
      <c r="E1186" s="12">
        <f t="shared" si="234"/>
        <v>0</v>
      </c>
      <c r="F1186" s="12">
        <f t="shared" si="235"/>
        <v>0</v>
      </c>
      <c r="G1186" s="16">
        <f t="shared" si="237"/>
        <v>1.5042903280602137E-7</v>
      </c>
      <c r="H1186" s="14">
        <f t="shared" si="238"/>
        <v>0</v>
      </c>
      <c r="I1186" s="14">
        <f t="shared" si="239"/>
        <v>7.6561160146987444</v>
      </c>
      <c r="J1186" s="14">
        <f t="shared" si="240"/>
        <v>1.8061185682516208E-8</v>
      </c>
      <c r="K1186" s="14">
        <f t="shared" si="241"/>
        <v>1.5896883058479642E-2</v>
      </c>
      <c r="L1186" s="14">
        <f t="shared" si="242"/>
        <v>692.40364032533989</v>
      </c>
      <c r="M1186" s="14">
        <f t="shared" si="236"/>
        <v>0.14750389756112992</v>
      </c>
      <c r="N1186" s="14">
        <f t="shared" si="243"/>
        <v>3.7746657118941926</v>
      </c>
      <c r="O1186" s="4">
        <v>1.53</v>
      </c>
      <c r="P1186" s="14">
        <f t="shared" si="246"/>
        <v>5.0385241581534634</v>
      </c>
      <c r="Q1186" s="14">
        <f t="shared" si="244"/>
        <v>25.036503257687745</v>
      </c>
    </row>
    <row r="1187" spans="1:17" x14ac:dyDescent="0.25">
      <c r="A1187" s="5" t="s">
        <v>1244</v>
      </c>
      <c r="B1187" s="6">
        <f t="shared" si="245"/>
        <v>8</v>
      </c>
      <c r="C1187" s="70">
        <v>14.11181259</v>
      </c>
      <c r="D1187" s="4">
        <v>0</v>
      </c>
      <c r="E1187" s="12">
        <f t="shared" si="234"/>
        <v>0</v>
      </c>
      <c r="F1187" s="12">
        <f t="shared" si="235"/>
        <v>0</v>
      </c>
      <c r="G1187" s="16">
        <f t="shared" si="237"/>
        <v>1.4319418361248064E-7</v>
      </c>
      <c r="H1187" s="14">
        <f t="shared" si="238"/>
        <v>0</v>
      </c>
      <c r="I1187" s="14">
        <f t="shared" si="239"/>
        <v>3.4350634341698543</v>
      </c>
      <c r="J1187" s="14">
        <f t="shared" si="240"/>
        <v>7.23484919354074E-9</v>
      </c>
      <c r="K1187" s="14">
        <f t="shared" si="241"/>
        <v>1.5110724572440394E-2</v>
      </c>
      <c r="L1187" s="14">
        <f t="shared" si="242"/>
        <v>692.25692258626486</v>
      </c>
      <c r="M1187" s="14">
        <f t="shared" si="236"/>
        <v>0.14747247528225629</v>
      </c>
      <c r="N1187" s="14">
        <f t="shared" si="243"/>
        <v>3.773861607049406</v>
      </c>
      <c r="O1187" s="4">
        <v>1.59</v>
      </c>
      <c r="P1187" s="14">
        <f t="shared" si="246"/>
        <v>4.7692515187444124</v>
      </c>
      <c r="Q1187" s="14">
        <f t="shared" si="244"/>
        <v>24.439665378377402</v>
      </c>
    </row>
    <row r="1188" spans="1:17" x14ac:dyDescent="0.25">
      <c r="A1188" s="5" t="s">
        <v>1245</v>
      </c>
      <c r="B1188" s="6">
        <f t="shared" si="245"/>
        <v>8</v>
      </c>
      <c r="C1188" s="70">
        <v>14.70528507</v>
      </c>
      <c r="D1188" s="4">
        <v>0</v>
      </c>
      <c r="E1188" s="12">
        <f t="shared" si="234"/>
        <v>0</v>
      </c>
      <c r="F1188" s="12">
        <f t="shared" si="235"/>
        <v>0</v>
      </c>
      <c r="G1188" s="16">
        <f t="shared" si="237"/>
        <v>1.3445754003229818E-7</v>
      </c>
      <c r="H1188" s="14">
        <f t="shared" si="238"/>
        <v>0</v>
      </c>
      <c r="I1188" s="14">
        <f t="shared" si="239"/>
        <v>4.3576885013400588</v>
      </c>
      <c r="J1188" s="14">
        <f t="shared" si="240"/>
        <v>8.7366435801824528E-9</v>
      </c>
      <c r="K1188" s="14">
        <f t="shared" si="241"/>
        <v>1.4363444472994162E-2</v>
      </c>
      <c r="L1188" s="14">
        <f t="shared" si="242"/>
        <v>692.11019739108201</v>
      </c>
      <c r="M1188" s="14">
        <f t="shared" si="236"/>
        <v>0.1474410596971692</v>
      </c>
      <c r="N1188" s="14">
        <f t="shared" si="243"/>
        <v>3.7730576735004755</v>
      </c>
      <c r="O1188" s="4">
        <v>1.56</v>
      </c>
      <c r="P1188" s="14">
        <f t="shared" si="246"/>
        <v>4.8976242662393368</v>
      </c>
      <c r="Q1188" s="14">
        <f t="shared" si="244"/>
        <v>24.737184318032579</v>
      </c>
    </row>
    <row r="1189" spans="1:17" x14ac:dyDescent="0.25">
      <c r="A1189" s="5" t="s">
        <v>1246</v>
      </c>
      <c r="B1189" s="6">
        <f t="shared" si="245"/>
        <v>8</v>
      </c>
      <c r="C1189" s="70">
        <v>14.896413799999999</v>
      </c>
      <c r="D1189" s="4">
        <v>0</v>
      </c>
      <c r="E1189" s="12">
        <f t="shared" si="234"/>
        <v>0</v>
      </c>
      <c r="F1189" s="12">
        <f t="shared" si="235"/>
        <v>0</v>
      </c>
      <c r="G1189" s="16">
        <f t="shared" si="237"/>
        <v>1.2569457183619976E-7</v>
      </c>
      <c r="H1189" s="14">
        <f t="shared" si="238"/>
        <v>0</v>
      </c>
      <c r="I1189" s="14">
        <f t="shared" si="239"/>
        <v>4.6548213310786934</v>
      </c>
      <c r="J1189" s="14">
        <f t="shared" si="240"/>
        <v>8.7629681960984325E-9</v>
      </c>
      <c r="K1189" s="14">
        <f t="shared" si="241"/>
        <v>1.3653120083007876E-2</v>
      </c>
      <c r="L1189" s="14">
        <f t="shared" si="242"/>
        <v>691.96346665577482</v>
      </c>
      <c r="M1189" s="14">
        <f t="shared" si="236"/>
        <v>0.14740965080444274</v>
      </c>
      <c r="N1189" s="14">
        <f t="shared" si="243"/>
        <v>3.772253911210913</v>
      </c>
      <c r="O1189" s="4">
        <v>1.5</v>
      </c>
      <c r="P1189" s="14">
        <f t="shared" si="246"/>
        <v>5.1631378370132914</v>
      </c>
      <c r="Q1189" s="14">
        <f t="shared" si="244"/>
        <v>25.337622197342917</v>
      </c>
    </row>
    <row r="1190" spans="1:17" x14ac:dyDescent="0.25">
      <c r="A1190" s="5" t="s">
        <v>1247</v>
      </c>
      <c r="B1190" s="6">
        <f t="shared" si="245"/>
        <v>8</v>
      </c>
      <c r="C1190" s="70">
        <v>15.93663883</v>
      </c>
      <c r="D1190" s="4">
        <v>0</v>
      </c>
      <c r="E1190" s="12">
        <f t="shared" si="234"/>
        <v>0</v>
      </c>
      <c r="F1190" s="12">
        <f t="shared" si="235"/>
        <v>0</v>
      </c>
      <c r="G1190" s="16">
        <f t="shared" si="237"/>
        <v>1.1465673236465455E-7</v>
      </c>
      <c r="H1190" s="14">
        <f t="shared" si="238"/>
        <v>0</v>
      </c>
      <c r="I1190" s="14">
        <f t="shared" si="239"/>
        <v>6.2719775102091502</v>
      </c>
      <c r="J1190" s="14">
        <f t="shared" si="240"/>
        <v>1.1037839471545205E-8</v>
      </c>
      <c r="K1190" s="14">
        <f t="shared" si="241"/>
        <v>1.2977923808701506E-2</v>
      </c>
      <c r="L1190" s="14">
        <f t="shared" si="242"/>
        <v>691.81673220124469</v>
      </c>
      <c r="M1190" s="14">
        <f t="shared" si="236"/>
        <v>0.14737824860265128</v>
      </c>
      <c r="N1190" s="14">
        <f t="shared" si="243"/>
        <v>3.7714503201442353</v>
      </c>
      <c r="O1190" s="4">
        <v>1.46</v>
      </c>
      <c r="P1190" s="14">
        <f t="shared" si="246"/>
        <v>5.3428025824948877</v>
      </c>
      <c r="Q1190" s="14">
        <f t="shared" si="244"/>
        <v>25.741914116883148</v>
      </c>
    </row>
    <row r="1191" spans="1:17" x14ac:dyDescent="0.25">
      <c r="A1191" s="5" t="s">
        <v>1248</v>
      </c>
      <c r="B1191" s="6">
        <f t="shared" si="245"/>
        <v>8</v>
      </c>
      <c r="C1191" s="70">
        <v>15.46216869</v>
      </c>
      <c r="D1191" s="4">
        <v>0</v>
      </c>
      <c r="E1191" s="12">
        <f t="shared" si="234"/>
        <v>0</v>
      </c>
      <c r="F1191" s="12">
        <f t="shared" si="235"/>
        <v>0</v>
      </c>
      <c r="G1191" s="16">
        <f t="shared" si="237"/>
        <v>1.0577229942443646E-7</v>
      </c>
      <c r="H1191" s="14">
        <f t="shared" si="238"/>
        <v>0</v>
      </c>
      <c r="I1191" s="14">
        <f t="shared" si="239"/>
        <v>5.5343560373689016</v>
      </c>
      <c r="J1191" s="14">
        <f t="shared" si="240"/>
        <v>8.8844329402180882E-9</v>
      </c>
      <c r="K1191" s="14">
        <f t="shared" si="241"/>
        <v>1.2336118437431621E-2</v>
      </c>
      <c r="L1191" s="14">
        <f t="shared" si="242"/>
        <v>691.66999575801333</v>
      </c>
      <c r="M1191" s="14">
        <f t="shared" si="236"/>
        <v>0.14734685309036943</v>
      </c>
      <c r="N1191" s="14">
        <f t="shared" si="243"/>
        <v>3.7706469002639675</v>
      </c>
      <c r="O1191" s="4">
        <v>1.53</v>
      </c>
      <c r="P1191" s="14">
        <f t="shared" si="246"/>
        <v>5.0204985316625246</v>
      </c>
      <c r="Q1191" s="14">
        <f t="shared" si="244"/>
        <v>25.036503257687745</v>
      </c>
    </row>
    <row r="1192" spans="1:17" x14ac:dyDescent="0.25">
      <c r="A1192" s="5" t="s">
        <v>1249</v>
      </c>
      <c r="B1192" s="6">
        <f t="shared" si="245"/>
        <v>8</v>
      </c>
      <c r="C1192" s="70">
        <v>14.778428079999999</v>
      </c>
      <c r="D1192" s="4">
        <v>0</v>
      </c>
      <c r="E1192" s="12">
        <f t="shared" si="234"/>
        <v>0</v>
      </c>
      <c r="F1192" s="12">
        <f t="shared" si="235"/>
        <v>0</v>
      </c>
      <c r="G1192" s="16">
        <f t="shared" si="237"/>
        <v>9.9150464480619107E-8</v>
      </c>
      <c r="H1192" s="14">
        <f t="shared" si="238"/>
        <v>0</v>
      </c>
      <c r="I1192" s="14">
        <f t="shared" si="239"/>
        <v>4.4713981960411164</v>
      </c>
      <c r="J1192" s="14">
        <f t="shared" si="240"/>
        <v>6.6218349438173469E-9</v>
      </c>
      <c r="K1192" s="14">
        <f t="shared" si="241"/>
        <v>1.1726052668016594E-2</v>
      </c>
      <c r="L1192" s="14">
        <f t="shared" si="242"/>
        <v>691.52325897069238</v>
      </c>
      <c r="M1192" s="14">
        <f t="shared" si="236"/>
        <v>0.14731546426617215</v>
      </c>
      <c r="N1192" s="14">
        <f t="shared" si="243"/>
        <v>3.7698436515336415</v>
      </c>
      <c r="O1192" s="4">
        <v>1.53</v>
      </c>
      <c r="P1192" s="14">
        <f t="shared" si="246"/>
        <v>5.0168995833155581</v>
      </c>
      <c r="Q1192" s="14">
        <f t="shared" si="244"/>
        <v>25.036503257687745</v>
      </c>
    </row>
    <row r="1193" spans="1:17" x14ac:dyDescent="0.25">
      <c r="A1193" s="5" t="s">
        <v>1250</v>
      </c>
      <c r="B1193" s="6">
        <f t="shared" si="245"/>
        <v>8</v>
      </c>
      <c r="C1193" s="70">
        <v>15.42883396</v>
      </c>
      <c r="D1193" s="4">
        <v>0</v>
      </c>
      <c r="E1193" s="12">
        <f t="shared" si="234"/>
        <v>0</v>
      </c>
      <c r="F1193" s="12">
        <f t="shared" si="235"/>
        <v>0</v>
      </c>
      <c r="G1193" s="16">
        <f t="shared" si="237"/>
        <v>9.1539510821794086E-8</v>
      </c>
      <c r="H1193" s="14">
        <f t="shared" si="238"/>
        <v>0</v>
      </c>
      <c r="I1193" s="14">
        <f t="shared" si="239"/>
        <v>5.4825331499700614</v>
      </c>
      <c r="J1193" s="14">
        <f t="shared" si="240"/>
        <v>7.6109536588250183E-9</v>
      </c>
      <c r="K1193" s="14">
        <f t="shared" si="241"/>
        <v>1.1146156862103428E-2</v>
      </c>
      <c r="L1193" s="14">
        <f t="shared" si="242"/>
        <v>691.37652340223212</v>
      </c>
      <c r="M1193" s="14">
        <f t="shared" si="236"/>
        <v>0.1472840821286347</v>
      </c>
      <c r="N1193" s="14">
        <f t="shared" si="243"/>
        <v>3.7690405739167976</v>
      </c>
      <c r="O1193" s="4">
        <v>1.51</v>
      </c>
      <c r="P1193" s="14">
        <f t="shared" si="246"/>
        <v>5.1032643146023329</v>
      </c>
      <c r="Q1193" s="14">
        <f t="shared" si="244"/>
        <v>25.237049217457862</v>
      </c>
    </row>
    <row r="1194" spans="1:17" x14ac:dyDescent="0.25">
      <c r="A1194" s="5" t="s">
        <v>1251</v>
      </c>
      <c r="B1194" s="6">
        <f t="shared" si="245"/>
        <v>8</v>
      </c>
      <c r="C1194" s="70">
        <v>11.938711169999999</v>
      </c>
      <c r="D1194" s="4">
        <v>0</v>
      </c>
      <c r="E1194" s="12">
        <f t="shared" si="234"/>
        <v>0</v>
      </c>
      <c r="F1194" s="12">
        <f t="shared" si="235"/>
        <v>0</v>
      </c>
      <c r="G1194" s="16">
        <f t="shared" si="237"/>
        <v>9.1466823876124215E-8</v>
      </c>
      <c r="H1194" s="14">
        <f t="shared" si="238"/>
        <v>0</v>
      </c>
      <c r="I1194" s="14">
        <f t="shared" si="239"/>
        <v>5.6713281193655166E-2</v>
      </c>
      <c r="J1194" s="14">
        <f t="shared" si="240"/>
        <v>7.2686945669871912E-11</v>
      </c>
      <c r="K1194" s="14">
        <f t="shared" si="241"/>
        <v>1.059493900564489E-2</v>
      </c>
      <c r="L1194" s="14">
        <f t="shared" si="242"/>
        <v>691.22979053795996</v>
      </c>
      <c r="M1194" s="14">
        <f t="shared" si="236"/>
        <v>0.14725270667633267</v>
      </c>
      <c r="N1194" s="14">
        <f t="shared" si="243"/>
        <v>3.7682376673769857</v>
      </c>
      <c r="O1194" s="4">
        <v>1.48</v>
      </c>
      <c r="P1194" s="14">
        <f t="shared" si="246"/>
        <v>5.2360316224028685</v>
      </c>
      <c r="Q1194" s="14">
        <f t="shared" si="244"/>
        <v>25.539368157113039</v>
      </c>
    </row>
    <row r="1195" spans="1:17" x14ac:dyDescent="0.25">
      <c r="A1195" s="5" t="s">
        <v>1252</v>
      </c>
      <c r="B1195" s="6">
        <f t="shared" si="245"/>
        <v>8</v>
      </c>
      <c r="C1195" s="70">
        <v>13.292188640000001</v>
      </c>
      <c r="D1195" s="4">
        <v>0</v>
      </c>
      <c r="E1195" s="12">
        <f t="shared" si="234"/>
        <v>0</v>
      </c>
      <c r="F1195" s="12">
        <f t="shared" si="235"/>
        <v>0</v>
      </c>
      <c r="G1195" s="16">
        <f t="shared" si="237"/>
        <v>8.8699544716390669E-8</v>
      </c>
      <c r="H1195" s="14">
        <f t="shared" si="238"/>
        <v>0</v>
      </c>
      <c r="I1195" s="14">
        <f t="shared" si="239"/>
        <v>2.1608584332521095</v>
      </c>
      <c r="J1195" s="14">
        <f t="shared" si="240"/>
        <v>2.7672791597335423E-9</v>
      </c>
      <c r="K1195" s="14">
        <f t="shared" si="241"/>
        <v>1.0070980870096238E-2</v>
      </c>
      <c r="L1195" s="14">
        <f t="shared" si="242"/>
        <v>691.08306178941928</v>
      </c>
      <c r="M1195" s="14">
        <f t="shared" si="236"/>
        <v>0.14722133790784189</v>
      </c>
      <c r="N1195" s="14">
        <f t="shared" si="243"/>
        <v>3.7674349318777596</v>
      </c>
      <c r="O1195" s="4">
        <v>1.46</v>
      </c>
      <c r="P1195" s="14">
        <f t="shared" si="246"/>
        <v>5.324255964849721</v>
      </c>
      <c r="Q1195" s="14">
        <f t="shared" si="244"/>
        <v>25.741914116883148</v>
      </c>
    </row>
    <row r="1196" spans="1:17" x14ac:dyDescent="0.25">
      <c r="A1196" s="5" t="s">
        <v>1253</v>
      </c>
      <c r="B1196" s="6">
        <f t="shared" si="245"/>
        <v>8</v>
      </c>
      <c r="C1196" s="70">
        <v>14.27179241</v>
      </c>
      <c r="D1196" s="4">
        <v>0</v>
      </c>
      <c r="E1196" s="12">
        <f t="shared" si="234"/>
        <v>0</v>
      </c>
      <c r="F1196" s="12">
        <f t="shared" si="235"/>
        <v>0</v>
      </c>
      <c r="G1196" s="16">
        <f t="shared" si="237"/>
        <v>8.4124691835980753E-8</v>
      </c>
      <c r="H1196" s="14">
        <f t="shared" si="238"/>
        <v>0</v>
      </c>
      <c r="I1196" s="14">
        <f t="shared" si="239"/>
        <v>3.6837714992403305</v>
      </c>
      <c r="J1196" s="14">
        <f t="shared" si="240"/>
        <v>4.574852880409917E-9</v>
      </c>
      <c r="K1196" s="14">
        <f t="shared" si="241"/>
        <v>9.5729343634546847E-3</v>
      </c>
      <c r="L1196" s="14">
        <f t="shared" si="242"/>
        <v>690.93633849801813</v>
      </c>
      <c r="M1196" s="14">
        <f t="shared" si="236"/>
        <v>0.14718997582173854</v>
      </c>
      <c r="N1196" s="14">
        <f t="shared" si="243"/>
        <v>3.7666323673826843</v>
      </c>
      <c r="O1196" s="4">
        <v>1.43</v>
      </c>
      <c r="P1196" s="14">
        <f t="shared" si="246"/>
        <v>5.4598508203004066</v>
      </c>
      <c r="Q1196" s="14">
        <f t="shared" si="244"/>
        <v>26.047233056538321</v>
      </c>
    </row>
    <row r="1197" spans="1:17" x14ac:dyDescent="0.25">
      <c r="A1197" s="5" t="s">
        <v>1254</v>
      </c>
      <c r="B1197" s="6">
        <f t="shared" si="245"/>
        <v>8</v>
      </c>
      <c r="C1197" s="70">
        <v>15.63793087</v>
      </c>
      <c r="D1197" s="4">
        <v>0</v>
      </c>
      <c r="E1197" s="12">
        <f t="shared" si="234"/>
        <v>0</v>
      </c>
      <c r="F1197" s="12">
        <f t="shared" si="235"/>
        <v>0</v>
      </c>
      <c r="G1197" s="16">
        <f t="shared" si="237"/>
        <v>7.7284264739742841E-8</v>
      </c>
      <c r="H1197" s="14">
        <f t="shared" si="238"/>
        <v>0</v>
      </c>
      <c r="I1197" s="14">
        <f t="shared" si="239"/>
        <v>5.8075996983529468</v>
      </c>
      <c r="J1197" s="14">
        <f t="shared" si="240"/>
        <v>6.8404270962379131E-9</v>
      </c>
      <c r="K1197" s="14">
        <f t="shared" si="241"/>
        <v>9.0995180617531885E-3</v>
      </c>
      <c r="L1197" s="14">
        <f t="shared" si="242"/>
        <v>690.78962193849804</v>
      </c>
      <c r="M1197" s="14">
        <f t="shared" si="236"/>
        <v>0.14715862041659911</v>
      </c>
      <c r="N1197" s="14">
        <f t="shared" si="243"/>
        <v>3.7658299738553311</v>
      </c>
      <c r="O1197" s="4">
        <v>1.39</v>
      </c>
      <c r="P1197" s="14">
        <f t="shared" si="246"/>
        <v>5.6445680646694232</v>
      </c>
      <c r="Q1197" s="14">
        <f t="shared" si="244"/>
        <v>26.457124976078553</v>
      </c>
    </row>
    <row r="1198" spans="1:17" x14ac:dyDescent="0.25">
      <c r="A1198" s="5" t="s">
        <v>1255</v>
      </c>
      <c r="B1198" s="6">
        <f t="shared" si="245"/>
        <v>8</v>
      </c>
      <c r="C1198" s="70">
        <v>14.63026619</v>
      </c>
      <c r="D1198" s="4">
        <v>0</v>
      </c>
      <c r="E1198" s="12">
        <f t="shared" si="234"/>
        <v>0</v>
      </c>
      <c r="F1198" s="12">
        <f t="shared" si="235"/>
        <v>0</v>
      </c>
      <c r="G1198" s="16">
        <f t="shared" si="237"/>
        <v>7.269515107644906E-8</v>
      </c>
      <c r="H1198" s="14">
        <f t="shared" si="238"/>
        <v>0</v>
      </c>
      <c r="I1198" s="14">
        <f t="shared" si="239"/>
        <v>4.241062538837074</v>
      </c>
      <c r="J1198" s="14">
        <f t="shared" si="240"/>
        <v>4.5891136632937747E-9</v>
      </c>
      <c r="K1198" s="14">
        <f t="shared" si="241"/>
        <v>8.6495139120844403E-3</v>
      </c>
      <c r="L1198" s="14">
        <f t="shared" si="242"/>
        <v>690.64291332223115</v>
      </c>
      <c r="M1198" s="14">
        <f t="shared" si="236"/>
        <v>0.14712727169100034</v>
      </c>
      <c r="N1198" s="14">
        <f t="shared" si="243"/>
        <v>3.76502775125928</v>
      </c>
      <c r="O1198" s="4">
        <v>1.5</v>
      </c>
      <c r="P1198" s="14">
        <f t="shared" si="246"/>
        <v>5.1303507139746705</v>
      </c>
      <c r="Q1198" s="14">
        <f t="shared" si="244"/>
        <v>25.337622197342917</v>
      </c>
    </row>
    <row r="1199" spans="1:17" x14ac:dyDescent="0.25">
      <c r="A1199" s="5" t="s">
        <v>1256</v>
      </c>
      <c r="B1199" s="6">
        <f t="shared" si="245"/>
        <v>8</v>
      </c>
      <c r="C1199" s="70">
        <v>14.58900738</v>
      </c>
      <c r="D1199" s="4">
        <v>0</v>
      </c>
      <c r="E1199" s="12">
        <f t="shared" si="234"/>
        <v>0</v>
      </c>
      <c r="F1199" s="12">
        <f t="shared" si="235"/>
        <v>0</v>
      </c>
      <c r="G1199" s="16">
        <f t="shared" si="237"/>
        <v>6.8443821907227701E-8</v>
      </c>
      <c r="H1199" s="14">
        <f t="shared" si="238"/>
        <v>0</v>
      </c>
      <c r="I1199" s="14">
        <f t="shared" si="239"/>
        <v>4.1769207064346459</v>
      </c>
      <c r="J1199" s="14">
        <f t="shared" si="240"/>
        <v>4.2513291692213532E-9</v>
      </c>
      <c r="K1199" s="14">
        <f t="shared" si="241"/>
        <v>8.2217640986722747E-3</v>
      </c>
      <c r="L1199" s="14">
        <f t="shared" si="242"/>
        <v>690.49621380035353</v>
      </c>
      <c r="M1199" s="14">
        <f t="shared" si="236"/>
        <v>0.14709592964351934</v>
      </c>
      <c r="N1199" s="14">
        <f t="shared" si="243"/>
        <v>3.764225699558116</v>
      </c>
      <c r="O1199" s="4">
        <v>1.38</v>
      </c>
      <c r="P1199" s="14">
        <f t="shared" si="246"/>
        <v>5.6845321864333886</v>
      </c>
      <c r="Q1199" s="14">
        <f t="shared" si="244"/>
        <v>26.560097955963606</v>
      </c>
    </row>
    <row r="1200" spans="1:17" x14ac:dyDescent="0.25">
      <c r="A1200" s="5" t="s">
        <v>1257</v>
      </c>
      <c r="B1200" s="6">
        <f t="shared" si="245"/>
        <v>8</v>
      </c>
      <c r="C1200" s="70">
        <v>14.52370644</v>
      </c>
      <c r="D1200" s="4">
        <v>0</v>
      </c>
      <c r="E1200" s="12">
        <f t="shared" si="234"/>
        <v>0</v>
      </c>
      <c r="F1200" s="12">
        <f t="shared" si="235"/>
        <v>0</v>
      </c>
      <c r="G1200" s="16">
        <f t="shared" si="237"/>
        <v>6.4538401292316977E-8</v>
      </c>
      <c r="H1200" s="14">
        <f t="shared" si="238"/>
        <v>0</v>
      </c>
      <c r="I1200" s="14">
        <f t="shared" si="239"/>
        <v>4.0754024622293255</v>
      </c>
      <c r="J1200" s="14">
        <f t="shared" si="240"/>
        <v>3.9054206149107181E-9</v>
      </c>
      <c r="K1200" s="14">
        <f t="shared" si="241"/>
        <v>7.8151680639271977E-3</v>
      </c>
      <c r="L1200" s="14">
        <f t="shared" si="242"/>
        <v>690.3495244667447</v>
      </c>
      <c r="M1200" s="14">
        <f t="shared" si="236"/>
        <v>0.1470645942727335</v>
      </c>
      <c r="N1200" s="14">
        <f t="shared" si="243"/>
        <v>3.7634238187154367</v>
      </c>
      <c r="O1200" s="4">
        <v>1.39</v>
      </c>
      <c r="P1200" s="14">
        <f t="shared" si="246"/>
        <v>5.6331406232457661</v>
      </c>
      <c r="Q1200" s="14">
        <f t="shared" si="244"/>
        <v>26.457124976078553</v>
      </c>
    </row>
    <row r="1201" spans="1:17" x14ac:dyDescent="0.25">
      <c r="A1201" s="5" t="s">
        <v>1258</v>
      </c>
      <c r="B1201" s="6">
        <f t="shared" si="245"/>
        <v>8</v>
      </c>
      <c r="C1201" s="70">
        <v>15.04784012</v>
      </c>
      <c r="D1201" s="4">
        <v>0</v>
      </c>
      <c r="E1201" s="12">
        <f t="shared" si="234"/>
        <v>0</v>
      </c>
      <c r="F1201" s="12">
        <f t="shared" si="235"/>
        <v>0</v>
      </c>
      <c r="G1201" s="16">
        <f t="shared" si="237"/>
        <v>6.0119536438022822E-8</v>
      </c>
      <c r="H1201" s="14">
        <f t="shared" si="238"/>
        <v>0</v>
      </c>
      <c r="I1201" s="14">
        <f t="shared" si="239"/>
        <v>4.8902319412915487</v>
      </c>
      <c r="J1201" s="14">
        <f t="shared" si="240"/>
        <v>4.4188648542941523E-9</v>
      </c>
      <c r="K1201" s="14">
        <f t="shared" si="241"/>
        <v>7.4286796768215256E-3</v>
      </c>
      <c r="L1201" s="14">
        <f t="shared" si="242"/>
        <v>690.20284636085898</v>
      </c>
      <c r="M1201" s="14">
        <f t="shared" si="236"/>
        <v>0.14703326557722041</v>
      </c>
      <c r="N1201" s="14">
        <f t="shared" si="243"/>
        <v>3.7626221086948419</v>
      </c>
      <c r="O1201" s="4">
        <v>1.39</v>
      </c>
      <c r="P1201" s="14">
        <f t="shared" si="246"/>
        <v>5.6293356706675599</v>
      </c>
      <c r="Q1201" s="14">
        <f t="shared" si="244"/>
        <v>26.457124976078553</v>
      </c>
    </row>
    <row r="1202" spans="1:17" x14ac:dyDescent="0.25">
      <c r="A1202" s="5" t="s">
        <v>1259</v>
      </c>
      <c r="B1202" s="6">
        <f t="shared" si="245"/>
        <v>8</v>
      </c>
      <c r="C1202" s="70">
        <v>14.703679080000001</v>
      </c>
      <c r="D1202" s="4">
        <v>0</v>
      </c>
      <c r="E1202" s="12">
        <f t="shared" si="234"/>
        <v>0</v>
      </c>
      <c r="F1202" s="12">
        <f t="shared" si="235"/>
        <v>0</v>
      </c>
      <c r="G1202" s="16">
        <f t="shared" si="237"/>
        <v>5.6453591253577679E-8</v>
      </c>
      <c r="H1202" s="14">
        <f t="shared" si="238"/>
        <v>0</v>
      </c>
      <c r="I1202" s="14">
        <f t="shared" si="239"/>
        <v>4.3551917947840542</v>
      </c>
      <c r="J1202" s="14">
        <f t="shared" si="240"/>
        <v>3.6659451844451431E-9</v>
      </c>
      <c r="K1202" s="14">
        <f t="shared" si="241"/>
        <v>7.0613045412986327E-3</v>
      </c>
      <c r="L1202" s="14">
        <f t="shared" si="242"/>
        <v>690.0561804704173</v>
      </c>
      <c r="M1202" s="14">
        <f t="shared" si="236"/>
        <v>0.14700194355555821</v>
      </c>
      <c r="N1202" s="14">
        <f t="shared" si="243"/>
        <v>3.7618205694599438</v>
      </c>
      <c r="O1202" s="4">
        <v>1.37</v>
      </c>
      <c r="P1202" s="14">
        <f t="shared" si="246"/>
        <v>5.7208056364916891</v>
      </c>
      <c r="Q1202" s="14">
        <f t="shared" si="244"/>
        <v>26.663270935848661</v>
      </c>
    </row>
    <row r="1203" spans="1:17" x14ac:dyDescent="0.25">
      <c r="A1203" s="5" t="s">
        <v>1260</v>
      </c>
      <c r="B1203" s="6">
        <f t="shared" si="245"/>
        <v>8</v>
      </c>
      <c r="C1203" s="70">
        <v>15.128968240000001</v>
      </c>
      <c r="D1203" s="4">
        <v>0</v>
      </c>
      <c r="E1203" s="12">
        <f t="shared" si="234"/>
        <v>0</v>
      </c>
      <c r="F1203" s="12">
        <f t="shared" si="235"/>
        <v>0</v>
      </c>
      <c r="G1203" s="16">
        <f t="shared" si="237"/>
        <v>5.2488593589225659E-8</v>
      </c>
      <c r="H1203" s="14">
        <f t="shared" si="238"/>
        <v>0</v>
      </c>
      <c r="I1203" s="14">
        <f t="shared" si="239"/>
        <v>5.0163554595453235</v>
      </c>
      <c r="J1203" s="14">
        <f t="shared" si="240"/>
        <v>3.9649976643520216E-9</v>
      </c>
      <c r="K1203" s="14">
        <f t="shared" si="241"/>
        <v>6.7120974377911152E-3</v>
      </c>
      <c r="L1203" s="14">
        <f t="shared" si="242"/>
        <v>689.90952773396532</v>
      </c>
      <c r="M1203" s="14">
        <f t="shared" si="236"/>
        <v>0.14697062820632512</v>
      </c>
      <c r="N1203" s="14">
        <f t="shared" si="243"/>
        <v>3.7610192009743617</v>
      </c>
      <c r="O1203" s="4">
        <v>1.41</v>
      </c>
      <c r="P1203" s="14">
        <f t="shared" si="246"/>
        <v>5.5272912833501255</v>
      </c>
      <c r="Q1203" s="14">
        <f t="shared" si="244"/>
        <v>26.251779016308433</v>
      </c>
    </row>
    <row r="1204" spans="1:17" x14ac:dyDescent="0.25">
      <c r="A1204" s="5" t="s">
        <v>1261</v>
      </c>
      <c r="B1204" s="6">
        <f t="shared" si="245"/>
        <v>8</v>
      </c>
      <c r="C1204" s="70">
        <v>15.772888180000001</v>
      </c>
      <c r="D1204" s="4">
        <v>0</v>
      </c>
      <c r="E1204" s="12">
        <f t="shared" si="234"/>
        <v>0</v>
      </c>
      <c r="F1204" s="12">
        <f t="shared" si="235"/>
        <v>0</v>
      </c>
      <c r="G1204" s="16">
        <f t="shared" si="237"/>
        <v>4.8066403589828965E-8</v>
      </c>
      <c r="H1204" s="14">
        <f t="shared" si="238"/>
        <v>0</v>
      </c>
      <c r="I1204" s="14">
        <f t="shared" si="239"/>
        <v>6.0174072318107088</v>
      </c>
      <c r="J1204" s="14">
        <f t="shared" si="240"/>
        <v>4.4221899993966958E-9</v>
      </c>
      <c r="K1204" s="14">
        <f t="shared" si="241"/>
        <v>6.3801598912651587E-3</v>
      </c>
      <c r="L1204" s="14">
        <f t="shared" si="242"/>
        <v>689.76288904330556</v>
      </c>
      <c r="M1204" s="14">
        <f t="shared" si="236"/>
        <v>0.14693931952809974</v>
      </c>
      <c r="N1204" s="14">
        <f t="shared" si="243"/>
        <v>3.7602180032017194</v>
      </c>
      <c r="O1204" s="4">
        <v>1.39</v>
      </c>
      <c r="P1204" s="14">
        <f t="shared" si="246"/>
        <v>5.617933382701545</v>
      </c>
      <c r="Q1204" s="14">
        <f t="shared" si="244"/>
        <v>26.457124976078553</v>
      </c>
    </row>
    <row r="1205" spans="1:17" x14ac:dyDescent="0.25">
      <c r="A1205" s="5" t="s">
        <v>1262</v>
      </c>
      <c r="B1205" s="6">
        <f t="shared" si="245"/>
        <v>8</v>
      </c>
      <c r="C1205" s="70">
        <v>15.705828670000001</v>
      </c>
      <c r="D1205" s="4">
        <v>0</v>
      </c>
      <c r="E1205" s="12">
        <f t="shared" si="234"/>
        <v>0</v>
      </c>
      <c r="F1205" s="12">
        <f t="shared" si="235"/>
        <v>0</v>
      </c>
      <c r="G1205" s="16">
        <f t="shared" si="237"/>
        <v>4.4086945311305151E-8</v>
      </c>
      <c r="H1205" s="14">
        <f t="shared" si="238"/>
        <v>0</v>
      </c>
      <c r="I1205" s="14">
        <f t="shared" si="239"/>
        <v>5.9131550769034567</v>
      </c>
      <c r="J1205" s="14">
        <f t="shared" si="240"/>
        <v>3.9794582785238156E-9</v>
      </c>
      <c r="K1205" s="14">
        <f t="shared" si="241"/>
        <v>6.0646378595339235E-3</v>
      </c>
      <c r="L1205" s="14">
        <f t="shared" si="242"/>
        <v>689.61626524580913</v>
      </c>
      <c r="M1205" s="14">
        <f t="shared" si="236"/>
        <v>0.14690801751946092</v>
      </c>
      <c r="N1205" s="14">
        <f t="shared" si="243"/>
        <v>3.7594169761056495</v>
      </c>
      <c r="O1205" s="4">
        <v>1.36</v>
      </c>
      <c r="P1205" s="14">
        <f t="shared" si="246"/>
        <v>5.7572018252239774</v>
      </c>
      <c r="Q1205" s="14">
        <f t="shared" si="244"/>
        <v>26.766643915733717</v>
      </c>
    </row>
    <row r="1206" spans="1:17" x14ac:dyDescent="0.25">
      <c r="A1206" s="5" t="s">
        <v>1263</v>
      </c>
      <c r="B1206" s="6">
        <f t="shared" si="245"/>
        <v>8</v>
      </c>
      <c r="C1206" s="70">
        <v>17.175575259999999</v>
      </c>
      <c r="D1206" s="4">
        <v>0</v>
      </c>
      <c r="E1206" s="12">
        <f t="shared" si="234"/>
        <v>0</v>
      </c>
      <c r="F1206" s="12">
        <f t="shared" si="235"/>
        <v>0</v>
      </c>
      <c r="G1206" s="16">
        <f t="shared" si="237"/>
        <v>3.9026556595612499E-8</v>
      </c>
      <c r="H1206" s="14">
        <f t="shared" si="238"/>
        <v>0</v>
      </c>
      <c r="I1206" s="14">
        <f t="shared" si="239"/>
        <v>8.1980547007612046</v>
      </c>
      <c r="J1206" s="14">
        <f t="shared" si="240"/>
        <v>5.0603887156926536E-9</v>
      </c>
      <c r="K1206" s="14">
        <f t="shared" si="241"/>
        <v>5.7647195358922149E-3</v>
      </c>
      <c r="L1206" s="14">
        <f t="shared" si="242"/>
        <v>689.46965714661326</v>
      </c>
      <c r="M1206" s="14">
        <f t="shared" si="236"/>
        <v>0.1468767221789879</v>
      </c>
      <c r="N1206" s="14">
        <f t="shared" si="243"/>
        <v>3.758616119649794</v>
      </c>
      <c r="O1206" s="4">
        <v>1.4</v>
      </c>
      <c r="P1206" s="14">
        <f t="shared" si="246"/>
        <v>5.5630699998718516</v>
      </c>
      <c r="Q1206" s="14">
        <f t="shared" si="244"/>
        <v>26.354351996193497</v>
      </c>
    </row>
    <row r="1207" spans="1:17" x14ac:dyDescent="0.25">
      <c r="A1207" s="5" t="s">
        <v>1264</v>
      </c>
      <c r="B1207" s="6">
        <f t="shared" si="245"/>
        <v>8</v>
      </c>
      <c r="C1207" s="70">
        <v>16.618679050000001</v>
      </c>
      <c r="D1207" s="4">
        <v>0</v>
      </c>
      <c r="E1207" s="12">
        <f t="shared" si="234"/>
        <v>0</v>
      </c>
      <c r="F1207" s="12">
        <f t="shared" si="235"/>
        <v>0</v>
      </c>
      <c r="G1207" s="16">
        <f t="shared" si="237"/>
        <v>3.5020076054666497E-8</v>
      </c>
      <c r="H1207" s="14">
        <f t="shared" si="238"/>
        <v>0</v>
      </c>
      <c r="I1207" s="14">
        <f t="shared" si="239"/>
        <v>7.3322918887129029</v>
      </c>
      <c r="J1207" s="14">
        <f t="shared" si="240"/>
        <v>4.0064805409460034E-9</v>
      </c>
      <c r="K1207" s="14">
        <f t="shared" si="241"/>
        <v>5.4796332604188308E-3</v>
      </c>
      <c r="L1207" s="14">
        <f t="shared" si="242"/>
        <v>689.32306551070974</v>
      </c>
      <c r="M1207" s="14">
        <f t="shared" si="236"/>
        <v>0.14684543350526019</v>
      </c>
      <c r="N1207" s="14">
        <f t="shared" si="243"/>
        <v>3.7578154337978042</v>
      </c>
      <c r="O1207" s="4">
        <v>1.48</v>
      </c>
      <c r="P1207" s="14">
        <f t="shared" si="246"/>
        <v>5.1884431504474788</v>
      </c>
      <c r="Q1207" s="14">
        <f t="shared" si="244"/>
        <v>25.539368157113039</v>
      </c>
    </row>
    <row r="1208" spans="1:17" x14ac:dyDescent="0.25">
      <c r="A1208" s="5" t="s">
        <v>1265</v>
      </c>
      <c r="B1208" s="6">
        <f t="shared" si="245"/>
        <v>8</v>
      </c>
      <c r="C1208" s="70">
        <v>15.98263073</v>
      </c>
      <c r="D1208" s="4">
        <v>0</v>
      </c>
      <c r="E1208" s="12">
        <f t="shared" si="234"/>
        <v>0</v>
      </c>
      <c r="F1208" s="12">
        <f t="shared" si="235"/>
        <v>0</v>
      </c>
      <c r="G1208" s="16">
        <f t="shared" si="237"/>
        <v>3.1909738333269449E-8</v>
      </c>
      <c r="H1208" s="14">
        <f t="shared" si="238"/>
        <v>0</v>
      </c>
      <c r="I1208" s="14">
        <f t="shared" si="239"/>
        <v>6.3434775060080888</v>
      </c>
      <c r="J1208" s="14">
        <f t="shared" si="240"/>
        <v>3.1103377213970469E-9</v>
      </c>
      <c r="K1208" s="14">
        <f t="shared" si="241"/>
        <v>5.208645534572582E-3</v>
      </c>
      <c r="L1208" s="14">
        <f t="shared" si="242"/>
        <v>689.17649106493036</v>
      </c>
      <c r="M1208" s="14">
        <f t="shared" si="236"/>
        <v>0.14681415149685759</v>
      </c>
      <c r="N1208" s="14">
        <f t="shared" si="243"/>
        <v>3.7570149185133346</v>
      </c>
      <c r="O1208" s="4">
        <v>1.56</v>
      </c>
      <c r="P1208" s="14">
        <f t="shared" si="246"/>
        <v>4.8268745521701542</v>
      </c>
      <c r="Q1208" s="14">
        <f t="shared" si="244"/>
        <v>24.737184318032579</v>
      </c>
    </row>
    <row r="1209" spans="1:17" x14ac:dyDescent="0.25">
      <c r="A1209" s="5" t="s">
        <v>1266</v>
      </c>
      <c r="B1209" s="6">
        <f t="shared" si="245"/>
        <v>8</v>
      </c>
      <c r="C1209" s="70">
        <v>17.133897780000002</v>
      </c>
      <c r="D1209" s="4">
        <v>0</v>
      </c>
      <c r="E1209" s="12">
        <f t="shared" si="234"/>
        <v>0</v>
      </c>
      <c r="F1209" s="12">
        <f t="shared" si="235"/>
        <v>0</v>
      </c>
      <c r="G1209" s="16">
        <f t="shared" si="237"/>
        <v>2.82760216441414E-8</v>
      </c>
      <c r="H1209" s="14">
        <f t="shared" si="238"/>
        <v>0</v>
      </c>
      <c r="I1209" s="14">
        <f t="shared" si="239"/>
        <v>8.1332619949823606</v>
      </c>
      <c r="J1209" s="14">
        <f t="shared" si="240"/>
        <v>3.6337166891280483E-9</v>
      </c>
      <c r="K1209" s="14">
        <f t="shared" si="241"/>
        <v>4.9510591339737287E-3</v>
      </c>
      <c r="L1209" s="14">
        <f t="shared" si="242"/>
        <v>689.0299344998341</v>
      </c>
      <c r="M1209" s="14">
        <f t="shared" si="236"/>
        <v>0.14678287615236019</v>
      </c>
      <c r="N1209" s="14">
        <f t="shared" si="243"/>
        <v>3.7562145737600505</v>
      </c>
      <c r="O1209" s="4">
        <v>1.6</v>
      </c>
      <c r="P1209" s="14">
        <f t="shared" si="246"/>
        <v>4.6492612880952358</v>
      </c>
      <c r="Q1209" s="14">
        <f t="shared" si="244"/>
        <v>24.34089239849234</v>
      </c>
    </row>
    <row r="1210" spans="1:17" x14ac:dyDescent="0.25">
      <c r="A1210" s="5" t="s">
        <v>1267</v>
      </c>
      <c r="B1210" s="6">
        <f t="shared" si="245"/>
        <v>8</v>
      </c>
      <c r="C1210" s="70">
        <v>17.09599304</v>
      </c>
      <c r="D1210" s="4">
        <v>0</v>
      </c>
      <c r="E1210" s="12">
        <f t="shared" si="234"/>
        <v>0</v>
      </c>
      <c r="F1210" s="12">
        <f t="shared" si="235"/>
        <v>0</v>
      </c>
      <c r="G1210" s="16">
        <f t="shared" si="237"/>
        <v>2.5079423084655568E-8</v>
      </c>
      <c r="H1210" s="14">
        <f t="shared" si="238"/>
        <v>0</v>
      </c>
      <c r="I1210" s="14">
        <f t="shared" si="239"/>
        <v>8.0743344718585064</v>
      </c>
      <c r="J1210" s="14">
        <f t="shared" si="240"/>
        <v>3.1965985594858308E-9</v>
      </c>
      <c r="K1210" s="14">
        <f t="shared" si="241"/>
        <v>4.7062113145152247E-3</v>
      </c>
      <c r="L1210" s="14">
        <f t="shared" si="242"/>
        <v>688.8833964715011</v>
      </c>
      <c r="M1210" s="14">
        <f t="shared" si="236"/>
        <v>0.14675160747034841</v>
      </c>
      <c r="N1210" s="14">
        <f t="shared" si="243"/>
        <v>3.7554143995016238</v>
      </c>
      <c r="O1210" s="4">
        <v>1.55</v>
      </c>
      <c r="P1210" s="14">
        <f t="shared" si="246"/>
        <v>4.8638526735291086</v>
      </c>
      <c r="Q1210" s="14">
        <f t="shared" si="244"/>
        <v>24.836757297917632</v>
      </c>
    </row>
    <row r="1211" spans="1:17" x14ac:dyDescent="0.25">
      <c r="A1211" s="5" t="s">
        <v>1268</v>
      </c>
      <c r="B1211" s="6">
        <f t="shared" si="245"/>
        <v>9</v>
      </c>
      <c r="C1211" s="70">
        <v>15.395735739999999</v>
      </c>
      <c r="D1211" s="4">
        <v>0</v>
      </c>
      <c r="E1211" s="12">
        <f t="shared" si="234"/>
        <v>0</v>
      </c>
      <c r="F1211" s="12">
        <f t="shared" si="235"/>
        <v>0</v>
      </c>
      <c r="G1211" s="16">
        <f t="shared" si="237"/>
        <v>2.3762170910149391E-8</v>
      </c>
      <c r="H1211" s="14">
        <f t="shared" si="238"/>
        <v>0</v>
      </c>
      <c r="I1211" s="14">
        <f t="shared" si="239"/>
        <v>3.7513563773986718</v>
      </c>
      <c r="J1211" s="14">
        <f t="shared" si="240"/>
        <v>1.3172521745061751E-9</v>
      </c>
      <c r="K1211" s="14">
        <f t="shared" si="241"/>
        <v>4.4734721071882566E-3</v>
      </c>
      <c r="L1211" s="14">
        <f t="shared" si="242"/>
        <v>688.73687760323799</v>
      </c>
      <c r="M1211" s="14">
        <f t="shared" si="236"/>
        <v>0.14672034544940296</v>
      </c>
      <c r="N1211" s="14">
        <f t="shared" si="243"/>
        <v>3.7546143957017355</v>
      </c>
      <c r="O1211" s="4">
        <v>1.55</v>
      </c>
      <c r="P1211" s="14">
        <f t="shared" si="246"/>
        <v>4.8603246337353294</v>
      </c>
      <c r="Q1211" s="14">
        <f t="shared" si="244"/>
        <v>24.836757297917632</v>
      </c>
    </row>
    <row r="1212" spans="1:17" x14ac:dyDescent="0.25">
      <c r="A1212" s="5" t="s">
        <v>1269</v>
      </c>
      <c r="B1212" s="6">
        <f t="shared" si="245"/>
        <v>9</v>
      </c>
      <c r="C1212" s="70">
        <v>16.265043259999999</v>
      </c>
      <c r="D1212" s="4">
        <v>0</v>
      </c>
      <c r="E1212" s="12">
        <f t="shared" si="234"/>
        <v>0</v>
      </c>
      <c r="F1212" s="12">
        <f t="shared" si="235"/>
        <v>0</v>
      </c>
      <c r="G1212" s="16">
        <f t="shared" si="237"/>
        <v>2.2083386175232046E-8</v>
      </c>
      <c r="H1212" s="14">
        <f t="shared" si="238"/>
        <v>0</v>
      </c>
      <c r="I1212" s="14">
        <f t="shared" si="239"/>
        <v>5.0459836388378108</v>
      </c>
      <c r="J1212" s="14">
        <f t="shared" si="240"/>
        <v>1.6787847349173452E-9</v>
      </c>
      <c r="K1212" s="14">
        <f t="shared" si="241"/>
        <v>4.2522426972348391E-3</v>
      </c>
      <c r="L1212" s="14">
        <f t="shared" si="242"/>
        <v>688.59037848719845</v>
      </c>
      <c r="M1212" s="14">
        <f t="shared" si="236"/>
        <v>0.14668909008810485</v>
      </c>
      <c r="N1212" s="14">
        <f t="shared" si="243"/>
        <v>3.753814562324072</v>
      </c>
      <c r="O1212" s="4">
        <v>1.6</v>
      </c>
      <c r="P1212" s="14">
        <f t="shared" si="246"/>
        <v>4.6389171688792334</v>
      </c>
      <c r="Q1212" s="14">
        <f t="shared" si="244"/>
        <v>24.34089239849234</v>
      </c>
    </row>
    <row r="1213" spans="1:17" x14ac:dyDescent="0.25">
      <c r="A1213" s="5" t="s">
        <v>1270</v>
      </c>
      <c r="B1213" s="6">
        <f t="shared" si="245"/>
        <v>9</v>
      </c>
      <c r="C1213" s="70">
        <v>15.326743130000001</v>
      </c>
      <c r="D1213" s="4">
        <v>0</v>
      </c>
      <c r="E1213" s="12">
        <f t="shared" si="234"/>
        <v>0</v>
      </c>
      <c r="F1213" s="12">
        <f t="shared" si="235"/>
        <v>0</v>
      </c>
      <c r="G1213" s="16">
        <f t="shared" si="237"/>
        <v>2.0955264452318181E-8</v>
      </c>
      <c r="H1213" s="14">
        <f t="shared" si="238"/>
        <v>0</v>
      </c>
      <c r="I1213" s="14">
        <f t="shared" si="239"/>
        <v>3.6486082569822775</v>
      </c>
      <c r="J1213" s="14">
        <f t="shared" si="240"/>
        <v>1.1281217229138637E-9</v>
      </c>
      <c r="K1213" s="14">
        <f t="shared" si="241"/>
        <v>4.0419538834571963E-3</v>
      </c>
      <c r="L1213" s="14">
        <f t="shared" si="242"/>
        <v>688.44389968592407</v>
      </c>
      <c r="M1213" s="14">
        <f t="shared" si="236"/>
        <v>0.1466578413850354</v>
      </c>
      <c r="N1213" s="14">
        <f t="shared" si="243"/>
        <v>3.7530148993323293</v>
      </c>
      <c r="O1213" s="4">
        <v>1.55</v>
      </c>
      <c r="P1213" s="14">
        <f t="shared" si="246"/>
        <v>4.8532746466802319</v>
      </c>
      <c r="Q1213" s="14">
        <f t="shared" si="244"/>
        <v>24.836757297917632</v>
      </c>
    </row>
    <row r="1214" spans="1:17" x14ac:dyDescent="0.25">
      <c r="A1214" s="5" t="s">
        <v>1271</v>
      </c>
      <c r="B1214" s="6">
        <f t="shared" si="245"/>
        <v>9</v>
      </c>
      <c r="C1214" s="70">
        <v>16.83707047</v>
      </c>
      <c r="D1214" s="4">
        <v>0</v>
      </c>
      <c r="E1214" s="12">
        <f t="shared" si="234"/>
        <v>0</v>
      </c>
      <c r="F1214" s="12">
        <f t="shared" si="235"/>
        <v>0</v>
      </c>
      <c r="G1214" s="16">
        <f t="shared" si="237"/>
        <v>1.9224841309523975E-8</v>
      </c>
      <c r="H1214" s="14">
        <f t="shared" si="238"/>
        <v>0</v>
      </c>
      <c r="I1214" s="14">
        <f t="shared" si="239"/>
        <v>5.8978824241502554</v>
      </c>
      <c r="J1214" s="14">
        <f t="shared" si="240"/>
        <v>1.7304231427942048E-9</v>
      </c>
      <c r="K1214" s="14">
        <f t="shared" si="241"/>
        <v>3.842064613719871E-3</v>
      </c>
      <c r="L1214" s="14">
        <f t="shared" si="242"/>
        <v>688.29744173380868</v>
      </c>
      <c r="M1214" s="14">
        <f t="shared" si="236"/>
        <v>0.14662659933877625</v>
      </c>
      <c r="N1214" s="14">
        <f t="shared" si="243"/>
        <v>3.7522154066902118</v>
      </c>
      <c r="O1214" s="4">
        <v>1.5</v>
      </c>
      <c r="P1214" s="14">
        <f t="shared" si="246"/>
        <v>5.0724742381327559</v>
      </c>
      <c r="Q1214" s="14">
        <f t="shared" si="244"/>
        <v>25.337622197342917</v>
      </c>
    </row>
    <row r="1215" spans="1:17" x14ac:dyDescent="0.25">
      <c r="A1215" s="5" t="s">
        <v>1272</v>
      </c>
      <c r="B1215" s="6">
        <f t="shared" si="245"/>
        <v>9</v>
      </c>
      <c r="C1215" s="70">
        <v>17.399734500000001</v>
      </c>
      <c r="D1215" s="4">
        <v>0</v>
      </c>
      <c r="E1215" s="12">
        <f t="shared" si="234"/>
        <v>0</v>
      </c>
      <c r="F1215" s="12">
        <f t="shared" si="235"/>
        <v>0</v>
      </c>
      <c r="G1215" s="16">
        <f t="shared" si="237"/>
        <v>1.7411759546917507E-8</v>
      </c>
      <c r="H1215" s="14">
        <f t="shared" si="238"/>
        <v>0</v>
      </c>
      <c r="I1215" s="14">
        <f t="shared" si="239"/>
        <v>6.7358369747668316</v>
      </c>
      <c r="J1215" s="14">
        <f t="shared" si="240"/>
        <v>1.8130817626064673E-9</v>
      </c>
      <c r="K1215" s="14">
        <f t="shared" si="241"/>
        <v>3.6520605928765642E-3</v>
      </c>
      <c r="L1215" s="14">
        <f t="shared" si="242"/>
        <v>688.15100513849075</v>
      </c>
      <c r="M1215" s="14">
        <f t="shared" si="236"/>
        <v>0.14659536394790931</v>
      </c>
      <c r="N1215" s="14">
        <f t="shared" si="243"/>
        <v>3.7514160843614297</v>
      </c>
      <c r="O1215" s="4">
        <v>1.6</v>
      </c>
      <c r="P1215" s="14">
        <f t="shared" si="246"/>
        <v>4.6285911680490663</v>
      </c>
      <c r="Q1215" s="14">
        <f t="shared" si="244"/>
        <v>24.34089239849234</v>
      </c>
    </row>
    <row r="1216" spans="1:17" x14ac:dyDescent="0.25">
      <c r="A1216" s="5" t="s">
        <v>1273</v>
      </c>
      <c r="B1216" s="6">
        <f t="shared" si="245"/>
        <v>9</v>
      </c>
      <c r="C1216" s="70">
        <v>16.294046399999999</v>
      </c>
      <c r="D1216" s="4">
        <v>0</v>
      </c>
      <c r="E1216" s="12">
        <f t="shared" si="234"/>
        <v>0</v>
      </c>
      <c r="F1216" s="12">
        <f t="shared" si="235"/>
        <v>0</v>
      </c>
      <c r="G1216" s="16">
        <f t="shared" si="237"/>
        <v>1.6171098150092115E-8</v>
      </c>
      <c r="H1216" s="14">
        <f t="shared" si="238"/>
        <v>0</v>
      </c>
      <c r="I1216" s="14">
        <f t="shared" si="239"/>
        <v>5.0891769333250547</v>
      </c>
      <c r="J1216" s="14">
        <f t="shared" si="240"/>
        <v>1.240661396825391E-9</v>
      </c>
      <c r="K1216" s="14">
        <f t="shared" si="241"/>
        <v>3.4714529595400436E-3</v>
      </c>
      <c r="L1216" s="14">
        <f t="shared" si="242"/>
        <v>688.00459038217616</v>
      </c>
      <c r="M1216" s="14">
        <f t="shared" si="236"/>
        <v>0.14656413521101683</v>
      </c>
      <c r="N1216" s="14">
        <f t="shared" si="243"/>
        <v>3.7506169323097014</v>
      </c>
      <c r="O1216" s="4">
        <v>1.63</v>
      </c>
      <c r="P1216" s="14">
        <f t="shared" si="246"/>
        <v>4.4970161735986087</v>
      </c>
      <c r="Q1216" s="14">
        <f t="shared" si="244"/>
        <v>24.045773458837171</v>
      </c>
    </row>
    <row r="1217" spans="1:17" x14ac:dyDescent="0.25">
      <c r="A1217" s="5" t="s">
        <v>1274</v>
      </c>
      <c r="B1217" s="6">
        <f t="shared" si="245"/>
        <v>9</v>
      </c>
      <c r="C1217" s="70">
        <v>16.47977066</v>
      </c>
      <c r="D1217" s="4">
        <v>0</v>
      </c>
      <c r="E1217" s="12">
        <f t="shared" si="234"/>
        <v>0</v>
      </c>
      <c r="F1217" s="12">
        <f t="shared" si="235"/>
        <v>0</v>
      </c>
      <c r="G1217" s="16">
        <f t="shared" si="237"/>
        <v>1.4956214869702732E-8</v>
      </c>
      <c r="H1217" s="14">
        <f t="shared" si="238"/>
        <v>0</v>
      </c>
      <c r="I1217" s="14">
        <f t="shared" si="239"/>
        <v>5.3657691456029513</v>
      </c>
      <c r="J1217" s="14">
        <f t="shared" si="240"/>
        <v>1.214883280389382E-9</v>
      </c>
      <c r="K1217" s="14">
        <f t="shared" si="241"/>
        <v>3.2997770282905707E-3</v>
      </c>
      <c r="L1217" s="14">
        <f t="shared" si="242"/>
        <v>687.85819792289635</v>
      </c>
      <c r="M1217" s="14">
        <f t="shared" si="236"/>
        <v>0.14653291312668126</v>
      </c>
      <c r="N1217" s="14">
        <f t="shared" si="243"/>
        <v>3.7498179504987532</v>
      </c>
      <c r="O1217" s="4">
        <v>1.7</v>
      </c>
      <c r="P1217" s="14">
        <f t="shared" si="246"/>
        <v>4.2017536301869098</v>
      </c>
      <c r="Q1217" s="14">
        <f t="shared" si="244"/>
        <v>23.364162599641769</v>
      </c>
    </row>
    <row r="1218" spans="1:17" x14ac:dyDescent="0.25">
      <c r="A1218" s="5" t="s">
        <v>1275</v>
      </c>
      <c r="B1218" s="6">
        <f t="shared" si="245"/>
        <v>9</v>
      </c>
      <c r="C1218" s="70">
        <v>16.62962151</v>
      </c>
      <c r="D1218" s="4">
        <v>0</v>
      </c>
      <c r="E1218" s="12">
        <f t="shared" si="234"/>
        <v>0</v>
      </c>
      <c r="F1218" s="12">
        <f t="shared" si="235"/>
        <v>0</v>
      </c>
      <c r="G1218" s="16">
        <f t="shared" si="237"/>
        <v>1.3785869816660693E-8</v>
      </c>
      <c r="H1218" s="14">
        <f t="shared" si="238"/>
        <v>0</v>
      </c>
      <c r="I1218" s="14">
        <f t="shared" si="239"/>
        <v>5.5889364265668009</v>
      </c>
      <c r="J1218" s="14">
        <f t="shared" si="240"/>
        <v>1.1703450530420397E-9</v>
      </c>
      <c r="K1218" s="14">
        <f t="shared" si="241"/>
        <v>3.1365910940866801E-3</v>
      </c>
      <c r="L1218" s="14">
        <f t="shared" si="242"/>
        <v>687.7118281957039</v>
      </c>
      <c r="M1218" s="14">
        <f t="shared" si="236"/>
        <v>0.14650169769348551</v>
      </c>
      <c r="N1218" s="14">
        <f t="shared" si="243"/>
        <v>3.74901913889232</v>
      </c>
      <c r="O1218" s="4">
        <v>1.78</v>
      </c>
      <c r="P1218" s="14">
        <f t="shared" si="246"/>
        <v>3.8770363693242533</v>
      </c>
      <c r="Q1218" s="14">
        <f t="shared" si="244"/>
        <v>22.597178760561309</v>
      </c>
    </row>
    <row r="1219" spans="1:17" x14ac:dyDescent="0.25">
      <c r="A1219" s="5" t="s">
        <v>1276</v>
      </c>
      <c r="B1219" s="6">
        <f t="shared" si="245"/>
        <v>9</v>
      </c>
      <c r="C1219" s="70">
        <v>16.23346329</v>
      </c>
      <c r="D1219" s="4">
        <v>0</v>
      </c>
      <c r="E1219" s="12">
        <f t="shared" si="234"/>
        <v>0</v>
      </c>
      <c r="F1219" s="12">
        <f t="shared" si="235"/>
        <v>0</v>
      </c>
      <c r="G1219" s="16">
        <f t="shared" si="237"/>
        <v>1.2820983239864531E-8</v>
      </c>
      <c r="H1219" s="14">
        <f t="shared" si="238"/>
        <v>0</v>
      </c>
      <c r="I1219" s="14">
        <f t="shared" si="239"/>
        <v>4.998952767556001</v>
      </c>
      <c r="J1219" s="14">
        <f t="shared" si="240"/>
        <v>9.648865767961616E-10</v>
      </c>
      <c r="K1219" s="14">
        <f t="shared" si="241"/>
        <v>2.9814752958021826E-3</v>
      </c>
      <c r="L1219" s="14">
        <f t="shared" si="242"/>
        <v>687.56548161380863</v>
      </c>
      <c r="M1219" s="14">
        <f t="shared" si="236"/>
        <v>0.14647048891001263</v>
      </c>
      <c r="N1219" s="14">
        <f t="shared" si="243"/>
        <v>3.7482204974541431</v>
      </c>
      <c r="O1219" s="4">
        <v>1.89</v>
      </c>
      <c r="P1219" s="14">
        <f t="shared" si="246"/>
        <v>3.4529834171587233</v>
      </c>
      <c r="Q1219" s="14">
        <f t="shared" si="244"/>
        <v>21.563475981825682</v>
      </c>
    </row>
    <row r="1220" spans="1:17" x14ac:dyDescent="0.25">
      <c r="A1220" s="5" t="s">
        <v>1277</v>
      </c>
      <c r="B1220" s="6">
        <f t="shared" si="245"/>
        <v>9</v>
      </c>
      <c r="C1220" s="70">
        <v>16.163784029999999</v>
      </c>
      <c r="D1220" s="4">
        <v>0</v>
      </c>
      <c r="E1220" s="12">
        <f t="shared" si="234"/>
        <v>0</v>
      </c>
      <c r="F1220" s="12">
        <f t="shared" si="235"/>
        <v>0</v>
      </c>
      <c r="G1220" s="16">
        <f t="shared" si="237"/>
        <v>1.1942257722705537E-8</v>
      </c>
      <c r="H1220" s="14">
        <f t="shared" si="238"/>
        <v>0</v>
      </c>
      <c r="I1220" s="14">
        <f t="shared" si="239"/>
        <v>4.8951820449089594</v>
      </c>
      <c r="J1220" s="14">
        <f t="shared" si="240"/>
        <v>8.7872551715899486E-10</v>
      </c>
      <c r="K1220" s="14">
        <f t="shared" si="241"/>
        <v>2.8340305359653806E-3</v>
      </c>
      <c r="L1220" s="14">
        <f t="shared" si="242"/>
        <v>687.41915856965841</v>
      </c>
      <c r="M1220" s="14">
        <f t="shared" si="236"/>
        <v>0.14643928677484611</v>
      </c>
      <c r="N1220" s="14">
        <f t="shared" si="243"/>
        <v>3.747422026147972</v>
      </c>
      <c r="O1220" s="4">
        <v>1.89</v>
      </c>
      <c r="P1220" s="14">
        <f t="shared" si="246"/>
        <v>3.4500165832196381</v>
      </c>
      <c r="Q1220" s="14">
        <f t="shared" si="244"/>
        <v>21.563475981825682</v>
      </c>
    </row>
    <row r="1221" spans="1:17" x14ac:dyDescent="0.25">
      <c r="A1221" s="5" t="s">
        <v>1278</v>
      </c>
      <c r="B1221" s="6">
        <f t="shared" si="245"/>
        <v>9</v>
      </c>
      <c r="C1221" s="70">
        <v>15.30986118</v>
      </c>
      <c r="D1221" s="4">
        <v>0</v>
      </c>
      <c r="E1221" s="12">
        <f t="shared" si="234"/>
        <v>0</v>
      </c>
      <c r="F1221" s="12">
        <f t="shared" si="235"/>
        <v>0</v>
      </c>
      <c r="G1221" s="16">
        <f t="shared" si="237"/>
        <v>1.1336395658835243E-8</v>
      </c>
      <c r="H1221" s="14">
        <f t="shared" si="238"/>
        <v>0</v>
      </c>
      <c r="I1221" s="14">
        <f t="shared" si="239"/>
        <v>3.6234665986008427</v>
      </c>
      <c r="J1221" s="14">
        <f t="shared" si="240"/>
        <v>6.0586206387029422E-10</v>
      </c>
      <c r="K1221" s="14">
        <f t="shared" si="241"/>
        <v>2.6938774539210929E-3</v>
      </c>
      <c r="L1221" s="14">
        <f t="shared" si="242"/>
        <v>687.27285943596553</v>
      </c>
      <c r="M1221" s="14">
        <f t="shared" si="236"/>
        <v>0.14640809128656965</v>
      </c>
      <c r="N1221" s="14">
        <f t="shared" si="243"/>
        <v>3.7466237249375633</v>
      </c>
      <c r="O1221" s="4">
        <v>1.81</v>
      </c>
      <c r="P1221" s="14">
        <f t="shared" si="246"/>
        <v>3.7505114519910427</v>
      </c>
      <c r="Q1221" s="14">
        <f t="shared" si="244"/>
        <v>22.312859820906144</v>
      </c>
    </row>
    <row r="1222" spans="1:17" x14ac:dyDescent="0.25">
      <c r="A1222" s="5" t="s">
        <v>1279</v>
      </c>
      <c r="B1222" s="6">
        <f t="shared" si="245"/>
        <v>9</v>
      </c>
      <c r="C1222" s="70">
        <v>15.398087500000001</v>
      </c>
      <c r="D1222" s="4">
        <v>0</v>
      </c>
      <c r="E1222" s="12">
        <f t="shared" si="234"/>
        <v>0</v>
      </c>
      <c r="F1222" s="12">
        <f t="shared" si="235"/>
        <v>0</v>
      </c>
      <c r="G1222" s="16">
        <f t="shared" si="237"/>
        <v>1.0740415694855781E-8</v>
      </c>
      <c r="H1222" s="14">
        <f t="shared" si="238"/>
        <v>0</v>
      </c>
      <c r="I1222" s="14">
        <f t="shared" si="239"/>
        <v>3.7548587658381094</v>
      </c>
      <c r="J1222" s="14">
        <f t="shared" si="240"/>
        <v>5.9597996397946229E-10</v>
      </c>
      <c r="K1222" s="14">
        <f t="shared" si="241"/>
        <v>2.5606554497735446E-3</v>
      </c>
      <c r="L1222" s="14">
        <f t="shared" si="242"/>
        <v>687.12658456668316</v>
      </c>
      <c r="M1222" s="14">
        <f t="shared" si="236"/>
        <v>0.14637690244376733</v>
      </c>
      <c r="N1222" s="14">
        <f t="shared" si="243"/>
        <v>3.7458255937866847</v>
      </c>
      <c r="O1222" s="4">
        <v>1.75</v>
      </c>
      <c r="P1222" s="14">
        <f t="shared" si="246"/>
        <v>3.9833198008139723</v>
      </c>
      <c r="Q1222" s="14">
        <f t="shared" si="244"/>
        <v>22.883297700216485</v>
      </c>
    </row>
    <row r="1223" spans="1:17" x14ac:dyDescent="0.25">
      <c r="A1223" s="5" t="s">
        <v>1280</v>
      </c>
      <c r="B1223" s="6">
        <f t="shared" si="245"/>
        <v>9</v>
      </c>
      <c r="C1223" s="70">
        <v>16.964170459999998</v>
      </c>
      <c r="D1223" s="4">
        <v>0</v>
      </c>
      <c r="E1223" s="12">
        <f t="shared" si="234"/>
        <v>0</v>
      </c>
      <c r="F1223" s="12">
        <f t="shared" si="235"/>
        <v>0</v>
      </c>
      <c r="G1223" s="16">
        <f t="shared" si="237"/>
        <v>9.8250399188684743E-9</v>
      </c>
      <c r="H1223" s="14">
        <f t="shared" si="238"/>
        <v>0</v>
      </c>
      <c r="I1223" s="14">
        <f t="shared" si="239"/>
        <v>6.0871676979997655</v>
      </c>
      <c r="J1223" s="14">
        <f t="shared" si="240"/>
        <v>9.1537577598730602E-10</v>
      </c>
      <c r="K1223" s="14">
        <f t="shared" si="241"/>
        <v>2.434021756598812E-3</v>
      </c>
      <c r="L1223" s="14">
        <f t="shared" si="242"/>
        <v>686.98033429793259</v>
      </c>
      <c r="M1223" s="14">
        <f t="shared" si="236"/>
        <v>0.14634572024502346</v>
      </c>
      <c r="N1223" s="14">
        <f t="shared" si="243"/>
        <v>3.7450276326591072</v>
      </c>
      <c r="O1223" s="4">
        <v>1.78</v>
      </c>
      <c r="P1223" s="14">
        <f t="shared" si="246"/>
        <v>3.8613335971138549</v>
      </c>
      <c r="Q1223" s="14">
        <f t="shared" si="244"/>
        <v>22.597178760561309</v>
      </c>
    </row>
    <row r="1224" spans="1:17" x14ac:dyDescent="0.25">
      <c r="A1224" s="5" t="s">
        <v>1281</v>
      </c>
      <c r="B1224" s="6">
        <f t="shared" si="245"/>
        <v>9</v>
      </c>
      <c r="C1224" s="70">
        <v>17.43523407</v>
      </c>
      <c r="D1224" s="4">
        <v>0</v>
      </c>
      <c r="E1224" s="12">
        <f t="shared" si="234"/>
        <v>0</v>
      </c>
      <c r="F1224" s="12">
        <f t="shared" si="235"/>
        <v>0</v>
      </c>
      <c r="G1224" s="16">
        <f t="shared" si="237"/>
        <v>8.891174423876983E-9</v>
      </c>
      <c r="H1224" s="14">
        <f t="shared" si="238"/>
        <v>0</v>
      </c>
      <c r="I1224" s="14">
        <f t="shared" si="239"/>
        <v>6.7887051601143655</v>
      </c>
      <c r="J1224" s="14">
        <f t="shared" si="240"/>
        <v>9.338654949914911E-10</v>
      </c>
      <c r="K1224" s="14">
        <f t="shared" si="241"/>
        <v>2.3136505585397305E-3</v>
      </c>
      <c r="L1224" s="14">
        <f t="shared" si="242"/>
        <v>686.83410894888561</v>
      </c>
      <c r="M1224" s="14">
        <f t="shared" si="236"/>
        <v>0.14631454468892263</v>
      </c>
      <c r="N1224" s="14">
        <f t="shared" si="243"/>
        <v>3.7442298415186102</v>
      </c>
      <c r="O1224" s="4">
        <v>1.79</v>
      </c>
      <c r="P1224" s="14">
        <f t="shared" si="246"/>
        <v>3.819014273481852</v>
      </c>
      <c r="Q1224" s="14">
        <f t="shared" si="244"/>
        <v>22.502205780676253</v>
      </c>
    </row>
    <row r="1225" spans="1:17" x14ac:dyDescent="0.25">
      <c r="A1225" s="5" t="s">
        <v>1282</v>
      </c>
      <c r="B1225" s="6">
        <f t="shared" si="245"/>
        <v>9</v>
      </c>
      <c r="C1225" s="70">
        <v>18.138858800000001</v>
      </c>
      <c r="D1225" s="4">
        <v>0.6</v>
      </c>
      <c r="E1225" s="12">
        <f t="shared" si="234"/>
        <v>0</v>
      </c>
      <c r="F1225" s="12">
        <f t="shared" si="235"/>
        <v>0.6</v>
      </c>
      <c r="G1225" s="16">
        <f t="shared" si="237"/>
        <v>0.59999877414000824</v>
      </c>
      <c r="H1225" s="14">
        <f t="shared" si="238"/>
        <v>1.2337756170558158E-6</v>
      </c>
      <c r="I1225" s="14">
        <f t="shared" si="239"/>
        <v>7.836587222932315</v>
      </c>
      <c r="J1225" s="14">
        <f t="shared" si="240"/>
        <v>9.7554916201346017E-10</v>
      </c>
      <c r="K1225" s="14">
        <f t="shared" si="241"/>
        <v>2.2004659281312589E-3</v>
      </c>
      <c r="L1225" s="14">
        <f t="shared" si="242"/>
        <v>686.68790882260271</v>
      </c>
      <c r="M1225" s="14">
        <f t="shared" si="236"/>
        <v>0.14628337603687711</v>
      </c>
      <c r="N1225" s="14">
        <f t="shared" si="243"/>
        <v>3.7434322270548059</v>
      </c>
      <c r="O1225" s="4">
        <v>1.79</v>
      </c>
      <c r="P1225" s="14">
        <f t="shared" si="246"/>
        <v>3.815897465696299</v>
      </c>
      <c r="Q1225" s="14">
        <f t="shared" si="244"/>
        <v>22.502205780676253</v>
      </c>
    </row>
    <row r="1226" spans="1:17" x14ac:dyDescent="0.25">
      <c r="A1226" s="5" t="s">
        <v>1283</v>
      </c>
      <c r="B1226" s="6">
        <f t="shared" si="245"/>
        <v>9</v>
      </c>
      <c r="C1226" s="70">
        <v>16.235305790000002</v>
      </c>
      <c r="D1226" s="4">
        <v>0.4</v>
      </c>
      <c r="E1226" s="12">
        <f t="shared" si="234"/>
        <v>0</v>
      </c>
      <c r="F1226" s="12">
        <f t="shared" si="235"/>
        <v>0.4</v>
      </c>
      <c r="G1226" s="16">
        <f t="shared" si="237"/>
        <v>0.94572029808487568</v>
      </c>
      <c r="H1226" s="14">
        <f t="shared" si="238"/>
        <v>1.2260921062274947E-2</v>
      </c>
      <c r="I1226" s="14">
        <f t="shared" si="239"/>
        <v>5.0016967340745513</v>
      </c>
      <c r="J1226" s="14">
        <f t="shared" si="240"/>
        <v>4.2017554992857621E-2</v>
      </c>
      <c r="K1226" s="14">
        <f t="shared" si="241"/>
        <v>1.4352565974595947E-2</v>
      </c>
      <c r="L1226" s="14">
        <f t="shared" si="242"/>
        <v>686.54173426758166</v>
      </c>
      <c r="M1226" s="14">
        <f t="shared" si="236"/>
        <v>0.14625482566617387</v>
      </c>
      <c r="N1226" s="14">
        <f t="shared" si="243"/>
        <v>3.7427016151378516</v>
      </c>
      <c r="O1226" s="4">
        <v>1.87</v>
      </c>
      <c r="P1226" s="14">
        <f t="shared" si="246"/>
        <v>3.5070113393399178</v>
      </c>
      <c r="Q1226" s="14">
        <f t="shared" si="244"/>
        <v>21.749621941595795</v>
      </c>
    </row>
    <row r="1227" spans="1:17" x14ac:dyDescent="0.25">
      <c r="A1227" s="5" t="s">
        <v>1284</v>
      </c>
      <c r="B1227" s="6">
        <f t="shared" si="245"/>
        <v>9</v>
      </c>
      <c r="C1227" s="70">
        <v>16.21374702</v>
      </c>
      <c r="D1227" s="4">
        <v>0.2</v>
      </c>
      <c r="E1227" s="12">
        <f t="shared" si="234"/>
        <v>0</v>
      </c>
      <c r="F1227" s="12">
        <f t="shared" si="235"/>
        <v>0.2</v>
      </c>
      <c r="G1227" s="16">
        <f t="shared" si="237"/>
        <v>1.0721039628573485</v>
      </c>
      <c r="H1227" s="14">
        <f t="shared" si="238"/>
        <v>7.8132381834522292E-3</v>
      </c>
      <c r="I1227" s="14">
        <f t="shared" si="239"/>
        <v>4.9695900621282432</v>
      </c>
      <c r="J1227" s="14">
        <f t="shared" si="240"/>
        <v>6.5803097044075137E-2</v>
      </c>
      <c r="K1227" s="14">
        <f t="shared" si="241"/>
        <v>2.1456017749237173E-2</v>
      </c>
      <c r="L1227" s="14">
        <f t="shared" si="242"/>
        <v>686.39618922832437</v>
      </c>
      <c r="M1227" s="14">
        <f t="shared" si="236"/>
        <v>0.14622533390194584</v>
      </c>
      <c r="N1227" s="14">
        <f t="shared" si="243"/>
        <v>3.7419469126990998</v>
      </c>
      <c r="O1227" s="4">
        <v>1.96</v>
      </c>
      <c r="P1227" s="14">
        <f t="shared" si="246"/>
        <v>3.1753347996778536</v>
      </c>
      <c r="Q1227" s="14">
        <f t="shared" si="244"/>
        <v>20.918265122630277</v>
      </c>
    </row>
    <row r="1228" spans="1:17" x14ac:dyDescent="0.25">
      <c r="A1228" s="5" t="s">
        <v>1285</v>
      </c>
      <c r="B1228" s="6">
        <f t="shared" si="245"/>
        <v>9</v>
      </c>
      <c r="C1228" s="70">
        <v>16.878812790000001</v>
      </c>
      <c r="D1228" s="4">
        <v>0</v>
      </c>
      <c r="E1228" s="12">
        <f t="shared" si="234"/>
        <v>0</v>
      </c>
      <c r="F1228" s="12">
        <f t="shared" si="235"/>
        <v>0</v>
      </c>
      <c r="G1228" s="16">
        <f t="shared" si="237"/>
        <v>0.98263967784576833</v>
      </c>
      <c r="H1228" s="14">
        <f t="shared" si="238"/>
        <v>0</v>
      </c>
      <c r="I1228" s="14">
        <f t="shared" si="239"/>
        <v>5.9600477041972022</v>
      </c>
      <c r="J1228" s="14">
        <f t="shared" si="240"/>
        <v>8.9464285011580255E-2</v>
      </c>
      <c r="K1228" s="14">
        <f t="shared" si="241"/>
        <v>2.0394939903465768E-2</v>
      </c>
      <c r="L1228" s="14">
        <f t="shared" si="242"/>
        <v>686.25102497226828</v>
      </c>
      <c r="M1228" s="14">
        <f t="shared" si="236"/>
        <v>0.14619418399135889</v>
      </c>
      <c r="N1228" s="14">
        <f t="shared" si="243"/>
        <v>3.7411497778344271</v>
      </c>
      <c r="O1228" s="4">
        <v>2.02</v>
      </c>
      <c r="P1228" s="14">
        <f t="shared" si="246"/>
        <v>2.9623565577394979</v>
      </c>
      <c r="Q1228" s="14">
        <f t="shared" si="244"/>
        <v>20.373027243319932</v>
      </c>
    </row>
    <row r="1229" spans="1:17" x14ac:dyDescent="0.25">
      <c r="A1229" s="5" t="s">
        <v>1286</v>
      </c>
      <c r="B1229" s="6">
        <f t="shared" si="245"/>
        <v>9</v>
      </c>
      <c r="C1229" s="70">
        <v>16.36110687</v>
      </c>
      <c r="D1229" s="4">
        <v>0.6</v>
      </c>
      <c r="E1229" s="12">
        <f t="shared" si="234"/>
        <v>0</v>
      </c>
      <c r="F1229" s="12">
        <f t="shared" si="235"/>
        <v>0.6</v>
      </c>
      <c r="G1229" s="16">
        <f t="shared" si="237"/>
        <v>1.4873253027607696</v>
      </c>
      <c r="H1229" s="14">
        <f t="shared" si="238"/>
        <v>2.3923121418367586E-2</v>
      </c>
      <c r="I1229" s="14">
        <f t="shared" si="239"/>
        <v>5.1890475897147788</v>
      </c>
      <c r="J1229" s="14">
        <f t="shared" si="240"/>
        <v>7.1391253666631141E-2</v>
      </c>
      <c r="K1229" s="14">
        <f t="shared" si="241"/>
        <v>4.3309457621448361E-2</v>
      </c>
      <c r="L1229" s="14">
        <f t="shared" si="242"/>
        <v>686.10583939197738</v>
      </c>
      <c r="M1229" s="14">
        <f t="shared" si="236"/>
        <v>0.14616813698182307</v>
      </c>
      <c r="N1229" s="14">
        <f t="shared" si="243"/>
        <v>3.7404832276251248</v>
      </c>
      <c r="O1229" s="4">
        <v>1.98</v>
      </c>
      <c r="P1229" s="14">
        <f t="shared" si="246"/>
        <v>3.0993011947493767</v>
      </c>
      <c r="Q1229" s="14">
        <f t="shared" si="244"/>
        <v>20.735719162860168</v>
      </c>
    </row>
    <row r="1230" spans="1:17" x14ac:dyDescent="0.25">
      <c r="A1230" s="5" t="s">
        <v>1287</v>
      </c>
      <c r="B1230" s="6">
        <f t="shared" si="245"/>
        <v>9</v>
      </c>
      <c r="C1230" s="70">
        <v>16.141061780000001</v>
      </c>
      <c r="D1230" s="4">
        <v>0</v>
      </c>
      <c r="E1230" s="12">
        <f t="shared" si="234"/>
        <v>0</v>
      </c>
      <c r="F1230" s="12">
        <f t="shared" si="235"/>
        <v>0</v>
      </c>
      <c r="G1230" s="16">
        <f t="shared" si="237"/>
        <v>1.3860915684332726</v>
      </c>
      <c r="H1230" s="14">
        <f t="shared" si="238"/>
        <v>0</v>
      </c>
      <c r="I1230" s="14">
        <f t="shared" si="239"/>
        <v>4.8613426456003781</v>
      </c>
      <c r="J1230" s="14">
        <f t="shared" si="240"/>
        <v>0.1012337343274969</v>
      </c>
      <c r="K1230" s="14">
        <f t="shared" si="241"/>
        <v>4.1167647965454385E-2</v>
      </c>
      <c r="L1230" s="14">
        <f t="shared" si="242"/>
        <v>685.96181306465155</v>
      </c>
      <c r="M1230" s="14">
        <f t="shared" si="236"/>
        <v>0.14613699925571125</v>
      </c>
      <c r="N1230" s="14">
        <f t="shared" si="243"/>
        <v>3.7396864045645555</v>
      </c>
      <c r="O1230" s="4">
        <v>1.96</v>
      </c>
      <c r="P1230" s="14">
        <f t="shared" si="246"/>
        <v>3.1672836985919148</v>
      </c>
      <c r="Q1230" s="14">
        <f t="shared" si="244"/>
        <v>20.918265122630277</v>
      </c>
    </row>
    <row r="1231" spans="1:17" x14ac:dyDescent="0.25">
      <c r="A1231" s="5" t="s">
        <v>1288</v>
      </c>
      <c r="B1231" s="6">
        <f t="shared" si="245"/>
        <v>9</v>
      </c>
      <c r="C1231" s="70">
        <v>15.24895573</v>
      </c>
      <c r="D1231" s="4">
        <v>0</v>
      </c>
      <c r="E1231" s="12">
        <f t="shared" si="234"/>
        <v>0</v>
      </c>
      <c r="F1231" s="12">
        <f t="shared" si="235"/>
        <v>0</v>
      </c>
      <c r="G1231" s="16">
        <f t="shared" si="237"/>
        <v>1.3175317896708343</v>
      </c>
      <c r="H1231" s="14">
        <f t="shared" si="238"/>
        <v>0</v>
      </c>
      <c r="I1231" s="14">
        <f t="shared" si="239"/>
        <v>3.5327623838941551</v>
      </c>
      <c r="J1231" s="14">
        <f t="shared" si="240"/>
        <v>6.8559778762438406E-2</v>
      </c>
      <c r="K1231" s="14">
        <f t="shared" si="241"/>
        <v>3.913175856001181E-2</v>
      </c>
      <c r="L1231" s="14">
        <f t="shared" si="242"/>
        <v>685.81771195480121</v>
      </c>
      <c r="M1231" s="14">
        <f t="shared" si="236"/>
        <v>0.14610586816276863</v>
      </c>
      <c r="N1231" s="14">
        <f t="shared" si="243"/>
        <v>3.7388897512486281</v>
      </c>
      <c r="O1231" s="4">
        <v>1.98</v>
      </c>
      <c r="P1231" s="14">
        <f t="shared" si="246"/>
        <v>3.0936931570474608</v>
      </c>
      <c r="Q1231" s="14">
        <f t="shared" si="244"/>
        <v>20.735719162860168</v>
      </c>
    </row>
    <row r="1232" spans="1:17" x14ac:dyDescent="0.25">
      <c r="A1232" s="5" t="s">
        <v>1289</v>
      </c>
      <c r="B1232" s="6">
        <f t="shared" si="245"/>
        <v>9</v>
      </c>
      <c r="C1232" s="70">
        <v>16.483892440000002</v>
      </c>
      <c r="D1232" s="4">
        <v>0</v>
      </c>
      <c r="E1232" s="12">
        <f t="shared" si="234"/>
        <v>0</v>
      </c>
      <c r="F1232" s="12">
        <f t="shared" si="235"/>
        <v>0</v>
      </c>
      <c r="G1232" s="16">
        <f t="shared" si="237"/>
        <v>1.2184365729840678</v>
      </c>
      <c r="H1232" s="14">
        <f t="shared" si="238"/>
        <v>0</v>
      </c>
      <c r="I1232" s="14">
        <f t="shared" si="239"/>
        <v>5.3719075588006842</v>
      </c>
      <c r="J1232" s="14">
        <f t="shared" si="240"/>
        <v>9.9095216686766505E-2</v>
      </c>
      <c r="K1232" s="14">
        <f t="shared" si="241"/>
        <v>3.7196551264819286E-2</v>
      </c>
      <c r="L1232" s="14">
        <f t="shared" si="242"/>
        <v>685.67354129393368</v>
      </c>
      <c r="M1232" s="14">
        <f t="shared" si="236"/>
        <v>0.14607474370158224</v>
      </c>
      <c r="N1232" s="14">
        <f t="shared" si="243"/>
        <v>3.7380932676411849</v>
      </c>
      <c r="O1232" s="4">
        <v>1.91</v>
      </c>
      <c r="P1232" s="14">
        <f t="shared" si="246"/>
        <v>3.3419249951950252</v>
      </c>
      <c r="Q1232" s="14">
        <f t="shared" si="244"/>
        <v>21.378130022055565</v>
      </c>
    </row>
    <row r="1233" spans="1:17" x14ac:dyDescent="0.25">
      <c r="A1233" s="5" t="s">
        <v>1290</v>
      </c>
      <c r="B1233" s="6">
        <f t="shared" si="245"/>
        <v>9</v>
      </c>
      <c r="C1233" s="70">
        <v>17.3046875</v>
      </c>
      <c r="D1233" s="4">
        <v>0</v>
      </c>
      <c r="E1233" s="12">
        <f t="shared" si="234"/>
        <v>0</v>
      </c>
      <c r="F1233" s="12">
        <f t="shared" si="235"/>
        <v>0</v>
      </c>
      <c r="G1233" s="16">
        <f t="shared" si="237"/>
        <v>1.1059414147078035</v>
      </c>
      <c r="H1233" s="14">
        <f t="shared" si="238"/>
        <v>0</v>
      </c>
      <c r="I1233" s="14">
        <f t="shared" si="239"/>
        <v>6.5942870232398887</v>
      </c>
      <c r="J1233" s="14">
        <f t="shared" si="240"/>
        <v>0.11249515827626436</v>
      </c>
      <c r="K1233" s="14">
        <f t="shared" si="241"/>
        <v>3.5357046984599197E-2</v>
      </c>
      <c r="L1233" s="14">
        <f t="shared" si="242"/>
        <v>685.5293060545124</v>
      </c>
      <c r="M1233" s="14">
        <f t="shared" si="236"/>
        <v>0.14604362587073927</v>
      </c>
      <c r="N1233" s="14">
        <f t="shared" si="243"/>
        <v>3.7372969537060707</v>
      </c>
      <c r="O1233" s="4">
        <v>1.8</v>
      </c>
      <c r="P1233" s="14">
        <f t="shared" si="246"/>
        <v>3.7531194868388216</v>
      </c>
      <c r="Q1233" s="14">
        <f t="shared" si="244"/>
        <v>22.407432800791199</v>
      </c>
    </row>
    <row r="1234" spans="1:17" x14ac:dyDescent="0.25">
      <c r="A1234" s="5" t="s">
        <v>1291</v>
      </c>
      <c r="B1234" s="6">
        <f t="shared" si="245"/>
        <v>9</v>
      </c>
      <c r="C1234" s="70">
        <v>16.11709785</v>
      </c>
      <c r="D1234" s="4">
        <v>0</v>
      </c>
      <c r="E1234" s="12">
        <f t="shared" si="234"/>
        <v>0</v>
      </c>
      <c r="F1234" s="12">
        <f t="shared" si="235"/>
        <v>0</v>
      </c>
      <c r="G1234" s="16">
        <f t="shared" si="237"/>
        <v>1.0312189196683805</v>
      </c>
      <c r="H1234" s="14">
        <f t="shared" si="238"/>
        <v>0</v>
      </c>
      <c r="I1234" s="14">
        <f t="shared" si="239"/>
        <v>4.825654058586637</v>
      </c>
      <c r="J1234" s="14">
        <f t="shared" si="240"/>
        <v>7.4722495039422951E-2</v>
      </c>
      <c r="K1234" s="14">
        <f t="shared" si="241"/>
        <v>3.3608512858382296E-2</v>
      </c>
      <c r="L1234" s="14">
        <f t="shared" si="242"/>
        <v>685.38501096276786</v>
      </c>
      <c r="M1234" s="14">
        <f t="shared" si="236"/>
        <v>0.14601251466882728</v>
      </c>
      <c r="N1234" s="14">
        <f t="shared" si="243"/>
        <v>3.7365008094071426</v>
      </c>
      <c r="O1234" s="4">
        <v>1.78</v>
      </c>
      <c r="P1234" s="14">
        <f t="shared" si="246"/>
        <v>3.827895417210804</v>
      </c>
      <c r="Q1234" s="14">
        <f t="shared" si="244"/>
        <v>22.597178760561309</v>
      </c>
    </row>
    <row r="1235" spans="1:17" x14ac:dyDescent="0.25">
      <c r="A1235" s="5" t="s">
        <v>1292</v>
      </c>
      <c r="B1235" s="6">
        <f t="shared" si="245"/>
        <v>9</v>
      </c>
      <c r="C1235" s="70">
        <v>17.23873901</v>
      </c>
      <c r="D1235" s="4">
        <v>0</v>
      </c>
      <c r="E1235" s="12">
        <f t="shared" si="234"/>
        <v>0</v>
      </c>
      <c r="F1235" s="12">
        <f t="shared" si="235"/>
        <v>0</v>
      </c>
      <c r="G1235" s="16">
        <f t="shared" si="237"/>
        <v>0.93742713773218966</v>
      </c>
      <c r="H1235" s="14">
        <f t="shared" si="238"/>
        <v>0</v>
      </c>
      <c r="I1235" s="14">
        <f t="shared" si="239"/>
        <v>6.4960723971835677</v>
      </c>
      <c r="J1235" s="14">
        <f t="shared" si="240"/>
        <v>9.3791781936190852E-2</v>
      </c>
      <c r="K1235" s="14">
        <f t="shared" si="241"/>
        <v>3.1946450082328673E-2</v>
      </c>
      <c r="L1235" s="14">
        <f t="shared" si="242"/>
        <v>685.24066051087505</v>
      </c>
      <c r="M1235" s="14">
        <f t="shared" si="236"/>
        <v>0.14598141009443413</v>
      </c>
      <c r="N1235" s="14">
        <f t="shared" si="243"/>
        <v>3.7357048347082626</v>
      </c>
      <c r="O1235" s="4">
        <v>1.69</v>
      </c>
      <c r="P1235" s="14">
        <f t="shared" si="246"/>
        <v>4.1849082707487604</v>
      </c>
      <c r="Q1235" s="14">
        <f t="shared" si="244"/>
        <v>23.460935579526822</v>
      </c>
    </row>
    <row r="1236" spans="1:17" x14ac:dyDescent="0.25">
      <c r="A1236" s="5" t="s">
        <v>1293</v>
      </c>
      <c r="B1236" s="6">
        <f t="shared" si="245"/>
        <v>9</v>
      </c>
      <c r="C1236" s="70">
        <v>16.614728929999998</v>
      </c>
      <c r="D1236" s="4">
        <v>2.9</v>
      </c>
      <c r="E1236" s="12">
        <f t="shared" si="234"/>
        <v>0</v>
      </c>
      <c r="F1236" s="12">
        <f t="shared" si="235"/>
        <v>2.9</v>
      </c>
      <c r="G1236" s="16">
        <f t="shared" si="237"/>
        <v>3.6516019426843997</v>
      </c>
      <c r="H1236" s="14">
        <f t="shared" si="238"/>
        <v>0.11276129001997982</v>
      </c>
      <c r="I1236" s="14">
        <f t="shared" si="239"/>
        <v>5.5667574627161649</v>
      </c>
      <c r="J1236" s="14">
        <f t="shared" si="240"/>
        <v>7.3063905027810044E-2</v>
      </c>
      <c r="K1236" s="14">
        <f t="shared" si="241"/>
        <v>0.1431278723547342</v>
      </c>
      <c r="L1236" s="14">
        <f t="shared" si="242"/>
        <v>685.0962589685281</v>
      </c>
      <c r="M1236" s="14">
        <f t="shared" si="236"/>
        <v>0.14597433331955256</v>
      </c>
      <c r="N1236" s="14">
        <f t="shared" si="243"/>
        <v>3.7355237380732715</v>
      </c>
      <c r="O1236" s="4">
        <v>1.65</v>
      </c>
      <c r="P1236" s="14">
        <f t="shared" si="246"/>
        <v>4.3494092620671116</v>
      </c>
      <c r="Q1236" s="14">
        <f t="shared" si="244"/>
        <v>23.850027499067064</v>
      </c>
    </row>
    <row r="1237" spans="1:17" x14ac:dyDescent="0.25">
      <c r="A1237" s="5" t="s">
        <v>1294</v>
      </c>
      <c r="B1237" s="6">
        <f t="shared" si="245"/>
        <v>9</v>
      </c>
      <c r="C1237" s="70">
        <v>17.624692920000001</v>
      </c>
      <c r="D1237" s="4">
        <v>0.7</v>
      </c>
      <c r="E1237" s="12">
        <f t="shared" si="234"/>
        <v>0</v>
      </c>
      <c r="F1237" s="12">
        <f t="shared" si="235"/>
        <v>0.7</v>
      </c>
      <c r="G1237" s="16">
        <f t="shared" si="237"/>
        <v>3.9339041315327163</v>
      </c>
      <c r="H1237" s="14">
        <f t="shared" si="238"/>
        <v>5.6189176823313106E-2</v>
      </c>
      <c r="I1237" s="14">
        <f t="shared" si="239"/>
        <v>7.0708591579664839</v>
      </c>
      <c r="J1237" s="14">
        <f t="shared" si="240"/>
        <v>0.36150863432836977</v>
      </c>
      <c r="K1237" s="14">
        <f t="shared" si="241"/>
        <v>0.19223885711822739</v>
      </c>
      <c r="L1237" s="14">
        <f t="shared" si="242"/>
        <v>684.95736282726841</v>
      </c>
      <c r="M1237" s="14">
        <f t="shared" si="236"/>
        <v>0.14595520667766182</v>
      </c>
      <c r="N1237" s="14">
        <f t="shared" si="243"/>
        <v>3.7350342819943316</v>
      </c>
      <c r="O1237" s="4">
        <v>1.76</v>
      </c>
      <c r="P1237" s="14">
        <f t="shared" si="246"/>
        <v>3.900760415052865</v>
      </c>
      <c r="Q1237" s="14">
        <f t="shared" si="244"/>
        <v>22.787724720331429</v>
      </c>
    </row>
    <row r="1238" spans="1:17" x14ac:dyDescent="0.25">
      <c r="A1238" s="5" t="s">
        <v>1295</v>
      </c>
      <c r="B1238" s="6">
        <f t="shared" si="245"/>
        <v>9</v>
      </c>
      <c r="C1238" s="70">
        <v>17.55220413</v>
      </c>
      <c r="D1238" s="4">
        <v>0.2</v>
      </c>
      <c r="E1238" s="12">
        <f t="shared" si="234"/>
        <v>0</v>
      </c>
      <c r="F1238" s="12">
        <f t="shared" si="235"/>
        <v>0.2</v>
      </c>
      <c r="G1238" s="16">
        <f t="shared" si="237"/>
        <v>3.733689507125217</v>
      </c>
      <c r="H1238" s="14">
        <f t="shared" si="238"/>
        <v>1.6704126095764941E-2</v>
      </c>
      <c r="I1238" s="14">
        <f t="shared" si="239"/>
        <v>6.9629043070953696</v>
      </c>
      <c r="J1238" s="14">
        <f t="shared" si="240"/>
        <v>0.38351049831173478</v>
      </c>
      <c r="K1238" s="14">
        <f t="shared" si="241"/>
        <v>0.19943607495317037</v>
      </c>
      <c r="L1238" s="14">
        <f t="shared" si="242"/>
        <v>684.82091452885163</v>
      </c>
      <c r="M1238" s="14">
        <f t="shared" si="236"/>
        <v>0.14592767273743437</v>
      </c>
      <c r="N1238" s="14">
        <f t="shared" si="243"/>
        <v>3.7343296808155948</v>
      </c>
      <c r="O1238" s="4">
        <v>1.79</v>
      </c>
      <c r="P1238" s="14">
        <f t="shared" si="246"/>
        <v>3.7804179077004725</v>
      </c>
      <c r="Q1238" s="14">
        <f t="shared" si="244"/>
        <v>22.502205780676253</v>
      </c>
    </row>
    <row r="1239" spans="1:17" x14ac:dyDescent="0.25">
      <c r="A1239" s="5" t="s">
        <v>1296</v>
      </c>
      <c r="B1239" s="6">
        <f t="shared" si="245"/>
        <v>9</v>
      </c>
      <c r="C1239" s="70">
        <v>17.2755127</v>
      </c>
      <c r="D1239" s="4">
        <v>2.9</v>
      </c>
      <c r="E1239" s="12">
        <f t="shared" si="234"/>
        <v>0</v>
      </c>
      <c r="F1239" s="12">
        <f t="shared" si="235"/>
        <v>2.9</v>
      </c>
      <c r="G1239" s="16">
        <f t="shared" si="237"/>
        <v>6.0556800629084604</v>
      </c>
      <c r="H1239" s="14">
        <f t="shared" si="238"/>
        <v>0.23555869349947475</v>
      </c>
      <c r="I1239" s="14">
        <f t="shared" si="239"/>
        <v>6.5508380819181404</v>
      </c>
      <c r="J1239" s="14">
        <f t="shared" si="240"/>
        <v>0.3424507507172812</v>
      </c>
      <c r="K1239" s="14">
        <f t="shared" si="241"/>
        <v>0.42513193168332253</v>
      </c>
      <c r="L1239" s="14">
        <f t="shared" si="242"/>
        <v>684.68484969288352</v>
      </c>
      <c r="M1239" s="14">
        <f t="shared" si="236"/>
        <v>0.14594676654428748</v>
      </c>
      <c r="N1239" s="14">
        <f t="shared" si="243"/>
        <v>3.7348182966368011</v>
      </c>
      <c r="O1239" s="4">
        <v>1.88</v>
      </c>
      <c r="P1239" s="14">
        <f t="shared" si="246"/>
        <v>3.4403509135386448</v>
      </c>
      <c r="Q1239" s="14">
        <f t="shared" si="244"/>
        <v>21.656448961710737</v>
      </c>
    </row>
    <row r="1240" spans="1:17" x14ac:dyDescent="0.25">
      <c r="A1240" s="5" t="s">
        <v>1297</v>
      </c>
      <c r="B1240" s="6">
        <f t="shared" si="245"/>
        <v>9</v>
      </c>
      <c r="C1240" s="70">
        <v>16.038923260000001</v>
      </c>
      <c r="D1240" s="4">
        <v>0</v>
      </c>
      <c r="E1240" s="12">
        <f t="shared" si="234"/>
        <v>0</v>
      </c>
      <c r="F1240" s="12">
        <f t="shared" si="235"/>
        <v>0</v>
      </c>
      <c r="G1240" s="16">
        <f t="shared" si="237"/>
        <v>5.6564014701718204</v>
      </c>
      <c r="H1240" s="14">
        <f t="shared" si="238"/>
        <v>0</v>
      </c>
      <c r="I1240" s="14">
        <f t="shared" si="239"/>
        <v>4.7092315578750048</v>
      </c>
      <c r="J1240" s="14">
        <f t="shared" si="240"/>
        <v>0.39927859273663979</v>
      </c>
      <c r="K1240" s="14">
        <f t="shared" si="241"/>
        <v>0.40410761675632662</v>
      </c>
      <c r="L1240" s="14">
        <f t="shared" si="242"/>
        <v>684.55992724126622</v>
      </c>
      <c r="M1240" s="14">
        <f t="shared" si="236"/>
        <v>0.14591567597600499</v>
      </c>
      <c r="N1240" s="14">
        <f t="shared" si="243"/>
        <v>3.7340226803581835</v>
      </c>
      <c r="O1240" s="4">
        <v>1.84</v>
      </c>
      <c r="P1240" s="14">
        <f t="shared" si="246"/>
        <v>3.5873219137111976</v>
      </c>
      <c r="Q1240" s="14">
        <f t="shared" si="244"/>
        <v>22.030340881250968</v>
      </c>
    </row>
    <row r="1241" spans="1:17" x14ac:dyDescent="0.25">
      <c r="A1241" s="5" t="s">
        <v>1298</v>
      </c>
      <c r="B1241" s="6">
        <f t="shared" si="245"/>
        <v>10</v>
      </c>
      <c r="C1241" s="70">
        <v>16.21718216</v>
      </c>
      <c r="D1241" s="4">
        <v>0</v>
      </c>
      <c r="E1241" s="12">
        <f t="shared" si="234"/>
        <v>0</v>
      </c>
      <c r="F1241" s="12">
        <f t="shared" si="235"/>
        <v>0</v>
      </c>
      <c r="G1241" s="16">
        <f t="shared" si="237"/>
        <v>5.2486957270005288</v>
      </c>
      <c r="H1241" s="14">
        <f t="shared" si="238"/>
        <v>0</v>
      </c>
      <c r="I1241" s="14">
        <f t="shared" si="239"/>
        <v>5.148059342498911</v>
      </c>
      <c r="J1241" s="14">
        <f t="shared" si="240"/>
        <v>0.40770574317129166</v>
      </c>
      <c r="K1241" s="14">
        <f t="shared" si="241"/>
        <v>0.38412303040582063</v>
      </c>
      <c r="L1241" s="14">
        <f t="shared" si="242"/>
        <v>684.43399615164071</v>
      </c>
      <c r="M1241" s="14">
        <f t="shared" si="236"/>
        <v>0.14588459203084581</v>
      </c>
      <c r="N1241" s="14">
        <f t="shared" si="243"/>
        <v>3.7332272335671304</v>
      </c>
      <c r="O1241" s="4">
        <v>1.92</v>
      </c>
      <c r="P1241" s="14">
        <f t="shared" si="246"/>
        <v>3.2877930005495091</v>
      </c>
      <c r="Q1241" s="14">
        <f t="shared" si="244"/>
        <v>21.285757042170509</v>
      </c>
    </row>
    <row r="1242" spans="1:17" x14ac:dyDescent="0.25">
      <c r="A1242" s="5" t="s">
        <v>1299</v>
      </c>
      <c r="B1242" s="6">
        <f t="shared" si="245"/>
        <v>10</v>
      </c>
      <c r="C1242" s="70">
        <v>16.258010859999999</v>
      </c>
      <c r="D1242" s="4">
        <v>5.8</v>
      </c>
      <c r="E1242" s="12">
        <f t="shared" si="234"/>
        <v>0</v>
      </c>
      <c r="F1242" s="12">
        <f t="shared" si="235"/>
        <v>5.8</v>
      </c>
      <c r="G1242" s="16">
        <f t="shared" si="237"/>
        <v>10.101239821593262</v>
      </c>
      <c r="H1242" s="14">
        <f t="shared" si="238"/>
        <v>0.56490417896767953</v>
      </c>
      <c r="I1242" s="14">
        <f t="shared" si="239"/>
        <v>5.2056589407379779</v>
      </c>
      <c r="J1242" s="14">
        <f t="shared" si="240"/>
        <v>0.38255172643958585</v>
      </c>
      <c r="K1242" s="14">
        <f t="shared" si="241"/>
        <v>0.93003093325284469</v>
      </c>
      <c r="L1242" s="14">
        <f t="shared" si="242"/>
        <v>684.30710783573045</v>
      </c>
      <c r="M1242" s="14">
        <f t="shared" si="236"/>
        <v>0.14597385442005684</v>
      </c>
      <c r="N1242" s="14">
        <f t="shared" si="243"/>
        <v>3.7355114829021492</v>
      </c>
      <c r="O1242" s="4">
        <v>2.0699999999999998</v>
      </c>
      <c r="P1242" s="14">
        <f t="shared" si="246"/>
        <v>2.7739284996789166</v>
      </c>
      <c r="Q1242" s="14">
        <f t="shared" si="244"/>
        <v>19.924162343894654</v>
      </c>
    </row>
    <row r="1243" spans="1:17" x14ac:dyDescent="0.25">
      <c r="A1243" s="5" t="s">
        <v>1300</v>
      </c>
      <c r="B1243" s="6">
        <f t="shared" si="245"/>
        <v>10</v>
      </c>
      <c r="C1243" s="70">
        <v>16.255168909999998</v>
      </c>
      <c r="D1243" s="4">
        <v>4.8</v>
      </c>
      <c r="E1243" s="12">
        <f t="shared" ref="E1243:E1306" si="247">IF(C1243&gt;$C$9,MAX(E1242-$C$10*(C1243-$C$9),0),E1242+D1243)</f>
        <v>0</v>
      </c>
      <c r="F1243" s="12">
        <f t="shared" ref="F1243:F1306" si="248">IF(C1243&gt;$C$9,D1243+MIN(E1242,$C$10*(C1243-$C$9)),0)</f>
        <v>4.8</v>
      </c>
      <c r="G1243" s="16">
        <f t="shared" si="237"/>
        <v>13.502830263459687</v>
      </c>
      <c r="H1243" s="14">
        <f t="shared" si="238"/>
        <v>0.6627466902788407</v>
      </c>
      <c r="I1243" s="14">
        <f t="shared" si="239"/>
        <v>5.2016496242959764</v>
      </c>
      <c r="J1243" s="14">
        <f t="shared" si="240"/>
        <v>0.73566286785473378</v>
      </c>
      <c r="K1243" s="14">
        <f t="shared" si="241"/>
        <v>1.5467842229533426</v>
      </c>
      <c r="L1243" s="14">
        <f t="shared" si="242"/>
        <v>684.20712738188877</v>
      </c>
      <c r="M1243" s="14">
        <f t="shared" si="236"/>
        <v>0.14608394086815191</v>
      </c>
      <c r="N1243" s="14">
        <f t="shared" si="243"/>
        <v>3.7383286256884705</v>
      </c>
      <c r="O1243" s="4">
        <v>2.35</v>
      </c>
      <c r="P1243" s="14">
        <f t="shared" si="246"/>
        <v>1.9274563729060368</v>
      </c>
      <c r="Q1243" s="14">
        <f t="shared" si="244"/>
        <v>17.502918907113035</v>
      </c>
    </row>
    <row r="1244" spans="1:17" x14ac:dyDescent="0.25">
      <c r="A1244" s="5" t="s">
        <v>1301</v>
      </c>
      <c r="B1244" s="6">
        <f t="shared" si="245"/>
        <v>10</v>
      </c>
      <c r="C1244" s="70">
        <v>17.378627779999999</v>
      </c>
      <c r="D1244" s="4">
        <v>1.7</v>
      </c>
      <c r="E1244" s="12">
        <f t="shared" si="247"/>
        <v>0</v>
      </c>
      <c r="F1244" s="12">
        <f t="shared" si="248"/>
        <v>1.7</v>
      </c>
      <c r="G1244" s="16">
        <f t="shared" si="237"/>
        <v>13.645796081725592</v>
      </c>
      <c r="H1244" s="14">
        <f t="shared" si="238"/>
        <v>0.27399757473636371</v>
      </c>
      <c r="I1244" s="14">
        <f t="shared" si="239"/>
        <v>6.7865832506450383</v>
      </c>
      <c r="J1244" s="14">
        <f t="shared" si="240"/>
        <v>1.2830366069977319</v>
      </c>
      <c r="K1244" s="14">
        <f t="shared" si="241"/>
        <v>1.7442877114922395</v>
      </c>
      <c r="L1244" s="14">
        <f t="shared" si="242"/>
        <v>684.13753752721811</v>
      </c>
      <c r="M1244" s="14">
        <f t="shared" si="236"/>
        <v>0.14611118989642577</v>
      </c>
      <c r="N1244" s="14">
        <f t="shared" si="243"/>
        <v>3.7390259358911733</v>
      </c>
      <c r="O1244" s="4">
        <v>2.39</v>
      </c>
      <c r="P1244" s="14">
        <f t="shared" si="246"/>
        <v>1.8198709757070557</v>
      </c>
      <c r="Q1244" s="14">
        <f t="shared" si="244"/>
        <v>17.169826987572815</v>
      </c>
    </row>
    <row r="1245" spans="1:17" x14ac:dyDescent="0.25">
      <c r="A1245" s="5" t="s">
        <v>1302</v>
      </c>
      <c r="B1245" s="6">
        <f t="shared" si="245"/>
        <v>10</v>
      </c>
      <c r="C1245" s="70">
        <v>17.3260231</v>
      </c>
      <c r="D1245" s="4">
        <v>0.4</v>
      </c>
      <c r="E1245" s="12">
        <f t="shared" si="247"/>
        <v>0</v>
      </c>
      <c r="F1245" s="12">
        <f t="shared" si="248"/>
        <v>0.4</v>
      </c>
      <c r="G1245" s="16">
        <f t="shared" si="237"/>
        <v>12.69852072738419</v>
      </c>
      <c r="H1245" s="14">
        <f t="shared" si="238"/>
        <v>6.4832984194141907E-2</v>
      </c>
      <c r="I1245" s="14">
        <f t="shared" si="239"/>
        <v>6.7123705416071644</v>
      </c>
      <c r="J1245" s="14">
        <f t="shared" si="240"/>
        <v>1.2824423701472607</v>
      </c>
      <c r="K1245" s="14">
        <f t="shared" si="241"/>
        <v>1.7228593461225035</v>
      </c>
      <c r="L1245" s="14">
        <f t="shared" si="242"/>
        <v>684.07768768688561</v>
      </c>
      <c r="M1245" s="14">
        <f t="shared" si="236"/>
        <v>0.14609387546278604</v>
      </c>
      <c r="N1245" s="14">
        <f t="shared" si="243"/>
        <v>3.7385828547247675</v>
      </c>
      <c r="O1245" s="4">
        <v>2.2999999999999998</v>
      </c>
      <c r="P1245" s="14">
        <f t="shared" si="246"/>
        <v>2.069520629908062</v>
      </c>
      <c r="Q1245" s="14">
        <f t="shared" si="244"/>
        <v>17.923783806538328</v>
      </c>
    </row>
    <row r="1246" spans="1:17" x14ac:dyDescent="0.25">
      <c r="A1246" s="5" t="s">
        <v>1303</v>
      </c>
      <c r="B1246" s="6">
        <f t="shared" si="245"/>
        <v>10</v>
      </c>
      <c r="C1246" s="70">
        <v>14.533682819999999</v>
      </c>
      <c r="D1246" s="4">
        <v>0.1</v>
      </c>
      <c r="E1246" s="12">
        <f t="shared" si="247"/>
        <v>0</v>
      </c>
      <c r="F1246" s="12">
        <f t="shared" si="248"/>
        <v>0.1</v>
      </c>
      <c r="G1246" s="16">
        <f t="shared" si="237"/>
        <v>12.289893185749637</v>
      </c>
      <c r="H1246" s="14">
        <f t="shared" si="238"/>
        <v>1.5598411228413836E-2</v>
      </c>
      <c r="I1246" s="14">
        <f t="shared" si="239"/>
        <v>2.7730416314344617</v>
      </c>
      <c r="J1246" s="14">
        <f t="shared" si="240"/>
        <v>0.49302913040613972</v>
      </c>
      <c r="K1246" s="14">
        <f t="shared" si="241"/>
        <v>1.6532561181224175</v>
      </c>
      <c r="L1246" s="14">
        <f t="shared" si="242"/>
        <v>684.01679545065122</v>
      </c>
      <c r="M1246" s="14">
        <f t="shared" si="236"/>
        <v>0.1460660764355283</v>
      </c>
      <c r="N1246" s="14">
        <f t="shared" si="243"/>
        <v>3.73787146989529</v>
      </c>
      <c r="O1246" s="4">
        <v>2.27</v>
      </c>
      <c r="P1246" s="14">
        <f t="shared" si="246"/>
        <v>2.1546466521325591</v>
      </c>
      <c r="Q1246" s="14">
        <f t="shared" si="244"/>
        <v>18.178702746193498</v>
      </c>
    </row>
    <row r="1247" spans="1:17" x14ac:dyDescent="0.25">
      <c r="A1247" s="5" t="s">
        <v>1304</v>
      </c>
      <c r="B1247" s="6">
        <f t="shared" si="245"/>
        <v>10</v>
      </c>
      <c r="C1247" s="70">
        <v>17.040370939999999</v>
      </c>
      <c r="D1247" s="4">
        <v>0.2</v>
      </c>
      <c r="E1247" s="12">
        <f t="shared" si="247"/>
        <v>0</v>
      </c>
      <c r="F1247" s="12">
        <f t="shared" si="248"/>
        <v>0.2</v>
      </c>
      <c r="G1247" s="16">
        <f t="shared" si="237"/>
        <v>11.373564989329084</v>
      </c>
      <c r="H1247" s="14">
        <f t="shared" si="238"/>
        <v>3.0657611960437182E-2</v>
      </c>
      <c r="I1247" s="14">
        <f t="shared" si="239"/>
        <v>6.3093831907455833</v>
      </c>
      <c r="J1247" s="14">
        <f t="shared" si="240"/>
        <v>1.0856705844601151</v>
      </c>
      <c r="K1247" s="14">
        <f t="shared" si="241"/>
        <v>1.6021542227582442</v>
      </c>
      <c r="L1247" s="14">
        <f t="shared" si="242"/>
        <v>683.95248888154026</v>
      </c>
      <c r="M1247" s="14">
        <f t="shared" ref="M1247:M1310" si="249">MAX(0,K1247-$F$9)*$F$8+K1247*$F$10+L1247*$F$11</f>
        <v>0.14604149134309974</v>
      </c>
      <c r="N1247" s="14">
        <f t="shared" si="243"/>
        <v>3.7372423305508509</v>
      </c>
      <c r="O1247" s="4">
        <v>2.27</v>
      </c>
      <c r="P1247" s="14">
        <f t="shared" si="246"/>
        <v>2.1528000565602921</v>
      </c>
      <c r="Q1247" s="14">
        <f t="shared" si="244"/>
        <v>18.178702746193498</v>
      </c>
    </row>
    <row r="1248" spans="1:17" x14ac:dyDescent="0.25">
      <c r="A1248" s="5" t="s">
        <v>1305</v>
      </c>
      <c r="B1248" s="6">
        <f t="shared" si="245"/>
        <v>10</v>
      </c>
      <c r="C1248" s="70">
        <v>16.910839079999999</v>
      </c>
      <c r="D1248" s="4">
        <v>2</v>
      </c>
      <c r="E1248" s="12">
        <f t="shared" si="247"/>
        <v>0</v>
      </c>
      <c r="F1248" s="12">
        <f t="shared" si="248"/>
        <v>2</v>
      </c>
      <c r="G1248" s="16">
        <f t="shared" ref="G1248:G1311" si="250">G1247+F1248-H1248-J1248</f>
        <v>12.103769981230966</v>
      </c>
      <c r="H1248" s="14">
        <f t="shared" ref="H1248:H1311" si="251">(F1248*(G1247/$C$11)^$C$12)</f>
        <v>0.29417128272647458</v>
      </c>
      <c r="I1248" s="14">
        <f t="shared" ref="I1248:I1311" si="252">(1+$C$13*(C1248-INDEX($A$16:$A$27,B1248)))*INDEX($C$16:$C$27,B1248)</f>
        <v>6.126644502147629</v>
      </c>
      <c r="J1248" s="14">
        <f t="shared" ref="J1248:J1311" si="253">IF(G1247&gt;$F$13,I1248,I1248*(G1247/$F$13))</f>
        <v>0.97562372537164432</v>
      </c>
      <c r="K1248" s="14">
        <f t="shared" ref="K1248:K1311" si="254">K1247+H1248-MAX(0,K1247-$F$9)*$F$8-K1247*$F$10-K1247*$F$12</f>
        <v>1.8170931721064378</v>
      </c>
      <c r="L1248" s="14">
        <f t="shared" ref="L1248:L1311" si="255">L1247+K1247*$F$12-L1247*$F$11</f>
        <v>683.88567972357544</v>
      </c>
      <c r="M1248" s="14">
        <f t="shared" si="249"/>
        <v>0.14607304695411275</v>
      </c>
      <c r="N1248" s="14">
        <f t="shared" ref="N1248:N1311" si="256">M1248*$C$8*1000/(24*3600)</f>
        <v>3.7380498474021215</v>
      </c>
      <c r="O1248" s="4">
        <v>2.2999999999999998</v>
      </c>
      <c r="P1248" s="14">
        <f t="shared" si="246"/>
        <v>2.0679873636132657</v>
      </c>
      <c r="Q1248" s="14">
        <f t="shared" ref="Q1248:Q1311" si="257">(O1248-$F$23)^2</f>
        <v>17.923783806538328</v>
      </c>
    </row>
    <row r="1249" spans="1:17" x14ac:dyDescent="0.25">
      <c r="A1249" s="5" t="s">
        <v>1306</v>
      </c>
      <c r="B1249" s="6">
        <f t="shared" ref="B1249:B1312" si="258">MONTH(A1249)</f>
        <v>10</v>
      </c>
      <c r="C1249" s="70">
        <v>16.328140260000001</v>
      </c>
      <c r="D1249" s="4">
        <v>2.4</v>
      </c>
      <c r="E1249" s="12">
        <f t="shared" si="247"/>
        <v>0</v>
      </c>
      <c r="F1249" s="12">
        <f t="shared" si="248"/>
        <v>2.4</v>
      </c>
      <c r="G1249" s="16">
        <f t="shared" si="250"/>
        <v>13.239908287642113</v>
      </c>
      <c r="H1249" s="14">
        <f t="shared" si="251"/>
        <v>0.36491085718496113</v>
      </c>
      <c r="I1249" s="14">
        <f t="shared" si="252"/>
        <v>5.3045948672981451</v>
      </c>
      <c r="J1249" s="14">
        <f t="shared" si="253"/>
        <v>0.89895083640389251</v>
      </c>
      <c r="K1249" s="14">
        <f t="shared" si="254"/>
        <v>2.0921421858142621</v>
      </c>
      <c r="L1249" s="14">
        <f t="shared" si="255"/>
        <v>683.82946852009843</v>
      </c>
      <c r="M1249" s="14">
        <f t="shared" si="249"/>
        <v>0.14969752967700944</v>
      </c>
      <c r="N1249" s="14">
        <f t="shared" si="256"/>
        <v>3.8308013670818042</v>
      </c>
      <c r="O1249" s="4">
        <v>2.35</v>
      </c>
      <c r="P1249" s="14">
        <f t="shared" ref="P1249:P1312" si="259">(O1249-N1249)^2</f>
        <v>2.1927726887513401</v>
      </c>
      <c r="Q1249" s="14">
        <f t="shared" si="257"/>
        <v>17.502918907113035</v>
      </c>
    </row>
    <row r="1250" spans="1:17" x14ac:dyDescent="0.25">
      <c r="A1250" s="5" t="s">
        <v>1307</v>
      </c>
      <c r="B1250" s="6">
        <f t="shared" si="258"/>
        <v>10</v>
      </c>
      <c r="C1250" s="70">
        <v>15.459370610000001</v>
      </c>
      <c r="D1250" s="4">
        <v>3.2</v>
      </c>
      <c r="E1250" s="12">
        <f t="shared" si="247"/>
        <v>0</v>
      </c>
      <c r="F1250" s="12">
        <f t="shared" si="248"/>
        <v>3.2</v>
      </c>
      <c r="G1250" s="16">
        <f t="shared" si="250"/>
        <v>15.173392903217607</v>
      </c>
      <c r="H1250" s="14">
        <f t="shared" si="251"/>
        <v>0.5103822804967848</v>
      </c>
      <c r="I1250" s="14">
        <f t="shared" si="252"/>
        <v>4.0789672376578121</v>
      </c>
      <c r="J1250" s="14">
        <f t="shared" si="253"/>
        <v>0.75613310392771937</v>
      </c>
      <c r="K1250" s="14">
        <f t="shared" si="254"/>
        <v>2.4954825877704732</v>
      </c>
      <c r="L1250" s="14">
        <f t="shared" si="255"/>
        <v>683.78681286896199</v>
      </c>
      <c r="M1250" s="14">
        <f t="shared" si="249"/>
        <v>0.16543600004727599</v>
      </c>
      <c r="N1250" s="14">
        <f t="shared" si="256"/>
        <v>4.2335531956542498</v>
      </c>
      <c r="O1250" s="4">
        <v>2.33</v>
      </c>
      <c r="P1250" s="14">
        <f t="shared" si="259"/>
        <v>3.6235147686855065</v>
      </c>
      <c r="Q1250" s="14">
        <f t="shared" si="257"/>
        <v>17.670664866883154</v>
      </c>
    </row>
    <row r="1251" spans="1:17" x14ac:dyDescent="0.25">
      <c r="A1251" s="5" t="s">
        <v>1308</v>
      </c>
      <c r="B1251" s="6">
        <f t="shared" si="258"/>
        <v>10</v>
      </c>
      <c r="C1251" s="70">
        <v>15.63764286</v>
      </c>
      <c r="D1251" s="4">
        <v>0</v>
      </c>
      <c r="E1251" s="12">
        <f t="shared" si="247"/>
        <v>0</v>
      </c>
      <c r="F1251" s="12">
        <f t="shared" si="248"/>
        <v>0</v>
      </c>
      <c r="G1251" s="16">
        <f t="shared" si="250"/>
        <v>14.25340842640051</v>
      </c>
      <c r="H1251" s="14">
        <f t="shared" si="251"/>
        <v>0</v>
      </c>
      <c r="I1251" s="14">
        <f t="shared" si="252"/>
        <v>4.3304670399335343</v>
      </c>
      <c r="J1251" s="14">
        <f t="shared" si="253"/>
        <v>0.91998447681709705</v>
      </c>
      <c r="K1251" s="14">
        <f t="shared" si="254"/>
        <v>2.3528324295692777</v>
      </c>
      <c r="L1251" s="14">
        <f t="shared" si="255"/>
        <v>683.76402702711584</v>
      </c>
      <c r="M1251" s="14">
        <f t="shared" si="249"/>
        <v>0.15986167790623604</v>
      </c>
      <c r="N1251" s="14">
        <f t="shared" si="256"/>
        <v>4.0909047436422208</v>
      </c>
      <c r="O1251" s="4">
        <v>2.38</v>
      </c>
      <c r="P1251" s="14">
        <f t="shared" si="259"/>
        <v>2.9271950418174537</v>
      </c>
      <c r="Q1251" s="14">
        <f t="shared" si="257"/>
        <v>17.252799967457868</v>
      </c>
    </row>
    <row r="1252" spans="1:17" x14ac:dyDescent="0.25">
      <c r="A1252" s="5" t="s">
        <v>1309</v>
      </c>
      <c r="B1252" s="6">
        <f t="shared" si="258"/>
        <v>10</v>
      </c>
      <c r="C1252" s="70">
        <v>15.908472059999999</v>
      </c>
      <c r="D1252" s="4">
        <v>0</v>
      </c>
      <c r="E1252" s="12">
        <f t="shared" si="247"/>
        <v>0</v>
      </c>
      <c r="F1252" s="12">
        <f t="shared" si="248"/>
        <v>0</v>
      </c>
      <c r="G1252" s="16">
        <f t="shared" si="250"/>
        <v>13.31295544433943</v>
      </c>
      <c r="H1252" s="14">
        <f t="shared" si="251"/>
        <v>0</v>
      </c>
      <c r="I1252" s="14">
        <f t="shared" si="252"/>
        <v>4.712542714922165</v>
      </c>
      <c r="J1252" s="14">
        <f t="shared" si="253"/>
        <v>0.94045298206108097</v>
      </c>
      <c r="K1252" s="14">
        <f t="shared" si="254"/>
        <v>2.2227759185758109</v>
      </c>
      <c r="L1252" s="14">
        <f t="shared" si="255"/>
        <v>683.73422186020298</v>
      </c>
      <c r="M1252" s="14">
        <f t="shared" si="249"/>
        <v>0.1547775522885188</v>
      </c>
      <c r="N1252" s="14">
        <f t="shared" si="256"/>
        <v>3.9608005568277211</v>
      </c>
      <c r="O1252" s="4">
        <v>2.2200000000000002</v>
      </c>
      <c r="P1252" s="14">
        <f t="shared" si="259"/>
        <v>3.0303865786517035</v>
      </c>
      <c r="Q1252" s="14">
        <f t="shared" si="257"/>
        <v>18.60756764561879</v>
      </c>
    </row>
    <row r="1253" spans="1:17" x14ac:dyDescent="0.25">
      <c r="A1253" s="5" t="s">
        <v>1310</v>
      </c>
      <c r="B1253" s="6">
        <f t="shared" si="258"/>
        <v>10</v>
      </c>
      <c r="C1253" s="70">
        <v>16.010566709999999</v>
      </c>
      <c r="D1253" s="4">
        <v>0</v>
      </c>
      <c r="E1253" s="12">
        <f t="shared" si="247"/>
        <v>0</v>
      </c>
      <c r="F1253" s="12">
        <f t="shared" si="248"/>
        <v>0</v>
      </c>
      <c r="G1253" s="16">
        <f t="shared" si="250"/>
        <v>12.407707496781661</v>
      </c>
      <c r="H1253" s="14">
        <f t="shared" si="251"/>
        <v>0</v>
      </c>
      <c r="I1253" s="14">
        <f t="shared" si="252"/>
        <v>4.8565740169807237</v>
      </c>
      <c r="J1253" s="14">
        <f t="shared" si="253"/>
        <v>0.90524794755776838</v>
      </c>
      <c r="K1253" s="14">
        <f t="shared" si="254"/>
        <v>2.1042012442460631</v>
      </c>
      <c r="L1253" s="14">
        <f t="shared" si="255"/>
        <v>683.69801898224421</v>
      </c>
      <c r="M1253" s="14">
        <f t="shared" si="249"/>
        <v>0.1501403473667923</v>
      </c>
      <c r="N1253" s="14">
        <f t="shared" si="256"/>
        <v>3.8421331947682611</v>
      </c>
      <c r="O1253" s="4">
        <v>2.11</v>
      </c>
      <c r="P1253" s="14">
        <f t="shared" si="259"/>
        <v>3.0002854044181033</v>
      </c>
      <c r="Q1253" s="14">
        <f t="shared" si="257"/>
        <v>19.568670424354416</v>
      </c>
    </row>
    <row r="1254" spans="1:17" x14ac:dyDescent="0.25">
      <c r="A1254" s="5" t="s">
        <v>1311</v>
      </c>
      <c r="B1254" s="6">
        <f t="shared" si="258"/>
        <v>10</v>
      </c>
      <c r="C1254" s="70">
        <v>15.16587925</v>
      </c>
      <c r="D1254" s="4">
        <v>0</v>
      </c>
      <c r="E1254" s="12">
        <f t="shared" si="247"/>
        <v>0</v>
      </c>
      <c r="F1254" s="12">
        <f t="shared" si="248"/>
        <v>0</v>
      </c>
      <c r="G1254" s="16">
        <f t="shared" si="250"/>
        <v>11.771030469824531</v>
      </c>
      <c r="H1254" s="14">
        <f t="shared" si="251"/>
        <v>0</v>
      </c>
      <c r="I1254" s="14">
        <f t="shared" si="252"/>
        <v>3.6649206375300127</v>
      </c>
      <c r="J1254" s="14">
        <f t="shared" si="253"/>
        <v>0.63667702695713035</v>
      </c>
      <c r="K1254" s="14">
        <f t="shared" si="254"/>
        <v>1.9960947504995719</v>
      </c>
      <c r="L1254" s="14">
        <f t="shared" si="255"/>
        <v>683.65598512862391</v>
      </c>
      <c r="M1254" s="14">
        <f t="shared" si="249"/>
        <v>0.14606224798452899</v>
      </c>
      <c r="N1254" s="14">
        <f t="shared" si="256"/>
        <v>3.7377734987707596</v>
      </c>
      <c r="O1254" s="4">
        <v>2.0699999999999998</v>
      </c>
      <c r="P1254" s="14">
        <f t="shared" si="259"/>
        <v>2.7814684432020615</v>
      </c>
      <c r="Q1254" s="14">
        <f t="shared" si="257"/>
        <v>19.924162343894654</v>
      </c>
    </row>
    <row r="1255" spans="1:17" x14ac:dyDescent="0.25">
      <c r="A1255" s="5" t="s">
        <v>1312</v>
      </c>
      <c r="B1255" s="6">
        <f t="shared" si="258"/>
        <v>10</v>
      </c>
      <c r="C1255" s="70">
        <v>15.423794750000001</v>
      </c>
      <c r="D1255" s="4">
        <v>1.8</v>
      </c>
      <c r="E1255" s="12">
        <f t="shared" si="247"/>
        <v>0</v>
      </c>
      <c r="F1255" s="12">
        <f t="shared" si="248"/>
        <v>1.8</v>
      </c>
      <c r="G1255" s="16">
        <f t="shared" si="250"/>
        <v>12.637410230241404</v>
      </c>
      <c r="H1255" s="14">
        <f t="shared" si="251"/>
        <v>0.26964651233391795</v>
      </c>
      <c r="I1255" s="14">
        <f t="shared" si="252"/>
        <v>4.0287781490263024</v>
      </c>
      <c r="J1255" s="14">
        <f t="shared" si="253"/>
        <v>0.66397372724921022</v>
      </c>
      <c r="K1255" s="14">
        <f t="shared" si="254"/>
        <v>2.1670271425074574</v>
      </c>
      <c r="L1255" s="14">
        <f t="shared" si="255"/>
        <v>683.60863700096547</v>
      </c>
      <c r="M1255" s="14">
        <f t="shared" si="249"/>
        <v>0.15257420847746028</v>
      </c>
      <c r="N1255" s="14">
        <f t="shared" si="256"/>
        <v>3.9044163766627853</v>
      </c>
      <c r="O1255" s="4">
        <v>2.08</v>
      </c>
      <c r="P1255" s="14">
        <f t="shared" si="259"/>
        <v>3.3284951154353659</v>
      </c>
      <c r="Q1255" s="14">
        <f t="shared" si="257"/>
        <v>19.834989364009591</v>
      </c>
    </row>
    <row r="1256" spans="1:17" x14ac:dyDescent="0.25">
      <c r="A1256" s="5" t="s">
        <v>1313</v>
      </c>
      <c r="B1256" s="6">
        <f t="shared" si="258"/>
        <v>10</v>
      </c>
      <c r="C1256" s="70">
        <v>15.415468219999999</v>
      </c>
      <c r="D1256" s="4">
        <v>0.9</v>
      </c>
      <c r="E1256" s="12">
        <f t="shared" si="247"/>
        <v>0</v>
      </c>
      <c r="F1256" s="12">
        <f t="shared" si="248"/>
        <v>0.9</v>
      </c>
      <c r="G1256" s="16">
        <f t="shared" si="250"/>
        <v>12.686619516056913</v>
      </c>
      <c r="H1256" s="14">
        <f t="shared" si="251"/>
        <v>0.14002516787905711</v>
      </c>
      <c r="I1256" s="14">
        <f t="shared" si="252"/>
        <v>4.0170313928786507</v>
      </c>
      <c r="J1256" s="14">
        <f t="shared" si="253"/>
        <v>0.71076554630543276</v>
      </c>
      <c r="K1256" s="14">
        <f t="shared" si="254"/>
        <v>2.1933993299891164</v>
      </c>
      <c r="L1256" s="14">
        <f t="shared" si="255"/>
        <v>683.56971577288539</v>
      </c>
      <c r="M1256" s="14">
        <f t="shared" si="249"/>
        <v>0.15359556246630651</v>
      </c>
      <c r="N1256" s="14">
        <f t="shared" si="256"/>
        <v>3.930553108946802</v>
      </c>
      <c r="O1256" s="4">
        <v>2.14</v>
      </c>
      <c r="P1256" s="14">
        <f t="shared" si="259"/>
        <v>3.2060804359590578</v>
      </c>
      <c r="Q1256" s="14">
        <f t="shared" si="257"/>
        <v>19.304151484699247</v>
      </c>
    </row>
    <row r="1257" spans="1:17" x14ac:dyDescent="0.25">
      <c r="A1257" s="5" t="s">
        <v>1314</v>
      </c>
      <c r="B1257" s="6">
        <f t="shared" si="258"/>
        <v>10</v>
      </c>
      <c r="C1257" s="70">
        <v>15.13525963</v>
      </c>
      <c r="D1257" s="4">
        <v>0.6</v>
      </c>
      <c r="E1257" s="12">
        <f t="shared" si="247"/>
        <v>0</v>
      </c>
      <c r="F1257" s="12">
        <f t="shared" si="248"/>
        <v>0.6</v>
      </c>
      <c r="G1257" s="16">
        <f t="shared" si="250"/>
        <v>12.549759923763109</v>
      </c>
      <c r="H1257" s="14">
        <f t="shared" si="251"/>
        <v>9.3543700796797732E-2</v>
      </c>
      <c r="I1257" s="14">
        <f t="shared" si="252"/>
        <v>3.6217236263532446</v>
      </c>
      <c r="J1257" s="14">
        <f t="shared" si="253"/>
        <v>0.64331589149700796</v>
      </c>
      <c r="K1257" s="14">
        <f t="shared" si="254"/>
        <v>2.1709618228602183</v>
      </c>
      <c r="L1257" s="14">
        <f t="shared" si="255"/>
        <v>683.53210141834472</v>
      </c>
      <c r="M1257" s="14">
        <f t="shared" si="249"/>
        <v>0.15271152546824457</v>
      </c>
      <c r="N1257" s="14">
        <f t="shared" si="256"/>
        <v>3.9079303566005641</v>
      </c>
      <c r="O1257" s="4">
        <v>2.21</v>
      </c>
      <c r="P1257" s="14">
        <f t="shared" si="259"/>
        <v>2.882967495865719</v>
      </c>
      <c r="Q1257" s="14">
        <f t="shared" si="257"/>
        <v>18.693940625503846</v>
      </c>
    </row>
    <row r="1258" spans="1:17" x14ac:dyDescent="0.25">
      <c r="A1258" s="5" t="s">
        <v>1315</v>
      </c>
      <c r="B1258" s="6">
        <f t="shared" si="258"/>
        <v>10</v>
      </c>
      <c r="C1258" s="70">
        <v>15.62596035</v>
      </c>
      <c r="D1258" s="4">
        <v>0.3</v>
      </c>
      <c r="E1258" s="12">
        <f t="shared" si="247"/>
        <v>0</v>
      </c>
      <c r="F1258" s="12">
        <f t="shared" si="248"/>
        <v>0.3</v>
      </c>
      <c r="G1258" s="16">
        <f t="shared" si="250"/>
        <v>12.045243782567258</v>
      </c>
      <c r="H1258" s="14">
        <f t="shared" si="251"/>
        <v>4.6502211236315642E-2</v>
      </c>
      <c r="I1258" s="14">
        <f t="shared" si="252"/>
        <v>4.3139857931041243</v>
      </c>
      <c r="J1258" s="14">
        <f t="shared" si="253"/>
        <v>0.75801392995953498</v>
      </c>
      <c r="K1258" s="14">
        <f t="shared" si="254"/>
        <v>2.1034636865678085</v>
      </c>
      <c r="L1258" s="14">
        <f t="shared" si="255"/>
        <v>683.49339024040523</v>
      </c>
      <c r="M1258" s="14">
        <f t="shared" si="249"/>
        <v>0.15006795961606273</v>
      </c>
      <c r="N1258" s="14">
        <f t="shared" si="256"/>
        <v>3.840280772119383</v>
      </c>
      <c r="O1258" s="4">
        <v>2.3199999999999998</v>
      </c>
      <c r="P1258" s="14">
        <f t="shared" si="259"/>
        <v>2.3112536260759078</v>
      </c>
      <c r="Q1258" s="14">
        <f t="shared" si="257"/>
        <v>17.754837846768218</v>
      </c>
    </row>
    <row r="1259" spans="1:17" x14ac:dyDescent="0.25">
      <c r="A1259" s="5" t="s">
        <v>1316</v>
      </c>
      <c r="B1259" s="6">
        <f t="shared" si="258"/>
        <v>10</v>
      </c>
      <c r="C1259" s="70">
        <v>15.208756449999999</v>
      </c>
      <c r="D1259" s="4">
        <v>0.8</v>
      </c>
      <c r="E1259" s="12">
        <f t="shared" si="247"/>
        <v>0</v>
      </c>
      <c r="F1259" s="12">
        <f t="shared" si="248"/>
        <v>0.8</v>
      </c>
      <c r="G1259" s="16">
        <f t="shared" si="250"/>
        <v>12.095641407741988</v>
      </c>
      <c r="H1259" s="14">
        <f t="shared" si="251"/>
        <v>0.12132307705401069</v>
      </c>
      <c r="I1259" s="14">
        <f t="shared" si="252"/>
        <v>3.7254101827179857</v>
      </c>
      <c r="J1259" s="14">
        <f t="shared" si="253"/>
        <v>0.62827929777126001</v>
      </c>
      <c r="K1259" s="14">
        <f t="shared" si="254"/>
        <v>2.116745384007078</v>
      </c>
      <c r="L1259" s="14">
        <f t="shared" si="255"/>
        <v>683.4513636604039</v>
      </c>
      <c r="M1259" s="14">
        <f t="shared" si="249"/>
        <v>0.15057756209611042</v>
      </c>
      <c r="N1259" s="14">
        <f t="shared" si="256"/>
        <v>3.8533216411400484</v>
      </c>
      <c r="O1259" s="4">
        <v>2.21</v>
      </c>
      <c r="P1259" s="14">
        <f t="shared" si="259"/>
        <v>2.7005060162392223</v>
      </c>
      <c r="Q1259" s="14">
        <f t="shared" si="257"/>
        <v>18.693940625503846</v>
      </c>
    </row>
    <row r="1260" spans="1:17" x14ac:dyDescent="0.25">
      <c r="A1260" s="5" t="s">
        <v>1317</v>
      </c>
      <c r="B1260" s="6">
        <f t="shared" si="258"/>
        <v>10</v>
      </c>
      <c r="C1260" s="70">
        <v>16.298612590000001</v>
      </c>
      <c r="D1260" s="4">
        <v>3.1</v>
      </c>
      <c r="E1260" s="12">
        <f t="shared" si="247"/>
        <v>0</v>
      </c>
      <c r="F1260" s="12">
        <f t="shared" si="248"/>
        <v>3.1</v>
      </c>
      <c r="G1260" s="16">
        <f t="shared" si="250"/>
        <v>13.833174495688295</v>
      </c>
      <c r="H1260" s="14">
        <f t="shared" si="251"/>
        <v>0.47117443039599177</v>
      </c>
      <c r="I1260" s="14">
        <f t="shared" si="252"/>
        <v>5.2629383382160082</v>
      </c>
      <c r="J1260" s="14">
        <f t="shared" si="253"/>
        <v>0.89129248165770114</v>
      </c>
      <c r="K1260" s="14">
        <f t="shared" si="254"/>
        <v>2.4787058808004527</v>
      </c>
      <c r="L1260" s="14">
        <f t="shared" si="255"/>
        <v>683.41000003191039</v>
      </c>
      <c r="M1260" s="14">
        <f t="shared" si="249"/>
        <v>0.1647007184404366</v>
      </c>
      <c r="N1260" s="14">
        <f t="shared" si="256"/>
        <v>4.2147371350903393</v>
      </c>
      <c r="O1260" s="4">
        <v>2.23</v>
      </c>
      <c r="P1260" s="14">
        <f t="shared" si="259"/>
        <v>3.9391814954066078</v>
      </c>
      <c r="Q1260" s="14">
        <f t="shared" si="257"/>
        <v>18.521394665733734</v>
      </c>
    </row>
    <row r="1261" spans="1:17" x14ac:dyDescent="0.25">
      <c r="A1261" s="5" t="s">
        <v>1318</v>
      </c>
      <c r="B1261" s="6">
        <f t="shared" si="258"/>
        <v>10</v>
      </c>
      <c r="C1261" s="70">
        <v>16.047039030000001</v>
      </c>
      <c r="D1261" s="4">
        <v>3.4</v>
      </c>
      <c r="E1261" s="12">
        <f t="shared" si="247"/>
        <v>0</v>
      </c>
      <c r="F1261" s="12">
        <f t="shared" si="248"/>
        <v>3.4</v>
      </c>
      <c r="G1261" s="16">
        <f t="shared" si="250"/>
        <v>15.727486125237553</v>
      </c>
      <c r="H1261" s="14">
        <f t="shared" si="251"/>
        <v>0.55510124639334857</v>
      </c>
      <c r="I1261" s="14">
        <f t="shared" si="252"/>
        <v>4.9080277977488311</v>
      </c>
      <c r="J1261" s="14">
        <f t="shared" si="253"/>
        <v>0.95058712405739354</v>
      </c>
      <c r="K1261" s="14">
        <f t="shared" si="254"/>
        <v>2.8926380744575568</v>
      </c>
      <c r="L1261" s="14">
        <f t="shared" si="255"/>
        <v>683.38646836620615</v>
      </c>
      <c r="M1261" s="14">
        <f t="shared" si="249"/>
        <v>0.18085679642291863</v>
      </c>
      <c r="N1261" s="14">
        <f t="shared" si="256"/>
        <v>4.6281756584614939</v>
      </c>
      <c r="O1261" s="4">
        <v>2.2200000000000002</v>
      </c>
      <c r="P1261" s="14">
        <f t="shared" si="259"/>
        <v>5.7993100020064485</v>
      </c>
      <c r="Q1261" s="14">
        <f t="shared" si="257"/>
        <v>18.60756764561879</v>
      </c>
    </row>
    <row r="1262" spans="1:17" x14ac:dyDescent="0.25">
      <c r="A1262" s="5" t="s">
        <v>1319</v>
      </c>
      <c r="B1262" s="6">
        <f t="shared" si="258"/>
        <v>10</v>
      </c>
      <c r="C1262" s="70">
        <v>16.475400919999998</v>
      </c>
      <c r="D1262" s="4">
        <v>0</v>
      </c>
      <c r="E1262" s="12">
        <f t="shared" si="247"/>
        <v>0</v>
      </c>
      <c r="F1262" s="12">
        <f t="shared" si="248"/>
        <v>0</v>
      </c>
      <c r="G1262" s="16">
        <f t="shared" si="250"/>
        <v>14.513653699635025</v>
      </c>
      <c r="H1262" s="14">
        <f t="shared" si="251"/>
        <v>0</v>
      </c>
      <c r="I1262" s="14">
        <f t="shared" si="252"/>
        <v>5.5123446818261579</v>
      </c>
      <c r="J1262" s="14">
        <f t="shared" si="253"/>
        <v>1.2138324256025279</v>
      </c>
      <c r="K1262" s="14">
        <f t="shared" si="254"/>
        <v>2.7149256622145774</v>
      </c>
      <c r="L1262" s="14">
        <f t="shared" si="255"/>
        <v>683.38332398202624</v>
      </c>
      <c r="M1262" s="14">
        <f t="shared" si="249"/>
        <v>0.17391772825609375</v>
      </c>
      <c r="N1262" s="14">
        <f t="shared" si="256"/>
        <v>4.45060297655351</v>
      </c>
      <c r="O1262" s="4">
        <v>2.21</v>
      </c>
      <c r="P1262" s="14">
        <f t="shared" si="259"/>
        <v>5.0203016985404494</v>
      </c>
      <c r="Q1262" s="14">
        <f t="shared" si="257"/>
        <v>18.693940625503846</v>
      </c>
    </row>
    <row r="1263" spans="1:17" x14ac:dyDescent="0.25">
      <c r="A1263" s="5" t="s">
        <v>1320</v>
      </c>
      <c r="B1263" s="6">
        <f t="shared" si="258"/>
        <v>10</v>
      </c>
      <c r="C1263" s="70">
        <v>16.561365129999999</v>
      </c>
      <c r="D1263" s="4">
        <v>1.3</v>
      </c>
      <c r="E1263" s="12">
        <f t="shared" si="247"/>
        <v>0</v>
      </c>
      <c r="F1263" s="12">
        <f t="shared" si="248"/>
        <v>1.3</v>
      </c>
      <c r="G1263" s="16">
        <f t="shared" si="250"/>
        <v>14.451112075580509</v>
      </c>
      <c r="H1263" s="14">
        <f t="shared" si="251"/>
        <v>0.2177476199965061</v>
      </c>
      <c r="I1263" s="14">
        <f t="shared" si="252"/>
        <v>5.6336197642789161</v>
      </c>
      <c r="J1263" s="14">
        <f t="shared" si="253"/>
        <v>1.1447940040580096</v>
      </c>
      <c r="K1263" s="14">
        <f t="shared" si="254"/>
        <v>2.7706499337058816</v>
      </c>
      <c r="L1263" s="14">
        <f t="shared" si="255"/>
        <v>683.37142960227527</v>
      </c>
      <c r="M1263" s="14">
        <f t="shared" si="249"/>
        <v>0.17609082858048969</v>
      </c>
      <c r="N1263" s="14">
        <f t="shared" si="256"/>
        <v>4.5062132174937819</v>
      </c>
      <c r="O1263" s="4">
        <v>2.1800000000000002</v>
      </c>
      <c r="P1263" s="14">
        <f t="shared" si="259"/>
        <v>5.4112679332427724</v>
      </c>
      <c r="Q1263" s="14">
        <f t="shared" si="257"/>
        <v>18.95425956515901</v>
      </c>
    </row>
    <row r="1264" spans="1:17" x14ac:dyDescent="0.25">
      <c r="A1264" s="5" t="s">
        <v>1321</v>
      </c>
      <c r="B1264" s="6">
        <f t="shared" si="258"/>
        <v>10</v>
      </c>
      <c r="C1264" s="70">
        <v>16.608076100000002</v>
      </c>
      <c r="D1264" s="4">
        <v>0</v>
      </c>
      <c r="E1264" s="12">
        <f t="shared" si="247"/>
        <v>0</v>
      </c>
      <c r="F1264" s="12">
        <f t="shared" si="248"/>
        <v>0</v>
      </c>
      <c r="G1264" s="16">
        <f t="shared" si="250"/>
        <v>13.297917885968669</v>
      </c>
      <c r="H1264" s="14">
        <f t="shared" si="251"/>
        <v>0</v>
      </c>
      <c r="I1264" s="14">
        <f t="shared" si="252"/>
        <v>5.6995178483559839</v>
      </c>
      <c r="J1264" s="14">
        <f t="shared" si="253"/>
        <v>1.1531941896118394</v>
      </c>
      <c r="K1264" s="14">
        <f t="shared" si="254"/>
        <v>2.6037070546167778</v>
      </c>
      <c r="L1264" s="14">
        <f t="shared" si="255"/>
        <v>683.36228165278385</v>
      </c>
      <c r="M1264" s="14">
        <f t="shared" si="249"/>
        <v>0.16957095471706699</v>
      </c>
      <c r="N1264" s="14">
        <f t="shared" si="256"/>
        <v>4.3393678342527213</v>
      </c>
      <c r="O1264" s="4">
        <v>2.1800000000000002</v>
      </c>
      <c r="P1264" s="14">
        <f t="shared" si="259"/>
        <v>4.6628694436052873</v>
      </c>
      <c r="Q1264" s="14">
        <f t="shared" si="257"/>
        <v>18.95425956515901</v>
      </c>
    </row>
    <row r="1265" spans="1:17" x14ac:dyDescent="0.25">
      <c r="A1265" s="5" t="s">
        <v>1322</v>
      </c>
      <c r="B1265" s="6">
        <f t="shared" si="258"/>
        <v>10</v>
      </c>
      <c r="C1265" s="70">
        <v>16.579326630000001</v>
      </c>
      <c r="D1265" s="4">
        <v>18.899999999999999</v>
      </c>
      <c r="E1265" s="12">
        <f t="shared" si="247"/>
        <v>0</v>
      </c>
      <c r="F1265" s="12">
        <f t="shared" si="248"/>
        <v>18.899999999999999</v>
      </c>
      <c r="G1265" s="16">
        <f t="shared" si="250"/>
        <v>28.122821191374552</v>
      </c>
      <c r="H1265" s="14">
        <f t="shared" si="251"/>
        <v>3.0214784896248292</v>
      </c>
      <c r="I1265" s="14">
        <f t="shared" si="252"/>
        <v>5.6589591746390582</v>
      </c>
      <c r="J1265" s="14">
        <f t="shared" si="253"/>
        <v>1.0536182049692819</v>
      </c>
      <c r="K1265" s="14">
        <f t="shared" si="254"/>
        <v>5.4729809574166124</v>
      </c>
      <c r="L1265" s="14">
        <f t="shared" si="255"/>
        <v>683.34491528489173</v>
      </c>
      <c r="M1265" s="14">
        <f t="shared" si="249"/>
        <v>0.28159187409775011</v>
      </c>
      <c r="N1265" s="14">
        <f t="shared" si="256"/>
        <v>7.2060142781264513</v>
      </c>
      <c r="O1265" s="4">
        <v>2.21</v>
      </c>
      <c r="P1265" s="14">
        <f t="shared" si="259"/>
        <v>24.960158667243366</v>
      </c>
      <c r="Q1265" s="14">
        <f t="shared" si="257"/>
        <v>18.693940625503846</v>
      </c>
    </row>
    <row r="1266" spans="1:17" x14ac:dyDescent="0.25">
      <c r="A1266" s="5" t="s">
        <v>1323</v>
      </c>
      <c r="B1266" s="6">
        <f t="shared" si="258"/>
        <v>10</v>
      </c>
      <c r="C1266" s="70">
        <v>16.051557540000001</v>
      </c>
      <c r="D1266" s="4">
        <v>3.8</v>
      </c>
      <c r="E1266" s="12">
        <f t="shared" si="247"/>
        <v>0</v>
      </c>
      <c r="F1266" s="12">
        <f t="shared" si="248"/>
        <v>3.8</v>
      </c>
      <c r="G1266" s="16">
        <f t="shared" si="250"/>
        <v>29.082181632737324</v>
      </c>
      <c r="H1266" s="14">
        <f t="shared" si="251"/>
        <v>0.90558750077915773</v>
      </c>
      <c r="I1266" s="14">
        <f t="shared" si="252"/>
        <v>4.9144023421413605</v>
      </c>
      <c r="J1266" s="14">
        <f t="shared" si="253"/>
        <v>1.935052057858071</v>
      </c>
      <c r="K1266" s="14">
        <f t="shared" si="254"/>
        <v>5.9730544903658176</v>
      </c>
      <c r="L1266" s="14">
        <f t="shared" si="255"/>
        <v>683.4688373786239</v>
      </c>
      <c r="M1266" s="14">
        <f t="shared" si="249"/>
        <v>0.30114256671544637</v>
      </c>
      <c r="N1266" s="14">
        <f t="shared" si="256"/>
        <v>7.7063219329612496</v>
      </c>
      <c r="O1266" s="4">
        <v>2.79</v>
      </c>
      <c r="P1266" s="14">
        <f t="shared" si="259"/>
        <v>24.170221348515838</v>
      </c>
      <c r="Q1266" s="14">
        <f t="shared" si="257"/>
        <v>14.014907792170517</v>
      </c>
    </row>
    <row r="1267" spans="1:17" x14ac:dyDescent="0.25">
      <c r="A1267" s="5" t="s">
        <v>1324</v>
      </c>
      <c r="B1267" s="6">
        <f t="shared" si="258"/>
        <v>10</v>
      </c>
      <c r="C1267" s="70">
        <v>14.52993393</v>
      </c>
      <c r="D1267" s="4">
        <v>0.1</v>
      </c>
      <c r="E1267" s="12">
        <f t="shared" si="247"/>
        <v>0</v>
      </c>
      <c r="F1267" s="12">
        <f t="shared" si="248"/>
        <v>0.1</v>
      </c>
      <c r="G1267" s="16">
        <f t="shared" si="250"/>
        <v>28.030937476366365</v>
      </c>
      <c r="H1267" s="14">
        <f t="shared" si="251"/>
        <v>2.4261206746250426E-2</v>
      </c>
      <c r="I1267" s="14">
        <f t="shared" si="252"/>
        <v>2.7677528380650331</v>
      </c>
      <c r="J1267" s="14">
        <f t="shared" si="253"/>
        <v>1.1269829496247126</v>
      </c>
      <c r="K1267" s="14">
        <f t="shared" si="254"/>
        <v>5.5476535156993281</v>
      </c>
      <c r="L1267" s="14">
        <f t="shared" si="255"/>
        <v>683.61735699332121</v>
      </c>
      <c r="M1267" s="14">
        <f t="shared" si="249"/>
        <v>0.28456534066222866</v>
      </c>
      <c r="N1267" s="14">
        <f t="shared" si="256"/>
        <v>7.2821061134743932</v>
      </c>
      <c r="O1267" s="4">
        <v>3.07</v>
      </c>
      <c r="P1267" s="14">
        <f t="shared" si="259"/>
        <v>17.741837911168354</v>
      </c>
      <c r="Q1267" s="14">
        <f t="shared" si="257"/>
        <v>11.996864355388912</v>
      </c>
    </row>
    <row r="1268" spans="1:17" x14ac:dyDescent="0.25">
      <c r="A1268" s="5" t="s">
        <v>1325</v>
      </c>
      <c r="B1268" s="6">
        <f t="shared" si="258"/>
        <v>10</v>
      </c>
      <c r="C1268" s="70">
        <v>15.94372368</v>
      </c>
      <c r="D1268" s="4">
        <v>0</v>
      </c>
      <c r="E1268" s="12">
        <f t="shared" si="247"/>
        <v>0</v>
      </c>
      <c r="F1268" s="12">
        <f t="shared" si="248"/>
        <v>0</v>
      </c>
      <c r="G1268" s="16">
        <f t="shared" si="250"/>
        <v>26.161912544855156</v>
      </c>
      <c r="H1268" s="14">
        <f t="shared" si="251"/>
        <v>0</v>
      </c>
      <c r="I1268" s="14">
        <f t="shared" si="252"/>
        <v>4.7622743779257952</v>
      </c>
      <c r="J1268" s="14">
        <f t="shared" si="253"/>
        <v>1.8690249315112089</v>
      </c>
      <c r="K1268" s="14">
        <f t="shared" si="254"/>
        <v>5.1355471972756614</v>
      </c>
      <c r="L1268" s="14">
        <f t="shared" si="255"/>
        <v>683.74489797108265</v>
      </c>
      <c r="M1268" s="14">
        <f t="shared" si="249"/>
        <v>0.2685027068129574</v>
      </c>
      <c r="N1268" s="14">
        <f t="shared" si="256"/>
        <v>6.8710588514288062</v>
      </c>
      <c r="O1268" s="4">
        <v>2.52</v>
      </c>
      <c r="P1268" s="14">
        <f t="shared" si="259"/>
        <v>18.931713128596968</v>
      </c>
      <c r="Q1268" s="14">
        <f t="shared" si="257"/>
        <v>16.109378249067063</v>
      </c>
    </row>
    <row r="1269" spans="1:17" x14ac:dyDescent="0.25">
      <c r="A1269" s="5" t="s">
        <v>1326</v>
      </c>
      <c r="B1269" s="6">
        <f t="shared" si="258"/>
        <v>10</v>
      </c>
      <c r="C1269" s="70">
        <v>15.136939050000001</v>
      </c>
      <c r="D1269" s="4">
        <v>0</v>
      </c>
      <c r="E1269" s="12">
        <f t="shared" si="247"/>
        <v>0</v>
      </c>
      <c r="F1269" s="12">
        <f t="shared" si="248"/>
        <v>0</v>
      </c>
      <c r="G1269" s="16">
        <f t="shared" si="250"/>
        <v>24.834420679787765</v>
      </c>
      <c r="H1269" s="14">
        <f t="shared" si="251"/>
        <v>0</v>
      </c>
      <c r="I1269" s="14">
        <f t="shared" si="252"/>
        <v>3.6240928890844777</v>
      </c>
      <c r="J1269" s="14">
        <f t="shared" si="253"/>
        <v>1.3274918650673919</v>
      </c>
      <c r="K1269" s="14">
        <f t="shared" si="254"/>
        <v>4.7598230438053886</v>
      </c>
      <c r="L1269" s="14">
        <f t="shared" si="255"/>
        <v>683.85211941773991</v>
      </c>
      <c r="M1269" s="14">
        <f t="shared" si="249"/>
        <v>0.25385620762002337</v>
      </c>
      <c r="N1269" s="14">
        <f t="shared" si="256"/>
        <v>6.4962508686096259</v>
      </c>
      <c r="O1269" s="4">
        <v>2.3199999999999998</v>
      </c>
      <c r="P1269" s="14">
        <f t="shared" si="259"/>
        <v>17.44107131756266</v>
      </c>
      <c r="Q1269" s="14">
        <f t="shared" si="257"/>
        <v>17.754837846768218</v>
      </c>
    </row>
    <row r="1270" spans="1:17" x14ac:dyDescent="0.25">
      <c r="A1270" s="5" t="s">
        <v>1327</v>
      </c>
      <c r="B1270" s="6">
        <f t="shared" si="258"/>
        <v>10</v>
      </c>
      <c r="C1270" s="70">
        <v>15.36432838</v>
      </c>
      <c r="D1270" s="4">
        <v>0</v>
      </c>
      <c r="E1270" s="12">
        <f t="shared" si="247"/>
        <v>0</v>
      </c>
      <c r="F1270" s="12">
        <f t="shared" si="248"/>
        <v>0</v>
      </c>
      <c r="G1270" s="16">
        <f t="shared" si="250"/>
        <v>23.462744919812742</v>
      </c>
      <c r="H1270" s="14">
        <f t="shared" si="251"/>
        <v>0</v>
      </c>
      <c r="I1270" s="14">
        <f t="shared" si="252"/>
        <v>3.9448852251581448</v>
      </c>
      <c r="J1270" s="14">
        <f t="shared" si="253"/>
        <v>1.3716757599750216</v>
      </c>
      <c r="K1270" s="14">
        <f t="shared" si="254"/>
        <v>4.4172691124778316</v>
      </c>
      <c r="L1270" s="14">
        <f t="shared" si="255"/>
        <v>683.94081714144738</v>
      </c>
      <c r="M1270" s="14">
        <f t="shared" si="249"/>
        <v>0.24050082225038455</v>
      </c>
      <c r="N1270" s="14">
        <f t="shared" si="256"/>
        <v>6.1544828471713</v>
      </c>
      <c r="O1270" s="4">
        <v>2.2599999999999998</v>
      </c>
      <c r="P1270" s="14">
        <f t="shared" si="259"/>
        <v>15.166996646911477</v>
      </c>
      <c r="Q1270" s="14">
        <f t="shared" si="257"/>
        <v>18.264075726078559</v>
      </c>
    </row>
    <row r="1271" spans="1:17" x14ac:dyDescent="0.25">
      <c r="A1271" s="5" t="s">
        <v>1328</v>
      </c>
      <c r="B1271" s="6">
        <f t="shared" si="258"/>
        <v>10</v>
      </c>
      <c r="C1271" s="70">
        <v>16.224765779999998</v>
      </c>
      <c r="D1271" s="4">
        <v>0</v>
      </c>
      <c r="E1271" s="12">
        <f t="shared" si="247"/>
        <v>0</v>
      </c>
      <c r="F1271" s="12">
        <f t="shared" si="248"/>
        <v>0</v>
      </c>
      <c r="G1271" s="16">
        <f t="shared" si="250"/>
        <v>21.768067529871416</v>
      </c>
      <c r="H1271" s="14">
        <f t="shared" si="251"/>
        <v>0</v>
      </c>
      <c r="I1271" s="14">
        <f t="shared" si="252"/>
        <v>5.1587580290894133</v>
      </c>
      <c r="J1271" s="14">
        <f t="shared" si="253"/>
        <v>1.6946773899413277</v>
      </c>
      <c r="K1271" s="14">
        <f t="shared" si="254"/>
        <v>4.1049570218545464</v>
      </c>
      <c r="L1271" s="14">
        <f t="shared" si="255"/>
        <v>684.01262840982031</v>
      </c>
      <c r="M1271" s="14">
        <f t="shared" si="249"/>
        <v>0.2283225671405841</v>
      </c>
      <c r="N1271" s="14">
        <f t="shared" si="256"/>
        <v>5.8428379160628641</v>
      </c>
      <c r="O1271" s="4">
        <v>2.17</v>
      </c>
      <c r="P1271" s="14">
        <f t="shared" si="259"/>
        <v>13.489738357669003</v>
      </c>
      <c r="Q1271" s="14">
        <f t="shared" si="257"/>
        <v>19.041432545044074</v>
      </c>
    </row>
    <row r="1272" spans="1:17" x14ac:dyDescent="0.25">
      <c r="A1272" s="5" t="s">
        <v>1329</v>
      </c>
      <c r="B1272" s="6">
        <f t="shared" si="258"/>
        <v>11</v>
      </c>
      <c r="C1272" s="70">
        <v>17.308935170000002</v>
      </c>
      <c r="D1272" s="4">
        <v>0</v>
      </c>
      <c r="E1272" s="12">
        <f t="shared" si="247"/>
        <v>0</v>
      </c>
      <c r="F1272" s="12">
        <f t="shared" si="248"/>
        <v>0</v>
      </c>
      <c r="G1272" s="16">
        <f t="shared" si="250"/>
        <v>20.001884198350005</v>
      </c>
      <c r="H1272" s="14">
        <f t="shared" si="251"/>
        <v>0</v>
      </c>
      <c r="I1272" s="14">
        <f t="shared" si="252"/>
        <v>5.7949920888274269</v>
      </c>
      <c r="J1272" s="14">
        <f t="shared" si="253"/>
        <v>1.7661833315214126</v>
      </c>
      <c r="K1272" s="14">
        <f t="shared" si="254"/>
        <v>3.8202169180948893</v>
      </c>
      <c r="L1272" s="14">
        <f t="shared" si="255"/>
        <v>684.06904594643947</v>
      </c>
      <c r="M1272" s="14">
        <f t="shared" si="249"/>
        <v>0.21721752158858276</v>
      </c>
      <c r="N1272" s="14">
        <f t="shared" si="256"/>
        <v>5.5586567156522744</v>
      </c>
      <c r="O1272" s="4">
        <v>2</v>
      </c>
      <c r="P1272" s="14">
        <f t="shared" si="259"/>
        <v>12.664037619857032</v>
      </c>
      <c r="Q1272" s="14">
        <f t="shared" si="257"/>
        <v>20.553973203090049</v>
      </c>
    </row>
    <row r="1273" spans="1:17" x14ac:dyDescent="0.25">
      <c r="A1273" s="5" t="s">
        <v>1330</v>
      </c>
      <c r="B1273" s="6">
        <f t="shared" si="258"/>
        <v>11</v>
      </c>
      <c r="C1273" s="70">
        <v>17.35497475</v>
      </c>
      <c r="D1273" s="4">
        <v>0</v>
      </c>
      <c r="E1273" s="12">
        <f t="shared" si="247"/>
        <v>0</v>
      </c>
      <c r="F1273" s="12">
        <f t="shared" si="248"/>
        <v>0</v>
      </c>
      <c r="G1273" s="16">
        <f t="shared" si="250"/>
        <v>18.363002506300951</v>
      </c>
      <c r="H1273" s="14">
        <f t="shared" si="251"/>
        <v>0</v>
      </c>
      <c r="I1273" s="14">
        <f t="shared" si="252"/>
        <v>5.8521255781150785</v>
      </c>
      <c r="J1273" s="14">
        <f t="shared" si="253"/>
        <v>1.6388816920490545</v>
      </c>
      <c r="K1273" s="14">
        <f t="shared" si="254"/>
        <v>3.5606146512493955</v>
      </c>
      <c r="L1273" s="14">
        <f t="shared" si="255"/>
        <v>684.11143069169634</v>
      </c>
      <c r="M1273" s="14">
        <f t="shared" si="249"/>
        <v>0.20709093936969952</v>
      </c>
      <c r="N1273" s="14">
        <f t="shared" si="256"/>
        <v>5.2995146637315464</v>
      </c>
      <c r="O1273" s="4">
        <v>1.92</v>
      </c>
      <c r="P1273" s="14">
        <f t="shared" si="259"/>
        <v>11.421119362376547</v>
      </c>
      <c r="Q1273" s="14">
        <f t="shared" si="257"/>
        <v>21.285757042170509</v>
      </c>
    </row>
    <row r="1274" spans="1:17" x14ac:dyDescent="0.25">
      <c r="A1274" s="5" t="s">
        <v>1331</v>
      </c>
      <c r="B1274" s="6">
        <f t="shared" si="258"/>
        <v>11</v>
      </c>
      <c r="C1274" s="70">
        <v>17.664718629999999</v>
      </c>
      <c r="D1274" s="4">
        <v>0.2</v>
      </c>
      <c r="E1274" s="12">
        <f t="shared" si="247"/>
        <v>0</v>
      </c>
      <c r="F1274" s="12">
        <f t="shared" si="248"/>
        <v>0.2</v>
      </c>
      <c r="G1274" s="16">
        <f t="shared" si="250"/>
        <v>16.921604116665108</v>
      </c>
      <c r="H1274" s="14">
        <f t="shared" si="251"/>
        <v>3.7975238365495483E-2</v>
      </c>
      <c r="I1274" s="14">
        <f t="shared" si="252"/>
        <v>6.2365067703391581</v>
      </c>
      <c r="J1274" s="14">
        <f t="shared" si="253"/>
        <v>1.6034231512703498</v>
      </c>
      <c r="K1274" s="14">
        <f t="shared" si="254"/>
        <v>3.3619062048740713</v>
      </c>
      <c r="L1274" s="14">
        <f t="shared" si="255"/>
        <v>684.14102343706747</v>
      </c>
      <c r="M1274" s="14">
        <f t="shared" si="249"/>
        <v>0.19933910016233863</v>
      </c>
      <c r="N1274" s="14">
        <f t="shared" si="256"/>
        <v>5.1011429451265133</v>
      </c>
      <c r="O1274" s="4">
        <v>1.96</v>
      </c>
      <c r="P1274" s="14">
        <f t="shared" si="259"/>
        <v>9.8667790017180668</v>
      </c>
      <c r="Q1274" s="14">
        <f t="shared" si="257"/>
        <v>20.918265122630277</v>
      </c>
    </row>
    <row r="1275" spans="1:17" x14ac:dyDescent="0.25">
      <c r="A1275" s="5" t="s">
        <v>1332</v>
      </c>
      <c r="B1275" s="6">
        <f t="shared" si="258"/>
        <v>11</v>
      </c>
      <c r="C1275" s="70">
        <v>17.107242580000001</v>
      </c>
      <c r="D1275" s="4">
        <v>0</v>
      </c>
      <c r="E1275" s="12">
        <f t="shared" si="247"/>
        <v>0</v>
      </c>
      <c r="F1275" s="12">
        <f t="shared" si="248"/>
        <v>0</v>
      </c>
      <c r="G1275" s="16">
        <f t="shared" si="250"/>
        <v>15.607945429793741</v>
      </c>
      <c r="H1275" s="14">
        <f t="shared" si="251"/>
        <v>0</v>
      </c>
      <c r="I1275" s="14">
        <f t="shared" si="252"/>
        <v>5.544698723202373</v>
      </c>
      <c r="J1275" s="14">
        <f t="shared" si="253"/>
        <v>1.3136586868713676</v>
      </c>
      <c r="K1275" s="14">
        <f t="shared" si="254"/>
        <v>3.1427651860678889</v>
      </c>
      <c r="L1275" s="14">
        <f t="shared" si="255"/>
        <v>684.16082535571138</v>
      </c>
      <c r="M1275" s="14">
        <f t="shared" si="249"/>
        <v>0.19078742946966856</v>
      </c>
      <c r="N1275" s="14">
        <f t="shared" si="256"/>
        <v>4.882303316637004</v>
      </c>
      <c r="O1275" s="4">
        <v>1.98</v>
      </c>
      <c r="P1275" s="14">
        <f t="shared" si="259"/>
        <v>8.4233645417621528</v>
      </c>
      <c r="Q1275" s="14">
        <f t="shared" si="257"/>
        <v>20.735719162860168</v>
      </c>
    </row>
    <row r="1276" spans="1:17" x14ac:dyDescent="0.25">
      <c r="A1276" s="5" t="s">
        <v>1333</v>
      </c>
      <c r="B1276" s="6">
        <f t="shared" si="258"/>
        <v>11</v>
      </c>
      <c r="C1276" s="70">
        <v>17.5845108</v>
      </c>
      <c r="D1276" s="4">
        <v>1.7</v>
      </c>
      <c r="E1276" s="12">
        <f t="shared" si="247"/>
        <v>0</v>
      </c>
      <c r="F1276" s="12">
        <f t="shared" si="248"/>
        <v>1.7</v>
      </c>
      <c r="G1276" s="16">
        <f t="shared" si="250"/>
        <v>15.670843263523244</v>
      </c>
      <c r="H1276" s="14">
        <f t="shared" si="251"/>
        <v>0.2959967506282345</v>
      </c>
      <c r="I1276" s="14">
        <f t="shared" si="252"/>
        <v>6.1369716921283919</v>
      </c>
      <c r="J1276" s="14">
        <f t="shared" si="253"/>
        <v>1.3411054156422633</v>
      </c>
      <c r="K1276" s="14">
        <f t="shared" si="254"/>
        <v>3.2389674416820484</v>
      </c>
      <c r="L1276" s="14">
        <f t="shared" si="255"/>
        <v>684.16983242125571</v>
      </c>
      <c r="M1276" s="14">
        <f t="shared" si="249"/>
        <v>0.19454535805860321</v>
      </c>
      <c r="N1276" s="14">
        <f t="shared" si="256"/>
        <v>4.9784697530968947</v>
      </c>
      <c r="O1276" s="4">
        <v>1.97</v>
      </c>
      <c r="P1276" s="14">
        <f t="shared" si="259"/>
        <v>9.0508902552988921</v>
      </c>
      <c r="Q1276" s="14">
        <f t="shared" si="257"/>
        <v>20.826892142745223</v>
      </c>
    </row>
    <row r="1277" spans="1:17" x14ac:dyDescent="0.25">
      <c r="A1277" s="5" t="s">
        <v>1334</v>
      </c>
      <c r="B1277" s="6">
        <f t="shared" si="258"/>
        <v>11</v>
      </c>
      <c r="C1277" s="70">
        <v>17.632659910000001</v>
      </c>
      <c r="D1277" s="4">
        <v>0</v>
      </c>
      <c r="E1277" s="12">
        <f t="shared" si="247"/>
        <v>0</v>
      </c>
      <c r="F1277" s="12">
        <f t="shared" si="248"/>
        <v>0</v>
      </c>
      <c r="G1277" s="16">
        <f t="shared" si="250"/>
        <v>14.311223369063061</v>
      </c>
      <c r="H1277" s="14">
        <f t="shared" si="251"/>
        <v>0</v>
      </c>
      <c r="I1277" s="14">
        <f t="shared" si="252"/>
        <v>6.196723033482832</v>
      </c>
      <c r="J1277" s="14">
        <f t="shared" si="253"/>
        <v>1.3596198944601832</v>
      </c>
      <c r="K1277" s="14">
        <f t="shared" si="254"/>
        <v>3.030679880252416</v>
      </c>
      <c r="L1277" s="14">
        <f t="shared" si="255"/>
        <v>684.18357462462666</v>
      </c>
      <c r="M1277" s="14">
        <f t="shared" si="249"/>
        <v>0.18641614634838499</v>
      </c>
      <c r="N1277" s="14">
        <f t="shared" si="256"/>
        <v>4.7704409673180468</v>
      </c>
      <c r="O1277" s="4">
        <v>1.95</v>
      </c>
      <c r="P1277" s="14">
        <f t="shared" si="259"/>
        <v>7.9548872501259584</v>
      </c>
      <c r="Q1277" s="14">
        <f t="shared" si="257"/>
        <v>21.009838102515335</v>
      </c>
    </row>
    <row r="1278" spans="1:17" x14ac:dyDescent="0.25">
      <c r="A1278" s="5" t="s">
        <v>1335</v>
      </c>
      <c r="B1278" s="6">
        <f t="shared" si="258"/>
        <v>11</v>
      </c>
      <c r="C1278" s="70">
        <v>17.26148796</v>
      </c>
      <c r="D1278" s="4">
        <v>0</v>
      </c>
      <c r="E1278" s="12">
        <f t="shared" si="247"/>
        <v>0</v>
      </c>
      <c r="F1278" s="12">
        <f t="shared" si="248"/>
        <v>0</v>
      </c>
      <c r="G1278" s="16">
        <f t="shared" si="250"/>
        <v>13.161859807742283</v>
      </c>
      <c r="H1278" s="14">
        <f t="shared" si="251"/>
        <v>0</v>
      </c>
      <c r="I1278" s="14">
        <f t="shared" si="252"/>
        <v>5.7361117805304342</v>
      </c>
      <c r="J1278" s="14">
        <f t="shared" si="253"/>
        <v>1.1493635613207782</v>
      </c>
      <c r="K1278" s="14">
        <f t="shared" si="254"/>
        <v>2.8407806620218383</v>
      </c>
      <c r="L1278" s="14">
        <f t="shared" si="255"/>
        <v>684.18705769650887</v>
      </c>
      <c r="M1278" s="14">
        <f t="shared" si="249"/>
        <v>0.17900268241871947</v>
      </c>
      <c r="N1278" s="14">
        <f t="shared" si="256"/>
        <v>4.5807283660623703</v>
      </c>
      <c r="O1278" s="4">
        <v>2.0299999999999998</v>
      </c>
      <c r="P1278" s="14">
        <f t="shared" si="259"/>
        <v>6.5062151974352105</v>
      </c>
      <c r="Q1278" s="14">
        <f t="shared" si="257"/>
        <v>20.282854263434874</v>
      </c>
    </row>
    <row r="1279" spans="1:17" x14ac:dyDescent="0.25">
      <c r="A1279" s="5" t="s">
        <v>1336</v>
      </c>
      <c r="B1279" s="6">
        <f t="shared" si="258"/>
        <v>11</v>
      </c>
      <c r="C1279" s="70">
        <v>17.595148089999999</v>
      </c>
      <c r="D1279" s="4">
        <v>0</v>
      </c>
      <c r="E1279" s="12">
        <f t="shared" si="247"/>
        <v>0</v>
      </c>
      <c r="F1279" s="12">
        <f t="shared" si="248"/>
        <v>0</v>
      </c>
      <c r="G1279" s="16">
        <f t="shared" si="250"/>
        <v>12.028500555771188</v>
      </c>
      <c r="H1279" s="14">
        <f t="shared" si="251"/>
        <v>0</v>
      </c>
      <c r="I1279" s="14">
        <f t="shared" si="252"/>
        <v>6.1501721925296682</v>
      </c>
      <c r="J1279" s="14">
        <f t="shared" si="253"/>
        <v>1.1333592519710944</v>
      </c>
      <c r="K1279" s="14">
        <f t="shared" si="254"/>
        <v>2.6676464007291023</v>
      </c>
      <c r="L1279" s="14">
        <f t="shared" si="255"/>
        <v>684.18118927538285</v>
      </c>
      <c r="M1279" s="14">
        <f t="shared" si="249"/>
        <v>0.17224177800123949</v>
      </c>
      <c r="N1279" s="14">
        <f t="shared" si="256"/>
        <v>4.4077149439900518</v>
      </c>
      <c r="O1279" s="4">
        <v>2.0499999999999998</v>
      </c>
      <c r="P1279" s="14">
        <f t="shared" si="259"/>
        <v>5.5588197571140139</v>
      </c>
      <c r="Q1279" s="14">
        <f t="shared" si="257"/>
        <v>20.103108303664765</v>
      </c>
    </row>
    <row r="1280" spans="1:17" x14ac:dyDescent="0.25">
      <c r="A1280" s="5" t="s">
        <v>1337</v>
      </c>
      <c r="B1280" s="6">
        <f t="shared" si="258"/>
        <v>11</v>
      </c>
      <c r="C1280" s="70">
        <v>17.048114779999999</v>
      </c>
      <c r="D1280" s="4">
        <v>0</v>
      </c>
      <c r="E1280" s="12">
        <f t="shared" si="247"/>
        <v>0</v>
      </c>
      <c r="F1280" s="12">
        <f t="shared" si="248"/>
        <v>0</v>
      </c>
      <c r="G1280" s="16">
        <f t="shared" si="250"/>
        <v>11.107060850680028</v>
      </c>
      <c r="H1280" s="14">
        <f t="shared" si="251"/>
        <v>0</v>
      </c>
      <c r="I1280" s="14">
        <f t="shared" si="252"/>
        <v>5.4713232161299237</v>
      </c>
      <c r="J1280" s="14">
        <f t="shared" si="253"/>
        <v>0.92143970509115991</v>
      </c>
      <c r="K1280" s="14">
        <f t="shared" si="254"/>
        <v>2.5097970282425615</v>
      </c>
      <c r="L1280" s="14">
        <f t="shared" si="255"/>
        <v>684.16679686986822</v>
      </c>
      <c r="M1280" s="14">
        <f t="shared" si="249"/>
        <v>0.16607582330542234</v>
      </c>
      <c r="N1280" s="14">
        <f t="shared" si="256"/>
        <v>4.2499264505588981</v>
      </c>
      <c r="O1280" s="4">
        <v>2.0499999999999998</v>
      </c>
      <c r="P1280" s="14">
        <f t="shared" si="259"/>
        <v>4.8396763878686722</v>
      </c>
      <c r="Q1280" s="14">
        <f t="shared" si="257"/>
        <v>20.103108303664765</v>
      </c>
    </row>
    <row r="1281" spans="1:17" x14ac:dyDescent="0.25">
      <c r="A1281" s="5" t="s">
        <v>1338</v>
      </c>
      <c r="B1281" s="6">
        <f t="shared" si="258"/>
        <v>11</v>
      </c>
      <c r="C1281" s="70">
        <v>16.949066160000001</v>
      </c>
      <c r="D1281" s="4">
        <v>0</v>
      </c>
      <c r="E1281" s="12">
        <f t="shared" si="247"/>
        <v>0</v>
      </c>
      <c r="F1281" s="12">
        <f t="shared" si="248"/>
        <v>0</v>
      </c>
      <c r="G1281" s="16">
        <f t="shared" si="250"/>
        <v>10.275322572079412</v>
      </c>
      <c r="H1281" s="14">
        <f t="shared" si="251"/>
        <v>0</v>
      </c>
      <c r="I1281" s="14">
        <f t="shared" si="252"/>
        <v>5.3484073843667614</v>
      </c>
      <c r="J1281" s="14">
        <f t="shared" si="253"/>
        <v>0.83173827860061567</v>
      </c>
      <c r="K1281" s="14">
        <f t="shared" si="254"/>
        <v>2.3658831419421147</v>
      </c>
      <c r="L1281" s="14">
        <f t="shared" si="255"/>
        <v>684.14463493286326</v>
      </c>
      <c r="M1281" s="14">
        <f t="shared" si="249"/>
        <v>0.16045229453135496</v>
      </c>
      <c r="N1281" s="14">
        <f t="shared" si="256"/>
        <v>4.1060187871391882</v>
      </c>
      <c r="O1281" s="4">
        <v>1.91</v>
      </c>
      <c r="P1281" s="14">
        <f t="shared" si="259"/>
        <v>4.822498513468271</v>
      </c>
      <c r="Q1281" s="14">
        <f t="shared" si="257"/>
        <v>21.378130022055565</v>
      </c>
    </row>
    <row r="1282" spans="1:17" x14ac:dyDescent="0.25">
      <c r="A1282" s="5" t="s">
        <v>1339</v>
      </c>
      <c r="B1282" s="6">
        <f t="shared" si="258"/>
        <v>11</v>
      </c>
      <c r="C1282" s="70">
        <v>17.873319630000001</v>
      </c>
      <c r="D1282" s="4">
        <v>0</v>
      </c>
      <c r="E1282" s="12">
        <f t="shared" si="247"/>
        <v>0</v>
      </c>
      <c r="F1282" s="12">
        <f t="shared" si="248"/>
        <v>0</v>
      </c>
      <c r="G1282" s="16">
        <f t="shared" si="250"/>
        <v>9.3408584455021302</v>
      </c>
      <c r="H1282" s="14">
        <f t="shared" si="251"/>
        <v>0</v>
      </c>
      <c r="I1282" s="14">
        <f t="shared" si="252"/>
        <v>6.4953732282628343</v>
      </c>
      <c r="J1282" s="14">
        <f t="shared" si="253"/>
        <v>0.93446412657728273</v>
      </c>
      <c r="K1282" s="14">
        <f t="shared" si="254"/>
        <v>2.2346744691178761</v>
      </c>
      <c r="L1282" s="14">
        <f t="shared" si="255"/>
        <v>684.11539131115615</v>
      </c>
      <c r="M1282" s="14">
        <f t="shared" si="249"/>
        <v>0.1553233048609684</v>
      </c>
      <c r="N1282" s="14">
        <f t="shared" si="256"/>
        <v>3.9747665167546424</v>
      </c>
      <c r="O1282" s="4">
        <v>1.87</v>
      </c>
      <c r="P1282" s="14">
        <f t="shared" si="259"/>
        <v>4.4300420900514696</v>
      </c>
      <c r="Q1282" s="14">
        <f t="shared" si="257"/>
        <v>21.749621941595795</v>
      </c>
    </row>
    <row r="1283" spans="1:17" x14ac:dyDescent="0.25">
      <c r="A1283" s="5" t="s">
        <v>1340</v>
      </c>
      <c r="B1283" s="6">
        <f t="shared" si="258"/>
        <v>11</v>
      </c>
      <c r="C1283" s="70">
        <v>17.97549248</v>
      </c>
      <c r="D1283" s="4">
        <v>0</v>
      </c>
      <c r="E1283" s="12">
        <f t="shared" si="247"/>
        <v>0</v>
      </c>
      <c r="F1283" s="12">
        <f t="shared" si="248"/>
        <v>0</v>
      </c>
      <c r="G1283" s="16">
        <f t="shared" si="250"/>
        <v>8.4747945782570167</v>
      </c>
      <c r="H1283" s="14">
        <f t="shared" si="251"/>
        <v>0</v>
      </c>
      <c r="I1283" s="14">
        <f t="shared" si="252"/>
        <v>6.6221661188792096</v>
      </c>
      <c r="J1283" s="14">
        <f t="shared" si="253"/>
        <v>0.8660638672451143</v>
      </c>
      <c r="K1283" s="14">
        <f t="shared" si="254"/>
        <v>2.1150493497714558</v>
      </c>
      <c r="L1283" s="14">
        <f t="shared" si="255"/>
        <v>684.0796931256416</v>
      </c>
      <c r="M1283" s="14">
        <f t="shared" si="249"/>
        <v>0.15064519508931248</v>
      </c>
      <c r="N1283" s="14">
        <f t="shared" si="256"/>
        <v>3.8550523882230312</v>
      </c>
      <c r="O1283" s="4">
        <v>1.89</v>
      </c>
      <c r="P1283" s="14">
        <f t="shared" si="259"/>
        <v>3.8614308884610389</v>
      </c>
      <c r="Q1283" s="14">
        <f t="shared" si="257"/>
        <v>21.563475981825682</v>
      </c>
    </row>
    <row r="1284" spans="1:17" x14ac:dyDescent="0.25">
      <c r="A1284" s="5" t="s">
        <v>1341</v>
      </c>
      <c r="B1284" s="6">
        <f t="shared" si="258"/>
        <v>11</v>
      </c>
      <c r="C1284" s="70">
        <v>17.41784668</v>
      </c>
      <c r="D1284" s="4">
        <v>0</v>
      </c>
      <c r="E1284" s="12">
        <f t="shared" si="247"/>
        <v>0</v>
      </c>
      <c r="F1284" s="12">
        <f t="shared" si="248"/>
        <v>0</v>
      </c>
      <c r="G1284" s="16">
        <f t="shared" si="250"/>
        <v>7.7711428996740795</v>
      </c>
      <c r="H1284" s="14">
        <f t="shared" si="251"/>
        <v>0</v>
      </c>
      <c r="I1284" s="14">
        <f t="shared" si="252"/>
        <v>5.9301474180004341</v>
      </c>
      <c r="J1284" s="14">
        <f t="shared" si="253"/>
        <v>0.70365167858293687</v>
      </c>
      <c r="K1284" s="14">
        <f t="shared" si="254"/>
        <v>2.0059851479117614</v>
      </c>
      <c r="L1284" s="14">
        <f t="shared" si="255"/>
        <v>684.03811213241204</v>
      </c>
      <c r="M1284" s="14">
        <f t="shared" si="249"/>
        <v>0.14637816039631096</v>
      </c>
      <c r="N1284" s="14">
        <f t="shared" si="256"/>
        <v>3.7458577851417081</v>
      </c>
      <c r="O1284" s="4">
        <v>2.02</v>
      </c>
      <c r="P1284" s="14">
        <f t="shared" si="259"/>
        <v>2.978585094534242</v>
      </c>
      <c r="Q1284" s="14">
        <f t="shared" si="257"/>
        <v>20.373027243319932</v>
      </c>
    </row>
    <row r="1285" spans="1:17" x14ac:dyDescent="0.25">
      <c r="A1285" s="5" t="s">
        <v>1342</v>
      </c>
      <c r="B1285" s="6">
        <f t="shared" si="258"/>
        <v>11</v>
      </c>
      <c r="C1285" s="70">
        <v>17.939857480000001</v>
      </c>
      <c r="D1285" s="4">
        <v>0</v>
      </c>
      <c r="E1285" s="12">
        <f t="shared" si="247"/>
        <v>0</v>
      </c>
      <c r="F1285" s="12">
        <f t="shared" si="248"/>
        <v>0</v>
      </c>
      <c r="G1285" s="16">
        <f t="shared" si="250"/>
        <v>7.0554311482957397</v>
      </c>
      <c r="H1285" s="14">
        <f t="shared" si="251"/>
        <v>0</v>
      </c>
      <c r="I1285" s="14">
        <f t="shared" si="252"/>
        <v>6.5779443451192083</v>
      </c>
      <c r="J1285" s="14">
        <f t="shared" si="253"/>
        <v>0.71571175137833953</v>
      </c>
      <c r="K1285" s="14">
        <f t="shared" si="254"/>
        <v>1.9065495093746279</v>
      </c>
      <c r="L1285" s="14">
        <f t="shared" si="255"/>
        <v>683.99116961055279</v>
      </c>
      <c r="M1285" s="14">
        <f t="shared" si="249"/>
        <v>0.14611457571860567</v>
      </c>
      <c r="N1285" s="14">
        <f t="shared" si="256"/>
        <v>3.739112580021263</v>
      </c>
      <c r="O1285" s="4">
        <v>1.93</v>
      </c>
      <c r="P1285" s="14">
        <f t="shared" si="259"/>
        <v>3.272888327191191</v>
      </c>
      <c r="Q1285" s="14">
        <f t="shared" si="257"/>
        <v>21.193584062285453</v>
      </c>
    </row>
    <row r="1286" spans="1:17" x14ac:dyDescent="0.25">
      <c r="A1286" s="5" t="s">
        <v>1343</v>
      </c>
      <c r="B1286" s="6">
        <f t="shared" si="258"/>
        <v>11</v>
      </c>
      <c r="C1286" s="70">
        <v>17.871761320000001</v>
      </c>
      <c r="D1286" s="4">
        <v>3.9</v>
      </c>
      <c r="E1286" s="12">
        <f t="shared" si="247"/>
        <v>0</v>
      </c>
      <c r="F1286" s="12">
        <f t="shared" si="248"/>
        <v>3.9</v>
      </c>
      <c r="G1286" s="16">
        <f t="shared" si="250"/>
        <v>9.8692557596713417</v>
      </c>
      <c r="H1286" s="14">
        <f t="shared" si="251"/>
        <v>0.44472745623835452</v>
      </c>
      <c r="I1286" s="14">
        <f t="shared" si="252"/>
        <v>6.4934394207065562</v>
      </c>
      <c r="J1286" s="14">
        <f t="shared" si="253"/>
        <v>0.64144793238604281</v>
      </c>
      <c r="K1286" s="14">
        <f t="shared" si="254"/>
        <v>2.2569911820203732</v>
      </c>
      <c r="L1286" s="14">
        <f t="shared" si="255"/>
        <v>683.93934081842679</v>
      </c>
      <c r="M1286" s="14">
        <f t="shared" si="249"/>
        <v>0.15615710937636482</v>
      </c>
      <c r="N1286" s="14">
        <f t="shared" si="256"/>
        <v>3.9961038059160026</v>
      </c>
      <c r="O1286" s="4">
        <v>2.19</v>
      </c>
      <c r="P1286" s="14">
        <f t="shared" si="259"/>
        <v>3.2620109577442697</v>
      </c>
      <c r="Q1286" s="14">
        <f t="shared" si="257"/>
        <v>18.867286585273956</v>
      </c>
    </row>
    <row r="1287" spans="1:17" x14ac:dyDescent="0.25">
      <c r="A1287" s="5" t="s">
        <v>1344</v>
      </c>
      <c r="B1287" s="6">
        <f t="shared" si="258"/>
        <v>11</v>
      </c>
      <c r="C1287" s="70">
        <v>16.989334110000001</v>
      </c>
      <c r="D1287" s="4">
        <v>0.1</v>
      </c>
      <c r="E1287" s="12">
        <f t="shared" si="247"/>
        <v>0</v>
      </c>
      <c r="F1287" s="12">
        <f t="shared" si="248"/>
        <v>0.1</v>
      </c>
      <c r="G1287" s="16">
        <f t="shared" si="250"/>
        <v>9.2096666379451637</v>
      </c>
      <c r="H1287" s="14">
        <f t="shared" si="251"/>
        <v>1.3637277298819382E-2</v>
      </c>
      <c r="I1287" s="14">
        <f t="shared" si="252"/>
        <v>5.3983784851014063</v>
      </c>
      <c r="J1287" s="14">
        <f t="shared" si="253"/>
        <v>0.74595184442735829</v>
      </c>
      <c r="K1287" s="14">
        <f t="shared" si="254"/>
        <v>2.1490331437060859</v>
      </c>
      <c r="L1287" s="14">
        <f t="shared" si="255"/>
        <v>683.90477902466353</v>
      </c>
      <c r="M1287" s="14">
        <f t="shared" si="249"/>
        <v>0.15193475773361706</v>
      </c>
      <c r="N1287" s="14">
        <f t="shared" si="256"/>
        <v>3.8880526545026308</v>
      </c>
      <c r="O1287" s="4">
        <v>2.35</v>
      </c>
      <c r="P1287" s="14">
        <f t="shared" si="259"/>
        <v>2.3656059680225887</v>
      </c>
      <c r="Q1287" s="14">
        <f t="shared" si="257"/>
        <v>17.502918907113035</v>
      </c>
    </row>
    <row r="1288" spans="1:17" x14ac:dyDescent="0.25">
      <c r="A1288" s="5" t="s">
        <v>1345</v>
      </c>
      <c r="B1288" s="6">
        <f t="shared" si="258"/>
        <v>11</v>
      </c>
      <c r="C1288" s="70">
        <v>16.784076689999999</v>
      </c>
      <c r="D1288" s="4">
        <v>0.4</v>
      </c>
      <c r="E1288" s="12">
        <f t="shared" si="247"/>
        <v>0</v>
      </c>
      <c r="F1288" s="12">
        <f t="shared" si="248"/>
        <v>0.4</v>
      </c>
      <c r="G1288" s="16">
        <f t="shared" si="250"/>
        <v>8.8938390548682911</v>
      </c>
      <c r="H1288" s="14">
        <f t="shared" si="251"/>
        <v>5.2574417690003254E-2</v>
      </c>
      <c r="I1288" s="14">
        <f t="shared" si="252"/>
        <v>5.1436612916174234</v>
      </c>
      <c r="J1288" s="14">
        <f t="shared" si="253"/>
        <v>0.66325316538686929</v>
      </c>
      <c r="K1288" s="14">
        <f t="shared" si="254"/>
        <v>2.0895431531784792</v>
      </c>
      <c r="L1288" s="14">
        <f t="shared" si="255"/>
        <v>683.86490867514749</v>
      </c>
      <c r="M1288" s="14">
        <f t="shared" si="249"/>
        <v>0.14960360574803791</v>
      </c>
      <c r="N1288" s="14">
        <f t="shared" si="256"/>
        <v>3.8283978276494426</v>
      </c>
      <c r="O1288" s="4">
        <v>2.4300000000000002</v>
      </c>
      <c r="P1288" s="14">
        <f t="shared" si="259"/>
        <v>1.9555164843746797</v>
      </c>
      <c r="Q1288" s="14">
        <f t="shared" si="257"/>
        <v>16.839935068032577</v>
      </c>
    </row>
    <row r="1289" spans="1:17" x14ac:dyDescent="0.25">
      <c r="A1289" s="5" t="s">
        <v>1346</v>
      </c>
      <c r="B1289" s="6">
        <f t="shared" si="258"/>
        <v>11</v>
      </c>
      <c r="C1289" s="70">
        <v>18.13300323</v>
      </c>
      <c r="D1289" s="4">
        <v>5.5</v>
      </c>
      <c r="E1289" s="12">
        <f t="shared" si="247"/>
        <v>0</v>
      </c>
      <c r="F1289" s="12">
        <f t="shared" si="248"/>
        <v>5.5</v>
      </c>
      <c r="G1289" s="16">
        <f t="shared" si="250"/>
        <v>12.835305744030711</v>
      </c>
      <c r="H1289" s="14">
        <f t="shared" si="251"/>
        <v>0.70957602371546147</v>
      </c>
      <c r="I1289" s="14">
        <f t="shared" si="252"/>
        <v>6.8176313848050745</v>
      </c>
      <c r="J1289" s="14">
        <f t="shared" si="253"/>
        <v>0.84895728712211782</v>
      </c>
      <c r="K1289" s="14">
        <f t="shared" si="254"/>
        <v>2.6923067499046942</v>
      </c>
      <c r="L1289" s="14">
        <f t="shared" si="255"/>
        <v>683.82211749638873</v>
      </c>
      <c r="M1289" s="14">
        <f t="shared" si="249"/>
        <v>0.17312809631306153</v>
      </c>
      <c r="N1289" s="14">
        <f t="shared" si="256"/>
        <v>4.4303960757891101</v>
      </c>
      <c r="O1289" s="4">
        <v>3.19</v>
      </c>
      <c r="P1289" s="14">
        <f t="shared" si="259"/>
        <v>1.538582424833024</v>
      </c>
      <c r="Q1289" s="14">
        <f t="shared" si="257"/>
        <v>11.179988596768222</v>
      </c>
    </row>
    <row r="1290" spans="1:17" x14ac:dyDescent="0.25">
      <c r="A1290" s="5" t="s">
        <v>1347</v>
      </c>
      <c r="B1290" s="6">
        <f t="shared" si="258"/>
        <v>11</v>
      </c>
      <c r="C1290" s="70">
        <v>18.250324249999998</v>
      </c>
      <c r="D1290" s="4">
        <v>0</v>
      </c>
      <c r="E1290" s="12">
        <f t="shared" si="247"/>
        <v>0</v>
      </c>
      <c r="F1290" s="12">
        <f t="shared" si="248"/>
        <v>0</v>
      </c>
      <c r="G1290" s="16">
        <f t="shared" si="250"/>
        <v>11.583953558109036</v>
      </c>
      <c r="H1290" s="14">
        <f t="shared" si="251"/>
        <v>0</v>
      </c>
      <c r="I1290" s="14">
        <f t="shared" si="252"/>
        <v>6.963222618247829</v>
      </c>
      <c r="J1290" s="14">
        <f t="shared" si="253"/>
        <v>1.2513521859216754</v>
      </c>
      <c r="K1290" s="14">
        <f t="shared" si="254"/>
        <v>2.5322802768705412</v>
      </c>
      <c r="L1290" s="14">
        <f t="shared" si="255"/>
        <v>683.80901587310984</v>
      </c>
      <c r="M1290" s="14">
        <f t="shared" si="249"/>
        <v>0.16687741638718775</v>
      </c>
      <c r="N1290" s="14">
        <f t="shared" si="256"/>
        <v>4.2704394401860206</v>
      </c>
      <c r="O1290" s="4">
        <v>4.4400000000000004</v>
      </c>
      <c r="P1290" s="14">
        <f t="shared" si="259"/>
        <v>2.8750783444430213E-2</v>
      </c>
      <c r="Q1290" s="14">
        <f t="shared" si="257"/>
        <v>4.3833661111360476</v>
      </c>
    </row>
    <row r="1291" spans="1:17" x14ac:dyDescent="0.25">
      <c r="A1291" s="5" t="s">
        <v>1348</v>
      </c>
      <c r="B1291" s="6">
        <f t="shared" si="258"/>
        <v>11</v>
      </c>
      <c r="C1291" s="70">
        <v>16.45396423</v>
      </c>
      <c r="D1291" s="4">
        <v>0</v>
      </c>
      <c r="E1291" s="12">
        <f t="shared" si="247"/>
        <v>0</v>
      </c>
      <c r="F1291" s="12">
        <f t="shared" si="248"/>
        <v>0</v>
      </c>
      <c r="G1291" s="16">
        <f t="shared" si="250"/>
        <v>10.816152983768569</v>
      </c>
      <c r="H1291" s="14">
        <f t="shared" si="251"/>
        <v>0</v>
      </c>
      <c r="I1291" s="14">
        <f t="shared" si="252"/>
        <v>4.7340034125244648</v>
      </c>
      <c r="J1291" s="14">
        <f t="shared" si="253"/>
        <v>0.76780057434046534</v>
      </c>
      <c r="K1291" s="14">
        <f t="shared" si="254"/>
        <v>2.3863814919560666</v>
      </c>
      <c r="L1291" s="14">
        <f t="shared" si="255"/>
        <v>683.78803724163708</v>
      </c>
      <c r="M1291" s="14">
        <f t="shared" si="249"/>
        <v>0.1611766435981267</v>
      </c>
      <c r="N1291" s="14">
        <f t="shared" si="256"/>
        <v>4.1245550809659504</v>
      </c>
      <c r="O1291" s="4">
        <v>4.47</v>
      </c>
      <c r="P1291" s="14">
        <f t="shared" si="259"/>
        <v>0.11933219208644094</v>
      </c>
      <c r="Q1291" s="14">
        <f t="shared" si="257"/>
        <v>4.2586471714808782</v>
      </c>
    </row>
    <row r="1292" spans="1:17" x14ac:dyDescent="0.25">
      <c r="A1292" s="5" t="s">
        <v>1349</v>
      </c>
      <c r="B1292" s="6">
        <f t="shared" si="258"/>
        <v>11</v>
      </c>
      <c r="C1292" s="70">
        <v>17.06647873</v>
      </c>
      <c r="D1292" s="4">
        <v>0</v>
      </c>
      <c r="E1292" s="12">
        <f t="shared" si="247"/>
        <v>0</v>
      </c>
      <c r="F1292" s="12">
        <f t="shared" si="248"/>
        <v>0</v>
      </c>
      <c r="G1292" s="16">
        <f t="shared" si="250"/>
        <v>9.9841336731485217</v>
      </c>
      <c r="H1292" s="14">
        <f t="shared" si="251"/>
        <v>0</v>
      </c>
      <c r="I1292" s="14">
        <f t="shared" si="252"/>
        <v>5.4941122281192607</v>
      </c>
      <c r="J1292" s="14">
        <f t="shared" si="253"/>
        <v>0.83201931062004819</v>
      </c>
      <c r="K1292" s="14">
        <f t="shared" si="254"/>
        <v>2.2533631542028054</v>
      </c>
      <c r="L1292" s="14">
        <f t="shared" si="255"/>
        <v>683.75987893579224</v>
      </c>
      <c r="M1292" s="14">
        <f t="shared" si="249"/>
        <v>0.15597723066008679</v>
      </c>
      <c r="N1292" s="14">
        <f t="shared" si="256"/>
        <v>3.9915006596001379</v>
      </c>
      <c r="O1292" s="4">
        <v>4.49</v>
      </c>
      <c r="P1292" s="14">
        <f t="shared" si="259"/>
        <v>0.2485015923790978</v>
      </c>
      <c r="Q1292" s="14">
        <f t="shared" si="257"/>
        <v>4.1765012117107618</v>
      </c>
    </row>
    <row r="1293" spans="1:17" x14ac:dyDescent="0.25">
      <c r="A1293" s="5" t="s">
        <v>1350</v>
      </c>
      <c r="B1293" s="6">
        <f t="shared" si="258"/>
        <v>11</v>
      </c>
      <c r="C1293" s="70">
        <v>17.5910759</v>
      </c>
      <c r="D1293" s="4">
        <v>0</v>
      </c>
      <c r="E1293" s="12">
        <f t="shared" si="247"/>
        <v>0</v>
      </c>
      <c r="F1293" s="12">
        <f t="shared" si="248"/>
        <v>0</v>
      </c>
      <c r="G1293" s="16">
        <f t="shared" si="250"/>
        <v>9.1251127839459407</v>
      </c>
      <c r="H1293" s="14">
        <f t="shared" si="251"/>
        <v>0</v>
      </c>
      <c r="I1293" s="14">
        <f t="shared" si="252"/>
        <v>6.1451187488678833</v>
      </c>
      <c r="J1293" s="14">
        <f t="shared" si="253"/>
        <v>0.85902088920258168</v>
      </c>
      <c r="K1293" s="14">
        <f t="shared" si="254"/>
        <v>2.1320881333792063</v>
      </c>
      <c r="L1293" s="14">
        <f t="shared" si="255"/>
        <v>683.72517672595575</v>
      </c>
      <c r="M1293" s="14">
        <f t="shared" si="249"/>
        <v>0.1512349162087602</v>
      </c>
      <c r="N1293" s="14">
        <f t="shared" si="256"/>
        <v>3.8701435154811206</v>
      </c>
      <c r="O1293" s="4">
        <v>3.35</v>
      </c>
      <c r="P1293" s="14">
        <f t="shared" si="259"/>
        <v>0.27054927669705864</v>
      </c>
      <c r="Q1293" s="14">
        <f t="shared" si="257"/>
        <v>10.135620918607303</v>
      </c>
    </row>
    <row r="1294" spans="1:17" x14ac:dyDescent="0.25">
      <c r="A1294" s="5" t="s">
        <v>1351</v>
      </c>
      <c r="B1294" s="6">
        <f t="shared" si="258"/>
        <v>11</v>
      </c>
      <c r="C1294" s="70">
        <v>17.797389979999998</v>
      </c>
      <c r="D1294" s="4">
        <v>2.2999999999999998</v>
      </c>
      <c r="E1294" s="12">
        <f t="shared" si="247"/>
        <v>0</v>
      </c>
      <c r="F1294" s="12">
        <f t="shared" si="248"/>
        <v>2.2999999999999998</v>
      </c>
      <c r="G1294" s="16">
        <f t="shared" si="250"/>
        <v>10.306469912580006</v>
      </c>
      <c r="H1294" s="14">
        <f t="shared" si="251"/>
        <v>0.30082025811850271</v>
      </c>
      <c r="I1294" s="14">
        <f t="shared" si="252"/>
        <v>6.4011472200131854</v>
      </c>
      <c r="J1294" s="14">
        <f t="shared" si="253"/>
        <v>0.81782261324743288</v>
      </c>
      <c r="K1294" s="14">
        <f t="shared" si="254"/>
        <v>2.3223399471449766</v>
      </c>
      <c r="L1294" s="14">
        <f t="shared" si="255"/>
        <v>683.68451025409968</v>
      </c>
      <c r="M1294" s="14">
        <f t="shared" si="249"/>
        <v>0.15865422541197993</v>
      </c>
      <c r="N1294" s="14">
        <f t="shared" si="256"/>
        <v>4.0600056989107367</v>
      </c>
      <c r="O1294" s="4">
        <v>2.79</v>
      </c>
      <c r="P1294" s="14">
        <f t="shared" si="259"/>
        <v>1.6129144752657487</v>
      </c>
      <c r="Q1294" s="14">
        <f t="shared" si="257"/>
        <v>14.014907792170517</v>
      </c>
    </row>
    <row r="1295" spans="1:17" x14ac:dyDescent="0.25">
      <c r="A1295" s="5" t="s">
        <v>1352</v>
      </c>
      <c r="B1295" s="6">
        <f t="shared" si="258"/>
        <v>11</v>
      </c>
      <c r="C1295" s="70">
        <v>16.72159576</v>
      </c>
      <c r="D1295" s="4">
        <v>0.6</v>
      </c>
      <c r="E1295" s="12">
        <f t="shared" si="247"/>
        <v>0</v>
      </c>
      <c r="F1295" s="12">
        <f t="shared" si="248"/>
        <v>0.6</v>
      </c>
      <c r="G1295" s="16">
        <f t="shared" si="250"/>
        <v>10.09168056689324</v>
      </c>
      <c r="H1295" s="14">
        <f t="shared" si="251"/>
        <v>8.3736333461738657E-2</v>
      </c>
      <c r="I1295" s="14">
        <f t="shared" si="252"/>
        <v>5.0661246688932904</v>
      </c>
      <c r="J1295" s="14">
        <f t="shared" si="253"/>
        <v>0.73105301222502705</v>
      </c>
      <c r="K1295" s="14">
        <f t="shared" si="254"/>
        <v>2.2787117509680672</v>
      </c>
      <c r="L1295" s="14">
        <f t="shared" si="255"/>
        <v>683.65322055832632</v>
      </c>
      <c r="M1295" s="14">
        <f t="shared" si="249"/>
        <v>0.15694419092816125</v>
      </c>
      <c r="N1295" s="14">
        <f t="shared" si="256"/>
        <v>4.0162454414602378</v>
      </c>
      <c r="O1295" s="4">
        <v>2.91</v>
      </c>
      <c r="P1295" s="14">
        <f t="shared" si="259"/>
        <v>1.2237789767515561</v>
      </c>
      <c r="Q1295" s="14">
        <f t="shared" si="257"/>
        <v>13.130832033549826</v>
      </c>
    </row>
    <row r="1296" spans="1:17" x14ac:dyDescent="0.25">
      <c r="A1296" s="5" t="s">
        <v>1353</v>
      </c>
      <c r="B1296" s="6">
        <f t="shared" si="258"/>
        <v>11</v>
      </c>
      <c r="C1296" s="70">
        <v>17.290184020000002</v>
      </c>
      <c r="D1296" s="4">
        <v>0</v>
      </c>
      <c r="E1296" s="12">
        <f t="shared" si="247"/>
        <v>0</v>
      </c>
      <c r="F1296" s="12">
        <f t="shared" si="248"/>
        <v>0</v>
      </c>
      <c r="G1296" s="16">
        <f t="shared" si="250"/>
        <v>9.2761654766173596</v>
      </c>
      <c r="H1296" s="14">
        <f t="shared" si="251"/>
        <v>0</v>
      </c>
      <c r="I1296" s="14">
        <f t="shared" si="252"/>
        <v>5.7717225753423742</v>
      </c>
      <c r="J1296" s="14">
        <f t="shared" si="253"/>
        <v>0.81551509027588109</v>
      </c>
      <c r="K1296" s="14">
        <f t="shared" si="254"/>
        <v>2.155198868729534</v>
      </c>
      <c r="L1296" s="14">
        <f t="shared" si="255"/>
        <v>683.61978924963671</v>
      </c>
      <c r="M1296" s="14">
        <f t="shared" si="249"/>
        <v>0.15211477473439325</v>
      </c>
      <c r="N1296" s="14">
        <f t="shared" si="256"/>
        <v>3.8926593395572162</v>
      </c>
      <c r="O1296" s="4">
        <v>3.45</v>
      </c>
      <c r="P1296" s="14">
        <f t="shared" si="259"/>
        <v>0.19594729089723067</v>
      </c>
      <c r="Q1296" s="14">
        <f t="shared" si="257"/>
        <v>9.5088911197567292</v>
      </c>
    </row>
    <row r="1297" spans="1:17" x14ac:dyDescent="0.25">
      <c r="A1297" s="5" t="s">
        <v>1354</v>
      </c>
      <c r="B1297" s="6">
        <f t="shared" si="258"/>
        <v>11</v>
      </c>
      <c r="C1297" s="70">
        <v>17.392885209999999</v>
      </c>
      <c r="D1297" s="4">
        <v>2.6</v>
      </c>
      <c r="E1297" s="12">
        <f t="shared" si="247"/>
        <v>0</v>
      </c>
      <c r="F1297" s="12">
        <f t="shared" si="248"/>
        <v>2.6</v>
      </c>
      <c r="G1297" s="16">
        <f t="shared" si="250"/>
        <v>10.766953251641274</v>
      </c>
      <c r="H1297" s="14">
        <f t="shared" si="251"/>
        <v>0.3430468175266233</v>
      </c>
      <c r="I1297" s="14">
        <f t="shared" si="252"/>
        <v>5.8991711171990566</v>
      </c>
      <c r="J1297" s="14">
        <f t="shared" si="253"/>
        <v>0.76616540744946138</v>
      </c>
      <c r="K1297" s="14">
        <f t="shared" si="254"/>
        <v>2.3856369466006835</v>
      </c>
      <c r="L1297" s="14">
        <f t="shared" si="255"/>
        <v>683.58028321455777</v>
      </c>
      <c r="M1297" s="14">
        <f t="shared" si="249"/>
        <v>0.16110331725917532</v>
      </c>
      <c r="N1297" s="14">
        <f t="shared" si="256"/>
        <v>4.1226786395837571</v>
      </c>
      <c r="O1297" s="4">
        <v>4.3899999999999997</v>
      </c>
      <c r="P1297" s="14">
        <f t="shared" si="259"/>
        <v>7.1460709734790642E-2</v>
      </c>
      <c r="Q1297" s="14">
        <f t="shared" si="257"/>
        <v>4.5952310105613376</v>
      </c>
    </row>
    <row r="1298" spans="1:17" x14ac:dyDescent="0.25">
      <c r="A1298" s="5" t="s">
        <v>1355</v>
      </c>
      <c r="B1298" s="6">
        <f t="shared" si="258"/>
        <v>11</v>
      </c>
      <c r="C1298" s="70">
        <v>18.322248460000001</v>
      </c>
      <c r="D1298" s="4">
        <v>0</v>
      </c>
      <c r="E1298" s="12">
        <f t="shared" si="247"/>
        <v>0</v>
      </c>
      <c r="F1298" s="12">
        <f t="shared" si="248"/>
        <v>0</v>
      </c>
      <c r="G1298" s="16">
        <f t="shared" si="250"/>
        <v>9.7037957036923252</v>
      </c>
      <c r="H1298" s="14">
        <f t="shared" si="251"/>
        <v>0</v>
      </c>
      <c r="I1298" s="14">
        <f t="shared" si="252"/>
        <v>7.0524780172231889</v>
      </c>
      <c r="J1298" s="14">
        <f t="shared" si="253"/>
        <v>1.063157547948949</v>
      </c>
      <c r="K1298" s="14">
        <f t="shared" si="254"/>
        <v>2.2526843398753722</v>
      </c>
      <c r="L1298" s="14">
        <f t="shared" si="255"/>
        <v>683.55213250402392</v>
      </c>
      <c r="M1298" s="14">
        <f t="shared" si="249"/>
        <v>0.15590647226553622</v>
      </c>
      <c r="N1298" s="14">
        <f t="shared" si="256"/>
        <v>3.9896899326284787</v>
      </c>
      <c r="O1298" s="4">
        <v>5.26</v>
      </c>
      <c r="P1298" s="14">
        <f t="shared" si="259"/>
        <v>1.6136876672654383</v>
      </c>
      <c r="Q1298" s="14">
        <f t="shared" si="257"/>
        <v>1.6221817605613449</v>
      </c>
    </row>
    <row r="1299" spans="1:17" x14ac:dyDescent="0.25">
      <c r="A1299" s="5" t="s">
        <v>1356</v>
      </c>
      <c r="B1299" s="6">
        <f t="shared" si="258"/>
        <v>11</v>
      </c>
      <c r="C1299" s="70">
        <v>17.61195755</v>
      </c>
      <c r="D1299" s="4">
        <v>0</v>
      </c>
      <c r="E1299" s="12">
        <f t="shared" si="247"/>
        <v>0</v>
      </c>
      <c r="F1299" s="12">
        <f t="shared" si="248"/>
        <v>0</v>
      </c>
      <c r="G1299" s="16">
        <f t="shared" si="250"/>
        <v>8.8653740019606744</v>
      </c>
      <c r="H1299" s="14">
        <f t="shared" si="251"/>
        <v>0</v>
      </c>
      <c r="I1299" s="14">
        <f t="shared" si="252"/>
        <v>6.1710321374475257</v>
      </c>
      <c r="J1299" s="14">
        <f t="shared" si="253"/>
        <v>0.83842170173165076</v>
      </c>
      <c r="K1299" s="14">
        <f t="shared" si="254"/>
        <v>2.1314692471182188</v>
      </c>
      <c r="L1299" s="14">
        <f t="shared" si="255"/>
        <v>683.51744112451547</v>
      </c>
      <c r="M1299" s="14">
        <f t="shared" si="249"/>
        <v>0.15116649988362382</v>
      </c>
      <c r="N1299" s="14">
        <f t="shared" si="256"/>
        <v>3.8683927227163459</v>
      </c>
      <c r="O1299" s="4">
        <v>5.26</v>
      </c>
      <c r="P1299" s="14">
        <f t="shared" si="259"/>
        <v>1.9365708141888243</v>
      </c>
      <c r="Q1299" s="14">
        <f t="shared" si="257"/>
        <v>1.6221817605613449</v>
      </c>
    </row>
    <row r="1300" spans="1:17" x14ac:dyDescent="0.25">
      <c r="A1300" s="5" t="s">
        <v>1357</v>
      </c>
      <c r="B1300" s="6">
        <f t="shared" si="258"/>
        <v>11</v>
      </c>
      <c r="C1300" s="70">
        <v>18.08238411</v>
      </c>
      <c r="D1300" s="4">
        <v>0</v>
      </c>
      <c r="E1300" s="12">
        <f t="shared" si="247"/>
        <v>0</v>
      </c>
      <c r="F1300" s="12">
        <f t="shared" si="248"/>
        <v>0</v>
      </c>
      <c r="G1300" s="16">
        <f t="shared" si="250"/>
        <v>8.0269309512667721</v>
      </c>
      <c r="H1300" s="14">
        <f t="shared" si="251"/>
        <v>0</v>
      </c>
      <c r="I1300" s="14">
        <f t="shared" si="252"/>
        <v>6.7548148484624226</v>
      </c>
      <c r="J1300" s="14">
        <f t="shared" si="253"/>
        <v>0.83844305069390179</v>
      </c>
      <c r="K1300" s="14">
        <f t="shared" si="254"/>
        <v>2.0209554401758534</v>
      </c>
      <c r="L1300" s="14">
        <f t="shared" si="255"/>
        <v>683.47678843157416</v>
      </c>
      <c r="M1300" s="14">
        <f t="shared" si="249"/>
        <v>0.14684306623555055</v>
      </c>
      <c r="N1300" s="14">
        <f t="shared" si="256"/>
        <v>3.7577548547083595</v>
      </c>
      <c r="O1300" s="4">
        <v>4.96</v>
      </c>
      <c r="P1300" s="14">
        <f t="shared" si="259"/>
        <v>1.4453933893773179</v>
      </c>
      <c r="Q1300" s="14">
        <f t="shared" si="257"/>
        <v>2.4763711571130655</v>
      </c>
    </row>
    <row r="1301" spans="1:17" x14ac:dyDescent="0.25">
      <c r="A1301" s="5" t="s">
        <v>1358</v>
      </c>
      <c r="B1301" s="6">
        <f t="shared" si="258"/>
        <v>11</v>
      </c>
      <c r="C1301" s="70">
        <v>16.999971389999999</v>
      </c>
      <c r="D1301" s="4">
        <v>3.5</v>
      </c>
      <c r="E1301" s="12">
        <f t="shared" si="247"/>
        <v>0</v>
      </c>
      <c r="F1301" s="12">
        <f t="shared" si="248"/>
        <v>3.5</v>
      </c>
      <c r="G1301" s="16">
        <f t="shared" si="250"/>
        <v>10.491219022280376</v>
      </c>
      <c r="H1301" s="14">
        <f t="shared" si="251"/>
        <v>0.42752569471730467</v>
      </c>
      <c r="I1301" s="14">
        <f t="shared" si="252"/>
        <v>5.411578973093035</v>
      </c>
      <c r="J1301" s="14">
        <f t="shared" si="253"/>
        <v>0.60818623426909157</v>
      </c>
      <c r="K1301" s="14">
        <f t="shared" si="254"/>
        <v>2.34772386740203</v>
      </c>
      <c r="L1301" s="14">
        <f t="shared" si="255"/>
        <v>683.43070263282982</v>
      </c>
      <c r="M1301" s="14">
        <f t="shared" si="249"/>
        <v>0.15959121808157242</v>
      </c>
      <c r="N1301" s="14">
        <f t="shared" si="256"/>
        <v>4.08398360160135</v>
      </c>
      <c r="O1301" s="4">
        <v>4.87</v>
      </c>
      <c r="P1301" s="14">
        <f t="shared" si="259"/>
        <v>0.61782177855158549</v>
      </c>
      <c r="Q1301" s="14">
        <f t="shared" si="257"/>
        <v>2.7677279760785818</v>
      </c>
    </row>
    <row r="1302" spans="1:17" x14ac:dyDescent="0.25">
      <c r="A1302" s="5" t="s">
        <v>1359</v>
      </c>
      <c r="B1302" s="6">
        <f t="shared" si="258"/>
        <v>12</v>
      </c>
      <c r="C1302" s="70">
        <v>17.785800930000001</v>
      </c>
      <c r="D1302" s="4">
        <v>11.7</v>
      </c>
      <c r="E1302" s="12">
        <f t="shared" si="247"/>
        <v>0</v>
      </c>
      <c r="F1302" s="12">
        <f t="shared" si="248"/>
        <v>11.7</v>
      </c>
      <c r="G1302" s="16">
        <f t="shared" si="250"/>
        <v>19.372612166427579</v>
      </c>
      <c r="H1302" s="14">
        <f t="shared" si="251"/>
        <v>1.6483961846900061</v>
      </c>
      <c r="I1302" s="14">
        <f t="shared" si="252"/>
        <v>7.9666372401256664</v>
      </c>
      <c r="J1302" s="14">
        <f t="shared" si="253"/>
        <v>1.1702106711627878</v>
      </c>
      <c r="K1302" s="14">
        <f t="shared" si="254"/>
        <v>3.866514542558956</v>
      </c>
      <c r="L1302" s="14">
        <f t="shared" si="255"/>
        <v>683.40071692428137</v>
      </c>
      <c r="M1302" s="14">
        <f t="shared" si="249"/>
        <v>0.21888274063392671</v>
      </c>
      <c r="N1302" s="14">
        <f t="shared" si="256"/>
        <v>5.6012701335834718</v>
      </c>
      <c r="O1302" s="4">
        <v>6.93</v>
      </c>
      <c r="P1302" s="14">
        <f t="shared" si="259"/>
        <v>1.765523057907284</v>
      </c>
      <c r="Q1302" s="14">
        <f t="shared" si="257"/>
        <v>0.15709411975676218</v>
      </c>
    </row>
    <row r="1303" spans="1:17" x14ac:dyDescent="0.25">
      <c r="A1303" s="5" t="s">
        <v>1360</v>
      </c>
      <c r="B1303" s="6">
        <f t="shared" si="258"/>
        <v>12</v>
      </c>
      <c r="C1303" s="70">
        <v>15.76282024</v>
      </c>
      <c r="D1303" s="4">
        <v>5.0999999999999996</v>
      </c>
      <c r="E1303" s="12">
        <f t="shared" si="247"/>
        <v>0</v>
      </c>
      <c r="F1303" s="12">
        <f t="shared" si="248"/>
        <v>5.0999999999999996</v>
      </c>
      <c r="G1303" s="16">
        <f t="shared" si="250"/>
        <v>22.073070495783263</v>
      </c>
      <c r="H1303" s="14">
        <f t="shared" si="251"/>
        <v>0.99639432929922167</v>
      </c>
      <c r="I1303" s="14">
        <f t="shared" si="252"/>
        <v>5.1731138360304589</v>
      </c>
      <c r="J1303" s="14">
        <f t="shared" si="253"/>
        <v>1.4031473413450954</v>
      </c>
      <c r="K1303" s="14">
        <f t="shared" si="254"/>
        <v>4.5992192912907175</v>
      </c>
      <c r="L1303" s="14">
        <f t="shared" si="255"/>
        <v>683.44552376421495</v>
      </c>
      <c r="M1303" s="14">
        <f t="shared" si="249"/>
        <v>0.24749916429802604</v>
      </c>
      <c r="N1303" s="14">
        <f t="shared" si="256"/>
        <v>6.333572364154346</v>
      </c>
      <c r="O1303" s="4">
        <v>9.35</v>
      </c>
      <c r="P1303" s="14">
        <f t="shared" si="259"/>
        <v>9.0988356822933998</v>
      </c>
      <c r="Q1303" s="14">
        <f t="shared" si="257"/>
        <v>7.931832987572875</v>
      </c>
    </row>
    <row r="1304" spans="1:17" x14ac:dyDescent="0.25">
      <c r="A1304" s="5" t="s">
        <v>1361</v>
      </c>
      <c r="B1304" s="6">
        <f t="shared" si="258"/>
        <v>12</v>
      </c>
      <c r="C1304" s="70">
        <v>15.88409996</v>
      </c>
      <c r="D1304" s="4">
        <v>0</v>
      </c>
      <c r="E1304" s="12">
        <f t="shared" si="247"/>
        <v>0</v>
      </c>
      <c r="F1304" s="12">
        <f t="shared" si="248"/>
        <v>0</v>
      </c>
      <c r="G1304" s="16">
        <f t="shared" si="250"/>
        <v>20.42257283253505</v>
      </c>
      <c r="H1304" s="14">
        <f t="shared" si="251"/>
        <v>0</v>
      </c>
      <c r="I1304" s="14">
        <f t="shared" si="252"/>
        <v>5.3405883640557938</v>
      </c>
      <c r="J1304" s="14">
        <f t="shared" si="253"/>
        <v>1.6504976632482145</v>
      </c>
      <c r="K1304" s="14">
        <f t="shared" si="254"/>
        <v>4.2708440123033453</v>
      </c>
      <c r="L1304" s="14">
        <f t="shared" si="255"/>
        <v>683.52639987890427</v>
      </c>
      <c r="M1304" s="14">
        <f t="shared" si="249"/>
        <v>0.23469568765491594</v>
      </c>
      <c r="N1304" s="14">
        <f t="shared" si="256"/>
        <v>6.0059278403358691</v>
      </c>
      <c r="O1304" s="4">
        <v>10.92</v>
      </c>
      <c r="P1304" s="14">
        <f t="shared" si="259"/>
        <v>24.148105190386094</v>
      </c>
      <c r="Q1304" s="14">
        <f t="shared" si="257"/>
        <v>19.240075145618867</v>
      </c>
    </row>
    <row r="1305" spans="1:17" x14ac:dyDescent="0.25">
      <c r="A1305" s="5" t="s">
        <v>1362</v>
      </c>
      <c r="B1305" s="6">
        <f t="shared" si="258"/>
        <v>12</v>
      </c>
      <c r="C1305" s="70">
        <v>17.102153779999998</v>
      </c>
      <c r="D1305" s="4">
        <v>0</v>
      </c>
      <c r="E1305" s="12">
        <f t="shared" si="247"/>
        <v>0</v>
      </c>
      <c r="F1305" s="12">
        <f t="shared" si="248"/>
        <v>0</v>
      </c>
      <c r="G1305" s="16">
        <f t="shared" si="250"/>
        <v>18.41453921565121</v>
      </c>
      <c r="H1305" s="14">
        <f t="shared" si="251"/>
        <v>0</v>
      </c>
      <c r="I1305" s="14">
        <f t="shared" si="252"/>
        <v>7.0225924832436855</v>
      </c>
      <c r="J1305" s="14">
        <f t="shared" si="253"/>
        <v>2.0080336168838406</v>
      </c>
      <c r="K1305" s="14">
        <f t="shared" si="254"/>
        <v>3.9714588337648897</v>
      </c>
      <c r="L1305" s="14">
        <f t="shared" si="255"/>
        <v>683.59108936978782</v>
      </c>
      <c r="M1305" s="14">
        <f t="shared" si="249"/>
        <v>0.2230206188525759</v>
      </c>
      <c r="N1305" s="14">
        <f t="shared" si="256"/>
        <v>5.707159586609321</v>
      </c>
      <c r="O1305" s="4">
        <v>7.75</v>
      </c>
      <c r="P1305" s="14">
        <f t="shared" si="259"/>
        <v>4.1731969545822007</v>
      </c>
      <c r="Q1305" s="14">
        <f t="shared" si="257"/>
        <v>1.4795097691820576</v>
      </c>
    </row>
    <row r="1306" spans="1:17" x14ac:dyDescent="0.25">
      <c r="A1306" s="5" t="s">
        <v>1363</v>
      </c>
      <c r="B1306" s="6">
        <f t="shared" si="258"/>
        <v>12</v>
      </c>
      <c r="C1306" s="70">
        <v>16.870355610000001</v>
      </c>
      <c r="D1306" s="4">
        <v>5.5</v>
      </c>
      <c r="E1306" s="12">
        <f t="shared" si="247"/>
        <v>0</v>
      </c>
      <c r="F1306" s="12">
        <f t="shared" si="248"/>
        <v>5.5</v>
      </c>
      <c r="G1306" s="16">
        <f t="shared" si="250"/>
        <v>21.140590269819292</v>
      </c>
      <c r="H1306" s="14">
        <f t="shared" si="251"/>
        <v>1.0458803780481656</v>
      </c>
      <c r="I1306" s="14">
        <f t="shared" si="252"/>
        <v>6.702503608385749</v>
      </c>
      <c r="J1306" s="14">
        <f t="shared" si="253"/>
        <v>1.7280685677837506</v>
      </c>
      <c r="K1306" s="14">
        <f t="shared" si="254"/>
        <v>4.7443847878232095</v>
      </c>
      <c r="L1306" s="14">
        <f t="shared" si="255"/>
        <v>683.64102317492507</v>
      </c>
      <c r="M1306" s="14">
        <f t="shared" si="249"/>
        <v>0.25320848501969145</v>
      </c>
      <c r="N1306" s="14">
        <f t="shared" si="256"/>
        <v>6.4796754673441868</v>
      </c>
      <c r="O1306" s="4">
        <v>6.89</v>
      </c>
      <c r="P1306" s="14">
        <f t="shared" si="259"/>
        <v>0.16836622209921129</v>
      </c>
      <c r="Q1306" s="14">
        <f t="shared" si="257"/>
        <v>0.12698603929699168</v>
      </c>
    </row>
    <row r="1307" spans="1:17" x14ac:dyDescent="0.25">
      <c r="A1307" s="5" t="s">
        <v>1364</v>
      </c>
      <c r="B1307" s="6">
        <f t="shared" si="258"/>
        <v>12</v>
      </c>
      <c r="C1307" s="70">
        <v>15.9599247</v>
      </c>
      <c r="D1307" s="4">
        <v>1.5</v>
      </c>
      <c r="E1307" s="12">
        <f t="shared" ref="E1307:E1370" si="260">IF(C1307&gt;$C$9,MAX(E1306-$C$10*(C1307-$C$9),0),E1306+D1307)</f>
        <v>0</v>
      </c>
      <c r="F1307" s="12">
        <f t="shared" ref="F1307:F1370" si="261">IF(C1307&gt;$C$9,D1307+MIN(E1306,$C$10*(C1307-$C$9)),0)</f>
        <v>1.5</v>
      </c>
      <c r="G1307" s="16">
        <f t="shared" si="250"/>
        <v>20.721803289944678</v>
      </c>
      <c r="H1307" s="14">
        <f t="shared" si="251"/>
        <v>0.30702269409148258</v>
      </c>
      <c r="I1307" s="14">
        <f t="shared" si="252"/>
        <v>5.4452943490641985</v>
      </c>
      <c r="J1307" s="14">
        <f t="shared" si="253"/>
        <v>1.6117642857831329</v>
      </c>
      <c r="K1307" s="14">
        <f t="shared" si="254"/>
        <v>4.7102164929896801</v>
      </c>
      <c r="L1307" s="14">
        <f t="shared" si="255"/>
        <v>683.72900567883039</v>
      </c>
      <c r="M1307" s="14">
        <f t="shared" si="249"/>
        <v>0.25189320017787603</v>
      </c>
      <c r="N1307" s="14">
        <f t="shared" si="256"/>
        <v>6.4460169628852304</v>
      </c>
      <c r="O1307" s="4">
        <v>6.1</v>
      </c>
      <c r="P1307" s="14">
        <f t="shared" si="259"/>
        <v>0.11972773860431916</v>
      </c>
      <c r="Q1307" s="14">
        <f t="shared" si="257"/>
        <v>0.18805145021652497</v>
      </c>
    </row>
    <row r="1308" spans="1:17" x14ac:dyDescent="0.25">
      <c r="A1308" s="5" t="s">
        <v>1365</v>
      </c>
      <c r="B1308" s="6">
        <f t="shared" si="258"/>
        <v>12</v>
      </c>
      <c r="C1308" s="70">
        <v>17.997600559999999</v>
      </c>
      <c r="D1308" s="4">
        <v>7.4</v>
      </c>
      <c r="E1308" s="12">
        <f t="shared" si="260"/>
        <v>0</v>
      </c>
      <c r="F1308" s="12">
        <f t="shared" si="261"/>
        <v>7.4</v>
      </c>
      <c r="G1308" s="16">
        <f t="shared" si="250"/>
        <v>24.227022289148671</v>
      </c>
      <c r="H1308" s="14">
        <f t="shared" si="251"/>
        <v>1.4985765652631484</v>
      </c>
      <c r="I1308" s="14">
        <f t="shared" si="252"/>
        <v>8.2591102361895583</v>
      </c>
      <c r="J1308" s="14">
        <f t="shared" si="253"/>
        <v>2.3962044355328604</v>
      </c>
      <c r="K1308" s="14">
        <f t="shared" si="254"/>
        <v>5.8706185640604476</v>
      </c>
      <c r="L1308" s="14">
        <f t="shared" si="255"/>
        <v>683.81528697284489</v>
      </c>
      <c r="M1308" s="14">
        <f t="shared" si="249"/>
        <v>0.29721697966635274</v>
      </c>
      <c r="N1308" s="14">
        <f t="shared" si="256"/>
        <v>7.6058650699340973</v>
      </c>
      <c r="O1308" s="4">
        <v>6.16</v>
      </c>
      <c r="P1308" s="14">
        <f t="shared" si="259"/>
        <v>2.0905258004555316</v>
      </c>
      <c r="Q1308" s="14">
        <f t="shared" si="257"/>
        <v>0.13961357090618029</v>
      </c>
    </row>
    <row r="1309" spans="1:17" x14ac:dyDescent="0.25">
      <c r="A1309" s="5" t="s">
        <v>1366</v>
      </c>
      <c r="B1309" s="6">
        <f t="shared" si="258"/>
        <v>12</v>
      </c>
      <c r="C1309" s="70">
        <v>16.35128593</v>
      </c>
      <c r="D1309" s="4">
        <v>0.4</v>
      </c>
      <c r="E1309" s="12">
        <f t="shared" si="260"/>
        <v>0</v>
      </c>
      <c r="F1309" s="12">
        <f t="shared" si="261"/>
        <v>0.4</v>
      </c>
      <c r="G1309" s="16">
        <f t="shared" si="250"/>
        <v>22.508589743125146</v>
      </c>
      <c r="H1309" s="14">
        <f t="shared" si="251"/>
        <v>8.8041388108318241E-2</v>
      </c>
      <c r="I1309" s="14">
        <f t="shared" si="252"/>
        <v>5.9857230149752336</v>
      </c>
      <c r="J1309" s="14">
        <f t="shared" si="253"/>
        <v>2.0303911579152039</v>
      </c>
      <c r="K1309" s="14">
        <f t="shared" si="254"/>
        <v>5.5180411670869809</v>
      </c>
      <c r="L1309" s="14">
        <f t="shared" si="255"/>
        <v>683.95868877826035</v>
      </c>
      <c r="M1309" s="14">
        <f t="shared" si="249"/>
        <v>0.28348190310577914</v>
      </c>
      <c r="N1309" s="14">
        <f t="shared" si="256"/>
        <v>7.2543806454499729</v>
      </c>
      <c r="O1309" s="4">
        <v>6.17</v>
      </c>
      <c r="P1309" s="14">
        <f t="shared" si="259"/>
        <v>1.1758813842264999</v>
      </c>
      <c r="Q1309" s="14">
        <f t="shared" si="257"/>
        <v>0.13224059102112307</v>
      </c>
    </row>
    <row r="1310" spans="1:17" x14ac:dyDescent="0.25">
      <c r="A1310" s="5" t="s">
        <v>1367</v>
      </c>
      <c r="B1310" s="6">
        <f t="shared" si="258"/>
        <v>12</v>
      </c>
      <c r="C1310" s="70">
        <v>15.842439649999999</v>
      </c>
      <c r="D1310" s="4">
        <v>7.6</v>
      </c>
      <c r="E1310" s="12">
        <f t="shared" si="260"/>
        <v>0</v>
      </c>
      <c r="F1310" s="12">
        <f t="shared" si="261"/>
        <v>7.6</v>
      </c>
      <c r="G1310" s="16">
        <f t="shared" si="250"/>
        <v>26.835202892734848</v>
      </c>
      <c r="H1310" s="14">
        <f t="shared" si="251"/>
        <v>1.6084534133706945</v>
      </c>
      <c r="I1310" s="14">
        <f t="shared" si="252"/>
        <v>5.283059860900944</v>
      </c>
      <c r="J1310" s="14">
        <f t="shared" si="253"/>
        <v>1.6649334370196021</v>
      </c>
      <c r="K1310" s="14">
        <f t="shared" si="254"/>
        <v>6.7170025421450079</v>
      </c>
      <c r="L1310" s="14">
        <f t="shared" si="255"/>
        <v>684.08469891346715</v>
      </c>
      <c r="M1310" s="14">
        <f t="shared" si="249"/>
        <v>0.33031961086523287</v>
      </c>
      <c r="N1310" s="14">
        <f t="shared" si="256"/>
        <v>8.4529705974887719</v>
      </c>
      <c r="O1310" s="4">
        <v>6.27</v>
      </c>
      <c r="P1310" s="14">
        <f t="shared" si="259"/>
        <v>4.7653606295004876</v>
      </c>
      <c r="Q1310" s="14">
        <f t="shared" si="257"/>
        <v>6.9510792170549479E-2</v>
      </c>
    </row>
    <row r="1311" spans="1:17" x14ac:dyDescent="0.25">
      <c r="A1311" s="5" t="s">
        <v>1368</v>
      </c>
      <c r="B1311" s="6">
        <f t="shared" si="258"/>
        <v>12</v>
      </c>
      <c r="C1311" s="70">
        <v>15.158200259999999</v>
      </c>
      <c r="D1311" s="4">
        <v>0</v>
      </c>
      <c r="E1311" s="12">
        <f t="shared" si="260"/>
        <v>0</v>
      </c>
      <c r="F1311" s="12">
        <f t="shared" si="261"/>
        <v>0</v>
      </c>
      <c r="G1311" s="16">
        <f t="shared" si="250"/>
        <v>25.205241793963015</v>
      </c>
      <c r="H1311" s="14">
        <f t="shared" si="251"/>
        <v>0</v>
      </c>
      <c r="I1311" s="14">
        <f t="shared" si="252"/>
        <v>4.3381972829151758</v>
      </c>
      <c r="J1311" s="14">
        <f t="shared" si="253"/>
        <v>1.6299610987718338</v>
      </c>
      <c r="K1311" s="14">
        <f t="shared" si="254"/>
        <v>6.2016620648009724</v>
      </c>
      <c r="L1311" s="14">
        <f t="shared" si="255"/>
        <v>684.26971977994594</v>
      </c>
      <c r="M1311" s="14">
        <f t="shared" ref="M1311:M1374" si="262">MAX(0,K1311-$F$9)*$F$8+K1311*$F$10+L1311*$F$11</f>
        <v>0.31023866641085596</v>
      </c>
      <c r="N1311" s="14">
        <f t="shared" si="256"/>
        <v>7.9390936508611398</v>
      </c>
      <c r="O1311" s="4">
        <v>9.33</v>
      </c>
      <c r="P1311" s="14">
        <f t="shared" si="259"/>
        <v>1.934620472074793</v>
      </c>
      <c r="Q1311" s="14">
        <f t="shared" si="257"/>
        <v>7.8195789473429924</v>
      </c>
    </row>
    <row r="1312" spans="1:17" x14ac:dyDescent="0.25">
      <c r="A1312" s="5" t="s">
        <v>1369</v>
      </c>
      <c r="B1312" s="6">
        <f t="shared" si="258"/>
        <v>12</v>
      </c>
      <c r="C1312" s="70">
        <v>14.759830470000001</v>
      </c>
      <c r="D1312" s="4">
        <v>0</v>
      </c>
      <c r="E1312" s="12">
        <f t="shared" si="260"/>
        <v>0</v>
      </c>
      <c r="F1312" s="12">
        <f t="shared" si="261"/>
        <v>0</v>
      </c>
      <c r="G1312" s="16">
        <f t="shared" ref="G1312:G1375" si="263">G1311+F1312-H1312-J1312</f>
        <v>23.868417663789526</v>
      </c>
      <c r="H1312" s="14">
        <f t="shared" ref="H1312:H1375" si="264">(F1312*(G1311/$C$11)^$C$12)</f>
        <v>0</v>
      </c>
      <c r="I1312" s="14">
        <f t="shared" ref="I1312:I1375" si="265">(1+$C$13*(C1312-INDEX($A$16:$A$27,B1312)))*INDEX($C$16:$C$27,B1312)</f>
        <v>3.7880905333299939</v>
      </c>
      <c r="J1312" s="14">
        <f t="shared" ref="J1312:J1375" si="266">IF(G1311&gt;$F$13,I1312,I1312*(G1311/$F$13))</f>
        <v>1.3368241301734904</v>
      </c>
      <c r="K1312" s="14">
        <f t="shared" ref="K1312:K1375" si="267">K1311+H1312-MAX(0,K1311-$F$9)*$F$8-K1311*$F$10-K1311*$F$12</f>
        <v>5.7318176194653967</v>
      </c>
      <c r="L1312" s="14">
        <f t="shared" ref="L1312:L1375" si="268">L1311+K1311*$F$12-L1311*$F$11</f>
        <v>684.42932555887057</v>
      </c>
      <c r="M1312" s="14">
        <f t="shared" si="262"/>
        <v>0.291928602430027</v>
      </c>
      <c r="N1312" s="14">
        <f t="shared" ref="N1312:N1375" si="269">M1312*$C$8*1000/(24*3600)</f>
        <v>7.4705340274628433</v>
      </c>
      <c r="O1312" s="4">
        <v>10.119999999999999</v>
      </c>
      <c r="P1312" s="14">
        <f t="shared" si="259"/>
        <v>7.0196699396322568</v>
      </c>
      <c r="Q1312" s="14">
        <f t="shared" ref="Q1312:Q1375" si="270">(O1312-$F$23)^2</f>
        <v>12.861913536423454</v>
      </c>
    </row>
    <row r="1313" spans="1:17" x14ac:dyDescent="0.25">
      <c r="A1313" s="5" t="s">
        <v>1370</v>
      </c>
      <c r="B1313" s="6">
        <f t="shared" ref="B1313:B1376" si="271">MONTH(A1313)</f>
        <v>12</v>
      </c>
      <c r="C1313" s="70">
        <v>17.091934200000001</v>
      </c>
      <c r="D1313" s="4">
        <v>0</v>
      </c>
      <c r="E1313" s="12">
        <f t="shared" si="260"/>
        <v>0</v>
      </c>
      <c r="F1313" s="12">
        <f t="shared" si="261"/>
        <v>0</v>
      </c>
      <c r="G1313" s="16">
        <f t="shared" si="263"/>
        <v>21.526290100109605</v>
      </c>
      <c r="H1313" s="14">
        <f t="shared" si="264"/>
        <v>0</v>
      </c>
      <c r="I1313" s="14">
        <f t="shared" si="265"/>
        <v>7.0084803189253906</v>
      </c>
      <c r="J1313" s="14">
        <f t="shared" si="266"/>
        <v>2.3421275636799188</v>
      </c>
      <c r="K1313" s="14">
        <f t="shared" si="267"/>
        <v>5.3034526597587242</v>
      </c>
      <c r="L1313" s="14">
        <f t="shared" si="268"/>
        <v>684.56576191614715</v>
      </c>
      <c r="M1313" s="14">
        <f t="shared" si="262"/>
        <v>0.27523307990828327</v>
      </c>
      <c r="N1313" s="14">
        <f t="shared" si="269"/>
        <v>7.0432909684862759</v>
      </c>
      <c r="O1313" s="4">
        <v>7.08</v>
      </c>
      <c r="P1313" s="14">
        <f t="shared" ref="P1313:P1376" si="272">(O1313-N1313)^2</f>
        <v>1.3475529946755948E-3</v>
      </c>
      <c r="Q1313" s="14">
        <f t="shared" si="270"/>
        <v>0.29849942148090186</v>
      </c>
    </row>
    <row r="1314" spans="1:17" x14ac:dyDescent="0.25">
      <c r="A1314" s="5" t="s">
        <v>1371</v>
      </c>
      <c r="B1314" s="6">
        <f t="shared" si="271"/>
        <v>12</v>
      </c>
      <c r="C1314" s="70">
        <v>17.83970261</v>
      </c>
      <c r="D1314" s="4">
        <v>0</v>
      </c>
      <c r="E1314" s="12">
        <f t="shared" si="260"/>
        <v>0</v>
      </c>
      <c r="F1314" s="12">
        <f t="shared" si="261"/>
        <v>0</v>
      </c>
      <c r="G1314" s="16">
        <f t="shared" si="263"/>
        <v>19.10277305616939</v>
      </c>
      <c r="H1314" s="14">
        <f t="shared" si="264"/>
        <v>0</v>
      </c>
      <c r="I1314" s="14">
        <f t="shared" si="265"/>
        <v>8.0410697867853429</v>
      </c>
      <c r="J1314" s="14">
        <f t="shared" si="266"/>
        <v>2.4235170439402158</v>
      </c>
      <c r="K1314" s="14">
        <f t="shared" si="267"/>
        <v>4.9129052338474928</v>
      </c>
      <c r="L1314" s="14">
        <f t="shared" si="268"/>
        <v>684.6810762621501</v>
      </c>
      <c r="M1314" s="14">
        <f t="shared" si="262"/>
        <v>0.26000956197765301</v>
      </c>
      <c r="N1314" s="14">
        <f t="shared" si="269"/>
        <v>6.6537169158864682</v>
      </c>
      <c r="O1314" s="4">
        <v>6.08</v>
      </c>
      <c r="P1314" s="14">
        <f t="shared" si="272"/>
        <v>0.32915109957428074</v>
      </c>
      <c r="Q1314" s="14">
        <f t="shared" si="270"/>
        <v>0.20579740998663934</v>
      </c>
    </row>
    <row r="1315" spans="1:17" x14ac:dyDescent="0.25">
      <c r="A1315" s="5" t="s">
        <v>1372</v>
      </c>
      <c r="B1315" s="6">
        <f t="shared" si="271"/>
        <v>12</v>
      </c>
      <c r="C1315" s="70">
        <v>18.040876390000001</v>
      </c>
      <c r="D1315" s="4">
        <v>0</v>
      </c>
      <c r="E1315" s="12">
        <f t="shared" si="260"/>
        <v>0</v>
      </c>
      <c r="F1315" s="12">
        <f t="shared" si="261"/>
        <v>0</v>
      </c>
      <c r="G1315" s="16">
        <f t="shared" si="263"/>
        <v>16.87780494292732</v>
      </c>
      <c r="H1315" s="14">
        <f t="shared" si="264"/>
        <v>0</v>
      </c>
      <c r="I1315" s="14">
        <f t="shared" si="265"/>
        <v>8.3188696024228825</v>
      </c>
      <c r="J1315" s="14">
        <f t="shared" si="266"/>
        <v>2.2249681132420713</v>
      </c>
      <c r="K1315" s="14">
        <f t="shared" si="267"/>
        <v>4.5568366796166959</v>
      </c>
      <c r="L1315" s="14">
        <f t="shared" si="268"/>
        <v>684.77713525440322</v>
      </c>
      <c r="M1315" s="14">
        <f t="shared" si="262"/>
        <v>0.24612809541563274</v>
      </c>
      <c r="N1315" s="14">
        <f t="shared" si="269"/>
        <v>6.2984863306014356</v>
      </c>
      <c r="O1315" s="4">
        <v>5.63</v>
      </c>
      <c r="P1315" s="14">
        <f t="shared" si="272"/>
        <v>0.44687397420097197</v>
      </c>
      <c r="Q1315" s="14">
        <f t="shared" si="270"/>
        <v>0.81658150481422154</v>
      </c>
    </row>
    <row r="1316" spans="1:17" x14ac:dyDescent="0.25">
      <c r="A1316" s="5" t="s">
        <v>1373</v>
      </c>
      <c r="B1316" s="6">
        <f t="shared" si="271"/>
        <v>12</v>
      </c>
      <c r="C1316" s="70">
        <v>17.86617661</v>
      </c>
      <c r="D1316" s="4">
        <v>2.5</v>
      </c>
      <c r="E1316" s="12">
        <f t="shared" si="260"/>
        <v>0</v>
      </c>
      <c r="F1316" s="12">
        <f t="shared" si="261"/>
        <v>2.5</v>
      </c>
      <c r="G1316" s="16">
        <f t="shared" si="263"/>
        <v>17.015171842478651</v>
      </c>
      <c r="H1316" s="14">
        <f t="shared" si="264"/>
        <v>0.45382245418012179</v>
      </c>
      <c r="I1316" s="14">
        <f t="shared" si="265"/>
        <v>8.0776275942649658</v>
      </c>
      <c r="J1316" s="14">
        <f t="shared" si="266"/>
        <v>1.9088106462685452</v>
      </c>
      <c r="K1316" s="14">
        <f t="shared" si="267"/>
        <v>4.6860255377202487</v>
      </c>
      <c r="L1316" s="14">
        <f t="shared" si="268"/>
        <v>684.8556407550642</v>
      </c>
      <c r="M1316" s="14">
        <f t="shared" si="262"/>
        <v>0.25118871987006008</v>
      </c>
      <c r="N1316" s="14">
        <f t="shared" si="269"/>
        <v>6.4279891161192451</v>
      </c>
      <c r="O1316" s="4">
        <v>5.51</v>
      </c>
      <c r="P1316" s="14">
        <f t="shared" si="272"/>
        <v>0.84270401731339317</v>
      </c>
      <c r="Q1316" s="14">
        <f t="shared" si="270"/>
        <v>1.0478572634349104</v>
      </c>
    </row>
    <row r="1317" spans="1:17" x14ac:dyDescent="0.25">
      <c r="A1317" s="5" t="s">
        <v>1374</v>
      </c>
      <c r="B1317" s="6">
        <f t="shared" si="271"/>
        <v>12</v>
      </c>
      <c r="C1317" s="70">
        <v>17.156642909999999</v>
      </c>
      <c r="D1317" s="4">
        <v>9.1999999999999993</v>
      </c>
      <c r="E1317" s="12">
        <f t="shared" si="260"/>
        <v>0</v>
      </c>
      <c r="F1317" s="12">
        <f t="shared" si="261"/>
        <v>9.1999999999999993</v>
      </c>
      <c r="G1317" s="16">
        <f t="shared" si="263"/>
        <v>22.846944383312895</v>
      </c>
      <c r="H1317" s="14">
        <f t="shared" si="264"/>
        <v>1.6772984580071506</v>
      </c>
      <c r="I1317" s="14">
        <f t="shared" si="265"/>
        <v>7.0978362365213234</v>
      </c>
      <c r="J1317" s="14">
        <f t="shared" si="266"/>
        <v>1.6909290011586042</v>
      </c>
      <c r="K1317" s="14">
        <f t="shared" si="267"/>
        <v>6.0272851623721531</v>
      </c>
      <c r="L1317" s="14">
        <f t="shared" si="268"/>
        <v>684.94049086854943</v>
      </c>
      <c r="M1317" s="14">
        <f t="shared" si="262"/>
        <v>0.30357338807624457</v>
      </c>
      <c r="N1317" s="14">
        <f t="shared" si="269"/>
        <v>7.7685273268122303</v>
      </c>
      <c r="O1317" s="4">
        <v>5.73</v>
      </c>
      <c r="P1317" s="14">
        <f t="shared" si="272"/>
        <v>4.1555936621602161</v>
      </c>
      <c r="Q1317" s="14">
        <f t="shared" si="270"/>
        <v>0.64585170596364694</v>
      </c>
    </row>
    <row r="1318" spans="1:17" x14ac:dyDescent="0.25">
      <c r="A1318" s="5" t="s">
        <v>1375</v>
      </c>
      <c r="B1318" s="6">
        <f t="shared" si="271"/>
        <v>12</v>
      </c>
      <c r="C1318" s="70">
        <v>18.76379013</v>
      </c>
      <c r="D1318" s="4">
        <v>0</v>
      </c>
      <c r="E1318" s="12">
        <f t="shared" si="260"/>
        <v>0</v>
      </c>
      <c r="F1318" s="12">
        <f t="shared" si="261"/>
        <v>0</v>
      </c>
      <c r="G1318" s="16">
        <f t="shared" si="263"/>
        <v>19.866550370721658</v>
      </c>
      <c r="H1318" s="14">
        <f t="shared" si="264"/>
        <v>0</v>
      </c>
      <c r="I1318" s="14">
        <f t="shared" si="265"/>
        <v>9.3171373870906606</v>
      </c>
      <c r="J1318" s="14">
        <f t="shared" si="266"/>
        <v>2.9803940125912365</v>
      </c>
      <c r="K1318" s="14">
        <f t="shared" si="267"/>
        <v>5.5728353104815262</v>
      </c>
      <c r="L1318" s="14">
        <f t="shared" si="268"/>
        <v>685.09136733236392</v>
      </c>
      <c r="M1318" s="14">
        <f t="shared" si="262"/>
        <v>0.28586251325744527</v>
      </c>
      <c r="N1318" s="14">
        <f t="shared" si="269"/>
        <v>7.3153011205117071</v>
      </c>
      <c r="O1318" s="4">
        <v>8.4700000000000006</v>
      </c>
      <c r="P1318" s="14">
        <f t="shared" si="272"/>
        <v>1.3333295022915206</v>
      </c>
      <c r="Q1318" s="14">
        <f t="shared" si="270"/>
        <v>3.7494552174579288</v>
      </c>
    </row>
    <row r="1319" spans="1:17" x14ac:dyDescent="0.25">
      <c r="A1319" s="5" t="s">
        <v>1376</v>
      </c>
      <c r="B1319" s="6">
        <f t="shared" si="271"/>
        <v>12</v>
      </c>
      <c r="C1319" s="70">
        <v>18.360778809999999</v>
      </c>
      <c r="D1319" s="4">
        <v>0.5</v>
      </c>
      <c r="E1319" s="12">
        <f t="shared" si="260"/>
        <v>0</v>
      </c>
      <c r="F1319" s="12">
        <f t="shared" si="261"/>
        <v>0.5</v>
      </c>
      <c r="G1319" s="16">
        <f t="shared" si="263"/>
        <v>17.830741792558985</v>
      </c>
      <c r="H1319" s="14">
        <f t="shared" si="264"/>
        <v>9.9005570685405719E-2</v>
      </c>
      <c r="I1319" s="14">
        <f t="shared" si="265"/>
        <v>8.7606211731196293</v>
      </c>
      <c r="J1319" s="14">
        <f t="shared" si="266"/>
        <v>2.4368030074772653</v>
      </c>
      <c r="K1319" s="14">
        <f t="shared" si="267"/>
        <v>5.2575114271818091</v>
      </c>
      <c r="L1319" s="14">
        <f t="shared" si="268"/>
        <v>685.21983427309158</v>
      </c>
      <c r="M1319" s="14">
        <f t="shared" si="262"/>
        <v>0.2735787383651328</v>
      </c>
      <c r="N1319" s="14">
        <f t="shared" si="269"/>
        <v>7.0009559088577387</v>
      </c>
      <c r="O1319" s="4">
        <v>7.69</v>
      </c>
      <c r="P1319" s="14">
        <f t="shared" si="272"/>
        <v>0.47478175953806551</v>
      </c>
      <c r="Q1319" s="14">
        <f t="shared" si="270"/>
        <v>1.3371476484924028</v>
      </c>
    </row>
    <row r="1320" spans="1:17" x14ac:dyDescent="0.25">
      <c r="A1320" s="5" t="s">
        <v>1377</v>
      </c>
      <c r="B1320" s="6">
        <f t="shared" si="271"/>
        <v>12</v>
      </c>
      <c r="C1320" s="70">
        <v>18.546060560000001</v>
      </c>
      <c r="D1320" s="4">
        <v>2.2999999999999998</v>
      </c>
      <c r="E1320" s="12">
        <f t="shared" si="260"/>
        <v>0</v>
      </c>
      <c r="F1320" s="12">
        <f t="shared" si="261"/>
        <v>2.2999999999999998</v>
      </c>
      <c r="G1320" s="16">
        <f t="shared" si="263"/>
        <v>17.449852648036519</v>
      </c>
      <c r="H1320" s="14">
        <f t="shared" si="264"/>
        <v>0.42992130988290661</v>
      </c>
      <c r="I1320" s="14">
        <f t="shared" si="265"/>
        <v>9.0164757680424916</v>
      </c>
      <c r="J1320" s="14">
        <f t="shared" si="266"/>
        <v>2.2509678346395594</v>
      </c>
      <c r="K1320" s="14">
        <f t="shared" si="267"/>
        <v>5.3009411613723509</v>
      </c>
      <c r="L1320" s="14">
        <f t="shared" si="268"/>
        <v>685.33274711041884</v>
      </c>
      <c r="M1320" s="14">
        <f t="shared" si="262"/>
        <v>0.27529841224240742</v>
      </c>
      <c r="N1320" s="14">
        <f t="shared" si="269"/>
        <v>7.0449628410643843</v>
      </c>
      <c r="O1320" s="4">
        <v>8.2100000000000009</v>
      </c>
      <c r="P1320" s="14">
        <f t="shared" si="272"/>
        <v>1.357311581700773</v>
      </c>
      <c r="Q1320" s="14">
        <f t="shared" si="270"/>
        <v>2.8101526944694211</v>
      </c>
    </row>
    <row r="1321" spans="1:17" x14ac:dyDescent="0.25">
      <c r="A1321" s="5" t="s">
        <v>1378</v>
      </c>
      <c r="B1321" s="6">
        <f t="shared" si="271"/>
        <v>12</v>
      </c>
      <c r="C1321" s="70">
        <v>17.61277771</v>
      </c>
      <c r="D1321" s="4">
        <v>0</v>
      </c>
      <c r="E1321" s="12">
        <f t="shared" si="260"/>
        <v>0</v>
      </c>
      <c r="F1321" s="12">
        <f t="shared" si="261"/>
        <v>0</v>
      </c>
      <c r="G1321" s="16">
        <f t="shared" si="263"/>
        <v>15.561836694448383</v>
      </c>
      <c r="H1321" s="14">
        <f t="shared" si="264"/>
        <v>0</v>
      </c>
      <c r="I1321" s="14">
        <f t="shared" si="265"/>
        <v>7.7277103848614583</v>
      </c>
      <c r="J1321" s="14">
        <f t="shared" si="266"/>
        <v>1.888015953588136</v>
      </c>
      <c r="K1321" s="14">
        <f t="shared" si="267"/>
        <v>4.9106154591874684</v>
      </c>
      <c r="L1321" s="14">
        <f t="shared" si="268"/>
        <v>685.44777440036137</v>
      </c>
      <c r="M1321" s="14">
        <f t="shared" si="262"/>
        <v>0.26008348988643581</v>
      </c>
      <c r="N1321" s="14">
        <f t="shared" si="269"/>
        <v>6.6556087516077493</v>
      </c>
      <c r="O1321" s="4">
        <v>9.36</v>
      </c>
      <c r="P1321" s="14">
        <f t="shared" si="272"/>
        <v>7.3137320243805926</v>
      </c>
      <c r="Q1321" s="14">
        <f t="shared" si="270"/>
        <v>7.988260007687817</v>
      </c>
    </row>
    <row r="1322" spans="1:17" x14ac:dyDescent="0.25">
      <c r="A1322" s="5" t="s">
        <v>1379</v>
      </c>
      <c r="B1322" s="6">
        <f t="shared" si="271"/>
        <v>12</v>
      </c>
      <c r="C1322" s="70">
        <v>17.571575159999998</v>
      </c>
      <c r="D1322" s="4">
        <v>0</v>
      </c>
      <c r="E1322" s="12">
        <f t="shared" si="260"/>
        <v>0</v>
      </c>
      <c r="F1322" s="12">
        <f t="shared" si="261"/>
        <v>0</v>
      </c>
      <c r="G1322" s="16">
        <f t="shared" si="263"/>
        <v>13.890494551639375</v>
      </c>
      <c r="H1322" s="14">
        <f t="shared" si="264"/>
        <v>0</v>
      </c>
      <c r="I1322" s="14">
        <f t="shared" si="265"/>
        <v>7.6708140000850884</v>
      </c>
      <c r="J1322" s="14">
        <f t="shared" si="266"/>
        <v>1.6713421428090083</v>
      </c>
      <c r="K1322" s="14">
        <f t="shared" si="267"/>
        <v>4.5547490541489122</v>
      </c>
      <c r="L1322" s="14">
        <f t="shared" si="268"/>
        <v>685.54355731551357</v>
      </c>
      <c r="M1322" s="14">
        <f t="shared" si="262"/>
        <v>0.24620985699236747</v>
      </c>
      <c r="N1322" s="14">
        <f t="shared" si="269"/>
        <v>6.3005786320616259</v>
      </c>
      <c r="O1322" s="4">
        <v>7.63</v>
      </c>
      <c r="P1322" s="14">
        <f t="shared" si="272"/>
        <v>1.7673611735311374</v>
      </c>
      <c r="Q1322" s="14">
        <f t="shared" si="270"/>
        <v>1.2019855278027458</v>
      </c>
    </row>
    <row r="1323" spans="1:17" x14ac:dyDescent="0.25">
      <c r="A1323" s="5" t="s">
        <v>1380</v>
      </c>
      <c r="B1323" s="6">
        <f t="shared" si="271"/>
        <v>12</v>
      </c>
      <c r="C1323" s="70">
        <v>17.96247864</v>
      </c>
      <c r="D1323" s="4">
        <v>0</v>
      </c>
      <c r="E1323" s="12">
        <f t="shared" si="260"/>
        <v>0</v>
      </c>
      <c r="F1323" s="12">
        <f t="shared" si="261"/>
        <v>0</v>
      </c>
      <c r="G1323" s="16">
        <f t="shared" si="263"/>
        <v>12.293673607358739</v>
      </c>
      <c r="H1323" s="14">
        <f t="shared" si="264"/>
        <v>0</v>
      </c>
      <c r="I1323" s="14">
        <f t="shared" si="265"/>
        <v>8.210610561426595</v>
      </c>
      <c r="J1323" s="14">
        <f t="shared" si="266"/>
        <v>1.5968209442806347</v>
      </c>
      <c r="K1323" s="14">
        <f t="shared" si="267"/>
        <v>4.2302997608377568</v>
      </c>
      <c r="L1323" s="14">
        <f t="shared" si="268"/>
        <v>685.62179675183245</v>
      </c>
      <c r="M1323" s="14">
        <f t="shared" si="262"/>
        <v>0.23355910032001093</v>
      </c>
      <c r="N1323" s="14">
        <f t="shared" si="269"/>
        <v>5.9768422547169457</v>
      </c>
      <c r="O1323" s="4">
        <v>5.98</v>
      </c>
      <c r="P1323" s="14">
        <f t="shared" si="272"/>
        <v>9.9713552726540842E-6</v>
      </c>
      <c r="Q1323" s="14">
        <f t="shared" si="270"/>
        <v>0.30652720883721268</v>
      </c>
    </row>
    <row r="1324" spans="1:17" x14ac:dyDescent="0.25">
      <c r="A1324" s="5" t="s">
        <v>1381</v>
      </c>
      <c r="B1324" s="6">
        <f t="shared" si="271"/>
        <v>12</v>
      </c>
      <c r="C1324" s="70">
        <v>17.580837249999998</v>
      </c>
      <c r="D1324" s="4">
        <v>6.2</v>
      </c>
      <c r="E1324" s="12">
        <f t="shared" si="260"/>
        <v>0</v>
      </c>
      <c r="F1324" s="12">
        <f t="shared" si="261"/>
        <v>6.2</v>
      </c>
      <c r="G1324" s="16">
        <f t="shared" si="263"/>
        <v>16.220589093637084</v>
      </c>
      <c r="H1324" s="14">
        <f t="shared" si="264"/>
        <v>0.95054179385853788</v>
      </c>
      <c r="I1324" s="14">
        <f t="shared" si="265"/>
        <v>7.6836039714939792</v>
      </c>
      <c r="J1324" s="14">
        <f t="shared" si="266"/>
        <v>1.3225427198631177</v>
      </c>
      <c r="K1324" s="14">
        <f t="shared" si="267"/>
        <v>4.8850357622987142</v>
      </c>
      <c r="L1324" s="14">
        <f t="shared" si="268"/>
        <v>685.68404344391001</v>
      </c>
      <c r="M1324" s="14">
        <f t="shared" si="262"/>
        <v>0.25913511735341366</v>
      </c>
      <c r="N1324" s="14">
        <f t="shared" si="269"/>
        <v>6.6313396350508977</v>
      </c>
      <c r="O1324" s="4">
        <v>5.48</v>
      </c>
      <c r="P1324" s="14">
        <f t="shared" si="272"/>
        <v>1.3255829552391334</v>
      </c>
      <c r="Q1324" s="14">
        <f t="shared" si="270"/>
        <v>1.110176203090081</v>
      </c>
    </row>
    <row r="1325" spans="1:17" x14ac:dyDescent="0.25">
      <c r="A1325" s="5" t="s">
        <v>1382</v>
      </c>
      <c r="B1325" s="6">
        <f t="shared" si="271"/>
        <v>12</v>
      </c>
      <c r="C1325" s="70">
        <v>17.02877617</v>
      </c>
      <c r="D1325" s="4">
        <v>3.8</v>
      </c>
      <c r="E1325" s="12">
        <f t="shared" si="260"/>
        <v>0</v>
      </c>
      <c r="F1325" s="12">
        <f t="shared" si="261"/>
        <v>3.8</v>
      </c>
      <c r="G1325" s="16">
        <f t="shared" si="263"/>
        <v>17.773365152486633</v>
      </c>
      <c r="H1325" s="14">
        <f t="shared" si="264"/>
        <v>0.67535908391753319</v>
      </c>
      <c r="I1325" s="14">
        <f t="shared" si="265"/>
        <v>6.9212657271926599</v>
      </c>
      <c r="J1325" s="14">
        <f t="shared" si="266"/>
        <v>1.5718648572329184</v>
      </c>
      <c r="K1325" s="14">
        <f t="shared" si="267"/>
        <v>5.2067867049073628</v>
      </c>
      <c r="L1325" s="14">
        <f t="shared" si="268"/>
        <v>685.77851646786553</v>
      </c>
      <c r="M1325" s="14">
        <f t="shared" si="262"/>
        <v>0.27171731511262814</v>
      </c>
      <c r="N1325" s="14">
        <f t="shared" si="269"/>
        <v>6.95332157076413</v>
      </c>
      <c r="O1325" s="4">
        <v>5.49</v>
      </c>
      <c r="P1325" s="14">
        <f t="shared" si="272"/>
        <v>2.1413100194636003</v>
      </c>
      <c r="Q1325" s="14">
        <f t="shared" si="270"/>
        <v>1.0892032232050242</v>
      </c>
    </row>
    <row r="1326" spans="1:17" x14ac:dyDescent="0.25">
      <c r="A1326" s="5" t="s">
        <v>1383</v>
      </c>
      <c r="B1326" s="6">
        <f t="shared" si="271"/>
        <v>12</v>
      </c>
      <c r="C1326" s="70">
        <v>15.91875267</v>
      </c>
      <c r="D1326" s="4">
        <v>5.9</v>
      </c>
      <c r="E1326" s="12">
        <f t="shared" si="260"/>
        <v>0</v>
      </c>
      <c r="F1326" s="12">
        <f t="shared" si="261"/>
        <v>5.9</v>
      </c>
      <c r="G1326" s="16">
        <f t="shared" si="263"/>
        <v>21.231518523338394</v>
      </c>
      <c r="H1326" s="14">
        <f t="shared" si="264"/>
        <v>1.1009485087886266</v>
      </c>
      <c r="I1326" s="14">
        <f t="shared" si="265"/>
        <v>5.3884401091954475</v>
      </c>
      <c r="J1326" s="14">
        <f t="shared" si="266"/>
        <v>1.3408981203596124</v>
      </c>
      <c r="K1326" s="14">
        <f t="shared" si="267"/>
        <v>5.9257217911658078</v>
      </c>
      <c r="L1326" s="14">
        <f t="shared" si="268"/>
        <v>685.88881257528305</v>
      </c>
      <c r="M1326" s="14">
        <f t="shared" si="262"/>
        <v>0.29981008293357453</v>
      </c>
      <c r="N1326" s="14">
        <f t="shared" si="269"/>
        <v>7.6722233028487645</v>
      </c>
      <c r="O1326" s="4">
        <v>5.92</v>
      </c>
      <c r="P1326" s="14">
        <f t="shared" si="272"/>
        <v>3.0702865030462334</v>
      </c>
      <c r="Q1326" s="14">
        <f t="shared" si="270"/>
        <v>0.37656508814755751</v>
      </c>
    </row>
    <row r="1327" spans="1:17" x14ac:dyDescent="0.25">
      <c r="A1327" s="5" t="s">
        <v>1384</v>
      </c>
      <c r="B1327" s="6">
        <f t="shared" si="271"/>
        <v>12</v>
      </c>
      <c r="C1327" s="70">
        <v>15.67702866</v>
      </c>
      <c r="D1327" s="4">
        <v>3.6</v>
      </c>
      <c r="E1327" s="12">
        <f t="shared" si="260"/>
        <v>0</v>
      </c>
      <c r="F1327" s="12">
        <f t="shared" si="261"/>
        <v>3.6</v>
      </c>
      <c r="G1327" s="16">
        <f t="shared" si="263"/>
        <v>22.590406222918492</v>
      </c>
      <c r="H1327" s="14">
        <f t="shared" si="264"/>
        <v>0.73854217992077387</v>
      </c>
      <c r="I1327" s="14">
        <f t="shared" si="265"/>
        <v>5.0546446940416114</v>
      </c>
      <c r="J1327" s="14">
        <f t="shared" si="266"/>
        <v>1.502570120499128</v>
      </c>
      <c r="K1327" s="14">
        <f t="shared" si="267"/>
        <v>6.2187804833579658</v>
      </c>
      <c r="L1327" s="14">
        <f t="shared" si="268"/>
        <v>686.0344859800781</v>
      </c>
      <c r="M1327" s="14">
        <f t="shared" si="262"/>
        <v>0.31128296063251126</v>
      </c>
      <c r="N1327" s="14">
        <f t="shared" si="269"/>
        <v>7.9658174300750275</v>
      </c>
      <c r="O1327" s="4">
        <v>6.3</v>
      </c>
      <c r="P1327" s="14">
        <f t="shared" si="272"/>
        <v>2.7749477103417699</v>
      </c>
      <c r="Q1327" s="14">
        <f t="shared" si="270"/>
        <v>5.4591852515377209E-2</v>
      </c>
    </row>
    <row r="1328" spans="1:17" x14ac:dyDescent="0.25">
      <c r="A1328" s="5" t="s">
        <v>1385</v>
      </c>
      <c r="B1328" s="6">
        <f t="shared" si="271"/>
        <v>12</v>
      </c>
      <c r="C1328" s="70">
        <v>15.484532359999999</v>
      </c>
      <c r="D1328" s="4">
        <v>5</v>
      </c>
      <c r="E1328" s="12">
        <f t="shared" si="260"/>
        <v>0</v>
      </c>
      <c r="F1328" s="12">
        <f t="shared" si="261"/>
        <v>5</v>
      </c>
      <c r="G1328" s="16">
        <f t="shared" si="263"/>
        <v>25.015500591862359</v>
      </c>
      <c r="H1328" s="14">
        <f t="shared" si="264"/>
        <v>1.0602416492948998</v>
      </c>
      <c r="I1328" s="14">
        <f t="shared" si="265"/>
        <v>4.788827564936077</v>
      </c>
      <c r="J1328" s="14">
        <f t="shared" si="266"/>
        <v>1.5146639817612335</v>
      </c>
      <c r="K1328" s="14">
        <f t="shared" si="267"/>
        <v>6.8076664143766941</v>
      </c>
      <c r="L1328" s="14">
        <f t="shared" si="268"/>
        <v>686.19455873772176</v>
      </c>
      <c r="M1328" s="14">
        <f t="shared" si="262"/>
        <v>0.33430884308276393</v>
      </c>
      <c r="N1328" s="14">
        <f t="shared" si="269"/>
        <v>8.5550561580554518</v>
      </c>
      <c r="O1328" s="4">
        <v>6.24</v>
      </c>
      <c r="P1328" s="14">
        <f t="shared" si="272"/>
        <v>5.3594850149504678</v>
      </c>
      <c r="Q1328" s="14">
        <f t="shared" si="270"/>
        <v>8.6229731825721259E-2</v>
      </c>
    </row>
    <row r="1329" spans="1:17" x14ac:dyDescent="0.25">
      <c r="A1329" s="5" t="s">
        <v>1386</v>
      </c>
      <c r="B1329" s="6">
        <f t="shared" si="271"/>
        <v>12</v>
      </c>
      <c r="C1329" s="70">
        <v>16.761903759999999</v>
      </c>
      <c r="D1329" s="4">
        <v>11.4</v>
      </c>
      <c r="E1329" s="12">
        <f t="shared" si="260"/>
        <v>0</v>
      </c>
      <c r="F1329" s="12">
        <f t="shared" si="261"/>
        <v>11.4</v>
      </c>
      <c r="G1329" s="16">
        <f t="shared" si="263"/>
        <v>31.568049143296999</v>
      </c>
      <c r="H1329" s="14">
        <f t="shared" si="264"/>
        <v>2.5523843199203515</v>
      </c>
      <c r="I1329" s="14">
        <f t="shared" si="265"/>
        <v>6.552743018633195</v>
      </c>
      <c r="J1329" s="14">
        <f t="shared" si="266"/>
        <v>2.2950671286450133</v>
      </c>
      <c r="K1329" s="14">
        <f t="shared" si="267"/>
        <v>8.8367061380948879</v>
      </c>
      <c r="L1329" s="14">
        <f t="shared" si="268"/>
        <v>686.38359449084112</v>
      </c>
      <c r="M1329" s="14">
        <f t="shared" si="262"/>
        <v>0.41356859805217605</v>
      </c>
      <c r="N1329" s="14">
        <f t="shared" si="269"/>
        <v>10.583335304321311</v>
      </c>
      <c r="O1329" s="4">
        <v>9.5</v>
      </c>
      <c r="P1329" s="14">
        <f t="shared" si="272"/>
        <v>1.1736153815889478</v>
      </c>
      <c r="Q1329" s="14">
        <f t="shared" si="270"/>
        <v>8.7992382892970173</v>
      </c>
    </row>
    <row r="1330" spans="1:17" x14ac:dyDescent="0.25">
      <c r="A1330" s="5" t="s">
        <v>1387</v>
      </c>
      <c r="B1330" s="6">
        <f t="shared" si="271"/>
        <v>12</v>
      </c>
      <c r="C1330" s="70">
        <v>17.067939760000002</v>
      </c>
      <c r="D1330" s="4">
        <v>3.2</v>
      </c>
      <c r="E1330" s="12">
        <f t="shared" si="260"/>
        <v>0</v>
      </c>
      <c r="F1330" s="12">
        <f t="shared" si="261"/>
        <v>3.2</v>
      </c>
      <c r="G1330" s="16">
        <f t="shared" si="263"/>
        <v>30.873972675590711</v>
      </c>
      <c r="H1330" s="14">
        <f t="shared" si="264"/>
        <v>0.81105470947519942</v>
      </c>
      <c r="I1330" s="14">
        <f t="shared" si="265"/>
        <v>6.9753465228197271</v>
      </c>
      <c r="J1330" s="14">
        <f t="shared" si="266"/>
        <v>3.0830217582310886</v>
      </c>
      <c r="K1330" s="14">
        <f t="shared" si="267"/>
        <v>8.9452856371912901</v>
      </c>
      <c r="L1330" s="14">
        <f t="shared" si="268"/>
        <v>686.67250110316775</v>
      </c>
      <c r="M1330" s="14">
        <f t="shared" si="262"/>
        <v>0.41786939554767222</v>
      </c>
      <c r="N1330" s="14">
        <f t="shared" si="269"/>
        <v>10.693393906897029</v>
      </c>
      <c r="O1330" s="4">
        <v>14.19</v>
      </c>
      <c r="P1330" s="14">
        <f t="shared" si="272"/>
        <v>12.22625417032482</v>
      </c>
      <c r="Q1330" s="14">
        <f t="shared" si="270"/>
        <v>58.619710723205102</v>
      </c>
    </row>
    <row r="1331" spans="1:17" x14ac:dyDescent="0.25">
      <c r="A1331" s="5" t="s">
        <v>1388</v>
      </c>
      <c r="B1331" s="6">
        <f t="shared" si="271"/>
        <v>12</v>
      </c>
      <c r="C1331" s="70">
        <v>16.96824646</v>
      </c>
      <c r="D1331" s="4">
        <v>16.8</v>
      </c>
      <c r="E1331" s="12">
        <f t="shared" si="260"/>
        <v>0</v>
      </c>
      <c r="F1331" s="12">
        <f t="shared" si="261"/>
        <v>16.8</v>
      </c>
      <c r="G1331" s="16">
        <f t="shared" si="263"/>
        <v>40.510371505855197</v>
      </c>
      <c r="H1331" s="14">
        <f t="shared" si="264"/>
        <v>4.2078737393535972</v>
      </c>
      <c r="I1331" s="14">
        <f t="shared" si="265"/>
        <v>6.8376805687361557</v>
      </c>
      <c r="J1331" s="14">
        <f t="shared" si="266"/>
        <v>2.9557274303819225</v>
      </c>
      <c r="K1331" s="14">
        <f t="shared" si="267"/>
        <v>12.441098394072638</v>
      </c>
      <c r="L1331" s="14">
        <f t="shared" si="268"/>
        <v>686.96669269009237</v>
      </c>
      <c r="M1331" s="14">
        <f t="shared" si="262"/>
        <v>0.55441854505436039</v>
      </c>
      <c r="N1331" s="14">
        <f t="shared" si="269"/>
        <v>14.187724573092487</v>
      </c>
      <c r="O1331" s="4">
        <v>15.89</v>
      </c>
      <c r="P1331" s="14">
        <f t="shared" si="272"/>
        <v>2.8977416290531588</v>
      </c>
      <c r="Q1331" s="14">
        <f t="shared" si="270"/>
        <v>87.541304142745375</v>
      </c>
    </row>
    <row r="1332" spans="1:17" x14ac:dyDescent="0.25">
      <c r="A1332" s="5" t="s">
        <v>1389</v>
      </c>
      <c r="B1332" s="6">
        <f t="shared" si="271"/>
        <v>12</v>
      </c>
      <c r="C1332" s="70">
        <v>17.272968290000001</v>
      </c>
      <c r="D1332" s="4">
        <v>9.5</v>
      </c>
      <c r="E1332" s="12">
        <f t="shared" si="260"/>
        <v>0</v>
      </c>
      <c r="F1332" s="12">
        <f t="shared" si="261"/>
        <v>9.5</v>
      </c>
      <c r="G1332" s="16">
        <f t="shared" si="263"/>
        <v>43.143239474447597</v>
      </c>
      <c r="H1332" s="14">
        <f t="shared" si="264"/>
        <v>2.7501939896467604</v>
      </c>
      <c r="I1332" s="14">
        <f t="shared" si="265"/>
        <v>7.2584693424756255</v>
      </c>
      <c r="J1332" s="14">
        <f t="shared" si="266"/>
        <v>4.116938041760843</v>
      </c>
      <c r="K1332" s="14">
        <f t="shared" si="267"/>
        <v>14.170609012603542</v>
      </c>
      <c r="L1332" s="14">
        <f t="shared" si="268"/>
        <v>687.43295751615381</v>
      </c>
      <c r="M1332" s="14">
        <f t="shared" si="262"/>
        <v>0.62204288853614154</v>
      </c>
      <c r="N1332" s="14">
        <f t="shared" si="269"/>
        <v>15.918250307331119</v>
      </c>
      <c r="O1332" s="4">
        <v>16.12</v>
      </c>
      <c r="P1332" s="14">
        <f t="shared" si="272"/>
        <v>4.0702938491988243E-2</v>
      </c>
      <c r="Q1332" s="14">
        <f t="shared" si="270"/>
        <v>91.898125605389069</v>
      </c>
    </row>
    <row r="1333" spans="1:17" x14ac:dyDescent="0.25">
      <c r="A1333" s="5" t="s">
        <v>1390</v>
      </c>
      <c r="B1333" s="6">
        <f t="shared" si="271"/>
        <v>1</v>
      </c>
      <c r="C1333" s="70">
        <v>15.148000720000001</v>
      </c>
      <c r="D1333" s="4">
        <v>5.5</v>
      </c>
      <c r="E1333" s="12">
        <f t="shared" si="260"/>
        <v>0</v>
      </c>
      <c r="F1333" s="12">
        <f t="shared" si="261"/>
        <v>5.5</v>
      </c>
      <c r="G1333" s="16">
        <f t="shared" si="263"/>
        <v>42.849605001502312</v>
      </c>
      <c r="H1333" s="14">
        <f t="shared" si="264"/>
        <v>1.6465676378012888</v>
      </c>
      <c r="I1333" s="14">
        <f t="shared" si="265"/>
        <v>6.8653901831565305</v>
      </c>
      <c r="J1333" s="14">
        <f t="shared" si="266"/>
        <v>4.1470668351439972</v>
      </c>
      <c r="K1333" s="14">
        <f t="shared" si="267"/>
        <v>14.643806126001143</v>
      </c>
      <c r="L1333" s="14">
        <f t="shared" si="268"/>
        <v>687.98428515202136</v>
      </c>
      <c r="M1333" s="14">
        <f t="shared" si="262"/>
        <v>0.64063529806863317</v>
      </c>
      <c r="N1333" s="14">
        <f t="shared" si="269"/>
        <v>16.394035231825786</v>
      </c>
      <c r="O1333" s="4">
        <v>18.89</v>
      </c>
      <c r="P1333" s="14">
        <f t="shared" si="272"/>
        <v>6.2298401239669614</v>
      </c>
      <c r="Q1333" s="14">
        <f t="shared" si="270"/>
        <v>152.67941017722816</v>
      </c>
    </row>
    <row r="1334" spans="1:17" x14ac:dyDescent="0.25">
      <c r="A1334" s="5" t="s">
        <v>1391</v>
      </c>
      <c r="B1334" s="6">
        <f t="shared" si="271"/>
        <v>1</v>
      </c>
      <c r="C1334" s="70">
        <v>16.928283690000001</v>
      </c>
      <c r="D1334" s="4">
        <v>1.5</v>
      </c>
      <c r="E1334" s="12">
        <f t="shared" si="260"/>
        <v>0</v>
      </c>
      <c r="F1334" s="12">
        <f t="shared" si="261"/>
        <v>1.5</v>
      </c>
      <c r="G1334" s="16">
        <f t="shared" si="263"/>
        <v>37.655405543158288</v>
      </c>
      <c r="H1334" s="14">
        <f t="shared" si="264"/>
        <v>0.44743210796196586</v>
      </c>
      <c r="I1334" s="14">
        <f t="shared" si="265"/>
        <v>10.412270703640793</v>
      </c>
      <c r="J1334" s="14">
        <f t="shared" si="266"/>
        <v>6.2467673503820587</v>
      </c>
      <c r="K1334" s="14">
        <f t="shared" si="267"/>
        <v>13.87609223884848</v>
      </c>
      <c r="L1334" s="14">
        <f t="shared" si="268"/>
        <v>688.55879584906734</v>
      </c>
      <c r="M1334" s="14">
        <f t="shared" si="262"/>
        <v>0.61078394922202928</v>
      </c>
      <c r="N1334" s="14">
        <f t="shared" si="269"/>
        <v>15.630130922799848</v>
      </c>
      <c r="O1334" s="4">
        <v>17.95</v>
      </c>
      <c r="P1334" s="14">
        <f t="shared" si="272"/>
        <v>5.3817925353494793</v>
      </c>
      <c r="Q1334" s="14">
        <f t="shared" si="270"/>
        <v>130.33307028642355</v>
      </c>
    </row>
    <row r="1335" spans="1:17" x14ac:dyDescent="0.25">
      <c r="A1335" s="5" t="s">
        <v>1392</v>
      </c>
      <c r="B1335" s="6">
        <f t="shared" si="271"/>
        <v>1</v>
      </c>
      <c r="C1335" s="70">
        <v>16.67848206</v>
      </c>
      <c r="D1335" s="4">
        <v>7</v>
      </c>
      <c r="E1335" s="12">
        <f t="shared" si="260"/>
        <v>0</v>
      </c>
      <c r="F1335" s="12">
        <f t="shared" si="261"/>
        <v>7</v>
      </c>
      <c r="G1335" s="16">
        <f t="shared" si="263"/>
        <v>37.479221351759335</v>
      </c>
      <c r="H1335" s="14">
        <f t="shared" si="264"/>
        <v>1.9490331767545075</v>
      </c>
      <c r="I1335" s="14">
        <f t="shared" si="265"/>
        <v>9.9145877226974761</v>
      </c>
      <c r="J1335" s="14">
        <f t="shared" si="266"/>
        <v>5.2271510146444475</v>
      </c>
      <c r="K1335" s="14">
        <f t="shared" si="267"/>
        <v>14.677755846208397</v>
      </c>
      <c r="L1335" s="14">
        <f t="shared" si="268"/>
        <v>689.0953814692399</v>
      </c>
      <c r="M1335" s="14">
        <f t="shared" si="262"/>
        <v>0.64219748502334506</v>
      </c>
      <c r="N1335" s="14">
        <f t="shared" si="269"/>
        <v>16.434012029937684</v>
      </c>
      <c r="O1335" s="4">
        <v>15.95</v>
      </c>
      <c r="P1335" s="14">
        <f t="shared" si="272"/>
        <v>0.23426764512439771</v>
      </c>
      <c r="Q1335" s="14">
        <f t="shared" si="270"/>
        <v>88.667666263435009</v>
      </c>
    </row>
    <row r="1336" spans="1:17" x14ac:dyDescent="0.25">
      <c r="A1336" s="5" t="s">
        <v>1393</v>
      </c>
      <c r="B1336" s="6">
        <f t="shared" si="271"/>
        <v>1</v>
      </c>
      <c r="C1336" s="70">
        <v>15.678052900000001</v>
      </c>
      <c r="D1336" s="4">
        <v>3</v>
      </c>
      <c r="E1336" s="12">
        <f t="shared" si="260"/>
        <v>0</v>
      </c>
      <c r="F1336" s="12">
        <f t="shared" si="261"/>
        <v>3</v>
      </c>
      <c r="G1336" s="16">
        <f t="shared" si="263"/>
        <v>35.489230698360451</v>
      </c>
      <c r="H1336" s="14">
        <f t="shared" si="264"/>
        <v>0.83321434671519701</v>
      </c>
      <c r="I1336" s="14">
        <f t="shared" si="265"/>
        <v>7.9214199176218427</v>
      </c>
      <c r="J1336" s="14">
        <f t="shared" si="266"/>
        <v>4.156776306683688</v>
      </c>
      <c r="K1336" s="14">
        <f t="shared" si="267"/>
        <v>14.292826999597043</v>
      </c>
      <c r="L1336" s="14">
        <f t="shared" si="268"/>
        <v>689.67132717754305</v>
      </c>
      <c r="M1336" s="14">
        <f t="shared" si="262"/>
        <v>0.62729145922990937</v>
      </c>
      <c r="N1336" s="14">
        <f t="shared" si="269"/>
        <v>16.052562689320943</v>
      </c>
      <c r="O1336" s="4">
        <v>14.06</v>
      </c>
      <c r="P1336" s="14">
        <f t="shared" si="272"/>
        <v>3.9703060708739084</v>
      </c>
      <c r="Q1336" s="14">
        <f t="shared" si="270"/>
        <v>56.645959461710859</v>
      </c>
    </row>
    <row r="1337" spans="1:17" x14ac:dyDescent="0.25">
      <c r="A1337" s="5" t="s">
        <v>1394</v>
      </c>
      <c r="B1337" s="6">
        <f t="shared" si="271"/>
        <v>1</v>
      </c>
      <c r="C1337" s="70">
        <v>16.82557869</v>
      </c>
      <c r="D1337" s="4">
        <v>0</v>
      </c>
      <c r="E1337" s="12">
        <f t="shared" si="260"/>
        <v>0</v>
      </c>
      <c r="F1337" s="12">
        <f t="shared" si="261"/>
        <v>0</v>
      </c>
      <c r="G1337" s="16">
        <f t="shared" si="263"/>
        <v>30.41715854082797</v>
      </c>
      <c r="H1337" s="14">
        <f t="shared" si="264"/>
        <v>0</v>
      </c>
      <c r="I1337" s="14">
        <f t="shared" si="265"/>
        <v>10.207650219147624</v>
      </c>
      <c r="J1337" s="14">
        <f t="shared" si="266"/>
        <v>5.0720721575324816</v>
      </c>
      <c r="K1337" s="14">
        <f t="shared" si="267"/>
        <v>13.108666650421734</v>
      </c>
      <c r="L1337" s="14">
        <f t="shared" si="268"/>
        <v>690.2281960674884</v>
      </c>
      <c r="M1337" s="14">
        <f t="shared" si="262"/>
        <v>0.58117709715650734</v>
      </c>
      <c r="N1337" s="14">
        <f t="shared" si="269"/>
        <v>14.872483354317568</v>
      </c>
      <c r="O1337" s="4">
        <v>13.21</v>
      </c>
      <c r="P1337" s="14">
        <f t="shared" si="272"/>
        <v>2.7638509033829899</v>
      </c>
      <c r="Q1337" s="14">
        <f t="shared" si="270"/>
        <v>44.573662751940745</v>
      </c>
    </row>
    <row r="1338" spans="1:17" x14ac:dyDescent="0.25">
      <c r="A1338" s="5" t="s">
        <v>1395</v>
      </c>
      <c r="B1338" s="6">
        <f t="shared" si="271"/>
        <v>1</v>
      </c>
      <c r="C1338" s="70">
        <v>17.29368401</v>
      </c>
      <c r="D1338" s="4">
        <v>0.7</v>
      </c>
      <c r="E1338" s="12">
        <f t="shared" si="260"/>
        <v>0</v>
      </c>
      <c r="F1338" s="12">
        <f t="shared" si="261"/>
        <v>0.7</v>
      </c>
      <c r="G1338" s="16">
        <f t="shared" si="263"/>
        <v>26.198863730152869</v>
      </c>
      <c r="H1338" s="14">
        <f t="shared" si="264"/>
        <v>0.17394042894910225</v>
      </c>
      <c r="I1338" s="14">
        <f t="shared" si="265"/>
        <v>11.140262432498769</v>
      </c>
      <c r="J1338" s="14">
        <f t="shared" si="266"/>
        <v>4.7443543817259988</v>
      </c>
      <c r="K1338" s="14">
        <f t="shared" si="267"/>
        <v>12.202988483691946</v>
      </c>
      <c r="L1338" s="14">
        <f t="shared" si="268"/>
        <v>690.72663756601082</v>
      </c>
      <c r="M1338" s="14">
        <f t="shared" si="262"/>
        <v>0.54592302542459814</v>
      </c>
      <c r="N1338" s="14">
        <f t="shared" si="269"/>
        <v>13.970321865900305</v>
      </c>
      <c r="O1338" s="4">
        <v>12.23</v>
      </c>
      <c r="P1338" s="14">
        <f t="shared" si="272"/>
        <v>3.028720196930716</v>
      </c>
      <c r="Q1338" s="14">
        <f t="shared" si="270"/>
        <v>32.448414780676359</v>
      </c>
    </row>
    <row r="1339" spans="1:17" x14ac:dyDescent="0.25">
      <c r="A1339" s="5" t="s">
        <v>1396</v>
      </c>
      <c r="B1339" s="6">
        <f t="shared" si="271"/>
        <v>1</v>
      </c>
      <c r="C1339" s="70">
        <v>18.0167942</v>
      </c>
      <c r="D1339" s="4">
        <v>0.1</v>
      </c>
      <c r="E1339" s="12">
        <f t="shared" si="260"/>
        <v>0</v>
      </c>
      <c r="F1339" s="12">
        <f t="shared" si="261"/>
        <v>0.1</v>
      </c>
      <c r="G1339" s="16">
        <f t="shared" si="263"/>
        <v>21.661060948216399</v>
      </c>
      <c r="H1339" s="14">
        <f t="shared" si="264"/>
        <v>2.2947814890256792E-2</v>
      </c>
      <c r="I1339" s="14">
        <f t="shared" si="265"/>
        <v>12.58092410836408</v>
      </c>
      <c r="J1339" s="14">
        <f t="shared" si="266"/>
        <v>4.6148549670462158</v>
      </c>
      <c r="K1339" s="14">
        <f t="shared" si="267"/>
        <v>11.226274090329474</v>
      </c>
      <c r="L1339" s="14">
        <f t="shared" si="268"/>
        <v>691.18037674883897</v>
      </c>
      <c r="M1339" s="14">
        <f t="shared" si="262"/>
        <v>0.50788597445178474</v>
      </c>
      <c r="N1339" s="14">
        <f t="shared" si="269"/>
        <v>12.99694316565852</v>
      </c>
      <c r="O1339" s="4">
        <v>10.02</v>
      </c>
      <c r="P1339" s="14">
        <f t="shared" si="272"/>
        <v>8.8621906115609708</v>
      </c>
      <c r="Q1339" s="14">
        <f t="shared" si="270"/>
        <v>12.154643335274031</v>
      </c>
    </row>
    <row r="1340" spans="1:17" x14ac:dyDescent="0.25">
      <c r="A1340" s="5" t="s">
        <v>1397</v>
      </c>
      <c r="B1340" s="6">
        <f t="shared" si="271"/>
        <v>1</v>
      </c>
      <c r="C1340" s="70">
        <v>17.71366119</v>
      </c>
      <c r="D1340" s="4">
        <v>4.4000000000000004</v>
      </c>
      <c r="E1340" s="12">
        <f t="shared" si="260"/>
        <v>0</v>
      </c>
      <c r="F1340" s="12">
        <f t="shared" si="261"/>
        <v>4.4000000000000004</v>
      </c>
      <c r="G1340" s="16">
        <f t="shared" si="263"/>
        <v>21.516336391171933</v>
      </c>
      <c r="H1340" s="14">
        <f t="shared" si="264"/>
        <v>0.91235180418178186</v>
      </c>
      <c r="I1340" s="14">
        <f t="shared" si="265"/>
        <v>11.976988337251939</v>
      </c>
      <c r="J1340" s="14">
        <f t="shared" si="266"/>
        <v>3.6323727528626844</v>
      </c>
      <c r="K1340" s="14">
        <f t="shared" si="267"/>
        <v>11.225191396397966</v>
      </c>
      <c r="L1340" s="14">
        <f t="shared" si="268"/>
        <v>691.5859252725005</v>
      </c>
      <c r="M1340" s="14">
        <f t="shared" si="262"/>
        <v>0.5079300956915529</v>
      </c>
      <c r="N1340" s="14">
        <f t="shared" si="269"/>
        <v>12.998072240440088</v>
      </c>
      <c r="O1340" s="4">
        <v>9.32</v>
      </c>
      <c r="P1340" s="14">
        <f t="shared" si="272"/>
        <v>13.528215405895965</v>
      </c>
      <c r="Q1340" s="14">
        <f t="shared" si="270"/>
        <v>7.7637519272280509</v>
      </c>
    </row>
    <row r="1341" spans="1:17" x14ac:dyDescent="0.25">
      <c r="A1341" s="5" t="s">
        <v>1398</v>
      </c>
      <c r="B1341" s="6">
        <f t="shared" si="271"/>
        <v>1</v>
      </c>
      <c r="C1341" s="70">
        <v>16.577539439999999</v>
      </c>
      <c r="D1341" s="4">
        <v>2.7</v>
      </c>
      <c r="E1341" s="12">
        <f t="shared" si="260"/>
        <v>0</v>
      </c>
      <c r="F1341" s="12">
        <f t="shared" si="261"/>
        <v>2.7</v>
      </c>
      <c r="G1341" s="16">
        <f t="shared" si="263"/>
        <v>20.732266637791639</v>
      </c>
      <c r="H1341" s="14">
        <f t="shared" si="264"/>
        <v>0.55785520736307159</v>
      </c>
      <c r="I1341" s="14">
        <f t="shared" si="265"/>
        <v>9.7134784504087861</v>
      </c>
      <c r="J1341" s="14">
        <f t="shared" si="266"/>
        <v>2.9262145460172193</v>
      </c>
      <c r="K1341" s="14">
        <f t="shared" si="267"/>
        <v>10.869707689596472</v>
      </c>
      <c r="L1341" s="14">
        <f t="shared" si="268"/>
        <v>691.99133409097351</v>
      </c>
      <c r="M1341" s="14">
        <f t="shared" si="262"/>
        <v>0.49413736303190886</v>
      </c>
      <c r="N1341" s="14">
        <f t="shared" si="269"/>
        <v>12.645112380365166</v>
      </c>
      <c r="O1341" s="4">
        <v>10.38</v>
      </c>
      <c r="P1341" s="14">
        <f t="shared" si="272"/>
        <v>5.1307340956835459</v>
      </c>
      <c r="Q1341" s="14">
        <f t="shared" si="270"/>
        <v>14.794416059411974</v>
      </c>
    </row>
    <row r="1342" spans="1:17" x14ac:dyDescent="0.25">
      <c r="A1342" s="5" t="s">
        <v>1399</v>
      </c>
      <c r="B1342" s="6">
        <f t="shared" si="271"/>
        <v>1</v>
      </c>
      <c r="C1342" s="70">
        <v>17.362009050000001</v>
      </c>
      <c r="D1342" s="4">
        <v>7.5</v>
      </c>
      <c r="E1342" s="12">
        <f t="shared" si="260"/>
        <v>0</v>
      </c>
      <c r="F1342" s="12">
        <f t="shared" si="261"/>
        <v>7.5</v>
      </c>
      <c r="G1342" s="16">
        <f t="shared" si="263"/>
        <v>23.439775372093138</v>
      </c>
      <c r="H1342" s="14">
        <f t="shared" si="264"/>
        <v>1.5192363626170824</v>
      </c>
      <c r="I1342" s="14">
        <f t="shared" si="265"/>
        <v>11.276387283166363</v>
      </c>
      <c r="J1342" s="14">
        <f t="shared" si="266"/>
        <v>3.2732549030814195</v>
      </c>
      <c r="K1342" s="14">
        <f t="shared" si="267"/>
        <v>11.506988463858134</v>
      </c>
      <c r="L1342" s="14">
        <f t="shared" si="268"/>
        <v>692.37915231629711</v>
      </c>
      <c r="M1342" s="14">
        <f t="shared" si="262"/>
        <v>0.51910123377147732</v>
      </c>
      <c r="N1342" s="14">
        <f t="shared" si="269"/>
        <v>13.283944766999264</v>
      </c>
      <c r="O1342" s="4">
        <v>9.42</v>
      </c>
      <c r="P1342" s="14">
        <f t="shared" si="272"/>
        <v>14.930069162420997</v>
      </c>
      <c r="Q1342" s="14">
        <f t="shared" si="270"/>
        <v>8.3310221283774748</v>
      </c>
    </row>
    <row r="1343" spans="1:17" x14ac:dyDescent="0.25">
      <c r="A1343" s="5" t="s">
        <v>1400</v>
      </c>
      <c r="B1343" s="6">
        <f t="shared" si="271"/>
        <v>1</v>
      </c>
      <c r="C1343" s="70">
        <v>17.318073269999999</v>
      </c>
      <c r="D1343" s="4">
        <v>3.9</v>
      </c>
      <c r="E1343" s="12">
        <f t="shared" si="260"/>
        <v>0</v>
      </c>
      <c r="F1343" s="12">
        <f t="shared" si="261"/>
        <v>3.9</v>
      </c>
      <c r="G1343" s="16">
        <f t="shared" si="263"/>
        <v>22.824360105231651</v>
      </c>
      <c r="H1343" s="14">
        <f t="shared" si="264"/>
        <v>0.84342019264705581</v>
      </c>
      <c r="I1343" s="14">
        <f t="shared" si="265"/>
        <v>11.188853466992024</v>
      </c>
      <c r="J1343" s="14">
        <f t="shared" si="266"/>
        <v>3.6719950742144278</v>
      </c>
      <c r="K1343" s="14">
        <f t="shared" si="267"/>
        <v>11.412191726805862</v>
      </c>
      <c r="L1343" s="14">
        <f t="shared" si="268"/>
        <v>692.79826801222498</v>
      </c>
      <c r="M1343" s="14">
        <f t="shared" si="262"/>
        <v>0.5154893822362685</v>
      </c>
      <c r="N1343" s="14">
        <f t="shared" si="269"/>
        <v>13.191516482921175</v>
      </c>
      <c r="O1343" s="4">
        <v>9.5299999999999994</v>
      </c>
      <c r="P1343" s="14">
        <f t="shared" si="272"/>
        <v>13.406702954703457</v>
      </c>
      <c r="Q1343" s="14">
        <f t="shared" si="270"/>
        <v>8.9781193496418403</v>
      </c>
    </row>
    <row r="1344" spans="1:17" x14ac:dyDescent="0.25">
      <c r="A1344" s="5" t="s">
        <v>1401</v>
      </c>
      <c r="B1344" s="6">
        <f t="shared" si="271"/>
        <v>1</v>
      </c>
      <c r="C1344" s="70">
        <v>16.01102066</v>
      </c>
      <c r="D1344" s="4">
        <v>5.8</v>
      </c>
      <c r="E1344" s="12">
        <f t="shared" si="260"/>
        <v>0</v>
      </c>
      <c r="F1344" s="12">
        <f t="shared" si="261"/>
        <v>5.8</v>
      </c>
      <c r="G1344" s="16">
        <f t="shared" si="263"/>
        <v>24.64429076153651</v>
      </c>
      <c r="H1344" s="14">
        <f t="shared" si="264"/>
        <v>1.2366535122106503</v>
      </c>
      <c r="I1344" s="14">
        <f t="shared" si="265"/>
        <v>8.5847958425700419</v>
      </c>
      <c r="J1344" s="14">
        <f t="shared" si="266"/>
        <v>2.7434158314844925</v>
      </c>
      <c r="K1344" s="14">
        <f t="shared" si="267"/>
        <v>11.71899729171394</v>
      </c>
      <c r="L1344" s="14">
        <f t="shared" si="268"/>
        <v>693.21262657729119</v>
      </c>
      <c r="M1344" s="14">
        <f t="shared" si="262"/>
        <v>0.52755621410036413</v>
      </c>
      <c r="N1344" s="14">
        <f t="shared" si="269"/>
        <v>13.500310062221125</v>
      </c>
      <c r="O1344" s="4">
        <v>12.01</v>
      </c>
      <c r="P1344" s="14">
        <f t="shared" si="272"/>
        <v>2.2210240815575339</v>
      </c>
      <c r="Q1344" s="14">
        <f t="shared" si="270"/>
        <v>29.990420338147612</v>
      </c>
    </row>
    <row r="1345" spans="1:17" x14ac:dyDescent="0.25">
      <c r="A1345" s="5" t="s">
        <v>1402</v>
      </c>
      <c r="B1345" s="6">
        <f t="shared" si="271"/>
        <v>1</v>
      </c>
      <c r="C1345" s="70">
        <v>16.503524779999999</v>
      </c>
      <c r="D1345" s="4">
        <v>2.1</v>
      </c>
      <c r="E1345" s="12">
        <f t="shared" si="260"/>
        <v>0</v>
      </c>
      <c r="F1345" s="12">
        <f t="shared" si="261"/>
        <v>2.1</v>
      </c>
      <c r="G1345" s="16">
        <f t="shared" si="263"/>
        <v>22.977112405648043</v>
      </c>
      <c r="H1345" s="14">
        <f t="shared" si="264"/>
        <v>0.46644394719435672</v>
      </c>
      <c r="I1345" s="14">
        <f t="shared" si="265"/>
        <v>9.5660180970784037</v>
      </c>
      <c r="J1345" s="14">
        <f t="shared" si="266"/>
        <v>3.3007344086941126</v>
      </c>
      <c r="K1345" s="14">
        <f t="shared" si="267"/>
        <v>11.228507439794955</v>
      </c>
      <c r="L1345" s="14">
        <f t="shared" si="268"/>
        <v>693.64200416230426</v>
      </c>
      <c r="M1345" s="14">
        <f t="shared" si="262"/>
        <v>0.50849756330790941</v>
      </c>
      <c r="N1345" s="14">
        <f t="shared" si="269"/>
        <v>13.012593894372543</v>
      </c>
      <c r="O1345" s="4">
        <v>12.71</v>
      </c>
      <c r="P1345" s="14">
        <f t="shared" si="272"/>
        <v>9.1563064911541189E-2</v>
      </c>
      <c r="Q1345" s="14">
        <f t="shared" si="270"/>
        <v>38.147311746193608</v>
      </c>
    </row>
    <row r="1346" spans="1:17" x14ac:dyDescent="0.25">
      <c r="A1346" s="5" t="s">
        <v>1403</v>
      </c>
      <c r="B1346" s="6">
        <f t="shared" si="271"/>
        <v>1</v>
      </c>
      <c r="C1346" s="70">
        <v>16.424215319999998</v>
      </c>
      <c r="D1346" s="4">
        <v>7.8</v>
      </c>
      <c r="E1346" s="12">
        <f t="shared" si="260"/>
        <v>0</v>
      </c>
      <c r="F1346" s="12">
        <f t="shared" si="261"/>
        <v>7.8</v>
      </c>
      <c r="G1346" s="16">
        <f t="shared" si="263"/>
        <v>26.081494545892763</v>
      </c>
      <c r="H1346" s="14">
        <f t="shared" si="264"/>
        <v>1.6690095214408807</v>
      </c>
      <c r="I1346" s="14">
        <f t="shared" si="265"/>
        <v>9.4080088460186513</v>
      </c>
      <c r="J1346" s="14">
        <f t="shared" si="266"/>
        <v>3.0266083383143996</v>
      </c>
      <c r="K1346" s="14">
        <f t="shared" si="267"/>
        <v>11.983885295340789</v>
      </c>
      <c r="L1346" s="14">
        <f t="shared" si="268"/>
        <v>694.04713826489137</v>
      </c>
      <c r="M1346" s="14">
        <f t="shared" si="262"/>
        <v>0.53807596894075993</v>
      </c>
      <c r="N1346" s="14">
        <f t="shared" si="269"/>
        <v>13.769513510740977</v>
      </c>
      <c r="O1346" s="4">
        <v>14.39</v>
      </c>
      <c r="P1346" s="14">
        <f t="shared" si="272"/>
        <v>0.38500348335298895</v>
      </c>
      <c r="Q1346" s="14">
        <f t="shared" si="270"/>
        <v>61.722251125503966</v>
      </c>
    </row>
    <row r="1347" spans="1:17" x14ac:dyDescent="0.25">
      <c r="A1347" s="5" t="s">
        <v>1404</v>
      </c>
      <c r="B1347" s="6">
        <f t="shared" si="271"/>
        <v>1</v>
      </c>
      <c r="C1347" s="70">
        <v>15.264214519999999</v>
      </c>
      <c r="D1347" s="4">
        <v>0.4</v>
      </c>
      <c r="E1347" s="12">
        <f t="shared" si="260"/>
        <v>0</v>
      </c>
      <c r="F1347" s="12">
        <f t="shared" si="261"/>
        <v>0.4</v>
      </c>
      <c r="G1347" s="16">
        <f t="shared" si="263"/>
        <v>23.798336195356939</v>
      </c>
      <c r="H1347" s="14">
        <f t="shared" si="264"/>
        <v>9.1571828144821177E-2</v>
      </c>
      <c r="I1347" s="14">
        <f t="shared" si="265"/>
        <v>7.0969244225878327</v>
      </c>
      <c r="J1347" s="14">
        <f t="shared" si="266"/>
        <v>2.5915865223910002</v>
      </c>
      <c r="K1347" s="14">
        <f t="shared" si="267"/>
        <v>11.095138099222142</v>
      </c>
      <c r="L1347" s="14">
        <f t="shared" si="268"/>
        <v>694.48938132021408</v>
      </c>
      <c r="M1347" s="14">
        <f t="shared" si="262"/>
        <v>0.50347095871281522</v>
      </c>
      <c r="N1347" s="14">
        <f t="shared" si="269"/>
        <v>12.88396168650503</v>
      </c>
      <c r="O1347" s="4">
        <v>13.61</v>
      </c>
      <c r="P1347" s="14">
        <f t="shared" si="272"/>
        <v>0.52713163266261964</v>
      </c>
      <c r="Q1347" s="14">
        <f t="shared" si="270"/>
        <v>50.074743556538429</v>
      </c>
    </row>
    <row r="1348" spans="1:17" x14ac:dyDescent="0.25">
      <c r="A1348" s="5" t="s">
        <v>1405</v>
      </c>
      <c r="B1348" s="6">
        <f t="shared" si="271"/>
        <v>1</v>
      </c>
      <c r="C1348" s="70">
        <v>14.775883670000001</v>
      </c>
      <c r="D1348" s="4">
        <v>7.5</v>
      </c>
      <c r="E1348" s="12">
        <f t="shared" si="260"/>
        <v>0</v>
      </c>
      <c r="F1348" s="12">
        <f t="shared" si="261"/>
        <v>7.5</v>
      </c>
      <c r="G1348" s="16">
        <f t="shared" si="263"/>
        <v>27.622651164458123</v>
      </c>
      <c r="H1348" s="14">
        <f t="shared" si="264"/>
        <v>1.6351407909946967</v>
      </c>
      <c r="I1348" s="14">
        <f t="shared" si="265"/>
        <v>6.124016627252062</v>
      </c>
      <c r="J1348" s="14">
        <f t="shared" si="266"/>
        <v>2.0405442399041172</v>
      </c>
      <c r="K1348" s="14">
        <f t="shared" si="267"/>
        <v>11.828421528989105</v>
      </c>
      <c r="L1348" s="14">
        <f t="shared" si="268"/>
        <v>694.887767722729</v>
      </c>
      <c r="M1348" s="14">
        <f t="shared" si="262"/>
        <v>0.53218529764359501</v>
      </c>
      <c r="N1348" s="14">
        <f t="shared" si="269"/>
        <v>13.618769595948942</v>
      </c>
      <c r="O1348" s="4">
        <v>12.23</v>
      </c>
      <c r="P1348" s="14">
        <f t="shared" si="272"/>
        <v>1.9286809906321867</v>
      </c>
      <c r="Q1348" s="14">
        <f t="shared" si="270"/>
        <v>32.448414780676359</v>
      </c>
    </row>
    <row r="1349" spans="1:17" x14ac:dyDescent="0.25">
      <c r="A1349" s="5" t="s">
        <v>1406</v>
      </c>
      <c r="B1349" s="6">
        <f t="shared" si="271"/>
        <v>1</v>
      </c>
      <c r="C1349" s="70">
        <v>15.515825270000001</v>
      </c>
      <c r="D1349" s="4">
        <v>3.6</v>
      </c>
      <c r="E1349" s="12">
        <f t="shared" si="260"/>
        <v>0</v>
      </c>
      <c r="F1349" s="12">
        <f t="shared" si="261"/>
        <v>3.6</v>
      </c>
      <c r="G1349" s="16">
        <f t="shared" si="263"/>
        <v>27.434298263577347</v>
      </c>
      <c r="H1349" s="14">
        <f t="shared" si="264"/>
        <v>0.84975740284650136</v>
      </c>
      <c r="I1349" s="14">
        <f t="shared" si="265"/>
        <v>7.5982117364351582</v>
      </c>
      <c r="J1349" s="14">
        <f t="shared" si="266"/>
        <v>2.9385954980342746</v>
      </c>
      <c r="K1349" s="14">
        <f t="shared" si="267"/>
        <v>11.711584784233381</v>
      </c>
      <c r="L1349" s="14">
        <f t="shared" si="268"/>
        <v>695.32217657268768</v>
      </c>
      <c r="M1349" s="14">
        <f t="shared" si="262"/>
        <v>0.52771619933480873</v>
      </c>
      <c r="N1349" s="14">
        <f t="shared" si="269"/>
        <v>13.504404128810904</v>
      </c>
      <c r="O1349" s="4">
        <v>12.52</v>
      </c>
      <c r="P1349" s="14">
        <f t="shared" si="272"/>
        <v>0.96905148881995617</v>
      </c>
      <c r="Q1349" s="14">
        <f t="shared" si="270"/>
        <v>35.836398364009682</v>
      </c>
    </row>
    <row r="1350" spans="1:17" x14ac:dyDescent="0.25">
      <c r="A1350" s="5" t="s">
        <v>1407</v>
      </c>
      <c r="B1350" s="6">
        <f t="shared" si="271"/>
        <v>1</v>
      </c>
      <c r="C1350" s="70">
        <v>17.022207259999998</v>
      </c>
      <c r="D1350" s="4">
        <v>3.7</v>
      </c>
      <c r="E1350" s="12">
        <f t="shared" si="260"/>
        <v>0</v>
      </c>
      <c r="F1350" s="12">
        <f t="shared" si="261"/>
        <v>3.7</v>
      </c>
      <c r="G1350" s="16">
        <f t="shared" si="263"/>
        <v>26.192769910406025</v>
      </c>
      <c r="H1350" s="14">
        <f t="shared" si="264"/>
        <v>0.87018222899408981</v>
      </c>
      <c r="I1350" s="14">
        <f t="shared" si="265"/>
        <v>10.59939583288209</v>
      </c>
      <c r="J1350" s="14">
        <f t="shared" si="266"/>
        <v>4.0713461241772313</v>
      </c>
      <c r="K1350" s="14">
        <f t="shared" si="267"/>
        <v>11.625487615800829</v>
      </c>
      <c r="L1350" s="14">
        <f t="shared" si="268"/>
        <v>695.75073977077943</v>
      </c>
      <c r="M1350" s="14">
        <f t="shared" si="262"/>
        <v>0.52444601628763921</v>
      </c>
      <c r="N1350" s="14">
        <f t="shared" si="269"/>
        <v>13.420719236249656</v>
      </c>
      <c r="O1350" s="4">
        <v>13.41</v>
      </c>
      <c r="P1350" s="14">
        <f t="shared" si="272"/>
        <v>1.1490202577594363E-4</v>
      </c>
      <c r="Q1350" s="14">
        <f t="shared" si="270"/>
        <v>47.284203154239584</v>
      </c>
    </row>
    <row r="1351" spans="1:17" x14ac:dyDescent="0.25">
      <c r="A1351" s="5" t="s">
        <v>1408</v>
      </c>
      <c r="B1351" s="6">
        <f t="shared" si="271"/>
        <v>1</v>
      </c>
      <c r="C1351" s="70">
        <v>17.191190720000002</v>
      </c>
      <c r="D1351" s="4">
        <v>2.2999999999999998</v>
      </c>
      <c r="E1351" s="12">
        <f t="shared" si="260"/>
        <v>0</v>
      </c>
      <c r="F1351" s="12">
        <f t="shared" si="261"/>
        <v>2.2999999999999998</v>
      </c>
      <c r="G1351" s="16">
        <f t="shared" si="263"/>
        <v>23.954470985026479</v>
      </c>
      <c r="H1351" s="14">
        <f t="shared" si="264"/>
        <v>0.52773429833853003</v>
      </c>
      <c r="I1351" s="14">
        <f t="shared" si="265"/>
        <v>10.936063740545128</v>
      </c>
      <c r="J1351" s="14">
        <f t="shared" si="266"/>
        <v>4.0105646270410169</v>
      </c>
      <c r="K1351" s="14">
        <f t="shared" si="267"/>
        <v>11.204543471233178</v>
      </c>
      <c r="L1351" s="14">
        <f t="shared" si="268"/>
        <v>696.17497219739789</v>
      </c>
      <c r="M1351" s="14">
        <f t="shared" si="262"/>
        <v>0.50810153177504769</v>
      </c>
      <c r="N1351" s="14">
        <f t="shared" si="269"/>
        <v>13.002459337437852</v>
      </c>
      <c r="O1351" s="4">
        <v>13.89</v>
      </c>
      <c r="P1351" s="14">
        <f t="shared" si="272"/>
        <v>0.78772842770125795</v>
      </c>
      <c r="Q1351" s="14">
        <f t="shared" si="270"/>
        <v>54.115900119756837</v>
      </c>
    </row>
    <row r="1352" spans="1:17" x14ac:dyDescent="0.25">
      <c r="A1352" s="5" t="s">
        <v>1409</v>
      </c>
      <c r="B1352" s="6">
        <f t="shared" si="271"/>
        <v>1</v>
      </c>
      <c r="C1352" s="70">
        <v>16.591749190000002</v>
      </c>
      <c r="D1352" s="4">
        <v>2.4</v>
      </c>
      <c r="E1352" s="12">
        <f t="shared" si="260"/>
        <v>0</v>
      </c>
      <c r="F1352" s="12">
        <f t="shared" si="261"/>
        <v>2.4</v>
      </c>
      <c r="G1352" s="16">
        <f t="shared" si="263"/>
        <v>22.562103814113861</v>
      </c>
      <c r="H1352" s="14">
        <f t="shared" si="264"/>
        <v>0.52507216626317788</v>
      </c>
      <c r="I1352" s="14">
        <f t="shared" si="265"/>
        <v>9.7417887169929571</v>
      </c>
      <c r="J1352" s="14">
        <f t="shared" si="266"/>
        <v>3.2672950046494353</v>
      </c>
      <c r="K1352" s="14">
        <f t="shared" si="267"/>
        <v>10.818099593270221</v>
      </c>
      <c r="L1352" s="14">
        <f t="shared" si="268"/>
        <v>696.57838670984893</v>
      </c>
      <c r="M1352" s="14">
        <f t="shared" si="262"/>
        <v>0.49309960108259854</v>
      </c>
      <c r="N1352" s="14">
        <f t="shared" si="269"/>
        <v>12.61855576381511</v>
      </c>
      <c r="O1352" s="4">
        <v>11.44</v>
      </c>
      <c r="P1352" s="14">
        <f t="shared" si="272"/>
        <v>1.3889936884218175</v>
      </c>
      <c r="Q1352" s="14">
        <f t="shared" si="270"/>
        <v>24.07228019159588</v>
      </c>
    </row>
    <row r="1353" spans="1:17" x14ac:dyDescent="0.25">
      <c r="A1353" s="5" t="s">
        <v>1410</v>
      </c>
      <c r="B1353" s="6">
        <f t="shared" si="271"/>
        <v>1</v>
      </c>
      <c r="C1353" s="70">
        <v>18.005323409999999</v>
      </c>
      <c r="D1353" s="4">
        <v>6.7</v>
      </c>
      <c r="E1353" s="12">
        <f t="shared" si="260"/>
        <v>0</v>
      </c>
      <c r="F1353" s="12">
        <f t="shared" si="261"/>
        <v>6.7</v>
      </c>
      <c r="G1353" s="16">
        <f t="shared" si="263"/>
        <v>23.875298264632729</v>
      </c>
      <c r="H1353" s="14">
        <f t="shared" si="264"/>
        <v>1.4197747210315002</v>
      </c>
      <c r="I1353" s="14">
        <f t="shared" si="265"/>
        <v>12.558070706803109</v>
      </c>
      <c r="J1353" s="14">
        <f t="shared" si="266"/>
        <v>3.9670308284496301</v>
      </c>
      <c r="K1353" s="14">
        <f t="shared" si="267"/>
        <v>11.360474866411831</v>
      </c>
      <c r="L1353" s="14">
        <f t="shared" si="268"/>
        <v>696.96268655665619</v>
      </c>
      <c r="M1353" s="14">
        <f t="shared" si="262"/>
        <v>0.51435734145640821</v>
      </c>
      <c r="N1353" s="14">
        <f t="shared" si="269"/>
        <v>13.162547244908779</v>
      </c>
      <c r="O1353" s="4">
        <v>10.08</v>
      </c>
      <c r="P1353" s="14">
        <f t="shared" si="272"/>
        <v>9.5020975170947057</v>
      </c>
      <c r="Q1353" s="14">
        <f t="shared" si="270"/>
        <v>12.576605455963689</v>
      </c>
    </row>
    <row r="1354" spans="1:17" x14ac:dyDescent="0.25">
      <c r="A1354" s="5" t="s">
        <v>1411</v>
      </c>
      <c r="B1354" s="6">
        <f t="shared" si="271"/>
        <v>1</v>
      </c>
      <c r="C1354" s="70">
        <v>17.05940056</v>
      </c>
      <c r="D1354" s="4">
        <v>1.6</v>
      </c>
      <c r="E1354" s="12">
        <f t="shared" si="260"/>
        <v>0</v>
      </c>
      <c r="F1354" s="12">
        <f t="shared" si="261"/>
        <v>1.6</v>
      </c>
      <c r="G1354" s="16">
        <f t="shared" si="263"/>
        <v>21.557918851776165</v>
      </c>
      <c r="H1354" s="14">
        <f t="shared" si="264"/>
        <v>0.34943091484387589</v>
      </c>
      <c r="I1354" s="14">
        <f t="shared" si="265"/>
        <v>10.67349651995575</v>
      </c>
      <c r="J1354" s="14">
        <f t="shared" si="266"/>
        <v>3.5679484980126914</v>
      </c>
      <c r="K1354" s="14">
        <f t="shared" si="267"/>
        <v>10.784623576485121</v>
      </c>
      <c r="L1354" s="14">
        <f t="shared" si="268"/>
        <v>697.37361141997042</v>
      </c>
      <c r="M1354" s="14">
        <f t="shared" si="262"/>
        <v>0.49196200626882397</v>
      </c>
      <c r="N1354" s="14">
        <f t="shared" si="269"/>
        <v>12.589444396532059</v>
      </c>
      <c r="O1354" s="4">
        <v>9.76</v>
      </c>
      <c r="P1354" s="14">
        <f t="shared" si="272"/>
        <v>8.0057555930666684</v>
      </c>
      <c r="Q1354" s="14">
        <f t="shared" si="270"/>
        <v>10.409340812285523</v>
      </c>
    </row>
    <row r="1355" spans="1:17" x14ac:dyDescent="0.25">
      <c r="A1355" s="5" t="s">
        <v>1412</v>
      </c>
      <c r="B1355" s="6">
        <f t="shared" si="271"/>
        <v>1</v>
      </c>
      <c r="C1355" s="70">
        <v>18.15279198</v>
      </c>
      <c r="D1355" s="4">
        <v>1.6</v>
      </c>
      <c r="E1355" s="12">
        <f t="shared" si="260"/>
        <v>0</v>
      </c>
      <c r="F1355" s="12">
        <f t="shared" si="261"/>
        <v>1.6</v>
      </c>
      <c r="G1355" s="16">
        <f t="shared" si="263"/>
        <v>18.947849509823033</v>
      </c>
      <c r="H1355" s="14">
        <f t="shared" si="264"/>
        <v>0.33092126757259765</v>
      </c>
      <c r="I1355" s="14">
        <f t="shared" si="265"/>
        <v>12.851874224070182</v>
      </c>
      <c r="J1355" s="14">
        <f t="shared" si="266"/>
        <v>3.8791480743805358</v>
      </c>
      <c r="K1355" s="14">
        <f t="shared" si="267"/>
        <v>10.241100774210363</v>
      </c>
      <c r="L1355" s="14">
        <f t="shared" si="268"/>
        <v>697.75609348354897</v>
      </c>
      <c r="M1355" s="14">
        <f t="shared" si="262"/>
        <v>0.47082280816561867</v>
      </c>
      <c r="N1355" s="14">
        <f t="shared" si="269"/>
        <v>12.048486445071561</v>
      </c>
      <c r="O1355" s="4">
        <v>10.44</v>
      </c>
      <c r="P1355" s="14">
        <f t="shared" si="272"/>
        <v>2.587228643978948</v>
      </c>
      <c r="Q1355" s="14">
        <f t="shared" si="270"/>
        <v>15.25957818010162</v>
      </c>
    </row>
    <row r="1356" spans="1:17" x14ac:dyDescent="0.25">
      <c r="A1356" s="5" t="s">
        <v>1413</v>
      </c>
      <c r="B1356" s="6">
        <f t="shared" si="271"/>
        <v>1</v>
      </c>
      <c r="C1356" s="70">
        <v>18.541671749999999</v>
      </c>
      <c r="D1356" s="4">
        <v>0.1</v>
      </c>
      <c r="E1356" s="12">
        <f t="shared" si="260"/>
        <v>0</v>
      </c>
      <c r="F1356" s="12">
        <f t="shared" si="261"/>
        <v>0.1</v>
      </c>
      <c r="G1356" s="16">
        <f t="shared" si="263"/>
        <v>15.413511884955614</v>
      </c>
      <c r="H1356" s="14">
        <f t="shared" si="264"/>
        <v>1.9307617849270566E-2</v>
      </c>
      <c r="I1356" s="14">
        <f t="shared" si="265"/>
        <v>13.626644361327292</v>
      </c>
      <c r="J1356" s="14">
        <f t="shared" si="266"/>
        <v>3.6150300070181483</v>
      </c>
      <c r="K1356" s="14">
        <f t="shared" si="267"/>
        <v>9.4339483869165743</v>
      </c>
      <c r="L1356" s="14">
        <f t="shared" si="268"/>
        <v>698.11173068052642</v>
      </c>
      <c r="M1356" s="14">
        <f t="shared" si="262"/>
        <v>0.43938504212001117</v>
      </c>
      <c r="N1356" s="14">
        <f t="shared" si="269"/>
        <v>11.243985279251675</v>
      </c>
      <c r="O1356" s="4">
        <v>8.6300000000000008</v>
      </c>
      <c r="P1356" s="14">
        <f t="shared" si="272"/>
        <v>6.8329190401444508</v>
      </c>
      <c r="Q1356" s="14">
        <f t="shared" si="270"/>
        <v>4.3946875392970117</v>
      </c>
    </row>
    <row r="1357" spans="1:17" x14ac:dyDescent="0.25">
      <c r="A1357" s="5" t="s">
        <v>1414</v>
      </c>
      <c r="B1357" s="6">
        <f t="shared" si="271"/>
        <v>1</v>
      </c>
      <c r="C1357" s="70">
        <v>17.360275269999999</v>
      </c>
      <c r="D1357" s="4">
        <v>2.8</v>
      </c>
      <c r="E1357" s="12">
        <f t="shared" si="260"/>
        <v>0</v>
      </c>
      <c r="F1357" s="12">
        <f t="shared" si="261"/>
        <v>2.8</v>
      </c>
      <c r="G1357" s="16">
        <f t="shared" si="263"/>
        <v>15.296461665769865</v>
      </c>
      <c r="H1357" s="14">
        <f t="shared" si="264"/>
        <v>0.48427721622772357</v>
      </c>
      <c r="I1357" s="14">
        <f t="shared" si="265"/>
        <v>11.272933051107504</v>
      </c>
      <c r="J1357" s="14">
        <f t="shared" si="266"/>
        <v>2.4327730029580255</v>
      </c>
      <c r="K1357" s="14">
        <f t="shared" si="267"/>
        <v>9.1630237903273741</v>
      </c>
      <c r="L1357" s="14">
        <f t="shared" si="268"/>
        <v>698.4275474512234</v>
      </c>
      <c r="M1357" s="14">
        <f t="shared" si="262"/>
        <v>0.4288746522667376</v>
      </c>
      <c r="N1357" s="14">
        <f t="shared" si="269"/>
        <v>10.975021483353666</v>
      </c>
      <c r="O1357" s="4">
        <v>8.68</v>
      </c>
      <c r="P1357" s="14">
        <f t="shared" si="272"/>
        <v>5.2671236090548641</v>
      </c>
      <c r="Q1357" s="14">
        <f t="shared" si="270"/>
        <v>4.6068226398717202</v>
      </c>
    </row>
    <row r="1358" spans="1:17" x14ac:dyDescent="0.25">
      <c r="A1358" s="5" t="s">
        <v>1415</v>
      </c>
      <c r="B1358" s="6">
        <f t="shared" si="271"/>
        <v>1</v>
      </c>
      <c r="C1358" s="70">
        <v>16.619337080000001</v>
      </c>
      <c r="D1358" s="4">
        <v>2.7</v>
      </c>
      <c r="E1358" s="12">
        <f t="shared" si="260"/>
        <v>0</v>
      </c>
      <c r="F1358" s="12">
        <f t="shared" si="261"/>
        <v>2.7</v>
      </c>
      <c r="G1358" s="16">
        <f t="shared" si="263"/>
        <v>15.433225510606706</v>
      </c>
      <c r="H1358" s="14">
        <f t="shared" si="264"/>
        <v>0.46508789156072566</v>
      </c>
      <c r="I1358" s="14">
        <f t="shared" si="265"/>
        <v>9.7967524229268861</v>
      </c>
      <c r="J1358" s="14">
        <f t="shared" si="266"/>
        <v>2.0981482636024338</v>
      </c>
      <c r="K1358" s="14">
        <f t="shared" si="267"/>
        <v>8.8968280254361218</v>
      </c>
      <c r="L1358" s="14">
        <f t="shared" si="268"/>
        <v>698.72995645540868</v>
      </c>
      <c r="M1358" s="14">
        <f t="shared" si="262"/>
        <v>0.4185460332476223</v>
      </c>
      <c r="N1358" s="14">
        <f t="shared" si="269"/>
        <v>10.710709253593667</v>
      </c>
      <c r="O1358" s="4">
        <v>10.3</v>
      </c>
      <c r="P1358" s="14">
        <f t="shared" si="272"/>
        <v>0.16868209098746612</v>
      </c>
      <c r="Q1358" s="14">
        <f t="shared" si="270"/>
        <v>14.185399898492433</v>
      </c>
    </row>
    <row r="1359" spans="1:17" x14ac:dyDescent="0.25">
      <c r="A1359" s="5" t="s">
        <v>1416</v>
      </c>
      <c r="B1359" s="6">
        <f t="shared" si="271"/>
        <v>1</v>
      </c>
      <c r="C1359" s="70">
        <v>17.224462509999999</v>
      </c>
      <c r="D1359" s="4">
        <v>2.6</v>
      </c>
      <c r="E1359" s="12">
        <f t="shared" si="260"/>
        <v>0</v>
      </c>
      <c r="F1359" s="12">
        <f t="shared" si="261"/>
        <v>2.6</v>
      </c>
      <c r="G1359" s="16">
        <f t="shared" si="263"/>
        <v>15.205816504182849</v>
      </c>
      <c r="H1359" s="14">
        <f t="shared" si="264"/>
        <v>0.44999247590814584</v>
      </c>
      <c r="I1359" s="14">
        <f t="shared" si="265"/>
        <v>11.002351553112721</v>
      </c>
      <c r="J1359" s="14">
        <f t="shared" si="266"/>
        <v>2.3774165305157089</v>
      </c>
      <c r="K1359" s="14">
        <f t="shared" si="267"/>
        <v>8.6390375237103516</v>
      </c>
      <c r="L1359" s="14">
        <f t="shared" si="268"/>
        <v>699.01919339979497</v>
      </c>
      <c r="M1359" s="14">
        <f t="shared" si="262"/>
        <v>0.40854277362181807</v>
      </c>
      <c r="N1359" s="14">
        <f t="shared" si="269"/>
        <v>10.454723061086106</v>
      </c>
      <c r="O1359" s="4">
        <v>11.74</v>
      </c>
      <c r="P1359" s="14">
        <f t="shared" si="272"/>
        <v>1.6519368097038691</v>
      </c>
      <c r="Q1359" s="14">
        <f t="shared" si="270"/>
        <v>27.106090795044167</v>
      </c>
    </row>
    <row r="1360" spans="1:17" x14ac:dyDescent="0.25">
      <c r="A1360" s="5" t="s">
        <v>1417</v>
      </c>
      <c r="B1360" s="6">
        <f t="shared" si="271"/>
        <v>1</v>
      </c>
      <c r="C1360" s="70">
        <v>16.86147308</v>
      </c>
      <c r="D1360" s="4">
        <v>10.8</v>
      </c>
      <c r="E1360" s="12">
        <f t="shared" si="260"/>
        <v>0</v>
      </c>
      <c r="F1360" s="12">
        <f t="shared" si="261"/>
        <v>10.8</v>
      </c>
      <c r="G1360" s="16">
        <f t="shared" si="263"/>
        <v>21.962930185060475</v>
      </c>
      <c r="H1360" s="14">
        <f t="shared" si="264"/>
        <v>1.8544669018404072</v>
      </c>
      <c r="I1360" s="14">
        <f t="shared" si="265"/>
        <v>10.279163071222854</v>
      </c>
      <c r="J1360" s="14">
        <f t="shared" si="266"/>
        <v>2.1884194172819669</v>
      </c>
      <c r="K1360" s="14">
        <f t="shared" si="267"/>
        <v>9.8084800811576027</v>
      </c>
      <c r="L1360" s="14">
        <f t="shared" si="268"/>
        <v>699.29567497056621</v>
      </c>
      <c r="M1360" s="14">
        <f t="shared" si="262"/>
        <v>0.45426003717753899</v>
      </c>
      <c r="N1360" s="14">
        <f t="shared" si="269"/>
        <v>11.624640534716884</v>
      </c>
      <c r="O1360" s="4">
        <v>15.56</v>
      </c>
      <c r="P1360" s="14">
        <f t="shared" si="272"/>
        <v>15.48705412099342</v>
      </c>
      <c r="Q1360" s="14">
        <f t="shared" si="270"/>
        <v>81.475012478952237</v>
      </c>
    </row>
    <row r="1361" spans="1:17" x14ac:dyDescent="0.25">
      <c r="A1361" s="5" t="s">
        <v>1418</v>
      </c>
      <c r="B1361" s="6">
        <f t="shared" si="271"/>
        <v>1</v>
      </c>
      <c r="C1361" s="70">
        <v>17.590051649999999</v>
      </c>
      <c r="D1361" s="4">
        <v>7.8</v>
      </c>
      <c r="E1361" s="12">
        <f t="shared" si="260"/>
        <v>0</v>
      </c>
      <c r="F1361" s="12">
        <f t="shared" si="261"/>
        <v>7.8</v>
      </c>
      <c r="G1361" s="16">
        <f t="shared" si="263"/>
        <v>24.526338845787389</v>
      </c>
      <c r="H1361" s="14">
        <f t="shared" si="264"/>
        <v>1.6293268335051316</v>
      </c>
      <c r="I1361" s="14">
        <f t="shared" si="265"/>
        <v>11.730719470470596</v>
      </c>
      <c r="J1361" s="14">
        <f t="shared" si="266"/>
        <v>3.6072645057679535</v>
      </c>
      <c r="K1361" s="14">
        <f t="shared" si="267"/>
        <v>10.649540154110301</v>
      </c>
      <c r="L1361" s="14">
        <f t="shared" si="268"/>
        <v>699.62968169394117</v>
      </c>
      <c r="M1361" s="14">
        <f t="shared" si="262"/>
        <v>0.48716856838661138</v>
      </c>
      <c r="N1361" s="14">
        <f t="shared" si="269"/>
        <v>12.466778989615714</v>
      </c>
      <c r="O1361" s="4">
        <v>25.98</v>
      </c>
      <c r="P1361" s="14">
        <f t="shared" si="272"/>
        <v>182.60714207549134</v>
      </c>
      <c r="Q1361" s="14">
        <f t="shared" si="270"/>
        <v>378.16056743872252</v>
      </c>
    </row>
    <row r="1362" spans="1:17" x14ac:dyDescent="0.25">
      <c r="A1362" s="5" t="s">
        <v>1419</v>
      </c>
      <c r="B1362" s="6">
        <f t="shared" si="271"/>
        <v>1</v>
      </c>
      <c r="C1362" s="70">
        <v>18.21912193</v>
      </c>
      <c r="D1362" s="4">
        <v>15.5</v>
      </c>
      <c r="E1362" s="12">
        <f t="shared" si="260"/>
        <v>0</v>
      </c>
      <c r="F1362" s="12">
        <f t="shared" si="261"/>
        <v>15.5</v>
      </c>
      <c r="G1362" s="16">
        <f t="shared" si="263"/>
        <v>32.133664063523909</v>
      </c>
      <c r="H1362" s="14">
        <f t="shared" si="264"/>
        <v>3.4340071481094876</v>
      </c>
      <c r="I1362" s="14">
        <f t="shared" si="265"/>
        <v>12.984024231425304</v>
      </c>
      <c r="J1362" s="14">
        <f t="shared" si="266"/>
        <v>4.4586676341539935</v>
      </c>
      <c r="K1362" s="14">
        <f t="shared" si="267"/>
        <v>13.22102886208398</v>
      </c>
      <c r="L1362" s="14">
        <f t="shared" si="268"/>
        <v>700.00503156569039</v>
      </c>
      <c r="M1362" s="14">
        <f t="shared" si="262"/>
        <v>0.58764676536129634</v>
      </c>
      <c r="N1362" s="14">
        <f t="shared" si="269"/>
        <v>15.038043960808174</v>
      </c>
      <c r="O1362" s="4">
        <v>22.36</v>
      </c>
      <c r="P1362" s="14">
        <f t="shared" si="272"/>
        <v>53.611040239857637</v>
      </c>
      <c r="Q1362" s="14">
        <f t="shared" si="270"/>
        <v>250.47338615711325</v>
      </c>
    </row>
    <row r="1363" spans="1:17" x14ac:dyDescent="0.25">
      <c r="A1363" s="5" t="s">
        <v>1420</v>
      </c>
      <c r="B1363" s="6">
        <f t="shared" si="271"/>
        <v>1</v>
      </c>
      <c r="C1363" s="70">
        <v>17.575283049999999</v>
      </c>
      <c r="D1363" s="4">
        <v>5.0999999999999996</v>
      </c>
      <c r="E1363" s="12">
        <f t="shared" si="260"/>
        <v>0</v>
      </c>
      <c r="F1363" s="12">
        <f t="shared" si="261"/>
        <v>5.0999999999999996</v>
      </c>
      <c r="G1363" s="16">
        <f t="shared" si="263"/>
        <v>30.664249515178419</v>
      </c>
      <c r="H1363" s="14">
        <f t="shared" si="264"/>
        <v>1.3049129058713864</v>
      </c>
      <c r="I1363" s="14">
        <f t="shared" si="265"/>
        <v>11.701295799887026</v>
      </c>
      <c r="J1363" s="14">
        <f t="shared" si="266"/>
        <v>5.2645016424741078</v>
      </c>
      <c r="K1363" s="14">
        <f t="shared" si="267"/>
        <v>13.436403449291253</v>
      </c>
      <c r="L1363" s="14">
        <f t="shared" si="268"/>
        <v>700.5069231189932</v>
      </c>
      <c r="M1363" s="14">
        <f t="shared" si="262"/>
        <v>0.59616251852069935</v>
      </c>
      <c r="N1363" s="14">
        <f t="shared" si="269"/>
        <v>15.255964449644283</v>
      </c>
      <c r="O1363" s="4">
        <v>20.34</v>
      </c>
      <c r="P1363" s="14">
        <f t="shared" si="272"/>
        <v>25.847417477280754</v>
      </c>
      <c r="Q1363" s="14">
        <f t="shared" si="270"/>
        <v>190.61532809389485</v>
      </c>
    </row>
    <row r="1364" spans="1:17" x14ac:dyDescent="0.25">
      <c r="A1364" s="5" t="s">
        <v>1421</v>
      </c>
      <c r="B1364" s="6">
        <f t="shared" si="271"/>
        <v>2</v>
      </c>
      <c r="C1364" s="70">
        <v>17.8784256</v>
      </c>
      <c r="D1364" s="4">
        <v>10.8</v>
      </c>
      <c r="E1364" s="12">
        <f t="shared" si="260"/>
        <v>0</v>
      </c>
      <c r="F1364" s="12">
        <f t="shared" si="261"/>
        <v>10.8</v>
      </c>
      <c r="G1364" s="16">
        <f t="shared" si="263"/>
        <v>32.514329960780131</v>
      </c>
      <c r="H1364" s="14">
        <f t="shared" si="264"/>
        <v>2.6952511609212402</v>
      </c>
      <c r="I1364" s="14">
        <f t="shared" si="265"/>
        <v>14.568300499578834</v>
      </c>
      <c r="J1364" s="14">
        <f t="shared" si="266"/>
        <v>6.2546683934770506</v>
      </c>
      <c r="K1364" s="14">
        <f t="shared" si="267"/>
        <v>15.023102281308217</v>
      </c>
      <c r="L1364" s="14">
        <f t="shared" si="268"/>
        <v>701.01931292937684</v>
      </c>
      <c r="M1364" s="14">
        <f t="shared" si="262"/>
        <v>0.65822090928285326</v>
      </c>
      <c r="N1364" s="14">
        <f t="shared" si="269"/>
        <v>16.844055907689683</v>
      </c>
      <c r="O1364" s="4">
        <v>20.81</v>
      </c>
      <c r="P1364" s="14">
        <f t="shared" si="272"/>
        <v>15.728712543331097</v>
      </c>
      <c r="Q1364" s="14">
        <f t="shared" si="270"/>
        <v>203.81419803929711</v>
      </c>
    </row>
    <row r="1365" spans="1:17" x14ac:dyDescent="0.25">
      <c r="A1365" s="5" t="s">
        <v>1422</v>
      </c>
      <c r="B1365" s="6">
        <f t="shared" si="271"/>
        <v>2</v>
      </c>
      <c r="C1365" s="70">
        <v>16.535221100000001</v>
      </c>
      <c r="D1365" s="4">
        <v>2.4</v>
      </c>
      <c r="E1365" s="12">
        <f t="shared" si="260"/>
        <v>0</v>
      </c>
      <c r="F1365" s="12">
        <f t="shared" si="261"/>
        <v>2.4</v>
      </c>
      <c r="G1365" s="16">
        <f t="shared" si="263"/>
        <v>28.921814916371357</v>
      </c>
      <c r="H1365" s="14">
        <f t="shared" si="264"/>
        <v>0.61794372455762381</v>
      </c>
      <c r="I1365" s="14">
        <f t="shared" si="265"/>
        <v>11.806086566181266</v>
      </c>
      <c r="J1365" s="14">
        <f t="shared" si="266"/>
        <v>5.374571319851146</v>
      </c>
      <c r="K1365" s="14">
        <f t="shared" si="267"/>
        <v>14.392414439985506</v>
      </c>
      <c r="L1365" s="14">
        <f t="shared" si="268"/>
        <v>701.60972358597439</v>
      </c>
      <c r="M1365" s="14">
        <f t="shared" si="262"/>
        <v>0.63372283434729204</v>
      </c>
      <c r="N1365" s="14">
        <f t="shared" si="269"/>
        <v>16.217143365067855</v>
      </c>
      <c r="O1365" s="4">
        <v>18.37</v>
      </c>
      <c r="P1365" s="14">
        <f t="shared" si="272"/>
        <v>4.6347916905713626</v>
      </c>
      <c r="Q1365" s="14">
        <f t="shared" si="270"/>
        <v>140.09920513125118</v>
      </c>
    </row>
    <row r="1366" spans="1:17" x14ac:dyDescent="0.25">
      <c r="A1366" s="5" t="s">
        <v>1423</v>
      </c>
      <c r="B1366" s="6">
        <f t="shared" si="271"/>
        <v>2</v>
      </c>
      <c r="C1366" s="70">
        <v>15.90202618</v>
      </c>
      <c r="D1366" s="4">
        <v>0</v>
      </c>
      <c r="E1366" s="12">
        <f t="shared" si="260"/>
        <v>0</v>
      </c>
      <c r="F1366" s="12">
        <f t="shared" si="261"/>
        <v>0</v>
      </c>
      <c r="G1366" s="16">
        <f t="shared" si="263"/>
        <v>24.668360969398492</v>
      </c>
      <c r="H1366" s="14">
        <f t="shared" si="264"/>
        <v>0</v>
      </c>
      <c r="I1366" s="14">
        <f t="shared" si="265"/>
        <v>10.50396181110446</v>
      </c>
      <c r="J1366" s="14">
        <f t="shared" si="266"/>
        <v>4.2534539469728658</v>
      </c>
      <c r="K1366" s="14">
        <f t="shared" si="267"/>
        <v>13.199462168625267</v>
      </c>
      <c r="L1366" s="14">
        <f t="shared" si="268"/>
        <v>702.16895302298735</v>
      </c>
      <c r="M1366" s="14">
        <f t="shared" si="262"/>
        <v>0.58726571347042311</v>
      </c>
      <c r="N1366" s="14">
        <f t="shared" si="269"/>
        <v>15.028292737072981</v>
      </c>
      <c r="O1366" s="4">
        <v>14.62</v>
      </c>
      <c r="P1366" s="14">
        <f t="shared" si="272"/>
        <v>0.16670295914654693</v>
      </c>
      <c r="Q1366" s="14">
        <f t="shared" si="270"/>
        <v>65.389072588147613</v>
      </c>
    </row>
    <row r="1367" spans="1:17" x14ac:dyDescent="0.25">
      <c r="A1367" s="5" t="s">
        <v>1424</v>
      </c>
      <c r="B1367" s="6">
        <f t="shared" si="271"/>
        <v>2</v>
      </c>
      <c r="C1367" s="70">
        <v>15.482210159999999</v>
      </c>
      <c r="D1367" s="4">
        <v>4.3</v>
      </c>
      <c r="E1367" s="12">
        <f t="shared" si="260"/>
        <v>0</v>
      </c>
      <c r="F1367" s="12">
        <f t="shared" si="261"/>
        <v>4.3</v>
      </c>
      <c r="G1367" s="16">
        <f t="shared" si="263"/>
        <v>24.683033787826712</v>
      </c>
      <c r="H1367" s="14">
        <f t="shared" si="264"/>
        <v>0.95559665695706453</v>
      </c>
      <c r="I1367" s="14">
        <f t="shared" si="265"/>
        <v>9.6406370828836145</v>
      </c>
      <c r="J1367" s="14">
        <f t="shared" si="266"/>
        <v>3.3297305246147166</v>
      </c>
      <c r="K1367" s="14">
        <f t="shared" si="267"/>
        <v>13.06742448888558</v>
      </c>
      <c r="L1367" s="14">
        <f t="shared" si="268"/>
        <v>702.66932164621358</v>
      </c>
      <c r="M1367" s="14">
        <f t="shared" si="262"/>
        <v>0.5822171785967124</v>
      </c>
      <c r="N1367" s="14">
        <f t="shared" si="269"/>
        <v>14.899099327283924</v>
      </c>
      <c r="O1367" s="4">
        <v>11.38</v>
      </c>
      <c r="P1367" s="14">
        <f t="shared" si="272"/>
        <v>12.384060075290162</v>
      </c>
      <c r="Q1367" s="14">
        <f t="shared" si="270"/>
        <v>23.487118070906238</v>
      </c>
    </row>
    <row r="1368" spans="1:17" x14ac:dyDescent="0.25">
      <c r="A1368" s="5" t="s">
        <v>1425</v>
      </c>
      <c r="B1368" s="6">
        <f t="shared" si="271"/>
        <v>2</v>
      </c>
      <c r="C1368" s="70">
        <v>15.98930073</v>
      </c>
      <c r="D1368" s="4">
        <v>2.6</v>
      </c>
      <c r="E1368" s="12">
        <f t="shared" si="260"/>
        <v>0</v>
      </c>
      <c r="F1368" s="12">
        <f t="shared" si="261"/>
        <v>2.6</v>
      </c>
      <c r="G1368" s="16">
        <f t="shared" si="263"/>
        <v>23.012955578756316</v>
      </c>
      <c r="H1368" s="14">
        <f t="shared" si="264"/>
        <v>0.57798580356662743</v>
      </c>
      <c r="I1368" s="14">
        <f t="shared" si="265"/>
        <v>10.683436327487485</v>
      </c>
      <c r="J1368" s="14">
        <f t="shared" si="266"/>
        <v>3.6920924055037703</v>
      </c>
      <c r="K1368" s="14">
        <f t="shared" si="267"/>
        <v>12.569432696818605</v>
      </c>
      <c r="L1368" s="14">
        <f t="shared" si="268"/>
        <v>703.1630820632505</v>
      </c>
      <c r="M1368" s="14">
        <f t="shared" si="262"/>
        <v>0.56287934597773348</v>
      </c>
      <c r="N1368" s="14">
        <f t="shared" si="269"/>
        <v>14.404238818944082</v>
      </c>
      <c r="O1368" s="4">
        <v>10.15</v>
      </c>
      <c r="P1368" s="14">
        <f t="shared" si="272"/>
        <v>18.098547928610731</v>
      </c>
      <c r="Q1368" s="14">
        <f t="shared" si="270"/>
        <v>13.07799459676829</v>
      </c>
    </row>
    <row r="1369" spans="1:17" x14ac:dyDescent="0.25">
      <c r="A1369" s="5" t="s">
        <v>1426</v>
      </c>
      <c r="B1369" s="6">
        <f t="shared" si="271"/>
        <v>2</v>
      </c>
      <c r="C1369" s="70">
        <v>16.735174180000001</v>
      </c>
      <c r="D1369" s="4">
        <v>0.6</v>
      </c>
      <c r="E1369" s="12">
        <f t="shared" si="260"/>
        <v>0</v>
      </c>
      <c r="F1369" s="12">
        <f t="shared" si="261"/>
        <v>0.6</v>
      </c>
      <c r="G1369" s="16">
        <f t="shared" si="263"/>
        <v>19.547966853581759</v>
      </c>
      <c r="H1369" s="14">
        <f t="shared" si="264"/>
        <v>0.12849206618235104</v>
      </c>
      <c r="I1369" s="14">
        <f t="shared" si="265"/>
        <v>12.217277255016629</v>
      </c>
      <c r="J1369" s="14">
        <f t="shared" si="266"/>
        <v>3.936496658992207</v>
      </c>
      <c r="K1369" s="14">
        <f t="shared" si="267"/>
        <v>11.665911597696207</v>
      </c>
      <c r="L1369" s="14">
        <f t="shared" si="268"/>
        <v>703.6322158825775</v>
      </c>
      <c r="M1369" s="14">
        <f t="shared" si="262"/>
        <v>0.52770324898381515</v>
      </c>
      <c r="N1369" s="14">
        <f t="shared" si="269"/>
        <v>13.50407272573166</v>
      </c>
      <c r="O1369" s="4">
        <v>8.39</v>
      </c>
      <c r="P1369" s="14">
        <f t="shared" si="272"/>
        <v>26.153739844072447</v>
      </c>
      <c r="Q1369" s="14">
        <f t="shared" si="270"/>
        <v>3.4460390565383876</v>
      </c>
    </row>
    <row r="1370" spans="1:17" x14ac:dyDescent="0.25">
      <c r="A1370" s="5" t="s">
        <v>1427</v>
      </c>
      <c r="B1370" s="6">
        <f t="shared" si="271"/>
        <v>2</v>
      </c>
      <c r="C1370" s="70">
        <v>15.963567729999999</v>
      </c>
      <c r="D1370" s="4">
        <v>7.1</v>
      </c>
      <c r="E1370" s="12">
        <f t="shared" si="260"/>
        <v>0</v>
      </c>
      <c r="F1370" s="12">
        <f t="shared" si="261"/>
        <v>7.1</v>
      </c>
      <c r="G1370" s="16">
        <f t="shared" si="263"/>
        <v>22.344645926733097</v>
      </c>
      <c r="H1370" s="14">
        <f t="shared" si="264"/>
        <v>1.3938161002198219</v>
      </c>
      <c r="I1370" s="14">
        <f t="shared" si="265"/>
        <v>10.630518062883604</v>
      </c>
      <c r="J1370" s="14">
        <f t="shared" si="266"/>
        <v>2.9095048266288366</v>
      </c>
      <c r="K1370" s="14">
        <f t="shared" si="267"/>
        <v>12.107480486680799</v>
      </c>
      <c r="L1370" s="14">
        <f t="shared" si="268"/>
        <v>704.05675984482889</v>
      </c>
      <c r="M1370" s="14">
        <f t="shared" si="262"/>
        <v>0.5450337943074165</v>
      </c>
      <c r="N1370" s="14">
        <f t="shared" si="269"/>
        <v>13.947566194602985</v>
      </c>
      <c r="O1370" s="4">
        <v>7.77</v>
      </c>
      <c r="P1370" s="14">
        <f t="shared" si="272"/>
        <v>38.162324088701602</v>
      </c>
      <c r="Q1370" s="14">
        <f t="shared" si="270"/>
        <v>1.5285638094119418</v>
      </c>
    </row>
    <row r="1371" spans="1:17" x14ac:dyDescent="0.25">
      <c r="A1371" s="5" t="s">
        <v>1428</v>
      </c>
      <c r="B1371" s="6">
        <f t="shared" si="271"/>
        <v>2</v>
      </c>
      <c r="C1371" s="70">
        <v>18.388353349999999</v>
      </c>
      <c r="D1371" s="4">
        <v>0.5</v>
      </c>
      <c r="E1371" s="12">
        <f t="shared" ref="E1371:E1434" si="273">IF(C1371&gt;$C$9,MAX(E1370-$C$10*(C1371-$C$9),0),E1370+D1371)</f>
        <v>0</v>
      </c>
      <c r="F1371" s="12">
        <f t="shared" ref="F1371:F1434" si="274">IF(C1371&gt;$C$9,D1371+MIN(E1370,$C$10*(C1371-$C$9)),0)</f>
        <v>0.5</v>
      </c>
      <c r="G1371" s="16">
        <f t="shared" si="263"/>
        <v>17.853476069803854</v>
      </c>
      <c r="H1371" s="14">
        <f t="shared" si="264"/>
        <v>0.10540775310610881</v>
      </c>
      <c r="I1371" s="14">
        <f t="shared" si="265"/>
        <v>15.616934222944169</v>
      </c>
      <c r="J1371" s="14">
        <f t="shared" si="266"/>
        <v>4.885762103823132</v>
      </c>
      <c r="K1371" s="14">
        <f t="shared" si="267"/>
        <v>11.221657806409457</v>
      </c>
      <c r="L1371" s="14">
        <f t="shared" si="268"/>
        <v>704.50295648389886</v>
      </c>
      <c r="M1371" s="14">
        <f t="shared" si="262"/>
        <v>0.51054380772025709</v>
      </c>
      <c r="N1371" s="14">
        <f t="shared" si="269"/>
        <v>13.064957857285744</v>
      </c>
      <c r="O1371" s="4">
        <v>8.01</v>
      </c>
      <c r="P1371" s="14">
        <f t="shared" si="272"/>
        <v>25.552598938934885</v>
      </c>
      <c r="Q1371" s="14">
        <f t="shared" si="270"/>
        <v>2.1796122921705652</v>
      </c>
    </row>
    <row r="1372" spans="1:17" x14ac:dyDescent="0.25">
      <c r="A1372" s="5" t="s">
        <v>1429</v>
      </c>
      <c r="B1372" s="6">
        <f t="shared" si="271"/>
        <v>2</v>
      </c>
      <c r="C1372" s="70">
        <v>18.07247353</v>
      </c>
      <c r="D1372" s="4">
        <v>0</v>
      </c>
      <c r="E1372" s="12">
        <f t="shared" si="273"/>
        <v>0</v>
      </c>
      <c r="F1372" s="12">
        <f t="shared" si="274"/>
        <v>0</v>
      </c>
      <c r="G1372" s="16">
        <f t="shared" si="263"/>
        <v>14.112105810966804</v>
      </c>
      <c r="H1372" s="14">
        <f t="shared" si="264"/>
        <v>0</v>
      </c>
      <c r="I1372" s="14">
        <f t="shared" si="265"/>
        <v>14.967347626053586</v>
      </c>
      <c r="J1372" s="14">
        <f t="shared" si="266"/>
        <v>3.7413702588370494</v>
      </c>
      <c r="K1372" s="14">
        <f t="shared" si="267"/>
        <v>10.308630849737639</v>
      </c>
      <c r="L1372" s="14">
        <f t="shared" si="268"/>
        <v>704.9054396328504</v>
      </c>
      <c r="M1372" s="14">
        <f t="shared" si="262"/>
        <v>0.47498237661768916</v>
      </c>
      <c r="N1372" s="14">
        <f t="shared" si="269"/>
        <v>12.154930957195727</v>
      </c>
      <c r="O1372" s="4">
        <v>7.51</v>
      </c>
      <c r="P1372" s="14">
        <f t="shared" si="272"/>
        <v>21.575383597115216</v>
      </c>
      <c r="Q1372" s="14">
        <f t="shared" si="270"/>
        <v>0.95326128642343411</v>
      </c>
    </row>
    <row r="1373" spans="1:17" x14ac:dyDescent="0.25">
      <c r="A1373" s="5" t="s">
        <v>1430</v>
      </c>
      <c r="B1373" s="6">
        <f t="shared" si="271"/>
        <v>2</v>
      </c>
      <c r="C1373" s="70">
        <v>18.137119290000001</v>
      </c>
      <c r="D1373" s="4">
        <v>0</v>
      </c>
      <c r="E1373" s="12">
        <f t="shared" si="273"/>
        <v>0</v>
      </c>
      <c r="F1373" s="12">
        <f t="shared" si="274"/>
        <v>0</v>
      </c>
      <c r="G1373" s="16">
        <f t="shared" si="263"/>
        <v>11.128509248817533</v>
      </c>
      <c r="H1373" s="14">
        <f t="shared" si="264"/>
        <v>0</v>
      </c>
      <c r="I1373" s="14">
        <f t="shared" si="265"/>
        <v>15.10028748666832</v>
      </c>
      <c r="J1373" s="14">
        <f t="shared" si="266"/>
        <v>2.9835965621492706</v>
      </c>
      <c r="K1373" s="14">
        <f t="shared" si="267"/>
        <v>9.4762090569749517</v>
      </c>
      <c r="L1373" s="14">
        <f t="shared" si="268"/>
        <v>705.26287904899539</v>
      </c>
      <c r="M1373" s="14">
        <f t="shared" si="262"/>
        <v>0.44255840498886245</v>
      </c>
      <c r="N1373" s="14">
        <f t="shared" si="269"/>
        <v>11.325192516555266</v>
      </c>
      <c r="O1373" s="4">
        <v>6.8</v>
      </c>
      <c r="P1373" s="14">
        <f t="shared" si="272"/>
        <v>20.477367311887779</v>
      </c>
      <c r="Q1373" s="14">
        <f t="shared" si="270"/>
        <v>7.0942858262508207E-2</v>
      </c>
    </row>
    <row r="1374" spans="1:17" x14ac:dyDescent="0.25">
      <c r="A1374" s="5" t="s">
        <v>1431</v>
      </c>
      <c r="B1374" s="6">
        <f t="shared" si="271"/>
        <v>2</v>
      </c>
      <c r="C1374" s="70">
        <v>16.922388080000001</v>
      </c>
      <c r="D1374" s="4">
        <v>0</v>
      </c>
      <c r="E1374" s="12">
        <f t="shared" si="273"/>
        <v>0</v>
      </c>
      <c r="F1374" s="12">
        <f t="shared" si="274"/>
        <v>0</v>
      </c>
      <c r="G1374" s="16">
        <f t="shared" si="263"/>
        <v>9.16492811226769</v>
      </c>
      <c r="H1374" s="14">
        <f t="shared" si="264"/>
        <v>0</v>
      </c>
      <c r="I1374" s="14">
        <f t="shared" si="265"/>
        <v>12.602270636966809</v>
      </c>
      <c r="J1374" s="14">
        <f t="shared" si="266"/>
        <v>1.963581136549843</v>
      </c>
      <c r="K1374" s="14">
        <f t="shared" si="267"/>
        <v>8.7172763266729785</v>
      </c>
      <c r="L1374" s="14">
        <f t="shared" si="268"/>
        <v>705.57925337430845</v>
      </c>
      <c r="M1374" s="14">
        <f t="shared" si="262"/>
        <v>0.41299490753864293</v>
      </c>
      <c r="N1374" s="14">
        <f t="shared" si="269"/>
        <v>10.568654404721523</v>
      </c>
      <c r="O1374" s="4">
        <v>5.71</v>
      </c>
      <c r="P1374" s="14">
        <f t="shared" si="272"/>
        <v>23.606522624519851</v>
      </c>
      <c r="Q1374" s="14">
        <f t="shared" si="270"/>
        <v>0.67839766573376237</v>
      </c>
    </row>
    <row r="1375" spans="1:17" x14ac:dyDescent="0.25">
      <c r="A1375" s="5" t="s">
        <v>1432</v>
      </c>
      <c r="B1375" s="6">
        <f t="shared" si="271"/>
        <v>2</v>
      </c>
      <c r="C1375" s="70">
        <v>15.557034489999999</v>
      </c>
      <c r="D1375" s="4">
        <v>0</v>
      </c>
      <c r="E1375" s="12">
        <f t="shared" si="273"/>
        <v>0</v>
      </c>
      <c r="F1375" s="12">
        <f t="shared" si="274"/>
        <v>0</v>
      </c>
      <c r="G1375" s="16">
        <f t="shared" si="263"/>
        <v>7.9081032320540317</v>
      </c>
      <c r="H1375" s="14">
        <f t="shared" si="264"/>
        <v>0</v>
      </c>
      <c r="I1375" s="14">
        <f t="shared" si="265"/>
        <v>9.7945085200945083</v>
      </c>
      <c r="J1375" s="14">
        <f t="shared" si="266"/>
        <v>1.2568248802136579</v>
      </c>
      <c r="K1375" s="14">
        <f t="shared" si="267"/>
        <v>8.0253447913247555</v>
      </c>
      <c r="L1375" s="14">
        <f t="shared" si="268"/>
        <v>705.85819000211802</v>
      </c>
      <c r="M1375" s="14">
        <f t="shared" ref="M1375:M1438" si="275">MAX(0,K1375-$F$9)*$F$8+K1375*$F$10+L1375*$F$11</f>
        <v>0.38603935218750818</v>
      </c>
      <c r="N1375" s="14">
        <f t="shared" si="269"/>
        <v>9.8788542556317207</v>
      </c>
      <c r="O1375" s="4">
        <v>5.21</v>
      </c>
      <c r="P1375" s="14">
        <f t="shared" si="272"/>
        <v>21.79820006033043</v>
      </c>
      <c r="Q1375" s="14">
        <f t="shared" si="270"/>
        <v>1.7520466599866313</v>
      </c>
    </row>
    <row r="1376" spans="1:17" x14ac:dyDescent="0.25">
      <c r="A1376" s="5" t="s">
        <v>1433</v>
      </c>
      <c r="B1376" s="6">
        <f t="shared" si="271"/>
        <v>2</v>
      </c>
      <c r="C1376" s="70">
        <v>16.80536652</v>
      </c>
      <c r="D1376" s="4">
        <v>0</v>
      </c>
      <c r="E1376" s="12">
        <f t="shared" si="273"/>
        <v>0</v>
      </c>
      <c r="F1376" s="12">
        <f t="shared" si="274"/>
        <v>0</v>
      </c>
      <c r="G1376" s="16">
        <f t="shared" ref="G1376:G1439" si="276">G1375+F1376-H1376-J1376</f>
        <v>6.5393949557785493</v>
      </c>
      <c r="H1376" s="14">
        <f t="shared" ref="H1376:H1439" si="277">(F1376*(G1375/$C$11)^$C$12)</f>
        <v>0</v>
      </c>
      <c r="I1376" s="14">
        <f t="shared" ref="I1376:I1439" si="278">(1+$C$13*(C1376-INDEX($A$16:$A$27,B1376)))*INDEX($C$16:$C$27,B1376)</f>
        <v>12.361623301777025</v>
      </c>
      <c r="J1376" s="14">
        <f t="shared" ref="J1376:J1439" si="279">IF(G1375&gt;$F$13,I1376,I1376*(G1375/$F$13))</f>
        <v>1.3687082762754819</v>
      </c>
      <c r="K1376" s="14">
        <f t="shared" ref="K1376:K1439" si="280">K1375+H1376-MAX(0,K1375-$F$9)*$F$8-K1375*$F$10-K1375*$F$12</f>
        <v>7.394499354708981</v>
      </c>
      <c r="L1376" s="14">
        <f t="shared" ref="L1376:L1439" si="281">L1375+K1375*$F$12-L1375*$F$11</f>
        <v>706.10299608654623</v>
      </c>
      <c r="M1376" s="14">
        <f t="shared" si="275"/>
        <v>0.36146150125746379</v>
      </c>
      <c r="N1376" s="14">
        <f t="shared" ref="N1376:N1439" si="282">M1376*$C$8*1000/(24*3600)</f>
        <v>9.2499002231510712</v>
      </c>
      <c r="O1376" s="4">
        <v>5.28</v>
      </c>
      <c r="P1376" s="14">
        <f t="shared" si="272"/>
        <v>15.760107781774924</v>
      </c>
      <c r="Q1376" s="14">
        <f t="shared" ref="Q1376:Q1439" si="283">(O1376-$F$23)^2</f>
        <v>1.571635800791229</v>
      </c>
    </row>
    <row r="1377" spans="1:17" x14ac:dyDescent="0.25">
      <c r="A1377" s="5" t="s">
        <v>1434</v>
      </c>
      <c r="B1377" s="6">
        <f t="shared" ref="B1377:B1440" si="284">MONTH(A1377)</f>
        <v>2</v>
      </c>
      <c r="C1377" s="70">
        <v>18.681123729999999</v>
      </c>
      <c r="D1377" s="4">
        <v>0.4</v>
      </c>
      <c r="E1377" s="12">
        <f t="shared" si="273"/>
        <v>0</v>
      </c>
      <c r="F1377" s="12">
        <f t="shared" si="274"/>
        <v>0.4</v>
      </c>
      <c r="G1377" s="16">
        <f t="shared" si="276"/>
        <v>5.4105979399116695</v>
      </c>
      <c r="H1377" s="14">
        <f t="shared" si="277"/>
        <v>4.3803219062428629E-2</v>
      </c>
      <c r="I1377" s="14">
        <f t="shared" si="278"/>
        <v>16.218997738158794</v>
      </c>
      <c r="J1377" s="14">
        <f t="shared" si="279"/>
        <v>1.4849937968044524</v>
      </c>
      <c r="K1377" s="14">
        <f t="shared" si="280"/>
        <v>6.8631503447309079</v>
      </c>
      <c r="L1377" s="14">
        <f t="shared" si="281"/>
        <v>706.31668681432927</v>
      </c>
      <c r="M1377" s="14">
        <f t="shared" si="275"/>
        <v>0.34076164557804456</v>
      </c>
      <c r="N1377" s="14">
        <f t="shared" si="282"/>
        <v>8.7201851663548204</v>
      </c>
      <c r="O1377" s="4">
        <v>6.01</v>
      </c>
      <c r="P1377" s="14">
        <f t="shared" ref="P1377:P1440" si="285">(O1377-N1377)^2</f>
        <v>7.3451036359297071</v>
      </c>
      <c r="Q1377" s="14">
        <f t="shared" si="283"/>
        <v>0.27420826918204128</v>
      </c>
    </row>
    <row r="1378" spans="1:17" x14ac:dyDescent="0.25">
      <c r="A1378" s="5" t="s">
        <v>1435</v>
      </c>
      <c r="B1378" s="6">
        <f t="shared" si="284"/>
        <v>2</v>
      </c>
      <c r="C1378" s="70">
        <v>19.64956093</v>
      </c>
      <c r="D1378" s="4">
        <v>1.7</v>
      </c>
      <c r="E1378" s="12">
        <f t="shared" si="273"/>
        <v>0</v>
      </c>
      <c r="F1378" s="12">
        <f t="shared" si="274"/>
        <v>1.7</v>
      </c>
      <c r="G1378" s="16">
        <f t="shared" si="276"/>
        <v>5.5627904100116936</v>
      </c>
      <c r="H1378" s="14">
        <f t="shared" si="277"/>
        <v>0.16827854657801408</v>
      </c>
      <c r="I1378" s="14">
        <f t="shared" si="278"/>
        <v>18.210526747673377</v>
      </c>
      <c r="J1378" s="14">
        <f t="shared" si="279"/>
        <v>1.3795289833219619</v>
      </c>
      <c r="K1378" s="14">
        <f t="shared" si="280"/>
        <v>6.5031859826661016</v>
      </c>
      <c r="L1378" s="14">
        <f t="shared" si="281"/>
        <v>706.50416807739407</v>
      </c>
      <c r="M1378" s="14">
        <f t="shared" si="275"/>
        <v>0.32674755098210273</v>
      </c>
      <c r="N1378" s="14">
        <f t="shared" si="282"/>
        <v>8.3615605928406147</v>
      </c>
      <c r="O1378" s="4">
        <v>6.19</v>
      </c>
      <c r="P1378" s="14">
        <f t="shared" si="285"/>
        <v>4.7156754083782806</v>
      </c>
      <c r="Q1378" s="14">
        <f t="shared" si="283"/>
        <v>0.118094631251008</v>
      </c>
    </row>
    <row r="1379" spans="1:17" x14ac:dyDescent="0.25">
      <c r="A1379" s="5" t="s">
        <v>1436</v>
      </c>
      <c r="B1379" s="6">
        <f t="shared" si="284"/>
        <v>2</v>
      </c>
      <c r="C1379" s="70">
        <v>19.044126510000002</v>
      </c>
      <c r="D1379" s="4">
        <v>2.4</v>
      </c>
      <c r="E1379" s="12">
        <f t="shared" si="273"/>
        <v>0</v>
      </c>
      <c r="F1379" s="12">
        <f t="shared" si="274"/>
        <v>2.4</v>
      </c>
      <c r="G1379" s="16">
        <f t="shared" si="276"/>
        <v>6.4003186040191977</v>
      </c>
      <c r="H1379" s="14">
        <f t="shared" si="277"/>
        <v>0.24110876603327541</v>
      </c>
      <c r="I1379" s="14">
        <f t="shared" si="278"/>
        <v>16.965489680955336</v>
      </c>
      <c r="J1379" s="14">
        <f t="shared" si="279"/>
        <v>1.3213630399592209</v>
      </c>
      <c r="K1379" s="14">
        <f t="shared" si="280"/>
        <v>6.247830733542294</v>
      </c>
      <c r="L1379" s="14">
        <f t="shared" si="281"/>
        <v>706.67388454156901</v>
      </c>
      <c r="M1379" s="14">
        <f t="shared" si="275"/>
        <v>0.31681390948654753</v>
      </c>
      <c r="N1379" s="14">
        <f t="shared" si="282"/>
        <v>8.1073559476244981</v>
      </c>
      <c r="O1379" s="4">
        <v>5.41</v>
      </c>
      <c r="P1379" s="14">
        <f t="shared" si="285"/>
        <v>7.2757291081852529</v>
      </c>
      <c r="Q1379" s="14">
        <f t="shared" si="283"/>
        <v>1.2625870622854833</v>
      </c>
    </row>
    <row r="1380" spans="1:17" x14ac:dyDescent="0.25">
      <c r="A1380" s="5" t="s">
        <v>1437</v>
      </c>
      <c r="B1380" s="6">
        <f t="shared" si="284"/>
        <v>2</v>
      </c>
      <c r="C1380" s="70">
        <v>18.159133910000001</v>
      </c>
      <c r="D1380" s="4">
        <v>0</v>
      </c>
      <c r="E1380" s="12">
        <f t="shared" si="273"/>
        <v>0</v>
      </c>
      <c r="F1380" s="12">
        <f t="shared" si="274"/>
        <v>0</v>
      </c>
      <c r="G1380" s="16">
        <f t="shared" si="276"/>
        <v>5.043099503673182</v>
      </c>
      <c r="H1380" s="14">
        <f t="shared" si="277"/>
        <v>0</v>
      </c>
      <c r="I1380" s="14">
        <f t="shared" si="278"/>
        <v>15.145559141209718</v>
      </c>
      <c r="J1380" s="14">
        <f t="shared" si="279"/>
        <v>1.3572191003460155</v>
      </c>
      <c r="K1380" s="14">
        <f t="shared" si="280"/>
        <v>5.7739103591400376</v>
      </c>
      <c r="L1380" s="14">
        <f t="shared" si="281"/>
        <v>706.83099100648474</v>
      </c>
      <c r="M1380" s="14">
        <f t="shared" si="275"/>
        <v>0.29834417721440687</v>
      </c>
      <c r="N1380" s="14">
        <f t="shared" si="282"/>
        <v>7.6347103682992312</v>
      </c>
      <c r="O1380" s="4">
        <v>5.45</v>
      </c>
      <c r="P1380" s="14">
        <f t="shared" si="285"/>
        <v>4.7729593933541619</v>
      </c>
      <c r="Q1380" s="14">
        <f t="shared" si="283"/>
        <v>1.1742951427452537</v>
      </c>
    </row>
    <row r="1381" spans="1:17" x14ac:dyDescent="0.25">
      <c r="A1381" s="5" t="s">
        <v>1438</v>
      </c>
      <c r="B1381" s="6">
        <f t="shared" si="284"/>
        <v>2</v>
      </c>
      <c r="C1381" s="70">
        <v>18.826202389999999</v>
      </c>
      <c r="D1381" s="4">
        <v>2.5</v>
      </c>
      <c r="E1381" s="12">
        <f t="shared" si="273"/>
        <v>0</v>
      </c>
      <c r="F1381" s="12">
        <f t="shared" si="274"/>
        <v>2.5</v>
      </c>
      <c r="G1381" s="16">
        <f t="shared" si="276"/>
        <v>6.138463431475202</v>
      </c>
      <c r="H1381" s="14">
        <f t="shared" si="277"/>
        <v>0.23836158579246924</v>
      </c>
      <c r="I1381" s="14">
        <f t="shared" si="278"/>
        <v>16.517342700590532</v>
      </c>
      <c r="J1381" s="14">
        <f t="shared" si="279"/>
        <v>1.1662744864055106</v>
      </c>
      <c r="K1381" s="14">
        <f t="shared" si="280"/>
        <v>5.5801908932133619</v>
      </c>
      <c r="L1381" s="14">
        <f t="shared" si="281"/>
        <v>706.96472788098947</v>
      </c>
      <c r="M1381" s="14">
        <f t="shared" si="275"/>
        <v>0.29080930748944123</v>
      </c>
      <c r="N1381" s="14">
        <f t="shared" si="282"/>
        <v>7.441890959017992</v>
      </c>
      <c r="O1381" s="4">
        <v>5.79</v>
      </c>
      <c r="P1381" s="14">
        <f t="shared" si="285"/>
        <v>2.7287437404853812</v>
      </c>
      <c r="Q1381" s="14">
        <f t="shared" si="283"/>
        <v>0.55301382665330323</v>
      </c>
    </row>
    <row r="1382" spans="1:17" x14ac:dyDescent="0.25">
      <c r="A1382" s="5" t="s">
        <v>1439</v>
      </c>
      <c r="B1382" s="6">
        <f t="shared" si="284"/>
        <v>2</v>
      </c>
      <c r="C1382" s="70">
        <v>16.530111309999999</v>
      </c>
      <c r="D1382" s="4">
        <v>2.9</v>
      </c>
      <c r="E1382" s="12">
        <f t="shared" si="273"/>
        <v>0</v>
      </c>
      <c r="F1382" s="12">
        <f t="shared" si="274"/>
        <v>2.9</v>
      </c>
      <c r="G1382" s="16">
        <f t="shared" si="276"/>
        <v>7.7176461555990032</v>
      </c>
      <c r="H1382" s="14">
        <f t="shared" si="277"/>
        <v>0.30704133433523551</v>
      </c>
      <c r="I1382" s="14">
        <f t="shared" si="278"/>
        <v>11.795578610665377</v>
      </c>
      <c r="J1382" s="14">
        <f t="shared" si="279"/>
        <v>1.0137759415409644</v>
      </c>
      <c r="K1382" s="14">
        <f t="shared" si="280"/>
        <v>5.4722533973896237</v>
      </c>
      <c r="L1382" s="14">
        <f t="shared" si="281"/>
        <v>707.08889740365908</v>
      </c>
      <c r="M1382" s="14">
        <f t="shared" si="275"/>
        <v>0.28662157190363913</v>
      </c>
      <c r="N1382" s="14">
        <f t="shared" si="282"/>
        <v>7.3347256421174327</v>
      </c>
      <c r="O1382" s="4">
        <v>7.05</v>
      </c>
      <c r="P1382" s="14">
        <f t="shared" si="285"/>
        <v>8.1068691279184479E-2</v>
      </c>
      <c r="Q1382" s="14">
        <f t="shared" si="283"/>
        <v>0.26661836113607373</v>
      </c>
    </row>
    <row r="1383" spans="1:17" x14ac:dyDescent="0.25">
      <c r="A1383" s="5" t="s">
        <v>1440</v>
      </c>
      <c r="B1383" s="6">
        <f t="shared" si="284"/>
        <v>2</v>
      </c>
      <c r="C1383" s="70">
        <v>17.947818760000001</v>
      </c>
      <c r="D1383" s="4">
        <v>2.4</v>
      </c>
      <c r="E1383" s="12">
        <f t="shared" si="273"/>
        <v>0</v>
      </c>
      <c r="F1383" s="12">
        <f t="shared" si="274"/>
        <v>2.4</v>
      </c>
      <c r="G1383" s="16">
        <f t="shared" si="276"/>
        <v>8.2409535079916125</v>
      </c>
      <c r="H1383" s="14">
        <f t="shared" si="277"/>
        <v>0.28708403315419945</v>
      </c>
      <c r="I1383" s="14">
        <f t="shared" si="278"/>
        <v>14.711003083909432</v>
      </c>
      <c r="J1383" s="14">
        <f t="shared" si="279"/>
        <v>1.5896086144531911</v>
      </c>
      <c r="K1383" s="14">
        <f t="shared" si="280"/>
        <v>5.3538876942185389</v>
      </c>
      <c r="L1383" s="14">
        <f t="shared" si="281"/>
        <v>707.20772556808072</v>
      </c>
      <c r="M1383" s="14">
        <f t="shared" si="275"/>
        <v>0.282025551572884</v>
      </c>
      <c r="N1383" s="14">
        <f t="shared" si="282"/>
        <v>7.2171122051810945</v>
      </c>
      <c r="O1383" s="4">
        <v>6.37</v>
      </c>
      <c r="P1383" s="14">
        <f t="shared" si="285"/>
        <v>0.71759908816677664</v>
      </c>
      <c r="Q1383" s="14">
        <f t="shared" si="283"/>
        <v>2.6780993319975459E-2</v>
      </c>
    </row>
    <row r="1384" spans="1:17" x14ac:dyDescent="0.25">
      <c r="A1384" s="5" t="s">
        <v>1441</v>
      </c>
      <c r="B1384" s="6">
        <f t="shared" si="284"/>
        <v>2</v>
      </c>
      <c r="C1384" s="70">
        <v>16.881486890000001</v>
      </c>
      <c r="D1384" s="4">
        <v>0.6</v>
      </c>
      <c r="E1384" s="12">
        <f t="shared" si="273"/>
        <v>0</v>
      </c>
      <c r="F1384" s="12">
        <f t="shared" si="274"/>
        <v>0.6</v>
      </c>
      <c r="G1384" s="16">
        <f t="shared" si="276"/>
        <v>7.3222496162394872</v>
      </c>
      <c r="H1384" s="14">
        <f t="shared" si="277"/>
        <v>7.4325378537592621E-2</v>
      </c>
      <c r="I1384" s="14">
        <f t="shared" si="278"/>
        <v>12.518159962151067</v>
      </c>
      <c r="J1384" s="14">
        <f t="shared" si="279"/>
        <v>1.4443785132145328</v>
      </c>
      <c r="K1384" s="14">
        <f t="shared" si="280"/>
        <v>5.0332130683205856</v>
      </c>
      <c r="L1384" s="14">
        <f t="shared" si="281"/>
        <v>707.32070002094338</v>
      </c>
      <c r="M1384" s="14">
        <f t="shared" si="275"/>
        <v>0.26952956814711415</v>
      </c>
      <c r="N1384" s="14">
        <f t="shared" si="282"/>
        <v>6.8973365182091353</v>
      </c>
      <c r="O1384" s="4">
        <v>6.15</v>
      </c>
      <c r="P1384" s="14">
        <f t="shared" si="285"/>
        <v>0.55851187144895265</v>
      </c>
      <c r="Q1384" s="14">
        <f t="shared" si="283"/>
        <v>0.14718655079123749</v>
      </c>
    </row>
    <row r="1385" spans="1:17" x14ac:dyDescent="0.25">
      <c r="A1385" s="5" t="s">
        <v>1442</v>
      </c>
      <c r="B1385" s="6">
        <f t="shared" si="284"/>
        <v>2</v>
      </c>
      <c r="C1385" s="70">
        <v>17.65215302</v>
      </c>
      <c r="D1385" s="4">
        <v>1.2</v>
      </c>
      <c r="E1385" s="12">
        <f t="shared" si="273"/>
        <v>0</v>
      </c>
      <c r="F1385" s="12">
        <f t="shared" si="274"/>
        <v>1.2</v>
      </c>
      <c r="G1385" s="16">
        <f t="shared" si="276"/>
        <v>6.936841101878148</v>
      </c>
      <c r="H1385" s="14">
        <f t="shared" si="277"/>
        <v>0.13957380644407436</v>
      </c>
      <c r="I1385" s="14">
        <f t="shared" si="278"/>
        <v>14.102985446493609</v>
      </c>
      <c r="J1385" s="14">
        <f t="shared" si="279"/>
        <v>1.4458347079172635</v>
      </c>
      <c r="K1385" s="14">
        <f t="shared" si="280"/>
        <v>4.8060971306046998</v>
      </c>
      <c r="L1385" s="14">
        <f t="shared" si="281"/>
        <v>707.41786019695621</v>
      </c>
      <c r="M1385" s="14">
        <f t="shared" si="275"/>
        <v>0.26068301330395582</v>
      </c>
      <c r="N1385" s="14">
        <f t="shared" si="282"/>
        <v>6.6709507223963698</v>
      </c>
      <c r="O1385" s="4">
        <v>5.31</v>
      </c>
      <c r="P1385" s="14">
        <f t="shared" si="285"/>
        <v>1.8521868687912018</v>
      </c>
      <c r="Q1385" s="14">
        <f t="shared" si="283"/>
        <v>1.4973168611360583</v>
      </c>
    </row>
    <row r="1386" spans="1:17" x14ac:dyDescent="0.25">
      <c r="A1386" s="5" t="s">
        <v>1443</v>
      </c>
      <c r="B1386" s="6">
        <f t="shared" si="284"/>
        <v>2</v>
      </c>
      <c r="C1386" s="70">
        <v>17.641778949999999</v>
      </c>
      <c r="D1386" s="4">
        <v>5.0999999999999996</v>
      </c>
      <c r="E1386" s="12">
        <f t="shared" si="273"/>
        <v>0</v>
      </c>
      <c r="F1386" s="12">
        <f t="shared" si="274"/>
        <v>5.0999999999999996</v>
      </c>
      <c r="G1386" s="16">
        <f t="shared" si="276"/>
        <v>10.092844909380526</v>
      </c>
      <c r="H1386" s="14">
        <f t="shared" si="277"/>
        <v>0.57633536789246265</v>
      </c>
      <c r="I1386" s="14">
        <f t="shared" si="278"/>
        <v>14.081651836682113</v>
      </c>
      <c r="J1386" s="14">
        <f t="shared" si="279"/>
        <v>1.367660824605158</v>
      </c>
      <c r="K1386" s="14">
        <f t="shared" si="280"/>
        <v>5.03579333143374</v>
      </c>
      <c r="L1386" s="14">
        <f t="shared" si="281"/>
        <v>707.50381635071562</v>
      </c>
      <c r="M1386" s="14">
        <f t="shared" si="275"/>
        <v>0.26966931764255025</v>
      </c>
      <c r="N1386" s="14">
        <f t="shared" si="282"/>
        <v>6.9009127466166511</v>
      </c>
      <c r="O1386" s="4">
        <v>4.9400000000000004</v>
      </c>
      <c r="P1386" s="14">
        <f t="shared" si="285"/>
        <v>3.8451787998436568</v>
      </c>
      <c r="Q1386" s="14">
        <f t="shared" si="283"/>
        <v>2.5397171168831791</v>
      </c>
    </row>
    <row r="1387" spans="1:17" x14ac:dyDescent="0.25">
      <c r="A1387" s="5" t="s">
        <v>1444</v>
      </c>
      <c r="B1387" s="6">
        <f t="shared" si="284"/>
        <v>2</v>
      </c>
      <c r="C1387" s="70">
        <v>16.633897780000002</v>
      </c>
      <c r="D1387" s="4">
        <v>0</v>
      </c>
      <c r="E1387" s="12">
        <f t="shared" si="273"/>
        <v>0</v>
      </c>
      <c r="F1387" s="12">
        <f t="shared" si="274"/>
        <v>0</v>
      </c>
      <c r="G1387" s="16">
        <f t="shared" si="276"/>
        <v>8.3958371727020307</v>
      </c>
      <c r="H1387" s="14">
        <f t="shared" si="277"/>
        <v>0</v>
      </c>
      <c r="I1387" s="14">
        <f t="shared" si="278"/>
        <v>12.009008831850727</v>
      </c>
      <c r="J1387" s="14">
        <f t="shared" si="279"/>
        <v>1.6970077366784961</v>
      </c>
      <c r="K1387" s="14">
        <f t="shared" si="280"/>
        <v>4.668875792760546</v>
      </c>
      <c r="L1387" s="14">
        <f t="shared" si="281"/>
        <v>707.60106457174629</v>
      </c>
      <c r="M1387" s="14">
        <f t="shared" si="275"/>
        <v>0.25536452919015018</v>
      </c>
      <c r="N1387" s="14">
        <f t="shared" si="282"/>
        <v>6.5348492365673856</v>
      </c>
      <c r="O1387" s="4">
        <v>5.23</v>
      </c>
      <c r="P1387" s="14">
        <f t="shared" si="285"/>
        <v>1.702631530170488</v>
      </c>
      <c r="Q1387" s="14">
        <f t="shared" si="283"/>
        <v>1.6995007002165152</v>
      </c>
    </row>
    <row r="1388" spans="1:17" x14ac:dyDescent="0.25">
      <c r="A1388" s="5" t="s">
        <v>1445</v>
      </c>
      <c r="B1388" s="6">
        <f t="shared" si="284"/>
        <v>2</v>
      </c>
      <c r="C1388" s="70">
        <v>17.189180369999999</v>
      </c>
      <c r="D1388" s="4">
        <v>9.6</v>
      </c>
      <c r="E1388" s="12">
        <f t="shared" si="273"/>
        <v>0</v>
      </c>
      <c r="F1388" s="12">
        <f t="shared" si="274"/>
        <v>9.6</v>
      </c>
      <c r="G1388" s="16">
        <f t="shared" si="276"/>
        <v>15.248863492719758</v>
      </c>
      <c r="H1388" s="14">
        <f t="shared" si="277"/>
        <v>1.2010682123236875</v>
      </c>
      <c r="I1388" s="14">
        <f t="shared" si="278"/>
        <v>13.150911875706731</v>
      </c>
      <c r="J1388" s="14">
        <f t="shared" si="279"/>
        <v>1.5459054676585873</v>
      </c>
      <c r="K1388" s="14">
        <f t="shared" si="280"/>
        <v>5.5354192102722921</v>
      </c>
      <c r="L1388" s="14">
        <f t="shared" si="281"/>
        <v>707.68022483736809</v>
      </c>
      <c r="M1388" s="14">
        <f t="shared" si="275"/>
        <v>0.28921371357653769</v>
      </c>
      <c r="N1388" s="14">
        <f t="shared" si="282"/>
        <v>7.401059267566259</v>
      </c>
      <c r="O1388" s="4">
        <v>6.2</v>
      </c>
      <c r="P1388" s="14">
        <f t="shared" si="285"/>
        <v>1.442543364206798</v>
      </c>
      <c r="Q1388" s="14">
        <f t="shared" si="283"/>
        <v>0.11132165136595078</v>
      </c>
    </row>
    <row r="1389" spans="1:17" x14ac:dyDescent="0.25">
      <c r="A1389" s="5" t="s">
        <v>1446</v>
      </c>
      <c r="B1389" s="6">
        <f t="shared" si="284"/>
        <v>2</v>
      </c>
      <c r="C1389" s="70">
        <v>18.27195549</v>
      </c>
      <c r="D1389" s="4">
        <v>6</v>
      </c>
      <c r="E1389" s="12">
        <f t="shared" si="273"/>
        <v>0</v>
      </c>
      <c r="F1389" s="12">
        <f t="shared" si="274"/>
        <v>6</v>
      </c>
      <c r="G1389" s="16">
        <f t="shared" si="276"/>
        <v>16.933919254455894</v>
      </c>
      <c r="H1389" s="14">
        <f t="shared" si="277"/>
        <v>1.0318130775268937</v>
      </c>
      <c r="I1389" s="14">
        <f t="shared" si="278"/>
        <v>15.377569486815263</v>
      </c>
      <c r="J1389" s="14">
        <f t="shared" si="279"/>
        <v>3.2831311607369686</v>
      </c>
      <c r="K1389" s="14">
        <f t="shared" si="280"/>
        <v>6.1562060559896699</v>
      </c>
      <c r="L1389" s="14">
        <f t="shared" si="281"/>
        <v>707.8020373556011</v>
      </c>
      <c r="M1389" s="14">
        <f t="shared" si="275"/>
        <v>0.31347694806877047</v>
      </c>
      <c r="N1389" s="14">
        <f t="shared" si="282"/>
        <v>8.021962178009856</v>
      </c>
      <c r="O1389" s="4">
        <v>9.6199999999999992</v>
      </c>
      <c r="P1389" s="14">
        <f t="shared" si="285"/>
        <v>2.5537248805110004</v>
      </c>
      <c r="Q1389" s="14">
        <f t="shared" si="283"/>
        <v>9.5255625306763232</v>
      </c>
    </row>
    <row r="1390" spans="1:17" x14ac:dyDescent="0.25">
      <c r="A1390" s="5" t="s">
        <v>1447</v>
      </c>
      <c r="B1390" s="6">
        <f t="shared" si="284"/>
        <v>2</v>
      </c>
      <c r="C1390" s="70">
        <v>18.543518070000001</v>
      </c>
      <c r="D1390" s="4">
        <v>1.6</v>
      </c>
      <c r="E1390" s="12">
        <f t="shared" si="273"/>
        <v>0</v>
      </c>
      <c r="F1390" s="12">
        <f t="shared" si="274"/>
        <v>1.6</v>
      </c>
      <c r="G1390" s="16">
        <f t="shared" si="276"/>
        <v>14.464623866316268</v>
      </c>
      <c r="H1390" s="14">
        <f t="shared" si="277"/>
        <v>0.29096071952075686</v>
      </c>
      <c r="I1390" s="14">
        <f t="shared" si="278"/>
        <v>15.936020521088446</v>
      </c>
      <c r="J1390" s="14">
        <f t="shared" si="279"/>
        <v>3.7783346686188697</v>
      </c>
      <c r="K1390" s="14">
        <f t="shared" si="280"/>
        <v>5.9813353431687331</v>
      </c>
      <c r="L1390" s="14">
        <f t="shared" si="281"/>
        <v>707.95439183987401</v>
      </c>
      <c r="M1390" s="14">
        <f t="shared" si="275"/>
        <v>0.30668195335632381</v>
      </c>
      <c r="N1390" s="14">
        <f t="shared" si="282"/>
        <v>7.8480763758198142</v>
      </c>
      <c r="O1390" s="4">
        <v>10.02</v>
      </c>
      <c r="P1390" s="14">
        <f t="shared" si="285"/>
        <v>4.7172522292719909</v>
      </c>
      <c r="Q1390" s="14">
        <f t="shared" si="283"/>
        <v>12.154643335274031</v>
      </c>
    </row>
    <row r="1391" spans="1:17" x14ac:dyDescent="0.25">
      <c r="A1391" s="5" t="s">
        <v>1448</v>
      </c>
      <c r="B1391" s="6">
        <f t="shared" si="284"/>
        <v>2</v>
      </c>
      <c r="C1391" s="70">
        <v>17.812860489999998</v>
      </c>
      <c r="D1391" s="4">
        <v>2.5</v>
      </c>
      <c r="E1391" s="12">
        <f t="shared" si="273"/>
        <v>0</v>
      </c>
      <c r="F1391" s="12">
        <f t="shared" si="274"/>
        <v>2.5</v>
      </c>
      <c r="G1391" s="16">
        <f t="shared" si="276"/>
        <v>13.623551365446961</v>
      </c>
      <c r="H1391" s="14">
        <f t="shared" si="277"/>
        <v>0.41799076965928295</v>
      </c>
      <c r="I1391" s="14">
        <f t="shared" si="278"/>
        <v>14.433470054634114</v>
      </c>
      <c r="J1391" s="14">
        <f t="shared" si="279"/>
        <v>2.9230817312100226</v>
      </c>
      <c r="K1391" s="14">
        <f t="shared" si="280"/>
        <v>5.9489328692132135</v>
      </c>
      <c r="L1391" s="14">
        <f t="shared" si="281"/>
        <v>708.09810313013247</v>
      </c>
      <c r="M1391" s="14">
        <f t="shared" si="275"/>
        <v>0.30544748291032431</v>
      </c>
      <c r="N1391" s="14">
        <f t="shared" si="282"/>
        <v>7.81648593419823</v>
      </c>
      <c r="O1391" s="4">
        <v>13.05</v>
      </c>
      <c r="P1391" s="14">
        <f t="shared" si="285"/>
        <v>27.389669476944981</v>
      </c>
      <c r="Q1391" s="14">
        <f t="shared" si="283"/>
        <v>42.462830430101654</v>
      </c>
    </row>
    <row r="1392" spans="1:17" x14ac:dyDescent="0.25">
      <c r="A1392" s="5" t="s">
        <v>1449</v>
      </c>
      <c r="B1392" s="6">
        <f t="shared" si="284"/>
        <v>2</v>
      </c>
      <c r="C1392" s="70">
        <v>16.791784289999999</v>
      </c>
      <c r="D1392" s="4">
        <v>11.5</v>
      </c>
      <c r="E1392" s="12">
        <f t="shared" si="273"/>
        <v>0</v>
      </c>
      <c r="F1392" s="12">
        <f t="shared" si="274"/>
        <v>11.5</v>
      </c>
      <c r="G1392" s="16">
        <f t="shared" si="276"/>
        <v>20.908631997243663</v>
      </c>
      <c r="H1392" s="14">
        <f t="shared" si="277"/>
        <v>1.862327985681022</v>
      </c>
      <c r="I1392" s="14">
        <f t="shared" si="278"/>
        <v>12.333692316619803</v>
      </c>
      <c r="J1392" s="14">
        <f t="shared" si="279"/>
        <v>2.3525913825222751</v>
      </c>
      <c r="K1392" s="14">
        <f t="shared" si="280"/>
        <v>7.3637282132640305</v>
      </c>
      <c r="L1392" s="14">
        <f t="shared" si="281"/>
        <v>708.24018828885244</v>
      </c>
      <c r="M1392" s="14">
        <f t="shared" si="275"/>
        <v>0.36071538747525111</v>
      </c>
      <c r="N1392" s="14">
        <f t="shared" si="282"/>
        <v>9.2308069642104176</v>
      </c>
      <c r="O1392" s="4">
        <v>13.01</v>
      </c>
      <c r="P1392" s="14">
        <f t="shared" si="285"/>
        <v>14.282300001760479</v>
      </c>
      <c r="Q1392" s="14">
        <f t="shared" si="283"/>
        <v>41.943122349641875</v>
      </c>
    </row>
    <row r="1393" spans="1:17" x14ac:dyDescent="0.25">
      <c r="A1393" s="5" t="s">
        <v>1450</v>
      </c>
      <c r="B1393" s="6">
        <f t="shared" si="284"/>
        <v>3</v>
      </c>
      <c r="C1393" s="70">
        <v>17.311042789999998</v>
      </c>
      <c r="D1393" s="4">
        <v>4.5999999999999996</v>
      </c>
      <c r="E1393" s="12">
        <f t="shared" si="273"/>
        <v>0</v>
      </c>
      <c r="F1393" s="12">
        <f t="shared" si="274"/>
        <v>4.5999999999999996</v>
      </c>
      <c r="G1393" s="16">
        <f t="shared" si="276"/>
        <v>20.430939710681532</v>
      </c>
      <c r="H1393" s="14">
        <f t="shared" si="277"/>
        <v>0.93601526178510608</v>
      </c>
      <c r="I1393" s="14">
        <f t="shared" si="278"/>
        <v>14.147755691844962</v>
      </c>
      <c r="J1393" s="14">
        <f t="shared" si="279"/>
        <v>4.1416770247770236</v>
      </c>
      <c r="K1393" s="14">
        <f t="shared" si="280"/>
        <v>7.7273078283414103</v>
      </c>
      <c r="L1393" s="14">
        <f t="shared" si="281"/>
        <v>708.45190854808482</v>
      </c>
      <c r="M1393" s="14">
        <f t="shared" si="275"/>
        <v>0.37495567244842676</v>
      </c>
      <c r="N1393" s="14">
        <f t="shared" si="282"/>
        <v>9.5952198123086987</v>
      </c>
      <c r="O1393" s="4">
        <v>18.57</v>
      </c>
      <c r="P1393" s="14">
        <f t="shared" si="285"/>
        <v>80.546679417376311</v>
      </c>
      <c r="Q1393" s="14">
        <f t="shared" si="283"/>
        <v>144.87374553354999</v>
      </c>
    </row>
    <row r="1394" spans="1:17" x14ac:dyDescent="0.25">
      <c r="A1394" s="5" t="s">
        <v>1451</v>
      </c>
      <c r="B1394" s="6">
        <f t="shared" si="284"/>
        <v>3</v>
      </c>
      <c r="C1394" s="70">
        <v>17.489973070000001</v>
      </c>
      <c r="D1394" s="4">
        <v>3.8</v>
      </c>
      <c r="E1394" s="12">
        <f t="shared" si="273"/>
        <v>0</v>
      </c>
      <c r="F1394" s="12">
        <f t="shared" si="274"/>
        <v>3.8</v>
      </c>
      <c r="G1394" s="16">
        <f t="shared" si="276"/>
        <v>19.316044964568125</v>
      </c>
      <c r="H1394" s="14">
        <f t="shared" si="277"/>
        <v>0.76376242591972066</v>
      </c>
      <c r="I1394" s="14">
        <f t="shared" si="278"/>
        <v>14.511595909350781</v>
      </c>
      <c r="J1394" s="14">
        <f t="shared" si="279"/>
        <v>4.1511323201936845</v>
      </c>
      <c r="K1394" s="14">
        <f t="shared" si="280"/>
        <v>7.8865365470819384</v>
      </c>
      <c r="L1394" s="14">
        <f t="shared" si="281"/>
        <v>708.68148658281564</v>
      </c>
      <c r="M1394" s="14">
        <f t="shared" si="275"/>
        <v>0.38122132104706763</v>
      </c>
      <c r="N1394" s="14">
        <f t="shared" si="282"/>
        <v>9.7555595004058624</v>
      </c>
      <c r="O1394" s="4">
        <v>17.27</v>
      </c>
      <c r="P1394" s="14">
        <f t="shared" si="285"/>
        <v>56.466816021940588</v>
      </c>
      <c r="Q1394" s="14">
        <f t="shared" si="283"/>
        <v>115.26923291860744</v>
      </c>
    </row>
    <row r="1395" spans="1:17" x14ac:dyDescent="0.25">
      <c r="A1395" s="5" t="s">
        <v>1452</v>
      </c>
      <c r="B1395" s="6">
        <f t="shared" si="284"/>
        <v>3</v>
      </c>
      <c r="C1395" s="70">
        <v>18.429872509999999</v>
      </c>
      <c r="D1395" s="4">
        <v>0</v>
      </c>
      <c r="E1395" s="12">
        <f t="shared" si="273"/>
        <v>0</v>
      </c>
      <c r="F1395" s="12">
        <f t="shared" si="274"/>
        <v>0</v>
      </c>
      <c r="G1395" s="16">
        <f t="shared" si="276"/>
        <v>14.87455578960423</v>
      </c>
      <c r="H1395" s="14">
        <f t="shared" si="277"/>
        <v>0</v>
      </c>
      <c r="I1395" s="14">
        <f t="shared" si="278"/>
        <v>16.422805217709278</v>
      </c>
      <c r="J1395" s="14">
        <f t="shared" si="279"/>
        <v>4.4414891749638938</v>
      </c>
      <c r="K1395" s="14">
        <f t="shared" si="280"/>
        <v>7.2679455802793189</v>
      </c>
      <c r="L1395" s="14">
        <f t="shared" si="281"/>
        <v>708.91885622857114</v>
      </c>
      <c r="M1395" s="14">
        <f t="shared" si="275"/>
        <v>0.35712033533322668</v>
      </c>
      <c r="N1395" s="14">
        <f t="shared" si="282"/>
        <v>9.1388085812704194</v>
      </c>
      <c r="O1395" s="4">
        <v>15.39</v>
      </c>
      <c r="P1395" s="14">
        <f t="shared" si="285"/>
        <v>39.077394153598355</v>
      </c>
      <c r="Q1395" s="14">
        <f t="shared" si="283"/>
        <v>78.434953136998246</v>
      </c>
    </row>
    <row r="1396" spans="1:17" x14ac:dyDescent="0.25">
      <c r="A1396" s="5" t="s">
        <v>1453</v>
      </c>
      <c r="B1396" s="6">
        <f t="shared" si="284"/>
        <v>3</v>
      </c>
      <c r="C1396" s="70">
        <v>18.882131579999999</v>
      </c>
      <c r="D1396" s="4">
        <v>0</v>
      </c>
      <c r="E1396" s="12">
        <f t="shared" si="273"/>
        <v>0</v>
      </c>
      <c r="F1396" s="12">
        <f t="shared" si="274"/>
        <v>0</v>
      </c>
      <c r="G1396" s="16">
        <f t="shared" si="276"/>
        <v>11.262809810457529</v>
      </c>
      <c r="H1396" s="14">
        <f t="shared" si="277"/>
        <v>0</v>
      </c>
      <c r="I1396" s="14">
        <f t="shared" si="278"/>
        <v>17.342437369393032</v>
      </c>
      <c r="J1396" s="14">
        <f t="shared" si="279"/>
        <v>3.611745979146701</v>
      </c>
      <c r="K1396" s="14">
        <f t="shared" si="280"/>
        <v>6.7039659542563754</v>
      </c>
      <c r="L1396" s="14">
        <f t="shared" si="281"/>
        <v>709.12571551926089</v>
      </c>
      <c r="M1396" s="14">
        <f t="shared" si="275"/>
        <v>0.33514503226039738</v>
      </c>
      <c r="N1396" s="14">
        <f t="shared" si="282"/>
        <v>8.5764544713858637</v>
      </c>
      <c r="O1396" s="4">
        <v>12.76</v>
      </c>
      <c r="P1396" s="14">
        <f t="shared" si="285"/>
        <v>17.502053189987333</v>
      </c>
      <c r="Q1396" s="14">
        <f t="shared" si="283"/>
        <v>38.767446846768308</v>
      </c>
    </row>
    <row r="1397" spans="1:17" x14ac:dyDescent="0.25">
      <c r="A1397" s="5" t="s">
        <v>1454</v>
      </c>
      <c r="B1397" s="6">
        <f t="shared" si="284"/>
        <v>3</v>
      </c>
      <c r="C1397" s="70">
        <v>18.03458977</v>
      </c>
      <c r="D1397" s="4">
        <v>0</v>
      </c>
      <c r="E1397" s="12">
        <f t="shared" si="273"/>
        <v>0</v>
      </c>
      <c r="F1397" s="12">
        <f t="shared" si="274"/>
        <v>0</v>
      </c>
      <c r="G1397" s="16">
        <f t="shared" si="276"/>
        <v>8.7998129251120112</v>
      </c>
      <c r="H1397" s="14">
        <f t="shared" si="277"/>
        <v>0</v>
      </c>
      <c r="I1397" s="14">
        <f t="shared" si="278"/>
        <v>15.619029813692171</v>
      </c>
      <c r="J1397" s="14">
        <f t="shared" si="279"/>
        <v>2.4629968853455173</v>
      </c>
      <c r="K1397" s="14">
        <f t="shared" si="280"/>
        <v>6.1897763917850055</v>
      </c>
      <c r="L1397" s="14">
        <f t="shared" si="281"/>
        <v>709.30476004947184</v>
      </c>
      <c r="M1397" s="14">
        <f t="shared" si="275"/>
        <v>0.3151077496784459</v>
      </c>
      <c r="N1397" s="14">
        <f t="shared" si="282"/>
        <v>8.0636948442018976</v>
      </c>
      <c r="O1397" s="4">
        <v>10.93</v>
      </c>
      <c r="P1397" s="14">
        <f t="shared" si="285"/>
        <v>8.2157052461547817</v>
      </c>
      <c r="Q1397" s="14">
        <f t="shared" si="283"/>
        <v>19.327902165733811</v>
      </c>
    </row>
    <row r="1398" spans="1:17" x14ac:dyDescent="0.25">
      <c r="A1398" s="5" t="s">
        <v>1455</v>
      </c>
      <c r="B1398" s="6">
        <f t="shared" si="284"/>
        <v>3</v>
      </c>
      <c r="C1398" s="70">
        <v>15.157848359999999</v>
      </c>
      <c r="D1398" s="4">
        <v>0</v>
      </c>
      <c r="E1398" s="12">
        <f t="shared" si="273"/>
        <v>0</v>
      </c>
      <c r="F1398" s="12">
        <f t="shared" si="274"/>
        <v>0</v>
      </c>
      <c r="G1398" s="16">
        <f t="shared" si="276"/>
        <v>7.5961502123215494</v>
      </c>
      <c r="H1398" s="14">
        <f t="shared" si="277"/>
        <v>0</v>
      </c>
      <c r="I1398" s="14">
        <f t="shared" si="278"/>
        <v>9.7694093899026253</v>
      </c>
      <c r="J1398" s="14">
        <f t="shared" si="279"/>
        <v>1.2036627127904616</v>
      </c>
      <c r="K1398" s="14">
        <f t="shared" si="280"/>
        <v>5.7209812545937515</v>
      </c>
      <c r="L1398" s="14">
        <f t="shared" si="281"/>
        <v>709.45844743698467</v>
      </c>
      <c r="M1398" s="14">
        <f t="shared" si="275"/>
        <v>0.29683739289800898</v>
      </c>
      <c r="N1398" s="14">
        <f t="shared" si="282"/>
        <v>7.5961513390914099</v>
      </c>
      <c r="O1398" s="4">
        <v>9.4600000000000009</v>
      </c>
      <c r="P1398" s="14">
        <f t="shared" si="285"/>
        <v>3.4739318307707476</v>
      </c>
      <c r="Q1398" s="14">
        <f t="shared" si="283"/>
        <v>8.5635302088372516</v>
      </c>
    </row>
    <row r="1399" spans="1:17" x14ac:dyDescent="0.25">
      <c r="A1399" s="5" t="s">
        <v>1456</v>
      </c>
      <c r="B1399" s="6">
        <f t="shared" si="284"/>
        <v>3</v>
      </c>
      <c r="C1399" s="70">
        <v>17.32717323</v>
      </c>
      <c r="D1399" s="4">
        <v>0</v>
      </c>
      <c r="E1399" s="12">
        <f t="shared" si="273"/>
        <v>0</v>
      </c>
      <c r="F1399" s="12">
        <f t="shared" si="274"/>
        <v>0</v>
      </c>
      <c r="G1399" s="16">
        <f t="shared" si="276"/>
        <v>6.087981765044022</v>
      </c>
      <c r="H1399" s="14">
        <f t="shared" si="277"/>
        <v>0</v>
      </c>
      <c r="I1399" s="14">
        <f t="shared" si="278"/>
        <v>14.18055563380037</v>
      </c>
      <c r="J1399" s="14">
        <f t="shared" si="279"/>
        <v>1.508168447277527</v>
      </c>
      <c r="K1399" s="14">
        <f t="shared" si="280"/>
        <v>5.2935729664949376</v>
      </c>
      <c r="L1399" s="14">
        <f t="shared" si="281"/>
        <v>709.58901833218556</v>
      </c>
      <c r="M1399" s="14">
        <f t="shared" si="275"/>
        <v>0.28017797205800338</v>
      </c>
      <c r="N1399" s="14">
        <f t="shared" si="282"/>
        <v>7.169832132178767</v>
      </c>
      <c r="O1399" s="4">
        <v>9.07</v>
      </c>
      <c r="P1399" s="14">
        <f t="shared" si="285"/>
        <v>3.6106379259002916</v>
      </c>
      <c r="Q1399" s="14">
        <f t="shared" si="283"/>
        <v>6.4330764243544856</v>
      </c>
    </row>
    <row r="1400" spans="1:17" x14ac:dyDescent="0.25">
      <c r="A1400" s="5" t="s">
        <v>1457</v>
      </c>
      <c r="B1400" s="6">
        <f t="shared" si="284"/>
        <v>3</v>
      </c>
      <c r="C1400" s="70">
        <v>18.42891693</v>
      </c>
      <c r="D1400" s="4">
        <v>9.6999999999999993</v>
      </c>
      <c r="E1400" s="12">
        <f t="shared" si="273"/>
        <v>0</v>
      </c>
      <c r="F1400" s="12">
        <f t="shared" si="274"/>
        <v>9.6999999999999993</v>
      </c>
      <c r="G1400" s="16">
        <f t="shared" si="276"/>
        <v>13.365800623503018</v>
      </c>
      <c r="H1400" s="14">
        <f t="shared" si="277"/>
        <v>1.022489542981976</v>
      </c>
      <c r="I1400" s="14">
        <f t="shared" si="278"/>
        <v>16.420862123253468</v>
      </c>
      <c r="J1400" s="14">
        <f t="shared" si="279"/>
        <v>1.3996915985590277</v>
      </c>
      <c r="K1400" s="14">
        <f t="shared" si="280"/>
        <v>5.9263872969095273</v>
      </c>
      <c r="L1400" s="14">
        <f t="shared" si="281"/>
        <v>709.69851557269499</v>
      </c>
      <c r="M1400" s="14">
        <f t="shared" si="275"/>
        <v>0.30490817029820755</v>
      </c>
      <c r="N1400" s="14">
        <f t="shared" si="282"/>
        <v>7.8026847746451029</v>
      </c>
      <c r="O1400" s="4">
        <v>9.2799999999999994</v>
      </c>
      <c r="P1400" s="14">
        <f t="shared" si="285"/>
        <v>2.1824602750653885</v>
      </c>
      <c r="Q1400" s="14">
        <f t="shared" si="283"/>
        <v>7.5424438467682755</v>
      </c>
    </row>
    <row r="1401" spans="1:17" x14ac:dyDescent="0.25">
      <c r="A1401" s="5" t="s">
        <v>1458</v>
      </c>
      <c r="B1401" s="6">
        <f t="shared" si="284"/>
        <v>3</v>
      </c>
      <c r="C1401" s="70">
        <v>18.68962097</v>
      </c>
      <c r="D1401" s="4">
        <v>1.2</v>
      </c>
      <c r="E1401" s="12">
        <f t="shared" si="273"/>
        <v>0</v>
      </c>
      <c r="F1401" s="12">
        <f t="shared" si="274"/>
        <v>1.2</v>
      </c>
      <c r="G1401" s="16">
        <f t="shared" si="276"/>
        <v>11.201295159567415</v>
      </c>
      <c r="H1401" s="14">
        <f t="shared" si="277"/>
        <v>0.19236130150934722</v>
      </c>
      <c r="I1401" s="14">
        <f t="shared" si="278"/>
        <v>16.950982651865196</v>
      </c>
      <c r="J1401" s="14">
        <f t="shared" si="279"/>
        <v>3.1721441624262559</v>
      </c>
      <c r="K1401" s="14">
        <f t="shared" si="280"/>
        <v>5.673206357551412</v>
      </c>
      <c r="L1401" s="14">
        <f t="shared" si="281"/>
        <v>709.83914964326425</v>
      </c>
      <c r="M1401" s="14">
        <f t="shared" si="275"/>
        <v>0.2950532247154346</v>
      </c>
      <c r="N1401" s="14">
        <f t="shared" si="282"/>
        <v>7.5504939796970589</v>
      </c>
      <c r="O1401" s="4">
        <v>7.93</v>
      </c>
      <c r="P1401" s="14">
        <f t="shared" si="285"/>
        <v>0.14402481944617609</v>
      </c>
      <c r="Q1401" s="14">
        <f t="shared" si="283"/>
        <v>1.9497961312510239</v>
      </c>
    </row>
    <row r="1402" spans="1:17" x14ac:dyDescent="0.25">
      <c r="A1402" s="5" t="s">
        <v>1459</v>
      </c>
      <c r="B1402" s="6">
        <f t="shared" si="284"/>
        <v>3</v>
      </c>
      <c r="C1402" s="70">
        <v>18.205886840000002</v>
      </c>
      <c r="D1402" s="4">
        <v>0</v>
      </c>
      <c r="E1402" s="12">
        <f t="shared" si="273"/>
        <v>0</v>
      </c>
      <c r="F1402" s="12">
        <f t="shared" si="274"/>
        <v>0</v>
      </c>
      <c r="G1402" s="16">
        <f t="shared" si="276"/>
        <v>8.69712345368273</v>
      </c>
      <c r="H1402" s="14">
        <f t="shared" si="277"/>
        <v>0</v>
      </c>
      <c r="I1402" s="14">
        <f t="shared" si="278"/>
        <v>15.96734851752983</v>
      </c>
      <c r="J1402" s="14">
        <f t="shared" si="279"/>
        <v>2.5041717058846849</v>
      </c>
      <c r="K1402" s="14">
        <f t="shared" si="280"/>
        <v>5.2500158018850307</v>
      </c>
      <c r="L1402" s="14">
        <f t="shared" si="281"/>
        <v>709.9672869742152</v>
      </c>
      <c r="M1402" s="14">
        <f t="shared" si="275"/>
        <v>0.27855795773857744</v>
      </c>
      <c r="N1402" s="14">
        <f t="shared" si="282"/>
        <v>7.1283755157406796</v>
      </c>
      <c r="O1402" s="4">
        <v>7.3</v>
      </c>
      <c r="P1402" s="14">
        <f t="shared" si="285"/>
        <v>2.9454963597277648E-2</v>
      </c>
      <c r="Q1402" s="14">
        <f t="shared" si="283"/>
        <v>0.58729386400963923</v>
      </c>
    </row>
    <row r="1403" spans="1:17" x14ac:dyDescent="0.25">
      <c r="A1403" s="5" t="s">
        <v>1460</v>
      </c>
      <c r="B1403" s="6">
        <f t="shared" si="284"/>
        <v>3</v>
      </c>
      <c r="C1403" s="70">
        <v>17.60571861</v>
      </c>
      <c r="D1403" s="4">
        <v>2.7</v>
      </c>
      <c r="E1403" s="12">
        <f t="shared" si="273"/>
        <v>0</v>
      </c>
      <c r="F1403" s="12">
        <f t="shared" si="274"/>
        <v>2.7</v>
      </c>
      <c r="G1403" s="16">
        <f t="shared" si="276"/>
        <v>9.2571844819701568</v>
      </c>
      <c r="H1403" s="14">
        <f t="shared" si="277"/>
        <v>0.3442089206584103</v>
      </c>
      <c r="I1403" s="14">
        <f t="shared" si="278"/>
        <v>14.746955080805314</v>
      </c>
      <c r="J1403" s="14">
        <f t="shared" si="279"/>
        <v>1.7957300510541634</v>
      </c>
      <c r="K1403" s="14">
        <f t="shared" si="280"/>
        <v>5.2083948864648226</v>
      </c>
      <c r="L1403" s="14">
        <f t="shared" si="281"/>
        <v>710.07455885255524</v>
      </c>
      <c r="M1403" s="14">
        <f t="shared" si="275"/>
        <v>0.27695581053264817</v>
      </c>
      <c r="N1403" s="14">
        <f t="shared" si="282"/>
        <v>7.0873761237000599</v>
      </c>
      <c r="O1403" s="4">
        <v>6.35</v>
      </c>
      <c r="P1403" s="14">
        <f t="shared" si="285"/>
        <v>0.54372354780292653</v>
      </c>
      <c r="Q1403" s="14">
        <f t="shared" si="283"/>
        <v>3.3726953090090377E-2</v>
      </c>
    </row>
    <row r="1404" spans="1:17" x14ac:dyDescent="0.25">
      <c r="A1404" s="5" t="s">
        <v>1461</v>
      </c>
      <c r="B1404" s="6">
        <f t="shared" si="284"/>
        <v>3</v>
      </c>
      <c r="C1404" s="70">
        <v>19.01867867</v>
      </c>
      <c r="D1404" s="4">
        <v>0.5</v>
      </c>
      <c r="E1404" s="12">
        <f t="shared" si="273"/>
        <v>0</v>
      </c>
      <c r="F1404" s="12">
        <f t="shared" si="274"/>
        <v>0.5</v>
      </c>
      <c r="G1404" s="16">
        <f t="shared" si="276"/>
        <v>7.4075272156203287</v>
      </c>
      <c r="H1404" s="14">
        <f t="shared" si="277"/>
        <v>6.5898550699521968E-2</v>
      </c>
      <c r="I1404" s="14">
        <f t="shared" si="278"/>
        <v>17.620094806275077</v>
      </c>
      <c r="J1404" s="14">
        <f t="shared" si="279"/>
        <v>2.2837587156503059</v>
      </c>
      <c r="K1404" s="14">
        <f t="shared" si="280"/>
        <v>4.8921380388282039</v>
      </c>
      <c r="L1404" s="14">
        <f t="shared" si="281"/>
        <v>710.17975844035868</v>
      </c>
      <c r="M1404" s="14">
        <f t="shared" si="275"/>
        <v>0.2646306534884415</v>
      </c>
      <c r="N1404" s="14">
        <f t="shared" si="282"/>
        <v>6.7719719312840772</v>
      </c>
      <c r="O1404" s="4">
        <v>5.81</v>
      </c>
      <c r="P1404" s="14">
        <f t="shared" si="285"/>
        <v>0.92538999657841803</v>
      </c>
      <c r="Q1404" s="14">
        <f t="shared" si="283"/>
        <v>0.52366786688318911</v>
      </c>
    </row>
    <row r="1405" spans="1:17" x14ac:dyDescent="0.25">
      <c r="A1405" s="5" t="s">
        <v>1462</v>
      </c>
      <c r="B1405" s="6">
        <f t="shared" si="284"/>
        <v>3</v>
      </c>
      <c r="C1405" s="70">
        <v>19.1417942</v>
      </c>
      <c r="D1405" s="4">
        <v>0</v>
      </c>
      <c r="E1405" s="12">
        <f t="shared" si="273"/>
        <v>0</v>
      </c>
      <c r="F1405" s="12">
        <f t="shared" si="274"/>
        <v>0</v>
      </c>
      <c r="G1405" s="16">
        <f t="shared" si="276"/>
        <v>5.554116942322505</v>
      </c>
      <c r="H1405" s="14">
        <f t="shared" si="277"/>
        <v>0</v>
      </c>
      <c r="I1405" s="14">
        <f t="shared" si="278"/>
        <v>17.87044025486848</v>
      </c>
      <c r="J1405" s="14">
        <f t="shared" si="279"/>
        <v>1.8534102732978239</v>
      </c>
      <c r="K1405" s="14">
        <f t="shared" si="280"/>
        <v>4.5379028840893163</v>
      </c>
      <c r="L1405" s="14">
        <f t="shared" si="281"/>
        <v>710.26936294160907</v>
      </c>
      <c r="M1405" s="14">
        <f t="shared" si="275"/>
        <v>0.25081939308091811</v>
      </c>
      <c r="N1405" s="14">
        <f t="shared" si="282"/>
        <v>6.4185379409943275</v>
      </c>
      <c r="O1405" s="4">
        <v>5.35</v>
      </c>
      <c r="P1405" s="14">
        <f t="shared" si="285"/>
        <v>1.1417733313443976</v>
      </c>
      <c r="Q1405" s="14">
        <f t="shared" si="283"/>
        <v>1.4010249415958287</v>
      </c>
    </row>
    <row r="1406" spans="1:17" x14ac:dyDescent="0.25">
      <c r="A1406" s="5" t="s">
        <v>1463</v>
      </c>
      <c r="B1406" s="6">
        <f t="shared" si="284"/>
        <v>3</v>
      </c>
      <c r="C1406" s="70">
        <v>17.456443790000002</v>
      </c>
      <c r="D1406" s="4">
        <v>0</v>
      </c>
      <c r="E1406" s="12">
        <f t="shared" si="273"/>
        <v>0</v>
      </c>
      <c r="F1406" s="12">
        <f t="shared" si="274"/>
        <v>0</v>
      </c>
      <c r="G1406" s="16">
        <f t="shared" si="276"/>
        <v>4.4309404039378624</v>
      </c>
      <c r="H1406" s="14">
        <f t="shared" si="277"/>
        <v>0</v>
      </c>
      <c r="I1406" s="14">
        <f t="shared" si="278"/>
        <v>14.443416836876221</v>
      </c>
      <c r="J1406" s="14">
        <f t="shared" si="279"/>
        <v>1.123176538384643</v>
      </c>
      <c r="K1406" s="14">
        <f t="shared" si="280"/>
        <v>4.2149408286838677</v>
      </c>
      <c r="L1406" s="14">
        <f t="shared" si="281"/>
        <v>710.34150560393357</v>
      </c>
      <c r="M1406" s="14">
        <f t="shared" si="275"/>
        <v>0.23822540363288464</v>
      </c>
      <c r="N1406" s="14">
        <f t="shared" si="282"/>
        <v>6.0962542526887491</v>
      </c>
      <c r="O1406" s="4">
        <v>4.6900000000000004</v>
      </c>
      <c r="P1406" s="14">
        <f t="shared" si="285"/>
        <v>1.9775510232051912</v>
      </c>
      <c r="Q1406" s="14">
        <f t="shared" si="283"/>
        <v>3.3990416140096134</v>
      </c>
    </row>
    <row r="1407" spans="1:17" x14ac:dyDescent="0.25">
      <c r="A1407" s="5" t="s">
        <v>1464</v>
      </c>
      <c r="B1407" s="6">
        <f t="shared" si="284"/>
        <v>3</v>
      </c>
      <c r="C1407" s="70">
        <v>18.340105059999999</v>
      </c>
      <c r="D1407" s="4">
        <v>0</v>
      </c>
      <c r="E1407" s="12">
        <f t="shared" si="273"/>
        <v>0</v>
      </c>
      <c r="F1407" s="12">
        <f t="shared" si="274"/>
        <v>0</v>
      </c>
      <c r="G1407" s="16">
        <f t="shared" si="276"/>
        <v>3.4234237753648342</v>
      </c>
      <c r="H1407" s="14">
        <f t="shared" si="277"/>
        <v>0</v>
      </c>
      <c r="I1407" s="14">
        <f t="shared" si="278"/>
        <v>16.240270386081324</v>
      </c>
      <c r="J1407" s="14">
        <f t="shared" si="279"/>
        <v>1.0075166285730279</v>
      </c>
      <c r="K1407" s="14">
        <f t="shared" si="280"/>
        <v>3.9204909757081046</v>
      </c>
      <c r="L1407" s="14">
        <f t="shared" si="281"/>
        <v>710.39773005327652</v>
      </c>
      <c r="M1407" s="14">
        <f t="shared" si="275"/>
        <v>0.22674122070558311</v>
      </c>
      <c r="N1407" s="14">
        <f t="shared" si="282"/>
        <v>5.8023708215282896</v>
      </c>
      <c r="O1407" s="4">
        <v>4.5999999999999996</v>
      </c>
      <c r="P1407" s="14">
        <f t="shared" si="285"/>
        <v>1.4456955924626149</v>
      </c>
      <c r="Q1407" s="14">
        <f t="shared" si="283"/>
        <v>3.7389984329751327</v>
      </c>
    </row>
    <row r="1408" spans="1:17" x14ac:dyDescent="0.25">
      <c r="A1408" s="5" t="s">
        <v>1465</v>
      </c>
      <c r="B1408" s="6">
        <f t="shared" si="284"/>
        <v>3</v>
      </c>
      <c r="C1408" s="70">
        <v>17.113420489999999</v>
      </c>
      <c r="D1408" s="4">
        <v>6.5</v>
      </c>
      <c r="E1408" s="12">
        <f t="shared" si="273"/>
        <v>0</v>
      </c>
      <c r="F1408" s="12">
        <f t="shared" si="274"/>
        <v>6.5</v>
      </c>
      <c r="G1408" s="16">
        <f t="shared" si="276"/>
        <v>8.7604419000009877</v>
      </c>
      <c r="H1408" s="14">
        <f t="shared" si="277"/>
        <v>0.50411584830506684</v>
      </c>
      <c r="I1408" s="14">
        <f t="shared" si="278"/>
        <v>13.745906767135299</v>
      </c>
      <c r="J1408" s="14">
        <f t="shared" si="279"/>
        <v>0.65886602705877995</v>
      </c>
      <c r="K1408" s="14">
        <f t="shared" si="280"/>
        <v>4.1561520180496538</v>
      </c>
      <c r="L1408" s="14">
        <f t="shared" si="281"/>
        <v>710.4394436385345</v>
      </c>
      <c r="M1408" s="14">
        <f t="shared" si="275"/>
        <v>0.23595098458080385</v>
      </c>
      <c r="N1408" s="14">
        <f t="shared" si="282"/>
        <v>6.0380512373629323</v>
      </c>
      <c r="O1408" s="4">
        <v>4.32</v>
      </c>
      <c r="P1408" s="14">
        <f t="shared" si="285"/>
        <v>2.9517000542043017</v>
      </c>
      <c r="Q1408" s="14">
        <f t="shared" si="283"/>
        <v>4.9002418697567363</v>
      </c>
    </row>
    <row r="1409" spans="1:17" x14ac:dyDescent="0.25">
      <c r="A1409" s="5" t="s">
        <v>1466</v>
      </c>
      <c r="B1409" s="6">
        <f t="shared" si="284"/>
        <v>3</v>
      </c>
      <c r="C1409" s="70">
        <v>16.27822304</v>
      </c>
      <c r="D1409" s="4">
        <v>0</v>
      </c>
      <c r="E1409" s="12">
        <f t="shared" si="273"/>
        <v>0</v>
      </c>
      <c r="F1409" s="12">
        <f t="shared" si="274"/>
        <v>0</v>
      </c>
      <c r="G1409" s="16">
        <f t="shared" si="276"/>
        <v>7.2827304834788968</v>
      </c>
      <c r="H1409" s="14">
        <f t="shared" si="277"/>
        <v>0</v>
      </c>
      <c r="I1409" s="14">
        <f t="shared" si="278"/>
        <v>12.047600466668431</v>
      </c>
      <c r="J1409" s="14">
        <f t="shared" si="279"/>
        <v>1.4777114165220908</v>
      </c>
      <c r="K1409" s="14">
        <f t="shared" si="280"/>
        <v>3.8668922437266264</v>
      </c>
      <c r="L1409" s="14">
        <f t="shared" si="281"/>
        <v>710.49275242827673</v>
      </c>
      <c r="M1409" s="14">
        <f t="shared" si="275"/>
        <v>0.22466881598109303</v>
      </c>
      <c r="N1409" s="14">
        <f t="shared" si="282"/>
        <v>5.74933740896061</v>
      </c>
      <c r="O1409" s="4">
        <v>5.87</v>
      </c>
      <c r="P1409" s="14">
        <f t="shared" si="285"/>
        <v>1.4559460876339114E-2</v>
      </c>
      <c r="Q1409" s="14">
        <f t="shared" si="283"/>
        <v>0.44042998757284418</v>
      </c>
    </row>
    <row r="1410" spans="1:17" x14ac:dyDescent="0.25">
      <c r="A1410" s="5" t="s">
        <v>1467</v>
      </c>
      <c r="B1410" s="6">
        <f t="shared" si="284"/>
        <v>3</v>
      </c>
      <c r="C1410" s="70">
        <v>18.19293785</v>
      </c>
      <c r="D1410" s="4">
        <v>7.9</v>
      </c>
      <c r="E1410" s="12">
        <f t="shared" si="273"/>
        <v>0</v>
      </c>
      <c r="F1410" s="12">
        <f t="shared" si="274"/>
        <v>7.9</v>
      </c>
      <c r="G1410" s="16">
        <f t="shared" si="276"/>
        <v>12.641067473865492</v>
      </c>
      <c r="H1410" s="14">
        <f t="shared" si="277"/>
        <v>0.91621402716570866</v>
      </c>
      <c r="I1410" s="14">
        <f t="shared" si="278"/>
        <v>15.941017796211552</v>
      </c>
      <c r="J1410" s="14">
        <f t="shared" si="279"/>
        <v>1.6254489824476963</v>
      </c>
      <c r="K1410" s="14">
        <f t="shared" si="280"/>
        <v>4.5193833455651111</v>
      </c>
      <c r="L1410" s="14">
        <f t="shared" si="281"/>
        <v>710.53180653762286</v>
      </c>
      <c r="M1410" s="14">
        <f t="shared" si="275"/>
        <v>0.25015224510344602</v>
      </c>
      <c r="N1410" s="14">
        <f t="shared" si="282"/>
        <v>6.4014654389319343</v>
      </c>
      <c r="O1410" s="4">
        <v>6.62</v>
      </c>
      <c r="P1410" s="14">
        <f t="shared" si="285"/>
        <v>4.7757354381212175E-2</v>
      </c>
      <c r="Q1410" s="14">
        <f t="shared" si="283"/>
        <v>7.4564961935410998E-3</v>
      </c>
    </row>
    <row r="1411" spans="1:17" x14ac:dyDescent="0.25">
      <c r="A1411" s="5" t="s">
        <v>1468</v>
      </c>
      <c r="B1411" s="6">
        <f t="shared" si="284"/>
        <v>3</v>
      </c>
      <c r="C1411" s="70">
        <v>16.73950958</v>
      </c>
      <c r="D1411" s="4">
        <v>12.8</v>
      </c>
      <c r="E1411" s="12">
        <f t="shared" si="273"/>
        <v>0</v>
      </c>
      <c r="F1411" s="12">
        <f t="shared" si="274"/>
        <v>12.8</v>
      </c>
      <c r="G1411" s="16">
        <f t="shared" si="276"/>
        <v>21.150981954891193</v>
      </c>
      <c r="H1411" s="14">
        <f t="shared" si="277"/>
        <v>1.9917762469639744</v>
      </c>
      <c r="I1411" s="14">
        <f t="shared" si="278"/>
        <v>12.985589246689925</v>
      </c>
      <c r="J1411" s="14">
        <f t="shared" si="279"/>
        <v>2.2983092720103278</v>
      </c>
      <c r="K1411" s="14">
        <f t="shared" si="280"/>
        <v>6.1898325057599486</v>
      </c>
      <c r="L1411" s="14">
        <f t="shared" si="281"/>
        <v>710.60298137928862</v>
      </c>
      <c r="M1411" s="14">
        <f t="shared" si="275"/>
        <v>0.3153864964244808</v>
      </c>
      <c r="N1411" s="14">
        <f t="shared" si="282"/>
        <v>8.0708280508625823</v>
      </c>
      <c r="O1411" s="4">
        <v>10.15</v>
      </c>
      <c r="P1411" s="14">
        <f t="shared" si="285"/>
        <v>4.3229559940798907</v>
      </c>
      <c r="Q1411" s="14">
        <f t="shared" si="283"/>
        <v>13.07799459676829</v>
      </c>
    </row>
    <row r="1412" spans="1:17" x14ac:dyDescent="0.25">
      <c r="A1412" s="5" t="s">
        <v>1469</v>
      </c>
      <c r="B1412" s="6">
        <f t="shared" si="284"/>
        <v>3</v>
      </c>
      <c r="C1412" s="70">
        <v>17.255399700000002</v>
      </c>
      <c r="D1412" s="4">
        <v>5.0999999999999996</v>
      </c>
      <c r="E1412" s="12">
        <f t="shared" si="273"/>
        <v>0</v>
      </c>
      <c r="F1412" s="12">
        <f t="shared" si="274"/>
        <v>5.0999999999999996</v>
      </c>
      <c r="G1412" s="16">
        <f t="shared" si="276"/>
        <v>21.050655201327277</v>
      </c>
      <c r="H1412" s="14">
        <f t="shared" si="277"/>
        <v>1.0441506485372278</v>
      </c>
      <c r="I1412" s="14">
        <f t="shared" si="278"/>
        <v>14.034609979625127</v>
      </c>
      <c r="J1412" s="14">
        <f t="shared" si="279"/>
        <v>4.1561761050266881</v>
      </c>
      <c r="K1412" s="14">
        <f t="shared" si="280"/>
        <v>6.7651830631709755</v>
      </c>
      <c r="L1412" s="14">
        <f t="shared" si="281"/>
        <v>710.75639497399038</v>
      </c>
      <c r="M1412" s="14">
        <f t="shared" si="275"/>
        <v>0.33788250078856008</v>
      </c>
      <c r="N1412" s="14">
        <f t="shared" si="282"/>
        <v>8.646507051429472</v>
      </c>
      <c r="O1412" s="4">
        <v>9.43</v>
      </c>
      <c r="P1412" s="14">
        <f t="shared" si="285"/>
        <v>0.61386120045973969</v>
      </c>
      <c r="Q1412" s="14">
        <f t="shared" si="283"/>
        <v>8.388849148492417</v>
      </c>
    </row>
    <row r="1413" spans="1:17" x14ac:dyDescent="0.25">
      <c r="A1413" s="5" t="s">
        <v>1470</v>
      </c>
      <c r="B1413" s="6">
        <f t="shared" si="284"/>
        <v>3</v>
      </c>
      <c r="C1413" s="70">
        <v>18.20281219</v>
      </c>
      <c r="D1413" s="4">
        <v>11.9</v>
      </c>
      <c r="E1413" s="12">
        <f t="shared" si="273"/>
        <v>0</v>
      </c>
      <c r="F1413" s="12">
        <f t="shared" si="274"/>
        <v>11.9</v>
      </c>
      <c r="G1413" s="16">
        <f t="shared" si="276"/>
        <v>25.81620987221617</v>
      </c>
      <c r="H1413" s="14">
        <f t="shared" si="277"/>
        <v>2.4301844440543703</v>
      </c>
      <c r="I1413" s="14">
        <f t="shared" si="278"/>
        <v>15.961096466033823</v>
      </c>
      <c r="J1413" s="14">
        <f t="shared" si="279"/>
        <v>4.7042608850567422</v>
      </c>
      <c r="K1413" s="14">
        <f t="shared" si="280"/>
        <v>8.6757734875667634</v>
      </c>
      <c r="L1413" s="14">
        <f t="shared" si="281"/>
        <v>710.93810649286047</v>
      </c>
      <c r="M1413" s="14">
        <f t="shared" si="275"/>
        <v>0.41251609775753328</v>
      </c>
      <c r="N1413" s="14">
        <f t="shared" si="282"/>
        <v>10.556401529420208</v>
      </c>
      <c r="O1413" s="4">
        <v>7.99</v>
      </c>
      <c r="P1413" s="14">
        <f t="shared" si="285"/>
        <v>6.5864168102103831</v>
      </c>
      <c r="Q1413" s="14">
        <f t="shared" si="283"/>
        <v>2.1209582519406811</v>
      </c>
    </row>
    <row r="1414" spans="1:17" x14ac:dyDescent="0.25">
      <c r="A1414" s="5" t="s">
        <v>1471</v>
      </c>
      <c r="B1414" s="6">
        <f t="shared" si="284"/>
        <v>3</v>
      </c>
      <c r="C1414" s="70">
        <v>19.82514381</v>
      </c>
      <c r="D1414" s="4">
        <v>4.2</v>
      </c>
      <c r="E1414" s="12">
        <f t="shared" si="273"/>
        <v>0</v>
      </c>
      <c r="F1414" s="12">
        <f t="shared" si="274"/>
        <v>4.2</v>
      </c>
      <c r="G1414" s="16">
        <f t="shared" si="276"/>
        <v>22.09829564678558</v>
      </c>
      <c r="H1414" s="14">
        <f t="shared" si="277"/>
        <v>0.95627858576363756</v>
      </c>
      <c r="I1414" s="14">
        <f t="shared" si="278"/>
        <v>19.259976283845315</v>
      </c>
      <c r="J1414" s="14">
        <f t="shared" si="279"/>
        <v>6.9616356396669499</v>
      </c>
      <c r="K1414" s="14">
        <f t="shared" si="280"/>
        <v>8.9437845515410395</v>
      </c>
      <c r="L1414" s="14">
        <f t="shared" si="281"/>
        <v>711.21385791689238</v>
      </c>
      <c r="M1414" s="14">
        <f t="shared" si="275"/>
        <v>0.42303875486766007</v>
      </c>
      <c r="N1414" s="14">
        <f t="shared" si="282"/>
        <v>10.825679247828663</v>
      </c>
      <c r="O1414" s="4">
        <v>8.76</v>
      </c>
      <c r="P1414" s="14">
        <f t="shared" si="285"/>
        <v>4.2670307549099933</v>
      </c>
      <c r="Q1414" s="14">
        <f t="shared" si="283"/>
        <v>4.9566388007912616</v>
      </c>
    </row>
    <row r="1415" spans="1:17" x14ac:dyDescent="0.25">
      <c r="A1415" s="5" t="s">
        <v>1472</v>
      </c>
      <c r="B1415" s="6">
        <f t="shared" si="284"/>
        <v>3</v>
      </c>
      <c r="C1415" s="70">
        <v>19.051019669999999</v>
      </c>
      <c r="D1415" s="4">
        <v>7.5</v>
      </c>
      <c r="E1415" s="12">
        <f t="shared" si="273"/>
        <v>0</v>
      </c>
      <c r="F1415" s="12">
        <f t="shared" si="274"/>
        <v>7.5</v>
      </c>
      <c r="G1415" s="16">
        <f t="shared" si="276"/>
        <v>22.554471903434774</v>
      </c>
      <c r="H1415" s="14">
        <f t="shared" si="277"/>
        <v>1.5718001406835198</v>
      </c>
      <c r="I1415" s="14">
        <f t="shared" si="278"/>
        <v>17.685857607710108</v>
      </c>
      <c r="J1415" s="14">
        <f t="shared" si="279"/>
        <v>5.472023602667285</v>
      </c>
      <c r="K1415" s="14">
        <f t="shared" si="280"/>
        <v>9.8036562307627744</v>
      </c>
      <c r="L1415" s="14">
        <f t="shared" si="281"/>
        <v>711.50274762348647</v>
      </c>
      <c r="M1415" s="14">
        <f t="shared" si="275"/>
        <v>0.45667213358939296</v>
      </c>
      <c r="N1415" s="14">
        <f t="shared" si="282"/>
        <v>11.686366751923007</v>
      </c>
      <c r="O1415" s="4">
        <v>12.23</v>
      </c>
      <c r="P1415" s="14">
        <f t="shared" si="285"/>
        <v>0.2955371084147419</v>
      </c>
      <c r="Q1415" s="14">
        <f t="shared" si="283"/>
        <v>32.448414780676359</v>
      </c>
    </row>
    <row r="1416" spans="1:17" x14ac:dyDescent="0.25">
      <c r="A1416" s="5" t="s">
        <v>1473</v>
      </c>
      <c r="B1416" s="6">
        <f t="shared" si="284"/>
        <v>3</v>
      </c>
      <c r="C1416" s="70">
        <v>17.05301094</v>
      </c>
      <c r="D1416" s="4">
        <v>4.0999999999999996</v>
      </c>
      <c r="E1416" s="12">
        <f t="shared" si="273"/>
        <v>0</v>
      </c>
      <c r="F1416" s="12">
        <f t="shared" si="274"/>
        <v>4.0999999999999996</v>
      </c>
      <c r="G1416" s="16">
        <f t="shared" si="276"/>
        <v>21.483808567885458</v>
      </c>
      <c r="H1416" s="14">
        <f t="shared" si="277"/>
        <v>0.8686606960683223</v>
      </c>
      <c r="I1416" s="14">
        <f t="shared" si="278"/>
        <v>13.623068844948914</v>
      </c>
      <c r="J1416" s="14">
        <f t="shared" si="279"/>
        <v>4.3020026394809969</v>
      </c>
      <c r="K1416" s="14">
        <f t="shared" si="280"/>
        <v>9.8844760324033238</v>
      </c>
      <c r="L1416" s="14">
        <f t="shared" si="281"/>
        <v>711.83391638432488</v>
      </c>
      <c r="M1416" s="14">
        <f t="shared" si="275"/>
        <v>0.45989811646340023</v>
      </c>
      <c r="N1416" s="14">
        <f t="shared" si="282"/>
        <v>11.768920549775208</v>
      </c>
      <c r="O1416" s="4">
        <v>13.38</v>
      </c>
      <c r="P1416" s="14">
        <f t="shared" si="285"/>
        <v>2.5955769949366205</v>
      </c>
      <c r="Q1416" s="14">
        <f t="shared" si="283"/>
        <v>46.872522093894766</v>
      </c>
    </row>
    <row r="1417" spans="1:17" x14ac:dyDescent="0.25">
      <c r="A1417" s="5" t="s">
        <v>1474</v>
      </c>
      <c r="B1417" s="6">
        <f t="shared" si="284"/>
        <v>3</v>
      </c>
      <c r="C1417" s="70">
        <v>19.108837130000001</v>
      </c>
      <c r="D1417" s="4">
        <v>8.6999999999999993</v>
      </c>
      <c r="E1417" s="12">
        <f t="shared" si="273"/>
        <v>0</v>
      </c>
      <c r="F1417" s="12">
        <f t="shared" si="274"/>
        <v>8.6999999999999993</v>
      </c>
      <c r="G1417" s="16">
        <f t="shared" si="276"/>
        <v>23.032497184188959</v>
      </c>
      <c r="H1417" s="14">
        <f t="shared" si="277"/>
        <v>1.7960843809380793</v>
      </c>
      <c r="I1417" s="14">
        <f t="shared" si="278"/>
        <v>17.803424725036674</v>
      </c>
      <c r="J1417" s="14">
        <f t="shared" si="279"/>
        <v>5.3552270027584177</v>
      </c>
      <c r="K1417" s="14">
        <f t="shared" si="280"/>
        <v>10.885584468507139</v>
      </c>
      <c r="L1417" s="14">
        <f t="shared" si="281"/>
        <v>712.16899421269568</v>
      </c>
      <c r="M1417" s="14">
        <f t="shared" si="275"/>
        <v>0.4990556194283578</v>
      </c>
      <c r="N1417" s="14">
        <f t="shared" si="282"/>
        <v>12.770971927732626</v>
      </c>
      <c r="O1417" s="4">
        <v>12.83</v>
      </c>
      <c r="P1417" s="14">
        <f t="shared" si="285"/>
        <v>3.4843133156023209E-3</v>
      </c>
      <c r="Q1417" s="14">
        <f t="shared" si="283"/>
        <v>39.644035987572913</v>
      </c>
    </row>
    <row r="1418" spans="1:17" x14ac:dyDescent="0.25">
      <c r="A1418" s="5" t="s">
        <v>1475</v>
      </c>
      <c r="B1418" s="6">
        <f t="shared" si="284"/>
        <v>3</v>
      </c>
      <c r="C1418" s="70">
        <v>19.175258639999999</v>
      </c>
      <c r="D1418" s="4">
        <v>4.9000000000000004</v>
      </c>
      <c r="E1418" s="12">
        <f t="shared" si="273"/>
        <v>0</v>
      </c>
      <c r="F1418" s="12">
        <f t="shared" si="274"/>
        <v>4.9000000000000004</v>
      </c>
      <c r="G1418" s="16">
        <f t="shared" si="276"/>
        <v>21.097849662363501</v>
      </c>
      <c r="H1418" s="14">
        <f t="shared" si="277"/>
        <v>1.0498267646141899</v>
      </c>
      <c r="I1418" s="14">
        <f t="shared" si="278"/>
        <v>17.93848748045998</v>
      </c>
      <c r="J1418" s="14">
        <f t="shared" si="279"/>
        <v>5.7848207572112722</v>
      </c>
      <c r="K1418" s="14">
        <f t="shared" si="280"/>
        <v>11.052053988049101</v>
      </c>
      <c r="L1418" s="14">
        <f t="shared" si="281"/>
        <v>712.55329583833952</v>
      </c>
      <c r="M1418" s="14">
        <f t="shared" si="275"/>
        <v>0.50563692976383734</v>
      </c>
      <c r="N1418" s="14">
        <f t="shared" si="282"/>
        <v>12.93938948735931</v>
      </c>
      <c r="O1418" s="4">
        <v>14.22</v>
      </c>
      <c r="P1418" s="14">
        <f t="shared" si="285"/>
        <v>1.6399632850858512</v>
      </c>
      <c r="Q1418" s="14">
        <f t="shared" si="283"/>
        <v>59.079991783549943</v>
      </c>
    </row>
    <row r="1419" spans="1:17" x14ac:dyDescent="0.25">
      <c r="A1419" s="5" t="s">
        <v>1476</v>
      </c>
      <c r="B1419" s="6">
        <f t="shared" si="284"/>
        <v>3</v>
      </c>
      <c r="C1419" s="70">
        <v>17.17993164</v>
      </c>
      <c r="D1419" s="4">
        <v>0</v>
      </c>
      <c r="E1419" s="12">
        <f t="shared" si="273"/>
        <v>0</v>
      </c>
      <c r="F1419" s="12">
        <f t="shared" si="274"/>
        <v>0</v>
      </c>
      <c r="G1419" s="16">
        <f t="shared" si="276"/>
        <v>16.997444655687261</v>
      </c>
      <c r="H1419" s="14">
        <f t="shared" si="277"/>
        <v>0</v>
      </c>
      <c r="I1419" s="14">
        <f t="shared" si="278"/>
        <v>13.881151798230995</v>
      </c>
      <c r="J1419" s="14">
        <f t="shared" si="279"/>
        <v>4.1004050066762412</v>
      </c>
      <c r="K1419" s="14">
        <f t="shared" si="280"/>
        <v>10.154000240523686</v>
      </c>
      <c r="L1419" s="14">
        <f t="shared" si="281"/>
        <v>712.94571265610102</v>
      </c>
      <c r="M1419" s="14">
        <f t="shared" si="275"/>
        <v>0.47065795096084184</v>
      </c>
      <c r="N1419" s="14">
        <f t="shared" si="282"/>
        <v>12.044267703407654</v>
      </c>
      <c r="O1419" s="4">
        <v>15.43</v>
      </c>
      <c r="P1419" s="14">
        <f t="shared" si="285"/>
        <v>11.463183184188482</v>
      </c>
      <c r="Q1419" s="14">
        <f t="shared" si="283"/>
        <v>79.145061217458007</v>
      </c>
    </row>
    <row r="1420" spans="1:17" x14ac:dyDescent="0.25">
      <c r="A1420" s="5" t="s">
        <v>1477</v>
      </c>
      <c r="B1420" s="6">
        <f t="shared" si="284"/>
        <v>3</v>
      </c>
      <c r="C1420" s="70">
        <v>16.029752729999998</v>
      </c>
      <c r="D1420" s="4">
        <v>0</v>
      </c>
      <c r="E1420" s="12">
        <f t="shared" si="273"/>
        <v>0</v>
      </c>
      <c r="F1420" s="12">
        <f t="shared" si="274"/>
        <v>0</v>
      </c>
      <c r="G1420" s="16">
        <f t="shared" si="276"/>
        <v>14.250555289985604</v>
      </c>
      <c r="H1420" s="14">
        <f t="shared" si="277"/>
        <v>0</v>
      </c>
      <c r="I1420" s="14">
        <f t="shared" si="278"/>
        <v>11.542356236155083</v>
      </c>
      <c r="J1420" s="14">
        <f t="shared" si="279"/>
        <v>2.7468893657016573</v>
      </c>
      <c r="K1420" s="14">
        <f t="shared" si="280"/>
        <v>9.3352297704409946</v>
      </c>
      <c r="L1420" s="14">
        <f t="shared" si="281"/>
        <v>713.29382517522288</v>
      </c>
      <c r="M1420" s="14">
        <f t="shared" si="275"/>
        <v>0.43876497894123168</v>
      </c>
      <c r="N1420" s="14">
        <f t="shared" si="282"/>
        <v>11.228117690266934</v>
      </c>
      <c r="O1420" s="4">
        <v>13.47</v>
      </c>
      <c r="P1420" s="14">
        <f t="shared" si="285"/>
        <v>5.0260362906940683</v>
      </c>
      <c r="Q1420" s="14">
        <f t="shared" si="283"/>
        <v>48.112965274929245</v>
      </c>
    </row>
    <row r="1421" spans="1:17" x14ac:dyDescent="0.25">
      <c r="A1421" s="5" t="s">
        <v>1478</v>
      </c>
      <c r="B1421" s="6">
        <f t="shared" si="284"/>
        <v>3</v>
      </c>
      <c r="C1421" s="70">
        <v>17.087108610000001</v>
      </c>
      <c r="D1421" s="4">
        <v>0</v>
      </c>
      <c r="E1421" s="12">
        <f t="shared" si="273"/>
        <v>0</v>
      </c>
      <c r="F1421" s="12">
        <f t="shared" si="274"/>
        <v>0</v>
      </c>
      <c r="G1421" s="16">
        <f t="shared" si="276"/>
        <v>11.518594004357523</v>
      </c>
      <c r="H1421" s="14">
        <f t="shared" si="277"/>
        <v>0</v>
      </c>
      <c r="I1421" s="14">
        <f t="shared" si="278"/>
        <v>13.692403692405934</v>
      </c>
      <c r="J1421" s="14">
        <f t="shared" si="279"/>
        <v>2.7319612856280813</v>
      </c>
      <c r="K1421" s="14">
        <f t="shared" si="280"/>
        <v>8.5887431770420193</v>
      </c>
      <c r="L1421" s="14">
        <f t="shared" si="281"/>
        <v>713.6015467896807</v>
      </c>
      <c r="M1421" s="14">
        <f t="shared" si="275"/>
        <v>0.40968557083733725</v>
      </c>
      <c r="N1421" s="14">
        <f t="shared" si="282"/>
        <v>10.483967559274914</v>
      </c>
      <c r="O1421" s="4">
        <v>11.03</v>
      </c>
      <c r="P1421" s="14">
        <f t="shared" si="285"/>
        <v>0.29815142632419367</v>
      </c>
      <c r="Q1421" s="14">
        <f t="shared" si="283"/>
        <v>20.217172366883233</v>
      </c>
    </row>
    <row r="1422" spans="1:17" x14ac:dyDescent="0.25">
      <c r="A1422" s="5" t="s">
        <v>1479</v>
      </c>
      <c r="B1422" s="6">
        <f t="shared" si="284"/>
        <v>3</v>
      </c>
      <c r="C1422" s="70">
        <v>17.946912770000001</v>
      </c>
      <c r="D1422" s="4">
        <v>0</v>
      </c>
      <c r="E1422" s="12">
        <f t="shared" si="273"/>
        <v>0</v>
      </c>
      <c r="F1422" s="12">
        <f t="shared" si="274"/>
        <v>0</v>
      </c>
      <c r="G1422" s="16">
        <f t="shared" si="276"/>
        <v>9.0284136592956141</v>
      </c>
      <c r="H1422" s="14">
        <f t="shared" si="277"/>
        <v>0</v>
      </c>
      <c r="I1422" s="14">
        <f t="shared" si="278"/>
        <v>15.4407457426548</v>
      </c>
      <c r="J1422" s="14">
        <f t="shared" si="279"/>
        <v>2.4901803450619084</v>
      </c>
      <c r="K1422" s="14">
        <f t="shared" si="280"/>
        <v>7.9081589907704615</v>
      </c>
      <c r="L1422" s="14">
        <f t="shared" si="281"/>
        <v>713.87244540511483</v>
      </c>
      <c r="M1422" s="14">
        <f t="shared" si="275"/>
        <v>0.38317133597595976</v>
      </c>
      <c r="N1422" s="14">
        <f t="shared" si="282"/>
        <v>9.8054609241070256</v>
      </c>
      <c r="O1422" s="4">
        <v>9.17</v>
      </c>
      <c r="P1422" s="14">
        <f t="shared" si="285"/>
        <v>0.40381058606695508</v>
      </c>
      <c r="Q1422" s="14">
        <f t="shared" si="283"/>
        <v>6.9503466255039097</v>
      </c>
    </row>
    <row r="1423" spans="1:17" x14ac:dyDescent="0.25">
      <c r="A1423" s="5" t="s">
        <v>1480</v>
      </c>
      <c r="B1423" s="6">
        <f t="shared" si="284"/>
        <v>3</v>
      </c>
      <c r="C1423" s="70">
        <v>18.700561520000001</v>
      </c>
      <c r="D1423" s="4">
        <v>0</v>
      </c>
      <c r="E1423" s="12">
        <f t="shared" si="273"/>
        <v>0</v>
      </c>
      <c r="F1423" s="12">
        <f t="shared" si="274"/>
        <v>0</v>
      </c>
      <c r="G1423" s="16">
        <f t="shared" si="276"/>
        <v>6.8828619406958467</v>
      </c>
      <c r="H1423" s="14">
        <f t="shared" si="277"/>
        <v>0</v>
      </c>
      <c r="I1423" s="14">
        <f t="shared" si="278"/>
        <v>16.973229373278887</v>
      </c>
      <c r="J1423" s="14">
        <f t="shared" si="279"/>
        <v>2.1455517185997679</v>
      </c>
      <c r="K1423" s="14">
        <f t="shared" si="280"/>
        <v>7.2876591201782075</v>
      </c>
      <c r="L1423" s="14">
        <f t="shared" si="281"/>
        <v>714.10977393973121</v>
      </c>
      <c r="M1423" s="14">
        <f t="shared" si="275"/>
        <v>0.35899581246781576</v>
      </c>
      <c r="N1423" s="14">
        <f t="shared" si="282"/>
        <v>9.1868025621104223</v>
      </c>
      <c r="O1423" s="4">
        <v>8.1999999999999993</v>
      </c>
      <c r="P1423" s="14">
        <f t="shared" si="285"/>
        <v>0.97377929658769535</v>
      </c>
      <c r="Q1423" s="14">
        <f t="shared" si="283"/>
        <v>2.776725674354473</v>
      </c>
    </row>
    <row r="1424" spans="1:17" x14ac:dyDescent="0.25">
      <c r="A1424" s="5"/>
      <c r="B1424" s="6"/>
      <c r="C1424" s="4"/>
      <c r="D1424" s="4"/>
      <c r="E1424" s="12"/>
      <c r="F1424" s="12"/>
      <c r="G1424" s="16"/>
      <c r="H1424" s="14"/>
      <c r="I1424" s="14"/>
      <c r="J1424" s="14"/>
      <c r="K1424" s="14"/>
      <c r="L1424" s="14"/>
      <c r="M1424" s="14"/>
      <c r="N1424" s="14"/>
      <c r="O1424" s="4"/>
      <c r="P1424" s="14"/>
      <c r="Q1424" s="14"/>
    </row>
    <row r="1425" spans="1:17" x14ac:dyDescent="0.25">
      <c r="A1425" s="5"/>
      <c r="B1425" s="6"/>
      <c r="C1425" s="4"/>
      <c r="D1425" s="4"/>
      <c r="E1425" s="12"/>
      <c r="F1425" s="12"/>
      <c r="G1425" s="16"/>
      <c r="H1425" s="14"/>
      <c r="I1425" s="14"/>
      <c r="J1425" s="14"/>
      <c r="K1425" s="14"/>
      <c r="L1425" s="14"/>
      <c r="M1425" s="14"/>
      <c r="N1425" s="14"/>
      <c r="O1425" s="4"/>
      <c r="P1425" s="14"/>
      <c r="Q1425" s="14"/>
    </row>
    <row r="1426" spans="1:17" x14ac:dyDescent="0.25">
      <c r="A1426" s="5"/>
      <c r="B1426" s="6"/>
      <c r="C1426" s="4"/>
      <c r="D1426" s="4"/>
      <c r="E1426" s="12"/>
      <c r="F1426" s="12"/>
      <c r="G1426" s="16"/>
      <c r="H1426" s="14"/>
      <c r="I1426" s="14"/>
      <c r="J1426" s="14"/>
      <c r="K1426" s="14"/>
      <c r="L1426" s="14"/>
      <c r="M1426" s="14"/>
      <c r="N1426" s="14"/>
      <c r="O1426" s="4"/>
      <c r="P1426" s="14"/>
      <c r="Q1426" s="14"/>
    </row>
    <row r="1427" spans="1:17" x14ac:dyDescent="0.25">
      <c r="A1427" s="5"/>
      <c r="B1427" s="6"/>
      <c r="C1427" s="4"/>
      <c r="D1427" s="4"/>
      <c r="E1427" s="12"/>
      <c r="F1427" s="12"/>
      <c r="G1427" s="16"/>
      <c r="H1427" s="14"/>
      <c r="I1427" s="14"/>
      <c r="J1427" s="14"/>
      <c r="K1427" s="14"/>
      <c r="L1427" s="14"/>
      <c r="M1427" s="14"/>
      <c r="N1427" s="14"/>
      <c r="O1427" s="4"/>
      <c r="P1427" s="14"/>
      <c r="Q1427" s="14"/>
    </row>
    <row r="1428" spans="1:17" x14ac:dyDescent="0.25">
      <c r="A1428" s="5"/>
      <c r="B1428" s="6"/>
      <c r="C1428" s="4"/>
      <c r="D1428" s="4"/>
      <c r="E1428" s="12"/>
      <c r="F1428" s="12"/>
      <c r="G1428" s="16"/>
      <c r="H1428" s="14"/>
      <c r="I1428" s="14"/>
      <c r="J1428" s="14"/>
      <c r="K1428" s="14"/>
      <c r="L1428" s="14"/>
      <c r="M1428" s="14"/>
      <c r="N1428" s="14"/>
      <c r="O1428" s="4"/>
      <c r="P1428" s="14"/>
      <c r="Q1428" s="14"/>
    </row>
    <row r="1429" spans="1:17" x14ac:dyDescent="0.25">
      <c r="A1429" s="5"/>
      <c r="B1429" s="6"/>
      <c r="C1429" s="4"/>
      <c r="D1429" s="4"/>
      <c r="E1429" s="12"/>
      <c r="F1429" s="12"/>
      <c r="G1429" s="16"/>
      <c r="H1429" s="14"/>
      <c r="I1429" s="14"/>
      <c r="J1429" s="14"/>
      <c r="K1429" s="14"/>
      <c r="L1429" s="14"/>
      <c r="M1429" s="14"/>
      <c r="N1429" s="14"/>
      <c r="O1429" s="4"/>
      <c r="P1429" s="14"/>
      <c r="Q1429" s="14"/>
    </row>
    <row r="1430" spans="1:17" x14ac:dyDescent="0.25">
      <c r="A1430" s="5"/>
      <c r="B1430" s="6"/>
      <c r="C1430" s="4"/>
      <c r="D1430" s="4"/>
      <c r="E1430" s="12"/>
      <c r="F1430" s="12"/>
      <c r="G1430" s="16"/>
      <c r="H1430" s="14"/>
      <c r="I1430" s="14"/>
      <c r="J1430" s="14"/>
      <c r="K1430" s="14"/>
      <c r="L1430" s="14"/>
      <c r="M1430" s="14"/>
      <c r="N1430" s="14"/>
      <c r="O1430" s="4"/>
      <c r="P1430" s="14"/>
      <c r="Q1430" s="14"/>
    </row>
    <row r="1431" spans="1:17" x14ac:dyDescent="0.25">
      <c r="A1431" s="5"/>
      <c r="B1431" s="6"/>
      <c r="C1431" s="4"/>
      <c r="D1431" s="4"/>
      <c r="E1431" s="12"/>
      <c r="F1431" s="12"/>
      <c r="G1431" s="16"/>
      <c r="H1431" s="14"/>
      <c r="I1431" s="14"/>
      <c r="J1431" s="14"/>
      <c r="K1431" s="14"/>
      <c r="L1431" s="14"/>
      <c r="M1431" s="14"/>
      <c r="N1431" s="14"/>
      <c r="O1431" s="4"/>
      <c r="P1431" s="14"/>
      <c r="Q1431" s="14"/>
    </row>
    <row r="1432" spans="1:17" x14ac:dyDescent="0.25">
      <c r="A1432" s="5"/>
      <c r="B1432" s="6"/>
      <c r="C1432" s="4"/>
      <c r="D1432" s="4"/>
      <c r="E1432" s="12"/>
      <c r="F1432" s="12"/>
      <c r="G1432" s="16"/>
      <c r="H1432" s="14"/>
      <c r="I1432" s="14"/>
      <c r="J1432" s="14"/>
      <c r="K1432" s="14"/>
      <c r="L1432" s="14"/>
      <c r="M1432" s="14"/>
      <c r="N1432" s="14"/>
      <c r="O1432" s="4"/>
      <c r="P1432" s="14"/>
      <c r="Q1432" s="14"/>
    </row>
    <row r="1433" spans="1:17" x14ac:dyDescent="0.25">
      <c r="A1433" s="5"/>
      <c r="B1433" s="6"/>
      <c r="C1433" s="4"/>
      <c r="D1433" s="4"/>
      <c r="E1433" s="12"/>
      <c r="F1433" s="12"/>
      <c r="G1433" s="16"/>
      <c r="H1433" s="14"/>
      <c r="I1433" s="14"/>
      <c r="J1433" s="14"/>
      <c r="K1433" s="14"/>
      <c r="L1433" s="14"/>
      <c r="M1433" s="14"/>
      <c r="N1433" s="14"/>
      <c r="O1433" s="4"/>
      <c r="P1433" s="14"/>
      <c r="Q1433" s="14"/>
    </row>
    <row r="1434" spans="1:17" x14ac:dyDescent="0.25">
      <c r="A1434" s="5"/>
      <c r="B1434" s="6"/>
      <c r="C1434" s="4"/>
      <c r="D1434" s="4"/>
      <c r="E1434" s="12"/>
      <c r="F1434" s="12"/>
      <c r="G1434" s="16"/>
      <c r="H1434" s="14"/>
      <c r="I1434" s="14"/>
      <c r="J1434" s="14"/>
      <c r="K1434" s="14"/>
      <c r="L1434" s="14"/>
      <c r="M1434" s="14"/>
      <c r="N1434" s="14"/>
      <c r="O1434" s="4"/>
      <c r="P1434" s="14"/>
      <c r="Q1434" s="14"/>
    </row>
    <row r="1435" spans="1:17" x14ac:dyDescent="0.25">
      <c r="A1435" s="5"/>
      <c r="B1435" s="6"/>
      <c r="C1435" s="4"/>
      <c r="D1435" s="4"/>
      <c r="E1435" s="12"/>
      <c r="F1435" s="12"/>
      <c r="G1435" s="16"/>
      <c r="H1435" s="14"/>
      <c r="I1435" s="14"/>
      <c r="J1435" s="14"/>
      <c r="K1435" s="14"/>
      <c r="L1435" s="14"/>
      <c r="M1435" s="14"/>
      <c r="N1435" s="14"/>
      <c r="O1435" s="4"/>
      <c r="P1435" s="14"/>
      <c r="Q1435" s="14"/>
    </row>
    <row r="1436" spans="1:17" x14ac:dyDescent="0.25">
      <c r="A1436" s="5"/>
      <c r="B1436" s="6"/>
      <c r="C1436" s="4"/>
      <c r="D1436" s="4"/>
      <c r="E1436" s="12"/>
      <c r="F1436" s="12"/>
      <c r="G1436" s="16"/>
      <c r="H1436" s="14"/>
      <c r="I1436" s="14"/>
      <c r="J1436" s="14"/>
      <c r="K1436" s="14"/>
      <c r="L1436" s="14"/>
      <c r="M1436" s="14"/>
      <c r="N1436" s="14"/>
      <c r="O1436" s="4"/>
      <c r="P1436" s="14"/>
      <c r="Q1436" s="14"/>
    </row>
    <row r="1437" spans="1:17" x14ac:dyDescent="0.25">
      <c r="A1437" s="5"/>
      <c r="B1437" s="6"/>
      <c r="C1437" s="4"/>
      <c r="D1437" s="4"/>
      <c r="E1437" s="12"/>
      <c r="F1437" s="12"/>
      <c r="G1437" s="16"/>
      <c r="H1437" s="14"/>
      <c r="I1437" s="14"/>
      <c r="J1437" s="14"/>
      <c r="K1437" s="14"/>
      <c r="L1437" s="14"/>
      <c r="M1437" s="14"/>
      <c r="N1437" s="14"/>
      <c r="O1437" s="4"/>
      <c r="P1437" s="14"/>
      <c r="Q1437" s="14"/>
    </row>
    <row r="1438" spans="1:17" x14ac:dyDescent="0.25">
      <c r="A1438" s="5"/>
      <c r="B1438" s="6"/>
      <c r="C1438" s="4"/>
      <c r="D1438" s="4"/>
      <c r="E1438" s="12"/>
      <c r="F1438" s="12"/>
      <c r="G1438" s="16"/>
      <c r="H1438" s="14"/>
      <c r="I1438" s="14"/>
      <c r="J1438" s="14"/>
      <c r="K1438" s="14"/>
      <c r="L1438" s="14"/>
      <c r="M1438" s="14"/>
      <c r="N1438" s="14"/>
      <c r="O1438" s="4"/>
      <c r="P1438" s="14"/>
      <c r="Q1438" s="14"/>
    </row>
    <row r="1439" spans="1:17" x14ac:dyDescent="0.25">
      <c r="A1439" s="5"/>
      <c r="B1439" s="6"/>
      <c r="C1439" s="4"/>
      <c r="D1439" s="4"/>
      <c r="E1439" s="12"/>
      <c r="F1439" s="12"/>
      <c r="G1439" s="16"/>
      <c r="H1439" s="14"/>
      <c r="I1439" s="14"/>
      <c r="J1439" s="14"/>
      <c r="K1439" s="14"/>
      <c r="L1439" s="14"/>
      <c r="M1439" s="14"/>
      <c r="N1439" s="14"/>
      <c r="O1439" s="4"/>
      <c r="P1439" s="14"/>
      <c r="Q1439" s="14"/>
    </row>
    <row r="1440" spans="1:17" x14ac:dyDescent="0.25">
      <c r="A1440" s="5"/>
      <c r="B1440" s="6"/>
      <c r="C1440" s="4"/>
      <c r="D1440" s="4"/>
      <c r="E1440" s="12"/>
      <c r="F1440" s="12"/>
      <c r="G1440" s="16"/>
      <c r="H1440" s="14"/>
      <c r="I1440" s="14"/>
      <c r="J1440" s="14"/>
      <c r="K1440" s="14"/>
      <c r="L1440" s="14"/>
      <c r="M1440" s="14"/>
      <c r="N1440" s="14"/>
      <c r="O1440" s="4"/>
      <c r="P1440" s="14"/>
      <c r="Q1440" s="14"/>
    </row>
    <row r="1441" spans="1:17" x14ac:dyDescent="0.25">
      <c r="A1441" s="5"/>
      <c r="B1441" s="6"/>
      <c r="C1441" s="4"/>
      <c r="D1441" s="4"/>
      <c r="E1441" s="12"/>
      <c r="F1441" s="12"/>
      <c r="G1441" s="16"/>
      <c r="H1441" s="14"/>
      <c r="I1441" s="14"/>
      <c r="J1441" s="14"/>
      <c r="K1441" s="14"/>
      <c r="L1441" s="14"/>
      <c r="M1441" s="14"/>
      <c r="N1441" s="14"/>
      <c r="O1441" s="4"/>
      <c r="P1441" s="14"/>
      <c r="Q1441" s="14"/>
    </row>
    <row r="1442" spans="1:17" x14ac:dyDescent="0.25">
      <c r="A1442" s="5"/>
      <c r="B1442" s="6"/>
      <c r="C1442" s="4"/>
      <c r="D1442" s="4"/>
      <c r="E1442" s="12"/>
      <c r="F1442" s="12"/>
      <c r="G1442" s="16"/>
      <c r="H1442" s="14"/>
      <c r="I1442" s="14"/>
      <c r="J1442" s="14"/>
      <c r="K1442" s="14"/>
      <c r="L1442" s="14"/>
      <c r="M1442" s="14"/>
      <c r="N1442" s="14"/>
      <c r="O1442" s="4"/>
      <c r="P1442" s="14"/>
      <c r="Q1442" s="14"/>
    </row>
    <row r="1443" spans="1:17" x14ac:dyDescent="0.25">
      <c r="A1443" s="5"/>
      <c r="B1443" s="6"/>
      <c r="C1443" s="4"/>
      <c r="D1443" s="4"/>
      <c r="E1443" s="12"/>
      <c r="F1443" s="12"/>
      <c r="G1443" s="16"/>
      <c r="H1443" s="14"/>
      <c r="I1443" s="14"/>
      <c r="J1443" s="14"/>
      <c r="K1443" s="14"/>
      <c r="L1443" s="14"/>
      <c r="M1443" s="14"/>
      <c r="N1443" s="14"/>
      <c r="O1443" s="4"/>
      <c r="P1443" s="14"/>
      <c r="Q1443" s="14"/>
    </row>
    <row r="1444" spans="1:17" x14ac:dyDescent="0.25">
      <c r="A1444" s="5"/>
      <c r="B1444" s="6"/>
      <c r="C1444" s="4"/>
      <c r="D1444" s="4"/>
      <c r="E1444" s="12"/>
      <c r="F1444" s="12"/>
      <c r="G1444" s="16"/>
      <c r="H1444" s="14"/>
      <c r="I1444" s="14"/>
      <c r="J1444" s="14"/>
      <c r="K1444" s="14"/>
      <c r="L1444" s="14"/>
      <c r="M1444" s="14"/>
      <c r="N1444" s="14"/>
      <c r="O1444" s="4"/>
      <c r="P1444" s="14"/>
      <c r="Q1444" s="14"/>
    </row>
    <row r="1445" spans="1:17" x14ac:dyDescent="0.25">
      <c r="A1445" s="5"/>
      <c r="B1445" s="6"/>
      <c r="C1445" s="4"/>
      <c r="D1445" s="4"/>
      <c r="E1445" s="12"/>
      <c r="F1445" s="12"/>
      <c r="G1445" s="16"/>
      <c r="H1445" s="14"/>
      <c r="I1445" s="14"/>
      <c r="J1445" s="14"/>
      <c r="K1445" s="14"/>
      <c r="L1445" s="14"/>
      <c r="M1445" s="14"/>
      <c r="N1445" s="14"/>
      <c r="O1445" s="4"/>
      <c r="P1445" s="14"/>
      <c r="Q1445" s="14"/>
    </row>
    <row r="1446" spans="1:17" x14ac:dyDescent="0.25">
      <c r="A1446" s="5"/>
      <c r="B1446" s="6"/>
      <c r="C1446" s="4"/>
      <c r="D1446" s="4"/>
      <c r="E1446" s="12"/>
      <c r="F1446" s="12"/>
      <c r="G1446" s="16"/>
      <c r="H1446" s="14"/>
      <c r="I1446" s="14"/>
      <c r="J1446" s="14"/>
      <c r="K1446" s="14"/>
      <c r="L1446" s="14"/>
      <c r="M1446" s="14"/>
      <c r="N1446" s="14"/>
      <c r="O1446" s="4"/>
      <c r="P1446" s="14"/>
      <c r="Q1446" s="14"/>
    </row>
    <row r="1447" spans="1:17" x14ac:dyDescent="0.25">
      <c r="A1447" s="5"/>
      <c r="B1447" s="6"/>
      <c r="C1447" s="4"/>
      <c r="D1447" s="4"/>
      <c r="E1447" s="12"/>
      <c r="F1447" s="12"/>
      <c r="G1447" s="16"/>
      <c r="H1447" s="14"/>
      <c r="I1447" s="14"/>
      <c r="J1447" s="14"/>
      <c r="K1447" s="14"/>
      <c r="L1447" s="14"/>
      <c r="M1447" s="14"/>
      <c r="N1447" s="14"/>
      <c r="O1447" s="4"/>
      <c r="P1447" s="14"/>
      <c r="Q1447" s="14"/>
    </row>
    <row r="1448" spans="1:17" x14ac:dyDescent="0.25">
      <c r="A1448" s="5"/>
      <c r="B1448" s="6"/>
      <c r="C1448" s="4"/>
      <c r="D1448" s="4"/>
      <c r="E1448" s="12"/>
      <c r="F1448" s="12"/>
      <c r="G1448" s="16"/>
      <c r="H1448" s="14"/>
      <c r="I1448" s="14"/>
      <c r="J1448" s="14"/>
      <c r="K1448" s="14"/>
      <c r="L1448" s="14"/>
      <c r="M1448" s="14"/>
      <c r="N1448" s="14"/>
      <c r="O1448" s="4"/>
      <c r="P1448" s="14"/>
      <c r="Q1448" s="14"/>
    </row>
    <row r="1449" spans="1:17" x14ac:dyDescent="0.25">
      <c r="A1449" s="5"/>
      <c r="B1449" s="6"/>
      <c r="C1449" s="4"/>
      <c r="D1449" s="4"/>
      <c r="E1449" s="12"/>
      <c r="F1449" s="12"/>
      <c r="G1449" s="16"/>
      <c r="H1449" s="14"/>
      <c r="I1449" s="14"/>
      <c r="J1449" s="14"/>
      <c r="K1449" s="14"/>
      <c r="L1449" s="14"/>
      <c r="M1449" s="14"/>
      <c r="N1449" s="14"/>
      <c r="O1449" s="4"/>
      <c r="P1449" s="14"/>
      <c r="Q1449" s="14"/>
    </row>
    <row r="1450" spans="1:17" x14ac:dyDescent="0.25">
      <c r="A1450" s="5"/>
      <c r="B1450" s="6"/>
      <c r="C1450" s="4"/>
      <c r="D1450" s="4"/>
      <c r="E1450" s="12"/>
      <c r="F1450" s="12"/>
      <c r="G1450" s="16"/>
      <c r="H1450" s="14"/>
      <c r="I1450" s="14"/>
      <c r="J1450" s="14"/>
      <c r="K1450" s="14"/>
      <c r="L1450" s="14"/>
      <c r="M1450" s="14"/>
      <c r="N1450" s="14"/>
      <c r="O1450" s="4"/>
      <c r="P1450" s="14"/>
      <c r="Q1450" s="14"/>
    </row>
    <row r="1451" spans="1:17" x14ac:dyDescent="0.25">
      <c r="A1451" s="5"/>
      <c r="B1451" s="6"/>
      <c r="C1451" s="4"/>
      <c r="D1451" s="4"/>
      <c r="E1451" s="12"/>
      <c r="F1451" s="12"/>
      <c r="G1451" s="16"/>
      <c r="H1451" s="14"/>
      <c r="I1451" s="14"/>
      <c r="J1451" s="14"/>
      <c r="K1451" s="14"/>
      <c r="L1451" s="14"/>
      <c r="M1451" s="14"/>
      <c r="N1451" s="14"/>
      <c r="O1451" s="4"/>
      <c r="P1451" s="14"/>
      <c r="Q1451" s="14"/>
    </row>
    <row r="1452" spans="1:17" x14ac:dyDescent="0.25">
      <c r="A1452" s="5"/>
      <c r="B1452" s="6"/>
      <c r="C1452" s="4"/>
      <c r="D1452" s="4"/>
      <c r="E1452" s="12"/>
      <c r="F1452" s="12"/>
      <c r="G1452" s="16"/>
      <c r="H1452" s="14"/>
      <c r="I1452" s="14"/>
      <c r="J1452" s="14"/>
      <c r="K1452" s="14"/>
      <c r="L1452" s="14"/>
      <c r="M1452" s="14"/>
      <c r="N1452" s="14"/>
      <c r="O1452" s="4"/>
      <c r="P1452" s="14"/>
      <c r="Q1452" s="14"/>
    </row>
    <row r="1453" spans="1:17" x14ac:dyDescent="0.25">
      <c r="A1453" s="5"/>
      <c r="B1453" s="6"/>
      <c r="C1453" s="4"/>
      <c r="D1453" s="4"/>
      <c r="E1453" s="12"/>
      <c r="F1453" s="12"/>
      <c r="G1453" s="16"/>
      <c r="H1453" s="14"/>
      <c r="I1453" s="14"/>
      <c r="J1453" s="14"/>
      <c r="K1453" s="14"/>
      <c r="L1453" s="14"/>
      <c r="M1453" s="14"/>
      <c r="N1453" s="14"/>
      <c r="O1453" s="4"/>
      <c r="P1453" s="14"/>
      <c r="Q1453" s="14"/>
    </row>
    <row r="1454" spans="1:17" x14ac:dyDescent="0.25">
      <c r="A1454" s="5"/>
      <c r="B1454" s="6"/>
      <c r="C1454" s="4"/>
      <c r="D1454" s="4"/>
      <c r="E1454" s="12"/>
      <c r="F1454" s="12"/>
      <c r="G1454" s="16"/>
      <c r="H1454" s="14"/>
      <c r="I1454" s="14"/>
      <c r="J1454" s="14"/>
      <c r="K1454" s="14"/>
      <c r="L1454" s="14"/>
      <c r="M1454" s="14"/>
      <c r="N1454" s="14"/>
      <c r="O1454" s="4"/>
      <c r="P1454" s="14"/>
      <c r="Q1454" s="14"/>
    </row>
    <row r="1455" spans="1:17" x14ac:dyDescent="0.25">
      <c r="A1455" s="5"/>
      <c r="B1455" s="6"/>
      <c r="C1455" s="4"/>
      <c r="D1455" s="4"/>
      <c r="E1455" s="12"/>
      <c r="F1455" s="12"/>
      <c r="G1455" s="16"/>
      <c r="H1455" s="14"/>
      <c r="I1455" s="14"/>
      <c r="J1455" s="14"/>
      <c r="K1455" s="14"/>
      <c r="L1455" s="14"/>
      <c r="M1455" s="14"/>
      <c r="N1455" s="14"/>
      <c r="O1455" s="4"/>
      <c r="P1455" s="14"/>
      <c r="Q1455" s="14"/>
    </row>
    <row r="1456" spans="1:17" x14ac:dyDescent="0.25">
      <c r="A1456" s="5"/>
      <c r="B1456" s="6"/>
      <c r="C1456" s="4"/>
      <c r="D1456" s="4"/>
      <c r="E1456" s="12"/>
      <c r="F1456" s="12"/>
      <c r="G1456" s="16"/>
      <c r="H1456" s="14"/>
      <c r="I1456" s="14"/>
      <c r="J1456" s="14"/>
      <c r="K1456" s="14"/>
      <c r="L1456" s="14"/>
      <c r="M1456" s="14"/>
      <c r="N1456" s="14"/>
      <c r="O1456" s="4"/>
      <c r="P1456" s="14"/>
      <c r="Q1456" s="14"/>
    </row>
    <row r="1457" spans="1:17" x14ac:dyDescent="0.25">
      <c r="A1457" s="5"/>
      <c r="B1457" s="6"/>
      <c r="C1457" s="4"/>
      <c r="D1457" s="4"/>
      <c r="E1457" s="12"/>
      <c r="F1457" s="12"/>
      <c r="G1457" s="16"/>
      <c r="H1457" s="14"/>
      <c r="I1457" s="14"/>
      <c r="J1457" s="14"/>
      <c r="K1457" s="14"/>
      <c r="L1457" s="14"/>
      <c r="M1457" s="14"/>
      <c r="N1457" s="14"/>
      <c r="O1457" s="4"/>
      <c r="P1457" s="14"/>
      <c r="Q1457" s="14"/>
    </row>
    <row r="1458" spans="1:17" x14ac:dyDescent="0.25">
      <c r="A1458" s="5"/>
      <c r="B1458" s="6"/>
      <c r="C1458" s="4"/>
      <c r="D1458" s="4"/>
      <c r="E1458" s="12"/>
      <c r="F1458" s="12"/>
      <c r="G1458" s="16"/>
      <c r="H1458" s="14"/>
      <c r="I1458" s="14"/>
      <c r="J1458" s="14"/>
      <c r="K1458" s="14"/>
      <c r="L1458" s="14"/>
      <c r="M1458" s="14"/>
      <c r="N1458" s="14"/>
      <c r="O1458" s="4"/>
      <c r="P1458" s="14"/>
      <c r="Q1458" s="14"/>
    </row>
    <row r="1459" spans="1:17" x14ac:dyDescent="0.25">
      <c r="A1459" s="5"/>
      <c r="B1459" s="6"/>
      <c r="C1459" s="4"/>
      <c r="D1459" s="4"/>
      <c r="E1459" s="12"/>
      <c r="F1459" s="12"/>
      <c r="G1459" s="16"/>
      <c r="H1459" s="14"/>
      <c r="I1459" s="14"/>
      <c r="J1459" s="14"/>
      <c r="K1459" s="14"/>
      <c r="L1459" s="14"/>
      <c r="M1459" s="14"/>
      <c r="N1459" s="14"/>
      <c r="O1459" s="4"/>
      <c r="P1459" s="14"/>
      <c r="Q1459" s="14"/>
    </row>
    <row r="1460" spans="1:17" x14ac:dyDescent="0.25">
      <c r="A1460" s="5"/>
      <c r="B1460" s="6"/>
      <c r="C1460" s="4"/>
      <c r="D1460" s="4"/>
      <c r="E1460" s="12"/>
      <c r="F1460" s="12"/>
      <c r="G1460" s="16"/>
      <c r="H1460" s="14"/>
      <c r="I1460" s="14"/>
      <c r="J1460" s="14"/>
      <c r="K1460" s="14"/>
      <c r="L1460" s="14"/>
      <c r="M1460" s="14"/>
      <c r="N1460" s="14"/>
      <c r="O1460" s="4"/>
      <c r="P1460" s="14"/>
      <c r="Q1460" s="14"/>
    </row>
    <row r="1461" spans="1:17" x14ac:dyDescent="0.25">
      <c r="A1461" s="5"/>
      <c r="B1461" s="6"/>
      <c r="C1461" s="4"/>
      <c r="D1461" s="4"/>
      <c r="E1461" s="12"/>
      <c r="F1461" s="12"/>
      <c r="G1461" s="16"/>
      <c r="H1461" s="14"/>
      <c r="I1461" s="14"/>
      <c r="J1461" s="14"/>
      <c r="K1461" s="14"/>
      <c r="L1461" s="14"/>
      <c r="M1461" s="14"/>
      <c r="N1461" s="14"/>
      <c r="O1461" s="4"/>
      <c r="P1461" s="14"/>
      <c r="Q1461" s="14"/>
    </row>
    <row r="1462" spans="1:17" x14ac:dyDescent="0.25">
      <c r="A1462" s="5"/>
      <c r="B1462" s="6"/>
      <c r="C1462" s="4"/>
      <c r="D1462" s="4"/>
      <c r="E1462" s="12"/>
      <c r="F1462" s="12"/>
      <c r="G1462" s="16"/>
      <c r="H1462" s="14"/>
      <c r="I1462" s="14"/>
      <c r="J1462" s="14"/>
      <c r="K1462" s="14"/>
      <c r="L1462" s="14"/>
      <c r="M1462" s="14"/>
      <c r="N1462" s="14"/>
      <c r="O1462" s="4"/>
      <c r="P1462" s="14"/>
      <c r="Q1462" s="14"/>
    </row>
    <row r="1463" spans="1:17" x14ac:dyDescent="0.25">
      <c r="A1463" s="5"/>
      <c r="B1463" s="6"/>
      <c r="C1463" s="4"/>
      <c r="D1463" s="4"/>
      <c r="E1463" s="12"/>
      <c r="F1463" s="12"/>
      <c r="G1463" s="16"/>
      <c r="H1463" s="14"/>
      <c r="I1463" s="14"/>
      <c r="J1463" s="14"/>
      <c r="K1463" s="14"/>
      <c r="L1463" s="14"/>
      <c r="M1463" s="14"/>
      <c r="N1463" s="14"/>
      <c r="O1463" s="4"/>
      <c r="P1463" s="14"/>
      <c r="Q1463" s="14"/>
    </row>
    <row r="1464" spans="1:17" x14ac:dyDescent="0.25">
      <c r="A1464" s="5"/>
      <c r="B1464" s="6"/>
      <c r="C1464" s="4"/>
      <c r="D1464" s="4"/>
      <c r="E1464" s="12"/>
      <c r="F1464" s="12"/>
      <c r="G1464" s="16"/>
      <c r="H1464" s="14"/>
      <c r="I1464" s="14"/>
      <c r="J1464" s="14"/>
      <c r="K1464" s="14"/>
      <c r="L1464" s="14"/>
      <c r="M1464" s="14"/>
      <c r="N1464" s="14"/>
      <c r="O1464" s="4"/>
      <c r="P1464" s="14"/>
      <c r="Q1464" s="14"/>
    </row>
    <row r="1465" spans="1:17" x14ac:dyDescent="0.25">
      <c r="A1465" s="5"/>
      <c r="B1465" s="6"/>
      <c r="C1465" s="4"/>
      <c r="D1465" s="4"/>
      <c r="E1465" s="12"/>
      <c r="F1465" s="12"/>
      <c r="G1465" s="16"/>
      <c r="H1465" s="14"/>
      <c r="I1465" s="14"/>
      <c r="J1465" s="14"/>
      <c r="K1465" s="14"/>
      <c r="L1465" s="14"/>
      <c r="M1465" s="14"/>
      <c r="N1465" s="14"/>
      <c r="O1465" s="4"/>
      <c r="P1465" s="14"/>
      <c r="Q1465" s="14"/>
    </row>
    <row r="1466" spans="1:17" x14ac:dyDescent="0.25">
      <c r="A1466" s="5"/>
      <c r="B1466" s="6"/>
      <c r="C1466" s="4"/>
      <c r="D1466" s="4"/>
      <c r="E1466" s="12"/>
      <c r="F1466" s="12"/>
      <c r="G1466" s="16"/>
      <c r="H1466" s="14"/>
      <c r="I1466" s="14"/>
      <c r="J1466" s="14"/>
      <c r="K1466" s="14"/>
      <c r="L1466" s="14"/>
      <c r="M1466" s="14"/>
      <c r="N1466" s="14"/>
      <c r="O1466" s="4"/>
      <c r="P1466" s="14"/>
      <c r="Q1466" s="14"/>
    </row>
    <row r="1467" spans="1:17" x14ac:dyDescent="0.25">
      <c r="A1467" s="5"/>
      <c r="B1467" s="6"/>
      <c r="C1467" s="4"/>
      <c r="D1467" s="4"/>
      <c r="E1467" s="12"/>
      <c r="F1467" s="12"/>
      <c r="G1467" s="16"/>
      <c r="H1467" s="14"/>
      <c r="I1467" s="14"/>
      <c r="J1467" s="14"/>
      <c r="K1467" s="14"/>
      <c r="L1467" s="14"/>
      <c r="M1467" s="14"/>
      <c r="N1467" s="14"/>
      <c r="O1467" s="4"/>
      <c r="P1467" s="14"/>
      <c r="Q1467" s="14"/>
    </row>
    <row r="1468" spans="1:17" x14ac:dyDescent="0.25">
      <c r="A1468" s="5"/>
      <c r="B1468" s="6"/>
      <c r="C1468" s="4"/>
      <c r="D1468" s="4"/>
      <c r="E1468" s="12"/>
      <c r="F1468" s="12"/>
      <c r="G1468" s="16"/>
      <c r="H1468" s="14"/>
      <c r="I1468" s="14"/>
      <c r="J1468" s="14"/>
      <c r="K1468" s="14"/>
      <c r="L1468" s="14"/>
      <c r="M1468" s="14"/>
      <c r="N1468" s="14"/>
      <c r="O1468" s="4"/>
      <c r="P1468" s="14"/>
      <c r="Q1468" s="14"/>
    </row>
    <row r="1469" spans="1:17" x14ac:dyDescent="0.25">
      <c r="A1469" s="5"/>
      <c r="B1469" s="6"/>
      <c r="C1469" s="4"/>
      <c r="D1469" s="4"/>
      <c r="E1469" s="12"/>
      <c r="F1469" s="12"/>
      <c r="G1469" s="16"/>
      <c r="H1469" s="14"/>
      <c r="I1469" s="14"/>
      <c r="J1469" s="14"/>
      <c r="K1469" s="14"/>
      <c r="L1469" s="14"/>
      <c r="M1469" s="14"/>
      <c r="N1469" s="14"/>
      <c r="O1469" s="4"/>
      <c r="P1469" s="14"/>
      <c r="Q1469" s="14"/>
    </row>
    <row r="1470" spans="1:17" x14ac:dyDescent="0.25">
      <c r="A1470" s="5"/>
      <c r="B1470" s="6"/>
      <c r="C1470" s="4"/>
      <c r="D1470" s="4"/>
      <c r="E1470" s="12"/>
      <c r="F1470" s="12"/>
      <c r="G1470" s="16"/>
      <c r="H1470" s="14"/>
      <c r="I1470" s="14"/>
      <c r="J1470" s="14"/>
      <c r="K1470" s="14"/>
      <c r="L1470" s="14"/>
      <c r="M1470" s="14"/>
      <c r="N1470" s="14"/>
      <c r="O1470" s="4"/>
      <c r="P1470" s="14"/>
      <c r="Q1470" s="14"/>
    </row>
    <row r="1471" spans="1:17" x14ac:dyDescent="0.25">
      <c r="A1471" s="5"/>
      <c r="B1471" s="6"/>
      <c r="C1471" s="4"/>
      <c r="D1471" s="4"/>
      <c r="E1471" s="12"/>
      <c r="F1471" s="12"/>
      <c r="G1471" s="16"/>
      <c r="H1471" s="14"/>
      <c r="I1471" s="14"/>
      <c r="J1471" s="14"/>
      <c r="K1471" s="14"/>
      <c r="L1471" s="14"/>
      <c r="M1471" s="14"/>
      <c r="N1471" s="14"/>
      <c r="O1471" s="4"/>
      <c r="P1471" s="14"/>
      <c r="Q1471" s="14"/>
    </row>
    <row r="1472" spans="1:17" x14ac:dyDescent="0.25">
      <c r="A1472" s="5"/>
      <c r="B1472" s="6"/>
      <c r="C1472" s="4"/>
      <c r="D1472" s="4"/>
      <c r="E1472" s="12"/>
      <c r="F1472" s="12"/>
      <c r="G1472" s="16"/>
      <c r="H1472" s="14"/>
      <c r="I1472" s="14"/>
      <c r="J1472" s="14"/>
      <c r="K1472" s="14"/>
      <c r="L1472" s="14"/>
      <c r="M1472" s="14"/>
      <c r="N1472" s="14"/>
      <c r="O1472" s="4"/>
      <c r="P1472" s="14"/>
      <c r="Q1472" s="14"/>
    </row>
    <row r="1473" spans="1:17" x14ac:dyDescent="0.25">
      <c r="A1473" s="5"/>
      <c r="B1473" s="6"/>
      <c r="C1473" s="4"/>
      <c r="D1473" s="4"/>
      <c r="E1473" s="12"/>
      <c r="F1473" s="12"/>
      <c r="G1473" s="16"/>
      <c r="H1473" s="14"/>
      <c r="I1473" s="14"/>
      <c r="J1473" s="14"/>
      <c r="K1473" s="14"/>
      <c r="L1473" s="14"/>
      <c r="M1473" s="14"/>
      <c r="N1473" s="14"/>
      <c r="O1473" s="4"/>
      <c r="P1473" s="14"/>
      <c r="Q1473" s="14"/>
    </row>
    <row r="1474" spans="1:17" x14ac:dyDescent="0.25">
      <c r="A1474" s="5"/>
      <c r="B1474" s="6"/>
      <c r="C1474" s="4"/>
      <c r="D1474" s="4"/>
      <c r="E1474" s="12"/>
      <c r="F1474" s="12"/>
      <c r="G1474" s="16"/>
      <c r="H1474" s="14"/>
      <c r="I1474" s="14"/>
      <c r="J1474" s="14"/>
      <c r="K1474" s="14"/>
      <c r="L1474" s="14"/>
      <c r="M1474" s="14"/>
      <c r="N1474" s="14"/>
      <c r="O1474" s="4"/>
      <c r="P1474" s="14"/>
      <c r="Q1474" s="14"/>
    </row>
    <row r="1475" spans="1:17" x14ac:dyDescent="0.25">
      <c r="A1475" s="5"/>
      <c r="B1475" s="6"/>
      <c r="C1475" s="4"/>
      <c r="D1475" s="4"/>
      <c r="E1475" s="12"/>
      <c r="F1475" s="12"/>
      <c r="G1475" s="16"/>
      <c r="H1475" s="14"/>
      <c r="I1475" s="14"/>
      <c r="J1475" s="14"/>
      <c r="K1475" s="14"/>
      <c r="L1475" s="14"/>
      <c r="M1475" s="14"/>
      <c r="N1475" s="14"/>
      <c r="O1475" s="4"/>
      <c r="P1475" s="14"/>
      <c r="Q1475" s="14"/>
    </row>
    <row r="1476" spans="1:17" x14ac:dyDescent="0.25">
      <c r="A1476" s="5"/>
      <c r="B1476" s="6"/>
      <c r="C1476" s="4"/>
      <c r="D1476" s="4"/>
      <c r="E1476" s="12"/>
      <c r="F1476" s="12"/>
      <c r="G1476" s="16"/>
      <c r="H1476" s="14"/>
      <c r="I1476" s="14"/>
      <c r="J1476" s="14"/>
      <c r="K1476" s="14"/>
      <c r="L1476" s="14"/>
      <c r="M1476" s="14"/>
      <c r="N1476" s="14"/>
      <c r="O1476" s="4"/>
      <c r="P1476" s="14"/>
      <c r="Q1476" s="14"/>
    </row>
    <row r="1477" spans="1:17" x14ac:dyDescent="0.25">
      <c r="A1477" s="5"/>
      <c r="B1477" s="6"/>
      <c r="C1477" s="4"/>
      <c r="D1477" s="4"/>
      <c r="E1477" s="12"/>
      <c r="F1477" s="12"/>
      <c r="G1477" s="16"/>
      <c r="H1477" s="14"/>
      <c r="I1477" s="14"/>
      <c r="J1477" s="14"/>
      <c r="K1477" s="14"/>
      <c r="L1477" s="14"/>
      <c r="M1477" s="14"/>
      <c r="N1477" s="14"/>
      <c r="O1477" s="4"/>
      <c r="P1477" s="14"/>
      <c r="Q1477" s="14"/>
    </row>
    <row r="1478" spans="1:17" x14ac:dyDescent="0.25">
      <c r="A1478" s="5"/>
      <c r="B1478" s="6"/>
      <c r="C1478" s="4"/>
      <c r="D1478" s="4"/>
      <c r="E1478" s="12"/>
      <c r="F1478" s="12"/>
      <c r="G1478" s="16"/>
      <c r="H1478" s="14"/>
      <c r="I1478" s="14"/>
      <c r="J1478" s="14"/>
      <c r="K1478" s="14"/>
      <c r="L1478" s="14"/>
      <c r="M1478" s="14"/>
      <c r="N1478" s="14"/>
      <c r="O1478" s="4"/>
      <c r="P1478" s="14"/>
      <c r="Q1478" s="14"/>
    </row>
    <row r="1479" spans="1:17" x14ac:dyDescent="0.25">
      <c r="A1479" s="5"/>
      <c r="B1479" s="6"/>
      <c r="C1479" s="4"/>
      <c r="D1479" s="4"/>
      <c r="E1479" s="12"/>
      <c r="F1479" s="12"/>
      <c r="G1479" s="16"/>
      <c r="H1479" s="14"/>
      <c r="I1479" s="14"/>
      <c r="J1479" s="14"/>
      <c r="K1479" s="14"/>
      <c r="L1479" s="14"/>
      <c r="M1479" s="14"/>
      <c r="N1479" s="14"/>
      <c r="O1479" s="4"/>
      <c r="P1479" s="14"/>
      <c r="Q1479" s="14"/>
    </row>
    <row r="1480" spans="1:17" x14ac:dyDescent="0.25">
      <c r="A1480" s="5"/>
      <c r="B1480" s="6"/>
      <c r="C1480" s="4"/>
      <c r="D1480" s="4"/>
      <c r="E1480" s="12"/>
      <c r="F1480" s="12"/>
      <c r="G1480" s="16"/>
      <c r="H1480" s="14"/>
      <c r="I1480" s="14"/>
      <c r="J1480" s="14"/>
      <c r="K1480" s="14"/>
      <c r="L1480" s="14"/>
      <c r="M1480" s="14"/>
      <c r="N1480" s="14"/>
      <c r="O1480" s="4"/>
      <c r="P1480" s="14"/>
      <c r="Q1480" s="14"/>
    </row>
    <row r="1481" spans="1:17" x14ac:dyDescent="0.25">
      <c r="A1481" s="5"/>
      <c r="B1481" s="6"/>
      <c r="C1481" s="4"/>
      <c r="D1481" s="4"/>
      <c r="E1481" s="12"/>
      <c r="F1481" s="12"/>
      <c r="G1481" s="16"/>
      <c r="H1481" s="14"/>
      <c r="I1481" s="14"/>
      <c r="J1481" s="14"/>
      <c r="K1481" s="14"/>
      <c r="L1481" s="14"/>
      <c r="M1481" s="14"/>
      <c r="N1481" s="14"/>
      <c r="O1481" s="4"/>
      <c r="P1481" s="14"/>
      <c r="Q1481" s="14"/>
    </row>
    <row r="1482" spans="1:17" x14ac:dyDescent="0.25">
      <c r="A1482" s="5"/>
      <c r="B1482" s="6"/>
      <c r="C1482" s="4"/>
      <c r="D1482" s="4"/>
      <c r="E1482" s="12"/>
      <c r="F1482" s="12"/>
      <c r="G1482" s="16"/>
      <c r="H1482" s="14"/>
      <c r="I1482" s="14"/>
      <c r="J1482" s="14"/>
      <c r="K1482" s="14"/>
      <c r="L1482" s="14"/>
      <c r="M1482" s="14"/>
      <c r="N1482" s="14"/>
      <c r="O1482" s="4"/>
      <c r="P1482" s="14"/>
      <c r="Q1482" s="14"/>
    </row>
    <row r="1483" spans="1:17" x14ac:dyDescent="0.25">
      <c r="A1483" s="5"/>
      <c r="B1483" s="6"/>
      <c r="C1483" s="4"/>
      <c r="D1483" s="4"/>
      <c r="E1483" s="12"/>
      <c r="F1483" s="12"/>
      <c r="G1483" s="16"/>
      <c r="H1483" s="14"/>
      <c r="I1483" s="14"/>
      <c r="J1483" s="14"/>
      <c r="K1483" s="14"/>
      <c r="L1483" s="14"/>
      <c r="M1483" s="14"/>
      <c r="N1483" s="14"/>
      <c r="O1483" s="4"/>
      <c r="P1483" s="14"/>
      <c r="Q1483" s="14"/>
    </row>
    <row r="1484" spans="1:17" x14ac:dyDescent="0.25">
      <c r="A1484" s="5"/>
      <c r="B1484" s="6"/>
      <c r="C1484" s="4"/>
      <c r="D1484" s="4"/>
      <c r="E1484" s="12"/>
      <c r="F1484" s="12"/>
      <c r="G1484" s="16"/>
      <c r="H1484" s="14"/>
      <c r="I1484" s="14"/>
      <c r="J1484" s="14"/>
      <c r="K1484" s="14"/>
      <c r="L1484" s="14"/>
      <c r="M1484" s="14"/>
      <c r="N1484" s="14"/>
      <c r="O1484" s="4"/>
      <c r="P1484" s="14"/>
      <c r="Q1484" s="14"/>
    </row>
    <row r="1485" spans="1:17" x14ac:dyDescent="0.25">
      <c r="A1485" s="5"/>
      <c r="B1485" s="6"/>
      <c r="C1485" s="4"/>
      <c r="D1485" s="4"/>
      <c r="E1485" s="12"/>
      <c r="F1485" s="12"/>
      <c r="G1485" s="16"/>
      <c r="H1485" s="14"/>
      <c r="I1485" s="14"/>
      <c r="J1485" s="14"/>
      <c r="K1485" s="14"/>
      <c r="L1485" s="14"/>
      <c r="M1485" s="14"/>
      <c r="N1485" s="14"/>
      <c r="O1485" s="4"/>
      <c r="P1485" s="14"/>
      <c r="Q1485" s="14"/>
    </row>
    <row r="1486" spans="1:17" x14ac:dyDescent="0.25">
      <c r="A1486" s="5"/>
      <c r="B1486" s="6"/>
      <c r="C1486" s="4"/>
      <c r="D1486" s="4"/>
      <c r="E1486" s="12"/>
      <c r="F1486" s="12"/>
      <c r="G1486" s="16"/>
      <c r="H1486" s="14"/>
      <c r="I1486" s="14"/>
      <c r="J1486" s="14"/>
      <c r="K1486" s="14"/>
      <c r="L1486" s="14"/>
      <c r="M1486" s="14"/>
      <c r="N1486" s="14"/>
      <c r="O1486" s="4"/>
      <c r="P1486" s="14"/>
      <c r="Q1486" s="14"/>
    </row>
    <row r="1487" spans="1:17" x14ac:dyDescent="0.25">
      <c r="A1487" s="5"/>
      <c r="B1487" s="6"/>
      <c r="C1487" s="4"/>
      <c r="D1487" s="4"/>
      <c r="E1487" s="12"/>
      <c r="F1487" s="12"/>
      <c r="G1487" s="16"/>
      <c r="H1487" s="14"/>
      <c r="I1487" s="14"/>
      <c r="J1487" s="14"/>
      <c r="K1487" s="14"/>
      <c r="L1487" s="14"/>
      <c r="M1487" s="14"/>
      <c r="N1487" s="14"/>
      <c r="O1487" s="4"/>
      <c r="P1487" s="14"/>
      <c r="Q1487" s="14"/>
    </row>
    <row r="1488" spans="1:17" x14ac:dyDescent="0.25">
      <c r="A1488" s="5"/>
      <c r="B1488" s="6"/>
      <c r="C1488" s="4"/>
      <c r="D1488" s="4"/>
      <c r="E1488" s="12"/>
      <c r="F1488" s="12"/>
      <c r="G1488" s="16"/>
      <c r="H1488" s="14"/>
      <c r="I1488" s="14"/>
      <c r="J1488" s="14"/>
      <c r="K1488" s="14"/>
      <c r="L1488" s="14"/>
      <c r="M1488" s="14"/>
      <c r="N1488" s="14"/>
      <c r="O1488" s="4"/>
      <c r="P1488" s="14"/>
      <c r="Q1488" s="14"/>
    </row>
    <row r="1489" spans="1:17" x14ac:dyDescent="0.25">
      <c r="A1489" s="5"/>
      <c r="B1489" s="6"/>
      <c r="C1489" s="4"/>
      <c r="D1489" s="4"/>
      <c r="E1489" s="12"/>
      <c r="F1489" s="12"/>
      <c r="G1489" s="16"/>
      <c r="H1489" s="14"/>
      <c r="I1489" s="14"/>
      <c r="J1489" s="14"/>
      <c r="K1489" s="14"/>
      <c r="L1489" s="14"/>
      <c r="M1489" s="14"/>
      <c r="N1489" s="14"/>
      <c r="O1489" s="4"/>
      <c r="P1489" s="14"/>
      <c r="Q1489" s="14"/>
    </row>
    <row r="1490" spans="1:17" x14ac:dyDescent="0.25">
      <c r="A1490" s="5"/>
      <c r="B1490" s="6"/>
      <c r="C1490" s="4"/>
      <c r="D1490" s="4"/>
      <c r="E1490" s="12"/>
      <c r="F1490" s="12"/>
      <c r="G1490" s="16"/>
      <c r="H1490" s="14"/>
      <c r="I1490" s="14"/>
      <c r="J1490" s="14"/>
      <c r="K1490" s="14"/>
      <c r="L1490" s="14"/>
      <c r="M1490" s="14"/>
      <c r="N1490" s="14"/>
      <c r="O1490" s="4"/>
      <c r="P1490" s="14"/>
      <c r="Q1490" s="14"/>
    </row>
    <row r="1491" spans="1:17" x14ac:dyDescent="0.25">
      <c r="A1491" s="5"/>
      <c r="B1491" s="6"/>
      <c r="C1491" s="4"/>
      <c r="D1491" s="4"/>
      <c r="E1491" s="12"/>
      <c r="F1491" s="12"/>
      <c r="G1491" s="16"/>
      <c r="H1491" s="14"/>
      <c r="I1491" s="14"/>
      <c r="J1491" s="14"/>
      <c r="K1491" s="14"/>
      <c r="L1491" s="14"/>
      <c r="M1491" s="14"/>
      <c r="N1491" s="14"/>
      <c r="O1491" s="4"/>
      <c r="P1491" s="14"/>
      <c r="Q1491" s="14"/>
    </row>
    <row r="1492" spans="1:17" x14ac:dyDescent="0.25">
      <c r="A1492" s="5"/>
      <c r="B1492" s="6"/>
      <c r="C1492" s="4"/>
      <c r="D1492" s="4"/>
      <c r="E1492" s="12"/>
      <c r="F1492" s="12"/>
      <c r="G1492" s="16"/>
      <c r="H1492" s="14"/>
      <c r="I1492" s="14"/>
      <c r="J1492" s="14"/>
      <c r="K1492" s="14"/>
      <c r="L1492" s="14"/>
      <c r="M1492" s="14"/>
      <c r="N1492" s="14"/>
      <c r="O1492" s="4"/>
      <c r="P1492" s="14"/>
      <c r="Q1492" s="14"/>
    </row>
    <row r="1493" spans="1:17" x14ac:dyDescent="0.25">
      <c r="A1493" s="5"/>
      <c r="B1493" s="6"/>
      <c r="C1493" s="4"/>
      <c r="D1493" s="4"/>
      <c r="E1493" s="12"/>
      <c r="F1493" s="12"/>
      <c r="G1493" s="16"/>
      <c r="H1493" s="14"/>
      <c r="I1493" s="14"/>
      <c r="J1493" s="14"/>
      <c r="K1493" s="14"/>
      <c r="L1493" s="14"/>
      <c r="M1493" s="14"/>
      <c r="N1493" s="14"/>
      <c r="O1493" s="4"/>
      <c r="P1493" s="14"/>
      <c r="Q1493" s="14"/>
    </row>
    <row r="1494" spans="1:17" x14ac:dyDescent="0.25">
      <c r="A1494" s="5"/>
      <c r="B1494" s="6"/>
      <c r="C1494" s="4"/>
      <c r="D1494" s="4"/>
      <c r="E1494" s="12"/>
      <c r="F1494" s="12"/>
      <c r="G1494" s="16"/>
      <c r="H1494" s="14"/>
      <c r="I1494" s="14"/>
      <c r="J1494" s="14"/>
      <c r="K1494" s="14"/>
      <c r="L1494" s="14"/>
      <c r="M1494" s="14"/>
      <c r="N1494" s="14"/>
      <c r="O1494" s="4"/>
      <c r="P1494" s="14"/>
      <c r="Q1494" s="14"/>
    </row>
    <row r="1495" spans="1:17" x14ac:dyDescent="0.25">
      <c r="A1495" s="5"/>
      <c r="B1495" s="6"/>
      <c r="C1495" s="4"/>
      <c r="D1495" s="4"/>
      <c r="E1495" s="12"/>
      <c r="F1495" s="12"/>
      <c r="G1495" s="16"/>
      <c r="H1495" s="14"/>
      <c r="I1495" s="14"/>
      <c r="J1495" s="14"/>
      <c r="K1495" s="14"/>
      <c r="L1495" s="14"/>
      <c r="M1495" s="14"/>
      <c r="N1495" s="14"/>
      <c r="O1495" s="4"/>
      <c r="P1495" s="14"/>
      <c r="Q1495" s="14"/>
    </row>
    <row r="1496" spans="1:17" x14ac:dyDescent="0.25">
      <c r="A1496" s="5"/>
      <c r="B1496" s="6"/>
      <c r="C1496" s="4"/>
      <c r="D1496" s="4"/>
      <c r="E1496" s="12"/>
      <c r="F1496" s="12"/>
      <c r="G1496" s="16"/>
      <c r="H1496" s="14"/>
      <c r="I1496" s="14"/>
      <c r="J1496" s="14"/>
      <c r="K1496" s="14"/>
      <c r="L1496" s="14"/>
      <c r="M1496" s="14"/>
      <c r="N1496" s="14"/>
      <c r="O1496" s="4"/>
      <c r="P1496" s="14"/>
      <c r="Q1496" s="14"/>
    </row>
    <row r="1497" spans="1:17" x14ac:dyDescent="0.25">
      <c r="A1497" s="5"/>
      <c r="B1497" s="6"/>
      <c r="C1497" s="4"/>
      <c r="D1497" s="4"/>
      <c r="E1497" s="12"/>
      <c r="F1497" s="12"/>
      <c r="G1497" s="16"/>
      <c r="H1497" s="14"/>
      <c r="I1497" s="14"/>
      <c r="J1497" s="14"/>
      <c r="K1497" s="14"/>
      <c r="L1497" s="14"/>
      <c r="M1497" s="14"/>
      <c r="N1497" s="14"/>
      <c r="O1497" s="4"/>
      <c r="P1497" s="14"/>
      <c r="Q1497" s="14"/>
    </row>
    <row r="1498" spans="1:17" x14ac:dyDescent="0.25">
      <c r="A1498" s="5"/>
      <c r="B1498" s="6"/>
      <c r="C1498" s="4"/>
      <c r="D1498" s="4"/>
      <c r="E1498" s="12"/>
      <c r="F1498" s="12"/>
      <c r="G1498" s="16"/>
      <c r="H1498" s="14"/>
      <c r="I1498" s="14"/>
      <c r="J1498" s="14"/>
      <c r="K1498" s="14"/>
      <c r="L1498" s="14"/>
      <c r="M1498" s="14"/>
      <c r="N1498" s="14"/>
      <c r="O1498" s="4"/>
      <c r="P1498" s="14"/>
      <c r="Q1498" s="14"/>
    </row>
    <row r="1499" spans="1:17" x14ac:dyDescent="0.25">
      <c r="A1499" s="5"/>
      <c r="B1499" s="6"/>
      <c r="C1499" s="4"/>
      <c r="D1499" s="4"/>
      <c r="E1499" s="12"/>
      <c r="F1499" s="12"/>
      <c r="G1499" s="16"/>
      <c r="H1499" s="14"/>
      <c r="I1499" s="14"/>
      <c r="J1499" s="14"/>
      <c r="K1499" s="14"/>
      <c r="L1499" s="14"/>
      <c r="M1499" s="14"/>
      <c r="N1499" s="14"/>
      <c r="O1499" s="4"/>
      <c r="P1499" s="14"/>
      <c r="Q1499" s="14"/>
    </row>
    <row r="1500" spans="1:17" x14ac:dyDescent="0.25">
      <c r="A1500" s="5"/>
      <c r="B1500" s="6"/>
      <c r="C1500" s="4"/>
      <c r="D1500" s="4"/>
      <c r="E1500" s="12"/>
      <c r="F1500" s="12"/>
      <c r="G1500" s="16"/>
      <c r="H1500" s="14"/>
      <c r="I1500" s="14"/>
      <c r="J1500" s="14"/>
      <c r="K1500" s="14"/>
      <c r="L1500" s="14"/>
      <c r="M1500" s="14"/>
      <c r="N1500" s="14"/>
      <c r="O1500" s="4"/>
      <c r="P1500" s="14"/>
      <c r="Q1500" s="14"/>
    </row>
    <row r="1501" spans="1:17" x14ac:dyDescent="0.25">
      <c r="A1501" s="5"/>
      <c r="B1501" s="6"/>
      <c r="C1501" s="4"/>
      <c r="D1501" s="4"/>
      <c r="E1501" s="12"/>
      <c r="F1501" s="12"/>
      <c r="G1501" s="16"/>
      <c r="H1501" s="14"/>
      <c r="I1501" s="14"/>
      <c r="J1501" s="14"/>
      <c r="K1501" s="14"/>
      <c r="L1501" s="14"/>
      <c r="M1501" s="14"/>
      <c r="N1501" s="14"/>
      <c r="O1501" s="4"/>
      <c r="P1501" s="14"/>
      <c r="Q1501" s="14"/>
    </row>
    <row r="1502" spans="1:17" x14ac:dyDescent="0.25">
      <c r="A1502" s="5"/>
      <c r="B1502" s="6"/>
      <c r="C1502" s="4"/>
      <c r="D1502" s="4"/>
      <c r="E1502" s="12"/>
      <c r="F1502" s="12"/>
      <c r="G1502" s="16"/>
      <c r="H1502" s="14"/>
      <c r="I1502" s="14"/>
      <c r="J1502" s="14"/>
      <c r="K1502" s="14"/>
      <c r="L1502" s="14"/>
      <c r="M1502" s="14"/>
      <c r="N1502" s="14"/>
      <c r="O1502" s="4"/>
      <c r="P1502" s="14"/>
      <c r="Q1502" s="14"/>
    </row>
    <row r="1503" spans="1:17" x14ac:dyDescent="0.25">
      <c r="A1503" s="5"/>
      <c r="B1503" s="6"/>
      <c r="C1503" s="4"/>
      <c r="D1503" s="4"/>
      <c r="E1503" s="12"/>
      <c r="F1503" s="12"/>
      <c r="G1503" s="16"/>
      <c r="H1503" s="14"/>
      <c r="I1503" s="14"/>
      <c r="J1503" s="14"/>
      <c r="K1503" s="14"/>
      <c r="L1503" s="14"/>
      <c r="M1503" s="14"/>
      <c r="N1503" s="14"/>
      <c r="O1503" s="4"/>
      <c r="P1503" s="14"/>
      <c r="Q1503" s="14"/>
    </row>
    <row r="1504" spans="1:17" x14ac:dyDescent="0.25">
      <c r="A1504" s="5"/>
      <c r="B1504" s="6"/>
      <c r="C1504" s="4"/>
      <c r="D1504" s="4"/>
      <c r="E1504" s="12"/>
      <c r="F1504" s="12"/>
      <c r="G1504" s="16"/>
      <c r="H1504" s="14"/>
      <c r="I1504" s="14"/>
      <c r="J1504" s="14"/>
      <c r="K1504" s="14"/>
      <c r="L1504" s="14"/>
      <c r="M1504" s="14"/>
      <c r="N1504" s="14"/>
      <c r="O1504" s="4"/>
      <c r="P1504" s="14"/>
      <c r="Q1504" s="14"/>
    </row>
    <row r="1505" spans="1:17" x14ac:dyDescent="0.25">
      <c r="A1505" s="5"/>
      <c r="B1505" s="6"/>
      <c r="C1505" s="4"/>
      <c r="D1505" s="4"/>
      <c r="E1505" s="12"/>
      <c r="F1505" s="12"/>
      <c r="G1505" s="16"/>
      <c r="H1505" s="14"/>
      <c r="I1505" s="14"/>
      <c r="J1505" s="14"/>
      <c r="K1505" s="14"/>
      <c r="L1505" s="14"/>
      <c r="M1505" s="14"/>
      <c r="N1505" s="14"/>
      <c r="O1505" s="4"/>
      <c r="P1505" s="14"/>
      <c r="Q1505" s="14"/>
    </row>
    <row r="1506" spans="1:17" x14ac:dyDescent="0.25">
      <c r="A1506" s="5"/>
      <c r="B1506" s="6"/>
      <c r="C1506" s="4"/>
      <c r="D1506" s="4"/>
      <c r="E1506" s="12"/>
      <c r="F1506" s="12"/>
      <c r="G1506" s="16"/>
      <c r="H1506" s="14"/>
      <c r="I1506" s="14"/>
      <c r="J1506" s="14"/>
      <c r="K1506" s="14"/>
      <c r="L1506" s="14"/>
      <c r="M1506" s="14"/>
      <c r="N1506" s="14"/>
      <c r="O1506" s="4"/>
      <c r="P1506" s="14"/>
      <c r="Q1506" s="14"/>
    </row>
    <row r="1507" spans="1:17" x14ac:dyDescent="0.25">
      <c r="A1507" s="5"/>
      <c r="B1507" s="6"/>
      <c r="C1507" s="4"/>
      <c r="D1507" s="4"/>
      <c r="E1507" s="12"/>
      <c r="F1507" s="12"/>
      <c r="G1507" s="16"/>
      <c r="H1507" s="14"/>
      <c r="I1507" s="14"/>
      <c r="J1507" s="14"/>
      <c r="K1507" s="14"/>
      <c r="L1507" s="14"/>
      <c r="M1507" s="14"/>
      <c r="N1507" s="14"/>
      <c r="O1507" s="4"/>
      <c r="P1507" s="14"/>
      <c r="Q1507" s="14"/>
    </row>
    <row r="1508" spans="1:17" x14ac:dyDescent="0.25">
      <c r="A1508" s="5"/>
      <c r="B1508" s="6"/>
      <c r="C1508" s="4"/>
      <c r="D1508" s="4"/>
      <c r="E1508" s="12"/>
      <c r="F1508" s="12"/>
      <c r="G1508" s="16"/>
      <c r="H1508" s="14"/>
      <c r="I1508" s="14"/>
      <c r="J1508" s="14"/>
      <c r="K1508" s="14"/>
      <c r="L1508" s="14"/>
      <c r="M1508" s="14"/>
      <c r="N1508" s="14"/>
      <c r="O1508" s="4"/>
      <c r="P1508" s="14"/>
      <c r="Q1508" s="14"/>
    </row>
    <row r="1509" spans="1:17" x14ac:dyDescent="0.25">
      <c r="A1509" s="5"/>
      <c r="B1509" s="6"/>
      <c r="C1509" s="4"/>
      <c r="D1509" s="4"/>
      <c r="E1509" s="12"/>
      <c r="F1509" s="12"/>
      <c r="G1509" s="16"/>
      <c r="H1509" s="14"/>
      <c r="I1509" s="14"/>
      <c r="J1509" s="14"/>
      <c r="K1509" s="14"/>
      <c r="L1509" s="14"/>
      <c r="M1509" s="14"/>
      <c r="N1509" s="14"/>
      <c r="O1509" s="4"/>
      <c r="P1509" s="14"/>
      <c r="Q1509" s="14"/>
    </row>
    <row r="1510" spans="1:17" x14ac:dyDescent="0.25">
      <c r="A1510" s="5"/>
      <c r="B1510" s="6"/>
      <c r="C1510" s="4"/>
      <c r="D1510" s="4"/>
      <c r="E1510" s="12"/>
      <c r="F1510" s="12"/>
      <c r="G1510" s="16"/>
      <c r="H1510" s="14"/>
      <c r="I1510" s="14"/>
      <c r="J1510" s="14"/>
      <c r="K1510" s="14"/>
      <c r="L1510" s="14"/>
      <c r="M1510" s="14"/>
      <c r="N1510" s="14"/>
      <c r="O1510" s="4"/>
      <c r="P1510" s="14"/>
      <c r="Q1510" s="14"/>
    </row>
    <row r="1511" spans="1:17" x14ac:dyDescent="0.25">
      <c r="A1511" s="5"/>
      <c r="B1511" s="6"/>
      <c r="C1511" s="4"/>
      <c r="D1511" s="4"/>
      <c r="E1511" s="12"/>
      <c r="F1511" s="12"/>
      <c r="G1511" s="16"/>
      <c r="H1511" s="14"/>
      <c r="I1511" s="14"/>
      <c r="J1511" s="14"/>
      <c r="K1511" s="14"/>
      <c r="L1511" s="14"/>
      <c r="M1511" s="14"/>
      <c r="N1511" s="14"/>
      <c r="O1511" s="4"/>
      <c r="P1511" s="14"/>
      <c r="Q1511" s="14"/>
    </row>
    <row r="1512" spans="1:17" x14ac:dyDescent="0.25">
      <c r="A1512" s="5"/>
      <c r="B1512" s="6"/>
      <c r="C1512" s="4"/>
      <c r="D1512" s="4"/>
      <c r="E1512" s="12"/>
      <c r="F1512" s="12"/>
      <c r="G1512" s="16"/>
      <c r="H1512" s="14"/>
      <c r="I1512" s="14"/>
      <c r="J1512" s="14"/>
      <c r="K1512" s="14"/>
      <c r="L1512" s="14"/>
      <c r="M1512" s="14"/>
      <c r="N1512" s="14"/>
      <c r="O1512" s="4"/>
      <c r="P1512" s="14"/>
      <c r="Q1512" s="14"/>
    </row>
    <row r="1513" spans="1:17" x14ac:dyDescent="0.25">
      <c r="A1513" s="5"/>
      <c r="B1513" s="6"/>
      <c r="C1513" s="4"/>
      <c r="D1513" s="4"/>
      <c r="E1513" s="12"/>
      <c r="F1513" s="12"/>
      <c r="G1513" s="16"/>
      <c r="H1513" s="14"/>
      <c r="I1513" s="14"/>
      <c r="J1513" s="14"/>
      <c r="K1513" s="14"/>
      <c r="L1513" s="14"/>
      <c r="M1513" s="14"/>
      <c r="N1513" s="14"/>
      <c r="O1513" s="4"/>
      <c r="P1513" s="14"/>
      <c r="Q1513" s="14"/>
    </row>
    <row r="1514" spans="1:17" x14ac:dyDescent="0.25">
      <c r="A1514" s="5"/>
      <c r="B1514" s="6"/>
      <c r="C1514" s="4"/>
      <c r="D1514" s="4"/>
      <c r="E1514" s="12"/>
      <c r="F1514" s="12"/>
      <c r="G1514" s="16"/>
      <c r="H1514" s="14"/>
      <c r="I1514" s="14"/>
      <c r="J1514" s="14"/>
      <c r="K1514" s="14"/>
      <c r="L1514" s="14"/>
      <c r="M1514" s="14"/>
      <c r="N1514" s="14"/>
      <c r="O1514" s="4"/>
      <c r="P1514" s="14"/>
      <c r="Q1514" s="14"/>
    </row>
    <row r="1515" spans="1:17" x14ac:dyDescent="0.25">
      <c r="A1515" s="5"/>
      <c r="B1515" s="6"/>
      <c r="C1515" s="4"/>
      <c r="D1515" s="4"/>
      <c r="E1515" s="12"/>
      <c r="F1515" s="12"/>
      <c r="G1515" s="16"/>
      <c r="H1515" s="14"/>
      <c r="I1515" s="14"/>
      <c r="J1515" s="14"/>
      <c r="K1515" s="14"/>
      <c r="L1515" s="14"/>
      <c r="M1515" s="14"/>
      <c r="N1515" s="14"/>
      <c r="O1515" s="4"/>
      <c r="P1515" s="14"/>
      <c r="Q1515" s="14"/>
    </row>
    <row r="1516" spans="1:17" x14ac:dyDescent="0.25">
      <c r="A1516" s="5"/>
      <c r="B1516" s="6"/>
      <c r="C1516" s="4"/>
      <c r="D1516" s="4"/>
      <c r="E1516" s="12"/>
      <c r="F1516" s="12"/>
      <c r="G1516" s="16"/>
      <c r="H1516" s="14"/>
      <c r="I1516" s="14"/>
      <c r="J1516" s="14"/>
      <c r="K1516" s="14"/>
      <c r="L1516" s="14"/>
      <c r="M1516" s="14"/>
      <c r="N1516" s="14"/>
      <c r="O1516" s="4"/>
      <c r="P1516" s="14"/>
      <c r="Q1516" s="14"/>
    </row>
    <row r="1517" spans="1:17" x14ac:dyDescent="0.25">
      <c r="A1517" s="5"/>
      <c r="B1517" s="6"/>
      <c r="C1517" s="4"/>
      <c r="D1517" s="4"/>
      <c r="E1517" s="12"/>
      <c r="F1517" s="12"/>
      <c r="G1517" s="16"/>
      <c r="H1517" s="14"/>
      <c r="I1517" s="14"/>
      <c r="J1517" s="14"/>
      <c r="K1517" s="14"/>
      <c r="L1517" s="14"/>
      <c r="M1517" s="14"/>
      <c r="N1517" s="14"/>
      <c r="O1517" s="4"/>
      <c r="P1517" s="14"/>
      <c r="Q1517" s="14"/>
    </row>
    <row r="1518" spans="1:17" x14ac:dyDescent="0.25">
      <c r="A1518" s="5"/>
      <c r="B1518" s="6"/>
      <c r="C1518" s="4"/>
      <c r="D1518" s="4"/>
      <c r="E1518" s="12"/>
      <c r="F1518" s="12"/>
      <c r="G1518" s="16"/>
      <c r="H1518" s="14"/>
      <c r="I1518" s="14"/>
      <c r="J1518" s="14"/>
      <c r="K1518" s="14"/>
      <c r="L1518" s="14"/>
      <c r="M1518" s="14"/>
      <c r="N1518" s="14"/>
      <c r="O1518" s="4"/>
      <c r="P1518" s="14"/>
      <c r="Q1518" s="14"/>
    </row>
    <row r="1519" spans="1:17" x14ac:dyDescent="0.25">
      <c r="A1519" s="5"/>
      <c r="B1519" s="6"/>
      <c r="C1519" s="4"/>
      <c r="D1519" s="4"/>
      <c r="E1519" s="12"/>
      <c r="F1519" s="12"/>
      <c r="G1519" s="16"/>
      <c r="H1519" s="14"/>
      <c r="I1519" s="14"/>
      <c r="J1519" s="14"/>
      <c r="K1519" s="14"/>
      <c r="L1519" s="14"/>
      <c r="M1519" s="14"/>
      <c r="N1519" s="14"/>
      <c r="O1519" s="4"/>
      <c r="P1519" s="14"/>
      <c r="Q1519" s="14"/>
    </row>
    <row r="1520" spans="1:17" x14ac:dyDescent="0.25">
      <c r="A1520" s="5"/>
      <c r="B1520" s="6"/>
      <c r="C1520" s="4"/>
      <c r="D1520" s="4"/>
      <c r="E1520" s="12"/>
      <c r="F1520" s="12"/>
      <c r="G1520" s="16"/>
      <c r="H1520" s="14"/>
      <c r="I1520" s="14"/>
      <c r="J1520" s="14"/>
      <c r="K1520" s="14"/>
      <c r="L1520" s="14"/>
      <c r="M1520" s="14"/>
      <c r="N1520" s="14"/>
      <c r="O1520" s="4"/>
      <c r="P1520" s="14"/>
      <c r="Q1520" s="14"/>
    </row>
    <row r="1521" spans="1:17" x14ac:dyDescent="0.25">
      <c r="A1521" s="5"/>
      <c r="B1521" s="6"/>
      <c r="C1521" s="4"/>
      <c r="D1521" s="4"/>
      <c r="E1521" s="12"/>
      <c r="F1521" s="12"/>
      <c r="G1521" s="16"/>
      <c r="H1521" s="14"/>
      <c r="I1521" s="14"/>
      <c r="J1521" s="14"/>
      <c r="K1521" s="14"/>
      <c r="L1521" s="14"/>
      <c r="M1521" s="14"/>
      <c r="N1521" s="14"/>
      <c r="O1521" s="4"/>
      <c r="P1521" s="14"/>
      <c r="Q1521" s="14"/>
    </row>
    <row r="1522" spans="1:17" x14ac:dyDescent="0.25">
      <c r="A1522" s="5"/>
      <c r="B1522" s="6"/>
      <c r="C1522" s="4"/>
      <c r="D1522" s="4"/>
      <c r="E1522" s="12"/>
      <c r="F1522" s="12"/>
      <c r="G1522" s="16"/>
      <c r="H1522" s="14"/>
      <c r="I1522" s="14"/>
      <c r="J1522" s="14"/>
      <c r="K1522" s="14"/>
      <c r="L1522" s="14"/>
      <c r="M1522" s="14"/>
      <c r="N1522" s="14"/>
      <c r="O1522" s="4"/>
      <c r="P1522" s="14"/>
      <c r="Q1522" s="14"/>
    </row>
    <row r="1523" spans="1:17" x14ac:dyDescent="0.25">
      <c r="A1523" s="5"/>
      <c r="B1523" s="6"/>
      <c r="C1523" s="4"/>
      <c r="D1523" s="4"/>
      <c r="E1523" s="12"/>
      <c r="F1523" s="12"/>
      <c r="G1523" s="16"/>
      <c r="H1523" s="14"/>
      <c r="I1523" s="14"/>
      <c r="J1523" s="14"/>
      <c r="K1523" s="14"/>
      <c r="L1523" s="14"/>
      <c r="M1523" s="14"/>
      <c r="N1523" s="14"/>
      <c r="O1523" s="4"/>
      <c r="P1523" s="14"/>
      <c r="Q1523" s="14"/>
    </row>
    <row r="1524" spans="1:17" x14ac:dyDescent="0.25">
      <c r="A1524" s="5"/>
      <c r="B1524" s="6"/>
      <c r="C1524" s="4"/>
      <c r="D1524" s="4"/>
      <c r="E1524" s="12"/>
      <c r="F1524" s="12"/>
      <c r="G1524" s="16"/>
      <c r="H1524" s="14"/>
      <c r="I1524" s="14"/>
      <c r="J1524" s="14"/>
      <c r="K1524" s="14"/>
      <c r="L1524" s="14"/>
      <c r="M1524" s="14"/>
      <c r="N1524" s="14"/>
      <c r="O1524" s="4"/>
      <c r="P1524" s="14"/>
      <c r="Q1524" s="14"/>
    </row>
    <row r="1525" spans="1:17" x14ac:dyDescent="0.25">
      <c r="A1525" s="5"/>
      <c r="B1525" s="6"/>
      <c r="C1525" s="4"/>
      <c r="D1525" s="4"/>
      <c r="E1525" s="12"/>
      <c r="F1525" s="12"/>
      <c r="G1525" s="16"/>
      <c r="H1525" s="14"/>
      <c r="I1525" s="14"/>
      <c r="J1525" s="14"/>
      <c r="K1525" s="14"/>
      <c r="L1525" s="14"/>
      <c r="M1525" s="14"/>
      <c r="N1525" s="14"/>
      <c r="O1525" s="4"/>
      <c r="P1525" s="14"/>
      <c r="Q1525" s="14"/>
    </row>
    <row r="1526" spans="1:17" x14ac:dyDescent="0.25">
      <c r="A1526" s="5"/>
      <c r="B1526" s="6"/>
      <c r="C1526" s="4"/>
      <c r="D1526" s="4"/>
      <c r="E1526" s="12"/>
      <c r="F1526" s="12"/>
      <c r="G1526" s="16"/>
      <c r="H1526" s="14"/>
      <c r="I1526" s="14"/>
      <c r="J1526" s="14"/>
      <c r="K1526" s="14"/>
      <c r="L1526" s="14"/>
      <c r="M1526" s="14"/>
      <c r="N1526" s="14"/>
      <c r="O1526" s="4"/>
      <c r="P1526" s="14"/>
      <c r="Q1526" s="14"/>
    </row>
    <row r="1527" spans="1:17" x14ac:dyDescent="0.25">
      <c r="A1527" s="5"/>
      <c r="B1527" s="6"/>
      <c r="C1527" s="4"/>
      <c r="D1527" s="4"/>
      <c r="E1527" s="12"/>
      <c r="F1527" s="12"/>
      <c r="G1527" s="16"/>
      <c r="H1527" s="14"/>
      <c r="I1527" s="14"/>
      <c r="J1527" s="14"/>
      <c r="K1527" s="14"/>
      <c r="L1527" s="14"/>
      <c r="M1527" s="14"/>
      <c r="N1527" s="14"/>
      <c r="O1527" s="4"/>
      <c r="P1527" s="14"/>
      <c r="Q1527" s="14"/>
    </row>
    <row r="1528" spans="1:17" x14ac:dyDescent="0.25">
      <c r="A1528" s="5"/>
      <c r="B1528" s="6"/>
      <c r="C1528" s="4"/>
      <c r="D1528" s="4"/>
      <c r="E1528" s="12"/>
      <c r="F1528" s="12"/>
      <c r="G1528" s="16"/>
      <c r="H1528" s="14"/>
      <c r="I1528" s="14"/>
      <c r="J1528" s="14"/>
      <c r="K1528" s="14"/>
      <c r="L1528" s="14"/>
      <c r="M1528" s="14"/>
      <c r="N1528" s="14"/>
      <c r="O1528" s="4"/>
      <c r="P1528" s="14"/>
      <c r="Q1528" s="14"/>
    </row>
    <row r="1529" spans="1:17" x14ac:dyDescent="0.25">
      <c r="A1529" s="5"/>
      <c r="B1529" s="6"/>
      <c r="C1529" s="4"/>
      <c r="D1529" s="4"/>
      <c r="E1529" s="12"/>
      <c r="F1529" s="12"/>
      <c r="G1529" s="16"/>
      <c r="H1529" s="14"/>
      <c r="I1529" s="14"/>
      <c r="J1529" s="14"/>
      <c r="K1529" s="14"/>
      <c r="L1529" s="14"/>
      <c r="M1529" s="14"/>
      <c r="N1529" s="14"/>
      <c r="O1529" s="4"/>
      <c r="P1529" s="14"/>
      <c r="Q1529" s="14"/>
    </row>
    <row r="1530" spans="1:17" x14ac:dyDescent="0.25">
      <c r="A1530" s="5"/>
      <c r="B1530" s="6"/>
      <c r="C1530" s="4"/>
      <c r="D1530" s="4"/>
      <c r="E1530" s="12"/>
      <c r="F1530" s="12"/>
      <c r="G1530" s="16"/>
      <c r="H1530" s="14"/>
      <c r="I1530" s="14"/>
      <c r="J1530" s="14"/>
      <c r="K1530" s="14"/>
      <c r="L1530" s="14"/>
      <c r="M1530" s="14"/>
      <c r="N1530" s="14"/>
      <c r="O1530" s="4"/>
      <c r="P1530" s="14"/>
      <c r="Q1530" s="14"/>
    </row>
    <row r="1531" spans="1:17" x14ac:dyDescent="0.25">
      <c r="A1531" s="5"/>
      <c r="B1531" s="6"/>
      <c r="C1531" s="4"/>
      <c r="D1531" s="4"/>
      <c r="E1531" s="12"/>
      <c r="F1531" s="12"/>
      <c r="G1531" s="16"/>
      <c r="H1531" s="14"/>
      <c r="I1531" s="14"/>
      <c r="J1531" s="14"/>
      <c r="K1531" s="14"/>
      <c r="L1531" s="14"/>
      <c r="M1531" s="14"/>
      <c r="N1531" s="14"/>
      <c r="O1531" s="4"/>
      <c r="P1531" s="14"/>
      <c r="Q1531" s="14"/>
    </row>
    <row r="1532" spans="1:17" x14ac:dyDescent="0.25">
      <c r="A1532" s="5"/>
      <c r="B1532" s="6"/>
      <c r="C1532" s="4"/>
      <c r="D1532" s="4"/>
      <c r="E1532" s="12"/>
      <c r="F1532" s="12"/>
      <c r="G1532" s="16"/>
      <c r="H1532" s="14"/>
      <c r="I1532" s="14"/>
      <c r="J1532" s="14"/>
      <c r="K1532" s="14"/>
      <c r="L1532" s="14"/>
      <c r="M1532" s="14"/>
      <c r="N1532" s="14"/>
      <c r="O1532" s="4"/>
      <c r="P1532" s="14"/>
      <c r="Q1532" s="14"/>
    </row>
    <row r="1533" spans="1:17" x14ac:dyDescent="0.25">
      <c r="A1533" s="5"/>
      <c r="B1533" s="6"/>
      <c r="C1533" s="4"/>
      <c r="D1533" s="4"/>
      <c r="E1533" s="12"/>
      <c r="F1533" s="12"/>
      <c r="G1533" s="16"/>
      <c r="H1533" s="14"/>
      <c r="I1533" s="14"/>
      <c r="J1533" s="14"/>
      <c r="K1533" s="14"/>
      <c r="L1533" s="14"/>
      <c r="M1533" s="14"/>
      <c r="N1533" s="14"/>
      <c r="O1533" s="4"/>
      <c r="P1533" s="14"/>
      <c r="Q1533" s="14"/>
    </row>
    <row r="1534" spans="1:17" x14ac:dyDescent="0.25">
      <c r="A1534" s="5"/>
      <c r="B1534" s="6"/>
      <c r="C1534" s="4"/>
      <c r="D1534" s="4"/>
      <c r="E1534" s="12"/>
      <c r="F1534" s="12"/>
      <c r="G1534" s="16"/>
      <c r="H1534" s="14"/>
      <c r="I1534" s="14"/>
      <c r="J1534" s="14"/>
      <c r="K1534" s="14"/>
      <c r="L1534" s="14"/>
      <c r="M1534" s="14"/>
      <c r="N1534" s="14"/>
      <c r="O1534" s="4"/>
      <c r="P1534" s="14"/>
      <c r="Q1534" s="14"/>
    </row>
    <row r="1535" spans="1:17" x14ac:dyDescent="0.25">
      <c r="A1535" s="5"/>
      <c r="B1535" s="6"/>
      <c r="C1535" s="4"/>
      <c r="D1535" s="4"/>
      <c r="E1535" s="12"/>
      <c r="F1535" s="12"/>
      <c r="G1535" s="16"/>
      <c r="H1535" s="14"/>
      <c r="I1535" s="14"/>
      <c r="J1535" s="14"/>
      <c r="K1535" s="14"/>
      <c r="L1535" s="14"/>
      <c r="M1535" s="14"/>
      <c r="N1535" s="14"/>
      <c r="O1535" s="4"/>
      <c r="P1535" s="14"/>
      <c r="Q1535" s="14"/>
    </row>
    <row r="1536" spans="1:17" x14ac:dyDescent="0.25">
      <c r="A1536" s="5"/>
      <c r="B1536" s="6"/>
      <c r="C1536" s="4"/>
      <c r="D1536" s="4"/>
      <c r="E1536" s="12"/>
      <c r="F1536" s="12"/>
      <c r="G1536" s="16"/>
      <c r="H1536" s="14"/>
      <c r="I1536" s="14"/>
      <c r="J1536" s="14"/>
      <c r="K1536" s="14"/>
      <c r="L1536" s="14"/>
      <c r="M1536" s="14"/>
      <c r="N1536" s="14"/>
      <c r="O1536" s="4"/>
      <c r="P1536" s="14"/>
      <c r="Q1536" s="14"/>
    </row>
    <row r="1537" spans="1:17" x14ac:dyDescent="0.25">
      <c r="A1537" s="5"/>
      <c r="B1537" s="6"/>
      <c r="C1537" s="4"/>
      <c r="D1537" s="4"/>
      <c r="E1537" s="12"/>
      <c r="F1537" s="12"/>
      <c r="G1537" s="16"/>
      <c r="H1537" s="14"/>
      <c r="I1537" s="14"/>
      <c r="J1537" s="14"/>
      <c r="K1537" s="14"/>
      <c r="L1537" s="14"/>
      <c r="M1537" s="14"/>
      <c r="N1537" s="14"/>
      <c r="O1537" s="4"/>
      <c r="P1537" s="14"/>
      <c r="Q1537" s="14"/>
    </row>
    <row r="1538" spans="1:17" x14ac:dyDescent="0.25">
      <c r="A1538" s="5"/>
      <c r="B1538" s="6"/>
      <c r="C1538" s="4"/>
      <c r="D1538" s="4"/>
      <c r="E1538" s="12"/>
      <c r="F1538" s="12"/>
      <c r="G1538" s="16"/>
      <c r="H1538" s="14"/>
      <c r="I1538" s="14"/>
      <c r="J1538" s="14"/>
      <c r="K1538" s="14"/>
      <c r="L1538" s="14"/>
      <c r="M1538" s="14"/>
      <c r="N1538" s="14"/>
      <c r="O1538" s="4"/>
      <c r="P1538" s="14"/>
      <c r="Q1538" s="14"/>
    </row>
    <row r="1539" spans="1:17" x14ac:dyDescent="0.25">
      <c r="A1539" s="5"/>
      <c r="B1539" s="6"/>
      <c r="C1539" s="4"/>
      <c r="D1539" s="4"/>
      <c r="E1539" s="12"/>
      <c r="F1539" s="12"/>
      <c r="G1539" s="16"/>
      <c r="H1539" s="14"/>
      <c r="I1539" s="14"/>
      <c r="J1539" s="14"/>
      <c r="K1539" s="14"/>
      <c r="L1539" s="14"/>
      <c r="M1539" s="14"/>
      <c r="N1539" s="14"/>
      <c r="O1539" s="4"/>
      <c r="P1539" s="14"/>
      <c r="Q1539" s="14"/>
    </row>
    <row r="1540" spans="1:17" x14ac:dyDescent="0.25">
      <c r="A1540" s="5"/>
      <c r="B1540" s="6"/>
      <c r="C1540" s="4"/>
      <c r="D1540" s="4"/>
      <c r="E1540" s="12"/>
      <c r="F1540" s="12"/>
      <c r="G1540" s="16"/>
      <c r="H1540" s="14"/>
      <c r="I1540" s="14"/>
      <c r="J1540" s="14"/>
      <c r="K1540" s="14"/>
      <c r="L1540" s="14"/>
      <c r="M1540" s="14"/>
      <c r="N1540" s="14"/>
      <c r="O1540" s="4"/>
      <c r="P1540" s="14"/>
      <c r="Q1540" s="14"/>
    </row>
    <row r="1541" spans="1:17" x14ac:dyDescent="0.25">
      <c r="A1541" s="5"/>
      <c r="B1541" s="6"/>
      <c r="C1541" s="4"/>
      <c r="D1541" s="4"/>
      <c r="E1541" s="12"/>
      <c r="F1541" s="12"/>
      <c r="G1541" s="16"/>
      <c r="H1541" s="14"/>
      <c r="I1541" s="14"/>
      <c r="J1541" s="14"/>
      <c r="K1541" s="14"/>
      <c r="L1541" s="14"/>
      <c r="M1541" s="14"/>
      <c r="N1541" s="14"/>
      <c r="O1541" s="4"/>
      <c r="P1541" s="14"/>
      <c r="Q1541" s="14"/>
    </row>
    <row r="1542" spans="1:17" x14ac:dyDescent="0.25">
      <c r="A1542" s="5"/>
      <c r="B1542" s="6"/>
      <c r="C1542" s="4"/>
      <c r="D1542" s="4"/>
      <c r="E1542" s="12"/>
      <c r="F1542" s="12"/>
      <c r="G1542" s="16"/>
      <c r="H1542" s="14"/>
      <c r="I1542" s="14"/>
      <c r="J1542" s="14"/>
      <c r="K1542" s="14"/>
      <c r="L1542" s="14"/>
      <c r="M1542" s="14"/>
      <c r="N1542" s="14"/>
      <c r="O1542" s="4"/>
      <c r="P1542" s="14"/>
      <c r="Q1542" s="14"/>
    </row>
    <row r="1543" spans="1:17" x14ac:dyDescent="0.25">
      <c r="A1543" s="5"/>
      <c r="B1543" s="6"/>
      <c r="C1543" s="4"/>
      <c r="D1543" s="4"/>
      <c r="E1543" s="12"/>
      <c r="F1543" s="12"/>
      <c r="G1543" s="16"/>
      <c r="H1543" s="14"/>
      <c r="I1543" s="14"/>
      <c r="J1543" s="14"/>
      <c r="K1543" s="14"/>
      <c r="L1543" s="14"/>
      <c r="M1543" s="14"/>
      <c r="N1543" s="14"/>
      <c r="O1543" s="4"/>
      <c r="P1543" s="14"/>
      <c r="Q1543" s="14"/>
    </row>
    <row r="1544" spans="1:17" x14ac:dyDescent="0.25">
      <c r="A1544" s="5"/>
      <c r="B1544" s="6"/>
      <c r="C1544" s="4"/>
      <c r="D1544" s="4"/>
      <c r="E1544" s="12"/>
      <c r="F1544" s="12"/>
      <c r="G1544" s="16"/>
      <c r="H1544" s="14"/>
      <c r="I1544" s="14"/>
      <c r="J1544" s="14"/>
      <c r="K1544" s="14"/>
      <c r="L1544" s="14"/>
      <c r="M1544" s="14"/>
      <c r="N1544" s="14"/>
      <c r="O1544" s="4"/>
      <c r="P1544" s="14"/>
      <c r="Q1544" s="14"/>
    </row>
    <row r="1545" spans="1:17" x14ac:dyDescent="0.25">
      <c r="A1545" s="5"/>
      <c r="B1545" s="6"/>
      <c r="C1545" s="4"/>
      <c r="D1545" s="4"/>
      <c r="E1545" s="12"/>
      <c r="F1545" s="12"/>
      <c r="G1545" s="16"/>
      <c r="H1545" s="14"/>
      <c r="I1545" s="14"/>
      <c r="J1545" s="14"/>
      <c r="K1545" s="14"/>
      <c r="L1545" s="14"/>
      <c r="M1545" s="14"/>
      <c r="N1545" s="14"/>
      <c r="O1545" s="4"/>
      <c r="P1545" s="14"/>
      <c r="Q1545" s="14"/>
    </row>
    <row r="1546" spans="1:17" x14ac:dyDescent="0.25">
      <c r="A1546" s="5"/>
      <c r="B1546" s="6"/>
      <c r="C1546" s="4"/>
      <c r="D1546" s="4"/>
      <c r="E1546" s="12"/>
      <c r="F1546" s="12"/>
      <c r="G1546" s="16"/>
      <c r="H1546" s="14"/>
      <c r="I1546" s="14"/>
      <c r="J1546" s="14"/>
      <c r="K1546" s="14"/>
      <c r="L1546" s="14"/>
      <c r="M1546" s="14"/>
      <c r="N1546" s="14"/>
      <c r="O1546" s="4"/>
      <c r="P1546" s="14"/>
      <c r="Q1546" s="14"/>
    </row>
    <row r="1547" spans="1:17" x14ac:dyDescent="0.25">
      <c r="A1547" s="5"/>
      <c r="B1547" s="6"/>
      <c r="C1547" s="4"/>
      <c r="D1547" s="4"/>
      <c r="E1547" s="12"/>
      <c r="F1547" s="12"/>
      <c r="G1547" s="16"/>
      <c r="H1547" s="14"/>
      <c r="I1547" s="14"/>
      <c r="J1547" s="14"/>
      <c r="K1547" s="14"/>
      <c r="L1547" s="14"/>
      <c r="M1547" s="14"/>
      <c r="N1547" s="14"/>
      <c r="O1547" s="4"/>
      <c r="P1547" s="14"/>
      <c r="Q1547" s="14"/>
    </row>
    <row r="1548" spans="1:17" x14ac:dyDescent="0.25">
      <c r="A1548" s="5"/>
      <c r="B1548" s="6"/>
      <c r="C1548" s="4"/>
      <c r="D1548" s="4"/>
      <c r="E1548" s="12"/>
      <c r="F1548" s="12"/>
      <c r="G1548" s="16"/>
      <c r="H1548" s="14"/>
      <c r="I1548" s="14"/>
      <c r="J1548" s="14"/>
      <c r="K1548" s="14"/>
      <c r="L1548" s="14"/>
      <c r="M1548" s="14"/>
      <c r="N1548" s="14"/>
      <c r="O1548" s="4"/>
      <c r="P1548" s="14"/>
      <c r="Q1548" s="14"/>
    </row>
    <row r="1549" spans="1:17" x14ac:dyDescent="0.25">
      <c r="A1549" s="5"/>
      <c r="B1549" s="6"/>
      <c r="C1549" s="4"/>
      <c r="D1549" s="4"/>
      <c r="E1549" s="12"/>
      <c r="F1549" s="12"/>
      <c r="G1549" s="16"/>
      <c r="H1549" s="14"/>
      <c r="I1549" s="14"/>
      <c r="J1549" s="14"/>
      <c r="K1549" s="14"/>
      <c r="L1549" s="14"/>
      <c r="M1549" s="14"/>
      <c r="N1549" s="14"/>
      <c r="O1549" s="4"/>
      <c r="P1549" s="14"/>
      <c r="Q1549" s="14"/>
    </row>
    <row r="1550" spans="1:17" x14ac:dyDescent="0.25">
      <c r="A1550" s="5"/>
      <c r="B1550" s="6"/>
      <c r="C1550" s="4"/>
      <c r="D1550" s="4"/>
      <c r="E1550" s="12"/>
      <c r="F1550" s="12"/>
      <c r="G1550" s="16"/>
      <c r="H1550" s="14"/>
      <c r="I1550" s="14"/>
      <c r="J1550" s="14"/>
      <c r="K1550" s="14"/>
      <c r="L1550" s="14"/>
      <c r="M1550" s="14"/>
      <c r="N1550" s="14"/>
      <c r="O1550" s="4"/>
      <c r="P1550" s="14"/>
      <c r="Q1550" s="14"/>
    </row>
    <row r="1551" spans="1:17" x14ac:dyDescent="0.25">
      <c r="A1551" s="5"/>
      <c r="B1551" s="6"/>
      <c r="C1551" s="4"/>
      <c r="D1551" s="4"/>
      <c r="E1551" s="12"/>
      <c r="F1551" s="12"/>
      <c r="G1551" s="16"/>
      <c r="H1551" s="14"/>
      <c r="I1551" s="14"/>
      <c r="J1551" s="14"/>
      <c r="K1551" s="14"/>
      <c r="L1551" s="14"/>
      <c r="M1551" s="14"/>
      <c r="N1551" s="14"/>
      <c r="O1551" s="4"/>
      <c r="P1551" s="14"/>
      <c r="Q1551" s="14"/>
    </row>
    <row r="1552" spans="1:17" x14ac:dyDescent="0.25">
      <c r="A1552" s="5"/>
      <c r="B1552" s="6"/>
      <c r="C1552" s="4"/>
      <c r="D1552" s="4"/>
      <c r="E1552" s="12"/>
      <c r="F1552" s="12"/>
      <c r="G1552" s="16"/>
      <c r="H1552" s="14"/>
      <c r="I1552" s="14"/>
      <c r="J1552" s="14"/>
      <c r="K1552" s="14"/>
      <c r="L1552" s="14"/>
      <c r="M1552" s="14"/>
      <c r="N1552" s="14"/>
      <c r="O1552" s="4"/>
      <c r="P1552" s="14"/>
      <c r="Q1552" s="14"/>
    </row>
    <row r="1553" spans="1:17" x14ac:dyDescent="0.25">
      <c r="A1553" s="5"/>
      <c r="B1553" s="6"/>
      <c r="C1553" s="4"/>
      <c r="D1553" s="4"/>
      <c r="E1553" s="12"/>
      <c r="F1553" s="12"/>
      <c r="G1553" s="16"/>
      <c r="H1553" s="14"/>
      <c r="I1553" s="14"/>
      <c r="J1553" s="14"/>
      <c r="K1553" s="14"/>
      <c r="L1553" s="14"/>
      <c r="M1553" s="14"/>
      <c r="N1553" s="14"/>
      <c r="O1553" s="4"/>
      <c r="P1553" s="14"/>
      <c r="Q1553" s="14"/>
    </row>
    <row r="1554" spans="1:17" x14ac:dyDescent="0.25">
      <c r="A1554" s="5"/>
      <c r="B1554" s="6"/>
      <c r="C1554" s="4"/>
      <c r="D1554" s="4"/>
      <c r="E1554" s="12"/>
      <c r="F1554" s="12"/>
      <c r="G1554" s="16"/>
      <c r="H1554" s="14"/>
      <c r="I1554" s="14"/>
      <c r="J1554" s="14"/>
      <c r="K1554" s="14"/>
      <c r="L1554" s="14"/>
      <c r="M1554" s="14"/>
      <c r="N1554" s="14"/>
      <c r="O1554" s="4"/>
      <c r="P1554" s="14"/>
      <c r="Q1554" s="14"/>
    </row>
    <row r="1555" spans="1:17" x14ac:dyDescent="0.25">
      <c r="A1555" s="5"/>
      <c r="B1555" s="6"/>
      <c r="C1555" s="4"/>
      <c r="D1555" s="4"/>
      <c r="E1555" s="12"/>
      <c r="F1555" s="12"/>
      <c r="G1555" s="16"/>
      <c r="H1555" s="14"/>
      <c r="I1555" s="14"/>
      <c r="J1555" s="14"/>
      <c r="K1555" s="14"/>
      <c r="L1555" s="14"/>
      <c r="M1555" s="14"/>
      <c r="N1555" s="14"/>
      <c r="O1555" s="4"/>
      <c r="P1555" s="14"/>
      <c r="Q1555" s="14"/>
    </row>
    <row r="1556" spans="1:17" x14ac:dyDescent="0.25">
      <c r="A1556" s="5"/>
      <c r="B1556" s="6"/>
      <c r="C1556" s="4"/>
      <c r="D1556" s="4"/>
      <c r="E1556" s="12"/>
      <c r="F1556" s="12"/>
      <c r="G1556" s="16"/>
      <c r="H1556" s="14"/>
      <c r="I1556" s="14"/>
      <c r="J1556" s="14"/>
      <c r="K1556" s="14"/>
      <c r="L1556" s="14"/>
      <c r="M1556" s="14"/>
      <c r="N1556" s="14"/>
      <c r="O1556" s="4"/>
      <c r="P1556" s="14"/>
      <c r="Q1556" s="14"/>
    </row>
    <row r="1557" spans="1:17" x14ac:dyDescent="0.25">
      <c r="A1557" s="5"/>
      <c r="B1557" s="6"/>
      <c r="C1557" s="4"/>
      <c r="D1557" s="4"/>
      <c r="E1557" s="12"/>
      <c r="F1557" s="12"/>
      <c r="G1557" s="16"/>
      <c r="H1557" s="14"/>
      <c r="I1557" s="14"/>
      <c r="J1557" s="14"/>
      <c r="K1557" s="14"/>
      <c r="L1557" s="14"/>
      <c r="M1557" s="14"/>
      <c r="N1557" s="14"/>
      <c r="O1557" s="4"/>
      <c r="P1557" s="14"/>
      <c r="Q1557" s="14"/>
    </row>
    <row r="1558" spans="1:17" x14ac:dyDescent="0.25">
      <c r="A1558" s="5"/>
      <c r="B1558" s="6"/>
      <c r="C1558" s="4"/>
      <c r="D1558" s="4"/>
      <c r="E1558" s="12"/>
      <c r="F1558" s="12"/>
      <c r="G1558" s="16"/>
      <c r="H1558" s="14"/>
      <c r="I1558" s="14"/>
      <c r="J1558" s="14"/>
      <c r="K1558" s="14"/>
      <c r="L1558" s="14"/>
      <c r="M1558" s="14"/>
      <c r="N1558" s="14"/>
      <c r="O1558" s="4"/>
      <c r="P1558" s="14"/>
      <c r="Q1558" s="14"/>
    </row>
    <row r="1559" spans="1:17" x14ac:dyDescent="0.25">
      <c r="A1559" s="5"/>
      <c r="B1559" s="6"/>
      <c r="C1559" s="4"/>
      <c r="D1559" s="4"/>
      <c r="E1559" s="12"/>
      <c r="F1559" s="12"/>
      <c r="G1559" s="16"/>
      <c r="H1559" s="14"/>
      <c r="I1559" s="14"/>
      <c r="J1559" s="14"/>
      <c r="K1559" s="14"/>
      <c r="L1559" s="14"/>
      <c r="M1559" s="14"/>
      <c r="N1559" s="14"/>
      <c r="O1559" s="4"/>
      <c r="P1559" s="14"/>
      <c r="Q1559" s="14"/>
    </row>
    <row r="1560" spans="1:17" x14ac:dyDescent="0.25">
      <c r="A1560" s="5"/>
      <c r="B1560" s="6"/>
      <c r="C1560" s="4"/>
      <c r="D1560" s="4"/>
      <c r="E1560" s="12"/>
      <c r="F1560" s="12"/>
      <c r="G1560" s="16"/>
      <c r="H1560" s="14"/>
      <c r="I1560" s="14"/>
      <c r="J1560" s="14"/>
      <c r="K1560" s="14"/>
      <c r="L1560" s="14"/>
      <c r="M1560" s="14"/>
      <c r="N1560" s="14"/>
      <c r="O1560" s="4"/>
      <c r="P1560" s="14"/>
      <c r="Q1560" s="14"/>
    </row>
    <row r="1561" spans="1:17" x14ac:dyDescent="0.25">
      <c r="A1561" s="5"/>
      <c r="B1561" s="6"/>
      <c r="C1561" s="4"/>
      <c r="D1561" s="4"/>
      <c r="E1561" s="12"/>
      <c r="F1561" s="12"/>
      <c r="G1561" s="16"/>
      <c r="H1561" s="14"/>
      <c r="I1561" s="14"/>
      <c r="J1561" s="14"/>
      <c r="K1561" s="14"/>
      <c r="L1561" s="14"/>
      <c r="M1561" s="14"/>
      <c r="N1561" s="14"/>
      <c r="O1561" s="4"/>
      <c r="P1561" s="14"/>
      <c r="Q1561" s="14"/>
    </row>
    <row r="1562" spans="1:17" x14ac:dyDescent="0.25">
      <c r="A1562" s="5"/>
      <c r="B1562" s="6"/>
      <c r="C1562" s="4"/>
      <c r="D1562" s="4"/>
      <c r="E1562" s="12"/>
      <c r="F1562" s="12"/>
      <c r="G1562" s="16"/>
      <c r="H1562" s="14"/>
      <c r="I1562" s="14"/>
      <c r="J1562" s="14"/>
      <c r="K1562" s="14"/>
      <c r="L1562" s="14"/>
      <c r="M1562" s="14"/>
      <c r="N1562" s="14"/>
      <c r="O1562" s="4"/>
      <c r="P1562" s="14"/>
      <c r="Q1562" s="14"/>
    </row>
    <row r="1563" spans="1:17" x14ac:dyDescent="0.25">
      <c r="A1563" s="5"/>
      <c r="B1563" s="6"/>
      <c r="C1563" s="4"/>
      <c r="D1563" s="4"/>
      <c r="E1563" s="12"/>
      <c r="F1563" s="12"/>
      <c r="G1563" s="16"/>
      <c r="H1563" s="14"/>
      <c r="I1563" s="14"/>
      <c r="J1563" s="14"/>
      <c r="K1563" s="14"/>
      <c r="L1563" s="14"/>
      <c r="M1563" s="14"/>
      <c r="N1563" s="14"/>
      <c r="O1563" s="4"/>
      <c r="P1563" s="14"/>
      <c r="Q1563" s="14"/>
    </row>
    <row r="1564" spans="1:17" x14ac:dyDescent="0.25">
      <c r="A1564" s="5"/>
      <c r="B1564" s="6"/>
      <c r="C1564" s="4"/>
      <c r="D1564" s="4"/>
      <c r="E1564" s="12"/>
      <c r="F1564" s="12"/>
      <c r="G1564" s="16"/>
      <c r="H1564" s="14"/>
      <c r="I1564" s="14"/>
      <c r="J1564" s="14"/>
      <c r="K1564" s="14"/>
      <c r="L1564" s="14"/>
      <c r="M1564" s="14"/>
      <c r="N1564" s="14"/>
      <c r="O1564" s="4"/>
      <c r="P1564" s="14"/>
      <c r="Q1564" s="14"/>
    </row>
    <row r="1565" spans="1:17" x14ac:dyDescent="0.25">
      <c r="A1565" s="5"/>
      <c r="B1565" s="6"/>
      <c r="C1565" s="4"/>
      <c r="D1565" s="4"/>
      <c r="E1565" s="12"/>
      <c r="F1565" s="12"/>
      <c r="G1565" s="16"/>
      <c r="H1565" s="14"/>
      <c r="I1565" s="14"/>
      <c r="J1565" s="14"/>
      <c r="K1565" s="14"/>
      <c r="L1565" s="14"/>
      <c r="M1565" s="14"/>
      <c r="N1565" s="14"/>
      <c r="O1565" s="4"/>
      <c r="P1565" s="14"/>
      <c r="Q1565" s="14"/>
    </row>
    <row r="1566" spans="1:17" x14ac:dyDescent="0.25">
      <c r="A1566" s="5"/>
      <c r="B1566" s="6"/>
      <c r="C1566" s="4"/>
      <c r="D1566" s="4"/>
      <c r="E1566" s="12"/>
      <c r="F1566" s="12"/>
      <c r="G1566" s="16"/>
      <c r="H1566" s="14"/>
      <c r="I1566" s="14"/>
      <c r="J1566" s="14"/>
      <c r="K1566" s="14"/>
      <c r="L1566" s="14"/>
      <c r="M1566" s="14"/>
      <c r="N1566" s="14"/>
      <c r="O1566" s="4"/>
      <c r="P1566" s="14"/>
      <c r="Q1566" s="14"/>
    </row>
    <row r="1567" spans="1:17" x14ac:dyDescent="0.25">
      <c r="A1567" s="5"/>
      <c r="B1567" s="6"/>
      <c r="C1567" s="4"/>
      <c r="D1567" s="4"/>
      <c r="E1567" s="12"/>
      <c r="F1567" s="12"/>
      <c r="G1567" s="16"/>
      <c r="H1567" s="14"/>
      <c r="I1567" s="14"/>
      <c r="J1567" s="14"/>
      <c r="K1567" s="14"/>
      <c r="L1567" s="14"/>
      <c r="M1567" s="14"/>
      <c r="N1567" s="14"/>
      <c r="O1567" s="4"/>
      <c r="P1567" s="14"/>
      <c r="Q1567" s="14"/>
    </row>
    <row r="1568" spans="1:17" x14ac:dyDescent="0.25">
      <c r="A1568" s="5"/>
      <c r="B1568" s="6"/>
      <c r="C1568" s="4"/>
      <c r="D1568" s="4"/>
      <c r="E1568" s="12"/>
      <c r="F1568" s="12"/>
      <c r="G1568" s="16"/>
      <c r="H1568" s="14"/>
      <c r="I1568" s="14"/>
      <c r="J1568" s="14"/>
      <c r="K1568" s="14"/>
      <c r="L1568" s="14"/>
      <c r="M1568" s="14"/>
      <c r="N1568" s="14"/>
      <c r="O1568" s="4"/>
      <c r="P1568" s="14"/>
      <c r="Q1568" s="14"/>
    </row>
    <row r="1569" spans="1:17" x14ac:dyDescent="0.25">
      <c r="A1569" s="5"/>
      <c r="B1569" s="6"/>
      <c r="C1569" s="4"/>
      <c r="D1569" s="4"/>
      <c r="E1569" s="12"/>
      <c r="F1569" s="12"/>
      <c r="G1569" s="16"/>
      <c r="H1569" s="14"/>
      <c r="I1569" s="14"/>
      <c r="J1569" s="14"/>
      <c r="K1569" s="14"/>
      <c r="L1569" s="14"/>
      <c r="M1569" s="14"/>
      <c r="N1569" s="14"/>
      <c r="O1569" s="4"/>
      <c r="P1569" s="14"/>
      <c r="Q1569" s="14"/>
    </row>
    <row r="1570" spans="1:17" x14ac:dyDescent="0.25">
      <c r="A1570" s="5"/>
      <c r="B1570" s="6"/>
      <c r="C1570" s="4"/>
      <c r="D1570" s="4"/>
      <c r="E1570" s="12"/>
      <c r="F1570" s="12"/>
      <c r="G1570" s="16"/>
      <c r="H1570" s="14"/>
      <c r="I1570" s="14"/>
      <c r="J1570" s="14"/>
      <c r="K1570" s="14"/>
      <c r="L1570" s="14"/>
      <c r="M1570" s="14"/>
      <c r="N1570" s="14"/>
      <c r="O1570" s="4"/>
      <c r="P1570" s="14"/>
      <c r="Q1570" s="14"/>
    </row>
    <row r="1571" spans="1:17" x14ac:dyDescent="0.25">
      <c r="A1571" s="5"/>
      <c r="B1571" s="6"/>
      <c r="C1571" s="4"/>
      <c r="D1571" s="4"/>
      <c r="E1571" s="12"/>
      <c r="F1571" s="12"/>
      <c r="G1571" s="16"/>
      <c r="H1571" s="14"/>
      <c r="I1571" s="14"/>
      <c r="J1571" s="14"/>
      <c r="K1571" s="14"/>
      <c r="L1571" s="14"/>
      <c r="M1571" s="14"/>
      <c r="N1571" s="14"/>
      <c r="O1571" s="4"/>
      <c r="P1571" s="14"/>
      <c r="Q1571" s="14"/>
    </row>
    <row r="1572" spans="1:17" x14ac:dyDescent="0.25">
      <c r="A1572" s="5"/>
      <c r="B1572" s="6"/>
      <c r="C1572" s="4"/>
      <c r="D1572" s="4"/>
      <c r="E1572" s="12"/>
      <c r="F1572" s="12"/>
      <c r="G1572" s="16"/>
      <c r="H1572" s="14"/>
      <c r="I1572" s="14"/>
      <c r="J1572" s="14"/>
      <c r="K1572" s="14"/>
      <c r="L1572" s="14"/>
      <c r="M1572" s="14"/>
      <c r="N1572" s="14"/>
      <c r="O1572" s="4"/>
      <c r="P1572" s="14"/>
      <c r="Q1572" s="14"/>
    </row>
    <row r="1573" spans="1:17" x14ac:dyDescent="0.25">
      <c r="A1573" s="5"/>
      <c r="B1573" s="6"/>
      <c r="C1573" s="4"/>
      <c r="D1573" s="4"/>
      <c r="E1573" s="12"/>
      <c r="F1573" s="12"/>
      <c r="G1573" s="16"/>
      <c r="H1573" s="14"/>
      <c r="I1573" s="14"/>
      <c r="J1573" s="14"/>
      <c r="K1573" s="14"/>
      <c r="L1573" s="14"/>
      <c r="M1573" s="14"/>
      <c r="N1573" s="14"/>
      <c r="O1573" s="4"/>
      <c r="P1573" s="14"/>
      <c r="Q1573" s="14"/>
    </row>
    <row r="1574" spans="1:17" x14ac:dyDescent="0.25">
      <c r="A1574" s="5"/>
      <c r="B1574" s="6"/>
      <c r="C1574" s="4"/>
      <c r="D1574" s="4"/>
      <c r="E1574" s="12"/>
      <c r="F1574" s="12"/>
      <c r="G1574" s="16"/>
      <c r="H1574" s="14"/>
      <c r="I1574" s="14"/>
      <c r="J1574" s="14"/>
      <c r="K1574" s="14"/>
      <c r="L1574" s="14"/>
      <c r="M1574" s="14"/>
      <c r="N1574" s="14"/>
      <c r="O1574" s="4"/>
      <c r="P1574" s="14"/>
      <c r="Q1574" s="14"/>
    </row>
    <row r="1575" spans="1:17" x14ac:dyDescent="0.25">
      <c r="A1575" s="5"/>
      <c r="B1575" s="6"/>
      <c r="C1575" s="4"/>
      <c r="D1575" s="4"/>
      <c r="E1575" s="12"/>
      <c r="F1575" s="12"/>
      <c r="G1575" s="16"/>
      <c r="H1575" s="14"/>
      <c r="I1575" s="14"/>
      <c r="J1575" s="14"/>
      <c r="K1575" s="14"/>
      <c r="L1575" s="14"/>
      <c r="M1575" s="14"/>
      <c r="N1575" s="14"/>
      <c r="O1575" s="4"/>
      <c r="P1575" s="14"/>
      <c r="Q1575" s="14"/>
    </row>
    <row r="1576" spans="1:17" x14ac:dyDescent="0.25">
      <c r="A1576" s="5"/>
      <c r="B1576" s="6"/>
      <c r="C1576" s="4"/>
      <c r="D1576" s="4"/>
      <c r="E1576" s="12"/>
      <c r="F1576" s="12"/>
      <c r="G1576" s="16"/>
      <c r="H1576" s="14"/>
      <c r="I1576" s="14"/>
      <c r="J1576" s="14"/>
      <c r="K1576" s="14"/>
      <c r="L1576" s="14"/>
      <c r="M1576" s="14"/>
      <c r="N1576" s="14"/>
      <c r="O1576" s="4"/>
      <c r="P1576" s="14"/>
      <c r="Q1576" s="14"/>
    </row>
    <row r="1577" spans="1:17" x14ac:dyDescent="0.25">
      <c r="A1577" s="5"/>
      <c r="B1577" s="6"/>
      <c r="C1577" s="4"/>
      <c r="D1577" s="4"/>
      <c r="E1577" s="12"/>
      <c r="F1577" s="12"/>
      <c r="G1577" s="16"/>
      <c r="H1577" s="14"/>
      <c r="I1577" s="14"/>
      <c r="J1577" s="14"/>
      <c r="K1577" s="14"/>
      <c r="L1577" s="14"/>
      <c r="M1577" s="14"/>
      <c r="N1577" s="14"/>
      <c r="O1577" s="4"/>
      <c r="P1577" s="14"/>
      <c r="Q1577" s="14"/>
    </row>
    <row r="1578" spans="1:17" x14ac:dyDescent="0.25">
      <c r="A1578" s="5"/>
      <c r="B1578" s="6"/>
      <c r="C1578" s="4"/>
      <c r="D1578" s="4"/>
      <c r="E1578" s="12"/>
      <c r="F1578" s="12"/>
      <c r="G1578" s="16"/>
      <c r="H1578" s="14"/>
      <c r="I1578" s="14"/>
      <c r="J1578" s="14"/>
      <c r="K1578" s="14"/>
      <c r="L1578" s="14"/>
      <c r="M1578" s="14"/>
      <c r="N1578" s="14"/>
      <c r="O1578" s="4"/>
      <c r="P1578" s="14"/>
      <c r="Q1578" s="14"/>
    </row>
    <row r="1579" spans="1:17" x14ac:dyDescent="0.25">
      <c r="A1579" s="5"/>
      <c r="B1579" s="6"/>
      <c r="C1579" s="4"/>
      <c r="D1579" s="4"/>
      <c r="E1579" s="12"/>
      <c r="F1579" s="12"/>
      <c r="G1579" s="16"/>
      <c r="H1579" s="14"/>
      <c r="I1579" s="14"/>
      <c r="J1579" s="14"/>
      <c r="K1579" s="14"/>
      <c r="L1579" s="14"/>
      <c r="M1579" s="14"/>
      <c r="N1579" s="14"/>
      <c r="O1579" s="4"/>
      <c r="P1579" s="14"/>
      <c r="Q1579" s="14"/>
    </row>
    <row r="1580" spans="1:17" x14ac:dyDescent="0.25">
      <c r="A1580" s="5"/>
      <c r="B1580" s="6"/>
      <c r="C1580" s="4"/>
      <c r="D1580" s="4"/>
      <c r="E1580" s="12"/>
      <c r="F1580" s="12"/>
      <c r="G1580" s="16"/>
      <c r="H1580" s="14"/>
      <c r="I1580" s="14"/>
      <c r="J1580" s="14"/>
      <c r="K1580" s="14"/>
      <c r="L1580" s="14"/>
      <c r="M1580" s="14"/>
      <c r="N1580" s="14"/>
      <c r="O1580" s="4"/>
      <c r="P1580" s="14"/>
      <c r="Q1580" s="14"/>
    </row>
    <row r="1581" spans="1:17" x14ac:dyDescent="0.25">
      <c r="A1581" s="5"/>
      <c r="B1581" s="6"/>
      <c r="C1581" s="4"/>
      <c r="D1581" s="4"/>
      <c r="E1581" s="12"/>
      <c r="F1581" s="12"/>
      <c r="G1581" s="16"/>
      <c r="H1581" s="14"/>
      <c r="I1581" s="14"/>
      <c r="J1581" s="14"/>
      <c r="K1581" s="14"/>
      <c r="L1581" s="14"/>
      <c r="M1581" s="14"/>
      <c r="N1581" s="14"/>
      <c r="O1581" s="4"/>
      <c r="P1581" s="14"/>
      <c r="Q1581" s="14"/>
    </row>
    <row r="1582" spans="1:17" x14ac:dyDescent="0.25">
      <c r="A1582" s="5"/>
      <c r="B1582" s="6"/>
      <c r="C1582" s="4"/>
      <c r="D1582" s="4"/>
      <c r="E1582" s="12"/>
      <c r="F1582" s="12"/>
      <c r="G1582" s="16"/>
      <c r="H1582" s="14"/>
      <c r="I1582" s="14"/>
      <c r="J1582" s="14"/>
      <c r="K1582" s="14"/>
      <c r="L1582" s="14"/>
      <c r="M1582" s="14"/>
      <c r="N1582" s="14"/>
      <c r="O1582" s="4"/>
      <c r="P1582" s="14"/>
      <c r="Q1582" s="14"/>
    </row>
    <row r="1583" spans="1:17" x14ac:dyDescent="0.25">
      <c r="A1583" s="5"/>
      <c r="B1583" s="6"/>
      <c r="C1583" s="4"/>
      <c r="D1583" s="4"/>
      <c r="E1583" s="12"/>
      <c r="F1583" s="12"/>
      <c r="G1583" s="16"/>
      <c r="H1583" s="14"/>
      <c r="I1583" s="14"/>
      <c r="J1583" s="14"/>
      <c r="K1583" s="14"/>
      <c r="L1583" s="14"/>
      <c r="M1583" s="14"/>
      <c r="N1583" s="14"/>
      <c r="O1583" s="4"/>
      <c r="P1583" s="14"/>
      <c r="Q1583" s="14"/>
    </row>
    <row r="1584" spans="1:17" x14ac:dyDescent="0.25">
      <c r="A1584" s="5"/>
      <c r="B1584" s="6"/>
      <c r="C1584" s="4"/>
      <c r="D1584" s="4"/>
      <c r="E1584" s="12"/>
      <c r="F1584" s="12"/>
      <c r="G1584" s="16"/>
      <c r="H1584" s="14"/>
      <c r="I1584" s="14"/>
      <c r="J1584" s="14"/>
      <c r="K1584" s="14"/>
      <c r="L1584" s="14"/>
      <c r="M1584" s="14"/>
      <c r="N1584" s="14"/>
      <c r="O1584" s="4"/>
      <c r="P1584" s="14"/>
      <c r="Q1584" s="14"/>
    </row>
    <row r="1585" spans="1:17" x14ac:dyDescent="0.25">
      <c r="A1585" s="5"/>
      <c r="B1585" s="6"/>
      <c r="C1585" s="4"/>
      <c r="D1585" s="4"/>
      <c r="E1585" s="12"/>
      <c r="F1585" s="12"/>
      <c r="G1585" s="16"/>
      <c r="H1585" s="14"/>
      <c r="I1585" s="14"/>
      <c r="J1585" s="14"/>
      <c r="K1585" s="14"/>
      <c r="L1585" s="14"/>
      <c r="M1585" s="14"/>
      <c r="N1585" s="14"/>
      <c r="O1585" s="4"/>
      <c r="P1585" s="14"/>
      <c r="Q1585" s="14"/>
    </row>
    <row r="1586" spans="1:17" x14ac:dyDescent="0.25">
      <c r="A1586" s="5"/>
      <c r="B1586" s="6"/>
      <c r="C1586" s="4"/>
      <c r="D1586" s="4"/>
      <c r="E1586" s="12"/>
      <c r="F1586" s="12"/>
      <c r="G1586" s="16"/>
      <c r="H1586" s="14"/>
      <c r="I1586" s="14"/>
      <c r="J1586" s="14"/>
      <c r="K1586" s="14"/>
      <c r="L1586" s="14"/>
      <c r="M1586" s="14"/>
      <c r="N1586" s="14"/>
      <c r="O1586" s="4"/>
      <c r="P1586" s="14"/>
      <c r="Q1586" s="14"/>
    </row>
    <row r="1587" spans="1:17" x14ac:dyDescent="0.25">
      <c r="A1587" s="5"/>
      <c r="B1587" s="6"/>
      <c r="C1587" s="4"/>
      <c r="D1587" s="4"/>
      <c r="E1587" s="12"/>
      <c r="F1587" s="12"/>
      <c r="G1587" s="16"/>
      <c r="H1587" s="14"/>
      <c r="I1587" s="14"/>
      <c r="J1587" s="14"/>
      <c r="K1587" s="14"/>
      <c r="L1587" s="14"/>
      <c r="M1587" s="14"/>
      <c r="N1587" s="14"/>
      <c r="O1587" s="4"/>
      <c r="P1587" s="14"/>
      <c r="Q1587" s="14"/>
    </row>
    <row r="1588" spans="1:17" x14ac:dyDescent="0.25">
      <c r="A1588" s="5"/>
      <c r="B1588" s="6"/>
      <c r="C1588" s="4"/>
      <c r="D1588" s="4"/>
      <c r="E1588" s="12"/>
      <c r="F1588" s="12"/>
      <c r="G1588" s="16"/>
      <c r="H1588" s="14"/>
      <c r="I1588" s="14"/>
      <c r="J1588" s="14"/>
      <c r="K1588" s="14"/>
      <c r="L1588" s="14"/>
      <c r="M1588" s="14"/>
      <c r="N1588" s="14"/>
      <c r="O1588" s="4"/>
      <c r="P1588" s="14"/>
      <c r="Q1588" s="14"/>
    </row>
    <row r="1589" spans="1:17" x14ac:dyDescent="0.25">
      <c r="A1589" s="5"/>
      <c r="B1589" s="6"/>
      <c r="C1589" s="4"/>
      <c r="D1589" s="4"/>
      <c r="E1589" s="12"/>
      <c r="F1589" s="12"/>
      <c r="G1589" s="16"/>
      <c r="H1589" s="14"/>
      <c r="I1589" s="14"/>
      <c r="J1589" s="14"/>
      <c r="K1589" s="14"/>
      <c r="L1589" s="14"/>
      <c r="M1589" s="14"/>
      <c r="N1589" s="14"/>
      <c r="O1589" s="4"/>
      <c r="P1589" s="14"/>
      <c r="Q1589" s="14"/>
    </row>
    <row r="1590" spans="1:17" x14ac:dyDescent="0.25">
      <c r="A1590" s="5"/>
      <c r="B1590" s="6"/>
      <c r="C1590" s="4"/>
      <c r="D1590" s="4"/>
      <c r="E1590" s="12"/>
      <c r="F1590" s="12"/>
      <c r="G1590" s="16"/>
      <c r="H1590" s="14"/>
      <c r="I1590" s="14"/>
      <c r="J1590" s="14"/>
      <c r="K1590" s="14"/>
      <c r="L1590" s="14"/>
      <c r="M1590" s="14"/>
      <c r="N1590" s="14"/>
      <c r="O1590" s="4"/>
      <c r="P1590" s="14"/>
      <c r="Q1590" s="14"/>
    </row>
    <row r="1591" spans="1:17" x14ac:dyDescent="0.25">
      <c r="A1591" s="5"/>
      <c r="B1591" s="6"/>
      <c r="C1591" s="4"/>
      <c r="D1591" s="4"/>
      <c r="E1591" s="12"/>
      <c r="F1591" s="12"/>
      <c r="G1591" s="16"/>
      <c r="H1591" s="14"/>
      <c r="I1591" s="14"/>
      <c r="J1591" s="14"/>
      <c r="K1591" s="14"/>
      <c r="L1591" s="14"/>
      <c r="M1591" s="14"/>
      <c r="N1591" s="14"/>
      <c r="O1591" s="4"/>
      <c r="P1591" s="14"/>
      <c r="Q1591" s="14"/>
    </row>
    <row r="1592" spans="1:17" x14ac:dyDescent="0.25">
      <c r="A1592" s="5"/>
      <c r="B1592" s="6"/>
      <c r="C1592" s="4"/>
      <c r="D1592" s="4"/>
      <c r="E1592" s="12"/>
      <c r="F1592" s="12"/>
      <c r="G1592" s="16"/>
      <c r="H1592" s="14"/>
      <c r="I1592" s="14"/>
      <c r="J1592" s="14"/>
      <c r="K1592" s="14"/>
      <c r="L1592" s="14"/>
      <c r="M1592" s="14"/>
      <c r="N1592" s="14"/>
      <c r="O1592" s="4"/>
      <c r="P1592" s="14"/>
      <c r="Q1592" s="14"/>
    </row>
    <row r="1593" spans="1:17" x14ac:dyDescent="0.25">
      <c r="A1593" s="5"/>
      <c r="B1593" s="6"/>
      <c r="C1593" s="4"/>
      <c r="D1593" s="4"/>
      <c r="E1593" s="12"/>
      <c r="F1593" s="12"/>
      <c r="G1593" s="16"/>
      <c r="H1593" s="14"/>
      <c r="I1593" s="14"/>
      <c r="J1593" s="14"/>
      <c r="K1593" s="14"/>
      <c r="L1593" s="14"/>
      <c r="M1593" s="14"/>
      <c r="N1593" s="14"/>
      <c r="O1593" s="4"/>
      <c r="P1593" s="14"/>
      <c r="Q1593" s="14"/>
    </row>
    <row r="1594" spans="1:17" x14ac:dyDescent="0.25">
      <c r="A1594" s="5"/>
      <c r="B1594" s="6"/>
      <c r="C1594" s="4"/>
      <c r="D1594" s="4"/>
      <c r="E1594" s="12"/>
      <c r="F1594" s="12"/>
      <c r="G1594" s="16"/>
      <c r="H1594" s="14"/>
      <c r="I1594" s="14"/>
      <c r="J1594" s="14"/>
      <c r="K1594" s="14"/>
      <c r="L1594" s="14"/>
      <c r="M1594" s="14"/>
      <c r="N1594" s="14"/>
      <c r="O1594" s="4"/>
      <c r="P1594" s="14"/>
      <c r="Q1594" s="14"/>
    </row>
    <row r="1595" spans="1:17" x14ac:dyDescent="0.25">
      <c r="A1595" s="5"/>
      <c r="B1595" s="6"/>
      <c r="C1595" s="4"/>
      <c r="D1595" s="4"/>
      <c r="E1595" s="12"/>
      <c r="F1595" s="12"/>
      <c r="G1595" s="16"/>
      <c r="H1595" s="14"/>
      <c r="I1595" s="14"/>
      <c r="J1595" s="14"/>
      <c r="K1595" s="14"/>
      <c r="L1595" s="14"/>
      <c r="M1595" s="14"/>
      <c r="N1595" s="14"/>
      <c r="O1595" s="4"/>
      <c r="P1595" s="14"/>
      <c r="Q1595" s="14"/>
    </row>
    <row r="1596" spans="1:17" x14ac:dyDescent="0.25">
      <c r="A1596" s="5"/>
      <c r="B1596" s="6"/>
      <c r="C1596" s="4"/>
      <c r="D1596" s="4"/>
      <c r="E1596" s="12"/>
      <c r="F1596" s="12"/>
      <c r="G1596" s="16"/>
      <c r="H1596" s="14"/>
      <c r="I1596" s="14"/>
      <c r="J1596" s="14"/>
      <c r="K1596" s="14"/>
      <c r="L1596" s="14"/>
      <c r="M1596" s="14"/>
      <c r="N1596" s="14"/>
      <c r="O1596" s="4"/>
      <c r="P1596" s="14"/>
      <c r="Q1596" s="14"/>
    </row>
    <row r="1597" spans="1:17" x14ac:dyDescent="0.25">
      <c r="A1597" s="5"/>
      <c r="B1597" s="6"/>
      <c r="C1597" s="4"/>
      <c r="D1597" s="4"/>
      <c r="E1597" s="12"/>
      <c r="F1597" s="12"/>
      <c r="G1597" s="16"/>
      <c r="H1597" s="14"/>
      <c r="I1597" s="14"/>
      <c r="J1597" s="14"/>
      <c r="K1597" s="14"/>
      <c r="L1597" s="14"/>
      <c r="M1597" s="14"/>
      <c r="N1597" s="14"/>
      <c r="O1597" s="4"/>
      <c r="P1597" s="14"/>
      <c r="Q1597" s="14"/>
    </row>
    <row r="1598" spans="1:17" x14ac:dyDescent="0.25">
      <c r="A1598" s="5"/>
      <c r="B1598" s="6"/>
      <c r="C1598" s="4"/>
      <c r="D1598" s="4"/>
      <c r="E1598" s="12"/>
      <c r="F1598" s="12"/>
      <c r="G1598" s="16"/>
      <c r="H1598" s="14"/>
      <c r="I1598" s="14"/>
      <c r="J1598" s="14"/>
      <c r="K1598" s="14"/>
      <c r="L1598" s="14"/>
      <c r="M1598" s="14"/>
      <c r="N1598" s="14"/>
      <c r="O1598" s="4"/>
      <c r="P1598" s="14"/>
      <c r="Q1598" s="14"/>
    </row>
    <row r="1599" spans="1:17" x14ac:dyDescent="0.25">
      <c r="A1599" s="5"/>
      <c r="B1599" s="6"/>
      <c r="C1599" s="4"/>
      <c r="D1599" s="4"/>
      <c r="E1599" s="12"/>
      <c r="F1599" s="12"/>
      <c r="G1599" s="16"/>
      <c r="H1599" s="14"/>
      <c r="I1599" s="14"/>
      <c r="J1599" s="14"/>
      <c r="K1599" s="14"/>
      <c r="L1599" s="14"/>
      <c r="M1599" s="14"/>
      <c r="N1599" s="14"/>
      <c r="O1599" s="4"/>
      <c r="P1599" s="14"/>
      <c r="Q1599" s="14"/>
    </row>
    <row r="1600" spans="1:17" x14ac:dyDescent="0.25">
      <c r="A1600" s="5"/>
      <c r="B1600" s="6"/>
      <c r="C1600" s="4"/>
      <c r="D1600" s="4"/>
      <c r="E1600" s="12"/>
      <c r="F1600" s="12"/>
      <c r="G1600" s="16"/>
      <c r="H1600" s="14"/>
      <c r="I1600" s="14"/>
      <c r="J1600" s="14"/>
      <c r="K1600" s="14"/>
      <c r="L1600" s="14"/>
      <c r="M1600" s="14"/>
      <c r="N1600" s="14"/>
      <c r="O1600" s="4"/>
      <c r="P1600" s="14"/>
      <c r="Q1600" s="14"/>
    </row>
    <row r="1601" spans="1:17" x14ac:dyDescent="0.25">
      <c r="A1601" s="5"/>
      <c r="B1601" s="6"/>
      <c r="C1601" s="4"/>
      <c r="D1601" s="4"/>
      <c r="E1601" s="12"/>
      <c r="F1601" s="12"/>
      <c r="G1601" s="16"/>
      <c r="H1601" s="14"/>
      <c r="I1601" s="14"/>
      <c r="J1601" s="14"/>
      <c r="K1601" s="14"/>
      <c r="L1601" s="14"/>
      <c r="M1601" s="14"/>
      <c r="N1601" s="14"/>
      <c r="O1601" s="4"/>
      <c r="P1601" s="14"/>
      <c r="Q1601" s="14"/>
    </row>
    <row r="1602" spans="1:17" x14ac:dyDescent="0.25">
      <c r="A1602" s="5"/>
      <c r="B1602" s="6"/>
      <c r="C1602" s="4"/>
      <c r="D1602" s="4"/>
      <c r="E1602" s="12"/>
      <c r="F1602" s="12"/>
      <c r="G1602" s="16"/>
      <c r="H1602" s="14"/>
      <c r="I1602" s="14"/>
      <c r="J1602" s="14"/>
      <c r="K1602" s="14"/>
      <c r="L1602" s="14"/>
      <c r="M1602" s="14"/>
      <c r="N1602" s="14"/>
      <c r="O1602" s="4"/>
      <c r="P1602" s="14"/>
      <c r="Q1602" s="14"/>
    </row>
    <row r="1603" spans="1:17" x14ac:dyDescent="0.25">
      <c r="A1603" s="5"/>
      <c r="B1603" s="6"/>
      <c r="C1603" s="4"/>
      <c r="D1603" s="4"/>
      <c r="E1603" s="12"/>
      <c r="F1603" s="12"/>
      <c r="G1603" s="16"/>
      <c r="H1603" s="14"/>
      <c r="I1603" s="14"/>
      <c r="J1603" s="14"/>
      <c r="K1603" s="14"/>
      <c r="L1603" s="14"/>
      <c r="M1603" s="14"/>
      <c r="N1603" s="14"/>
      <c r="O1603" s="4"/>
      <c r="P1603" s="14"/>
      <c r="Q1603" s="14"/>
    </row>
    <row r="1604" spans="1:17" x14ac:dyDescent="0.25">
      <c r="A1604" s="5"/>
      <c r="B1604" s="6"/>
      <c r="C1604" s="4"/>
      <c r="D1604" s="4"/>
      <c r="E1604" s="12"/>
      <c r="F1604" s="12"/>
      <c r="G1604" s="16"/>
      <c r="H1604" s="14"/>
      <c r="I1604" s="14"/>
      <c r="J1604" s="14"/>
      <c r="K1604" s="14"/>
      <c r="L1604" s="14"/>
      <c r="M1604" s="14"/>
      <c r="N1604" s="14"/>
      <c r="O1604" s="4"/>
      <c r="P1604" s="14"/>
      <c r="Q1604" s="14"/>
    </row>
    <row r="1605" spans="1:17" x14ac:dyDescent="0.25">
      <c r="A1605" s="5"/>
      <c r="B1605" s="6"/>
      <c r="C1605" s="4"/>
      <c r="D1605" s="4"/>
      <c r="E1605" s="12"/>
      <c r="F1605" s="12"/>
      <c r="G1605" s="16"/>
      <c r="H1605" s="14"/>
      <c r="I1605" s="14"/>
      <c r="J1605" s="14"/>
      <c r="K1605" s="14"/>
      <c r="L1605" s="14"/>
      <c r="M1605" s="14"/>
      <c r="N1605" s="14"/>
      <c r="O1605" s="4"/>
      <c r="P1605" s="14"/>
      <c r="Q1605" s="14"/>
    </row>
    <row r="1606" spans="1:17" x14ac:dyDescent="0.25">
      <c r="A1606" s="5"/>
      <c r="B1606" s="6"/>
      <c r="C1606" s="4"/>
      <c r="D1606" s="4"/>
      <c r="E1606" s="12"/>
      <c r="F1606" s="12"/>
      <c r="G1606" s="16"/>
      <c r="H1606" s="14"/>
      <c r="I1606" s="14"/>
      <c r="J1606" s="14"/>
      <c r="K1606" s="14"/>
      <c r="L1606" s="14"/>
      <c r="M1606" s="14"/>
      <c r="N1606" s="14"/>
      <c r="O1606" s="4"/>
      <c r="P1606" s="14"/>
      <c r="Q1606" s="14"/>
    </row>
    <row r="1607" spans="1:17" x14ac:dyDescent="0.25">
      <c r="A1607" s="5"/>
      <c r="B1607" s="6"/>
      <c r="C1607" s="4"/>
      <c r="D1607" s="4"/>
      <c r="E1607" s="12"/>
      <c r="F1607" s="12"/>
      <c r="G1607" s="16"/>
      <c r="H1607" s="14"/>
      <c r="I1607" s="14"/>
      <c r="J1607" s="14"/>
      <c r="K1607" s="14"/>
      <c r="L1607" s="14"/>
      <c r="M1607" s="14"/>
      <c r="N1607" s="14"/>
      <c r="O1607" s="4"/>
      <c r="P1607" s="14"/>
      <c r="Q1607" s="14"/>
    </row>
    <row r="1608" spans="1:17" x14ac:dyDescent="0.25">
      <c r="A1608" s="5"/>
      <c r="B1608" s="6"/>
      <c r="C1608" s="4"/>
      <c r="D1608" s="4"/>
      <c r="E1608" s="12"/>
      <c r="F1608" s="12"/>
      <c r="G1608" s="16"/>
      <c r="H1608" s="14"/>
      <c r="I1608" s="14"/>
      <c r="J1608" s="14"/>
      <c r="K1608" s="14"/>
      <c r="L1608" s="14"/>
      <c r="M1608" s="14"/>
      <c r="N1608" s="14"/>
      <c r="O1608" s="4"/>
      <c r="P1608" s="14"/>
      <c r="Q1608" s="14"/>
    </row>
    <row r="1609" spans="1:17" x14ac:dyDescent="0.25">
      <c r="A1609" s="5"/>
      <c r="B1609" s="6"/>
      <c r="C1609" s="4"/>
      <c r="D1609" s="4"/>
      <c r="E1609" s="12"/>
      <c r="F1609" s="12"/>
      <c r="G1609" s="16"/>
      <c r="H1609" s="14"/>
      <c r="I1609" s="14"/>
      <c r="J1609" s="14"/>
      <c r="K1609" s="14"/>
      <c r="L1609" s="14"/>
      <c r="M1609" s="14"/>
      <c r="N1609" s="14"/>
      <c r="O1609" s="4"/>
      <c r="P1609" s="14"/>
      <c r="Q1609" s="14"/>
    </row>
    <row r="1610" spans="1:17" x14ac:dyDescent="0.25">
      <c r="A1610" s="5"/>
      <c r="B1610" s="6"/>
      <c r="C1610" s="4"/>
      <c r="D1610" s="4"/>
      <c r="E1610" s="12"/>
      <c r="F1610" s="12"/>
      <c r="G1610" s="16"/>
      <c r="H1610" s="14"/>
      <c r="I1610" s="14"/>
      <c r="J1610" s="14"/>
      <c r="K1610" s="14"/>
      <c r="L1610" s="14"/>
      <c r="M1610" s="14"/>
      <c r="N1610" s="14"/>
      <c r="O1610" s="4"/>
      <c r="P1610" s="14"/>
      <c r="Q1610" s="14"/>
    </row>
    <row r="1611" spans="1:17" x14ac:dyDescent="0.25">
      <c r="A1611" s="5"/>
      <c r="B1611" s="6"/>
      <c r="C1611" s="4"/>
      <c r="D1611" s="4"/>
      <c r="E1611" s="12"/>
      <c r="F1611" s="12"/>
      <c r="G1611" s="16"/>
      <c r="H1611" s="14"/>
      <c r="I1611" s="14"/>
      <c r="J1611" s="14"/>
      <c r="K1611" s="14"/>
      <c r="L1611" s="14"/>
      <c r="M1611" s="14"/>
      <c r="N1611" s="14"/>
      <c r="O1611" s="4"/>
      <c r="P1611" s="14"/>
      <c r="Q1611" s="14"/>
    </row>
    <row r="1612" spans="1:17" x14ac:dyDescent="0.25">
      <c r="A1612" s="5"/>
      <c r="B1612" s="6"/>
      <c r="C1612" s="4"/>
      <c r="D1612" s="4"/>
      <c r="E1612" s="12"/>
      <c r="F1612" s="12"/>
      <c r="G1612" s="16"/>
      <c r="H1612" s="14"/>
      <c r="I1612" s="14"/>
      <c r="J1612" s="14"/>
      <c r="K1612" s="14"/>
      <c r="L1612" s="14"/>
      <c r="M1612" s="14"/>
      <c r="N1612" s="14"/>
      <c r="O1612" s="4"/>
      <c r="P1612" s="14"/>
      <c r="Q1612" s="14"/>
    </row>
    <row r="1613" spans="1:17" x14ac:dyDescent="0.25">
      <c r="A1613" s="5"/>
      <c r="B1613" s="6"/>
      <c r="C1613" s="4"/>
      <c r="D1613" s="4"/>
      <c r="E1613" s="12"/>
      <c r="F1613" s="12"/>
      <c r="G1613" s="16"/>
      <c r="H1613" s="14"/>
      <c r="I1613" s="14"/>
      <c r="J1613" s="14"/>
      <c r="K1613" s="14"/>
      <c r="L1613" s="14"/>
      <c r="M1613" s="14"/>
      <c r="N1613" s="14"/>
      <c r="O1613" s="4"/>
      <c r="P1613" s="14"/>
      <c r="Q1613" s="14"/>
    </row>
    <row r="1614" spans="1:17" x14ac:dyDescent="0.25">
      <c r="A1614" s="5"/>
      <c r="B1614" s="6"/>
      <c r="C1614" s="4"/>
      <c r="D1614" s="4"/>
      <c r="E1614" s="12"/>
      <c r="F1614" s="12"/>
      <c r="G1614" s="16"/>
      <c r="H1614" s="14"/>
      <c r="I1614" s="14"/>
      <c r="J1614" s="14"/>
      <c r="K1614" s="14"/>
      <c r="L1614" s="14"/>
      <c r="M1614" s="14"/>
      <c r="N1614" s="14"/>
      <c r="O1614" s="4"/>
      <c r="P1614" s="14"/>
      <c r="Q1614" s="14"/>
    </row>
    <row r="1615" spans="1:17" x14ac:dyDescent="0.25">
      <c r="A1615" s="5"/>
      <c r="B1615" s="6"/>
      <c r="C1615" s="4"/>
      <c r="D1615" s="4"/>
      <c r="E1615" s="12"/>
      <c r="F1615" s="12"/>
      <c r="G1615" s="16"/>
      <c r="H1615" s="14"/>
      <c r="I1615" s="14"/>
      <c r="J1615" s="14"/>
      <c r="K1615" s="14"/>
      <c r="L1615" s="14"/>
      <c r="M1615" s="14"/>
      <c r="N1615" s="14"/>
      <c r="O1615" s="4"/>
      <c r="P1615" s="14"/>
      <c r="Q1615" s="14"/>
    </row>
    <row r="1616" spans="1:17" x14ac:dyDescent="0.25">
      <c r="A1616" s="5"/>
      <c r="B1616" s="6"/>
      <c r="C1616" s="4"/>
      <c r="D1616" s="4"/>
      <c r="E1616" s="12"/>
      <c r="F1616" s="12"/>
      <c r="G1616" s="16"/>
      <c r="H1616" s="14"/>
      <c r="I1616" s="14"/>
      <c r="J1616" s="14"/>
      <c r="K1616" s="14"/>
      <c r="L1616" s="14"/>
      <c r="M1616" s="14"/>
      <c r="N1616" s="14"/>
      <c r="O1616" s="4"/>
      <c r="P1616" s="14"/>
      <c r="Q1616" s="14"/>
    </row>
    <row r="1617" spans="1:17" x14ac:dyDescent="0.25">
      <c r="A1617" s="5"/>
      <c r="B1617" s="6"/>
      <c r="C1617" s="4"/>
      <c r="D1617" s="4"/>
      <c r="E1617" s="12"/>
      <c r="F1617" s="12"/>
      <c r="G1617" s="16"/>
      <c r="H1617" s="14"/>
      <c r="I1617" s="14"/>
      <c r="J1617" s="14"/>
      <c r="K1617" s="14"/>
      <c r="L1617" s="14"/>
      <c r="M1617" s="14"/>
      <c r="N1617" s="14"/>
      <c r="O1617" s="4"/>
      <c r="P1617" s="14"/>
      <c r="Q1617" s="14"/>
    </row>
    <row r="1618" spans="1:17" x14ac:dyDescent="0.25">
      <c r="A1618" s="5"/>
      <c r="B1618" s="6"/>
      <c r="C1618" s="4"/>
      <c r="D1618" s="4"/>
      <c r="E1618" s="12"/>
      <c r="F1618" s="12"/>
      <c r="G1618" s="16"/>
      <c r="H1618" s="14"/>
      <c r="I1618" s="14"/>
      <c r="J1618" s="14"/>
      <c r="K1618" s="14"/>
      <c r="L1618" s="14"/>
      <c r="M1618" s="14"/>
      <c r="N1618" s="14"/>
      <c r="O1618" s="4"/>
      <c r="P1618" s="14"/>
      <c r="Q1618" s="14"/>
    </row>
    <row r="1619" spans="1:17" x14ac:dyDescent="0.25">
      <c r="A1619" s="5"/>
      <c r="B1619" s="6"/>
      <c r="C1619" s="4"/>
      <c r="D1619" s="4"/>
      <c r="E1619" s="12"/>
      <c r="F1619" s="12"/>
      <c r="G1619" s="16"/>
      <c r="H1619" s="14"/>
      <c r="I1619" s="14"/>
      <c r="J1619" s="14"/>
      <c r="K1619" s="14"/>
      <c r="L1619" s="14"/>
      <c r="M1619" s="14"/>
      <c r="N1619" s="14"/>
      <c r="O1619" s="4"/>
      <c r="P1619" s="14"/>
      <c r="Q1619" s="14"/>
    </row>
    <row r="1620" spans="1:17" x14ac:dyDescent="0.25">
      <c r="A1620" s="5"/>
      <c r="B1620" s="6"/>
      <c r="C1620" s="4"/>
      <c r="D1620" s="4"/>
      <c r="E1620" s="12"/>
      <c r="F1620" s="12"/>
      <c r="G1620" s="16"/>
      <c r="H1620" s="14"/>
      <c r="I1620" s="14"/>
      <c r="J1620" s="14"/>
      <c r="K1620" s="14"/>
      <c r="L1620" s="14"/>
      <c r="M1620" s="14"/>
      <c r="N1620" s="14"/>
      <c r="O1620" s="4"/>
      <c r="P1620" s="14"/>
      <c r="Q1620" s="14"/>
    </row>
    <row r="1621" spans="1:17" x14ac:dyDescent="0.25">
      <c r="A1621" s="5"/>
      <c r="B1621" s="6"/>
      <c r="C1621" s="4"/>
      <c r="D1621" s="4"/>
      <c r="E1621" s="12"/>
      <c r="F1621" s="12"/>
      <c r="G1621" s="16"/>
      <c r="H1621" s="14"/>
      <c r="I1621" s="14"/>
      <c r="J1621" s="14"/>
      <c r="K1621" s="14"/>
      <c r="L1621" s="14"/>
      <c r="M1621" s="14"/>
      <c r="N1621" s="14"/>
      <c r="O1621" s="4"/>
      <c r="P1621" s="14"/>
      <c r="Q1621" s="14"/>
    </row>
    <row r="1622" spans="1:17" x14ac:dyDescent="0.25">
      <c r="A1622" s="5"/>
      <c r="B1622" s="6"/>
      <c r="C1622" s="4"/>
      <c r="D1622" s="4"/>
      <c r="E1622" s="12"/>
      <c r="F1622" s="12"/>
      <c r="G1622" s="16"/>
      <c r="H1622" s="14"/>
      <c r="I1622" s="14"/>
      <c r="J1622" s="14"/>
      <c r="K1622" s="14"/>
      <c r="L1622" s="14"/>
      <c r="M1622" s="14"/>
      <c r="N1622" s="14"/>
      <c r="O1622" s="4"/>
      <c r="P1622" s="14"/>
      <c r="Q1622" s="14"/>
    </row>
    <row r="1623" spans="1:17" x14ac:dyDescent="0.25">
      <c r="A1623" s="5"/>
      <c r="B1623" s="6"/>
      <c r="C1623" s="4"/>
      <c r="D1623" s="4"/>
      <c r="E1623" s="12"/>
      <c r="F1623" s="12"/>
      <c r="G1623" s="16"/>
      <c r="H1623" s="14"/>
      <c r="I1623" s="14"/>
      <c r="J1623" s="14"/>
      <c r="K1623" s="14"/>
      <c r="L1623" s="14"/>
      <c r="M1623" s="14"/>
      <c r="N1623" s="14"/>
      <c r="O1623" s="4"/>
      <c r="P1623" s="14"/>
      <c r="Q1623" s="14"/>
    </row>
    <row r="1624" spans="1:17" x14ac:dyDescent="0.25">
      <c r="A1624" s="5"/>
      <c r="B1624" s="6"/>
      <c r="C1624" s="4"/>
      <c r="D1624" s="4"/>
      <c r="E1624" s="12"/>
      <c r="F1624" s="12"/>
      <c r="G1624" s="16"/>
      <c r="H1624" s="14"/>
      <c r="I1624" s="14"/>
      <c r="J1624" s="14"/>
      <c r="K1624" s="14"/>
      <c r="L1624" s="14"/>
      <c r="M1624" s="14"/>
      <c r="N1624" s="14"/>
      <c r="O1624" s="4"/>
      <c r="P1624" s="14"/>
      <c r="Q1624" s="14"/>
    </row>
    <row r="1625" spans="1:17" x14ac:dyDescent="0.25">
      <c r="A1625" s="5"/>
      <c r="B1625" s="6"/>
      <c r="C1625" s="4"/>
      <c r="D1625" s="4"/>
      <c r="E1625" s="12"/>
      <c r="F1625" s="12"/>
      <c r="G1625" s="16"/>
      <c r="H1625" s="14"/>
      <c r="I1625" s="14"/>
      <c r="J1625" s="14"/>
      <c r="K1625" s="14"/>
      <c r="L1625" s="14"/>
      <c r="M1625" s="14"/>
      <c r="N1625" s="14"/>
      <c r="O1625" s="4"/>
      <c r="P1625" s="14"/>
      <c r="Q1625" s="14"/>
    </row>
    <row r="1626" spans="1:17" x14ac:dyDescent="0.25">
      <c r="A1626" s="5"/>
      <c r="B1626" s="6"/>
      <c r="C1626" s="4"/>
      <c r="D1626" s="4"/>
      <c r="E1626" s="12"/>
      <c r="F1626" s="12"/>
      <c r="G1626" s="16"/>
      <c r="H1626" s="14"/>
      <c r="I1626" s="14"/>
      <c r="J1626" s="14"/>
      <c r="K1626" s="14"/>
      <c r="L1626" s="14"/>
      <c r="M1626" s="14"/>
      <c r="N1626" s="14"/>
      <c r="O1626" s="4"/>
      <c r="P1626" s="14"/>
      <c r="Q1626" s="14"/>
    </row>
    <row r="1627" spans="1:17" x14ac:dyDescent="0.25">
      <c r="A1627" s="5"/>
      <c r="B1627" s="6"/>
      <c r="C1627" s="4"/>
      <c r="D1627" s="4"/>
      <c r="E1627" s="12"/>
      <c r="F1627" s="12"/>
      <c r="G1627" s="16"/>
      <c r="H1627" s="14"/>
      <c r="I1627" s="14"/>
      <c r="J1627" s="14"/>
      <c r="K1627" s="14"/>
      <c r="L1627" s="14"/>
      <c r="M1627" s="14"/>
      <c r="N1627" s="14"/>
      <c r="O1627" s="4"/>
      <c r="P1627" s="14"/>
      <c r="Q1627" s="14"/>
    </row>
    <row r="1628" spans="1:17" x14ac:dyDescent="0.25">
      <c r="A1628" s="5"/>
      <c r="B1628" s="6"/>
      <c r="C1628" s="4"/>
      <c r="D1628" s="4"/>
      <c r="E1628" s="12"/>
      <c r="F1628" s="12"/>
      <c r="G1628" s="16"/>
      <c r="H1628" s="14"/>
      <c r="I1628" s="14"/>
      <c r="J1628" s="14"/>
      <c r="K1628" s="14"/>
      <c r="L1628" s="14"/>
      <c r="M1628" s="14"/>
      <c r="N1628" s="14"/>
      <c r="O1628" s="4"/>
      <c r="P1628" s="14"/>
      <c r="Q1628" s="14"/>
    </row>
    <row r="1629" spans="1:17" x14ac:dyDescent="0.25">
      <c r="A1629" s="5"/>
      <c r="B1629" s="6"/>
      <c r="C1629" s="4"/>
      <c r="D1629" s="4"/>
      <c r="E1629" s="12"/>
      <c r="F1629" s="12"/>
      <c r="G1629" s="16"/>
      <c r="H1629" s="14"/>
      <c r="I1629" s="14"/>
      <c r="J1629" s="14"/>
      <c r="K1629" s="14"/>
      <c r="L1629" s="14"/>
      <c r="M1629" s="14"/>
      <c r="N1629" s="14"/>
      <c r="O1629" s="4"/>
      <c r="P1629" s="14"/>
      <c r="Q1629" s="14"/>
    </row>
    <row r="1630" spans="1:17" x14ac:dyDescent="0.25">
      <c r="A1630" s="5"/>
      <c r="B1630" s="6"/>
      <c r="C1630" s="4"/>
      <c r="D1630" s="4"/>
      <c r="E1630" s="12"/>
      <c r="F1630" s="12"/>
      <c r="G1630" s="16"/>
      <c r="H1630" s="14"/>
      <c r="I1630" s="14"/>
      <c r="J1630" s="14"/>
      <c r="K1630" s="14"/>
      <c r="L1630" s="14"/>
      <c r="M1630" s="14"/>
      <c r="N1630" s="14"/>
      <c r="O1630" s="4"/>
      <c r="P1630" s="14"/>
      <c r="Q1630" s="14"/>
    </row>
    <row r="1631" spans="1:17" x14ac:dyDescent="0.25">
      <c r="A1631" s="5"/>
      <c r="B1631" s="6"/>
      <c r="C1631" s="4"/>
      <c r="D1631" s="4"/>
      <c r="E1631" s="12"/>
      <c r="F1631" s="12"/>
      <c r="G1631" s="16"/>
      <c r="H1631" s="14"/>
      <c r="I1631" s="14"/>
      <c r="J1631" s="14"/>
      <c r="K1631" s="14"/>
      <c r="L1631" s="14"/>
      <c r="M1631" s="14"/>
      <c r="N1631" s="14"/>
      <c r="O1631" s="4"/>
      <c r="P1631" s="14"/>
      <c r="Q1631" s="14"/>
    </row>
    <row r="1632" spans="1:17" x14ac:dyDescent="0.25">
      <c r="A1632" s="5"/>
      <c r="B1632" s="6"/>
      <c r="C1632" s="4"/>
      <c r="D1632" s="4"/>
      <c r="E1632" s="12"/>
      <c r="F1632" s="12"/>
      <c r="G1632" s="16"/>
      <c r="H1632" s="14"/>
      <c r="I1632" s="14"/>
      <c r="J1632" s="14"/>
      <c r="K1632" s="14"/>
      <c r="L1632" s="14"/>
      <c r="M1632" s="14"/>
      <c r="N1632" s="14"/>
      <c r="O1632" s="4"/>
      <c r="P1632" s="14"/>
      <c r="Q1632" s="14"/>
    </row>
    <row r="1633" spans="1:17" x14ac:dyDescent="0.25">
      <c r="A1633" s="5"/>
      <c r="B1633" s="6"/>
      <c r="C1633" s="4"/>
      <c r="D1633" s="4"/>
      <c r="E1633" s="12"/>
      <c r="F1633" s="12"/>
      <c r="G1633" s="16"/>
      <c r="H1633" s="14"/>
      <c r="I1633" s="14"/>
      <c r="J1633" s="14"/>
      <c r="K1633" s="14"/>
      <c r="L1633" s="14"/>
      <c r="M1633" s="14"/>
      <c r="N1633" s="14"/>
      <c r="O1633" s="4"/>
      <c r="P1633" s="14"/>
      <c r="Q1633" s="14"/>
    </row>
    <row r="1634" spans="1:17" x14ac:dyDescent="0.25">
      <c r="A1634" s="5"/>
      <c r="B1634" s="6"/>
      <c r="C1634" s="4"/>
      <c r="D1634" s="4"/>
      <c r="E1634" s="12"/>
      <c r="F1634" s="12"/>
      <c r="G1634" s="16"/>
      <c r="H1634" s="14"/>
      <c r="I1634" s="14"/>
      <c r="J1634" s="14"/>
      <c r="K1634" s="14"/>
      <c r="L1634" s="14"/>
      <c r="M1634" s="14"/>
      <c r="N1634" s="14"/>
      <c r="O1634" s="4"/>
      <c r="P1634" s="14"/>
      <c r="Q1634" s="14"/>
    </row>
    <row r="1635" spans="1:17" x14ac:dyDescent="0.25">
      <c r="A1635" s="5"/>
      <c r="B1635" s="6"/>
      <c r="C1635" s="4"/>
      <c r="D1635" s="4"/>
      <c r="E1635" s="12"/>
      <c r="F1635" s="12"/>
      <c r="G1635" s="16"/>
      <c r="H1635" s="14"/>
      <c r="I1635" s="14"/>
      <c r="J1635" s="14"/>
      <c r="K1635" s="14"/>
      <c r="L1635" s="14"/>
      <c r="M1635" s="14"/>
      <c r="N1635" s="14"/>
      <c r="O1635" s="4"/>
      <c r="P1635" s="14"/>
      <c r="Q1635" s="14"/>
    </row>
    <row r="1636" spans="1:17" x14ac:dyDescent="0.25">
      <c r="A1636" s="5"/>
      <c r="B1636" s="6"/>
      <c r="C1636" s="4"/>
      <c r="D1636" s="4"/>
      <c r="E1636" s="12"/>
      <c r="F1636" s="12"/>
      <c r="G1636" s="16"/>
      <c r="H1636" s="14"/>
      <c r="I1636" s="14"/>
      <c r="J1636" s="14"/>
      <c r="K1636" s="14"/>
      <c r="L1636" s="14"/>
      <c r="M1636" s="14"/>
      <c r="N1636" s="14"/>
      <c r="O1636" s="4"/>
      <c r="P1636" s="14"/>
      <c r="Q1636" s="14"/>
    </row>
    <row r="1637" spans="1:17" x14ac:dyDescent="0.25">
      <c r="A1637" s="5"/>
      <c r="B1637" s="6"/>
      <c r="C1637" s="4"/>
      <c r="D1637" s="4"/>
      <c r="E1637" s="12"/>
      <c r="F1637" s="12"/>
      <c r="G1637" s="16"/>
      <c r="H1637" s="14"/>
      <c r="I1637" s="14"/>
      <c r="J1637" s="14"/>
      <c r="K1637" s="14"/>
      <c r="L1637" s="14"/>
      <c r="M1637" s="14"/>
      <c r="N1637" s="14"/>
      <c r="O1637" s="4"/>
      <c r="P1637" s="14"/>
      <c r="Q1637" s="14"/>
    </row>
    <row r="1638" spans="1:17" x14ac:dyDescent="0.25">
      <c r="A1638" s="5"/>
      <c r="B1638" s="6"/>
      <c r="C1638" s="4"/>
      <c r="D1638" s="4"/>
      <c r="E1638" s="12"/>
      <c r="F1638" s="12"/>
      <c r="G1638" s="16"/>
      <c r="H1638" s="14"/>
      <c r="I1638" s="14"/>
      <c r="J1638" s="14"/>
      <c r="K1638" s="14"/>
      <c r="L1638" s="14"/>
      <c r="M1638" s="14"/>
      <c r="N1638" s="14"/>
      <c r="O1638" s="4"/>
      <c r="P1638" s="14"/>
      <c r="Q1638" s="14"/>
    </row>
    <row r="1639" spans="1:17" x14ac:dyDescent="0.25">
      <c r="A1639" s="5"/>
      <c r="B1639" s="6"/>
      <c r="C1639" s="4"/>
      <c r="D1639" s="4"/>
      <c r="E1639" s="12"/>
      <c r="F1639" s="12"/>
      <c r="G1639" s="16"/>
      <c r="H1639" s="14"/>
      <c r="I1639" s="14"/>
      <c r="J1639" s="14"/>
      <c r="K1639" s="14"/>
      <c r="L1639" s="14"/>
      <c r="M1639" s="14"/>
      <c r="N1639" s="14"/>
      <c r="O1639" s="4"/>
      <c r="P1639" s="14"/>
      <c r="Q1639" s="14"/>
    </row>
    <row r="1640" spans="1:17" x14ac:dyDescent="0.25">
      <c r="A1640" s="5"/>
      <c r="B1640" s="6"/>
      <c r="C1640" s="4"/>
      <c r="D1640" s="4"/>
      <c r="E1640" s="12"/>
      <c r="F1640" s="12"/>
      <c r="G1640" s="16"/>
      <c r="H1640" s="14"/>
      <c r="I1640" s="14"/>
      <c r="J1640" s="14"/>
      <c r="K1640" s="14"/>
      <c r="L1640" s="14"/>
      <c r="M1640" s="14"/>
      <c r="N1640" s="14"/>
      <c r="O1640" s="4"/>
      <c r="P1640" s="14"/>
      <c r="Q1640" s="14"/>
    </row>
    <row r="1641" spans="1:17" x14ac:dyDescent="0.25">
      <c r="A1641" s="5"/>
      <c r="B1641" s="6"/>
      <c r="C1641" s="4"/>
      <c r="D1641" s="4"/>
      <c r="E1641" s="12"/>
      <c r="F1641" s="12"/>
      <c r="G1641" s="16"/>
      <c r="H1641" s="14"/>
      <c r="I1641" s="14"/>
      <c r="J1641" s="14"/>
      <c r="K1641" s="14"/>
      <c r="L1641" s="14"/>
      <c r="M1641" s="14"/>
      <c r="N1641" s="14"/>
      <c r="O1641" s="4"/>
      <c r="P1641" s="14"/>
      <c r="Q1641" s="14"/>
    </row>
    <row r="1642" spans="1:17" x14ac:dyDescent="0.25">
      <c r="A1642" s="5"/>
      <c r="B1642" s="6"/>
      <c r="C1642" s="4"/>
      <c r="D1642" s="4"/>
      <c r="E1642" s="12"/>
      <c r="F1642" s="12"/>
      <c r="G1642" s="16"/>
      <c r="H1642" s="14"/>
      <c r="I1642" s="14"/>
      <c r="J1642" s="14"/>
      <c r="K1642" s="14"/>
      <c r="L1642" s="14"/>
      <c r="M1642" s="14"/>
      <c r="N1642" s="14"/>
      <c r="O1642" s="4"/>
      <c r="P1642" s="14"/>
      <c r="Q1642" s="14"/>
    </row>
    <row r="1643" spans="1:17" x14ac:dyDescent="0.25">
      <c r="A1643" s="5"/>
      <c r="B1643" s="6"/>
      <c r="C1643" s="4"/>
      <c r="D1643" s="4"/>
      <c r="E1643" s="12"/>
      <c r="F1643" s="12"/>
      <c r="G1643" s="16"/>
      <c r="H1643" s="14"/>
      <c r="I1643" s="14"/>
      <c r="J1643" s="14"/>
      <c r="K1643" s="14"/>
      <c r="L1643" s="14"/>
      <c r="M1643" s="14"/>
      <c r="N1643" s="14"/>
      <c r="O1643" s="4"/>
      <c r="P1643" s="14"/>
      <c r="Q1643" s="14"/>
    </row>
    <row r="1644" spans="1:17" x14ac:dyDescent="0.25">
      <c r="A1644" s="5"/>
      <c r="B1644" s="6"/>
      <c r="C1644" s="4"/>
      <c r="D1644" s="4"/>
      <c r="E1644" s="12"/>
      <c r="F1644" s="12"/>
      <c r="G1644" s="16"/>
      <c r="H1644" s="14"/>
      <c r="I1644" s="14"/>
      <c r="J1644" s="14"/>
      <c r="K1644" s="14"/>
      <c r="L1644" s="14"/>
      <c r="M1644" s="14"/>
      <c r="N1644" s="14"/>
      <c r="O1644" s="4"/>
      <c r="P1644" s="14"/>
      <c r="Q1644" s="14"/>
    </row>
    <row r="1645" spans="1:17" x14ac:dyDescent="0.25">
      <c r="A1645" s="5"/>
      <c r="B1645" s="6"/>
      <c r="C1645" s="4"/>
      <c r="D1645" s="4"/>
      <c r="E1645" s="12"/>
      <c r="F1645" s="12"/>
      <c r="G1645" s="16"/>
      <c r="H1645" s="14"/>
      <c r="I1645" s="14"/>
      <c r="J1645" s="14"/>
      <c r="K1645" s="14"/>
      <c r="L1645" s="14"/>
      <c r="M1645" s="14"/>
      <c r="N1645" s="14"/>
      <c r="O1645" s="4"/>
      <c r="P1645" s="14"/>
      <c r="Q1645" s="14"/>
    </row>
    <row r="1646" spans="1:17" x14ac:dyDescent="0.25">
      <c r="A1646" s="5"/>
      <c r="B1646" s="6"/>
      <c r="C1646" s="4"/>
      <c r="D1646" s="4"/>
      <c r="E1646" s="12"/>
      <c r="F1646" s="12"/>
      <c r="G1646" s="16"/>
      <c r="H1646" s="14"/>
      <c r="I1646" s="14"/>
      <c r="J1646" s="14"/>
      <c r="K1646" s="14"/>
      <c r="L1646" s="14"/>
      <c r="M1646" s="14"/>
      <c r="N1646" s="14"/>
      <c r="O1646" s="4"/>
      <c r="P1646" s="14"/>
      <c r="Q1646" s="14"/>
    </row>
    <row r="1647" spans="1:17" x14ac:dyDescent="0.25">
      <c r="A1647" s="5"/>
      <c r="B1647" s="6"/>
      <c r="C1647" s="4"/>
      <c r="D1647" s="4"/>
      <c r="E1647" s="12"/>
      <c r="F1647" s="12"/>
      <c r="G1647" s="16"/>
      <c r="H1647" s="14"/>
      <c r="I1647" s="14"/>
      <c r="J1647" s="14"/>
      <c r="K1647" s="14"/>
      <c r="L1647" s="14"/>
      <c r="M1647" s="14"/>
      <c r="N1647" s="14"/>
      <c r="O1647" s="4"/>
      <c r="P1647" s="14"/>
      <c r="Q1647" s="14"/>
    </row>
    <row r="1648" spans="1:17" x14ac:dyDescent="0.25">
      <c r="A1648" s="5"/>
      <c r="B1648" s="6"/>
      <c r="C1648" s="4"/>
      <c r="D1648" s="4"/>
      <c r="E1648" s="12"/>
      <c r="F1648" s="12"/>
      <c r="G1648" s="16"/>
      <c r="H1648" s="14"/>
      <c r="I1648" s="14"/>
      <c r="J1648" s="14"/>
      <c r="K1648" s="14"/>
      <c r="L1648" s="14"/>
      <c r="M1648" s="14"/>
      <c r="N1648" s="14"/>
      <c r="O1648" s="4"/>
      <c r="P1648" s="14"/>
      <c r="Q1648" s="14"/>
    </row>
    <row r="1649" spans="1:17" x14ac:dyDescent="0.25">
      <c r="A1649" s="5"/>
      <c r="B1649" s="6"/>
      <c r="C1649" s="4"/>
      <c r="D1649" s="4"/>
      <c r="E1649" s="12"/>
      <c r="F1649" s="12"/>
      <c r="G1649" s="16"/>
      <c r="H1649" s="14"/>
      <c r="I1649" s="14"/>
      <c r="J1649" s="14"/>
      <c r="K1649" s="14"/>
      <c r="L1649" s="14"/>
      <c r="M1649" s="14"/>
      <c r="N1649" s="14"/>
      <c r="O1649" s="4"/>
      <c r="P1649" s="14"/>
      <c r="Q1649" s="14"/>
    </row>
    <row r="1650" spans="1:17" x14ac:dyDescent="0.25">
      <c r="A1650" s="5"/>
      <c r="B1650" s="6"/>
      <c r="C1650" s="4"/>
      <c r="D1650" s="4"/>
      <c r="E1650" s="12"/>
      <c r="F1650" s="12"/>
      <c r="G1650" s="16"/>
      <c r="H1650" s="14"/>
      <c r="I1650" s="14"/>
      <c r="J1650" s="14"/>
      <c r="K1650" s="14"/>
      <c r="L1650" s="14"/>
      <c r="M1650" s="14"/>
      <c r="N1650" s="14"/>
      <c r="O1650" s="4"/>
      <c r="P1650" s="14"/>
      <c r="Q1650" s="14"/>
    </row>
    <row r="1651" spans="1:17" x14ac:dyDescent="0.25">
      <c r="A1651" s="5"/>
      <c r="B1651" s="6"/>
      <c r="C1651" s="4"/>
      <c r="D1651" s="4"/>
      <c r="E1651" s="12"/>
      <c r="F1651" s="12"/>
      <c r="G1651" s="16"/>
      <c r="H1651" s="14"/>
      <c r="I1651" s="14"/>
      <c r="J1651" s="14"/>
      <c r="K1651" s="14"/>
      <c r="L1651" s="14"/>
      <c r="M1651" s="14"/>
      <c r="N1651" s="14"/>
      <c r="O1651" s="4"/>
      <c r="P1651" s="14"/>
      <c r="Q1651" s="14"/>
    </row>
    <row r="1652" spans="1:17" x14ac:dyDescent="0.25">
      <c r="A1652" s="5"/>
      <c r="B1652" s="6"/>
      <c r="C1652" s="4"/>
      <c r="D1652" s="4"/>
      <c r="E1652" s="12"/>
      <c r="F1652" s="12"/>
      <c r="G1652" s="16"/>
      <c r="H1652" s="14"/>
      <c r="I1652" s="14"/>
      <c r="J1652" s="14"/>
      <c r="K1652" s="14"/>
      <c r="L1652" s="14"/>
      <c r="M1652" s="14"/>
      <c r="N1652" s="14"/>
      <c r="O1652" s="4"/>
      <c r="P1652" s="14"/>
      <c r="Q1652" s="14"/>
    </row>
    <row r="1653" spans="1:17" x14ac:dyDescent="0.25">
      <c r="A1653" s="5"/>
      <c r="B1653" s="6"/>
      <c r="C1653" s="4"/>
      <c r="D1653" s="4"/>
      <c r="E1653" s="12"/>
      <c r="F1653" s="12"/>
      <c r="G1653" s="16"/>
      <c r="H1653" s="14"/>
      <c r="I1653" s="14"/>
      <c r="J1653" s="14"/>
      <c r="K1653" s="14"/>
      <c r="L1653" s="14"/>
      <c r="M1653" s="14"/>
      <c r="N1653" s="14"/>
      <c r="O1653" s="4"/>
      <c r="P1653" s="14"/>
      <c r="Q1653" s="14"/>
    </row>
    <row r="1654" spans="1:17" x14ac:dyDescent="0.25">
      <c r="A1654" s="5"/>
      <c r="B1654" s="6"/>
      <c r="C1654" s="4"/>
      <c r="D1654" s="4"/>
      <c r="E1654" s="12"/>
      <c r="F1654" s="12"/>
      <c r="G1654" s="16"/>
      <c r="H1654" s="14"/>
      <c r="I1654" s="14"/>
      <c r="J1654" s="14"/>
      <c r="K1654" s="14"/>
      <c r="L1654" s="14"/>
      <c r="M1654" s="14"/>
      <c r="N1654" s="14"/>
      <c r="O1654" s="4"/>
      <c r="P1654" s="14"/>
      <c r="Q1654" s="14"/>
    </row>
    <row r="1655" spans="1:17" x14ac:dyDescent="0.25">
      <c r="A1655" s="5"/>
      <c r="B1655" s="6"/>
      <c r="C1655" s="4"/>
      <c r="D1655" s="4"/>
      <c r="E1655" s="12"/>
      <c r="F1655" s="12"/>
      <c r="G1655" s="16"/>
      <c r="H1655" s="14"/>
      <c r="I1655" s="14"/>
      <c r="J1655" s="14"/>
      <c r="K1655" s="14"/>
      <c r="L1655" s="14"/>
      <c r="M1655" s="14"/>
      <c r="N1655" s="14"/>
      <c r="O1655" s="4"/>
      <c r="P1655" s="14"/>
      <c r="Q1655" s="14"/>
    </row>
    <row r="1656" spans="1:17" x14ac:dyDescent="0.25">
      <c r="A1656" s="5"/>
      <c r="B1656" s="6"/>
      <c r="C1656" s="4"/>
      <c r="D1656" s="4"/>
      <c r="E1656" s="12"/>
      <c r="F1656" s="12"/>
      <c r="G1656" s="16"/>
      <c r="H1656" s="14"/>
      <c r="I1656" s="14"/>
      <c r="J1656" s="14"/>
      <c r="K1656" s="14"/>
      <c r="L1656" s="14"/>
      <c r="M1656" s="14"/>
      <c r="N1656" s="14"/>
      <c r="O1656" s="4"/>
      <c r="P1656" s="14"/>
      <c r="Q1656" s="14"/>
    </row>
    <row r="1657" spans="1:17" x14ac:dyDescent="0.25">
      <c r="A1657" s="5"/>
      <c r="B1657" s="6"/>
      <c r="C1657" s="4"/>
      <c r="D1657" s="4"/>
      <c r="E1657" s="12"/>
      <c r="F1657" s="12"/>
      <c r="G1657" s="16"/>
      <c r="H1657" s="14"/>
      <c r="I1657" s="14"/>
      <c r="J1657" s="14"/>
      <c r="K1657" s="14"/>
      <c r="L1657" s="14"/>
      <c r="M1657" s="14"/>
      <c r="N1657" s="14"/>
      <c r="O1657" s="4"/>
      <c r="P1657" s="14"/>
      <c r="Q1657" s="14"/>
    </row>
    <row r="1658" spans="1:17" x14ac:dyDescent="0.25">
      <c r="A1658" s="5"/>
      <c r="B1658" s="6"/>
      <c r="C1658" s="4"/>
      <c r="D1658" s="4"/>
      <c r="E1658" s="12"/>
      <c r="F1658" s="12"/>
      <c r="G1658" s="16"/>
      <c r="H1658" s="14"/>
      <c r="I1658" s="14"/>
      <c r="J1658" s="14"/>
      <c r="K1658" s="14"/>
      <c r="L1658" s="14"/>
      <c r="M1658" s="14"/>
      <c r="N1658" s="14"/>
      <c r="O1658" s="4"/>
      <c r="P1658" s="14"/>
      <c r="Q1658" s="14"/>
    </row>
    <row r="1659" spans="1:17" x14ac:dyDescent="0.25">
      <c r="A1659" s="5"/>
      <c r="B1659" s="6"/>
      <c r="C1659" s="4"/>
      <c r="D1659" s="4"/>
      <c r="E1659" s="12"/>
      <c r="F1659" s="12"/>
      <c r="G1659" s="16"/>
      <c r="H1659" s="14"/>
      <c r="I1659" s="14"/>
      <c r="J1659" s="14"/>
      <c r="K1659" s="14"/>
      <c r="L1659" s="14"/>
      <c r="M1659" s="14"/>
      <c r="N1659" s="14"/>
      <c r="O1659" s="4"/>
      <c r="P1659" s="14"/>
      <c r="Q1659" s="14"/>
    </row>
    <row r="1660" spans="1:17" x14ac:dyDescent="0.25">
      <c r="A1660" s="5"/>
      <c r="B1660" s="6"/>
      <c r="C1660" s="4"/>
      <c r="D1660" s="4"/>
      <c r="E1660" s="12"/>
      <c r="F1660" s="12"/>
      <c r="G1660" s="16"/>
      <c r="H1660" s="14"/>
      <c r="I1660" s="14"/>
      <c r="J1660" s="14"/>
      <c r="K1660" s="14"/>
      <c r="L1660" s="14"/>
      <c r="M1660" s="14"/>
      <c r="N1660" s="14"/>
      <c r="O1660" s="4"/>
      <c r="P1660" s="14"/>
      <c r="Q1660" s="14"/>
    </row>
    <row r="1661" spans="1:17" x14ac:dyDescent="0.25">
      <c r="A1661" s="5"/>
      <c r="B1661" s="6"/>
      <c r="C1661" s="4"/>
      <c r="D1661" s="4"/>
      <c r="E1661" s="12"/>
      <c r="F1661" s="12"/>
      <c r="G1661" s="16"/>
      <c r="H1661" s="14"/>
      <c r="I1661" s="14"/>
      <c r="J1661" s="14"/>
      <c r="K1661" s="14"/>
      <c r="L1661" s="14"/>
      <c r="M1661" s="14"/>
      <c r="N1661" s="14"/>
      <c r="O1661" s="4"/>
      <c r="P1661" s="14"/>
      <c r="Q1661" s="14"/>
    </row>
    <row r="1662" spans="1:17" x14ac:dyDescent="0.25">
      <c r="A1662" s="5"/>
      <c r="B1662" s="6"/>
      <c r="C1662" s="4"/>
      <c r="D1662" s="4"/>
      <c r="E1662" s="12"/>
      <c r="F1662" s="12"/>
      <c r="G1662" s="16"/>
      <c r="H1662" s="14"/>
      <c r="I1662" s="14"/>
      <c r="J1662" s="14"/>
      <c r="K1662" s="14"/>
      <c r="L1662" s="14"/>
      <c r="M1662" s="14"/>
      <c r="N1662" s="14"/>
      <c r="O1662" s="4"/>
      <c r="P1662" s="14"/>
      <c r="Q1662" s="14"/>
    </row>
    <row r="1663" spans="1:17" x14ac:dyDescent="0.25">
      <c r="A1663" s="5"/>
      <c r="B1663" s="6"/>
      <c r="C1663" s="4"/>
      <c r="D1663" s="4"/>
      <c r="E1663" s="12"/>
      <c r="F1663" s="12"/>
      <c r="G1663" s="16"/>
      <c r="H1663" s="14"/>
      <c r="I1663" s="14"/>
      <c r="J1663" s="14"/>
      <c r="K1663" s="14"/>
      <c r="L1663" s="14"/>
      <c r="M1663" s="14"/>
      <c r="N1663" s="14"/>
      <c r="O1663" s="4"/>
      <c r="P1663" s="14"/>
      <c r="Q1663" s="14"/>
    </row>
    <row r="1664" spans="1:17" x14ac:dyDescent="0.25">
      <c r="A1664" s="5"/>
      <c r="B1664" s="6"/>
      <c r="C1664" s="4"/>
      <c r="D1664" s="4"/>
      <c r="E1664" s="12"/>
      <c r="F1664" s="12"/>
      <c r="G1664" s="16"/>
      <c r="H1664" s="14"/>
      <c r="I1664" s="14"/>
      <c r="J1664" s="14"/>
      <c r="K1664" s="14"/>
      <c r="L1664" s="14"/>
      <c r="M1664" s="14"/>
      <c r="N1664" s="14"/>
      <c r="O1664" s="4"/>
      <c r="P1664" s="14"/>
      <c r="Q1664" s="14"/>
    </row>
    <row r="1665" spans="1:17" x14ac:dyDescent="0.25">
      <c r="A1665" s="5"/>
      <c r="B1665" s="6"/>
      <c r="C1665" s="4"/>
      <c r="D1665" s="4"/>
      <c r="E1665" s="12"/>
      <c r="F1665" s="12"/>
      <c r="G1665" s="16"/>
      <c r="H1665" s="14"/>
      <c r="I1665" s="14"/>
      <c r="J1665" s="14"/>
      <c r="K1665" s="14"/>
      <c r="L1665" s="14"/>
      <c r="M1665" s="14"/>
      <c r="N1665" s="14"/>
      <c r="O1665" s="4"/>
      <c r="P1665" s="14"/>
      <c r="Q1665" s="14"/>
    </row>
    <row r="1666" spans="1:17" x14ac:dyDescent="0.25">
      <c r="A1666" s="5"/>
      <c r="B1666" s="6"/>
      <c r="C1666" s="4"/>
      <c r="D1666" s="4"/>
      <c r="E1666" s="12"/>
      <c r="F1666" s="12"/>
      <c r="G1666" s="16"/>
      <c r="H1666" s="14"/>
      <c r="I1666" s="14"/>
      <c r="J1666" s="14"/>
      <c r="K1666" s="14"/>
      <c r="L1666" s="14"/>
      <c r="M1666" s="14"/>
      <c r="N1666" s="14"/>
      <c r="O1666" s="4"/>
      <c r="P1666" s="14"/>
      <c r="Q1666" s="14"/>
    </row>
    <row r="1667" spans="1:17" x14ac:dyDescent="0.25">
      <c r="A1667" s="5"/>
      <c r="B1667" s="6"/>
      <c r="C1667" s="4"/>
      <c r="D1667" s="4"/>
      <c r="E1667" s="12"/>
      <c r="F1667" s="12"/>
      <c r="G1667" s="16"/>
      <c r="H1667" s="14"/>
      <c r="I1667" s="14"/>
      <c r="J1667" s="14"/>
      <c r="K1667" s="14"/>
      <c r="L1667" s="14"/>
      <c r="M1667" s="14"/>
      <c r="N1667" s="14"/>
      <c r="O1667" s="4"/>
      <c r="P1667" s="14"/>
      <c r="Q1667" s="14"/>
    </row>
    <row r="1668" spans="1:17" x14ac:dyDescent="0.25">
      <c r="A1668" s="5"/>
      <c r="B1668" s="6"/>
      <c r="C1668" s="4"/>
      <c r="D1668" s="4"/>
      <c r="E1668" s="12"/>
      <c r="F1668" s="12"/>
      <c r="G1668" s="16"/>
      <c r="H1668" s="14"/>
      <c r="I1668" s="14"/>
      <c r="J1668" s="14"/>
      <c r="K1668" s="14"/>
      <c r="L1668" s="14"/>
      <c r="M1668" s="14"/>
      <c r="N1668" s="14"/>
      <c r="O1668" s="4"/>
      <c r="P1668" s="14"/>
      <c r="Q1668" s="14"/>
    </row>
    <row r="1669" spans="1:17" x14ac:dyDescent="0.25">
      <c r="A1669" s="5"/>
      <c r="B1669" s="6"/>
      <c r="C1669" s="4"/>
      <c r="D1669" s="4"/>
      <c r="E1669" s="12"/>
      <c r="F1669" s="12"/>
      <c r="G1669" s="16"/>
      <c r="H1669" s="14"/>
      <c r="I1669" s="14"/>
      <c r="J1669" s="14"/>
      <c r="K1669" s="14"/>
      <c r="L1669" s="14"/>
      <c r="M1669" s="14"/>
      <c r="N1669" s="14"/>
      <c r="O1669" s="4"/>
      <c r="P1669" s="14"/>
      <c r="Q1669" s="14"/>
    </row>
    <row r="1670" spans="1:17" x14ac:dyDescent="0.25">
      <c r="A1670" s="5"/>
      <c r="B1670" s="6"/>
      <c r="C1670" s="4"/>
      <c r="D1670" s="4"/>
      <c r="E1670" s="12"/>
      <c r="F1670" s="12"/>
      <c r="G1670" s="16"/>
      <c r="H1670" s="14"/>
      <c r="I1670" s="14"/>
      <c r="J1670" s="14"/>
      <c r="K1670" s="14"/>
      <c r="L1670" s="14"/>
      <c r="M1670" s="14"/>
      <c r="N1670" s="14"/>
      <c r="O1670" s="4"/>
      <c r="P1670" s="14"/>
      <c r="Q1670" s="14"/>
    </row>
    <row r="1671" spans="1:17" x14ac:dyDescent="0.25">
      <c r="A1671" s="5"/>
      <c r="B1671" s="6"/>
      <c r="C1671" s="4"/>
      <c r="D1671" s="4"/>
      <c r="E1671" s="12"/>
      <c r="F1671" s="12"/>
      <c r="G1671" s="16"/>
      <c r="H1671" s="14"/>
      <c r="I1671" s="14"/>
      <c r="J1671" s="14"/>
      <c r="K1671" s="14"/>
      <c r="L1671" s="14"/>
      <c r="M1671" s="14"/>
      <c r="N1671" s="14"/>
      <c r="O1671" s="4"/>
      <c r="P1671" s="14"/>
      <c r="Q1671" s="14"/>
    </row>
    <row r="1672" spans="1:17" x14ac:dyDescent="0.25">
      <c r="A1672" s="5"/>
      <c r="B1672" s="6"/>
      <c r="C1672" s="4"/>
      <c r="D1672" s="4"/>
      <c r="E1672" s="12"/>
      <c r="F1672" s="12"/>
      <c r="G1672" s="16"/>
      <c r="H1672" s="14"/>
      <c r="I1672" s="14"/>
      <c r="J1672" s="14"/>
      <c r="K1672" s="14"/>
      <c r="L1672" s="14"/>
      <c r="M1672" s="14"/>
      <c r="N1672" s="14"/>
      <c r="O1672" s="4"/>
      <c r="P1672" s="14"/>
      <c r="Q1672" s="14"/>
    </row>
    <row r="1673" spans="1:17" x14ac:dyDescent="0.25">
      <c r="A1673" s="5"/>
      <c r="B1673" s="6"/>
      <c r="C1673" s="4"/>
      <c r="D1673" s="4"/>
      <c r="E1673" s="12"/>
      <c r="F1673" s="12"/>
      <c r="G1673" s="16"/>
      <c r="H1673" s="14"/>
      <c r="I1673" s="14"/>
      <c r="J1673" s="14"/>
      <c r="K1673" s="14"/>
      <c r="L1673" s="14"/>
      <c r="M1673" s="14"/>
      <c r="N1673" s="14"/>
      <c r="O1673" s="4"/>
      <c r="P1673" s="14"/>
      <c r="Q1673" s="14"/>
    </row>
    <row r="1674" spans="1:17" x14ac:dyDescent="0.25">
      <c r="A1674" s="5"/>
      <c r="B1674" s="6"/>
      <c r="C1674" s="4"/>
      <c r="D1674" s="4"/>
      <c r="E1674" s="12"/>
      <c r="F1674" s="12"/>
      <c r="G1674" s="16"/>
      <c r="H1674" s="14"/>
      <c r="I1674" s="14"/>
      <c r="J1674" s="14"/>
      <c r="K1674" s="14"/>
      <c r="L1674" s="14"/>
      <c r="M1674" s="14"/>
      <c r="N1674" s="14"/>
      <c r="O1674" s="4"/>
      <c r="P1674" s="14"/>
      <c r="Q1674" s="14"/>
    </row>
    <row r="1675" spans="1:17" x14ac:dyDescent="0.25">
      <c r="A1675" s="5"/>
      <c r="B1675" s="6"/>
      <c r="C1675" s="4"/>
      <c r="D1675" s="4"/>
      <c r="E1675" s="12"/>
      <c r="F1675" s="12"/>
      <c r="G1675" s="16"/>
      <c r="H1675" s="14"/>
      <c r="I1675" s="14"/>
      <c r="J1675" s="14"/>
      <c r="K1675" s="14"/>
      <c r="L1675" s="14"/>
      <c r="M1675" s="14"/>
      <c r="N1675" s="14"/>
      <c r="O1675" s="4"/>
      <c r="P1675" s="14"/>
      <c r="Q1675" s="14"/>
    </row>
    <row r="1676" spans="1:17" x14ac:dyDescent="0.25">
      <c r="A1676" s="5"/>
      <c r="B1676" s="6"/>
      <c r="C1676" s="4"/>
      <c r="D1676" s="4"/>
      <c r="E1676" s="12"/>
      <c r="F1676" s="12"/>
      <c r="G1676" s="16"/>
      <c r="H1676" s="14"/>
      <c r="I1676" s="14"/>
      <c r="J1676" s="14"/>
      <c r="K1676" s="14"/>
      <c r="L1676" s="14"/>
      <c r="M1676" s="14"/>
      <c r="N1676" s="14"/>
      <c r="O1676" s="4"/>
      <c r="P1676" s="14"/>
      <c r="Q1676" s="14"/>
    </row>
    <row r="1677" spans="1:17" x14ac:dyDescent="0.25">
      <c r="A1677" s="5"/>
      <c r="B1677" s="6"/>
      <c r="C1677" s="4"/>
      <c r="D1677" s="4"/>
      <c r="E1677" s="12"/>
      <c r="F1677" s="12"/>
      <c r="G1677" s="16"/>
      <c r="H1677" s="14"/>
      <c r="I1677" s="14"/>
      <c r="J1677" s="14"/>
      <c r="K1677" s="14"/>
      <c r="L1677" s="14"/>
      <c r="M1677" s="14"/>
      <c r="N1677" s="14"/>
      <c r="O1677" s="4"/>
      <c r="P1677" s="14"/>
      <c r="Q1677" s="14"/>
    </row>
    <row r="1678" spans="1:17" x14ac:dyDescent="0.25">
      <c r="A1678" s="5"/>
      <c r="B1678" s="6"/>
      <c r="C1678" s="4"/>
      <c r="D1678" s="4"/>
      <c r="E1678" s="12"/>
      <c r="F1678" s="12"/>
      <c r="G1678" s="16"/>
      <c r="H1678" s="14"/>
      <c r="I1678" s="14"/>
      <c r="J1678" s="14"/>
      <c r="K1678" s="14"/>
      <c r="L1678" s="14"/>
      <c r="M1678" s="14"/>
      <c r="N1678" s="14"/>
      <c r="O1678" s="4"/>
      <c r="P1678" s="14"/>
      <c r="Q1678" s="14"/>
    </row>
    <row r="1679" spans="1:17" x14ac:dyDescent="0.25">
      <c r="A1679" s="5"/>
      <c r="B1679" s="6"/>
      <c r="C1679" s="4"/>
      <c r="D1679" s="4"/>
      <c r="E1679" s="12"/>
      <c r="F1679" s="12"/>
      <c r="G1679" s="16"/>
      <c r="H1679" s="14"/>
      <c r="I1679" s="14"/>
      <c r="J1679" s="14"/>
      <c r="K1679" s="14"/>
      <c r="L1679" s="14"/>
      <c r="M1679" s="14"/>
      <c r="N1679" s="14"/>
      <c r="O1679" s="4"/>
      <c r="P1679" s="14"/>
      <c r="Q1679" s="14"/>
    </row>
    <row r="1680" spans="1:17" x14ac:dyDescent="0.25">
      <c r="A1680" s="5"/>
      <c r="B1680" s="6"/>
      <c r="C1680" s="4"/>
      <c r="D1680" s="4"/>
      <c r="E1680" s="12"/>
      <c r="F1680" s="12"/>
      <c r="G1680" s="16"/>
      <c r="H1680" s="14"/>
      <c r="I1680" s="14"/>
      <c r="J1680" s="14"/>
      <c r="K1680" s="14"/>
      <c r="L1680" s="14"/>
      <c r="M1680" s="14"/>
      <c r="N1680" s="14"/>
      <c r="O1680" s="4"/>
      <c r="P1680" s="14"/>
      <c r="Q1680" s="14"/>
    </row>
    <row r="1681" spans="1:17" x14ac:dyDescent="0.25">
      <c r="A1681" s="5"/>
      <c r="B1681" s="6"/>
      <c r="C1681" s="4"/>
      <c r="D1681" s="4"/>
      <c r="E1681" s="12"/>
      <c r="F1681" s="12"/>
      <c r="G1681" s="16"/>
      <c r="H1681" s="14"/>
      <c r="I1681" s="14"/>
      <c r="J1681" s="14"/>
      <c r="K1681" s="14"/>
      <c r="L1681" s="14"/>
      <c r="M1681" s="14"/>
      <c r="N1681" s="14"/>
      <c r="O1681" s="4"/>
      <c r="P1681" s="14"/>
      <c r="Q1681" s="14"/>
    </row>
    <row r="1682" spans="1:17" x14ac:dyDescent="0.25">
      <c r="A1682" s="5"/>
      <c r="B1682" s="6"/>
      <c r="C1682" s="4"/>
      <c r="D1682" s="4"/>
      <c r="E1682" s="12"/>
      <c r="F1682" s="12"/>
      <c r="G1682" s="16"/>
      <c r="H1682" s="14"/>
      <c r="I1682" s="14"/>
      <c r="J1682" s="14"/>
      <c r="K1682" s="14"/>
      <c r="L1682" s="14"/>
      <c r="M1682" s="14"/>
      <c r="N1682" s="14"/>
      <c r="O1682" s="4"/>
      <c r="P1682" s="14"/>
      <c r="Q1682" s="14"/>
    </row>
    <row r="1683" spans="1:17" x14ac:dyDescent="0.25">
      <c r="A1683" s="5"/>
      <c r="B1683" s="6"/>
      <c r="C1683" s="4"/>
      <c r="D1683" s="4"/>
      <c r="E1683" s="12"/>
      <c r="F1683" s="12"/>
      <c r="G1683" s="16"/>
      <c r="H1683" s="14"/>
      <c r="I1683" s="14"/>
      <c r="J1683" s="14"/>
      <c r="K1683" s="14"/>
      <c r="L1683" s="14"/>
      <c r="M1683" s="14"/>
      <c r="N1683" s="14"/>
      <c r="O1683" s="4"/>
      <c r="P1683" s="14"/>
      <c r="Q1683" s="14"/>
    </row>
    <row r="1684" spans="1:17" x14ac:dyDescent="0.25">
      <c r="A1684" s="5"/>
      <c r="B1684" s="6"/>
      <c r="C1684" s="4"/>
      <c r="D1684" s="4"/>
      <c r="E1684" s="12"/>
      <c r="F1684" s="12"/>
      <c r="G1684" s="16"/>
      <c r="H1684" s="14"/>
      <c r="I1684" s="14"/>
      <c r="J1684" s="14"/>
      <c r="K1684" s="14"/>
      <c r="L1684" s="14"/>
      <c r="M1684" s="14"/>
      <c r="N1684" s="14"/>
      <c r="O1684" s="4"/>
      <c r="P1684" s="14"/>
      <c r="Q1684" s="14"/>
    </row>
    <row r="1685" spans="1:17" x14ac:dyDescent="0.25">
      <c r="A1685" s="5"/>
      <c r="B1685" s="6"/>
      <c r="C1685" s="4"/>
      <c r="D1685" s="4"/>
      <c r="E1685" s="12"/>
      <c r="F1685" s="12"/>
      <c r="G1685" s="16"/>
      <c r="H1685" s="14"/>
      <c r="I1685" s="14"/>
      <c r="J1685" s="14"/>
      <c r="K1685" s="14"/>
      <c r="L1685" s="14"/>
      <c r="M1685" s="14"/>
      <c r="N1685" s="14"/>
      <c r="O1685" s="4"/>
      <c r="P1685" s="14"/>
      <c r="Q1685" s="14"/>
    </row>
    <row r="1686" spans="1:17" x14ac:dyDescent="0.25">
      <c r="A1686" s="5"/>
      <c r="B1686" s="6"/>
      <c r="C1686" s="4"/>
      <c r="D1686" s="4"/>
      <c r="E1686" s="12"/>
      <c r="F1686" s="12"/>
      <c r="G1686" s="16"/>
      <c r="H1686" s="14"/>
      <c r="I1686" s="14"/>
      <c r="J1686" s="14"/>
      <c r="K1686" s="14"/>
      <c r="L1686" s="14"/>
      <c r="M1686" s="14"/>
      <c r="N1686" s="14"/>
      <c r="O1686" s="4"/>
      <c r="P1686" s="14"/>
      <c r="Q1686" s="14"/>
    </row>
    <row r="1687" spans="1:17" x14ac:dyDescent="0.25">
      <c r="A1687" s="5"/>
      <c r="B1687" s="6"/>
      <c r="C1687" s="4"/>
      <c r="D1687" s="4"/>
      <c r="E1687" s="12"/>
      <c r="F1687" s="12"/>
      <c r="G1687" s="16"/>
      <c r="H1687" s="14"/>
      <c r="I1687" s="14"/>
      <c r="J1687" s="14"/>
      <c r="K1687" s="14"/>
      <c r="L1687" s="14"/>
      <c r="M1687" s="14"/>
      <c r="N1687" s="14"/>
      <c r="O1687" s="4"/>
      <c r="P1687" s="14"/>
      <c r="Q1687" s="14"/>
    </row>
    <row r="1688" spans="1:17" x14ac:dyDescent="0.25">
      <c r="A1688" s="5"/>
      <c r="B1688" s="6"/>
      <c r="C1688" s="4"/>
      <c r="D1688" s="4"/>
      <c r="E1688" s="12"/>
      <c r="F1688" s="12"/>
      <c r="G1688" s="16"/>
      <c r="H1688" s="14"/>
      <c r="I1688" s="14"/>
      <c r="J1688" s="14"/>
      <c r="K1688" s="14"/>
      <c r="L1688" s="14"/>
      <c r="M1688" s="14"/>
      <c r="N1688" s="14"/>
      <c r="O1688" s="4"/>
      <c r="P1688" s="14"/>
      <c r="Q1688" s="14"/>
    </row>
    <row r="1689" spans="1:17" x14ac:dyDescent="0.25">
      <c r="A1689" s="5"/>
      <c r="B1689" s="6"/>
      <c r="C1689" s="4"/>
      <c r="D1689" s="4"/>
      <c r="E1689" s="12"/>
      <c r="F1689" s="12"/>
      <c r="G1689" s="16"/>
      <c r="H1689" s="14"/>
      <c r="I1689" s="14"/>
      <c r="J1689" s="14"/>
      <c r="K1689" s="14"/>
      <c r="L1689" s="14"/>
      <c r="M1689" s="14"/>
      <c r="N1689" s="14"/>
      <c r="O1689" s="4"/>
      <c r="P1689" s="14"/>
      <c r="Q1689" s="14"/>
    </row>
    <row r="1690" spans="1:17" x14ac:dyDescent="0.25">
      <c r="A1690" s="5"/>
      <c r="B1690" s="6"/>
      <c r="C1690" s="4"/>
      <c r="D1690" s="4"/>
      <c r="E1690" s="12"/>
      <c r="F1690" s="12"/>
      <c r="G1690" s="16"/>
      <c r="H1690" s="14"/>
      <c r="I1690" s="14"/>
      <c r="J1690" s="14"/>
      <c r="K1690" s="14"/>
      <c r="L1690" s="14"/>
      <c r="M1690" s="14"/>
      <c r="N1690" s="14"/>
      <c r="O1690" s="4"/>
      <c r="P1690" s="14"/>
      <c r="Q1690" s="14"/>
    </row>
    <row r="1691" spans="1:17" x14ac:dyDescent="0.25">
      <c r="A1691" s="5"/>
      <c r="B1691" s="6"/>
      <c r="C1691" s="4"/>
      <c r="D1691" s="4"/>
      <c r="E1691" s="12"/>
      <c r="F1691" s="12"/>
      <c r="G1691" s="16"/>
      <c r="H1691" s="14"/>
      <c r="I1691" s="14"/>
      <c r="J1691" s="14"/>
      <c r="K1691" s="14"/>
      <c r="L1691" s="14"/>
      <c r="M1691" s="14"/>
      <c r="N1691" s="14"/>
      <c r="O1691" s="4"/>
      <c r="P1691" s="14"/>
      <c r="Q1691" s="14"/>
    </row>
    <row r="1692" spans="1:17" x14ac:dyDescent="0.25">
      <c r="A1692" s="5"/>
      <c r="B1692" s="6"/>
      <c r="C1692" s="4"/>
      <c r="D1692" s="4"/>
      <c r="E1692" s="12"/>
      <c r="F1692" s="12"/>
      <c r="G1692" s="16"/>
      <c r="H1692" s="14"/>
      <c r="I1692" s="14"/>
      <c r="J1692" s="14"/>
      <c r="K1692" s="14"/>
      <c r="L1692" s="14"/>
      <c r="M1692" s="14"/>
      <c r="N1692" s="14"/>
      <c r="O1692" s="4"/>
      <c r="P1692" s="14"/>
      <c r="Q1692" s="14"/>
    </row>
    <row r="1693" spans="1:17" x14ac:dyDescent="0.25">
      <c r="A1693" s="5"/>
      <c r="B1693" s="6"/>
      <c r="C1693" s="4"/>
      <c r="D1693" s="4"/>
      <c r="E1693" s="12"/>
      <c r="F1693" s="12"/>
      <c r="G1693" s="16"/>
      <c r="H1693" s="14"/>
      <c r="I1693" s="14"/>
      <c r="J1693" s="14"/>
      <c r="K1693" s="14"/>
      <c r="L1693" s="14"/>
      <c r="M1693" s="14"/>
      <c r="N1693" s="14"/>
      <c r="O1693" s="4"/>
      <c r="P1693" s="14"/>
      <c r="Q1693" s="14"/>
    </row>
    <row r="1694" spans="1:17" x14ac:dyDescent="0.25">
      <c r="A1694" s="5"/>
      <c r="B1694" s="6"/>
      <c r="C1694" s="4"/>
      <c r="D1694" s="4"/>
      <c r="E1694" s="12"/>
      <c r="F1694" s="12"/>
      <c r="G1694" s="16"/>
      <c r="H1694" s="14"/>
      <c r="I1694" s="14"/>
      <c r="J1694" s="14"/>
      <c r="K1694" s="14"/>
      <c r="L1694" s="14"/>
      <c r="M1694" s="14"/>
      <c r="N1694" s="14"/>
      <c r="O1694" s="4"/>
      <c r="P1694" s="14"/>
      <c r="Q1694" s="14"/>
    </row>
    <row r="1695" spans="1:17" x14ac:dyDescent="0.25">
      <c r="A1695" s="5"/>
      <c r="B1695" s="6"/>
      <c r="C1695" s="4"/>
      <c r="D1695" s="4"/>
      <c r="E1695" s="12"/>
      <c r="F1695" s="12"/>
      <c r="G1695" s="16"/>
      <c r="H1695" s="14"/>
      <c r="I1695" s="14"/>
      <c r="J1695" s="14"/>
      <c r="K1695" s="14"/>
      <c r="L1695" s="14"/>
      <c r="M1695" s="14"/>
      <c r="N1695" s="14"/>
      <c r="O1695" s="4"/>
      <c r="P1695" s="14"/>
      <c r="Q1695" s="14"/>
    </row>
    <row r="1696" spans="1:17" x14ac:dyDescent="0.25">
      <c r="A1696" s="5"/>
      <c r="B1696" s="6"/>
      <c r="C1696" s="4"/>
      <c r="D1696" s="4"/>
      <c r="E1696" s="12"/>
      <c r="F1696" s="12"/>
      <c r="G1696" s="16"/>
      <c r="H1696" s="14"/>
      <c r="I1696" s="14"/>
      <c r="J1696" s="14"/>
      <c r="K1696" s="14"/>
      <c r="L1696" s="14"/>
      <c r="M1696" s="14"/>
      <c r="N1696" s="14"/>
      <c r="O1696" s="4"/>
      <c r="P1696" s="14"/>
      <c r="Q1696" s="14"/>
    </row>
    <row r="1697" spans="1:17" x14ac:dyDescent="0.25">
      <c r="A1697" s="5"/>
      <c r="B1697" s="6"/>
      <c r="C1697" s="4"/>
      <c r="D1697" s="4"/>
      <c r="E1697" s="12"/>
      <c r="F1697" s="12"/>
      <c r="G1697" s="16"/>
      <c r="H1697" s="14"/>
      <c r="I1697" s="14"/>
      <c r="J1697" s="14"/>
      <c r="K1697" s="14"/>
      <c r="L1697" s="14"/>
      <c r="M1697" s="14"/>
      <c r="N1697" s="14"/>
      <c r="O1697" s="4"/>
      <c r="P1697" s="14"/>
      <c r="Q1697" s="14"/>
    </row>
    <row r="1698" spans="1:17" x14ac:dyDescent="0.25">
      <c r="A1698" s="5"/>
      <c r="B1698" s="6"/>
      <c r="C1698" s="4"/>
      <c r="D1698" s="4"/>
      <c r="E1698" s="12"/>
      <c r="F1698" s="12"/>
      <c r="G1698" s="16"/>
      <c r="H1698" s="14"/>
      <c r="I1698" s="14"/>
      <c r="J1698" s="14"/>
      <c r="K1698" s="14"/>
      <c r="L1698" s="14"/>
      <c r="M1698" s="14"/>
      <c r="N1698" s="14"/>
      <c r="O1698" s="4"/>
      <c r="P1698" s="14"/>
      <c r="Q1698" s="14"/>
    </row>
    <row r="1699" spans="1:17" x14ac:dyDescent="0.25">
      <c r="A1699" s="5"/>
      <c r="B1699" s="6"/>
      <c r="C1699" s="4"/>
      <c r="D1699" s="4"/>
      <c r="E1699" s="12"/>
      <c r="F1699" s="12"/>
      <c r="G1699" s="16"/>
      <c r="H1699" s="14"/>
      <c r="I1699" s="14"/>
      <c r="J1699" s="14"/>
      <c r="K1699" s="14"/>
      <c r="L1699" s="14"/>
      <c r="M1699" s="14"/>
      <c r="N1699" s="14"/>
      <c r="O1699" s="4"/>
      <c r="P1699" s="14"/>
      <c r="Q1699" s="14"/>
    </row>
    <row r="1700" spans="1:17" x14ac:dyDescent="0.25">
      <c r="A1700" s="5"/>
      <c r="B1700" s="6"/>
      <c r="C1700" s="4"/>
      <c r="D1700" s="4"/>
      <c r="E1700" s="12"/>
      <c r="F1700" s="12"/>
      <c r="G1700" s="16"/>
      <c r="H1700" s="14"/>
      <c r="I1700" s="14"/>
      <c r="J1700" s="14"/>
      <c r="K1700" s="14"/>
      <c r="L1700" s="14"/>
      <c r="M1700" s="14"/>
      <c r="N1700" s="14"/>
      <c r="O1700" s="4"/>
      <c r="P1700" s="14"/>
      <c r="Q1700" s="14"/>
    </row>
    <row r="1701" spans="1:17" x14ac:dyDescent="0.25">
      <c r="A1701" s="5"/>
      <c r="B1701" s="6"/>
      <c r="C1701" s="4"/>
      <c r="D1701" s="4"/>
      <c r="E1701" s="12"/>
      <c r="F1701" s="12"/>
      <c r="G1701" s="16"/>
      <c r="H1701" s="14"/>
      <c r="I1701" s="14"/>
      <c r="J1701" s="14"/>
      <c r="K1701" s="14"/>
      <c r="L1701" s="14"/>
      <c r="M1701" s="14"/>
      <c r="N1701" s="14"/>
      <c r="O1701" s="4"/>
      <c r="P1701" s="14"/>
      <c r="Q1701" s="14"/>
    </row>
    <row r="1702" spans="1:17" x14ac:dyDescent="0.25">
      <c r="A1702" s="5"/>
      <c r="B1702" s="6"/>
      <c r="C1702" s="4"/>
      <c r="D1702" s="4"/>
      <c r="E1702" s="12"/>
      <c r="F1702" s="12"/>
      <c r="G1702" s="16"/>
      <c r="H1702" s="14"/>
      <c r="I1702" s="14"/>
      <c r="J1702" s="14"/>
      <c r="K1702" s="14"/>
      <c r="L1702" s="14"/>
      <c r="M1702" s="14"/>
      <c r="N1702" s="14"/>
      <c r="O1702" s="4"/>
      <c r="P1702" s="14"/>
      <c r="Q1702" s="14"/>
    </row>
    <row r="1703" spans="1:17" x14ac:dyDescent="0.25">
      <c r="A1703" s="5"/>
      <c r="B1703" s="6"/>
      <c r="C1703" s="4"/>
      <c r="D1703" s="4"/>
      <c r="E1703" s="12"/>
      <c r="F1703" s="12"/>
      <c r="G1703" s="16"/>
      <c r="H1703" s="14"/>
      <c r="I1703" s="14"/>
      <c r="J1703" s="14"/>
      <c r="K1703" s="14"/>
      <c r="L1703" s="14"/>
      <c r="M1703" s="14"/>
      <c r="N1703" s="14"/>
      <c r="O1703" s="4"/>
      <c r="P1703" s="14"/>
      <c r="Q1703" s="14"/>
    </row>
    <row r="1704" spans="1:17" x14ac:dyDescent="0.25">
      <c r="A1704" s="5"/>
      <c r="B1704" s="6"/>
      <c r="C1704" s="4"/>
      <c r="D1704" s="4"/>
      <c r="E1704" s="12"/>
      <c r="F1704" s="12"/>
      <c r="G1704" s="16"/>
      <c r="H1704" s="14"/>
      <c r="I1704" s="14"/>
      <c r="J1704" s="14"/>
      <c r="K1704" s="14"/>
      <c r="L1704" s="14"/>
      <c r="M1704" s="14"/>
      <c r="N1704" s="14"/>
      <c r="O1704" s="4"/>
      <c r="P1704" s="14"/>
      <c r="Q1704" s="14"/>
    </row>
    <row r="1705" spans="1:17" x14ac:dyDescent="0.25">
      <c r="A1705" s="5"/>
      <c r="B1705" s="6"/>
      <c r="C1705" s="4"/>
      <c r="D1705" s="4"/>
      <c r="E1705" s="12"/>
      <c r="F1705" s="12"/>
      <c r="G1705" s="16"/>
      <c r="H1705" s="14"/>
      <c r="I1705" s="14"/>
      <c r="J1705" s="14"/>
      <c r="K1705" s="14"/>
      <c r="L1705" s="14"/>
      <c r="M1705" s="14"/>
      <c r="N1705" s="14"/>
      <c r="O1705" s="4"/>
      <c r="P1705" s="14"/>
      <c r="Q1705" s="14"/>
    </row>
    <row r="1706" spans="1:17" x14ac:dyDescent="0.25">
      <c r="A1706" s="5"/>
      <c r="B1706" s="6"/>
      <c r="C1706" s="4"/>
      <c r="D1706" s="4"/>
      <c r="E1706" s="12"/>
      <c r="F1706" s="12"/>
      <c r="G1706" s="16"/>
      <c r="H1706" s="14"/>
      <c r="I1706" s="14"/>
      <c r="J1706" s="14"/>
      <c r="K1706" s="14"/>
      <c r="L1706" s="14"/>
      <c r="M1706" s="14"/>
      <c r="N1706" s="14"/>
      <c r="O1706" s="4"/>
      <c r="P1706" s="14"/>
      <c r="Q1706" s="14"/>
    </row>
    <row r="1707" spans="1:17" x14ac:dyDescent="0.25">
      <c r="A1707" s="5"/>
      <c r="B1707" s="6"/>
      <c r="C1707" s="4"/>
      <c r="D1707" s="4"/>
      <c r="E1707" s="12"/>
      <c r="F1707" s="12"/>
      <c r="G1707" s="16"/>
      <c r="H1707" s="14"/>
      <c r="I1707" s="14"/>
      <c r="J1707" s="14"/>
      <c r="K1707" s="14"/>
      <c r="L1707" s="14"/>
      <c r="M1707" s="14"/>
      <c r="N1707" s="14"/>
      <c r="O1707" s="4"/>
      <c r="P1707" s="14"/>
      <c r="Q1707" s="14"/>
    </row>
    <row r="1708" spans="1:17" x14ac:dyDescent="0.25">
      <c r="A1708" s="5"/>
      <c r="B1708" s="6"/>
      <c r="C1708" s="4"/>
      <c r="D1708" s="4"/>
      <c r="E1708" s="12"/>
      <c r="F1708" s="12"/>
      <c r="G1708" s="16"/>
      <c r="H1708" s="14"/>
      <c r="I1708" s="14"/>
      <c r="J1708" s="14"/>
      <c r="K1708" s="14"/>
      <c r="L1708" s="14"/>
      <c r="M1708" s="14"/>
      <c r="N1708" s="14"/>
      <c r="O1708" s="4"/>
      <c r="P1708" s="14"/>
      <c r="Q1708" s="14"/>
    </row>
    <row r="1709" spans="1:17" x14ac:dyDescent="0.25">
      <c r="A1709" s="5"/>
      <c r="B1709" s="6"/>
      <c r="C1709" s="4"/>
      <c r="D1709" s="4"/>
      <c r="E1709" s="12"/>
      <c r="F1709" s="12"/>
      <c r="G1709" s="16"/>
      <c r="H1709" s="14"/>
      <c r="I1709" s="14"/>
      <c r="J1709" s="14"/>
      <c r="K1709" s="14"/>
      <c r="L1709" s="14"/>
      <c r="M1709" s="14"/>
      <c r="N1709" s="14"/>
      <c r="O1709" s="4"/>
      <c r="P1709" s="14"/>
      <c r="Q1709" s="14"/>
    </row>
    <row r="1710" spans="1:17" x14ac:dyDescent="0.25">
      <c r="A1710" s="5"/>
      <c r="B1710" s="6"/>
      <c r="C1710" s="4"/>
      <c r="D1710" s="4"/>
      <c r="E1710" s="12"/>
      <c r="F1710" s="12"/>
      <c r="G1710" s="16"/>
      <c r="H1710" s="14"/>
      <c r="I1710" s="14"/>
      <c r="J1710" s="14"/>
      <c r="K1710" s="14"/>
      <c r="L1710" s="14"/>
      <c r="M1710" s="14"/>
      <c r="N1710" s="14"/>
      <c r="O1710" s="4"/>
      <c r="P1710" s="14"/>
      <c r="Q1710" s="14"/>
    </row>
    <row r="1711" spans="1:17" x14ac:dyDescent="0.25">
      <c r="A1711" s="5"/>
      <c r="B1711" s="6"/>
      <c r="C1711" s="4"/>
      <c r="D1711" s="4"/>
      <c r="E1711" s="12"/>
      <c r="F1711" s="12"/>
      <c r="G1711" s="16"/>
      <c r="H1711" s="14"/>
      <c r="I1711" s="14"/>
      <c r="J1711" s="14"/>
      <c r="K1711" s="14"/>
      <c r="L1711" s="14"/>
      <c r="M1711" s="14"/>
      <c r="N1711" s="14"/>
      <c r="O1711" s="4"/>
      <c r="P1711" s="14"/>
      <c r="Q1711" s="14"/>
    </row>
    <row r="1712" spans="1:17" x14ac:dyDescent="0.25">
      <c r="A1712" s="5"/>
      <c r="B1712" s="6"/>
      <c r="C1712" s="4"/>
      <c r="D1712" s="4"/>
      <c r="E1712" s="12"/>
      <c r="F1712" s="12"/>
      <c r="G1712" s="16"/>
      <c r="H1712" s="14"/>
      <c r="I1712" s="14"/>
      <c r="J1712" s="14"/>
      <c r="K1712" s="14"/>
      <c r="L1712" s="14"/>
      <c r="M1712" s="14"/>
      <c r="N1712" s="14"/>
      <c r="O1712" s="4"/>
      <c r="P1712" s="14"/>
      <c r="Q1712" s="14"/>
    </row>
    <row r="1713" spans="1:17" x14ac:dyDescent="0.25">
      <c r="A1713" s="5"/>
      <c r="B1713" s="6"/>
      <c r="C1713" s="4"/>
      <c r="D1713" s="4"/>
      <c r="E1713" s="12"/>
      <c r="F1713" s="12"/>
      <c r="G1713" s="16"/>
      <c r="H1713" s="14"/>
      <c r="I1713" s="14"/>
      <c r="J1713" s="14"/>
      <c r="K1713" s="14"/>
      <c r="L1713" s="14"/>
      <c r="M1713" s="14"/>
      <c r="N1713" s="14"/>
      <c r="O1713" s="4"/>
      <c r="P1713" s="14"/>
      <c r="Q1713" s="14"/>
    </row>
    <row r="1714" spans="1:17" x14ac:dyDescent="0.25">
      <c r="A1714" s="5"/>
      <c r="B1714" s="6"/>
      <c r="C1714" s="4"/>
      <c r="D1714" s="4"/>
      <c r="E1714" s="12"/>
      <c r="F1714" s="12"/>
      <c r="G1714" s="16"/>
      <c r="H1714" s="14"/>
      <c r="I1714" s="14"/>
      <c r="J1714" s="14"/>
      <c r="K1714" s="14"/>
      <c r="L1714" s="14"/>
      <c r="M1714" s="14"/>
      <c r="N1714" s="14"/>
      <c r="O1714" s="4"/>
      <c r="P1714" s="14"/>
      <c r="Q1714" s="14"/>
    </row>
    <row r="1715" spans="1:17" x14ac:dyDescent="0.25">
      <c r="A1715" s="5"/>
      <c r="B1715" s="6"/>
      <c r="C1715" s="4"/>
      <c r="D1715" s="4"/>
      <c r="E1715" s="12"/>
      <c r="F1715" s="12"/>
      <c r="G1715" s="16"/>
      <c r="H1715" s="14"/>
      <c r="I1715" s="14"/>
      <c r="J1715" s="14"/>
      <c r="K1715" s="14"/>
      <c r="L1715" s="14"/>
      <c r="M1715" s="14"/>
      <c r="N1715" s="14"/>
      <c r="O1715" s="4"/>
      <c r="P1715" s="14"/>
      <c r="Q1715" s="14"/>
    </row>
    <row r="1716" spans="1:17" x14ac:dyDescent="0.25">
      <c r="A1716" s="5"/>
      <c r="B1716" s="6"/>
      <c r="C1716" s="4"/>
      <c r="D1716" s="4"/>
      <c r="E1716" s="12"/>
      <c r="F1716" s="12"/>
      <c r="G1716" s="16"/>
      <c r="H1716" s="14"/>
      <c r="I1716" s="14"/>
      <c r="J1716" s="14"/>
      <c r="K1716" s="14"/>
      <c r="L1716" s="14"/>
      <c r="M1716" s="14"/>
      <c r="N1716" s="14"/>
      <c r="O1716" s="4"/>
      <c r="P1716" s="14"/>
      <c r="Q1716" s="14"/>
    </row>
    <row r="1717" spans="1:17" x14ac:dyDescent="0.25">
      <c r="A1717" s="5"/>
      <c r="B1717" s="6"/>
      <c r="C1717" s="4"/>
      <c r="D1717" s="4"/>
      <c r="E1717" s="12"/>
      <c r="F1717" s="12"/>
      <c r="G1717" s="16"/>
      <c r="H1717" s="14"/>
      <c r="I1717" s="14"/>
      <c r="J1717" s="14"/>
      <c r="K1717" s="14"/>
      <c r="L1717" s="14"/>
      <c r="M1717" s="14"/>
      <c r="N1717" s="14"/>
      <c r="O1717" s="4"/>
      <c r="P1717" s="14"/>
      <c r="Q1717" s="14"/>
    </row>
    <row r="1718" spans="1:17" x14ac:dyDescent="0.25">
      <c r="A1718" s="5"/>
      <c r="B1718" s="6"/>
      <c r="C1718" s="4"/>
      <c r="D1718" s="4"/>
      <c r="E1718" s="12"/>
      <c r="F1718" s="12"/>
      <c r="G1718" s="16"/>
      <c r="H1718" s="14"/>
      <c r="I1718" s="14"/>
      <c r="J1718" s="14"/>
      <c r="K1718" s="14"/>
      <c r="L1718" s="14"/>
      <c r="M1718" s="14"/>
      <c r="N1718" s="14"/>
      <c r="O1718" s="4"/>
      <c r="P1718" s="14"/>
      <c r="Q1718" s="14"/>
    </row>
    <row r="1719" spans="1:17" x14ac:dyDescent="0.25">
      <c r="A1719" s="5"/>
      <c r="B1719" s="6"/>
      <c r="C1719" s="4"/>
      <c r="D1719" s="4"/>
      <c r="E1719" s="12"/>
      <c r="F1719" s="12"/>
      <c r="G1719" s="16"/>
      <c r="H1719" s="14"/>
      <c r="I1719" s="14"/>
      <c r="J1719" s="14"/>
      <c r="K1719" s="14"/>
      <c r="L1719" s="14"/>
      <c r="M1719" s="14"/>
      <c r="N1719" s="14"/>
      <c r="O1719" s="4"/>
      <c r="P1719" s="14"/>
      <c r="Q1719" s="14"/>
    </row>
    <row r="1720" spans="1:17" x14ac:dyDescent="0.25">
      <c r="A1720" s="5"/>
      <c r="B1720" s="6"/>
      <c r="C1720" s="4"/>
      <c r="D1720" s="4"/>
      <c r="E1720" s="12"/>
      <c r="F1720" s="12"/>
      <c r="G1720" s="16"/>
      <c r="H1720" s="14"/>
      <c r="I1720" s="14"/>
      <c r="J1720" s="14"/>
      <c r="K1720" s="14"/>
      <c r="L1720" s="14"/>
      <c r="M1720" s="14"/>
      <c r="N1720" s="14"/>
      <c r="O1720" s="4"/>
      <c r="P1720" s="14"/>
      <c r="Q1720" s="14"/>
    </row>
    <row r="1721" spans="1:17" x14ac:dyDescent="0.25">
      <c r="A1721" s="5"/>
      <c r="B1721" s="6"/>
      <c r="C1721" s="4"/>
      <c r="D1721" s="4"/>
      <c r="E1721" s="12"/>
      <c r="F1721" s="12"/>
      <c r="G1721" s="16"/>
      <c r="H1721" s="14"/>
      <c r="I1721" s="14"/>
      <c r="J1721" s="14"/>
      <c r="K1721" s="14"/>
      <c r="L1721" s="14"/>
      <c r="M1721" s="14"/>
      <c r="N1721" s="14"/>
      <c r="O1721" s="4"/>
      <c r="P1721" s="14"/>
      <c r="Q1721" s="14"/>
    </row>
    <row r="1722" spans="1:17" x14ac:dyDescent="0.25">
      <c r="A1722" s="5"/>
      <c r="B1722" s="6"/>
      <c r="C1722" s="4"/>
      <c r="D1722" s="4"/>
      <c r="E1722" s="12"/>
      <c r="F1722" s="12"/>
      <c r="G1722" s="16"/>
      <c r="H1722" s="14"/>
      <c r="I1722" s="14"/>
      <c r="J1722" s="14"/>
      <c r="K1722" s="14"/>
      <c r="L1722" s="14"/>
      <c r="M1722" s="14"/>
      <c r="N1722" s="14"/>
      <c r="O1722" s="4"/>
      <c r="P1722" s="14"/>
      <c r="Q1722" s="14"/>
    </row>
    <row r="1723" spans="1:17" x14ac:dyDescent="0.25">
      <c r="A1723" s="5"/>
      <c r="B1723" s="6"/>
      <c r="C1723" s="4"/>
      <c r="D1723" s="4"/>
      <c r="E1723" s="12"/>
      <c r="F1723" s="12"/>
      <c r="G1723" s="16"/>
      <c r="H1723" s="14"/>
      <c r="I1723" s="14"/>
      <c r="J1723" s="14"/>
      <c r="K1723" s="14"/>
      <c r="L1723" s="14"/>
      <c r="M1723" s="14"/>
      <c r="N1723" s="14"/>
      <c r="O1723" s="4"/>
      <c r="P1723" s="14"/>
      <c r="Q1723" s="14"/>
    </row>
    <row r="1724" spans="1:17" x14ac:dyDescent="0.25">
      <c r="A1724" s="5"/>
      <c r="B1724" s="6"/>
      <c r="C1724" s="4"/>
      <c r="D1724" s="4"/>
      <c r="E1724" s="12"/>
      <c r="F1724" s="12"/>
      <c r="G1724" s="16"/>
      <c r="H1724" s="14"/>
      <c r="I1724" s="14"/>
      <c r="J1724" s="14"/>
      <c r="K1724" s="14"/>
      <c r="L1724" s="14"/>
      <c r="M1724" s="14"/>
      <c r="N1724" s="14"/>
      <c r="O1724" s="4"/>
      <c r="P1724" s="14"/>
      <c r="Q1724" s="14"/>
    </row>
    <row r="1725" spans="1:17" x14ac:dyDescent="0.25">
      <c r="A1725" s="5"/>
      <c r="B1725" s="6"/>
      <c r="C1725" s="4"/>
      <c r="D1725" s="4"/>
      <c r="E1725" s="12"/>
      <c r="F1725" s="12"/>
      <c r="G1725" s="16"/>
      <c r="H1725" s="14"/>
      <c r="I1725" s="14"/>
      <c r="J1725" s="14"/>
      <c r="K1725" s="14"/>
      <c r="L1725" s="14"/>
      <c r="M1725" s="14"/>
      <c r="N1725" s="14"/>
      <c r="O1725" s="4"/>
      <c r="P1725" s="14"/>
      <c r="Q1725" s="14"/>
    </row>
    <row r="1726" spans="1:17" x14ac:dyDescent="0.25">
      <c r="A1726" s="5"/>
      <c r="B1726" s="6"/>
      <c r="C1726" s="4"/>
      <c r="D1726" s="4"/>
      <c r="E1726" s="12"/>
      <c r="F1726" s="12"/>
      <c r="G1726" s="16"/>
      <c r="H1726" s="14"/>
      <c r="I1726" s="14"/>
      <c r="J1726" s="14"/>
      <c r="K1726" s="14"/>
      <c r="L1726" s="14"/>
      <c r="M1726" s="14"/>
      <c r="N1726" s="14"/>
      <c r="O1726" s="4"/>
      <c r="P1726" s="14"/>
      <c r="Q1726" s="14"/>
    </row>
    <row r="1727" spans="1:17" x14ac:dyDescent="0.25">
      <c r="A1727" s="5"/>
      <c r="B1727" s="6"/>
      <c r="C1727" s="4"/>
      <c r="D1727" s="4"/>
      <c r="E1727" s="12"/>
      <c r="F1727" s="12"/>
      <c r="G1727" s="16"/>
      <c r="H1727" s="14"/>
      <c r="I1727" s="14"/>
      <c r="J1727" s="14"/>
      <c r="K1727" s="14"/>
      <c r="L1727" s="14"/>
      <c r="M1727" s="14"/>
      <c r="N1727" s="14"/>
      <c r="O1727" s="4"/>
      <c r="P1727" s="14"/>
      <c r="Q1727" s="14"/>
    </row>
    <row r="1728" spans="1:17" x14ac:dyDescent="0.25">
      <c r="A1728" s="5"/>
      <c r="B1728" s="6"/>
      <c r="C1728" s="4"/>
      <c r="D1728" s="4"/>
      <c r="E1728" s="12"/>
      <c r="F1728" s="12"/>
      <c r="G1728" s="16"/>
      <c r="H1728" s="14"/>
      <c r="I1728" s="14"/>
      <c r="J1728" s="14"/>
      <c r="K1728" s="14"/>
      <c r="L1728" s="14"/>
      <c r="M1728" s="14"/>
      <c r="N1728" s="14"/>
      <c r="O1728" s="4"/>
      <c r="P1728" s="14"/>
      <c r="Q1728" s="14"/>
    </row>
    <row r="1729" spans="1:17" x14ac:dyDescent="0.25">
      <c r="A1729" s="5"/>
      <c r="B1729" s="6"/>
      <c r="C1729" s="4"/>
      <c r="D1729" s="4"/>
      <c r="E1729" s="12"/>
      <c r="F1729" s="12"/>
      <c r="G1729" s="16"/>
      <c r="H1729" s="14"/>
      <c r="I1729" s="14"/>
      <c r="J1729" s="14"/>
      <c r="K1729" s="14"/>
      <c r="L1729" s="14"/>
      <c r="M1729" s="14"/>
      <c r="N1729" s="14"/>
      <c r="O1729" s="4"/>
      <c r="P1729" s="14"/>
      <c r="Q1729" s="14"/>
    </row>
    <row r="1730" spans="1:17" x14ac:dyDescent="0.25">
      <c r="A1730" s="5"/>
      <c r="B1730" s="6"/>
      <c r="C1730" s="4"/>
      <c r="D1730" s="4"/>
      <c r="E1730" s="12"/>
      <c r="F1730" s="12"/>
      <c r="G1730" s="16"/>
      <c r="H1730" s="14"/>
      <c r="I1730" s="14"/>
      <c r="J1730" s="14"/>
      <c r="K1730" s="14"/>
      <c r="L1730" s="14"/>
      <c r="M1730" s="14"/>
      <c r="N1730" s="14"/>
      <c r="O1730" s="4"/>
      <c r="P1730" s="14"/>
      <c r="Q1730" s="14"/>
    </row>
    <row r="1731" spans="1:17" x14ac:dyDescent="0.25">
      <c r="A1731" s="5"/>
      <c r="B1731" s="6"/>
      <c r="C1731" s="4"/>
      <c r="D1731" s="4"/>
      <c r="E1731" s="12"/>
      <c r="F1731" s="12"/>
      <c r="G1731" s="16"/>
      <c r="H1731" s="14"/>
      <c r="I1731" s="14"/>
      <c r="J1731" s="14"/>
      <c r="K1731" s="14"/>
      <c r="L1731" s="14"/>
      <c r="M1731" s="14"/>
      <c r="N1731" s="14"/>
      <c r="O1731" s="4"/>
      <c r="P1731" s="14"/>
      <c r="Q1731" s="14"/>
    </row>
    <row r="1732" spans="1:17" x14ac:dyDescent="0.25">
      <c r="A1732" s="5"/>
      <c r="B1732" s="6"/>
      <c r="C1732" s="4"/>
      <c r="D1732" s="4"/>
      <c r="E1732" s="12"/>
      <c r="F1732" s="12"/>
      <c r="G1732" s="16"/>
      <c r="H1732" s="14"/>
      <c r="I1732" s="14"/>
      <c r="J1732" s="14"/>
      <c r="K1732" s="14"/>
      <c r="L1732" s="14"/>
      <c r="M1732" s="14"/>
      <c r="N1732" s="14"/>
      <c r="O1732" s="4"/>
      <c r="P1732" s="14"/>
      <c r="Q1732" s="14"/>
    </row>
    <row r="1733" spans="1:17" x14ac:dyDescent="0.25">
      <c r="A1733" s="5"/>
      <c r="B1733" s="6"/>
      <c r="C1733" s="4"/>
      <c r="D1733" s="4"/>
      <c r="E1733" s="12"/>
      <c r="F1733" s="12"/>
      <c r="G1733" s="16"/>
      <c r="H1733" s="14"/>
      <c r="I1733" s="14"/>
      <c r="J1733" s="14"/>
      <c r="K1733" s="14"/>
      <c r="L1733" s="14"/>
      <c r="M1733" s="14"/>
      <c r="N1733" s="14"/>
      <c r="O1733" s="4"/>
      <c r="P1733" s="14"/>
      <c r="Q1733" s="14"/>
    </row>
    <row r="1734" spans="1:17" x14ac:dyDescent="0.25">
      <c r="A1734" s="5"/>
      <c r="B1734" s="6"/>
      <c r="C1734" s="4"/>
      <c r="D1734" s="4"/>
      <c r="E1734" s="12"/>
      <c r="F1734" s="12"/>
      <c r="G1734" s="16"/>
      <c r="H1734" s="14"/>
      <c r="I1734" s="14"/>
      <c r="J1734" s="14"/>
      <c r="K1734" s="14"/>
      <c r="L1734" s="14"/>
      <c r="M1734" s="14"/>
      <c r="N1734" s="14"/>
      <c r="O1734" s="4"/>
      <c r="P1734" s="14"/>
      <c r="Q1734" s="14"/>
    </row>
    <row r="1735" spans="1:17" x14ac:dyDescent="0.25">
      <c r="A1735" s="5"/>
      <c r="B1735" s="6"/>
      <c r="C1735" s="4"/>
      <c r="D1735" s="4"/>
      <c r="E1735" s="12"/>
      <c r="F1735" s="12"/>
      <c r="G1735" s="16"/>
      <c r="H1735" s="14"/>
      <c r="I1735" s="14"/>
      <c r="J1735" s="14"/>
      <c r="K1735" s="14"/>
      <c r="L1735" s="14"/>
      <c r="M1735" s="14"/>
      <c r="N1735" s="14"/>
      <c r="O1735" s="4"/>
      <c r="P1735" s="14"/>
      <c r="Q1735" s="14"/>
    </row>
    <row r="1736" spans="1:17" x14ac:dyDescent="0.25">
      <c r="A1736" s="5"/>
      <c r="B1736" s="6"/>
      <c r="C1736" s="4"/>
      <c r="D1736" s="4"/>
      <c r="E1736" s="12"/>
      <c r="F1736" s="12"/>
      <c r="G1736" s="16"/>
      <c r="H1736" s="14"/>
      <c r="I1736" s="14"/>
      <c r="J1736" s="14"/>
      <c r="K1736" s="14"/>
      <c r="L1736" s="14"/>
      <c r="M1736" s="14"/>
      <c r="N1736" s="14"/>
      <c r="O1736" s="4"/>
      <c r="P1736" s="14"/>
      <c r="Q1736" s="14"/>
    </row>
    <row r="1737" spans="1:17" x14ac:dyDescent="0.25">
      <c r="A1737" s="5"/>
      <c r="B1737" s="6"/>
      <c r="C1737" s="4"/>
      <c r="D1737" s="4"/>
      <c r="E1737" s="12"/>
      <c r="F1737" s="12"/>
      <c r="G1737" s="16"/>
      <c r="H1737" s="14"/>
      <c r="I1737" s="14"/>
      <c r="J1737" s="14"/>
      <c r="K1737" s="14"/>
      <c r="L1737" s="14"/>
      <c r="M1737" s="14"/>
      <c r="N1737" s="14"/>
      <c r="O1737" s="4"/>
      <c r="P1737" s="14"/>
      <c r="Q1737" s="14"/>
    </row>
    <row r="1738" spans="1:17" x14ac:dyDescent="0.25">
      <c r="A1738" s="5"/>
      <c r="B1738" s="6"/>
      <c r="C1738" s="4"/>
      <c r="D1738" s="4"/>
      <c r="E1738" s="12"/>
      <c r="F1738" s="12"/>
      <c r="G1738" s="16"/>
      <c r="H1738" s="14"/>
      <c r="I1738" s="14"/>
      <c r="J1738" s="14"/>
      <c r="K1738" s="14"/>
      <c r="L1738" s="14"/>
      <c r="M1738" s="14"/>
      <c r="N1738" s="14"/>
      <c r="O1738" s="4"/>
      <c r="P1738" s="14"/>
      <c r="Q1738" s="14"/>
    </row>
    <row r="1739" spans="1:17" x14ac:dyDescent="0.25">
      <c r="A1739" s="5"/>
      <c r="B1739" s="6"/>
      <c r="C1739" s="4"/>
      <c r="D1739" s="4"/>
      <c r="E1739" s="12"/>
      <c r="F1739" s="12"/>
      <c r="G1739" s="16"/>
      <c r="H1739" s="14"/>
      <c r="I1739" s="14"/>
      <c r="J1739" s="14"/>
      <c r="K1739" s="14"/>
      <c r="L1739" s="14"/>
      <c r="M1739" s="14"/>
      <c r="N1739" s="14"/>
      <c r="O1739" s="4"/>
      <c r="P1739" s="14"/>
      <c r="Q1739" s="14"/>
    </row>
    <row r="1740" spans="1:17" x14ac:dyDescent="0.25">
      <c r="A1740" s="5"/>
      <c r="B1740" s="6"/>
      <c r="C1740" s="4"/>
      <c r="D1740" s="4"/>
      <c r="E1740" s="12"/>
      <c r="F1740" s="12"/>
      <c r="G1740" s="16"/>
      <c r="H1740" s="14"/>
      <c r="I1740" s="14"/>
      <c r="J1740" s="14"/>
      <c r="K1740" s="14"/>
      <c r="L1740" s="14"/>
      <c r="M1740" s="14"/>
      <c r="N1740" s="14"/>
      <c r="O1740" s="4"/>
      <c r="P1740" s="14"/>
      <c r="Q1740" s="14"/>
    </row>
    <row r="1741" spans="1:17" x14ac:dyDescent="0.25">
      <c r="A1741" s="5"/>
      <c r="B1741" s="6"/>
      <c r="C1741" s="4"/>
      <c r="D1741" s="4"/>
      <c r="E1741" s="12"/>
      <c r="F1741" s="12"/>
      <c r="G1741" s="16"/>
      <c r="H1741" s="14"/>
      <c r="I1741" s="14"/>
      <c r="J1741" s="14"/>
      <c r="K1741" s="14"/>
      <c r="L1741" s="14"/>
      <c r="M1741" s="14"/>
      <c r="N1741" s="14"/>
      <c r="O1741" s="4"/>
      <c r="P1741" s="14"/>
      <c r="Q1741" s="14"/>
    </row>
    <row r="1742" spans="1:17" x14ac:dyDescent="0.25">
      <c r="A1742" s="5"/>
      <c r="B1742" s="6"/>
      <c r="C1742" s="4"/>
      <c r="D1742" s="4"/>
      <c r="E1742" s="12"/>
      <c r="F1742" s="12"/>
      <c r="G1742" s="16"/>
      <c r="H1742" s="14"/>
      <c r="I1742" s="14"/>
      <c r="J1742" s="14"/>
      <c r="K1742" s="14"/>
      <c r="L1742" s="14"/>
      <c r="M1742" s="14"/>
      <c r="N1742" s="14"/>
      <c r="O1742" s="4"/>
      <c r="P1742" s="14"/>
      <c r="Q1742" s="14"/>
    </row>
    <row r="1743" spans="1:17" x14ac:dyDescent="0.25">
      <c r="A1743" s="5"/>
      <c r="B1743" s="6"/>
      <c r="C1743" s="4"/>
      <c r="D1743" s="4"/>
      <c r="E1743" s="12"/>
      <c r="F1743" s="12"/>
      <c r="G1743" s="16"/>
      <c r="H1743" s="14"/>
      <c r="I1743" s="14"/>
      <c r="J1743" s="14"/>
      <c r="K1743" s="14"/>
      <c r="L1743" s="14"/>
      <c r="M1743" s="14"/>
      <c r="N1743" s="14"/>
      <c r="O1743" s="4"/>
      <c r="P1743" s="14"/>
      <c r="Q1743" s="14"/>
    </row>
    <row r="1744" spans="1:17" x14ac:dyDescent="0.25">
      <c r="A1744" s="5"/>
      <c r="B1744" s="6"/>
      <c r="C1744" s="4"/>
      <c r="D1744" s="4"/>
      <c r="E1744" s="12"/>
      <c r="F1744" s="12"/>
      <c r="G1744" s="16"/>
      <c r="H1744" s="14"/>
      <c r="I1744" s="14"/>
      <c r="J1744" s="14"/>
      <c r="K1744" s="14"/>
      <c r="L1744" s="14"/>
      <c r="M1744" s="14"/>
      <c r="N1744" s="14"/>
      <c r="O1744" s="4"/>
      <c r="P1744" s="14"/>
      <c r="Q1744" s="14"/>
    </row>
    <row r="1745" spans="1:17" x14ac:dyDescent="0.25">
      <c r="A1745" s="5"/>
      <c r="B1745" s="6"/>
      <c r="C1745" s="4"/>
      <c r="D1745" s="4"/>
      <c r="E1745" s="12"/>
      <c r="F1745" s="12"/>
      <c r="G1745" s="16"/>
      <c r="H1745" s="14"/>
      <c r="I1745" s="14"/>
      <c r="J1745" s="14"/>
      <c r="K1745" s="14"/>
      <c r="L1745" s="14"/>
      <c r="M1745" s="14"/>
      <c r="N1745" s="14"/>
      <c r="O1745" s="4"/>
      <c r="P1745" s="14"/>
      <c r="Q1745" s="14"/>
    </row>
    <row r="1746" spans="1:17" x14ac:dyDescent="0.25">
      <c r="A1746" s="5"/>
      <c r="B1746" s="6"/>
      <c r="C1746" s="4"/>
      <c r="D1746" s="4"/>
      <c r="E1746" s="12"/>
      <c r="F1746" s="12"/>
      <c r="G1746" s="16"/>
      <c r="H1746" s="14"/>
      <c r="I1746" s="14"/>
      <c r="J1746" s="14"/>
      <c r="K1746" s="14"/>
      <c r="L1746" s="14"/>
      <c r="M1746" s="14"/>
      <c r="N1746" s="14"/>
      <c r="O1746" s="4"/>
      <c r="P1746" s="14"/>
      <c r="Q1746" s="14"/>
    </row>
    <row r="1747" spans="1:17" x14ac:dyDescent="0.25">
      <c r="A1747" s="5"/>
      <c r="B1747" s="6"/>
      <c r="C1747" s="4"/>
      <c r="D1747" s="4"/>
      <c r="E1747" s="12"/>
      <c r="F1747" s="12"/>
      <c r="G1747" s="16"/>
      <c r="H1747" s="14"/>
      <c r="I1747" s="14"/>
      <c r="J1747" s="14"/>
      <c r="K1747" s="14"/>
      <c r="L1747" s="14"/>
      <c r="M1747" s="14"/>
      <c r="N1747" s="14"/>
      <c r="O1747" s="4"/>
      <c r="P1747" s="14"/>
      <c r="Q1747" s="14"/>
    </row>
    <row r="1748" spans="1:17" x14ac:dyDescent="0.25">
      <c r="A1748" s="5"/>
      <c r="B1748" s="6"/>
      <c r="C1748" s="4"/>
      <c r="D1748" s="4"/>
      <c r="E1748" s="12"/>
      <c r="F1748" s="12"/>
      <c r="G1748" s="16"/>
      <c r="H1748" s="14"/>
      <c r="I1748" s="14"/>
      <c r="J1748" s="14"/>
      <c r="K1748" s="14"/>
      <c r="L1748" s="14"/>
      <c r="M1748" s="14"/>
      <c r="N1748" s="14"/>
      <c r="O1748" s="4"/>
      <c r="P1748" s="14"/>
      <c r="Q1748" s="14"/>
    </row>
    <row r="1749" spans="1:17" x14ac:dyDescent="0.25">
      <c r="A1749" s="5"/>
      <c r="B1749" s="6"/>
      <c r="C1749" s="4"/>
      <c r="D1749" s="4"/>
      <c r="E1749" s="12"/>
      <c r="F1749" s="12"/>
      <c r="G1749" s="16"/>
      <c r="H1749" s="14"/>
      <c r="I1749" s="14"/>
      <c r="J1749" s="14"/>
      <c r="K1749" s="14"/>
      <c r="L1749" s="14"/>
      <c r="M1749" s="14"/>
      <c r="N1749" s="14"/>
      <c r="O1749" s="4"/>
      <c r="P1749" s="14"/>
      <c r="Q1749" s="14"/>
    </row>
    <row r="1750" spans="1:17" x14ac:dyDescent="0.25">
      <c r="A1750" s="5"/>
      <c r="B1750" s="6"/>
      <c r="C1750" s="4"/>
      <c r="D1750" s="4"/>
      <c r="E1750" s="12"/>
      <c r="F1750" s="12"/>
      <c r="G1750" s="16"/>
      <c r="H1750" s="14"/>
      <c r="I1750" s="14"/>
      <c r="J1750" s="14"/>
      <c r="K1750" s="14"/>
      <c r="L1750" s="14"/>
      <c r="M1750" s="14"/>
      <c r="N1750" s="14"/>
      <c r="O1750" s="4"/>
      <c r="P1750" s="14"/>
      <c r="Q1750" s="14"/>
    </row>
    <row r="1751" spans="1:17" x14ac:dyDescent="0.25">
      <c r="A1751" s="5"/>
      <c r="B1751" s="6"/>
      <c r="C1751" s="4"/>
      <c r="D1751" s="4"/>
      <c r="E1751" s="12"/>
      <c r="F1751" s="12"/>
      <c r="G1751" s="16"/>
      <c r="H1751" s="14"/>
      <c r="I1751" s="14"/>
      <c r="J1751" s="14"/>
      <c r="K1751" s="14"/>
      <c r="L1751" s="14"/>
      <c r="M1751" s="14"/>
      <c r="N1751" s="14"/>
      <c r="O1751" s="4"/>
      <c r="P1751" s="14"/>
      <c r="Q1751" s="14"/>
    </row>
    <row r="1752" spans="1:17" x14ac:dyDescent="0.25">
      <c r="A1752" s="5"/>
      <c r="B1752" s="6"/>
      <c r="C1752" s="4"/>
      <c r="D1752" s="4"/>
      <c r="E1752" s="12"/>
      <c r="F1752" s="12"/>
      <c r="G1752" s="16"/>
      <c r="H1752" s="14"/>
      <c r="I1752" s="14"/>
      <c r="J1752" s="14"/>
      <c r="K1752" s="14"/>
      <c r="L1752" s="14"/>
      <c r="M1752" s="14"/>
      <c r="N1752" s="14"/>
      <c r="O1752" s="4"/>
      <c r="P1752" s="14"/>
      <c r="Q1752" s="14"/>
    </row>
    <row r="1753" spans="1:17" x14ac:dyDescent="0.25">
      <c r="A1753" s="5"/>
      <c r="B1753" s="6"/>
      <c r="C1753" s="4"/>
      <c r="D1753" s="4"/>
      <c r="E1753" s="12"/>
      <c r="F1753" s="12"/>
      <c r="G1753" s="16"/>
      <c r="H1753" s="14"/>
      <c r="I1753" s="14"/>
      <c r="J1753" s="14"/>
      <c r="K1753" s="14"/>
      <c r="L1753" s="14"/>
      <c r="M1753" s="14"/>
      <c r="N1753" s="14"/>
      <c r="O1753" s="4"/>
      <c r="P1753" s="14"/>
      <c r="Q1753" s="14"/>
    </row>
    <row r="1754" spans="1:17" x14ac:dyDescent="0.25">
      <c r="A1754" s="5"/>
      <c r="B1754" s="6"/>
      <c r="C1754" s="4"/>
      <c r="D1754" s="4"/>
      <c r="E1754" s="12"/>
      <c r="F1754" s="12"/>
      <c r="G1754" s="16"/>
      <c r="H1754" s="14"/>
      <c r="I1754" s="14"/>
      <c r="J1754" s="14"/>
      <c r="K1754" s="14"/>
      <c r="L1754" s="14"/>
      <c r="M1754" s="14"/>
      <c r="N1754" s="14"/>
      <c r="O1754" s="4"/>
      <c r="P1754" s="14"/>
      <c r="Q1754" s="14"/>
    </row>
    <row r="1755" spans="1:17" x14ac:dyDescent="0.25">
      <c r="A1755" s="5"/>
      <c r="B1755" s="6"/>
      <c r="C1755" s="4"/>
      <c r="D1755" s="4"/>
      <c r="E1755" s="12"/>
      <c r="F1755" s="12"/>
      <c r="G1755" s="16"/>
      <c r="H1755" s="14"/>
      <c r="I1755" s="14"/>
      <c r="J1755" s="14"/>
      <c r="K1755" s="14"/>
      <c r="L1755" s="14"/>
      <c r="M1755" s="14"/>
      <c r="N1755" s="14"/>
      <c r="O1755" s="4"/>
      <c r="P1755" s="14"/>
      <c r="Q1755" s="14"/>
    </row>
    <row r="1756" spans="1:17" x14ac:dyDescent="0.25">
      <c r="A1756" s="5"/>
      <c r="B1756" s="6"/>
      <c r="C1756" s="4"/>
      <c r="D1756" s="4"/>
      <c r="E1756" s="12"/>
      <c r="F1756" s="12"/>
      <c r="G1756" s="16"/>
      <c r="H1756" s="14"/>
      <c r="I1756" s="14"/>
      <c r="J1756" s="14"/>
      <c r="K1756" s="14"/>
      <c r="L1756" s="14"/>
      <c r="M1756" s="14"/>
      <c r="N1756" s="14"/>
      <c r="O1756" s="4"/>
      <c r="P1756" s="14"/>
      <c r="Q1756" s="14"/>
    </row>
    <row r="1757" spans="1:17" x14ac:dyDescent="0.25">
      <c r="A1757" s="5"/>
      <c r="B1757" s="6"/>
      <c r="C1757" s="4"/>
      <c r="D1757" s="4"/>
      <c r="E1757" s="12"/>
      <c r="F1757" s="12"/>
      <c r="G1757" s="16"/>
      <c r="H1757" s="14"/>
      <c r="I1757" s="14"/>
      <c r="J1757" s="14"/>
      <c r="K1757" s="14"/>
      <c r="L1757" s="14"/>
      <c r="M1757" s="14"/>
      <c r="N1757" s="14"/>
      <c r="O1757" s="4"/>
      <c r="P1757" s="14"/>
      <c r="Q1757" s="14"/>
    </row>
    <row r="1758" spans="1:17" x14ac:dyDescent="0.25">
      <c r="A1758" s="5"/>
      <c r="B1758" s="6"/>
      <c r="C1758" s="4"/>
      <c r="D1758" s="4"/>
      <c r="E1758" s="12"/>
      <c r="F1758" s="12"/>
      <c r="G1758" s="16"/>
      <c r="H1758" s="14"/>
      <c r="I1758" s="14"/>
      <c r="J1758" s="14"/>
      <c r="K1758" s="14"/>
      <c r="L1758" s="14"/>
      <c r="M1758" s="14"/>
      <c r="N1758" s="14"/>
      <c r="O1758" s="4"/>
      <c r="P1758" s="14"/>
      <c r="Q1758" s="14"/>
    </row>
    <row r="1759" spans="1:17" x14ac:dyDescent="0.25">
      <c r="A1759" s="5"/>
      <c r="B1759" s="6"/>
      <c r="C1759" s="4"/>
      <c r="D1759" s="4"/>
      <c r="E1759" s="12"/>
      <c r="F1759" s="12"/>
      <c r="G1759" s="16"/>
      <c r="H1759" s="14"/>
      <c r="I1759" s="14"/>
      <c r="J1759" s="14"/>
      <c r="K1759" s="14"/>
      <c r="L1759" s="14"/>
      <c r="M1759" s="14"/>
      <c r="N1759" s="14"/>
      <c r="O1759" s="4"/>
      <c r="P1759" s="14"/>
      <c r="Q1759" s="14"/>
    </row>
    <row r="1760" spans="1:17" x14ac:dyDescent="0.25">
      <c r="A1760" s="5"/>
      <c r="B1760" s="6"/>
      <c r="C1760" s="4"/>
      <c r="D1760" s="4"/>
      <c r="E1760" s="12"/>
      <c r="F1760" s="12"/>
      <c r="G1760" s="16"/>
      <c r="H1760" s="14"/>
      <c r="I1760" s="14"/>
      <c r="J1760" s="14"/>
      <c r="K1760" s="14"/>
      <c r="L1760" s="14"/>
      <c r="M1760" s="14"/>
      <c r="N1760" s="14"/>
      <c r="O1760" s="4"/>
      <c r="P1760" s="14"/>
      <c r="Q1760" s="14"/>
    </row>
    <row r="1761" spans="1:17" x14ac:dyDescent="0.25">
      <c r="A1761" s="5"/>
      <c r="B1761" s="6"/>
      <c r="C1761" s="4"/>
      <c r="D1761" s="4"/>
      <c r="E1761" s="12"/>
      <c r="F1761" s="12"/>
      <c r="G1761" s="16"/>
      <c r="H1761" s="14"/>
      <c r="I1761" s="14"/>
      <c r="J1761" s="14"/>
      <c r="K1761" s="14"/>
      <c r="L1761" s="14"/>
      <c r="M1761" s="14"/>
      <c r="N1761" s="14"/>
      <c r="O1761" s="4"/>
      <c r="P1761" s="14"/>
      <c r="Q1761" s="14"/>
    </row>
    <row r="1762" spans="1:17" x14ac:dyDescent="0.25">
      <c r="A1762" s="5"/>
      <c r="B1762" s="6"/>
      <c r="C1762" s="4"/>
      <c r="D1762" s="4"/>
      <c r="E1762" s="12"/>
      <c r="F1762" s="12"/>
      <c r="G1762" s="16"/>
      <c r="H1762" s="14"/>
      <c r="I1762" s="14"/>
      <c r="J1762" s="14"/>
      <c r="K1762" s="14"/>
      <c r="L1762" s="14"/>
      <c r="M1762" s="14"/>
      <c r="N1762" s="14"/>
      <c r="O1762" s="4"/>
      <c r="P1762" s="14"/>
      <c r="Q1762" s="14"/>
    </row>
    <row r="1763" spans="1:17" x14ac:dyDescent="0.25">
      <c r="A1763" s="5"/>
      <c r="B1763" s="6"/>
      <c r="C1763" s="4"/>
      <c r="D1763" s="4"/>
      <c r="E1763" s="12"/>
      <c r="F1763" s="12"/>
      <c r="G1763" s="16"/>
      <c r="H1763" s="14"/>
      <c r="I1763" s="14"/>
      <c r="J1763" s="14"/>
      <c r="K1763" s="14"/>
      <c r="L1763" s="14"/>
      <c r="M1763" s="14"/>
      <c r="N1763" s="14"/>
      <c r="O1763" s="4"/>
      <c r="P1763" s="14"/>
      <c r="Q1763" s="14"/>
    </row>
    <row r="1764" spans="1:17" x14ac:dyDescent="0.25">
      <c r="A1764" s="5"/>
      <c r="B1764" s="6"/>
      <c r="C1764" s="4"/>
      <c r="D1764" s="4"/>
      <c r="E1764" s="12"/>
      <c r="F1764" s="12"/>
      <c r="G1764" s="16"/>
      <c r="H1764" s="14"/>
      <c r="I1764" s="14"/>
      <c r="J1764" s="14"/>
      <c r="K1764" s="14"/>
      <c r="L1764" s="14"/>
      <c r="M1764" s="14"/>
      <c r="N1764" s="14"/>
      <c r="O1764" s="4"/>
      <c r="P1764" s="14"/>
      <c r="Q1764" s="14"/>
    </row>
    <row r="1765" spans="1:17" x14ac:dyDescent="0.25">
      <c r="A1765" s="5"/>
      <c r="B1765" s="6"/>
      <c r="C1765" s="4"/>
      <c r="D1765" s="4"/>
      <c r="E1765" s="12"/>
      <c r="F1765" s="12"/>
      <c r="G1765" s="16"/>
      <c r="H1765" s="14"/>
      <c r="I1765" s="14"/>
      <c r="J1765" s="14"/>
      <c r="K1765" s="14"/>
      <c r="L1765" s="14"/>
      <c r="M1765" s="14"/>
      <c r="N1765" s="14"/>
      <c r="O1765" s="4"/>
      <c r="P1765" s="14"/>
      <c r="Q1765" s="14"/>
    </row>
    <row r="1766" spans="1:17" x14ac:dyDescent="0.25">
      <c r="A1766" s="5"/>
      <c r="B1766" s="6"/>
      <c r="C1766" s="4"/>
      <c r="D1766" s="4"/>
      <c r="E1766" s="12"/>
      <c r="F1766" s="12"/>
      <c r="G1766" s="16"/>
      <c r="H1766" s="14"/>
      <c r="I1766" s="14"/>
      <c r="J1766" s="14"/>
      <c r="K1766" s="14"/>
      <c r="L1766" s="14"/>
      <c r="M1766" s="14"/>
      <c r="N1766" s="14"/>
      <c r="O1766" s="4"/>
      <c r="P1766" s="14"/>
      <c r="Q1766" s="14"/>
    </row>
    <row r="1767" spans="1:17" x14ac:dyDescent="0.25">
      <c r="A1767" s="5"/>
      <c r="B1767" s="6"/>
      <c r="C1767" s="4"/>
      <c r="D1767" s="4"/>
      <c r="E1767" s="12"/>
      <c r="F1767" s="12"/>
      <c r="G1767" s="16"/>
      <c r="H1767" s="14"/>
      <c r="I1767" s="14"/>
      <c r="J1767" s="14"/>
      <c r="K1767" s="14"/>
      <c r="L1767" s="14"/>
      <c r="M1767" s="14"/>
      <c r="N1767" s="14"/>
      <c r="O1767" s="4"/>
      <c r="P1767" s="14"/>
      <c r="Q1767" s="14"/>
    </row>
    <row r="1768" spans="1:17" x14ac:dyDescent="0.25">
      <c r="A1768" s="5"/>
      <c r="B1768" s="6"/>
      <c r="C1768" s="4"/>
      <c r="D1768" s="4"/>
      <c r="E1768" s="12"/>
      <c r="F1768" s="12"/>
      <c r="G1768" s="16"/>
      <c r="H1768" s="14"/>
      <c r="I1768" s="14"/>
      <c r="J1768" s="14"/>
      <c r="K1768" s="14"/>
      <c r="L1768" s="14"/>
      <c r="M1768" s="14"/>
      <c r="N1768" s="14"/>
      <c r="O1768" s="4"/>
      <c r="P1768" s="14"/>
      <c r="Q1768" s="14"/>
    </row>
    <row r="1769" spans="1:17" x14ac:dyDescent="0.25">
      <c r="A1769" s="5"/>
      <c r="B1769" s="6"/>
      <c r="C1769" s="4"/>
      <c r="D1769" s="4"/>
      <c r="E1769" s="12"/>
      <c r="F1769" s="12"/>
      <c r="G1769" s="16"/>
      <c r="H1769" s="14"/>
      <c r="I1769" s="14"/>
      <c r="J1769" s="14"/>
      <c r="K1769" s="14"/>
      <c r="L1769" s="14"/>
      <c r="M1769" s="14"/>
      <c r="N1769" s="14"/>
      <c r="O1769" s="4"/>
      <c r="P1769" s="14"/>
      <c r="Q1769" s="14"/>
    </row>
    <row r="1770" spans="1:17" x14ac:dyDescent="0.25">
      <c r="A1770" s="5"/>
      <c r="B1770" s="6"/>
      <c r="C1770" s="4"/>
      <c r="D1770" s="4"/>
      <c r="E1770" s="12"/>
      <c r="F1770" s="12"/>
      <c r="G1770" s="16"/>
      <c r="H1770" s="14"/>
      <c r="I1770" s="14"/>
      <c r="J1770" s="14"/>
      <c r="K1770" s="14"/>
      <c r="L1770" s="14"/>
      <c r="M1770" s="14"/>
      <c r="N1770" s="14"/>
      <c r="O1770" s="4"/>
      <c r="P1770" s="14"/>
      <c r="Q1770" s="14"/>
    </row>
    <row r="1771" spans="1:17" x14ac:dyDescent="0.25">
      <c r="A1771" s="5"/>
      <c r="B1771" s="6"/>
      <c r="C1771" s="4"/>
      <c r="D1771" s="4"/>
      <c r="E1771" s="12"/>
      <c r="F1771" s="12"/>
      <c r="G1771" s="16"/>
      <c r="H1771" s="14"/>
      <c r="I1771" s="14"/>
      <c r="J1771" s="14"/>
      <c r="K1771" s="14"/>
      <c r="L1771" s="14"/>
      <c r="M1771" s="14"/>
      <c r="N1771" s="14"/>
      <c r="O1771" s="4"/>
      <c r="P1771" s="14"/>
      <c r="Q1771" s="14"/>
    </row>
    <row r="1772" spans="1:17" x14ac:dyDescent="0.25">
      <c r="A1772" s="5"/>
      <c r="B1772" s="6"/>
      <c r="C1772" s="4"/>
      <c r="D1772" s="4"/>
      <c r="E1772" s="12"/>
      <c r="F1772" s="12"/>
      <c r="G1772" s="16"/>
      <c r="H1772" s="14"/>
      <c r="I1772" s="14"/>
      <c r="J1772" s="14"/>
      <c r="K1772" s="14"/>
      <c r="L1772" s="14"/>
      <c r="M1772" s="14"/>
      <c r="N1772" s="14"/>
      <c r="O1772" s="4"/>
      <c r="P1772" s="14"/>
      <c r="Q1772" s="14"/>
    </row>
    <row r="1773" spans="1:17" x14ac:dyDescent="0.25">
      <c r="A1773" s="5"/>
      <c r="B1773" s="6"/>
      <c r="C1773" s="4"/>
      <c r="D1773" s="4"/>
      <c r="E1773" s="12"/>
      <c r="F1773" s="12"/>
      <c r="G1773" s="16"/>
      <c r="H1773" s="14"/>
      <c r="I1773" s="14"/>
      <c r="J1773" s="14"/>
      <c r="K1773" s="14"/>
      <c r="L1773" s="14"/>
      <c r="M1773" s="14"/>
      <c r="N1773" s="14"/>
      <c r="O1773" s="4"/>
      <c r="P1773" s="14"/>
      <c r="Q1773" s="14"/>
    </row>
    <row r="1774" spans="1:17" x14ac:dyDescent="0.25">
      <c r="A1774" s="5"/>
      <c r="B1774" s="6"/>
      <c r="C1774" s="4"/>
      <c r="D1774" s="4"/>
      <c r="E1774" s="12"/>
      <c r="F1774" s="12"/>
      <c r="G1774" s="16"/>
      <c r="H1774" s="14"/>
      <c r="I1774" s="14"/>
      <c r="J1774" s="14"/>
      <c r="K1774" s="14"/>
      <c r="L1774" s="14"/>
      <c r="M1774" s="14"/>
      <c r="N1774" s="14"/>
      <c r="O1774" s="4"/>
      <c r="P1774" s="14"/>
      <c r="Q1774" s="14"/>
    </row>
    <row r="1775" spans="1:17" x14ac:dyDescent="0.25">
      <c r="A1775" s="5"/>
      <c r="B1775" s="6"/>
      <c r="C1775" s="4"/>
      <c r="D1775" s="4"/>
      <c r="E1775" s="12"/>
      <c r="F1775" s="12"/>
      <c r="G1775" s="16"/>
      <c r="H1775" s="14"/>
      <c r="I1775" s="14"/>
      <c r="J1775" s="14"/>
      <c r="K1775" s="14"/>
      <c r="L1775" s="14"/>
      <c r="M1775" s="14"/>
      <c r="N1775" s="14"/>
      <c r="O1775" s="4"/>
      <c r="P1775" s="14"/>
      <c r="Q1775" s="14"/>
    </row>
    <row r="1776" spans="1:17" x14ac:dyDescent="0.25">
      <c r="A1776" s="5"/>
      <c r="B1776" s="6"/>
      <c r="C1776" s="4"/>
      <c r="D1776" s="4"/>
      <c r="E1776" s="12"/>
      <c r="F1776" s="12"/>
      <c r="G1776" s="16"/>
      <c r="H1776" s="14"/>
      <c r="I1776" s="14"/>
      <c r="J1776" s="14"/>
      <c r="K1776" s="14"/>
      <c r="L1776" s="14"/>
      <c r="M1776" s="14"/>
      <c r="N1776" s="14"/>
      <c r="O1776" s="4"/>
      <c r="P1776" s="14"/>
      <c r="Q1776" s="14"/>
    </row>
    <row r="1777" spans="1:17" x14ac:dyDescent="0.25">
      <c r="A1777" s="5"/>
      <c r="B1777" s="6"/>
      <c r="C1777" s="4"/>
      <c r="D1777" s="4"/>
      <c r="E1777" s="12"/>
      <c r="F1777" s="12"/>
      <c r="G1777" s="16"/>
      <c r="H1777" s="14"/>
      <c r="I1777" s="14"/>
      <c r="J1777" s="14"/>
      <c r="K1777" s="14"/>
      <c r="L1777" s="14"/>
      <c r="M1777" s="14"/>
      <c r="N1777" s="14"/>
      <c r="O1777" s="4"/>
      <c r="P1777" s="14"/>
      <c r="Q1777" s="14"/>
    </row>
    <row r="1778" spans="1:17" x14ac:dyDescent="0.25">
      <c r="A1778" s="5"/>
      <c r="B1778" s="6"/>
      <c r="C1778" s="4"/>
      <c r="D1778" s="4"/>
      <c r="E1778" s="12"/>
      <c r="F1778" s="12"/>
      <c r="G1778" s="16"/>
      <c r="H1778" s="14"/>
      <c r="I1778" s="14"/>
      <c r="J1778" s="14"/>
      <c r="K1778" s="14"/>
      <c r="L1778" s="14"/>
      <c r="M1778" s="14"/>
      <c r="N1778" s="14"/>
      <c r="O1778" s="4"/>
      <c r="P1778" s="14"/>
      <c r="Q1778" s="14"/>
    </row>
    <row r="1779" spans="1:17" x14ac:dyDescent="0.25">
      <c r="A1779" s="5"/>
      <c r="B1779" s="6"/>
      <c r="C1779" s="4"/>
      <c r="D1779" s="4"/>
      <c r="E1779" s="12"/>
      <c r="F1779" s="12"/>
      <c r="G1779" s="16"/>
      <c r="H1779" s="14"/>
      <c r="I1779" s="14"/>
      <c r="J1779" s="14"/>
      <c r="K1779" s="14"/>
      <c r="L1779" s="14"/>
      <c r="M1779" s="14"/>
      <c r="N1779" s="14"/>
      <c r="O1779" s="4"/>
      <c r="P1779" s="14"/>
      <c r="Q1779" s="14"/>
    </row>
    <row r="1780" spans="1:17" x14ac:dyDescent="0.25">
      <c r="A1780" s="5"/>
      <c r="B1780" s="6"/>
      <c r="C1780" s="4"/>
      <c r="D1780" s="4"/>
      <c r="E1780" s="12"/>
      <c r="F1780" s="12"/>
      <c r="G1780" s="16"/>
      <c r="H1780" s="14"/>
      <c r="I1780" s="14"/>
      <c r="J1780" s="14"/>
      <c r="K1780" s="14"/>
      <c r="L1780" s="14"/>
      <c r="M1780" s="14"/>
      <c r="N1780" s="14"/>
      <c r="O1780" s="4"/>
      <c r="P1780" s="14"/>
      <c r="Q1780" s="14"/>
    </row>
    <row r="1781" spans="1:17" x14ac:dyDescent="0.25">
      <c r="A1781" s="5"/>
      <c r="B1781" s="6"/>
      <c r="C1781" s="4"/>
      <c r="D1781" s="4"/>
      <c r="E1781" s="12"/>
      <c r="F1781" s="12"/>
      <c r="G1781" s="16"/>
      <c r="H1781" s="14"/>
      <c r="I1781" s="14"/>
      <c r="J1781" s="14"/>
      <c r="K1781" s="14"/>
      <c r="L1781" s="14"/>
      <c r="M1781" s="14"/>
      <c r="N1781" s="14"/>
      <c r="O1781" s="4"/>
      <c r="P1781" s="14"/>
      <c r="Q1781" s="14"/>
    </row>
    <row r="1782" spans="1:17" x14ac:dyDescent="0.25">
      <c r="A1782" s="5"/>
      <c r="B1782" s="6"/>
      <c r="C1782" s="4"/>
      <c r="D1782" s="4"/>
      <c r="E1782" s="12"/>
      <c r="F1782" s="12"/>
      <c r="G1782" s="16"/>
      <c r="H1782" s="14"/>
      <c r="I1782" s="14"/>
      <c r="J1782" s="14"/>
      <c r="K1782" s="14"/>
      <c r="L1782" s="14"/>
      <c r="M1782" s="14"/>
      <c r="N1782" s="14"/>
      <c r="O1782" s="4"/>
      <c r="P1782" s="14"/>
      <c r="Q1782" s="14"/>
    </row>
    <row r="1783" spans="1:17" x14ac:dyDescent="0.25">
      <c r="A1783" s="5"/>
      <c r="B1783" s="6"/>
      <c r="C1783" s="4"/>
      <c r="D1783" s="4"/>
      <c r="E1783" s="12"/>
      <c r="F1783" s="12"/>
      <c r="G1783" s="16"/>
      <c r="H1783" s="14"/>
      <c r="I1783" s="14"/>
      <c r="J1783" s="14"/>
      <c r="K1783" s="14"/>
      <c r="L1783" s="14"/>
      <c r="M1783" s="14"/>
      <c r="N1783" s="14"/>
      <c r="O1783" s="4"/>
      <c r="P1783" s="14"/>
      <c r="Q1783" s="14"/>
    </row>
    <row r="1784" spans="1:17" x14ac:dyDescent="0.25">
      <c r="A1784" s="5"/>
      <c r="B1784" s="6"/>
      <c r="C1784" s="4"/>
      <c r="D1784" s="4"/>
      <c r="E1784" s="12"/>
      <c r="F1784" s="12"/>
      <c r="G1784" s="16"/>
      <c r="H1784" s="14"/>
      <c r="I1784" s="14"/>
      <c r="J1784" s="14"/>
      <c r="K1784" s="14"/>
      <c r="L1784" s="14"/>
      <c r="M1784" s="14"/>
      <c r="N1784" s="14"/>
      <c r="O1784" s="4"/>
      <c r="P1784" s="14"/>
      <c r="Q1784" s="14"/>
    </row>
    <row r="1785" spans="1:17" x14ac:dyDescent="0.25">
      <c r="A1785" s="5"/>
      <c r="B1785" s="6"/>
      <c r="C1785" s="4"/>
      <c r="D1785" s="4"/>
      <c r="E1785" s="12"/>
      <c r="F1785" s="12"/>
      <c r="G1785" s="16"/>
      <c r="H1785" s="14"/>
      <c r="I1785" s="14"/>
      <c r="J1785" s="14"/>
      <c r="K1785" s="14"/>
      <c r="L1785" s="14"/>
      <c r="M1785" s="14"/>
      <c r="N1785" s="14"/>
      <c r="O1785" s="4"/>
      <c r="P1785" s="14"/>
      <c r="Q1785" s="14"/>
    </row>
    <row r="1786" spans="1:17" x14ac:dyDescent="0.25">
      <c r="A1786" s="5"/>
      <c r="B1786" s="6"/>
      <c r="C1786" s="4"/>
      <c r="D1786" s="4"/>
      <c r="E1786" s="12"/>
      <c r="F1786" s="12"/>
      <c r="G1786" s="16"/>
      <c r="H1786" s="14"/>
      <c r="I1786" s="14"/>
      <c r="J1786" s="14"/>
      <c r="K1786" s="14"/>
      <c r="L1786" s="14"/>
      <c r="M1786" s="14"/>
      <c r="N1786" s="14"/>
      <c r="O1786" s="4"/>
      <c r="P1786" s="14"/>
      <c r="Q1786" s="14"/>
    </row>
    <row r="1787" spans="1:17" x14ac:dyDescent="0.25">
      <c r="A1787" s="5"/>
      <c r="B1787" s="6"/>
      <c r="C1787" s="4"/>
      <c r="D1787" s="4"/>
      <c r="E1787" s="12"/>
      <c r="F1787" s="12"/>
      <c r="G1787" s="16"/>
      <c r="H1787" s="14"/>
      <c r="I1787" s="14"/>
      <c r="J1787" s="14"/>
      <c r="K1787" s="14"/>
      <c r="L1787" s="14"/>
      <c r="M1787" s="14"/>
      <c r="N1787" s="14"/>
      <c r="O1787" s="4"/>
      <c r="P1787" s="14"/>
      <c r="Q1787" s="14"/>
    </row>
    <row r="1788" spans="1:17" x14ac:dyDescent="0.25">
      <c r="A1788" s="5"/>
      <c r="B1788" s="6"/>
      <c r="C1788" s="4"/>
      <c r="D1788" s="4"/>
      <c r="E1788" s="12"/>
      <c r="F1788" s="12"/>
      <c r="G1788" s="16"/>
      <c r="H1788" s="14"/>
      <c r="I1788" s="14"/>
      <c r="J1788" s="14"/>
      <c r="K1788" s="14"/>
      <c r="L1788" s="14"/>
      <c r="M1788" s="14"/>
      <c r="N1788" s="14"/>
      <c r="O1788" s="4"/>
      <c r="P1788" s="14"/>
      <c r="Q1788" s="14"/>
    </row>
    <row r="1789" spans="1:17" x14ac:dyDescent="0.25">
      <c r="A1789" s="5"/>
      <c r="B1789" s="6"/>
      <c r="C1789" s="4"/>
      <c r="D1789" s="4"/>
      <c r="E1789" s="12"/>
      <c r="F1789" s="12"/>
      <c r="G1789" s="16"/>
      <c r="H1789" s="14"/>
      <c r="I1789" s="14"/>
      <c r="J1789" s="14"/>
      <c r="K1789" s="14"/>
      <c r="L1789" s="14"/>
      <c r="M1789" s="14"/>
      <c r="N1789" s="14"/>
      <c r="O1789" s="4"/>
      <c r="P1789" s="14"/>
      <c r="Q1789" s="14"/>
    </row>
    <row r="1790" spans="1:17" x14ac:dyDescent="0.25">
      <c r="A1790" s="5"/>
      <c r="B1790" s="6"/>
      <c r="C1790" s="4"/>
      <c r="D1790" s="4"/>
      <c r="E1790" s="12"/>
      <c r="F1790" s="12"/>
      <c r="G1790" s="16"/>
      <c r="H1790" s="14"/>
      <c r="I1790" s="14"/>
      <c r="J1790" s="14"/>
      <c r="K1790" s="14"/>
      <c r="L1790" s="14"/>
      <c r="M1790" s="14"/>
      <c r="N1790" s="14"/>
      <c r="O1790" s="4"/>
      <c r="P1790" s="14"/>
      <c r="Q1790" s="14"/>
    </row>
    <row r="1791" spans="1:17" x14ac:dyDescent="0.25">
      <c r="A1791" s="5"/>
      <c r="B1791" s="6"/>
      <c r="C1791" s="4"/>
      <c r="D1791" s="4"/>
      <c r="E1791" s="12"/>
      <c r="F1791" s="12"/>
      <c r="G1791" s="16"/>
      <c r="H1791" s="14"/>
      <c r="I1791" s="14"/>
      <c r="J1791" s="14"/>
      <c r="K1791" s="14"/>
      <c r="L1791" s="14"/>
      <c r="M1791" s="14"/>
      <c r="N1791" s="14"/>
      <c r="O1791" s="4"/>
      <c r="P1791" s="14"/>
      <c r="Q1791" s="14"/>
    </row>
    <row r="1792" spans="1:17" x14ac:dyDescent="0.25">
      <c r="A1792" s="5"/>
      <c r="B1792" s="6"/>
      <c r="C1792" s="4"/>
      <c r="D1792" s="4"/>
      <c r="E1792" s="12"/>
      <c r="F1792" s="12"/>
      <c r="G1792" s="16"/>
      <c r="H1792" s="14"/>
      <c r="I1792" s="14"/>
      <c r="J1792" s="14"/>
      <c r="K1792" s="14"/>
      <c r="L1792" s="14"/>
      <c r="M1792" s="14"/>
      <c r="N1792" s="14"/>
      <c r="O1792" s="4"/>
      <c r="P1792" s="14"/>
      <c r="Q1792" s="14"/>
    </row>
    <row r="1793" spans="1:17" x14ac:dyDescent="0.25">
      <c r="A1793" s="5"/>
      <c r="B1793" s="6"/>
      <c r="C1793" s="4"/>
      <c r="D1793" s="4"/>
      <c r="E1793" s="12"/>
      <c r="F1793" s="12"/>
      <c r="G1793" s="16"/>
      <c r="H1793" s="14"/>
      <c r="I1793" s="14"/>
      <c r="J1793" s="14"/>
      <c r="K1793" s="14"/>
      <c r="L1793" s="14"/>
      <c r="M1793" s="14"/>
      <c r="N1793" s="14"/>
      <c r="O1793" s="4"/>
      <c r="P1793" s="14"/>
      <c r="Q1793" s="14"/>
    </row>
    <row r="1794" spans="1:17" x14ac:dyDescent="0.25">
      <c r="A1794" s="5"/>
      <c r="B1794" s="6"/>
      <c r="C1794" s="4"/>
      <c r="D1794" s="4"/>
      <c r="E1794" s="12"/>
      <c r="F1794" s="12"/>
      <c r="G1794" s="16"/>
      <c r="H1794" s="14"/>
      <c r="I1794" s="14"/>
      <c r="J1794" s="14"/>
      <c r="K1794" s="14"/>
      <c r="L1794" s="14"/>
      <c r="M1794" s="14"/>
      <c r="N1794" s="14"/>
      <c r="O1794" s="4"/>
      <c r="P1794" s="14"/>
      <c r="Q1794" s="14"/>
    </row>
    <row r="1795" spans="1:17" x14ac:dyDescent="0.25">
      <c r="A1795" s="5"/>
      <c r="B1795" s="6"/>
      <c r="C1795" s="4"/>
      <c r="D1795" s="4"/>
      <c r="E1795" s="12"/>
      <c r="F1795" s="12"/>
      <c r="G1795" s="16"/>
      <c r="H1795" s="14"/>
      <c r="I1795" s="14"/>
      <c r="J1795" s="14"/>
      <c r="K1795" s="14"/>
      <c r="L1795" s="14"/>
      <c r="M1795" s="14"/>
      <c r="N1795" s="14"/>
      <c r="O1795" s="4"/>
      <c r="P1795" s="14"/>
      <c r="Q1795" s="14"/>
    </row>
    <row r="1796" spans="1:17" x14ac:dyDescent="0.25">
      <c r="A1796" s="5"/>
      <c r="B1796" s="6"/>
      <c r="C1796" s="4"/>
      <c r="D1796" s="4"/>
      <c r="E1796" s="12"/>
      <c r="F1796" s="12"/>
      <c r="G1796" s="16"/>
      <c r="H1796" s="14"/>
      <c r="I1796" s="14"/>
      <c r="J1796" s="14"/>
      <c r="K1796" s="14"/>
      <c r="L1796" s="14"/>
      <c r="M1796" s="14"/>
      <c r="N1796" s="14"/>
      <c r="O1796" s="4"/>
      <c r="P1796" s="14"/>
      <c r="Q1796" s="14"/>
    </row>
    <row r="1797" spans="1:17" x14ac:dyDescent="0.25">
      <c r="A1797" s="5"/>
      <c r="B1797" s="6"/>
      <c r="C1797" s="4"/>
      <c r="D1797" s="4"/>
      <c r="E1797" s="12"/>
      <c r="F1797" s="12"/>
      <c r="G1797" s="16"/>
      <c r="H1797" s="14"/>
      <c r="I1797" s="14"/>
      <c r="J1797" s="14"/>
      <c r="K1797" s="14"/>
      <c r="L1797" s="14"/>
      <c r="M1797" s="14"/>
      <c r="N1797" s="14"/>
      <c r="O1797" s="4"/>
      <c r="P1797" s="14"/>
      <c r="Q1797" s="14"/>
    </row>
    <row r="1798" spans="1:17" x14ac:dyDescent="0.25">
      <c r="A1798" s="5"/>
      <c r="B1798" s="6"/>
      <c r="C1798" s="4"/>
      <c r="D1798" s="4"/>
      <c r="E1798" s="12"/>
      <c r="F1798" s="12"/>
      <c r="G1798" s="16"/>
      <c r="H1798" s="14"/>
      <c r="I1798" s="14"/>
      <c r="J1798" s="14"/>
      <c r="K1798" s="14"/>
      <c r="L1798" s="14"/>
      <c r="M1798" s="14"/>
      <c r="N1798" s="14"/>
      <c r="O1798" s="4"/>
      <c r="P1798" s="14"/>
      <c r="Q1798" s="14"/>
    </row>
    <row r="1799" spans="1:17" x14ac:dyDescent="0.25">
      <c r="A1799" s="5"/>
      <c r="B1799" s="6"/>
      <c r="C1799" s="4"/>
      <c r="D1799" s="4"/>
      <c r="E1799" s="12"/>
      <c r="F1799" s="12"/>
      <c r="G1799" s="16"/>
      <c r="H1799" s="14"/>
      <c r="I1799" s="14"/>
      <c r="J1799" s="14"/>
      <c r="K1799" s="14"/>
      <c r="L1799" s="14"/>
      <c r="M1799" s="14"/>
      <c r="N1799" s="14"/>
      <c r="O1799" s="4"/>
      <c r="P1799" s="14"/>
      <c r="Q1799" s="14"/>
    </row>
    <row r="1800" spans="1:17" x14ac:dyDescent="0.25">
      <c r="A1800" s="5"/>
      <c r="B1800" s="6"/>
      <c r="C1800" s="4"/>
      <c r="D1800" s="4"/>
      <c r="E1800" s="12"/>
      <c r="F1800" s="12"/>
      <c r="G1800" s="16"/>
      <c r="H1800" s="14"/>
      <c r="I1800" s="14"/>
      <c r="J1800" s="14"/>
      <c r="K1800" s="14"/>
      <c r="L1800" s="14"/>
      <c r="M1800" s="14"/>
      <c r="N1800" s="14"/>
      <c r="O1800" s="4"/>
      <c r="P1800" s="14"/>
      <c r="Q1800" s="14"/>
    </row>
    <row r="1801" spans="1:17" x14ac:dyDescent="0.25">
      <c r="A1801" s="5"/>
      <c r="B1801" s="6"/>
      <c r="C1801" s="4"/>
      <c r="D1801" s="4"/>
      <c r="E1801" s="12"/>
      <c r="F1801" s="12"/>
      <c r="G1801" s="16"/>
      <c r="H1801" s="14"/>
      <c r="I1801" s="14"/>
      <c r="J1801" s="14"/>
      <c r="K1801" s="14"/>
      <c r="L1801" s="14"/>
      <c r="M1801" s="14"/>
      <c r="N1801" s="14"/>
      <c r="O1801" s="4"/>
      <c r="P1801" s="14"/>
      <c r="Q1801" s="14"/>
    </row>
    <row r="1802" spans="1:17" x14ac:dyDescent="0.25">
      <c r="A1802" s="5"/>
      <c r="B1802" s="6"/>
      <c r="C1802" s="4"/>
      <c r="D1802" s="4"/>
      <c r="E1802" s="12"/>
      <c r="F1802" s="12"/>
      <c r="G1802" s="16"/>
      <c r="H1802" s="14"/>
      <c r="I1802" s="14"/>
      <c r="J1802" s="14"/>
      <c r="K1802" s="14"/>
      <c r="L1802" s="14"/>
      <c r="M1802" s="14"/>
      <c r="N1802" s="14"/>
      <c r="O1802" s="4"/>
      <c r="P1802" s="14"/>
      <c r="Q1802" s="14"/>
    </row>
    <row r="1803" spans="1:17" x14ac:dyDescent="0.25">
      <c r="A1803" s="5"/>
      <c r="B1803" s="6"/>
      <c r="C1803" s="4"/>
      <c r="D1803" s="4"/>
      <c r="E1803" s="12"/>
      <c r="F1803" s="12"/>
      <c r="G1803" s="16"/>
      <c r="H1803" s="14"/>
      <c r="I1803" s="14"/>
      <c r="J1803" s="14"/>
      <c r="K1803" s="14"/>
      <c r="L1803" s="14"/>
      <c r="M1803" s="14"/>
      <c r="N1803" s="14"/>
      <c r="O1803" s="4"/>
      <c r="P1803" s="14"/>
      <c r="Q1803" s="14"/>
    </row>
    <row r="1804" spans="1:17" x14ac:dyDescent="0.25">
      <c r="A1804" s="5"/>
      <c r="B1804" s="6"/>
      <c r="C1804" s="4"/>
      <c r="D1804" s="4"/>
      <c r="E1804" s="12"/>
      <c r="F1804" s="12"/>
      <c r="G1804" s="16"/>
      <c r="H1804" s="14"/>
      <c r="I1804" s="14"/>
      <c r="J1804" s="14"/>
      <c r="K1804" s="14"/>
      <c r="L1804" s="14"/>
      <c r="M1804" s="14"/>
      <c r="N1804" s="14"/>
      <c r="O1804" s="4"/>
      <c r="P1804" s="14"/>
      <c r="Q1804" s="14"/>
    </row>
    <row r="1805" spans="1:17" x14ac:dyDescent="0.25">
      <c r="A1805" s="5"/>
      <c r="B1805" s="6"/>
      <c r="C1805" s="4"/>
      <c r="D1805" s="4"/>
      <c r="E1805" s="12"/>
      <c r="F1805" s="12"/>
      <c r="G1805" s="16"/>
      <c r="H1805" s="14"/>
      <c r="I1805" s="14"/>
      <c r="J1805" s="14"/>
      <c r="K1805" s="14"/>
      <c r="L1805" s="14"/>
      <c r="M1805" s="14"/>
      <c r="N1805" s="14"/>
      <c r="O1805" s="4"/>
      <c r="P1805" s="14"/>
      <c r="Q1805" s="14"/>
    </row>
    <row r="1806" spans="1:17" x14ac:dyDescent="0.25">
      <c r="A1806" s="5"/>
      <c r="B1806" s="6"/>
      <c r="C1806" s="4"/>
      <c r="D1806" s="4"/>
      <c r="E1806" s="12"/>
      <c r="F1806" s="12"/>
      <c r="G1806" s="16"/>
      <c r="H1806" s="14"/>
      <c r="I1806" s="14"/>
      <c r="J1806" s="14"/>
      <c r="K1806" s="14"/>
      <c r="L1806" s="14"/>
      <c r="M1806" s="14"/>
      <c r="N1806" s="14"/>
      <c r="O1806" s="4"/>
      <c r="P1806" s="14"/>
      <c r="Q1806" s="14"/>
    </row>
    <row r="1807" spans="1:17" x14ac:dyDescent="0.25">
      <c r="A1807" s="5"/>
      <c r="B1807" s="6"/>
      <c r="C1807" s="4"/>
      <c r="D1807" s="4"/>
      <c r="E1807" s="12"/>
      <c r="F1807" s="12"/>
      <c r="G1807" s="16"/>
      <c r="H1807" s="14"/>
      <c r="I1807" s="14"/>
      <c r="J1807" s="14"/>
      <c r="K1807" s="14"/>
      <c r="L1807" s="14"/>
      <c r="M1807" s="14"/>
      <c r="N1807" s="14"/>
      <c r="O1807" s="4"/>
      <c r="P1807" s="14"/>
      <c r="Q1807" s="14"/>
    </row>
    <row r="1808" spans="1:17" x14ac:dyDescent="0.25">
      <c r="A1808" s="5"/>
      <c r="B1808" s="6"/>
      <c r="C1808" s="4"/>
      <c r="D1808" s="4"/>
      <c r="E1808" s="12"/>
      <c r="F1808" s="12"/>
      <c r="G1808" s="16"/>
      <c r="H1808" s="14"/>
      <c r="I1808" s="14"/>
      <c r="J1808" s="14"/>
      <c r="K1808" s="14"/>
      <c r="L1808" s="14"/>
      <c r="M1808" s="14"/>
      <c r="N1808" s="14"/>
      <c r="O1808" s="4"/>
      <c r="P1808" s="14"/>
      <c r="Q1808" s="14"/>
    </row>
    <row r="1809" spans="1:17" x14ac:dyDescent="0.25">
      <c r="A1809" s="5"/>
      <c r="B1809" s="6"/>
      <c r="C1809" s="4"/>
      <c r="D1809" s="4"/>
      <c r="E1809" s="12"/>
      <c r="F1809" s="12"/>
      <c r="G1809" s="16"/>
      <c r="H1809" s="14"/>
      <c r="I1809" s="14"/>
      <c r="J1809" s="14"/>
      <c r="K1809" s="14"/>
      <c r="L1809" s="14"/>
      <c r="M1809" s="14"/>
      <c r="N1809" s="14"/>
      <c r="O1809" s="4"/>
      <c r="P1809" s="14"/>
      <c r="Q1809" s="14"/>
    </row>
    <row r="1810" spans="1:17" x14ac:dyDescent="0.25">
      <c r="A1810" s="5"/>
      <c r="B1810" s="6"/>
      <c r="C1810" s="4"/>
      <c r="D1810" s="4"/>
      <c r="E1810" s="12"/>
      <c r="F1810" s="12"/>
      <c r="G1810" s="16"/>
      <c r="H1810" s="14"/>
      <c r="I1810" s="14"/>
      <c r="J1810" s="14"/>
      <c r="K1810" s="14"/>
      <c r="L1810" s="14"/>
      <c r="M1810" s="14"/>
      <c r="N1810" s="14"/>
      <c r="O1810" s="4"/>
      <c r="P1810" s="14"/>
      <c r="Q1810" s="14"/>
    </row>
    <row r="1811" spans="1:17" x14ac:dyDescent="0.25">
      <c r="A1811" s="5"/>
      <c r="B1811" s="6"/>
      <c r="C1811" s="4"/>
      <c r="D1811" s="4"/>
      <c r="E1811" s="12"/>
      <c r="F1811" s="12"/>
      <c r="G1811" s="16"/>
      <c r="H1811" s="14"/>
      <c r="I1811" s="14"/>
      <c r="J1811" s="14"/>
      <c r="K1811" s="14"/>
      <c r="L1811" s="14"/>
      <c r="M1811" s="14"/>
      <c r="N1811" s="14"/>
      <c r="O1811" s="4"/>
      <c r="P1811" s="14"/>
      <c r="Q1811" s="14"/>
    </row>
    <row r="1812" spans="1:17" x14ac:dyDescent="0.25">
      <c r="A1812" s="5"/>
      <c r="B1812" s="6"/>
      <c r="C1812" s="4"/>
      <c r="D1812" s="4"/>
      <c r="E1812" s="12"/>
      <c r="F1812" s="12"/>
      <c r="G1812" s="16"/>
      <c r="H1812" s="14"/>
      <c r="I1812" s="14"/>
      <c r="J1812" s="14"/>
      <c r="K1812" s="14"/>
      <c r="L1812" s="14"/>
      <c r="M1812" s="14"/>
      <c r="N1812" s="14"/>
      <c r="O1812" s="4"/>
      <c r="P1812" s="14"/>
      <c r="Q1812" s="14"/>
    </row>
    <row r="1813" spans="1:17" x14ac:dyDescent="0.25">
      <c r="A1813" s="5"/>
      <c r="B1813" s="6"/>
      <c r="C1813" s="4"/>
      <c r="D1813" s="4"/>
      <c r="E1813" s="12"/>
      <c r="F1813" s="12"/>
      <c r="G1813" s="16"/>
      <c r="H1813" s="14"/>
      <c r="I1813" s="14"/>
      <c r="J1813" s="14"/>
      <c r="K1813" s="14"/>
      <c r="L1813" s="14"/>
      <c r="M1813" s="14"/>
      <c r="N1813" s="14"/>
      <c r="O1813" s="4"/>
      <c r="P1813" s="14"/>
      <c r="Q1813" s="14"/>
    </row>
    <row r="1814" spans="1:17" x14ac:dyDescent="0.25">
      <c r="A1814" s="5"/>
      <c r="B1814" s="6"/>
      <c r="C1814" s="4"/>
      <c r="D1814" s="4"/>
      <c r="E1814" s="12"/>
      <c r="F1814" s="12"/>
      <c r="G1814" s="16"/>
      <c r="H1814" s="14"/>
      <c r="I1814" s="14"/>
      <c r="J1814" s="14"/>
      <c r="K1814" s="14"/>
      <c r="L1814" s="14"/>
      <c r="M1814" s="14"/>
      <c r="N1814" s="14"/>
      <c r="O1814" s="4"/>
      <c r="P1814" s="14"/>
      <c r="Q1814" s="14"/>
    </row>
    <row r="1815" spans="1:17" x14ac:dyDescent="0.25">
      <c r="A1815" s="5"/>
      <c r="B1815" s="6"/>
      <c r="C1815" s="4"/>
      <c r="D1815" s="4"/>
      <c r="E1815" s="12"/>
      <c r="F1815" s="12"/>
      <c r="G1815" s="16"/>
      <c r="H1815" s="14"/>
      <c r="I1815" s="14"/>
      <c r="J1815" s="14"/>
      <c r="K1815" s="14"/>
      <c r="L1815" s="14"/>
      <c r="M1815" s="14"/>
      <c r="N1815" s="14"/>
      <c r="O1815" s="4"/>
      <c r="P1815" s="14"/>
      <c r="Q1815" s="14"/>
    </row>
    <row r="1816" spans="1:17" x14ac:dyDescent="0.25">
      <c r="A1816" s="5"/>
      <c r="B1816" s="6"/>
      <c r="C1816" s="4"/>
      <c r="D1816" s="4"/>
      <c r="E1816" s="12"/>
      <c r="F1816" s="12"/>
      <c r="G1816" s="16"/>
      <c r="H1816" s="14"/>
      <c r="I1816" s="14"/>
      <c r="J1816" s="14"/>
      <c r="K1816" s="14"/>
      <c r="L1816" s="14"/>
      <c r="M1816" s="14"/>
      <c r="N1816" s="14"/>
      <c r="O1816" s="4"/>
      <c r="P1816" s="14"/>
      <c r="Q1816" s="14"/>
    </row>
    <row r="1817" spans="1:17" x14ac:dyDescent="0.25">
      <c r="A1817" s="5"/>
      <c r="B1817" s="6"/>
      <c r="C1817" s="4"/>
      <c r="D1817" s="4"/>
      <c r="E1817" s="12"/>
      <c r="F1817" s="12"/>
      <c r="G1817" s="16"/>
      <c r="H1817" s="14"/>
      <c r="I1817" s="14"/>
      <c r="J1817" s="14"/>
      <c r="K1817" s="14"/>
      <c r="L1817" s="14"/>
      <c r="M1817" s="14"/>
      <c r="N1817" s="14"/>
      <c r="O1817" s="4"/>
      <c r="P1817" s="14"/>
      <c r="Q1817" s="14"/>
    </row>
    <row r="1818" spans="1:17" x14ac:dyDescent="0.25">
      <c r="A1818" s="5"/>
      <c r="B1818" s="6"/>
      <c r="C1818" s="4"/>
      <c r="D1818" s="4"/>
      <c r="E1818" s="12"/>
      <c r="F1818" s="12"/>
      <c r="G1818" s="16"/>
      <c r="H1818" s="14"/>
      <c r="I1818" s="14"/>
      <c r="J1818" s="14"/>
      <c r="K1818" s="14"/>
      <c r="L1818" s="14"/>
      <c r="M1818" s="14"/>
      <c r="N1818" s="14"/>
      <c r="O1818" s="4"/>
      <c r="P1818" s="14"/>
      <c r="Q1818" s="14"/>
    </row>
    <row r="1819" spans="1:17" x14ac:dyDescent="0.25">
      <c r="A1819" s="5"/>
      <c r="B1819" s="6"/>
      <c r="C1819" s="4"/>
      <c r="D1819" s="4"/>
      <c r="E1819" s="12"/>
      <c r="F1819" s="12"/>
      <c r="G1819" s="16"/>
      <c r="H1819" s="14"/>
      <c r="I1819" s="14"/>
      <c r="J1819" s="14"/>
      <c r="K1819" s="14"/>
      <c r="L1819" s="14"/>
      <c r="M1819" s="14"/>
      <c r="N1819" s="14"/>
      <c r="O1819" s="4"/>
      <c r="P1819" s="14"/>
      <c r="Q1819" s="14"/>
    </row>
    <row r="1820" spans="1:17" x14ac:dyDescent="0.25">
      <c r="A1820" s="5"/>
      <c r="B1820" s="6"/>
      <c r="C1820" s="4"/>
      <c r="D1820" s="4"/>
      <c r="E1820" s="12"/>
      <c r="F1820" s="12"/>
      <c r="G1820" s="16"/>
      <c r="H1820" s="14"/>
      <c r="I1820" s="14"/>
      <c r="J1820" s="14"/>
      <c r="K1820" s="14"/>
      <c r="L1820" s="14"/>
      <c r="M1820" s="14"/>
      <c r="N1820" s="14"/>
      <c r="O1820" s="4"/>
      <c r="P1820" s="14"/>
      <c r="Q1820" s="14"/>
    </row>
    <row r="1821" spans="1:17" x14ac:dyDescent="0.25">
      <c r="A1821" s="5"/>
      <c r="B1821" s="6"/>
      <c r="C1821" s="4"/>
      <c r="D1821" s="4"/>
      <c r="E1821" s="12"/>
      <c r="F1821" s="12"/>
      <c r="G1821" s="16"/>
      <c r="H1821" s="14"/>
      <c r="I1821" s="14"/>
      <c r="J1821" s="14"/>
      <c r="K1821" s="14"/>
      <c r="L1821" s="14"/>
      <c r="M1821" s="14"/>
      <c r="N1821" s="14"/>
      <c r="O1821" s="4"/>
      <c r="P1821" s="14"/>
      <c r="Q1821" s="14"/>
    </row>
    <row r="1822" spans="1:17" x14ac:dyDescent="0.25">
      <c r="A1822" s="5"/>
      <c r="B1822" s="6"/>
      <c r="C1822" s="4"/>
      <c r="D1822" s="4"/>
      <c r="E1822" s="12"/>
      <c r="F1822" s="12"/>
      <c r="G1822" s="16"/>
      <c r="H1822" s="14"/>
      <c r="I1822" s="14"/>
      <c r="J1822" s="14"/>
      <c r="K1822" s="14"/>
      <c r="L1822" s="14"/>
      <c r="M1822" s="14"/>
      <c r="N1822" s="14"/>
      <c r="O1822" s="4"/>
      <c r="P1822" s="14"/>
      <c r="Q1822" s="14"/>
    </row>
    <row r="1823" spans="1:17" x14ac:dyDescent="0.25">
      <c r="A1823" s="5"/>
      <c r="B1823" s="6"/>
      <c r="C1823" s="4"/>
      <c r="D1823" s="4"/>
      <c r="E1823" s="12"/>
      <c r="F1823" s="12"/>
      <c r="G1823" s="16"/>
      <c r="H1823" s="14"/>
      <c r="I1823" s="14"/>
      <c r="J1823" s="14"/>
      <c r="K1823" s="14"/>
      <c r="L1823" s="14"/>
      <c r="M1823" s="14"/>
      <c r="N1823" s="14"/>
      <c r="O1823" s="4"/>
      <c r="P1823" s="14"/>
      <c r="Q1823" s="14"/>
    </row>
    <row r="1824" spans="1:17" x14ac:dyDescent="0.25">
      <c r="A1824" s="5"/>
      <c r="B1824" s="6"/>
      <c r="C1824" s="4"/>
      <c r="D1824" s="4"/>
      <c r="E1824" s="12"/>
      <c r="F1824" s="12"/>
      <c r="G1824" s="16"/>
      <c r="H1824" s="14"/>
      <c r="I1824" s="14"/>
      <c r="J1824" s="14"/>
      <c r="K1824" s="14"/>
      <c r="L1824" s="14"/>
      <c r="M1824" s="14"/>
      <c r="N1824" s="14"/>
      <c r="O1824" s="4"/>
      <c r="P1824" s="14"/>
      <c r="Q1824" s="14"/>
    </row>
    <row r="1825" spans="1:17" x14ac:dyDescent="0.25">
      <c r="A1825" s="5"/>
      <c r="B1825" s="6"/>
      <c r="C1825" s="4"/>
      <c r="D1825" s="4"/>
      <c r="E1825" s="12"/>
      <c r="F1825" s="12"/>
      <c r="G1825" s="16"/>
      <c r="H1825" s="14"/>
      <c r="I1825" s="14"/>
      <c r="J1825" s="14"/>
      <c r="K1825" s="14"/>
      <c r="L1825" s="14"/>
      <c r="M1825" s="14"/>
      <c r="N1825" s="14"/>
      <c r="O1825" s="4"/>
      <c r="P1825" s="14"/>
      <c r="Q1825" s="14"/>
    </row>
    <row r="1826" spans="1:17" x14ac:dyDescent="0.25">
      <c r="A1826" s="5"/>
      <c r="B1826" s="6"/>
      <c r="C1826" s="4"/>
      <c r="D1826" s="4"/>
      <c r="E1826" s="12"/>
      <c r="F1826" s="12"/>
      <c r="G1826" s="16"/>
      <c r="H1826" s="14"/>
      <c r="I1826" s="14"/>
      <c r="J1826" s="14"/>
      <c r="K1826" s="14"/>
      <c r="L1826" s="14"/>
      <c r="M1826" s="14"/>
      <c r="N1826" s="14"/>
      <c r="O1826" s="4"/>
      <c r="P1826" s="14"/>
      <c r="Q1826" s="14"/>
    </row>
    <row r="1827" spans="1:17" x14ac:dyDescent="0.25">
      <c r="A1827" s="5"/>
      <c r="B1827" s="6"/>
      <c r="C1827" s="4"/>
      <c r="D1827" s="4"/>
      <c r="E1827" s="12"/>
      <c r="F1827" s="12"/>
      <c r="G1827" s="16"/>
      <c r="H1827" s="14"/>
      <c r="I1827" s="14"/>
      <c r="J1827" s="14"/>
      <c r="K1827" s="14"/>
      <c r="L1827" s="14"/>
      <c r="M1827" s="14"/>
      <c r="N1827" s="14"/>
      <c r="O1827" s="4"/>
      <c r="P1827" s="14"/>
      <c r="Q1827" s="14"/>
    </row>
    <row r="1828" spans="1:17" x14ac:dyDescent="0.25">
      <c r="A1828" s="5"/>
      <c r="B1828" s="6"/>
      <c r="C1828" s="4"/>
      <c r="D1828" s="4"/>
      <c r="E1828" s="12"/>
      <c r="F1828" s="12"/>
      <c r="G1828" s="16"/>
      <c r="H1828" s="14"/>
      <c r="I1828" s="14"/>
      <c r="J1828" s="14"/>
      <c r="K1828" s="14"/>
      <c r="L1828" s="14"/>
      <c r="M1828" s="14"/>
      <c r="N1828" s="14"/>
      <c r="O1828" s="4"/>
      <c r="P1828" s="14"/>
      <c r="Q1828" s="14"/>
    </row>
    <row r="1829" spans="1:17" x14ac:dyDescent="0.25">
      <c r="A1829" s="5"/>
      <c r="B1829" s="6"/>
      <c r="C1829" s="4"/>
      <c r="D1829" s="4"/>
      <c r="E1829" s="12"/>
      <c r="F1829" s="12"/>
      <c r="G1829" s="16"/>
      <c r="H1829" s="14"/>
      <c r="I1829" s="14"/>
      <c r="J1829" s="14"/>
      <c r="K1829" s="14"/>
      <c r="L1829" s="14"/>
      <c r="M1829" s="14"/>
      <c r="N1829" s="14"/>
      <c r="O1829" s="4"/>
      <c r="P1829" s="14"/>
      <c r="Q1829" s="14"/>
    </row>
    <row r="1830" spans="1:17" x14ac:dyDescent="0.25">
      <c r="A1830" s="5"/>
      <c r="B1830" s="6"/>
      <c r="C1830" s="4"/>
      <c r="D1830" s="4"/>
      <c r="E1830" s="12"/>
      <c r="F1830" s="12"/>
      <c r="G1830" s="16"/>
      <c r="H1830" s="14"/>
      <c r="I1830" s="14"/>
      <c r="J1830" s="14"/>
      <c r="K1830" s="14"/>
      <c r="L1830" s="14"/>
      <c r="M1830" s="14"/>
      <c r="N1830" s="14"/>
      <c r="O1830" s="4"/>
      <c r="P1830" s="14"/>
      <c r="Q1830" s="14"/>
    </row>
    <row r="1831" spans="1:17" x14ac:dyDescent="0.25">
      <c r="A1831" s="5"/>
      <c r="B1831" s="6"/>
      <c r="C1831" s="4"/>
      <c r="D1831" s="4"/>
      <c r="E1831" s="12"/>
      <c r="F1831" s="12"/>
      <c r="G1831" s="16"/>
      <c r="H1831" s="14"/>
      <c r="I1831" s="14"/>
      <c r="J1831" s="14"/>
      <c r="K1831" s="14"/>
      <c r="L1831" s="14"/>
      <c r="M1831" s="14"/>
      <c r="N1831" s="14"/>
      <c r="O1831" s="4"/>
      <c r="P1831" s="14"/>
      <c r="Q1831" s="14"/>
    </row>
    <row r="1832" spans="1:17" x14ac:dyDescent="0.25">
      <c r="A1832" s="5"/>
      <c r="B1832" s="6"/>
      <c r="C1832" s="4"/>
      <c r="D1832" s="4"/>
      <c r="E1832" s="12"/>
      <c r="F1832" s="12"/>
      <c r="G1832" s="16"/>
      <c r="H1832" s="14"/>
      <c r="I1832" s="14"/>
      <c r="J1832" s="14"/>
      <c r="K1832" s="14"/>
      <c r="L1832" s="14"/>
      <c r="M1832" s="14"/>
      <c r="N1832" s="14"/>
      <c r="O1832" s="4"/>
      <c r="P1832" s="14"/>
      <c r="Q1832" s="14"/>
    </row>
    <row r="1833" spans="1:17" x14ac:dyDescent="0.25">
      <c r="A1833" s="5"/>
      <c r="B1833" s="6"/>
      <c r="C1833" s="4"/>
      <c r="D1833" s="4"/>
      <c r="E1833" s="12"/>
      <c r="F1833" s="12"/>
      <c r="G1833" s="16"/>
      <c r="H1833" s="14"/>
      <c r="I1833" s="14"/>
      <c r="J1833" s="14"/>
      <c r="K1833" s="14"/>
      <c r="L1833" s="14"/>
      <c r="M1833" s="14"/>
      <c r="N1833" s="14"/>
      <c r="O1833" s="4"/>
      <c r="P1833" s="14"/>
      <c r="Q1833" s="14"/>
    </row>
    <row r="1834" spans="1:17" x14ac:dyDescent="0.25">
      <c r="A1834" s="5"/>
      <c r="B1834" s="6"/>
      <c r="C1834" s="4"/>
      <c r="D1834" s="4"/>
      <c r="E1834" s="12"/>
      <c r="F1834" s="12"/>
      <c r="G1834" s="16"/>
      <c r="H1834" s="14"/>
      <c r="I1834" s="14"/>
      <c r="J1834" s="14"/>
      <c r="K1834" s="14"/>
      <c r="L1834" s="14"/>
      <c r="M1834" s="14"/>
      <c r="N1834" s="14"/>
      <c r="O1834" s="4"/>
      <c r="P1834" s="14"/>
      <c r="Q1834" s="14"/>
    </row>
    <row r="1835" spans="1:17" x14ac:dyDescent="0.25">
      <c r="A1835" s="5"/>
      <c r="B1835" s="6"/>
      <c r="C1835" s="4"/>
      <c r="D1835" s="4"/>
      <c r="E1835" s="12"/>
      <c r="F1835" s="12"/>
      <c r="G1835" s="16"/>
      <c r="H1835" s="14"/>
      <c r="I1835" s="14"/>
      <c r="J1835" s="14"/>
      <c r="K1835" s="14"/>
      <c r="L1835" s="14"/>
      <c r="M1835" s="14"/>
      <c r="N1835" s="14"/>
      <c r="O1835" s="4"/>
      <c r="P1835" s="14"/>
      <c r="Q1835" s="14"/>
    </row>
    <row r="1836" spans="1:17" x14ac:dyDescent="0.25">
      <c r="A1836" s="5"/>
      <c r="B1836" s="6"/>
      <c r="C1836" s="4"/>
      <c r="D1836" s="4"/>
      <c r="E1836" s="12"/>
      <c r="F1836" s="12"/>
      <c r="G1836" s="16"/>
      <c r="H1836" s="14"/>
      <c r="I1836" s="14"/>
      <c r="J1836" s="14"/>
      <c r="K1836" s="14"/>
      <c r="L1836" s="14"/>
      <c r="M1836" s="14"/>
      <c r="N1836" s="14"/>
      <c r="O1836" s="4"/>
      <c r="P1836" s="14"/>
      <c r="Q1836" s="14"/>
    </row>
    <row r="1837" spans="1:17" x14ac:dyDescent="0.25">
      <c r="A1837" s="5"/>
      <c r="B1837" s="6"/>
      <c r="C1837" s="4"/>
      <c r="D1837" s="4"/>
      <c r="E1837" s="12"/>
      <c r="F1837" s="12"/>
      <c r="G1837" s="16"/>
      <c r="H1837" s="14"/>
      <c r="I1837" s="14"/>
      <c r="J1837" s="14"/>
      <c r="K1837" s="14"/>
      <c r="L1837" s="14"/>
      <c r="M1837" s="14"/>
      <c r="N1837" s="14"/>
      <c r="O1837" s="4"/>
      <c r="P1837" s="14"/>
      <c r="Q1837" s="14"/>
    </row>
    <row r="1838" spans="1:17" x14ac:dyDescent="0.25">
      <c r="A1838" s="5"/>
      <c r="B1838" s="6"/>
      <c r="C1838" s="4"/>
      <c r="D1838" s="4"/>
      <c r="E1838" s="12"/>
      <c r="F1838" s="12"/>
      <c r="G1838" s="16"/>
      <c r="H1838" s="14"/>
      <c r="I1838" s="14"/>
      <c r="J1838" s="14"/>
      <c r="K1838" s="14"/>
      <c r="L1838" s="14"/>
      <c r="M1838" s="14"/>
      <c r="N1838" s="14"/>
      <c r="O1838" s="4"/>
      <c r="P1838" s="14"/>
      <c r="Q1838" s="14"/>
    </row>
    <row r="1839" spans="1:17" x14ac:dyDescent="0.25">
      <c r="A1839" s="5"/>
      <c r="B1839" s="6"/>
      <c r="C1839" s="4"/>
      <c r="D1839" s="4"/>
      <c r="E1839" s="12"/>
      <c r="F1839" s="12"/>
      <c r="G1839" s="16"/>
      <c r="H1839" s="14"/>
      <c r="I1839" s="14"/>
      <c r="J1839" s="14"/>
      <c r="K1839" s="14"/>
      <c r="L1839" s="14"/>
      <c r="M1839" s="14"/>
      <c r="N1839" s="14"/>
      <c r="O1839" s="4"/>
      <c r="P1839" s="14"/>
      <c r="Q1839" s="14"/>
    </row>
    <row r="1840" spans="1:17" x14ac:dyDescent="0.25">
      <c r="A1840" s="5"/>
      <c r="B1840" s="6"/>
      <c r="C1840" s="4"/>
      <c r="D1840" s="4"/>
      <c r="E1840" s="12"/>
      <c r="F1840" s="12"/>
      <c r="G1840" s="16"/>
      <c r="H1840" s="14"/>
      <c r="I1840" s="14"/>
      <c r="J1840" s="14"/>
      <c r="K1840" s="14"/>
      <c r="L1840" s="14"/>
      <c r="M1840" s="14"/>
      <c r="N1840" s="14"/>
      <c r="O1840" s="4"/>
      <c r="P1840" s="14"/>
      <c r="Q1840" s="14"/>
    </row>
    <row r="1841" spans="1:17" x14ac:dyDescent="0.25">
      <c r="A1841" s="5"/>
      <c r="B1841" s="6"/>
      <c r="C1841" s="4"/>
      <c r="D1841" s="4"/>
      <c r="E1841" s="12"/>
      <c r="F1841" s="12"/>
      <c r="G1841" s="16"/>
      <c r="H1841" s="14"/>
      <c r="I1841" s="14"/>
      <c r="J1841" s="14"/>
      <c r="K1841" s="14"/>
      <c r="L1841" s="14"/>
      <c r="M1841" s="14"/>
      <c r="N1841" s="14"/>
      <c r="O1841" s="4"/>
      <c r="P1841" s="14"/>
      <c r="Q1841" s="14"/>
    </row>
    <row r="1842" spans="1:17" x14ac:dyDescent="0.25">
      <c r="A1842" s="5"/>
      <c r="B1842" s="6"/>
      <c r="C1842" s="4"/>
      <c r="D1842" s="4"/>
      <c r="E1842" s="12"/>
      <c r="F1842" s="12"/>
      <c r="G1842" s="16"/>
      <c r="H1842" s="14"/>
      <c r="I1842" s="14"/>
      <c r="J1842" s="14"/>
      <c r="K1842" s="14"/>
      <c r="L1842" s="14"/>
      <c r="M1842" s="14"/>
      <c r="N1842" s="14"/>
      <c r="O1842" s="4"/>
      <c r="P1842" s="14"/>
      <c r="Q1842" s="14"/>
    </row>
    <row r="1843" spans="1:17" x14ac:dyDescent="0.25">
      <c r="A1843" s="5"/>
      <c r="B1843" s="6"/>
      <c r="C1843" s="4"/>
      <c r="D1843" s="4"/>
      <c r="E1843" s="12"/>
      <c r="F1843" s="12"/>
      <c r="G1843" s="16"/>
      <c r="H1843" s="14"/>
      <c r="I1843" s="14"/>
      <c r="J1843" s="14"/>
      <c r="K1843" s="14"/>
      <c r="L1843" s="14"/>
      <c r="M1843" s="14"/>
      <c r="N1843" s="14"/>
      <c r="O1843" s="4"/>
      <c r="P1843" s="14"/>
      <c r="Q1843" s="14"/>
    </row>
    <row r="1844" spans="1:17" x14ac:dyDescent="0.25">
      <c r="A1844" s="5"/>
      <c r="B1844" s="6"/>
      <c r="C1844" s="4"/>
      <c r="D1844" s="4"/>
      <c r="E1844" s="12"/>
      <c r="F1844" s="12"/>
      <c r="G1844" s="16"/>
      <c r="H1844" s="14"/>
      <c r="I1844" s="14"/>
      <c r="J1844" s="14"/>
      <c r="K1844" s="14"/>
      <c r="L1844" s="14"/>
      <c r="M1844" s="14"/>
      <c r="N1844" s="14"/>
      <c r="O1844" s="4"/>
      <c r="P1844" s="14"/>
      <c r="Q1844" s="14"/>
    </row>
    <row r="1845" spans="1:17" x14ac:dyDescent="0.25">
      <c r="A1845" s="5"/>
      <c r="B1845" s="6"/>
      <c r="C1845" s="4"/>
      <c r="D1845" s="4"/>
      <c r="E1845" s="12"/>
      <c r="F1845" s="12"/>
      <c r="G1845" s="16"/>
      <c r="H1845" s="14"/>
      <c r="I1845" s="14"/>
      <c r="J1845" s="14"/>
      <c r="K1845" s="14"/>
      <c r="L1845" s="14"/>
      <c r="M1845" s="14"/>
      <c r="N1845" s="14"/>
      <c r="O1845" s="4"/>
      <c r="P1845" s="14"/>
      <c r="Q1845" s="14"/>
    </row>
    <row r="1846" spans="1:17" x14ac:dyDescent="0.25">
      <c r="A1846" s="5"/>
      <c r="B1846" s="6"/>
      <c r="C1846" s="4"/>
      <c r="D1846" s="4"/>
      <c r="E1846" s="12"/>
      <c r="F1846" s="12"/>
      <c r="G1846" s="16"/>
      <c r="H1846" s="14"/>
      <c r="I1846" s="14"/>
      <c r="J1846" s="14"/>
      <c r="K1846" s="14"/>
      <c r="L1846" s="14"/>
      <c r="M1846" s="14"/>
      <c r="N1846" s="14"/>
      <c r="O1846" s="4"/>
      <c r="P1846" s="14"/>
      <c r="Q1846" s="14"/>
    </row>
    <row r="1847" spans="1:17" x14ac:dyDescent="0.25">
      <c r="A1847" s="5"/>
      <c r="B1847" s="6"/>
      <c r="C1847" s="4"/>
      <c r="D1847" s="4"/>
      <c r="E1847" s="12"/>
      <c r="F1847" s="12"/>
      <c r="G1847" s="16"/>
      <c r="H1847" s="14"/>
      <c r="I1847" s="14"/>
      <c r="J1847" s="14"/>
      <c r="K1847" s="14"/>
      <c r="L1847" s="14"/>
      <c r="M1847" s="14"/>
      <c r="N1847" s="14"/>
      <c r="O1847" s="4"/>
      <c r="P1847" s="14"/>
      <c r="Q1847" s="14"/>
    </row>
    <row r="1848" spans="1:17" x14ac:dyDescent="0.25">
      <c r="A1848" s="5"/>
      <c r="B1848" s="6"/>
      <c r="C1848" s="4"/>
      <c r="D1848" s="4"/>
      <c r="E1848" s="12"/>
      <c r="F1848" s="12"/>
      <c r="G1848" s="16"/>
      <c r="H1848" s="14"/>
      <c r="I1848" s="14"/>
      <c r="J1848" s="14"/>
      <c r="K1848" s="14"/>
      <c r="L1848" s="14"/>
      <c r="M1848" s="14"/>
      <c r="N1848" s="14"/>
      <c r="O1848" s="4"/>
      <c r="P1848" s="14"/>
      <c r="Q1848" s="14"/>
    </row>
    <row r="1849" spans="1:17" x14ac:dyDescent="0.25">
      <c r="A1849" s="5"/>
      <c r="B1849" s="6"/>
      <c r="C1849" s="4"/>
      <c r="D1849" s="4"/>
      <c r="E1849" s="12"/>
      <c r="F1849" s="12"/>
      <c r="G1849" s="16"/>
      <c r="H1849" s="14"/>
      <c r="I1849" s="14"/>
      <c r="J1849" s="14"/>
      <c r="K1849" s="14"/>
      <c r="L1849" s="14"/>
      <c r="M1849" s="14"/>
      <c r="N1849" s="14"/>
      <c r="O1849" s="4"/>
      <c r="P1849" s="14"/>
      <c r="Q1849" s="14"/>
    </row>
    <row r="1850" spans="1:17" x14ac:dyDescent="0.25">
      <c r="A1850" s="5"/>
      <c r="B1850" s="6"/>
      <c r="C1850" s="4"/>
      <c r="D1850" s="4"/>
      <c r="E1850" s="12"/>
      <c r="F1850" s="12"/>
      <c r="G1850" s="16"/>
      <c r="H1850" s="14"/>
      <c r="I1850" s="14"/>
      <c r="J1850" s="14"/>
      <c r="K1850" s="14"/>
      <c r="L1850" s="14"/>
      <c r="M1850" s="14"/>
      <c r="N1850" s="14"/>
      <c r="O1850" s="4"/>
      <c r="P1850" s="14"/>
      <c r="Q1850" s="14"/>
    </row>
    <row r="1851" spans="1:17" x14ac:dyDescent="0.25">
      <c r="A1851" s="5"/>
      <c r="B1851" s="6"/>
      <c r="C1851" s="4"/>
      <c r="D1851" s="4"/>
      <c r="E1851" s="12"/>
      <c r="F1851" s="12"/>
      <c r="G1851" s="16"/>
      <c r="H1851" s="14"/>
      <c r="I1851" s="14"/>
      <c r="J1851" s="14"/>
      <c r="K1851" s="14"/>
      <c r="L1851" s="14"/>
      <c r="M1851" s="14"/>
      <c r="N1851" s="14"/>
      <c r="O1851" s="4"/>
      <c r="P1851" s="14"/>
      <c r="Q1851" s="14"/>
    </row>
    <row r="1852" spans="1:17" x14ac:dyDescent="0.25">
      <c r="A1852" s="5"/>
      <c r="B1852" s="6"/>
      <c r="C1852" s="4"/>
      <c r="D1852" s="4"/>
      <c r="E1852" s="12"/>
      <c r="F1852" s="12"/>
      <c r="G1852" s="16"/>
      <c r="H1852" s="14"/>
      <c r="I1852" s="14"/>
      <c r="J1852" s="14"/>
      <c r="K1852" s="14"/>
      <c r="L1852" s="14"/>
      <c r="M1852" s="14"/>
      <c r="N1852" s="14"/>
      <c r="O1852" s="4"/>
      <c r="P1852" s="14"/>
      <c r="Q1852" s="14"/>
    </row>
    <row r="1853" spans="1:17" x14ac:dyDescent="0.25">
      <c r="A1853" s="5"/>
      <c r="B1853" s="6"/>
      <c r="C1853" s="4"/>
      <c r="D1853" s="4"/>
      <c r="E1853" s="12"/>
      <c r="F1853" s="12"/>
      <c r="G1853" s="16"/>
      <c r="H1853" s="14"/>
      <c r="I1853" s="14"/>
      <c r="J1853" s="14"/>
      <c r="K1853" s="14"/>
      <c r="L1853" s="14"/>
      <c r="M1853" s="14"/>
      <c r="N1853" s="14"/>
      <c r="O1853" s="4"/>
      <c r="P1853" s="14"/>
      <c r="Q1853" s="14"/>
    </row>
    <row r="1854" spans="1:17" x14ac:dyDescent="0.25">
      <c r="A1854" s="5"/>
      <c r="B1854" s="6"/>
      <c r="C1854" s="4"/>
      <c r="D1854" s="4"/>
      <c r="E1854" s="12"/>
      <c r="F1854" s="12"/>
      <c r="G1854" s="16"/>
      <c r="H1854" s="14"/>
      <c r="I1854" s="14"/>
      <c r="J1854" s="14"/>
      <c r="K1854" s="14"/>
      <c r="L1854" s="14"/>
      <c r="M1854" s="14"/>
      <c r="N1854" s="14"/>
      <c r="O1854" s="4"/>
      <c r="P1854" s="14"/>
      <c r="Q1854" s="14"/>
    </row>
    <row r="1855" spans="1:17" x14ac:dyDescent="0.25">
      <c r="A1855" s="5"/>
      <c r="B1855" s="6"/>
      <c r="C1855" s="4"/>
      <c r="D1855" s="4"/>
      <c r="E1855" s="12"/>
      <c r="F1855" s="12"/>
      <c r="G1855" s="16"/>
      <c r="H1855" s="14"/>
      <c r="I1855" s="14"/>
      <c r="J1855" s="14"/>
      <c r="K1855" s="14"/>
      <c r="L1855" s="14"/>
      <c r="M1855" s="14"/>
      <c r="N1855" s="14"/>
      <c r="O1855" s="4"/>
      <c r="P1855" s="14"/>
      <c r="Q1855" s="14"/>
    </row>
    <row r="1856" spans="1:17" x14ac:dyDescent="0.25">
      <c r="A1856" s="5"/>
      <c r="B1856" s="6"/>
      <c r="C1856" s="4"/>
      <c r="D1856" s="4"/>
      <c r="E1856" s="12"/>
      <c r="F1856" s="12"/>
      <c r="G1856" s="16"/>
      <c r="H1856" s="14"/>
      <c r="I1856" s="14"/>
      <c r="J1856" s="14"/>
      <c r="K1856" s="14"/>
      <c r="L1856" s="14"/>
      <c r="M1856" s="14"/>
      <c r="N1856" s="14"/>
      <c r="O1856" s="4"/>
      <c r="P1856" s="14"/>
      <c r="Q1856" s="14"/>
    </row>
    <row r="1857" spans="1:17" x14ac:dyDescent="0.25">
      <c r="A1857" s="5"/>
      <c r="B1857" s="6"/>
      <c r="C1857" s="4"/>
      <c r="D1857" s="4"/>
      <c r="E1857" s="12"/>
      <c r="F1857" s="12"/>
      <c r="G1857" s="16"/>
      <c r="H1857" s="14"/>
      <c r="I1857" s="14"/>
      <c r="J1857" s="14"/>
      <c r="K1857" s="14"/>
      <c r="L1857" s="14"/>
      <c r="M1857" s="14"/>
      <c r="N1857" s="14"/>
      <c r="O1857" s="4"/>
      <c r="P1857" s="14"/>
      <c r="Q1857" s="14"/>
    </row>
    <row r="1858" spans="1:17" x14ac:dyDescent="0.25">
      <c r="A1858" s="5"/>
      <c r="B1858" s="6"/>
      <c r="C1858" s="4"/>
      <c r="D1858" s="4"/>
      <c r="E1858" s="12"/>
      <c r="F1858" s="12"/>
      <c r="G1858" s="16"/>
      <c r="H1858" s="14"/>
      <c r="I1858" s="14"/>
      <c r="J1858" s="14"/>
      <c r="K1858" s="14"/>
      <c r="L1858" s="14"/>
      <c r="M1858" s="14"/>
      <c r="N1858" s="14"/>
      <c r="O1858" s="4"/>
      <c r="P1858" s="14"/>
      <c r="Q1858" s="14"/>
    </row>
    <row r="1859" spans="1:17" x14ac:dyDescent="0.25">
      <c r="A1859" s="5"/>
      <c r="B1859" s="6"/>
      <c r="C1859" s="4"/>
      <c r="D1859" s="4"/>
      <c r="E1859" s="12"/>
      <c r="F1859" s="12"/>
      <c r="G1859" s="16"/>
      <c r="H1859" s="14"/>
      <c r="I1859" s="14"/>
      <c r="J1859" s="14"/>
      <c r="K1859" s="14"/>
      <c r="L1859" s="14"/>
      <c r="M1859" s="14"/>
      <c r="N1859" s="14"/>
      <c r="O1859" s="4"/>
      <c r="P1859" s="14"/>
      <c r="Q1859" s="14"/>
    </row>
    <row r="1860" spans="1:17" x14ac:dyDescent="0.25">
      <c r="A1860" s="5"/>
      <c r="B1860" s="6"/>
      <c r="C1860" s="4"/>
      <c r="D1860" s="4"/>
      <c r="E1860" s="12"/>
      <c r="F1860" s="12"/>
      <c r="G1860" s="16"/>
      <c r="H1860" s="14"/>
      <c r="I1860" s="14"/>
      <c r="J1860" s="14"/>
      <c r="K1860" s="14"/>
      <c r="L1860" s="14"/>
      <c r="M1860" s="14"/>
      <c r="N1860" s="14"/>
      <c r="O1860" s="4"/>
      <c r="P1860" s="14"/>
      <c r="Q1860" s="14"/>
    </row>
    <row r="1861" spans="1:17" x14ac:dyDescent="0.25">
      <c r="A1861" s="5"/>
      <c r="B1861" s="6"/>
      <c r="C1861" s="4"/>
      <c r="D1861" s="4"/>
      <c r="E1861" s="12"/>
      <c r="F1861" s="12"/>
      <c r="G1861" s="16"/>
      <c r="H1861" s="14"/>
      <c r="I1861" s="14"/>
      <c r="J1861" s="14"/>
      <c r="K1861" s="14"/>
      <c r="L1861" s="14"/>
      <c r="M1861" s="14"/>
      <c r="N1861" s="14"/>
      <c r="O1861" s="4"/>
      <c r="P1861" s="14"/>
      <c r="Q1861" s="14"/>
    </row>
    <row r="1862" spans="1:17" x14ac:dyDescent="0.25">
      <c r="A1862" s="5"/>
      <c r="B1862" s="6"/>
      <c r="C1862" s="4"/>
      <c r="D1862" s="4"/>
      <c r="E1862" s="12"/>
      <c r="F1862" s="12"/>
      <c r="G1862" s="16"/>
      <c r="H1862" s="14"/>
      <c r="I1862" s="14"/>
      <c r="J1862" s="14"/>
      <c r="K1862" s="14"/>
      <c r="L1862" s="14"/>
      <c r="M1862" s="14"/>
      <c r="N1862" s="14"/>
      <c r="O1862" s="4"/>
      <c r="P1862" s="14"/>
      <c r="Q1862" s="14"/>
    </row>
    <row r="1863" spans="1:17" x14ac:dyDescent="0.25">
      <c r="A1863" s="5"/>
      <c r="B1863" s="6"/>
      <c r="C1863" s="4"/>
      <c r="D1863" s="4"/>
      <c r="E1863" s="12"/>
      <c r="F1863" s="12"/>
      <c r="G1863" s="16"/>
      <c r="H1863" s="14"/>
      <c r="I1863" s="14"/>
      <c r="J1863" s="14"/>
      <c r="K1863" s="14"/>
      <c r="L1863" s="14"/>
      <c r="M1863" s="14"/>
      <c r="N1863" s="14"/>
      <c r="O1863" s="4"/>
      <c r="P1863" s="14"/>
      <c r="Q1863" s="14"/>
    </row>
    <row r="1864" spans="1:17" x14ac:dyDescent="0.25">
      <c r="A1864" s="5"/>
      <c r="B1864" s="6"/>
      <c r="C1864" s="4"/>
      <c r="D1864" s="4"/>
      <c r="E1864" s="12"/>
      <c r="F1864" s="12"/>
      <c r="G1864" s="16"/>
      <c r="H1864" s="14"/>
      <c r="I1864" s="14"/>
      <c r="J1864" s="14"/>
      <c r="K1864" s="14"/>
      <c r="L1864" s="14"/>
      <c r="M1864" s="14"/>
      <c r="N1864" s="14"/>
      <c r="O1864" s="4"/>
      <c r="P1864" s="14"/>
      <c r="Q1864" s="14"/>
    </row>
    <row r="1865" spans="1:17" x14ac:dyDescent="0.25">
      <c r="A1865" s="5"/>
      <c r="B1865" s="6"/>
      <c r="C1865" s="4"/>
      <c r="D1865" s="4"/>
      <c r="E1865" s="12"/>
      <c r="F1865" s="12"/>
      <c r="G1865" s="16"/>
      <c r="H1865" s="14"/>
      <c r="I1865" s="14"/>
      <c r="J1865" s="14"/>
      <c r="K1865" s="14"/>
      <c r="L1865" s="14"/>
      <c r="M1865" s="14"/>
      <c r="N1865" s="14"/>
      <c r="O1865" s="4"/>
      <c r="P1865" s="14"/>
      <c r="Q1865" s="14"/>
    </row>
    <row r="1866" spans="1:17" x14ac:dyDescent="0.25">
      <c r="A1866" s="5"/>
      <c r="B1866" s="6"/>
      <c r="C1866" s="4"/>
      <c r="D1866" s="4"/>
      <c r="E1866" s="12"/>
      <c r="F1866" s="12"/>
      <c r="G1866" s="16"/>
      <c r="H1866" s="14"/>
      <c r="I1866" s="14"/>
      <c r="J1866" s="14"/>
      <c r="K1866" s="14"/>
      <c r="L1866" s="14"/>
      <c r="M1866" s="14"/>
      <c r="N1866" s="14"/>
      <c r="O1866" s="4"/>
      <c r="P1866" s="14"/>
      <c r="Q1866" s="14"/>
    </row>
    <row r="1867" spans="1:17" x14ac:dyDescent="0.25">
      <c r="A1867" s="5"/>
      <c r="B1867" s="6"/>
      <c r="C1867" s="4"/>
      <c r="D1867" s="4"/>
      <c r="E1867" s="12"/>
      <c r="F1867" s="12"/>
      <c r="G1867" s="16"/>
      <c r="H1867" s="14"/>
      <c r="I1867" s="14"/>
      <c r="J1867" s="14"/>
      <c r="K1867" s="14"/>
      <c r="L1867" s="14"/>
      <c r="M1867" s="14"/>
      <c r="N1867" s="14"/>
      <c r="O1867" s="4"/>
      <c r="P1867" s="14"/>
      <c r="Q1867" s="14"/>
    </row>
    <row r="1868" spans="1:17" x14ac:dyDescent="0.25">
      <c r="A1868" s="5"/>
      <c r="B1868" s="6"/>
      <c r="C1868" s="4"/>
      <c r="D1868" s="4"/>
      <c r="E1868" s="12"/>
      <c r="F1868" s="12"/>
      <c r="G1868" s="16"/>
      <c r="H1868" s="14"/>
      <c r="I1868" s="14"/>
      <c r="J1868" s="14"/>
      <c r="K1868" s="14"/>
      <c r="L1868" s="14"/>
      <c r="M1868" s="14"/>
      <c r="N1868" s="14"/>
      <c r="O1868" s="4"/>
      <c r="P1868" s="14"/>
      <c r="Q1868" s="14"/>
    </row>
    <row r="1869" spans="1:17" x14ac:dyDescent="0.25">
      <c r="A1869" s="5"/>
      <c r="B1869" s="6"/>
      <c r="C1869" s="4"/>
      <c r="D1869" s="4"/>
      <c r="E1869" s="12"/>
      <c r="F1869" s="12"/>
      <c r="G1869" s="16"/>
      <c r="H1869" s="14"/>
      <c r="I1869" s="14"/>
      <c r="J1869" s="14"/>
      <c r="K1869" s="14"/>
      <c r="L1869" s="14"/>
      <c r="M1869" s="14"/>
      <c r="N1869" s="14"/>
      <c r="O1869" s="4"/>
      <c r="P1869" s="14"/>
      <c r="Q1869" s="14"/>
    </row>
    <row r="1870" spans="1:17" x14ac:dyDescent="0.25">
      <c r="A1870" s="5"/>
      <c r="B1870" s="6"/>
      <c r="C1870" s="4"/>
      <c r="D1870" s="4"/>
      <c r="E1870" s="12"/>
      <c r="F1870" s="12"/>
      <c r="G1870" s="16"/>
      <c r="H1870" s="14"/>
      <c r="I1870" s="14"/>
      <c r="J1870" s="14"/>
      <c r="K1870" s="14"/>
      <c r="L1870" s="14"/>
      <c r="M1870" s="14"/>
      <c r="N1870" s="14"/>
      <c r="O1870" s="4"/>
      <c r="P1870" s="14"/>
      <c r="Q1870" s="14"/>
    </row>
    <row r="1871" spans="1:17" x14ac:dyDescent="0.25">
      <c r="A1871" s="5"/>
      <c r="B1871" s="6"/>
      <c r="C1871" s="4"/>
      <c r="D1871" s="4"/>
      <c r="E1871" s="12"/>
      <c r="F1871" s="12"/>
      <c r="G1871" s="16"/>
      <c r="H1871" s="14"/>
      <c r="I1871" s="14"/>
      <c r="J1871" s="14"/>
      <c r="K1871" s="14"/>
      <c r="L1871" s="14"/>
      <c r="M1871" s="14"/>
      <c r="N1871" s="14"/>
      <c r="O1871" s="4"/>
      <c r="P1871" s="14"/>
      <c r="Q1871" s="14"/>
    </row>
    <row r="1872" spans="1:17" x14ac:dyDescent="0.25">
      <c r="A1872" s="5"/>
      <c r="B1872" s="6"/>
      <c r="C1872" s="4"/>
      <c r="D1872" s="4"/>
      <c r="E1872" s="12"/>
      <c r="F1872" s="12"/>
      <c r="G1872" s="16"/>
      <c r="H1872" s="14"/>
      <c r="I1872" s="14"/>
      <c r="J1872" s="14"/>
      <c r="K1872" s="14"/>
      <c r="L1872" s="14"/>
      <c r="M1872" s="14"/>
      <c r="N1872" s="14"/>
      <c r="O1872" s="4"/>
      <c r="P1872" s="14"/>
      <c r="Q1872" s="14"/>
    </row>
    <row r="1873" spans="1:17" x14ac:dyDescent="0.25">
      <c r="A1873" s="5"/>
      <c r="B1873" s="6"/>
      <c r="C1873" s="4"/>
      <c r="D1873" s="4"/>
      <c r="E1873" s="12"/>
      <c r="F1873" s="12"/>
      <c r="G1873" s="16"/>
      <c r="H1873" s="14"/>
      <c r="I1873" s="14"/>
      <c r="J1873" s="14"/>
      <c r="K1873" s="14"/>
      <c r="L1873" s="14"/>
      <c r="M1873" s="14"/>
      <c r="N1873" s="14"/>
      <c r="O1873" s="4"/>
      <c r="P1873" s="14"/>
      <c r="Q1873" s="14"/>
    </row>
    <row r="1874" spans="1:17" x14ac:dyDescent="0.25">
      <c r="A1874" s="5"/>
      <c r="B1874" s="6"/>
      <c r="C1874" s="4"/>
      <c r="D1874" s="4"/>
      <c r="E1874" s="12"/>
      <c r="F1874" s="12"/>
      <c r="G1874" s="16"/>
      <c r="H1874" s="14"/>
      <c r="I1874" s="14"/>
      <c r="J1874" s="14"/>
      <c r="K1874" s="14"/>
      <c r="L1874" s="14"/>
      <c r="M1874" s="14"/>
      <c r="N1874" s="14"/>
      <c r="O1874" s="4"/>
      <c r="P1874" s="14"/>
      <c r="Q1874" s="14"/>
    </row>
    <row r="1875" spans="1:17" x14ac:dyDescent="0.25">
      <c r="A1875" s="5"/>
      <c r="B1875" s="6"/>
      <c r="C1875" s="4"/>
      <c r="D1875" s="4"/>
      <c r="E1875" s="12"/>
      <c r="F1875" s="12"/>
      <c r="G1875" s="16"/>
      <c r="H1875" s="14"/>
      <c r="I1875" s="14"/>
      <c r="J1875" s="14"/>
      <c r="K1875" s="14"/>
      <c r="L1875" s="14"/>
      <c r="M1875" s="14"/>
      <c r="N1875" s="14"/>
      <c r="O1875" s="4"/>
      <c r="P1875" s="14"/>
      <c r="Q1875" s="14"/>
    </row>
    <row r="1876" spans="1:17" x14ac:dyDescent="0.25">
      <c r="A1876" s="5"/>
      <c r="B1876" s="6"/>
      <c r="C1876" s="4"/>
      <c r="D1876" s="4"/>
      <c r="E1876" s="12"/>
      <c r="F1876" s="12"/>
      <c r="G1876" s="16"/>
      <c r="H1876" s="14"/>
      <c r="I1876" s="14"/>
      <c r="J1876" s="14"/>
      <c r="K1876" s="14"/>
      <c r="L1876" s="14"/>
      <c r="M1876" s="14"/>
      <c r="N1876" s="14"/>
      <c r="O1876" s="4"/>
      <c r="P1876" s="14"/>
      <c r="Q1876" s="14"/>
    </row>
    <row r="1877" spans="1:17" x14ac:dyDescent="0.25">
      <c r="A1877" s="5"/>
      <c r="B1877" s="6"/>
      <c r="C1877" s="4"/>
      <c r="D1877" s="4"/>
      <c r="E1877" s="12"/>
      <c r="F1877" s="12"/>
      <c r="G1877" s="16"/>
      <c r="H1877" s="14"/>
      <c r="I1877" s="14"/>
      <c r="J1877" s="14"/>
      <c r="K1877" s="14"/>
      <c r="L1877" s="14"/>
      <c r="M1877" s="14"/>
      <c r="N1877" s="14"/>
      <c r="O1877" s="4"/>
      <c r="P1877" s="14"/>
      <c r="Q1877" s="14"/>
    </row>
    <row r="1878" spans="1:17" x14ac:dyDescent="0.25">
      <c r="A1878" s="5"/>
      <c r="B1878" s="6"/>
      <c r="C1878" s="4"/>
      <c r="D1878" s="4"/>
      <c r="E1878" s="12"/>
      <c r="F1878" s="12"/>
      <c r="G1878" s="16"/>
      <c r="H1878" s="14"/>
      <c r="I1878" s="14"/>
      <c r="J1878" s="14"/>
      <c r="K1878" s="14"/>
      <c r="L1878" s="14"/>
      <c r="M1878" s="14"/>
      <c r="N1878" s="14"/>
      <c r="O1878" s="4"/>
      <c r="P1878" s="14"/>
      <c r="Q1878" s="14"/>
    </row>
    <row r="1879" spans="1:17" x14ac:dyDescent="0.25">
      <c r="A1879" s="5"/>
      <c r="B1879" s="6"/>
      <c r="C1879" s="4"/>
      <c r="D1879" s="4"/>
      <c r="E1879" s="12"/>
      <c r="F1879" s="12"/>
      <c r="G1879" s="16"/>
      <c r="H1879" s="14"/>
      <c r="I1879" s="14"/>
      <c r="J1879" s="14"/>
      <c r="K1879" s="14"/>
      <c r="L1879" s="14"/>
      <c r="M1879" s="14"/>
      <c r="N1879" s="14"/>
      <c r="O1879" s="4"/>
      <c r="P1879" s="14"/>
      <c r="Q1879" s="14"/>
    </row>
    <row r="1880" spans="1:17" x14ac:dyDescent="0.25">
      <c r="A1880" s="5"/>
      <c r="B1880" s="6"/>
      <c r="C1880" s="4"/>
      <c r="D1880" s="4"/>
      <c r="E1880" s="12"/>
      <c r="F1880" s="12"/>
      <c r="G1880" s="16"/>
      <c r="H1880" s="14"/>
      <c r="I1880" s="14"/>
      <c r="J1880" s="14"/>
      <c r="K1880" s="14"/>
      <c r="L1880" s="14"/>
      <c r="M1880" s="14"/>
      <c r="N1880" s="14"/>
      <c r="O1880" s="4"/>
      <c r="P1880" s="14"/>
      <c r="Q1880" s="14"/>
    </row>
    <row r="1881" spans="1:17" x14ac:dyDescent="0.25">
      <c r="A1881" s="5"/>
      <c r="B1881" s="6"/>
      <c r="C1881" s="4"/>
      <c r="D1881" s="4"/>
      <c r="E1881" s="12"/>
      <c r="F1881" s="12"/>
      <c r="G1881" s="16"/>
      <c r="H1881" s="14"/>
      <c r="I1881" s="14"/>
      <c r="J1881" s="14"/>
      <c r="K1881" s="14"/>
      <c r="L1881" s="14"/>
      <c r="M1881" s="14"/>
      <c r="N1881" s="14"/>
      <c r="O1881" s="4"/>
      <c r="P1881" s="14"/>
      <c r="Q1881" s="14"/>
    </row>
    <row r="1882" spans="1:17" x14ac:dyDescent="0.25">
      <c r="A1882" s="5"/>
      <c r="B1882" s="6"/>
      <c r="C1882" s="4"/>
      <c r="D1882" s="4"/>
      <c r="E1882" s="12"/>
      <c r="F1882" s="12"/>
      <c r="G1882" s="16"/>
      <c r="H1882" s="14"/>
      <c r="I1882" s="14"/>
      <c r="J1882" s="14"/>
      <c r="K1882" s="14"/>
      <c r="L1882" s="14"/>
      <c r="M1882" s="14"/>
      <c r="N1882" s="14"/>
      <c r="O1882" s="4"/>
      <c r="P1882" s="14"/>
      <c r="Q1882" s="14"/>
    </row>
    <row r="1883" spans="1:17" x14ac:dyDescent="0.25">
      <c r="A1883" s="5"/>
      <c r="B1883" s="6"/>
      <c r="C1883" s="4"/>
      <c r="D1883" s="4"/>
      <c r="E1883" s="12"/>
      <c r="F1883" s="12"/>
      <c r="G1883" s="16"/>
      <c r="H1883" s="14"/>
      <c r="I1883" s="14"/>
      <c r="J1883" s="14"/>
      <c r="K1883" s="14"/>
      <c r="L1883" s="14"/>
      <c r="M1883" s="14"/>
      <c r="N1883" s="14"/>
      <c r="O1883" s="4"/>
      <c r="P1883" s="14"/>
      <c r="Q1883" s="14"/>
    </row>
    <row r="1884" spans="1:17" x14ac:dyDescent="0.25">
      <c r="A1884" s="5"/>
      <c r="B1884" s="6"/>
      <c r="C1884" s="4"/>
      <c r="D1884" s="4"/>
      <c r="E1884" s="12"/>
      <c r="F1884" s="12"/>
      <c r="G1884" s="16"/>
      <c r="H1884" s="14"/>
      <c r="I1884" s="14"/>
      <c r="J1884" s="14"/>
      <c r="K1884" s="14"/>
      <c r="L1884" s="14"/>
      <c r="M1884" s="14"/>
      <c r="N1884" s="14"/>
      <c r="O1884" s="4"/>
      <c r="P1884" s="14"/>
      <c r="Q1884" s="14"/>
    </row>
    <row r="1885" spans="1:17" x14ac:dyDescent="0.25">
      <c r="A1885" s="5"/>
      <c r="B1885" s="6"/>
      <c r="C1885" s="4"/>
      <c r="D1885" s="4"/>
      <c r="E1885" s="12"/>
      <c r="F1885" s="12"/>
      <c r="G1885" s="16"/>
      <c r="H1885" s="14"/>
      <c r="I1885" s="14"/>
      <c r="J1885" s="14"/>
      <c r="K1885" s="14"/>
      <c r="L1885" s="14"/>
      <c r="M1885" s="14"/>
      <c r="N1885" s="14"/>
      <c r="O1885" s="4"/>
      <c r="P1885" s="14"/>
      <c r="Q1885" s="14"/>
    </row>
    <row r="1886" spans="1:17" x14ac:dyDescent="0.25">
      <c r="A1886" s="5"/>
      <c r="B1886" s="6"/>
      <c r="C1886" s="4"/>
      <c r="D1886" s="4"/>
      <c r="E1886" s="12"/>
      <c r="F1886" s="12"/>
      <c r="G1886" s="16"/>
      <c r="H1886" s="14"/>
      <c r="I1886" s="14"/>
      <c r="J1886" s="14"/>
      <c r="K1886" s="14"/>
      <c r="L1886" s="14"/>
      <c r="M1886" s="14"/>
      <c r="N1886" s="14"/>
      <c r="O1886" s="4"/>
      <c r="P1886" s="14"/>
      <c r="Q1886" s="14"/>
    </row>
    <row r="1887" spans="1:17" x14ac:dyDescent="0.25">
      <c r="A1887" s="5"/>
      <c r="B1887" s="6"/>
      <c r="C1887" s="4"/>
      <c r="D1887" s="4"/>
      <c r="E1887" s="12"/>
      <c r="F1887" s="12"/>
      <c r="G1887" s="16"/>
      <c r="H1887" s="14"/>
      <c r="I1887" s="14"/>
      <c r="J1887" s="14"/>
      <c r="K1887" s="14"/>
      <c r="L1887" s="14"/>
      <c r="M1887" s="14"/>
      <c r="N1887" s="14"/>
      <c r="O1887" s="4"/>
      <c r="P1887" s="14"/>
      <c r="Q1887" s="14"/>
    </row>
    <row r="1888" spans="1:17" x14ac:dyDescent="0.25">
      <c r="A1888" s="5"/>
      <c r="B1888" s="6"/>
      <c r="C1888" s="4"/>
      <c r="D1888" s="4"/>
      <c r="E1888" s="12"/>
      <c r="F1888" s="12"/>
      <c r="G1888" s="16"/>
      <c r="H1888" s="14"/>
      <c r="I1888" s="14"/>
      <c r="J1888" s="14"/>
      <c r="K1888" s="14"/>
      <c r="L1888" s="14"/>
      <c r="M1888" s="14"/>
      <c r="N1888" s="14"/>
      <c r="O1888" s="4"/>
      <c r="P1888" s="14"/>
      <c r="Q1888" s="14"/>
    </row>
    <row r="1889" spans="1:17" x14ac:dyDescent="0.25">
      <c r="A1889" s="5"/>
      <c r="B1889" s="6"/>
      <c r="C1889" s="4"/>
      <c r="D1889" s="4"/>
      <c r="E1889" s="12"/>
      <c r="F1889" s="12"/>
      <c r="G1889" s="16"/>
      <c r="H1889" s="14"/>
      <c r="I1889" s="14"/>
      <c r="J1889" s="14"/>
      <c r="K1889" s="14"/>
      <c r="L1889" s="14"/>
      <c r="M1889" s="14"/>
      <c r="N1889" s="14"/>
      <c r="O1889" s="4"/>
      <c r="P1889" s="14"/>
      <c r="Q1889" s="14"/>
    </row>
    <row r="1890" spans="1:17" x14ac:dyDescent="0.25">
      <c r="A1890" s="5"/>
      <c r="B1890" s="6"/>
      <c r="C1890" s="4"/>
      <c r="D1890" s="4"/>
      <c r="E1890" s="12"/>
      <c r="F1890" s="12"/>
      <c r="G1890" s="16"/>
      <c r="H1890" s="14"/>
      <c r="I1890" s="14"/>
      <c r="J1890" s="14"/>
      <c r="K1890" s="14"/>
      <c r="L1890" s="14"/>
      <c r="M1890" s="14"/>
      <c r="N1890" s="14"/>
      <c r="O1890" s="4"/>
      <c r="P1890" s="14"/>
      <c r="Q1890" s="14"/>
    </row>
    <row r="1891" spans="1:17" x14ac:dyDescent="0.25">
      <c r="A1891" s="5"/>
      <c r="B1891" s="6"/>
      <c r="C1891" s="4"/>
      <c r="D1891" s="4"/>
      <c r="E1891" s="12"/>
      <c r="F1891" s="12"/>
      <c r="G1891" s="16"/>
      <c r="H1891" s="14"/>
      <c r="I1891" s="14"/>
      <c r="J1891" s="14"/>
      <c r="K1891" s="14"/>
      <c r="L1891" s="14"/>
      <c r="M1891" s="14"/>
      <c r="N1891" s="14"/>
      <c r="O1891" s="4"/>
      <c r="P1891" s="14"/>
      <c r="Q1891" s="14"/>
    </row>
    <row r="1892" spans="1:17" x14ac:dyDescent="0.25">
      <c r="A1892" s="5"/>
      <c r="B1892" s="6"/>
      <c r="C1892" s="4"/>
      <c r="D1892" s="4"/>
      <c r="E1892" s="12"/>
      <c r="F1892" s="12"/>
      <c r="G1892" s="16"/>
      <c r="H1892" s="14"/>
      <c r="I1892" s="14"/>
      <c r="J1892" s="14"/>
      <c r="K1892" s="14"/>
      <c r="L1892" s="14"/>
      <c r="M1892" s="14"/>
      <c r="N1892" s="14"/>
      <c r="O1892" s="4"/>
      <c r="P1892" s="14"/>
      <c r="Q1892" s="14"/>
    </row>
    <row r="1893" spans="1:17" x14ac:dyDescent="0.25">
      <c r="A1893" s="5"/>
      <c r="B1893" s="6"/>
      <c r="C1893" s="4"/>
      <c r="D1893" s="4"/>
      <c r="E1893" s="12"/>
      <c r="F1893" s="12"/>
      <c r="G1893" s="16"/>
      <c r="H1893" s="14"/>
      <c r="I1893" s="14"/>
      <c r="J1893" s="14"/>
      <c r="K1893" s="14"/>
      <c r="L1893" s="14"/>
      <c r="M1893" s="14"/>
      <c r="N1893" s="14"/>
      <c r="O1893" s="4"/>
      <c r="P1893" s="14"/>
      <c r="Q1893" s="14"/>
    </row>
    <row r="1894" spans="1:17" x14ac:dyDescent="0.25">
      <c r="A1894" s="5"/>
      <c r="B1894" s="6"/>
      <c r="C1894" s="4"/>
      <c r="D1894" s="4"/>
      <c r="E1894" s="12"/>
      <c r="F1894" s="12"/>
      <c r="G1894" s="16"/>
      <c r="H1894" s="14"/>
      <c r="I1894" s="14"/>
      <c r="J1894" s="14"/>
      <c r="K1894" s="14"/>
      <c r="L1894" s="14"/>
      <c r="M1894" s="14"/>
      <c r="N1894" s="14"/>
      <c r="O1894" s="4"/>
      <c r="P1894" s="14"/>
      <c r="Q1894" s="14"/>
    </row>
    <row r="1895" spans="1:17" x14ac:dyDescent="0.25">
      <c r="A1895" s="5"/>
      <c r="B1895" s="6"/>
      <c r="C1895" s="4"/>
      <c r="D1895" s="4"/>
      <c r="E1895" s="12"/>
      <c r="F1895" s="12"/>
      <c r="G1895" s="16"/>
      <c r="H1895" s="14"/>
      <c r="I1895" s="14"/>
      <c r="J1895" s="14"/>
      <c r="K1895" s="14"/>
      <c r="L1895" s="14"/>
      <c r="M1895" s="14"/>
      <c r="N1895" s="14"/>
      <c r="O1895" s="4"/>
      <c r="P1895" s="14"/>
      <c r="Q1895" s="14"/>
    </row>
    <row r="1896" spans="1:17" x14ac:dyDescent="0.25">
      <c r="A1896" s="5"/>
      <c r="B1896" s="6"/>
      <c r="C1896" s="4"/>
      <c r="D1896" s="4"/>
      <c r="E1896" s="12"/>
      <c r="F1896" s="12"/>
      <c r="G1896" s="16"/>
      <c r="H1896" s="14"/>
      <c r="I1896" s="14"/>
      <c r="J1896" s="14"/>
      <c r="K1896" s="14"/>
      <c r="L1896" s="14"/>
      <c r="M1896" s="14"/>
      <c r="N1896" s="14"/>
      <c r="O1896" s="4"/>
      <c r="P1896" s="14"/>
      <c r="Q1896" s="14"/>
    </row>
    <row r="1897" spans="1:17" x14ac:dyDescent="0.25">
      <c r="A1897" s="5"/>
      <c r="B1897" s="6"/>
      <c r="C1897" s="4"/>
      <c r="D1897" s="4"/>
      <c r="E1897" s="12"/>
      <c r="F1897" s="12"/>
      <c r="G1897" s="16"/>
      <c r="H1897" s="14"/>
      <c r="I1897" s="14"/>
      <c r="J1897" s="14"/>
      <c r="K1897" s="14"/>
      <c r="L1897" s="14"/>
      <c r="M1897" s="14"/>
      <c r="N1897" s="14"/>
      <c r="O1897" s="4"/>
      <c r="P1897" s="14"/>
      <c r="Q1897" s="14"/>
    </row>
    <row r="1898" spans="1:17" x14ac:dyDescent="0.25">
      <c r="A1898" s="5"/>
      <c r="B1898" s="6"/>
      <c r="C1898" s="4"/>
      <c r="D1898" s="4"/>
      <c r="E1898" s="12"/>
      <c r="F1898" s="12"/>
      <c r="G1898" s="16"/>
      <c r="H1898" s="14"/>
      <c r="I1898" s="14"/>
      <c r="J1898" s="14"/>
      <c r="K1898" s="14"/>
      <c r="L1898" s="14"/>
      <c r="M1898" s="14"/>
      <c r="N1898" s="14"/>
      <c r="O1898" s="4"/>
      <c r="P1898" s="14"/>
      <c r="Q1898" s="14"/>
    </row>
    <row r="1899" spans="1:17" x14ac:dyDescent="0.25">
      <c r="A1899" s="5"/>
      <c r="B1899" s="6"/>
      <c r="C1899" s="4"/>
      <c r="D1899" s="4"/>
      <c r="E1899" s="12"/>
      <c r="F1899" s="12"/>
      <c r="G1899" s="16"/>
      <c r="H1899" s="14"/>
      <c r="I1899" s="14"/>
      <c r="J1899" s="14"/>
      <c r="K1899" s="14"/>
      <c r="L1899" s="14"/>
      <c r="M1899" s="14"/>
      <c r="N1899" s="14"/>
      <c r="O1899" s="4"/>
      <c r="P1899" s="14"/>
      <c r="Q1899" s="14"/>
    </row>
    <row r="1900" spans="1:17" x14ac:dyDescent="0.25">
      <c r="A1900" s="5"/>
      <c r="B1900" s="6"/>
      <c r="C1900" s="4"/>
      <c r="D1900" s="4"/>
      <c r="E1900" s="12"/>
      <c r="F1900" s="12"/>
      <c r="G1900" s="16"/>
      <c r="H1900" s="14"/>
      <c r="I1900" s="14"/>
      <c r="J1900" s="14"/>
      <c r="K1900" s="14"/>
      <c r="L1900" s="14"/>
      <c r="M1900" s="14"/>
      <c r="N1900" s="14"/>
      <c r="O1900" s="4"/>
      <c r="P1900" s="14"/>
      <c r="Q1900" s="14"/>
    </row>
    <row r="1901" spans="1:17" x14ac:dyDescent="0.25">
      <c r="A1901" s="5"/>
      <c r="B1901" s="6"/>
      <c r="C1901" s="4"/>
      <c r="D1901" s="4"/>
      <c r="E1901" s="12"/>
      <c r="F1901" s="12"/>
      <c r="G1901" s="16"/>
      <c r="H1901" s="14"/>
      <c r="I1901" s="14"/>
      <c r="J1901" s="14"/>
      <c r="K1901" s="14"/>
      <c r="L1901" s="14"/>
      <c r="M1901" s="14"/>
      <c r="N1901" s="14"/>
      <c r="O1901" s="4"/>
      <c r="P1901" s="14"/>
      <c r="Q1901" s="14"/>
    </row>
    <row r="1902" spans="1:17" x14ac:dyDescent="0.25">
      <c r="A1902" s="5"/>
      <c r="B1902" s="6"/>
      <c r="C1902" s="4"/>
      <c r="D1902" s="4"/>
      <c r="E1902" s="12"/>
      <c r="F1902" s="12"/>
      <c r="G1902" s="16"/>
      <c r="H1902" s="14"/>
      <c r="I1902" s="14"/>
      <c r="J1902" s="14"/>
      <c r="K1902" s="14"/>
      <c r="L1902" s="14"/>
      <c r="M1902" s="14"/>
      <c r="N1902" s="14"/>
      <c r="O1902" s="4"/>
      <c r="P1902" s="14"/>
      <c r="Q1902" s="14"/>
    </row>
    <row r="1903" spans="1:17" x14ac:dyDescent="0.25">
      <c r="A1903" s="5"/>
      <c r="B1903" s="6"/>
      <c r="C1903" s="4"/>
      <c r="D1903" s="4"/>
      <c r="E1903" s="12"/>
      <c r="F1903" s="12"/>
      <c r="G1903" s="16"/>
      <c r="H1903" s="14"/>
      <c r="I1903" s="14"/>
      <c r="J1903" s="14"/>
      <c r="K1903" s="14"/>
      <c r="L1903" s="14"/>
      <c r="M1903" s="14"/>
      <c r="N1903" s="14"/>
      <c r="O1903" s="4"/>
      <c r="P1903" s="14"/>
      <c r="Q1903" s="14"/>
    </row>
    <row r="1904" spans="1:17" x14ac:dyDescent="0.25">
      <c r="A1904" s="5"/>
      <c r="B1904" s="6"/>
      <c r="C1904" s="4"/>
      <c r="D1904" s="4"/>
      <c r="E1904" s="12"/>
      <c r="F1904" s="12"/>
      <c r="G1904" s="16"/>
      <c r="H1904" s="14"/>
      <c r="I1904" s="14"/>
      <c r="J1904" s="14"/>
      <c r="K1904" s="14"/>
      <c r="L1904" s="14"/>
      <c r="M1904" s="14"/>
      <c r="N1904" s="14"/>
      <c r="O1904" s="4"/>
      <c r="P1904" s="14"/>
      <c r="Q1904" s="14"/>
    </row>
    <row r="1905" spans="1:17" x14ac:dyDescent="0.25">
      <c r="A1905" s="5"/>
      <c r="B1905" s="6"/>
      <c r="C1905" s="4"/>
      <c r="D1905" s="4"/>
      <c r="E1905" s="12"/>
      <c r="F1905" s="12"/>
      <c r="G1905" s="16"/>
      <c r="H1905" s="14"/>
      <c r="I1905" s="14"/>
      <c r="J1905" s="14"/>
      <c r="K1905" s="14"/>
      <c r="L1905" s="14"/>
      <c r="M1905" s="14"/>
      <c r="N1905" s="14"/>
      <c r="O1905" s="4"/>
      <c r="P1905" s="14"/>
      <c r="Q1905" s="14"/>
    </row>
    <row r="1906" spans="1:17" x14ac:dyDescent="0.25">
      <c r="A1906" s="5"/>
      <c r="B1906" s="6"/>
      <c r="C1906" s="4"/>
      <c r="D1906" s="4"/>
      <c r="E1906" s="12"/>
      <c r="F1906" s="12"/>
      <c r="G1906" s="16"/>
      <c r="H1906" s="14"/>
      <c r="I1906" s="14"/>
      <c r="J1906" s="14"/>
      <c r="K1906" s="14"/>
      <c r="L1906" s="14"/>
      <c r="M1906" s="14"/>
      <c r="N1906" s="14"/>
      <c r="O1906" s="4"/>
      <c r="P1906" s="14"/>
      <c r="Q1906" s="14"/>
    </row>
    <row r="1907" spans="1:17" x14ac:dyDescent="0.25">
      <c r="A1907" s="5"/>
      <c r="B1907" s="6"/>
      <c r="C1907" s="4"/>
      <c r="D1907" s="4"/>
      <c r="E1907" s="12"/>
      <c r="F1907" s="12"/>
      <c r="G1907" s="16"/>
      <c r="H1907" s="14"/>
      <c r="I1907" s="14"/>
      <c r="J1907" s="14"/>
      <c r="K1907" s="14"/>
      <c r="L1907" s="14"/>
      <c r="M1907" s="14"/>
      <c r="N1907" s="14"/>
      <c r="O1907" s="4"/>
      <c r="P1907" s="14"/>
      <c r="Q1907" s="14"/>
    </row>
    <row r="1908" spans="1:17" x14ac:dyDescent="0.25">
      <c r="A1908" s="5"/>
      <c r="B1908" s="6"/>
      <c r="C1908" s="4"/>
      <c r="D1908" s="4"/>
      <c r="E1908" s="12"/>
      <c r="F1908" s="12"/>
      <c r="G1908" s="16"/>
      <c r="H1908" s="14"/>
      <c r="I1908" s="14"/>
      <c r="J1908" s="14"/>
      <c r="K1908" s="14"/>
      <c r="L1908" s="14"/>
      <c r="M1908" s="14"/>
      <c r="N1908" s="14"/>
      <c r="O1908" s="4"/>
      <c r="P1908" s="14"/>
      <c r="Q1908" s="14"/>
    </row>
    <row r="1909" spans="1:17" x14ac:dyDescent="0.25">
      <c r="A1909" s="5"/>
      <c r="B1909" s="6"/>
      <c r="C1909" s="4"/>
      <c r="D1909" s="4"/>
      <c r="E1909" s="12"/>
      <c r="F1909" s="12"/>
      <c r="G1909" s="16"/>
      <c r="H1909" s="14"/>
      <c r="I1909" s="14"/>
      <c r="J1909" s="14"/>
      <c r="K1909" s="14"/>
      <c r="L1909" s="14"/>
      <c r="M1909" s="14"/>
      <c r="N1909" s="14"/>
      <c r="O1909" s="4"/>
      <c r="P1909" s="14"/>
      <c r="Q1909" s="14"/>
    </row>
    <row r="1910" spans="1:17" x14ac:dyDescent="0.25">
      <c r="A1910" s="5"/>
      <c r="B1910" s="6"/>
      <c r="C1910" s="4"/>
      <c r="D1910" s="4"/>
      <c r="E1910" s="12"/>
      <c r="F1910" s="12"/>
      <c r="G1910" s="16"/>
      <c r="H1910" s="14"/>
      <c r="I1910" s="14"/>
      <c r="J1910" s="14"/>
      <c r="K1910" s="14"/>
      <c r="L1910" s="14"/>
      <c r="M1910" s="14"/>
      <c r="N1910" s="14"/>
      <c r="O1910" s="4"/>
      <c r="P1910" s="14"/>
      <c r="Q1910" s="14"/>
    </row>
    <row r="1911" spans="1:17" x14ac:dyDescent="0.25">
      <c r="A1911" s="5"/>
      <c r="B1911" s="6"/>
      <c r="C1911" s="4"/>
      <c r="D1911" s="4"/>
      <c r="E1911" s="12"/>
      <c r="F1911" s="12"/>
      <c r="G1911" s="16"/>
      <c r="H1911" s="14"/>
      <c r="I1911" s="14"/>
      <c r="J1911" s="14"/>
      <c r="K1911" s="14"/>
      <c r="L1911" s="14"/>
      <c r="M1911" s="14"/>
      <c r="N1911" s="14"/>
      <c r="O1911" s="4"/>
      <c r="P1911" s="14"/>
      <c r="Q1911" s="14"/>
    </row>
    <row r="1912" spans="1:17" x14ac:dyDescent="0.25">
      <c r="A1912" s="5"/>
      <c r="B1912" s="6"/>
      <c r="C1912" s="4"/>
      <c r="D1912" s="4"/>
      <c r="E1912" s="12"/>
      <c r="F1912" s="12"/>
      <c r="G1912" s="16"/>
      <c r="H1912" s="14"/>
      <c r="I1912" s="14"/>
      <c r="J1912" s="14"/>
      <c r="K1912" s="14"/>
      <c r="L1912" s="14"/>
      <c r="M1912" s="14"/>
      <c r="N1912" s="14"/>
      <c r="O1912" s="4"/>
      <c r="P1912" s="14"/>
      <c r="Q1912" s="14"/>
    </row>
    <row r="1913" spans="1:17" x14ac:dyDescent="0.25">
      <c r="A1913" s="5"/>
      <c r="B1913" s="6"/>
      <c r="C1913" s="4"/>
      <c r="D1913" s="4"/>
      <c r="E1913" s="12"/>
      <c r="F1913" s="12"/>
      <c r="G1913" s="16"/>
      <c r="H1913" s="14"/>
      <c r="I1913" s="14"/>
      <c r="J1913" s="14"/>
      <c r="K1913" s="14"/>
      <c r="L1913" s="14"/>
      <c r="M1913" s="14"/>
      <c r="N1913" s="14"/>
      <c r="O1913" s="4"/>
      <c r="P1913" s="14"/>
      <c r="Q1913" s="14"/>
    </row>
    <row r="1914" spans="1:17" x14ac:dyDescent="0.25">
      <c r="A1914" s="5"/>
      <c r="B1914" s="6"/>
      <c r="C1914" s="4"/>
      <c r="D1914" s="4"/>
      <c r="E1914" s="12"/>
      <c r="F1914" s="12"/>
      <c r="G1914" s="16"/>
      <c r="H1914" s="14"/>
      <c r="I1914" s="14"/>
      <c r="J1914" s="14"/>
      <c r="K1914" s="14"/>
      <c r="L1914" s="14"/>
      <c r="M1914" s="14"/>
      <c r="N1914" s="14"/>
      <c r="O1914" s="4"/>
      <c r="P1914" s="14"/>
      <c r="Q1914" s="14"/>
    </row>
    <row r="1915" spans="1:17" x14ac:dyDescent="0.25">
      <c r="A1915" s="5"/>
      <c r="B1915" s="6"/>
      <c r="C1915" s="4"/>
      <c r="D1915" s="4"/>
      <c r="E1915" s="12"/>
      <c r="F1915" s="12"/>
      <c r="G1915" s="16"/>
      <c r="H1915" s="14"/>
      <c r="I1915" s="14"/>
      <c r="J1915" s="14"/>
      <c r="K1915" s="14"/>
      <c r="L1915" s="14"/>
      <c r="M1915" s="14"/>
      <c r="N1915" s="14"/>
      <c r="O1915" s="4"/>
      <c r="P1915" s="14"/>
      <c r="Q1915" s="14"/>
    </row>
    <row r="1916" spans="1:17" x14ac:dyDescent="0.25">
      <c r="A1916" s="5"/>
      <c r="B1916" s="6"/>
      <c r="C1916" s="4"/>
      <c r="D1916" s="4"/>
      <c r="E1916" s="12"/>
      <c r="F1916" s="12"/>
      <c r="G1916" s="16"/>
      <c r="H1916" s="14"/>
      <c r="I1916" s="14"/>
      <c r="J1916" s="14"/>
      <c r="K1916" s="14"/>
      <c r="L1916" s="14"/>
      <c r="M1916" s="14"/>
      <c r="N1916" s="14"/>
      <c r="O1916" s="4"/>
      <c r="P1916" s="14"/>
      <c r="Q1916" s="14"/>
    </row>
    <row r="1917" spans="1:17" x14ac:dyDescent="0.25">
      <c r="A1917" s="5"/>
      <c r="B1917" s="6"/>
      <c r="C1917" s="4"/>
      <c r="D1917" s="4"/>
      <c r="E1917" s="12"/>
      <c r="F1917" s="12"/>
      <c r="G1917" s="16"/>
      <c r="H1917" s="14"/>
      <c r="I1917" s="14"/>
      <c r="J1917" s="14"/>
      <c r="K1917" s="14"/>
      <c r="L1917" s="14"/>
      <c r="M1917" s="14"/>
      <c r="N1917" s="14"/>
      <c r="O1917" s="4"/>
      <c r="P1917" s="14"/>
      <c r="Q1917" s="14"/>
    </row>
    <row r="1918" spans="1:17" x14ac:dyDescent="0.25">
      <c r="A1918" s="5"/>
      <c r="B1918" s="6"/>
      <c r="C1918" s="4"/>
      <c r="D1918" s="4"/>
      <c r="E1918" s="12"/>
      <c r="F1918" s="12"/>
      <c r="G1918" s="16"/>
      <c r="H1918" s="14"/>
      <c r="I1918" s="14"/>
      <c r="J1918" s="14"/>
      <c r="K1918" s="14"/>
      <c r="L1918" s="14"/>
      <c r="M1918" s="14"/>
      <c r="N1918" s="14"/>
      <c r="O1918" s="4"/>
      <c r="P1918" s="14"/>
      <c r="Q1918" s="14"/>
    </row>
    <row r="1919" spans="1:17" x14ac:dyDescent="0.25">
      <c r="A1919" s="5"/>
      <c r="B1919" s="6"/>
      <c r="C1919" s="4"/>
      <c r="D1919" s="4"/>
      <c r="E1919" s="12"/>
      <c r="F1919" s="12"/>
      <c r="G1919" s="16"/>
      <c r="H1919" s="14"/>
      <c r="I1919" s="14"/>
      <c r="J1919" s="14"/>
      <c r="K1919" s="14"/>
      <c r="L1919" s="14"/>
      <c r="M1919" s="14"/>
      <c r="N1919" s="14"/>
      <c r="O1919" s="4"/>
      <c r="P1919" s="14"/>
      <c r="Q1919" s="14"/>
    </row>
    <row r="1920" spans="1:17" x14ac:dyDescent="0.25">
      <c r="A1920" s="5"/>
      <c r="B1920" s="6"/>
      <c r="C1920" s="4"/>
      <c r="D1920" s="4"/>
      <c r="E1920" s="12"/>
      <c r="F1920" s="12"/>
      <c r="G1920" s="16"/>
      <c r="H1920" s="14"/>
      <c r="I1920" s="14"/>
      <c r="J1920" s="14"/>
      <c r="K1920" s="14"/>
      <c r="L1920" s="14"/>
      <c r="M1920" s="14"/>
      <c r="N1920" s="14"/>
      <c r="O1920" s="4"/>
      <c r="P1920" s="14"/>
      <c r="Q1920" s="14"/>
    </row>
    <row r="1921" spans="1:17" x14ac:dyDescent="0.25">
      <c r="A1921" s="5"/>
      <c r="B1921" s="6"/>
      <c r="C1921" s="4"/>
      <c r="D1921" s="4"/>
      <c r="E1921" s="12"/>
      <c r="F1921" s="12"/>
      <c r="G1921" s="16"/>
      <c r="H1921" s="14"/>
      <c r="I1921" s="14"/>
      <c r="J1921" s="14"/>
      <c r="K1921" s="14"/>
      <c r="L1921" s="14"/>
      <c r="M1921" s="14"/>
      <c r="N1921" s="14"/>
      <c r="O1921" s="4"/>
      <c r="P1921" s="14"/>
      <c r="Q1921" s="14"/>
    </row>
    <row r="1922" spans="1:17" x14ac:dyDescent="0.25">
      <c r="A1922" s="5"/>
      <c r="B1922" s="6"/>
      <c r="C1922" s="4"/>
      <c r="D1922" s="4"/>
      <c r="E1922" s="12"/>
      <c r="F1922" s="12"/>
      <c r="G1922" s="16"/>
      <c r="H1922" s="14"/>
      <c r="I1922" s="14"/>
      <c r="J1922" s="14"/>
      <c r="K1922" s="14"/>
      <c r="L1922" s="14"/>
      <c r="M1922" s="14"/>
      <c r="N1922" s="14"/>
      <c r="O1922" s="4"/>
      <c r="P1922" s="14"/>
      <c r="Q1922" s="14"/>
    </row>
    <row r="1923" spans="1:17" x14ac:dyDescent="0.25">
      <c r="A1923" s="5"/>
      <c r="B1923" s="6"/>
      <c r="C1923" s="4"/>
      <c r="D1923" s="4"/>
      <c r="E1923" s="12"/>
      <c r="F1923" s="12"/>
      <c r="G1923" s="16"/>
      <c r="H1923" s="14"/>
      <c r="I1923" s="14"/>
      <c r="J1923" s="14"/>
      <c r="K1923" s="14"/>
      <c r="L1923" s="14"/>
      <c r="M1923" s="14"/>
      <c r="N1923" s="14"/>
      <c r="O1923" s="4"/>
      <c r="P1923" s="14"/>
      <c r="Q1923" s="14"/>
    </row>
    <row r="1924" spans="1:17" x14ac:dyDescent="0.25">
      <c r="A1924" s="5"/>
      <c r="B1924" s="6"/>
      <c r="C1924" s="4"/>
      <c r="D1924" s="4"/>
      <c r="E1924" s="12"/>
      <c r="F1924" s="12"/>
      <c r="G1924" s="16"/>
      <c r="H1924" s="14"/>
      <c r="I1924" s="14"/>
      <c r="J1924" s="14"/>
      <c r="K1924" s="14"/>
      <c r="L1924" s="14"/>
      <c r="M1924" s="14"/>
      <c r="N1924" s="14"/>
      <c r="O1924" s="4"/>
      <c r="P1924" s="14"/>
      <c r="Q1924" s="14"/>
    </row>
    <row r="1925" spans="1:17" x14ac:dyDescent="0.25">
      <c r="A1925" s="5"/>
      <c r="B1925" s="6"/>
      <c r="C1925" s="4"/>
      <c r="D1925" s="4"/>
      <c r="E1925" s="12"/>
      <c r="F1925" s="12"/>
      <c r="G1925" s="16"/>
      <c r="H1925" s="14"/>
      <c r="I1925" s="14"/>
      <c r="J1925" s="14"/>
      <c r="K1925" s="14"/>
      <c r="L1925" s="14"/>
      <c r="M1925" s="14"/>
      <c r="N1925" s="14"/>
      <c r="O1925" s="4"/>
      <c r="P1925" s="14"/>
      <c r="Q1925" s="14"/>
    </row>
    <row r="1926" spans="1:17" x14ac:dyDescent="0.25">
      <c r="A1926" s="5"/>
      <c r="B1926" s="6"/>
      <c r="C1926" s="4"/>
      <c r="D1926" s="4"/>
      <c r="E1926" s="12"/>
      <c r="F1926" s="12"/>
      <c r="G1926" s="16"/>
      <c r="H1926" s="14"/>
      <c r="I1926" s="14"/>
      <c r="J1926" s="14"/>
      <c r="K1926" s="14"/>
      <c r="L1926" s="14"/>
      <c r="M1926" s="14"/>
      <c r="N1926" s="14"/>
      <c r="O1926" s="4"/>
      <c r="P1926" s="14"/>
      <c r="Q1926" s="14"/>
    </row>
    <row r="1927" spans="1:17" x14ac:dyDescent="0.25">
      <c r="A1927" s="5"/>
      <c r="B1927" s="6"/>
      <c r="C1927" s="4"/>
      <c r="D1927" s="4"/>
      <c r="E1927" s="12"/>
      <c r="F1927" s="12"/>
      <c r="G1927" s="16"/>
      <c r="H1927" s="14"/>
      <c r="I1927" s="14"/>
      <c r="J1927" s="14"/>
      <c r="K1927" s="14"/>
      <c r="L1927" s="14"/>
      <c r="M1927" s="14"/>
      <c r="N1927" s="14"/>
      <c r="O1927" s="4"/>
      <c r="P1927" s="14"/>
      <c r="Q1927" s="14"/>
    </row>
    <row r="1928" spans="1:17" x14ac:dyDescent="0.25">
      <c r="A1928" s="5"/>
      <c r="B1928" s="6"/>
      <c r="C1928" s="4"/>
      <c r="D1928" s="4"/>
      <c r="E1928" s="12"/>
      <c r="F1928" s="12"/>
      <c r="G1928" s="16"/>
      <c r="H1928" s="14"/>
      <c r="I1928" s="14"/>
      <c r="J1928" s="14"/>
      <c r="K1928" s="14"/>
      <c r="L1928" s="14"/>
      <c r="M1928" s="14"/>
      <c r="N1928" s="14"/>
      <c r="O1928" s="4"/>
      <c r="P1928" s="14"/>
      <c r="Q1928" s="14"/>
    </row>
    <row r="1929" spans="1:17" x14ac:dyDescent="0.25">
      <c r="A1929" s="5"/>
      <c r="B1929" s="6"/>
      <c r="C1929" s="4"/>
      <c r="D1929" s="4"/>
      <c r="E1929" s="12"/>
      <c r="F1929" s="12"/>
      <c r="G1929" s="16"/>
      <c r="H1929" s="14"/>
      <c r="I1929" s="14"/>
      <c r="J1929" s="14"/>
      <c r="K1929" s="14"/>
      <c r="L1929" s="14"/>
      <c r="M1929" s="14"/>
      <c r="N1929" s="14"/>
      <c r="O1929" s="4"/>
      <c r="P1929" s="14"/>
      <c r="Q1929" s="14"/>
    </row>
    <row r="1930" spans="1:17" x14ac:dyDescent="0.25">
      <c r="A1930" s="5"/>
      <c r="B1930" s="6"/>
      <c r="C1930" s="4"/>
      <c r="D1930" s="4"/>
      <c r="E1930" s="12"/>
      <c r="F1930" s="12"/>
      <c r="G1930" s="16"/>
      <c r="H1930" s="14"/>
      <c r="I1930" s="14"/>
      <c r="J1930" s="14"/>
      <c r="K1930" s="14"/>
      <c r="L1930" s="14"/>
      <c r="M1930" s="14"/>
      <c r="N1930" s="14"/>
      <c r="O1930" s="4"/>
      <c r="P1930" s="14"/>
      <c r="Q1930" s="14"/>
    </row>
    <row r="1931" spans="1:17" x14ac:dyDescent="0.25">
      <c r="A1931" s="5"/>
      <c r="B1931" s="6"/>
      <c r="C1931" s="4"/>
      <c r="D1931" s="4"/>
      <c r="E1931" s="12"/>
      <c r="F1931" s="12"/>
      <c r="G1931" s="16"/>
      <c r="H1931" s="14"/>
      <c r="I1931" s="14"/>
      <c r="J1931" s="14"/>
      <c r="K1931" s="14"/>
      <c r="L1931" s="14"/>
      <c r="M1931" s="14"/>
      <c r="N1931" s="14"/>
      <c r="O1931" s="4"/>
      <c r="P1931" s="14"/>
      <c r="Q1931" s="14"/>
    </row>
    <row r="1932" spans="1:17" x14ac:dyDescent="0.25">
      <c r="A1932" s="5"/>
      <c r="B1932" s="6"/>
      <c r="C1932" s="4"/>
      <c r="D1932" s="4"/>
      <c r="E1932" s="12"/>
      <c r="F1932" s="12"/>
      <c r="G1932" s="16"/>
      <c r="H1932" s="14"/>
      <c r="I1932" s="14"/>
      <c r="J1932" s="14"/>
      <c r="K1932" s="14"/>
      <c r="L1932" s="14"/>
      <c r="M1932" s="14"/>
      <c r="N1932" s="14"/>
      <c r="O1932" s="4"/>
      <c r="P1932" s="14"/>
      <c r="Q1932" s="14"/>
    </row>
    <row r="1933" spans="1:17" x14ac:dyDescent="0.25">
      <c r="A1933" s="5"/>
      <c r="B1933" s="6"/>
      <c r="C1933" s="4"/>
      <c r="D1933" s="4"/>
      <c r="E1933" s="12"/>
      <c r="F1933" s="12"/>
      <c r="G1933" s="16"/>
      <c r="H1933" s="14"/>
      <c r="I1933" s="14"/>
      <c r="J1933" s="14"/>
      <c r="K1933" s="14"/>
      <c r="L1933" s="14"/>
      <c r="M1933" s="14"/>
      <c r="N1933" s="14"/>
      <c r="O1933" s="4"/>
      <c r="P1933" s="14"/>
      <c r="Q1933" s="14"/>
    </row>
    <row r="1934" spans="1:17" x14ac:dyDescent="0.25">
      <c r="A1934" s="5"/>
      <c r="B1934" s="6"/>
      <c r="C1934" s="4"/>
      <c r="D1934" s="4"/>
      <c r="E1934" s="12"/>
      <c r="F1934" s="12"/>
      <c r="G1934" s="16"/>
      <c r="H1934" s="14"/>
      <c r="I1934" s="14"/>
      <c r="J1934" s="14"/>
      <c r="K1934" s="14"/>
      <c r="L1934" s="14"/>
      <c r="M1934" s="14"/>
      <c r="N1934" s="14"/>
      <c r="O1934" s="4"/>
      <c r="P1934" s="14"/>
      <c r="Q1934" s="14"/>
    </row>
    <row r="1935" spans="1:17" x14ac:dyDescent="0.25">
      <c r="A1935" s="5"/>
      <c r="B1935" s="6"/>
      <c r="C1935" s="4"/>
      <c r="D1935" s="4"/>
      <c r="E1935" s="12"/>
      <c r="F1935" s="12"/>
      <c r="G1935" s="16"/>
      <c r="H1935" s="14"/>
      <c r="I1935" s="14"/>
      <c r="J1935" s="14"/>
      <c r="K1935" s="14"/>
      <c r="L1935" s="14"/>
      <c r="M1935" s="14"/>
      <c r="N1935" s="14"/>
      <c r="O1935" s="4"/>
      <c r="P1935" s="14"/>
      <c r="Q1935" s="14"/>
    </row>
    <row r="1936" spans="1:17" x14ac:dyDescent="0.25">
      <c r="A1936" s="5"/>
      <c r="B1936" s="6"/>
      <c r="C1936" s="4"/>
      <c r="D1936" s="4"/>
      <c r="E1936" s="12"/>
      <c r="F1936" s="12"/>
      <c r="G1936" s="16"/>
      <c r="H1936" s="14"/>
      <c r="I1936" s="14"/>
      <c r="J1936" s="14"/>
      <c r="K1936" s="14"/>
      <c r="L1936" s="14"/>
      <c r="M1936" s="14"/>
      <c r="N1936" s="14"/>
      <c r="O1936" s="4"/>
      <c r="P1936" s="14"/>
      <c r="Q1936" s="14"/>
    </row>
    <row r="1937" spans="1:17" x14ac:dyDescent="0.25">
      <c r="A1937" s="5"/>
      <c r="B1937" s="6"/>
      <c r="C1937" s="4"/>
      <c r="D1937" s="4"/>
      <c r="E1937" s="12"/>
      <c r="F1937" s="12"/>
      <c r="G1937" s="16"/>
      <c r="H1937" s="14"/>
      <c r="I1937" s="14"/>
      <c r="J1937" s="14"/>
      <c r="K1937" s="14"/>
      <c r="L1937" s="14"/>
      <c r="M1937" s="14"/>
      <c r="N1937" s="14"/>
      <c r="O1937" s="4"/>
      <c r="P1937" s="14"/>
      <c r="Q1937" s="14"/>
    </row>
    <row r="1938" spans="1:17" x14ac:dyDescent="0.25">
      <c r="A1938" s="5"/>
      <c r="B1938" s="6"/>
      <c r="C1938" s="4"/>
      <c r="D1938" s="4"/>
      <c r="E1938" s="12"/>
      <c r="F1938" s="12"/>
      <c r="G1938" s="16"/>
      <c r="H1938" s="14"/>
      <c r="I1938" s="14"/>
      <c r="J1938" s="14"/>
      <c r="K1938" s="14"/>
      <c r="L1938" s="14"/>
      <c r="M1938" s="14"/>
      <c r="N1938" s="14"/>
      <c r="O1938" s="4"/>
      <c r="P1938" s="14"/>
      <c r="Q1938" s="14"/>
    </row>
    <row r="1939" spans="1:17" x14ac:dyDescent="0.25">
      <c r="A1939" s="5"/>
      <c r="B1939" s="6"/>
      <c r="C1939" s="4"/>
      <c r="D1939" s="4"/>
      <c r="E1939" s="12"/>
      <c r="F1939" s="12"/>
      <c r="G1939" s="16"/>
      <c r="H1939" s="14"/>
      <c r="I1939" s="14"/>
      <c r="J1939" s="14"/>
      <c r="K1939" s="14"/>
      <c r="L1939" s="14"/>
      <c r="M1939" s="14"/>
      <c r="N1939" s="14"/>
      <c r="O1939" s="4"/>
      <c r="P1939" s="14"/>
      <c r="Q1939" s="14"/>
    </row>
    <row r="1940" spans="1:17" x14ac:dyDescent="0.25">
      <c r="A1940" s="5"/>
      <c r="B1940" s="6"/>
      <c r="C1940" s="4"/>
      <c r="D1940" s="4"/>
      <c r="E1940" s="12"/>
      <c r="F1940" s="12"/>
      <c r="G1940" s="16"/>
      <c r="H1940" s="14"/>
      <c r="I1940" s="14"/>
      <c r="J1940" s="14"/>
      <c r="K1940" s="14"/>
      <c r="L1940" s="14"/>
      <c r="M1940" s="14"/>
      <c r="N1940" s="14"/>
      <c r="O1940" s="4"/>
      <c r="P1940" s="14"/>
      <c r="Q1940" s="14"/>
    </row>
    <row r="1941" spans="1:17" x14ac:dyDescent="0.25">
      <c r="A1941" s="5"/>
      <c r="B1941" s="6"/>
      <c r="C1941" s="4"/>
      <c r="D1941" s="4"/>
      <c r="E1941" s="12"/>
      <c r="F1941" s="12"/>
      <c r="G1941" s="16"/>
      <c r="H1941" s="14"/>
      <c r="I1941" s="14"/>
      <c r="J1941" s="14"/>
      <c r="K1941" s="14"/>
      <c r="L1941" s="14"/>
      <c r="M1941" s="14"/>
      <c r="N1941" s="14"/>
      <c r="O1941" s="4"/>
      <c r="P1941" s="14"/>
      <c r="Q1941" s="14"/>
    </row>
    <row r="1942" spans="1:17" x14ac:dyDescent="0.25">
      <c r="A1942" s="5"/>
      <c r="B1942" s="6"/>
      <c r="C1942" s="4"/>
      <c r="D1942" s="4"/>
      <c r="E1942" s="12"/>
      <c r="F1942" s="12"/>
      <c r="G1942" s="16"/>
      <c r="H1942" s="14"/>
      <c r="I1942" s="14"/>
      <c r="J1942" s="14"/>
      <c r="K1942" s="14"/>
      <c r="L1942" s="14"/>
      <c r="M1942" s="14"/>
      <c r="N1942" s="14"/>
      <c r="O1942" s="4"/>
      <c r="P1942" s="14"/>
      <c r="Q1942" s="14"/>
    </row>
    <row r="1943" spans="1:17" x14ac:dyDescent="0.25">
      <c r="A1943" s="5"/>
      <c r="B1943" s="6"/>
      <c r="C1943" s="4"/>
      <c r="D1943" s="4"/>
      <c r="E1943" s="12"/>
      <c r="F1943" s="12"/>
      <c r="G1943" s="16"/>
      <c r="H1943" s="14"/>
      <c r="I1943" s="14"/>
      <c r="J1943" s="14"/>
      <c r="K1943" s="14"/>
      <c r="L1943" s="14"/>
      <c r="M1943" s="14"/>
      <c r="N1943" s="14"/>
      <c r="O1943" s="4"/>
      <c r="P1943" s="14"/>
      <c r="Q1943" s="14"/>
    </row>
    <row r="1944" spans="1:17" x14ac:dyDescent="0.25">
      <c r="A1944" s="5"/>
      <c r="B1944" s="6"/>
      <c r="C1944" s="4"/>
      <c r="D1944" s="4"/>
      <c r="E1944" s="12"/>
      <c r="F1944" s="12"/>
      <c r="G1944" s="16"/>
      <c r="H1944" s="14"/>
      <c r="I1944" s="14"/>
      <c r="J1944" s="14"/>
      <c r="K1944" s="14"/>
      <c r="L1944" s="14"/>
      <c r="M1944" s="14"/>
      <c r="N1944" s="14"/>
      <c r="O1944" s="4"/>
      <c r="P1944" s="14"/>
      <c r="Q1944" s="14"/>
    </row>
    <row r="1945" spans="1:17" x14ac:dyDescent="0.25">
      <c r="A1945" s="5"/>
      <c r="B1945" s="6"/>
      <c r="C1945" s="4"/>
      <c r="D1945" s="4"/>
      <c r="E1945" s="12"/>
      <c r="F1945" s="12"/>
      <c r="G1945" s="16"/>
      <c r="H1945" s="14"/>
      <c r="I1945" s="14"/>
      <c r="J1945" s="14"/>
      <c r="K1945" s="14"/>
      <c r="L1945" s="14"/>
      <c r="M1945" s="14"/>
      <c r="N1945" s="14"/>
      <c r="O1945" s="4"/>
      <c r="P1945" s="14"/>
      <c r="Q1945" s="14"/>
    </row>
    <row r="1946" spans="1:17" x14ac:dyDescent="0.25">
      <c r="A1946" s="5"/>
      <c r="B1946" s="6"/>
      <c r="C1946" s="4"/>
      <c r="D1946" s="4"/>
      <c r="E1946" s="12"/>
      <c r="F1946" s="12"/>
      <c r="G1946" s="16"/>
      <c r="H1946" s="14"/>
      <c r="I1946" s="14"/>
      <c r="J1946" s="14"/>
      <c r="K1946" s="14"/>
      <c r="L1946" s="14"/>
      <c r="M1946" s="14"/>
      <c r="N1946" s="14"/>
      <c r="O1946" s="4"/>
      <c r="P1946" s="14"/>
      <c r="Q1946" s="14"/>
    </row>
    <row r="1947" spans="1:17" x14ac:dyDescent="0.25">
      <c r="A1947" s="5"/>
      <c r="B1947" s="6"/>
      <c r="C1947" s="4"/>
      <c r="D1947" s="4"/>
      <c r="E1947" s="12"/>
      <c r="F1947" s="12"/>
      <c r="G1947" s="16"/>
      <c r="H1947" s="14"/>
      <c r="I1947" s="14"/>
      <c r="J1947" s="14"/>
      <c r="K1947" s="14"/>
      <c r="L1947" s="14"/>
      <c r="M1947" s="14"/>
      <c r="N1947" s="14"/>
      <c r="O1947" s="4"/>
      <c r="P1947" s="14"/>
      <c r="Q1947" s="14"/>
    </row>
    <row r="1948" spans="1:17" x14ac:dyDescent="0.25">
      <c r="A1948" s="5"/>
      <c r="B1948" s="6"/>
      <c r="C1948" s="4"/>
      <c r="D1948" s="4"/>
      <c r="E1948" s="12"/>
      <c r="F1948" s="12"/>
      <c r="G1948" s="16"/>
      <c r="H1948" s="14"/>
      <c r="I1948" s="14"/>
      <c r="J1948" s="14"/>
      <c r="K1948" s="14"/>
      <c r="L1948" s="14"/>
      <c r="M1948" s="14"/>
      <c r="N1948" s="14"/>
      <c r="O1948" s="4"/>
      <c r="P1948" s="14"/>
      <c r="Q1948" s="14"/>
    </row>
    <row r="1949" spans="1:17" x14ac:dyDescent="0.25">
      <c r="A1949" s="5"/>
      <c r="B1949" s="6"/>
      <c r="C1949" s="4"/>
      <c r="D1949" s="4"/>
      <c r="E1949" s="12"/>
      <c r="F1949" s="12"/>
      <c r="G1949" s="16"/>
      <c r="H1949" s="14"/>
      <c r="I1949" s="14"/>
      <c r="J1949" s="14"/>
      <c r="K1949" s="14"/>
      <c r="L1949" s="14"/>
      <c r="M1949" s="14"/>
      <c r="N1949" s="14"/>
      <c r="O1949" s="4"/>
      <c r="P1949" s="14"/>
      <c r="Q1949" s="14"/>
    </row>
    <row r="1950" spans="1:17" x14ac:dyDescent="0.25">
      <c r="A1950" s="5"/>
      <c r="B1950" s="6"/>
      <c r="C1950" s="4"/>
      <c r="D1950" s="4"/>
      <c r="E1950" s="12"/>
      <c r="F1950" s="12"/>
      <c r="G1950" s="16"/>
      <c r="H1950" s="14"/>
      <c r="I1950" s="14"/>
      <c r="J1950" s="14"/>
      <c r="K1950" s="14"/>
      <c r="L1950" s="14"/>
      <c r="M1950" s="14"/>
      <c r="N1950" s="14"/>
      <c r="O1950" s="4"/>
      <c r="P1950" s="14"/>
      <c r="Q1950" s="14"/>
    </row>
    <row r="1951" spans="1:17" x14ac:dyDescent="0.25">
      <c r="A1951" s="5"/>
      <c r="B1951" s="6"/>
      <c r="C1951" s="4"/>
      <c r="D1951" s="4"/>
      <c r="E1951" s="12"/>
      <c r="F1951" s="12"/>
      <c r="G1951" s="16"/>
      <c r="H1951" s="14"/>
      <c r="I1951" s="14"/>
      <c r="J1951" s="14"/>
      <c r="K1951" s="14"/>
      <c r="L1951" s="14"/>
      <c r="M1951" s="14"/>
      <c r="N1951" s="14"/>
      <c r="O1951" s="4"/>
      <c r="P1951" s="14"/>
      <c r="Q1951" s="14"/>
    </row>
    <row r="1952" spans="1:17" x14ac:dyDescent="0.25">
      <c r="A1952" s="5"/>
      <c r="B1952" s="6"/>
      <c r="C1952" s="4"/>
      <c r="D1952" s="4"/>
      <c r="E1952" s="12"/>
      <c r="F1952" s="12"/>
      <c r="G1952" s="16"/>
      <c r="H1952" s="14"/>
      <c r="I1952" s="14"/>
      <c r="J1952" s="14"/>
      <c r="K1952" s="14"/>
      <c r="L1952" s="14"/>
      <c r="M1952" s="14"/>
      <c r="N1952" s="14"/>
      <c r="O1952" s="4"/>
      <c r="P1952" s="14"/>
      <c r="Q1952" s="14"/>
    </row>
    <row r="1953" spans="1:17" x14ac:dyDescent="0.25">
      <c r="A1953" s="5"/>
      <c r="B1953" s="6"/>
      <c r="C1953" s="4"/>
      <c r="D1953" s="4"/>
      <c r="E1953" s="12"/>
      <c r="F1953" s="12"/>
      <c r="G1953" s="16"/>
      <c r="H1953" s="14"/>
      <c r="I1953" s="14"/>
      <c r="J1953" s="14"/>
      <c r="K1953" s="14"/>
      <c r="L1953" s="14"/>
      <c r="M1953" s="14"/>
      <c r="N1953" s="14"/>
      <c r="O1953" s="4"/>
      <c r="P1953" s="14"/>
      <c r="Q1953" s="14"/>
    </row>
    <row r="1954" spans="1:17" x14ac:dyDescent="0.25">
      <c r="A1954" s="5"/>
      <c r="B1954" s="6"/>
      <c r="C1954" s="4"/>
      <c r="D1954" s="4"/>
      <c r="E1954" s="12"/>
      <c r="F1954" s="12"/>
      <c r="G1954" s="16"/>
      <c r="H1954" s="14"/>
      <c r="I1954" s="14"/>
      <c r="J1954" s="14"/>
      <c r="K1954" s="14"/>
      <c r="L1954" s="14"/>
      <c r="M1954" s="14"/>
      <c r="N1954" s="14"/>
      <c r="O1954" s="4"/>
      <c r="P1954" s="14"/>
      <c r="Q1954" s="14"/>
    </row>
    <row r="1955" spans="1:17" x14ac:dyDescent="0.25">
      <c r="A1955" s="5"/>
      <c r="B1955" s="6"/>
      <c r="C1955" s="4"/>
      <c r="D1955" s="4"/>
      <c r="E1955" s="12"/>
      <c r="F1955" s="12"/>
      <c r="G1955" s="16"/>
      <c r="H1955" s="14"/>
      <c r="I1955" s="14"/>
      <c r="J1955" s="14"/>
      <c r="K1955" s="14"/>
      <c r="L1955" s="14"/>
      <c r="M1955" s="14"/>
      <c r="N1955" s="14"/>
      <c r="O1955" s="4"/>
      <c r="P1955" s="14"/>
      <c r="Q1955" s="14"/>
    </row>
    <row r="1956" spans="1:17" x14ac:dyDescent="0.25">
      <c r="A1956" s="5"/>
      <c r="B1956" s="6"/>
      <c r="C1956" s="4"/>
      <c r="D1956" s="4"/>
      <c r="E1956" s="12"/>
      <c r="F1956" s="12"/>
      <c r="G1956" s="16"/>
      <c r="H1956" s="14"/>
      <c r="I1956" s="14"/>
      <c r="J1956" s="14"/>
      <c r="K1956" s="14"/>
      <c r="L1956" s="14"/>
      <c r="M1956" s="14"/>
      <c r="N1956" s="14"/>
      <c r="O1956" s="4"/>
      <c r="P1956" s="14"/>
      <c r="Q1956" s="14"/>
    </row>
    <row r="1957" spans="1:17" x14ac:dyDescent="0.25">
      <c r="A1957" s="5"/>
      <c r="B1957" s="6"/>
      <c r="C1957" s="4"/>
      <c r="D1957" s="4"/>
      <c r="E1957" s="12"/>
      <c r="F1957" s="12"/>
      <c r="G1957" s="16"/>
      <c r="H1957" s="14"/>
      <c r="I1957" s="14"/>
      <c r="J1957" s="14"/>
      <c r="K1957" s="14"/>
      <c r="L1957" s="14"/>
      <c r="M1957" s="14"/>
      <c r="N1957" s="14"/>
      <c r="O1957" s="4"/>
      <c r="P1957" s="14"/>
      <c r="Q1957" s="14"/>
    </row>
    <row r="1958" spans="1:17" x14ac:dyDescent="0.25">
      <c r="A1958" s="5"/>
      <c r="B1958" s="6"/>
      <c r="C1958" s="4"/>
      <c r="D1958" s="4"/>
      <c r="E1958" s="12"/>
      <c r="F1958" s="12"/>
      <c r="G1958" s="16"/>
      <c r="H1958" s="14"/>
      <c r="I1958" s="14"/>
      <c r="J1958" s="14"/>
      <c r="K1958" s="14"/>
      <c r="L1958" s="14"/>
      <c r="M1958" s="14"/>
      <c r="N1958" s="14"/>
      <c r="O1958" s="4"/>
      <c r="P1958" s="14"/>
      <c r="Q1958" s="14"/>
    </row>
    <row r="1959" spans="1:17" x14ac:dyDescent="0.25">
      <c r="A1959" s="5"/>
      <c r="B1959" s="6"/>
      <c r="C1959" s="4"/>
      <c r="D1959" s="4"/>
      <c r="E1959" s="12"/>
      <c r="F1959" s="12"/>
      <c r="G1959" s="16"/>
      <c r="H1959" s="14"/>
      <c r="I1959" s="14"/>
      <c r="J1959" s="14"/>
      <c r="K1959" s="14"/>
      <c r="L1959" s="14"/>
      <c r="M1959" s="14"/>
      <c r="N1959" s="14"/>
      <c r="O1959" s="4"/>
      <c r="P1959" s="14"/>
      <c r="Q1959" s="14"/>
    </row>
    <row r="1960" spans="1:17" x14ac:dyDescent="0.25">
      <c r="A1960" s="5"/>
      <c r="B1960" s="6"/>
      <c r="C1960" s="4"/>
      <c r="D1960" s="4"/>
      <c r="E1960" s="12"/>
      <c r="F1960" s="12"/>
      <c r="G1960" s="16"/>
      <c r="H1960" s="14"/>
      <c r="I1960" s="14"/>
      <c r="J1960" s="14"/>
      <c r="K1960" s="14"/>
      <c r="L1960" s="14"/>
      <c r="M1960" s="14"/>
      <c r="N1960" s="14"/>
      <c r="O1960" s="4"/>
      <c r="P1960" s="14"/>
      <c r="Q1960" s="14"/>
    </row>
    <row r="1961" spans="1:17" x14ac:dyDescent="0.25">
      <c r="A1961" s="5"/>
      <c r="B1961" s="6"/>
      <c r="C1961" s="4"/>
      <c r="D1961" s="4"/>
      <c r="E1961" s="12"/>
      <c r="F1961" s="12"/>
      <c r="G1961" s="16"/>
      <c r="H1961" s="14"/>
      <c r="I1961" s="14"/>
      <c r="J1961" s="14"/>
      <c r="K1961" s="14"/>
      <c r="L1961" s="14"/>
      <c r="M1961" s="14"/>
      <c r="N1961" s="14"/>
      <c r="O1961" s="4"/>
      <c r="P1961" s="14"/>
      <c r="Q1961" s="14"/>
    </row>
    <row r="1962" spans="1:17" x14ac:dyDescent="0.25">
      <c r="A1962" s="5"/>
      <c r="B1962" s="6"/>
      <c r="C1962" s="4"/>
      <c r="D1962" s="4"/>
      <c r="E1962" s="12"/>
      <c r="F1962" s="12"/>
      <c r="G1962" s="16"/>
      <c r="H1962" s="14"/>
      <c r="I1962" s="14"/>
      <c r="J1962" s="14"/>
      <c r="K1962" s="14"/>
      <c r="L1962" s="14"/>
      <c r="M1962" s="14"/>
      <c r="N1962" s="14"/>
      <c r="O1962" s="4"/>
      <c r="P1962" s="14"/>
      <c r="Q1962" s="14"/>
    </row>
    <row r="1963" spans="1:17" x14ac:dyDescent="0.25">
      <c r="A1963" s="5"/>
      <c r="B1963" s="6"/>
      <c r="C1963" s="4"/>
      <c r="D1963" s="4"/>
      <c r="E1963" s="12"/>
      <c r="F1963" s="12"/>
      <c r="G1963" s="16"/>
      <c r="H1963" s="14"/>
      <c r="I1963" s="14"/>
      <c r="J1963" s="14"/>
      <c r="K1963" s="14"/>
      <c r="L1963" s="14"/>
      <c r="M1963" s="14"/>
      <c r="N1963" s="14"/>
      <c r="O1963" s="4"/>
      <c r="P1963" s="14"/>
      <c r="Q1963" s="14"/>
    </row>
    <row r="1964" spans="1:17" x14ac:dyDescent="0.25">
      <c r="A1964" s="5"/>
      <c r="B1964" s="6"/>
      <c r="C1964" s="4"/>
      <c r="D1964" s="4"/>
      <c r="E1964" s="12"/>
      <c r="F1964" s="12"/>
      <c r="G1964" s="16"/>
      <c r="H1964" s="14"/>
      <c r="I1964" s="14"/>
      <c r="J1964" s="14"/>
      <c r="K1964" s="14"/>
      <c r="L1964" s="14"/>
      <c r="M1964" s="14"/>
      <c r="N1964" s="14"/>
      <c r="O1964" s="4"/>
      <c r="P1964" s="14"/>
      <c r="Q1964" s="14"/>
    </row>
    <row r="1965" spans="1:17" x14ac:dyDescent="0.25">
      <c r="A1965" s="5"/>
      <c r="B1965" s="6"/>
      <c r="C1965" s="4"/>
      <c r="D1965" s="4"/>
      <c r="E1965" s="12"/>
      <c r="F1965" s="12"/>
      <c r="G1965" s="16"/>
      <c r="H1965" s="14"/>
      <c r="I1965" s="14"/>
      <c r="J1965" s="14"/>
      <c r="K1965" s="14"/>
      <c r="L1965" s="14"/>
      <c r="M1965" s="14"/>
      <c r="N1965" s="14"/>
      <c r="O1965" s="4"/>
      <c r="P1965" s="14"/>
      <c r="Q1965" s="14"/>
    </row>
    <row r="1966" spans="1:17" x14ac:dyDescent="0.25">
      <c r="A1966" s="5"/>
      <c r="B1966" s="6"/>
      <c r="C1966" s="4"/>
      <c r="D1966" s="4"/>
      <c r="E1966" s="12"/>
      <c r="F1966" s="12"/>
      <c r="G1966" s="16"/>
      <c r="H1966" s="14"/>
      <c r="I1966" s="14"/>
      <c r="J1966" s="14"/>
      <c r="K1966" s="14"/>
      <c r="L1966" s="14"/>
      <c r="M1966" s="14"/>
      <c r="N1966" s="14"/>
      <c r="O1966" s="4"/>
      <c r="P1966" s="14"/>
      <c r="Q1966" s="14"/>
    </row>
    <row r="1967" spans="1:17" x14ac:dyDescent="0.25">
      <c r="A1967" s="5"/>
      <c r="B1967" s="6"/>
      <c r="C1967" s="4"/>
      <c r="D1967" s="4"/>
      <c r="E1967" s="12"/>
      <c r="F1967" s="12"/>
      <c r="G1967" s="16"/>
      <c r="H1967" s="14"/>
      <c r="I1967" s="14"/>
      <c r="J1967" s="14"/>
      <c r="K1967" s="14"/>
      <c r="L1967" s="14"/>
      <c r="M1967" s="14"/>
      <c r="N1967" s="14"/>
      <c r="O1967" s="4"/>
      <c r="P1967" s="14"/>
      <c r="Q1967" s="14"/>
    </row>
    <row r="1968" spans="1:17" x14ac:dyDescent="0.25">
      <c r="A1968" s="5"/>
      <c r="B1968" s="6"/>
      <c r="C1968" s="4"/>
      <c r="D1968" s="4"/>
      <c r="E1968" s="12"/>
      <c r="F1968" s="12"/>
      <c r="G1968" s="16"/>
      <c r="H1968" s="14"/>
      <c r="I1968" s="14"/>
      <c r="J1968" s="14"/>
      <c r="K1968" s="14"/>
      <c r="L1968" s="14"/>
      <c r="M1968" s="14"/>
      <c r="N1968" s="14"/>
      <c r="O1968" s="4"/>
      <c r="P1968" s="14"/>
      <c r="Q1968" s="14"/>
    </row>
    <row r="1969" spans="1:17" x14ac:dyDescent="0.25">
      <c r="A1969" s="5"/>
      <c r="B1969" s="6"/>
      <c r="C1969" s="4"/>
      <c r="D1969" s="4"/>
      <c r="E1969" s="12"/>
      <c r="F1969" s="12"/>
      <c r="G1969" s="16"/>
      <c r="H1969" s="14"/>
      <c r="I1969" s="14"/>
      <c r="J1969" s="14"/>
      <c r="K1969" s="14"/>
      <c r="L1969" s="14"/>
      <c r="M1969" s="14"/>
      <c r="N1969" s="14"/>
      <c r="O1969" s="4"/>
      <c r="P1969" s="14"/>
      <c r="Q1969" s="14"/>
    </row>
    <row r="1970" spans="1:17" x14ac:dyDescent="0.25">
      <c r="A1970" s="5"/>
      <c r="B1970" s="6"/>
      <c r="C1970" s="4"/>
      <c r="D1970" s="4"/>
      <c r="E1970" s="12"/>
      <c r="F1970" s="12"/>
      <c r="G1970" s="16"/>
      <c r="H1970" s="14"/>
      <c r="I1970" s="14"/>
      <c r="J1970" s="14"/>
      <c r="K1970" s="14"/>
      <c r="L1970" s="14"/>
      <c r="M1970" s="14"/>
      <c r="N1970" s="14"/>
      <c r="O1970" s="4"/>
      <c r="P1970" s="14"/>
      <c r="Q1970" s="14"/>
    </row>
    <row r="1971" spans="1:17" x14ac:dyDescent="0.25">
      <c r="A1971" s="5"/>
      <c r="B1971" s="6"/>
      <c r="C1971" s="4"/>
      <c r="D1971" s="4"/>
      <c r="E1971" s="12"/>
      <c r="F1971" s="12"/>
      <c r="G1971" s="16"/>
      <c r="H1971" s="14"/>
      <c r="I1971" s="14"/>
      <c r="J1971" s="14"/>
      <c r="K1971" s="14"/>
      <c r="L1971" s="14"/>
      <c r="M1971" s="14"/>
      <c r="N1971" s="14"/>
      <c r="O1971" s="4"/>
      <c r="P1971" s="14"/>
      <c r="Q1971" s="14"/>
    </row>
    <row r="1972" spans="1:17" x14ac:dyDescent="0.25">
      <c r="A1972" s="5"/>
      <c r="B1972" s="6"/>
      <c r="C1972" s="4"/>
      <c r="D1972" s="4"/>
      <c r="E1972" s="12"/>
      <c r="F1972" s="12"/>
      <c r="G1972" s="16"/>
      <c r="H1972" s="14"/>
      <c r="I1972" s="14"/>
      <c r="J1972" s="14"/>
      <c r="K1972" s="14"/>
      <c r="L1972" s="14"/>
      <c r="M1972" s="14"/>
      <c r="N1972" s="14"/>
      <c r="O1972" s="4"/>
      <c r="P1972" s="14"/>
      <c r="Q1972" s="14"/>
    </row>
    <row r="1973" spans="1:17" x14ac:dyDescent="0.25">
      <c r="A1973" s="5"/>
      <c r="B1973" s="6"/>
      <c r="C1973" s="4"/>
      <c r="D1973" s="4"/>
      <c r="E1973" s="12"/>
      <c r="F1973" s="12"/>
      <c r="G1973" s="16"/>
      <c r="H1973" s="14"/>
      <c r="I1973" s="14"/>
      <c r="J1973" s="14"/>
      <c r="K1973" s="14"/>
      <c r="L1973" s="14"/>
      <c r="M1973" s="14"/>
      <c r="N1973" s="14"/>
      <c r="O1973" s="4"/>
      <c r="P1973" s="14"/>
      <c r="Q1973" s="14"/>
    </row>
    <row r="1974" spans="1:17" x14ac:dyDescent="0.25">
      <c r="A1974" s="5"/>
      <c r="B1974" s="6"/>
      <c r="C1974" s="4"/>
      <c r="D1974" s="4"/>
      <c r="E1974" s="12"/>
      <c r="F1974" s="12"/>
      <c r="G1974" s="16"/>
      <c r="H1974" s="14"/>
      <c r="I1974" s="14"/>
      <c r="J1974" s="14"/>
      <c r="K1974" s="14"/>
      <c r="L1974" s="14"/>
      <c r="M1974" s="14"/>
      <c r="N1974" s="14"/>
      <c r="O1974" s="4"/>
      <c r="P1974" s="14"/>
      <c r="Q1974" s="14"/>
    </row>
    <row r="1975" spans="1:17" x14ac:dyDescent="0.25">
      <c r="A1975" s="5"/>
      <c r="B1975" s="6"/>
      <c r="C1975" s="4"/>
      <c r="D1975" s="4"/>
      <c r="E1975" s="12"/>
      <c r="F1975" s="12"/>
      <c r="G1975" s="16"/>
      <c r="H1975" s="14"/>
      <c r="I1975" s="14"/>
      <c r="J1975" s="14"/>
      <c r="K1975" s="14"/>
      <c r="L1975" s="14"/>
      <c r="M1975" s="14"/>
      <c r="N1975" s="14"/>
      <c r="O1975" s="4"/>
      <c r="P1975" s="14"/>
      <c r="Q1975" s="14"/>
    </row>
    <row r="1976" spans="1:17" x14ac:dyDescent="0.25">
      <c r="A1976" s="5"/>
      <c r="B1976" s="6"/>
      <c r="C1976" s="4"/>
      <c r="D1976" s="4"/>
      <c r="E1976" s="12"/>
      <c r="F1976" s="12"/>
      <c r="G1976" s="16"/>
      <c r="H1976" s="14"/>
      <c r="I1976" s="14"/>
      <c r="J1976" s="14"/>
      <c r="K1976" s="14"/>
      <c r="L1976" s="14"/>
      <c r="M1976" s="14"/>
      <c r="N1976" s="14"/>
      <c r="O1976" s="4"/>
      <c r="P1976" s="14"/>
      <c r="Q1976" s="14"/>
    </row>
    <row r="1977" spans="1:17" x14ac:dyDescent="0.25">
      <c r="A1977" s="5"/>
      <c r="B1977" s="6"/>
      <c r="C1977" s="4"/>
      <c r="D1977" s="4"/>
      <c r="E1977" s="12"/>
      <c r="F1977" s="12"/>
      <c r="G1977" s="16"/>
      <c r="H1977" s="14"/>
      <c r="I1977" s="14"/>
      <c r="J1977" s="14"/>
      <c r="K1977" s="14"/>
      <c r="L1977" s="14"/>
      <c r="M1977" s="14"/>
      <c r="N1977" s="14"/>
      <c r="O1977" s="4"/>
      <c r="P1977" s="14"/>
      <c r="Q1977" s="14"/>
    </row>
    <row r="1978" spans="1:17" x14ac:dyDescent="0.25">
      <c r="A1978" s="5"/>
      <c r="B1978" s="6"/>
      <c r="C1978" s="4"/>
      <c r="D1978" s="4"/>
      <c r="E1978" s="12"/>
      <c r="F1978" s="12"/>
      <c r="G1978" s="16"/>
      <c r="H1978" s="14"/>
      <c r="I1978" s="14"/>
      <c r="J1978" s="14"/>
      <c r="K1978" s="14"/>
      <c r="L1978" s="14"/>
      <c r="M1978" s="14"/>
      <c r="N1978" s="14"/>
      <c r="O1978" s="4"/>
      <c r="P1978" s="14"/>
      <c r="Q1978" s="14"/>
    </row>
    <row r="1979" spans="1:17" x14ac:dyDescent="0.25">
      <c r="A1979" s="5"/>
      <c r="B1979" s="6"/>
      <c r="C1979" s="4"/>
      <c r="D1979" s="4"/>
      <c r="E1979" s="12"/>
      <c r="F1979" s="12"/>
      <c r="G1979" s="16"/>
      <c r="H1979" s="14"/>
      <c r="I1979" s="14"/>
      <c r="J1979" s="14"/>
      <c r="K1979" s="14"/>
      <c r="L1979" s="14"/>
      <c r="M1979" s="14"/>
      <c r="N1979" s="14"/>
      <c r="O1979" s="4"/>
      <c r="P1979" s="14"/>
      <c r="Q1979" s="14"/>
    </row>
    <row r="1980" spans="1:17" x14ac:dyDescent="0.25">
      <c r="A1980" s="5"/>
      <c r="B1980" s="6"/>
      <c r="C1980" s="4"/>
      <c r="D1980" s="4"/>
      <c r="E1980" s="12"/>
      <c r="F1980" s="12"/>
      <c r="G1980" s="16"/>
      <c r="H1980" s="14"/>
      <c r="I1980" s="14"/>
      <c r="J1980" s="14"/>
      <c r="K1980" s="14"/>
      <c r="L1980" s="14"/>
      <c r="M1980" s="14"/>
      <c r="N1980" s="14"/>
      <c r="O1980" s="4"/>
      <c r="P1980" s="14"/>
      <c r="Q1980" s="14"/>
    </row>
    <row r="1981" spans="1:17" x14ac:dyDescent="0.25">
      <c r="A1981" s="5"/>
      <c r="B1981" s="6"/>
      <c r="C1981" s="4"/>
      <c r="D1981" s="4"/>
      <c r="E1981" s="12"/>
      <c r="F1981" s="12"/>
      <c r="G1981" s="16"/>
      <c r="H1981" s="14"/>
      <c r="I1981" s="14"/>
      <c r="J1981" s="14"/>
      <c r="K1981" s="14"/>
      <c r="L1981" s="14"/>
      <c r="M1981" s="14"/>
      <c r="N1981" s="14"/>
      <c r="O1981" s="4"/>
      <c r="P1981" s="14"/>
      <c r="Q1981" s="14"/>
    </row>
    <row r="1982" spans="1:17" x14ac:dyDescent="0.25">
      <c r="A1982" s="5"/>
      <c r="B1982" s="6"/>
      <c r="C1982" s="4"/>
      <c r="D1982" s="4"/>
      <c r="E1982" s="12"/>
      <c r="F1982" s="12"/>
      <c r="G1982" s="16"/>
      <c r="H1982" s="14"/>
      <c r="I1982" s="14"/>
      <c r="J1982" s="14"/>
      <c r="K1982" s="14"/>
      <c r="L1982" s="14"/>
      <c r="M1982" s="14"/>
      <c r="N1982" s="14"/>
      <c r="O1982" s="4"/>
      <c r="P1982" s="14"/>
      <c r="Q1982" s="14"/>
    </row>
    <row r="1983" spans="1:17" x14ac:dyDescent="0.25">
      <c r="A1983" s="5"/>
      <c r="B1983" s="6"/>
      <c r="C1983" s="4"/>
      <c r="D1983" s="4"/>
      <c r="E1983" s="12"/>
      <c r="F1983" s="12"/>
      <c r="G1983" s="16"/>
      <c r="H1983" s="14"/>
      <c r="I1983" s="14"/>
      <c r="J1983" s="14"/>
      <c r="K1983" s="14"/>
      <c r="L1983" s="14"/>
      <c r="M1983" s="14"/>
      <c r="N1983" s="14"/>
      <c r="O1983" s="4"/>
      <c r="P1983" s="14"/>
      <c r="Q1983" s="14"/>
    </row>
    <row r="1984" spans="1:17" x14ac:dyDescent="0.25">
      <c r="A1984" s="5"/>
      <c r="B1984" s="6"/>
      <c r="C1984" s="4"/>
      <c r="D1984" s="4"/>
      <c r="E1984" s="12"/>
      <c r="F1984" s="12"/>
      <c r="G1984" s="16"/>
      <c r="H1984" s="14"/>
      <c r="I1984" s="14"/>
      <c r="J1984" s="14"/>
      <c r="K1984" s="14"/>
      <c r="L1984" s="14"/>
      <c r="M1984" s="14"/>
      <c r="N1984" s="14"/>
      <c r="O1984" s="4"/>
      <c r="P1984" s="14"/>
      <c r="Q1984" s="14"/>
    </row>
    <row r="1985" spans="1:17" x14ac:dyDescent="0.25">
      <c r="A1985" s="5"/>
      <c r="B1985" s="6"/>
      <c r="C1985" s="4"/>
      <c r="D1985" s="4"/>
      <c r="E1985" s="12"/>
      <c r="F1985" s="12"/>
      <c r="G1985" s="16"/>
      <c r="H1985" s="14"/>
      <c r="I1985" s="14"/>
      <c r="J1985" s="14"/>
      <c r="K1985" s="14"/>
      <c r="L1985" s="14"/>
      <c r="M1985" s="14"/>
      <c r="N1985" s="14"/>
      <c r="O1985" s="4"/>
      <c r="P1985" s="14"/>
      <c r="Q1985" s="14"/>
    </row>
    <row r="1986" spans="1:17" x14ac:dyDescent="0.25">
      <c r="A1986" s="5"/>
      <c r="B1986" s="6"/>
      <c r="C1986" s="4"/>
      <c r="D1986" s="4"/>
      <c r="E1986" s="12"/>
      <c r="F1986" s="12"/>
      <c r="G1986" s="16"/>
      <c r="H1986" s="14"/>
      <c r="I1986" s="14"/>
      <c r="J1986" s="14"/>
      <c r="K1986" s="14"/>
      <c r="L1986" s="14"/>
      <c r="M1986" s="14"/>
      <c r="N1986" s="14"/>
      <c r="O1986" s="4"/>
      <c r="P1986" s="14"/>
      <c r="Q1986" s="14"/>
    </row>
    <row r="1987" spans="1:17" x14ac:dyDescent="0.25">
      <c r="A1987" s="5"/>
      <c r="B1987" s="6"/>
      <c r="C1987" s="4"/>
      <c r="D1987" s="4"/>
      <c r="E1987" s="12"/>
      <c r="F1987" s="12"/>
      <c r="G1987" s="16"/>
      <c r="H1987" s="14"/>
      <c r="I1987" s="14"/>
      <c r="J1987" s="14"/>
      <c r="K1987" s="14"/>
      <c r="L1987" s="14"/>
      <c r="M1987" s="14"/>
      <c r="N1987" s="14"/>
      <c r="O1987" s="4"/>
      <c r="P1987" s="14"/>
      <c r="Q1987" s="14"/>
    </row>
    <row r="1988" spans="1:17" x14ac:dyDescent="0.25">
      <c r="A1988" s="5"/>
      <c r="B1988" s="6"/>
      <c r="C1988" s="4"/>
      <c r="D1988" s="4"/>
      <c r="E1988" s="12"/>
      <c r="F1988" s="12"/>
      <c r="G1988" s="16"/>
      <c r="H1988" s="14"/>
      <c r="I1988" s="14"/>
      <c r="J1988" s="14"/>
      <c r="K1988" s="14"/>
      <c r="L1988" s="14"/>
      <c r="M1988" s="14"/>
      <c r="N1988" s="14"/>
      <c r="O1988" s="4"/>
      <c r="P1988" s="14"/>
      <c r="Q1988" s="14"/>
    </row>
    <row r="1989" spans="1:17" x14ac:dyDescent="0.25">
      <c r="A1989" s="5"/>
      <c r="B1989" s="6"/>
      <c r="C1989" s="4"/>
      <c r="D1989" s="4"/>
      <c r="E1989" s="12"/>
      <c r="F1989" s="12"/>
      <c r="G1989" s="16"/>
      <c r="H1989" s="14"/>
      <c r="I1989" s="14"/>
      <c r="J1989" s="14"/>
      <c r="K1989" s="14"/>
      <c r="L1989" s="14"/>
      <c r="M1989" s="14"/>
      <c r="N1989" s="14"/>
      <c r="O1989" s="4"/>
      <c r="P1989" s="14"/>
      <c r="Q1989" s="14"/>
    </row>
    <row r="1990" spans="1:17" x14ac:dyDescent="0.25">
      <c r="A1990" s="5"/>
      <c r="B1990" s="6"/>
      <c r="C1990" s="4"/>
      <c r="D1990" s="4"/>
      <c r="E1990" s="12"/>
      <c r="F1990" s="12"/>
      <c r="G1990" s="16"/>
      <c r="H1990" s="14"/>
      <c r="I1990" s="14"/>
      <c r="J1990" s="14"/>
      <c r="K1990" s="14"/>
      <c r="L1990" s="14"/>
      <c r="M1990" s="14"/>
      <c r="N1990" s="14"/>
      <c r="O1990" s="4"/>
      <c r="P1990" s="14"/>
      <c r="Q1990" s="14"/>
    </row>
    <row r="1991" spans="1:17" x14ac:dyDescent="0.25">
      <c r="A1991" s="5"/>
      <c r="B1991" s="6"/>
      <c r="C1991" s="4"/>
      <c r="D1991" s="4"/>
      <c r="E1991" s="12"/>
      <c r="F1991" s="12"/>
      <c r="G1991" s="16"/>
      <c r="H1991" s="14"/>
      <c r="I1991" s="14"/>
      <c r="J1991" s="14"/>
      <c r="K1991" s="14"/>
      <c r="L1991" s="14"/>
      <c r="M1991" s="14"/>
      <c r="N1991" s="14"/>
      <c r="O1991" s="4"/>
      <c r="P1991" s="14"/>
      <c r="Q1991" s="14"/>
    </row>
    <row r="1992" spans="1:17" x14ac:dyDescent="0.25">
      <c r="A1992" s="5"/>
      <c r="B1992" s="6"/>
      <c r="C1992" s="4"/>
      <c r="D1992" s="4"/>
      <c r="E1992" s="12"/>
      <c r="F1992" s="12"/>
      <c r="G1992" s="16"/>
      <c r="H1992" s="14"/>
      <c r="I1992" s="14"/>
      <c r="J1992" s="14"/>
      <c r="K1992" s="14"/>
      <c r="L1992" s="14"/>
      <c r="M1992" s="14"/>
      <c r="N1992" s="14"/>
      <c r="O1992" s="4"/>
      <c r="P1992" s="14"/>
      <c r="Q1992" s="14"/>
    </row>
    <row r="1993" spans="1:17" x14ac:dyDescent="0.25">
      <c r="A1993" s="5"/>
      <c r="B1993" s="6"/>
      <c r="C1993" s="4"/>
      <c r="D1993" s="4"/>
      <c r="E1993" s="12"/>
      <c r="F1993" s="12"/>
      <c r="G1993" s="16"/>
      <c r="H1993" s="14"/>
      <c r="I1993" s="14"/>
      <c r="J1993" s="14"/>
      <c r="K1993" s="14"/>
      <c r="L1993" s="14"/>
      <c r="M1993" s="14"/>
      <c r="N1993" s="14"/>
      <c r="O1993" s="4"/>
      <c r="P1993" s="14"/>
      <c r="Q1993" s="14"/>
    </row>
    <row r="1994" spans="1:17" x14ac:dyDescent="0.25">
      <c r="A1994" s="5"/>
      <c r="B1994" s="6"/>
      <c r="C1994" s="4"/>
      <c r="D1994" s="4"/>
      <c r="E1994" s="12"/>
      <c r="F1994" s="12"/>
      <c r="G1994" s="16"/>
      <c r="H1994" s="14"/>
      <c r="I1994" s="14"/>
      <c r="J1994" s="14"/>
      <c r="K1994" s="14"/>
      <c r="L1994" s="14"/>
      <c r="M1994" s="14"/>
      <c r="N1994" s="14"/>
      <c r="O1994" s="4"/>
      <c r="P1994" s="14"/>
      <c r="Q1994" s="14"/>
    </row>
    <row r="1995" spans="1:17" x14ac:dyDescent="0.25">
      <c r="A1995" s="5"/>
      <c r="B1995" s="6"/>
      <c r="C1995" s="4"/>
      <c r="D1995" s="4"/>
      <c r="E1995" s="12"/>
      <c r="F1995" s="12"/>
      <c r="G1995" s="16"/>
      <c r="H1995" s="14"/>
      <c r="I1995" s="14"/>
      <c r="J1995" s="14"/>
      <c r="K1995" s="14"/>
      <c r="L1995" s="14"/>
      <c r="M1995" s="14"/>
      <c r="N1995" s="14"/>
      <c r="O1995" s="4"/>
      <c r="P1995" s="14"/>
      <c r="Q1995" s="14"/>
    </row>
    <row r="1996" spans="1:17" x14ac:dyDescent="0.25">
      <c r="A1996" s="5"/>
      <c r="B1996" s="6"/>
      <c r="C1996" s="4"/>
      <c r="D1996" s="4"/>
      <c r="E1996" s="12"/>
      <c r="F1996" s="12"/>
      <c r="G1996" s="16"/>
      <c r="H1996" s="14"/>
      <c r="I1996" s="14"/>
      <c r="J1996" s="14"/>
      <c r="K1996" s="14"/>
      <c r="L1996" s="14"/>
      <c r="M1996" s="14"/>
      <c r="N1996" s="14"/>
      <c r="O1996" s="4"/>
      <c r="P1996" s="14"/>
      <c r="Q1996" s="14"/>
    </row>
    <row r="1997" spans="1:17" x14ac:dyDescent="0.25">
      <c r="A1997" s="5"/>
      <c r="B1997" s="6"/>
      <c r="C1997" s="4"/>
      <c r="D1997" s="4"/>
      <c r="E1997" s="12"/>
      <c r="F1997" s="12"/>
      <c r="G1997" s="16"/>
      <c r="H1997" s="14"/>
      <c r="I1997" s="14"/>
      <c r="J1997" s="14"/>
      <c r="K1997" s="14"/>
      <c r="L1997" s="14"/>
      <c r="M1997" s="14"/>
      <c r="N1997" s="14"/>
      <c r="O1997" s="4"/>
      <c r="P1997" s="14"/>
      <c r="Q1997" s="14"/>
    </row>
    <row r="1998" spans="1:17" x14ac:dyDescent="0.25">
      <c r="A1998" s="5"/>
      <c r="B1998" s="6"/>
      <c r="C1998" s="4"/>
      <c r="D1998" s="4"/>
      <c r="E1998" s="12"/>
      <c r="F1998" s="12"/>
      <c r="G1998" s="16"/>
      <c r="H1998" s="14"/>
      <c r="I1998" s="14"/>
      <c r="J1998" s="14"/>
      <c r="K1998" s="14"/>
      <c r="L1998" s="14"/>
      <c r="M1998" s="14"/>
      <c r="N1998" s="14"/>
      <c r="O1998" s="4"/>
      <c r="P1998" s="14"/>
      <c r="Q1998" s="14"/>
    </row>
    <row r="1999" spans="1:17" x14ac:dyDescent="0.25">
      <c r="A1999" s="5"/>
      <c r="B1999" s="6"/>
      <c r="C1999" s="4"/>
      <c r="D1999" s="4"/>
      <c r="E1999" s="12"/>
      <c r="F1999" s="12"/>
      <c r="G1999" s="16"/>
      <c r="H1999" s="14"/>
      <c r="I1999" s="14"/>
      <c r="J1999" s="14"/>
      <c r="K1999" s="14"/>
      <c r="L1999" s="14"/>
      <c r="M1999" s="14"/>
      <c r="N1999" s="14"/>
      <c r="O1999" s="4"/>
      <c r="P1999" s="14"/>
      <c r="Q1999" s="14"/>
    </row>
    <row r="2000" spans="1:17" x14ac:dyDescent="0.25">
      <c r="A2000" s="5"/>
      <c r="B2000" s="6"/>
      <c r="C2000" s="4"/>
      <c r="D2000" s="4"/>
      <c r="E2000" s="12"/>
      <c r="F2000" s="12"/>
      <c r="G2000" s="16"/>
      <c r="H2000" s="14"/>
      <c r="I2000" s="14"/>
      <c r="J2000" s="14"/>
      <c r="K2000" s="14"/>
      <c r="L2000" s="14"/>
      <c r="M2000" s="14"/>
      <c r="N2000" s="14"/>
      <c r="O2000" s="4"/>
      <c r="P2000" s="14"/>
      <c r="Q2000" s="14"/>
    </row>
    <row r="2001" spans="1:17" x14ac:dyDescent="0.25">
      <c r="A2001" s="5"/>
      <c r="B2001" s="6"/>
      <c r="C2001" s="4"/>
      <c r="D2001" s="4"/>
      <c r="E2001" s="12"/>
      <c r="F2001" s="12"/>
      <c r="G2001" s="16"/>
      <c r="H2001" s="14"/>
      <c r="I2001" s="14"/>
      <c r="J2001" s="14"/>
      <c r="K2001" s="14"/>
      <c r="L2001" s="14"/>
      <c r="M2001" s="14"/>
      <c r="N2001" s="14"/>
      <c r="O2001" s="4"/>
      <c r="P2001" s="14"/>
      <c r="Q2001" s="14"/>
    </row>
    <row r="2002" spans="1:17" x14ac:dyDescent="0.25">
      <c r="A2002" s="5"/>
      <c r="B2002" s="6"/>
      <c r="C2002" s="4"/>
      <c r="D2002" s="4"/>
      <c r="E2002" s="12"/>
      <c r="F2002" s="12"/>
      <c r="G2002" s="16"/>
      <c r="H2002" s="14"/>
      <c r="I2002" s="14"/>
      <c r="J2002" s="14"/>
      <c r="K2002" s="14"/>
      <c r="L2002" s="14"/>
      <c r="M2002" s="14"/>
      <c r="N2002" s="14"/>
      <c r="O2002" s="4"/>
      <c r="P2002" s="14"/>
      <c r="Q2002" s="14"/>
    </row>
    <row r="2003" spans="1:17" x14ac:dyDescent="0.25">
      <c r="A2003" s="5"/>
      <c r="B2003" s="6"/>
      <c r="C2003" s="4"/>
      <c r="D2003" s="4"/>
      <c r="E2003" s="12"/>
      <c r="F2003" s="12"/>
      <c r="G2003" s="16"/>
      <c r="H2003" s="14"/>
      <c r="I2003" s="14"/>
      <c r="J2003" s="14"/>
      <c r="K2003" s="14"/>
      <c r="L2003" s="14"/>
      <c r="M2003" s="14"/>
      <c r="N2003" s="14"/>
      <c r="O2003" s="4"/>
      <c r="P2003" s="14"/>
      <c r="Q2003" s="14"/>
    </row>
    <row r="2004" spans="1:17" x14ac:dyDescent="0.25">
      <c r="A2004" s="5"/>
      <c r="B2004" s="6"/>
      <c r="C2004" s="4"/>
      <c r="D2004" s="4"/>
      <c r="E2004" s="12"/>
      <c r="F2004" s="12"/>
      <c r="G2004" s="16"/>
      <c r="H2004" s="14"/>
      <c r="I2004" s="14"/>
      <c r="J2004" s="14"/>
      <c r="K2004" s="14"/>
      <c r="L2004" s="14"/>
      <c r="M2004" s="14"/>
      <c r="N2004" s="14"/>
      <c r="O2004" s="4"/>
      <c r="P2004" s="14"/>
      <c r="Q2004" s="14"/>
    </row>
    <row r="2005" spans="1:17" x14ac:dyDescent="0.25">
      <c r="A2005" s="5"/>
      <c r="B2005" s="6"/>
      <c r="C2005" s="4"/>
      <c r="D2005" s="4"/>
      <c r="E2005" s="12"/>
      <c r="F2005" s="12"/>
      <c r="G2005" s="16"/>
      <c r="H2005" s="14"/>
      <c r="I2005" s="14"/>
      <c r="J2005" s="14"/>
      <c r="K2005" s="14"/>
      <c r="L2005" s="14"/>
      <c r="M2005" s="14"/>
      <c r="N2005" s="14"/>
      <c r="O2005" s="4"/>
      <c r="P2005" s="14"/>
      <c r="Q2005" s="14"/>
    </row>
    <row r="2006" spans="1:17" x14ac:dyDescent="0.25">
      <c r="A2006" s="5"/>
      <c r="B2006" s="6"/>
      <c r="C2006" s="4"/>
      <c r="D2006" s="4"/>
      <c r="E2006" s="12"/>
      <c r="F2006" s="12"/>
      <c r="G2006" s="16"/>
      <c r="H2006" s="14"/>
      <c r="I2006" s="14"/>
      <c r="J2006" s="14"/>
      <c r="K2006" s="14"/>
      <c r="L2006" s="14"/>
      <c r="M2006" s="14"/>
      <c r="N2006" s="14"/>
      <c r="O2006" s="4"/>
      <c r="P2006" s="14"/>
      <c r="Q2006" s="14"/>
    </row>
    <row r="2007" spans="1:17" x14ac:dyDescent="0.25">
      <c r="A2007" s="5"/>
      <c r="B2007" s="6"/>
      <c r="C2007" s="4"/>
      <c r="D2007" s="4"/>
      <c r="E2007" s="12"/>
      <c r="F2007" s="12"/>
      <c r="G2007" s="16"/>
      <c r="H2007" s="14"/>
      <c r="I2007" s="14"/>
      <c r="J2007" s="14"/>
      <c r="K2007" s="14"/>
      <c r="L2007" s="14"/>
      <c r="M2007" s="14"/>
      <c r="N2007" s="14"/>
      <c r="O2007" s="4"/>
      <c r="P2007" s="14"/>
      <c r="Q2007" s="14"/>
    </row>
    <row r="2008" spans="1:17" x14ac:dyDescent="0.25">
      <c r="A2008" s="5"/>
      <c r="B2008" s="6"/>
      <c r="C2008" s="4"/>
      <c r="D2008" s="4"/>
      <c r="E2008" s="12"/>
      <c r="F2008" s="12"/>
      <c r="G2008" s="16"/>
      <c r="H2008" s="14"/>
      <c r="I2008" s="14"/>
      <c r="J2008" s="14"/>
      <c r="K2008" s="14"/>
      <c r="L2008" s="14"/>
      <c r="M2008" s="14"/>
      <c r="N2008" s="14"/>
      <c r="O2008" s="4"/>
      <c r="P2008" s="14"/>
      <c r="Q2008" s="14"/>
    </row>
    <row r="2009" spans="1:17" x14ac:dyDescent="0.25">
      <c r="A2009" s="5"/>
      <c r="B2009" s="6"/>
      <c r="C2009" s="4"/>
      <c r="D2009" s="4"/>
      <c r="E2009" s="12"/>
      <c r="F2009" s="12"/>
      <c r="G2009" s="16"/>
      <c r="H2009" s="14"/>
      <c r="I2009" s="14"/>
      <c r="J2009" s="14"/>
      <c r="K2009" s="14"/>
      <c r="L2009" s="14"/>
      <c r="M2009" s="14"/>
      <c r="N2009" s="14"/>
      <c r="O2009" s="4"/>
      <c r="P2009" s="14"/>
      <c r="Q2009" s="14"/>
    </row>
    <row r="2010" spans="1:17" x14ac:dyDescent="0.25">
      <c r="A2010" s="5"/>
      <c r="B2010" s="6"/>
      <c r="C2010" s="4"/>
      <c r="D2010" s="4"/>
      <c r="E2010" s="12"/>
      <c r="F2010" s="12"/>
      <c r="G2010" s="16"/>
      <c r="H2010" s="14"/>
      <c r="I2010" s="14"/>
      <c r="J2010" s="14"/>
      <c r="K2010" s="14"/>
      <c r="L2010" s="14"/>
      <c r="M2010" s="14"/>
      <c r="N2010" s="14"/>
      <c r="O2010" s="4"/>
      <c r="P2010" s="14"/>
      <c r="Q2010" s="14"/>
    </row>
    <row r="2011" spans="1:17" x14ac:dyDescent="0.25">
      <c r="A2011" s="5"/>
      <c r="B2011" s="6"/>
      <c r="C2011" s="4"/>
      <c r="D2011" s="4"/>
      <c r="E2011" s="12"/>
      <c r="F2011" s="12"/>
      <c r="G2011" s="16"/>
      <c r="H2011" s="14"/>
      <c r="I2011" s="14"/>
      <c r="J2011" s="14"/>
      <c r="K2011" s="14"/>
      <c r="L2011" s="14"/>
      <c r="M2011" s="14"/>
      <c r="N2011" s="14"/>
      <c r="O2011" s="4"/>
      <c r="P2011" s="14"/>
      <c r="Q2011" s="14"/>
    </row>
    <row r="2012" spans="1:17" x14ac:dyDescent="0.25">
      <c r="A2012" s="5"/>
      <c r="B2012" s="6"/>
      <c r="C2012" s="4"/>
      <c r="D2012" s="4"/>
      <c r="E2012" s="12"/>
      <c r="F2012" s="12"/>
      <c r="G2012" s="16"/>
      <c r="H2012" s="14"/>
      <c r="I2012" s="14"/>
      <c r="J2012" s="14"/>
      <c r="K2012" s="14"/>
      <c r="L2012" s="14"/>
      <c r="M2012" s="14"/>
      <c r="N2012" s="14"/>
      <c r="O2012" s="4"/>
      <c r="P2012" s="14"/>
      <c r="Q2012" s="14"/>
    </row>
    <row r="2013" spans="1:17" x14ac:dyDescent="0.25">
      <c r="A2013" s="5"/>
      <c r="B2013" s="6"/>
      <c r="C2013" s="4"/>
      <c r="D2013" s="4"/>
      <c r="E2013" s="12"/>
      <c r="F2013" s="12"/>
      <c r="G2013" s="16"/>
      <c r="H2013" s="14"/>
      <c r="I2013" s="14"/>
      <c r="J2013" s="14"/>
      <c r="K2013" s="14"/>
      <c r="L2013" s="14"/>
      <c r="M2013" s="14"/>
      <c r="N2013" s="14"/>
      <c r="O2013" s="4"/>
      <c r="P2013" s="14"/>
      <c r="Q2013" s="14"/>
    </row>
    <row r="2014" spans="1:17" x14ac:dyDescent="0.25">
      <c r="A2014" s="5"/>
      <c r="B2014" s="6"/>
      <c r="C2014" s="4"/>
      <c r="D2014" s="4"/>
      <c r="E2014" s="12"/>
      <c r="F2014" s="12"/>
      <c r="G2014" s="16"/>
      <c r="H2014" s="14"/>
      <c r="I2014" s="14"/>
      <c r="J2014" s="14"/>
      <c r="K2014" s="14"/>
      <c r="L2014" s="14"/>
      <c r="M2014" s="14"/>
      <c r="N2014" s="14"/>
      <c r="O2014" s="4"/>
      <c r="P2014" s="14"/>
      <c r="Q2014" s="14"/>
    </row>
    <row r="2015" spans="1:17" x14ac:dyDescent="0.25">
      <c r="A2015" s="5"/>
      <c r="B2015" s="6"/>
      <c r="C2015" s="4"/>
      <c r="D2015" s="4"/>
      <c r="E2015" s="12"/>
      <c r="F2015" s="12"/>
      <c r="G2015" s="16"/>
      <c r="H2015" s="14"/>
      <c r="I2015" s="14"/>
      <c r="J2015" s="14"/>
      <c r="K2015" s="14"/>
      <c r="L2015" s="14"/>
      <c r="M2015" s="14"/>
      <c r="N2015" s="14"/>
      <c r="O2015" s="4"/>
      <c r="P2015" s="14"/>
      <c r="Q2015" s="14"/>
    </row>
    <row r="2016" spans="1:17" x14ac:dyDescent="0.25">
      <c r="A2016" s="5"/>
      <c r="B2016" s="6"/>
      <c r="C2016" s="4"/>
      <c r="D2016" s="4"/>
      <c r="E2016" s="12"/>
      <c r="F2016" s="12"/>
      <c r="G2016" s="16"/>
      <c r="H2016" s="14"/>
      <c r="I2016" s="14"/>
      <c r="J2016" s="14"/>
      <c r="K2016" s="14"/>
      <c r="L2016" s="14"/>
      <c r="M2016" s="14"/>
      <c r="N2016" s="14"/>
      <c r="O2016" s="4"/>
      <c r="P2016" s="14"/>
      <c r="Q2016" s="14"/>
    </row>
    <row r="2017" spans="1:17" x14ac:dyDescent="0.25">
      <c r="A2017" s="5"/>
      <c r="B2017" s="6"/>
      <c r="C2017" s="4"/>
      <c r="D2017" s="4"/>
      <c r="E2017" s="12"/>
      <c r="F2017" s="12"/>
      <c r="G2017" s="16"/>
      <c r="H2017" s="14"/>
      <c r="I2017" s="14"/>
      <c r="J2017" s="14"/>
      <c r="K2017" s="14"/>
      <c r="L2017" s="14"/>
      <c r="M2017" s="14"/>
      <c r="N2017" s="14"/>
      <c r="O2017" s="4"/>
      <c r="P2017" s="14"/>
      <c r="Q2017" s="14"/>
    </row>
    <row r="2018" spans="1:17" x14ac:dyDescent="0.25">
      <c r="A2018" s="5"/>
      <c r="B2018" s="6"/>
      <c r="C2018" s="4"/>
      <c r="D2018" s="4"/>
      <c r="E2018" s="12"/>
      <c r="F2018" s="12"/>
      <c r="G2018" s="16"/>
      <c r="H2018" s="14"/>
      <c r="I2018" s="14"/>
      <c r="J2018" s="14"/>
      <c r="K2018" s="14"/>
      <c r="L2018" s="14"/>
      <c r="M2018" s="14"/>
      <c r="N2018" s="14"/>
      <c r="O2018" s="4"/>
      <c r="P2018" s="14"/>
      <c r="Q2018" s="14"/>
    </row>
    <row r="2019" spans="1:17" x14ac:dyDescent="0.25">
      <c r="A2019" s="5"/>
      <c r="B2019" s="6"/>
      <c r="C2019" s="4"/>
      <c r="D2019" s="4"/>
      <c r="E2019" s="12"/>
      <c r="F2019" s="12"/>
      <c r="G2019" s="16"/>
      <c r="H2019" s="14"/>
      <c r="I2019" s="14"/>
      <c r="J2019" s="14"/>
      <c r="K2019" s="14"/>
      <c r="L2019" s="14"/>
      <c r="M2019" s="14"/>
      <c r="N2019" s="14"/>
      <c r="O2019" s="4"/>
      <c r="P2019" s="14"/>
      <c r="Q2019" s="14"/>
    </row>
    <row r="2020" spans="1:17" x14ac:dyDescent="0.25">
      <c r="A2020" s="5"/>
      <c r="B2020" s="6"/>
      <c r="C2020" s="4"/>
      <c r="D2020" s="4"/>
      <c r="E2020" s="12"/>
      <c r="F2020" s="12"/>
      <c r="G2020" s="16"/>
      <c r="H2020" s="14"/>
      <c r="I2020" s="14"/>
      <c r="J2020" s="14"/>
      <c r="K2020" s="14"/>
      <c r="L2020" s="14"/>
      <c r="M2020" s="14"/>
      <c r="N2020" s="14"/>
      <c r="O2020" s="4"/>
      <c r="P2020" s="14"/>
      <c r="Q2020" s="14"/>
    </row>
    <row r="2021" spans="1:17" x14ac:dyDescent="0.25">
      <c r="A2021" s="5"/>
      <c r="B2021" s="6"/>
      <c r="C2021" s="4"/>
      <c r="D2021" s="4"/>
      <c r="E2021" s="12"/>
      <c r="F2021" s="12"/>
      <c r="G2021" s="16"/>
      <c r="H2021" s="14"/>
      <c r="I2021" s="14"/>
      <c r="J2021" s="14"/>
      <c r="K2021" s="14"/>
      <c r="L2021" s="14"/>
      <c r="M2021" s="14"/>
      <c r="N2021" s="14"/>
      <c r="O2021" s="4"/>
      <c r="P2021" s="14"/>
      <c r="Q2021" s="14"/>
    </row>
    <row r="2022" spans="1:17" x14ac:dyDescent="0.25">
      <c r="A2022" s="5"/>
      <c r="B2022" s="6"/>
      <c r="C2022" s="4"/>
      <c r="D2022" s="4"/>
      <c r="E2022" s="12"/>
      <c r="F2022" s="12"/>
      <c r="G2022" s="16"/>
      <c r="H2022" s="14"/>
      <c r="I2022" s="14"/>
      <c r="J2022" s="14"/>
      <c r="K2022" s="14"/>
      <c r="L2022" s="14"/>
      <c r="M2022" s="14"/>
      <c r="N2022" s="14"/>
      <c r="O2022" s="4"/>
      <c r="P2022" s="14"/>
      <c r="Q2022" s="14"/>
    </row>
    <row r="2023" spans="1:17" x14ac:dyDescent="0.25">
      <c r="A2023" s="5"/>
      <c r="B2023" s="6"/>
      <c r="C2023" s="4"/>
      <c r="D2023" s="4"/>
      <c r="E2023" s="12"/>
      <c r="F2023" s="12"/>
      <c r="G2023" s="16"/>
      <c r="H2023" s="14"/>
      <c r="I2023" s="14"/>
      <c r="J2023" s="14"/>
      <c r="K2023" s="14"/>
      <c r="L2023" s="14"/>
      <c r="M2023" s="14"/>
      <c r="N2023" s="14"/>
      <c r="O2023" s="4"/>
      <c r="P2023" s="14"/>
      <c r="Q2023" s="14"/>
    </row>
    <row r="2024" spans="1:17" x14ac:dyDescent="0.25">
      <c r="A2024" s="5"/>
      <c r="B2024" s="6"/>
      <c r="C2024" s="4"/>
      <c r="D2024" s="4"/>
      <c r="E2024" s="12"/>
      <c r="F2024" s="12"/>
      <c r="G2024" s="16"/>
      <c r="H2024" s="14"/>
      <c r="I2024" s="14"/>
      <c r="J2024" s="14"/>
      <c r="K2024" s="14"/>
      <c r="L2024" s="14"/>
      <c r="M2024" s="14"/>
      <c r="N2024" s="14"/>
      <c r="O2024" s="4"/>
      <c r="P2024" s="14"/>
      <c r="Q2024" s="14"/>
    </row>
    <row r="2025" spans="1:17" x14ac:dyDescent="0.25">
      <c r="A2025" s="5"/>
      <c r="B2025" s="6"/>
      <c r="C2025" s="4"/>
      <c r="D2025" s="4"/>
      <c r="E2025" s="12"/>
      <c r="F2025" s="12"/>
      <c r="G2025" s="16"/>
      <c r="H2025" s="14"/>
      <c r="I2025" s="14"/>
      <c r="J2025" s="14"/>
      <c r="K2025" s="14"/>
      <c r="L2025" s="14"/>
      <c r="M2025" s="14"/>
      <c r="N2025" s="14"/>
      <c r="O2025" s="4"/>
      <c r="P2025" s="14"/>
      <c r="Q2025" s="14"/>
    </row>
    <row r="2026" spans="1:17" x14ac:dyDescent="0.25">
      <c r="A2026" s="5"/>
      <c r="B2026" s="6"/>
      <c r="C2026" s="4"/>
      <c r="D2026" s="4"/>
      <c r="E2026" s="12"/>
      <c r="F2026" s="12"/>
      <c r="G2026" s="16"/>
      <c r="H2026" s="14"/>
      <c r="I2026" s="14"/>
      <c r="J2026" s="14"/>
      <c r="K2026" s="14"/>
      <c r="L2026" s="14"/>
      <c r="M2026" s="14"/>
      <c r="N2026" s="14"/>
      <c r="O2026" s="4"/>
      <c r="P2026" s="14"/>
      <c r="Q2026" s="14"/>
    </row>
    <row r="2027" spans="1:17" x14ac:dyDescent="0.25">
      <c r="A2027" s="5"/>
      <c r="B2027" s="6"/>
      <c r="C2027" s="4"/>
      <c r="D2027" s="4"/>
      <c r="E2027" s="12"/>
      <c r="F2027" s="12"/>
      <c r="G2027" s="16"/>
      <c r="H2027" s="14"/>
      <c r="I2027" s="14"/>
      <c r="J2027" s="14"/>
      <c r="K2027" s="14"/>
      <c r="L2027" s="14"/>
      <c r="M2027" s="14"/>
      <c r="N2027" s="14"/>
      <c r="O2027" s="4"/>
      <c r="P2027" s="14"/>
      <c r="Q2027" s="14"/>
    </row>
    <row r="2028" spans="1:17" x14ac:dyDescent="0.25">
      <c r="A2028" s="5"/>
      <c r="B2028" s="6"/>
      <c r="C2028" s="4"/>
      <c r="D2028" s="4"/>
      <c r="E2028" s="12"/>
      <c r="F2028" s="12"/>
      <c r="G2028" s="16"/>
      <c r="H2028" s="14"/>
      <c r="I2028" s="14"/>
      <c r="J2028" s="14"/>
      <c r="K2028" s="14"/>
      <c r="L2028" s="14"/>
      <c r="M2028" s="14"/>
      <c r="N2028" s="14"/>
      <c r="O2028" s="4"/>
      <c r="P2028" s="14"/>
      <c r="Q2028" s="14"/>
    </row>
    <row r="2029" spans="1:17" x14ac:dyDescent="0.25">
      <c r="A2029" s="5"/>
      <c r="B2029" s="6"/>
      <c r="C2029" s="4"/>
      <c r="D2029" s="4"/>
      <c r="E2029" s="12"/>
      <c r="F2029" s="12"/>
      <c r="G2029" s="16"/>
      <c r="H2029" s="14"/>
      <c r="I2029" s="14"/>
      <c r="J2029" s="14"/>
      <c r="K2029" s="14"/>
      <c r="L2029" s="14"/>
      <c r="M2029" s="14"/>
      <c r="N2029" s="14"/>
      <c r="O2029" s="4"/>
      <c r="P2029" s="14"/>
      <c r="Q2029" s="14"/>
    </row>
    <row r="2030" spans="1:17" x14ac:dyDescent="0.25">
      <c r="A2030" s="5"/>
      <c r="B2030" s="6"/>
      <c r="C2030" s="4"/>
      <c r="D2030" s="4"/>
      <c r="E2030" s="12"/>
      <c r="F2030" s="12"/>
      <c r="G2030" s="16"/>
      <c r="H2030" s="14"/>
      <c r="I2030" s="14"/>
      <c r="J2030" s="14"/>
      <c r="K2030" s="14"/>
      <c r="L2030" s="14"/>
      <c r="M2030" s="14"/>
      <c r="N2030" s="14"/>
      <c r="O2030" s="4"/>
      <c r="P2030" s="14"/>
      <c r="Q2030" s="14"/>
    </row>
    <row r="2031" spans="1:17" x14ac:dyDescent="0.25">
      <c r="A2031" s="5"/>
      <c r="B2031" s="6"/>
      <c r="C2031" s="4"/>
      <c r="D2031" s="4"/>
      <c r="E2031" s="12"/>
      <c r="F2031" s="12"/>
      <c r="G2031" s="16"/>
      <c r="H2031" s="14"/>
      <c r="I2031" s="14"/>
      <c r="J2031" s="14"/>
      <c r="K2031" s="14"/>
      <c r="L2031" s="14"/>
      <c r="M2031" s="14"/>
      <c r="N2031" s="14"/>
      <c r="O2031" s="4"/>
      <c r="P2031" s="14"/>
      <c r="Q2031" s="14"/>
    </row>
    <row r="2032" spans="1:17" x14ac:dyDescent="0.25">
      <c r="A2032" s="5"/>
      <c r="B2032" s="6"/>
      <c r="C2032" s="4"/>
      <c r="D2032" s="4"/>
      <c r="E2032" s="12"/>
      <c r="F2032" s="12"/>
      <c r="G2032" s="16"/>
      <c r="H2032" s="14"/>
      <c r="I2032" s="14"/>
      <c r="J2032" s="14"/>
      <c r="K2032" s="14"/>
      <c r="L2032" s="14"/>
      <c r="M2032" s="14"/>
      <c r="N2032" s="14"/>
      <c r="O2032" s="4"/>
      <c r="P2032" s="14"/>
      <c r="Q2032" s="14"/>
    </row>
    <row r="2033" spans="1:17" x14ac:dyDescent="0.25">
      <c r="A2033" s="5"/>
      <c r="B2033" s="6"/>
      <c r="C2033" s="4"/>
      <c r="D2033" s="4"/>
      <c r="E2033" s="12"/>
      <c r="F2033" s="12"/>
      <c r="G2033" s="16"/>
      <c r="H2033" s="14"/>
      <c r="I2033" s="14"/>
      <c r="J2033" s="14"/>
      <c r="K2033" s="14"/>
      <c r="L2033" s="14"/>
      <c r="M2033" s="14"/>
      <c r="N2033" s="14"/>
      <c r="O2033" s="4"/>
      <c r="P2033" s="14"/>
      <c r="Q2033" s="14"/>
    </row>
    <row r="2034" spans="1:17" x14ac:dyDescent="0.25">
      <c r="A2034" s="5"/>
      <c r="B2034" s="6"/>
      <c r="C2034" s="4"/>
      <c r="D2034" s="4"/>
      <c r="E2034" s="12"/>
      <c r="F2034" s="12"/>
      <c r="G2034" s="16"/>
      <c r="H2034" s="14"/>
      <c r="I2034" s="14"/>
      <c r="J2034" s="14"/>
      <c r="K2034" s="14"/>
      <c r="L2034" s="14"/>
      <c r="M2034" s="14"/>
      <c r="N2034" s="14"/>
      <c r="O2034" s="4"/>
      <c r="P2034" s="14"/>
      <c r="Q2034" s="14"/>
    </row>
    <row r="2035" spans="1:17" x14ac:dyDescent="0.25">
      <c r="A2035" s="5"/>
      <c r="B2035" s="6"/>
      <c r="C2035" s="4"/>
      <c r="D2035" s="4"/>
      <c r="E2035" s="12"/>
      <c r="F2035" s="12"/>
      <c r="G2035" s="16"/>
      <c r="H2035" s="14"/>
      <c r="I2035" s="14"/>
      <c r="J2035" s="14"/>
      <c r="K2035" s="14"/>
      <c r="L2035" s="14"/>
      <c r="M2035" s="14"/>
      <c r="N2035" s="14"/>
      <c r="O2035" s="4"/>
      <c r="P2035" s="14"/>
      <c r="Q2035" s="14"/>
    </row>
    <row r="2036" spans="1:17" x14ac:dyDescent="0.25">
      <c r="A2036" s="5"/>
      <c r="B2036" s="6"/>
      <c r="C2036" s="4"/>
      <c r="D2036" s="4"/>
      <c r="E2036" s="12"/>
      <c r="F2036" s="12"/>
      <c r="G2036" s="16"/>
      <c r="H2036" s="14"/>
      <c r="I2036" s="14"/>
      <c r="J2036" s="14"/>
      <c r="K2036" s="14"/>
      <c r="L2036" s="14"/>
      <c r="M2036" s="14"/>
      <c r="N2036" s="14"/>
      <c r="O2036" s="4"/>
      <c r="P2036" s="14"/>
      <c r="Q2036" s="14"/>
    </row>
    <row r="2037" spans="1:17" x14ac:dyDescent="0.25">
      <c r="A2037" s="5"/>
      <c r="B2037" s="6"/>
      <c r="C2037" s="4"/>
      <c r="D2037" s="4"/>
      <c r="E2037" s="12"/>
      <c r="F2037" s="12"/>
      <c r="G2037" s="16"/>
      <c r="H2037" s="14"/>
      <c r="I2037" s="14"/>
      <c r="J2037" s="14"/>
      <c r="K2037" s="14"/>
      <c r="L2037" s="14"/>
      <c r="M2037" s="14"/>
      <c r="N2037" s="14"/>
      <c r="O2037" s="4"/>
      <c r="P2037" s="14"/>
      <c r="Q2037" s="14"/>
    </row>
    <row r="2038" spans="1:17" x14ac:dyDescent="0.25">
      <c r="A2038" s="5"/>
      <c r="B2038" s="6"/>
      <c r="C2038" s="4"/>
      <c r="D2038" s="4"/>
      <c r="E2038" s="12"/>
      <c r="F2038" s="12"/>
      <c r="G2038" s="16"/>
      <c r="H2038" s="14"/>
      <c r="I2038" s="14"/>
      <c r="J2038" s="14"/>
      <c r="K2038" s="14"/>
      <c r="L2038" s="14"/>
      <c r="M2038" s="14"/>
      <c r="N2038" s="14"/>
      <c r="O2038" s="4"/>
      <c r="P2038" s="14"/>
      <c r="Q2038" s="14"/>
    </row>
    <row r="2039" spans="1:17" x14ac:dyDescent="0.25">
      <c r="A2039" s="5"/>
      <c r="B2039" s="6"/>
      <c r="C2039" s="4"/>
      <c r="D2039" s="4"/>
      <c r="E2039" s="12"/>
      <c r="F2039" s="12"/>
      <c r="G2039" s="16"/>
      <c r="H2039" s="14"/>
      <c r="I2039" s="14"/>
      <c r="J2039" s="14"/>
      <c r="K2039" s="14"/>
      <c r="L2039" s="14"/>
      <c r="M2039" s="14"/>
      <c r="N2039" s="14"/>
      <c r="O2039" s="4"/>
      <c r="P2039" s="14"/>
      <c r="Q2039" s="14"/>
    </row>
    <row r="2040" spans="1:17" x14ac:dyDescent="0.25">
      <c r="A2040" s="5"/>
      <c r="B2040" s="6"/>
      <c r="C2040" s="4"/>
      <c r="D2040" s="4"/>
      <c r="E2040" s="12"/>
      <c r="F2040" s="12"/>
      <c r="G2040" s="16"/>
      <c r="H2040" s="14"/>
      <c r="I2040" s="14"/>
      <c r="J2040" s="14"/>
      <c r="K2040" s="14"/>
      <c r="L2040" s="14"/>
      <c r="M2040" s="14"/>
      <c r="N2040" s="14"/>
      <c r="O2040" s="4"/>
      <c r="P2040" s="14"/>
      <c r="Q2040" s="14"/>
    </row>
    <row r="2041" spans="1:17" x14ac:dyDescent="0.25">
      <c r="A2041" s="5"/>
      <c r="B2041" s="6"/>
      <c r="C2041" s="4"/>
      <c r="D2041" s="4"/>
      <c r="E2041" s="12"/>
      <c r="F2041" s="12"/>
      <c r="G2041" s="16"/>
      <c r="H2041" s="14"/>
      <c r="I2041" s="14"/>
      <c r="J2041" s="14"/>
      <c r="K2041" s="14"/>
      <c r="L2041" s="14"/>
      <c r="M2041" s="14"/>
      <c r="N2041" s="14"/>
      <c r="O2041" s="4"/>
      <c r="P2041" s="14"/>
      <c r="Q2041" s="14"/>
    </row>
    <row r="2042" spans="1:17" x14ac:dyDescent="0.25">
      <c r="A2042" s="5"/>
      <c r="B2042" s="6"/>
      <c r="C2042" s="4"/>
      <c r="D2042" s="4"/>
      <c r="E2042" s="12"/>
      <c r="F2042" s="12"/>
      <c r="G2042" s="16"/>
      <c r="H2042" s="14"/>
      <c r="I2042" s="14"/>
      <c r="J2042" s="14"/>
      <c r="K2042" s="14"/>
      <c r="L2042" s="14"/>
      <c r="M2042" s="14"/>
      <c r="N2042" s="14"/>
      <c r="O2042" s="4"/>
      <c r="P2042" s="14"/>
      <c r="Q2042" s="14"/>
    </row>
    <row r="2043" spans="1:17" x14ac:dyDescent="0.25">
      <c r="A2043" s="5"/>
      <c r="B2043" s="6"/>
      <c r="C2043" s="4"/>
      <c r="D2043" s="4"/>
      <c r="E2043" s="12"/>
      <c r="F2043" s="12"/>
      <c r="G2043" s="16"/>
      <c r="H2043" s="14"/>
      <c r="I2043" s="14"/>
      <c r="J2043" s="14"/>
      <c r="K2043" s="14"/>
      <c r="L2043" s="14"/>
      <c r="M2043" s="14"/>
      <c r="N2043" s="14"/>
      <c r="O2043" s="4"/>
      <c r="P2043" s="14"/>
      <c r="Q2043" s="14"/>
    </row>
    <row r="2044" spans="1:17" x14ac:dyDescent="0.25">
      <c r="A2044" s="5"/>
      <c r="B2044" s="6"/>
      <c r="C2044" s="4"/>
      <c r="D2044" s="4"/>
      <c r="E2044" s="12"/>
      <c r="F2044" s="12"/>
      <c r="G2044" s="16"/>
      <c r="H2044" s="14"/>
      <c r="I2044" s="14"/>
      <c r="J2044" s="14"/>
      <c r="K2044" s="14"/>
      <c r="L2044" s="14"/>
      <c r="M2044" s="14"/>
      <c r="N2044" s="14"/>
      <c r="O2044" s="4"/>
      <c r="P2044" s="14"/>
      <c r="Q2044" s="14"/>
    </row>
    <row r="2045" spans="1:17" x14ac:dyDescent="0.25">
      <c r="A2045" s="5"/>
      <c r="B2045" s="6"/>
      <c r="C2045" s="4"/>
      <c r="D2045" s="4"/>
      <c r="E2045" s="12"/>
      <c r="F2045" s="12"/>
      <c r="G2045" s="16"/>
      <c r="H2045" s="14"/>
      <c r="I2045" s="14"/>
      <c r="J2045" s="14"/>
      <c r="K2045" s="14"/>
      <c r="L2045" s="14"/>
      <c r="M2045" s="14"/>
      <c r="N2045" s="14"/>
      <c r="O2045" s="4"/>
      <c r="P2045" s="14"/>
      <c r="Q2045" s="14"/>
    </row>
    <row r="2046" spans="1:17" x14ac:dyDescent="0.25">
      <c r="A2046" s="5"/>
      <c r="B2046" s="6"/>
      <c r="C2046" s="4"/>
      <c r="D2046" s="4"/>
      <c r="E2046" s="12"/>
      <c r="F2046" s="12"/>
      <c r="G2046" s="16"/>
      <c r="H2046" s="14"/>
      <c r="I2046" s="14"/>
      <c r="J2046" s="14"/>
      <c r="K2046" s="14"/>
      <c r="L2046" s="14"/>
      <c r="M2046" s="14"/>
      <c r="N2046" s="14"/>
      <c r="O2046" s="4"/>
      <c r="P2046" s="14"/>
      <c r="Q2046" s="14"/>
    </row>
    <row r="2047" spans="1:17" x14ac:dyDescent="0.25">
      <c r="A2047" s="5"/>
      <c r="B2047" s="6"/>
      <c r="C2047" s="4"/>
      <c r="D2047" s="4"/>
      <c r="E2047" s="12"/>
      <c r="F2047" s="12"/>
      <c r="G2047" s="16"/>
      <c r="H2047" s="14"/>
      <c r="I2047" s="14"/>
      <c r="J2047" s="14"/>
      <c r="K2047" s="14"/>
      <c r="L2047" s="14"/>
      <c r="M2047" s="14"/>
      <c r="N2047" s="14"/>
      <c r="O2047" s="4"/>
      <c r="P2047" s="14"/>
      <c r="Q2047" s="14"/>
    </row>
    <row r="2048" spans="1:17" x14ac:dyDescent="0.25">
      <c r="A2048" s="5"/>
      <c r="B2048" s="6"/>
      <c r="C2048" s="4"/>
      <c r="D2048" s="4"/>
      <c r="E2048" s="12"/>
      <c r="F2048" s="12"/>
      <c r="G2048" s="16"/>
      <c r="H2048" s="14"/>
      <c r="I2048" s="14"/>
      <c r="J2048" s="14"/>
      <c r="K2048" s="14"/>
      <c r="L2048" s="14"/>
      <c r="M2048" s="14"/>
      <c r="N2048" s="14"/>
      <c r="O2048" s="4"/>
      <c r="P2048" s="14"/>
      <c r="Q2048" s="14"/>
    </row>
    <row r="2049" spans="1:17" x14ac:dyDescent="0.25">
      <c r="A2049" s="5"/>
      <c r="B2049" s="6"/>
      <c r="C2049" s="4"/>
      <c r="D2049" s="4"/>
      <c r="E2049" s="12"/>
      <c r="F2049" s="12"/>
      <c r="G2049" s="16"/>
      <c r="H2049" s="14"/>
      <c r="I2049" s="14"/>
      <c r="J2049" s="14"/>
      <c r="K2049" s="14"/>
      <c r="L2049" s="14"/>
      <c r="M2049" s="14"/>
      <c r="N2049" s="14"/>
      <c r="O2049" s="4"/>
      <c r="P2049" s="14"/>
      <c r="Q2049" s="14"/>
    </row>
    <row r="2050" spans="1:17" x14ac:dyDescent="0.25">
      <c r="A2050" s="5"/>
      <c r="B2050" s="6"/>
      <c r="C2050" s="4"/>
      <c r="D2050" s="4"/>
      <c r="E2050" s="12"/>
      <c r="F2050" s="12"/>
      <c r="G2050" s="16"/>
      <c r="H2050" s="14"/>
      <c r="I2050" s="14"/>
      <c r="J2050" s="14"/>
      <c r="K2050" s="14"/>
      <c r="L2050" s="14"/>
      <c r="M2050" s="14"/>
      <c r="N2050" s="14"/>
      <c r="O2050" s="4"/>
      <c r="P2050" s="14"/>
      <c r="Q2050" s="14"/>
    </row>
    <row r="2051" spans="1:17" x14ac:dyDescent="0.25">
      <c r="A2051" s="5"/>
      <c r="B2051" s="6"/>
      <c r="C2051" s="4"/>
      <c r="D2051" s="4"/>
      <c r="E2051" s="12"/>
      <c r="F2051" s="12"/>
      <c r="G2051" s="16"/>
      <c r="H2051" s="14"/>
      <c r="I2051" s="14"/>
      <c r="J2051" s="14"/>
      <c r="K2051" s="14"/>
      <c r="L2051" s="14"/>
      <c r="M2051" s="14"/>
      <c r="N2051" s="14"/>
      <c r="O2051" s="4"/>
      <c r="P2051" s="14"/>
      <c r="Q2051" s="14"/>
    </row>
    <row r="2052" spans="1:17" x14ac:dyDescent="0.25">
      <c r="A2052" s="5"/>
      <c r="B2052" s="6"/>
      <c r="C2052" s="4"/>
      <c r="D2052" s="4"/>
      <c r="E2052" s="12"/>
      <c r="F2052" s="12"/>
      <c r="G2052" s="16"/>
      <c r="H2052" s="14"/>
      <c r="I2052" s="14"/>
      <c r="J2052" s="14"/>
      <c r="K2052" s="14"/>
      <c r="L2052" s="14"/>
      <c r="M2052" s="14"/>
      <c r="N2052" s="14"/>
      <c r="O2052" s="4"/>
      <c r="P2052" s="14"/>
      <c r="Q2052" s="14"/>
    </row>
    <row r="2053" spans="1:17" x14ac:dyDescent="0.25">
      <c r="A2053" s="5"/>
      <c r="B2053" s="6"/>
      <c r="C2053" s="4"/>
      <c r="D2053" s="4"/>
      <c r="E2053" s="12"/>
      <c r="F2053" s="12"/>
      <c r="G2053" s="16"/>
      <c r="H2053" s="14"/>
      <c r="I2053" s="14"/>
      <c r="J2053" s="14"/>
      <c r="K2053" s="14"/>
      <c r="L2053" s="14"/>
      <c r="M2053" s="14"/>
      <c r="N2053" s="14"/>
      <c r="O2053" s="4"/>
      <c r="P2053" s="14"/>
      <c r="Q2053" s="14"/>
    </row>
    <row r="2054" spans="1:17" x14ac:dyDescent="0.25">
      <c r="A2054" s="5"/>
      <c r="B2054" s="6"/>
      <c r="C2054" s="4"/>
      <c r="D2054" s="4"/>
      <c r="E2054" s="12"/>
      <c r="F2054" s="12"/>
      <c r="G2054" s="16"/>
      <c r="H2054" s="14"/>
      <c r="I2054" s="14"/>
      <c r="J2054" s="14"/>
      <c r="K2054" s="14"/>
      <c r="L2054" s="14"/>
      <c r="M2054" s="14"/>
      <c r="N2054" s="14"/>
      <c r="O2054" s="4"/>
      <c r="P2054" s="14"/>
      <c r="Q2054" s="14"/>
    </row>
    <row r="2055" spans="1:17" x14ac:dyDescent="0.25">
      <c r="A2055" s="5"/>
      <c r="B2055" s="6"/>
      <c r="C2055" s="4"/>
      <c r="D2055" s="4"/>
      <c r="E2055" s="12"/>
      <c r="F2055" s="12"/>
      <c r="G2055" s="16"/>
      <c r="H2055" s="14"/>
      <c r="I2055" s="14"/>
      <c r="J2055" s="14"/>
      <c r="K2055" s="14"/>
      <c r="L2055" s="14"/>
      <c r="M2055" s="14"/>
      <c r="N2055" s="14"/>
      <c r="O2055" s="4"/>
      <c r="P2055" s="14"/>
      <c r="Q2055" s="14"/>
    </row>
    <row r="2056" spans="1:17" x14ac:dyDescent="0.25">
      <c r="A2056" s="5"/>
      <c r="B2056" s="6"/>
      <c r="C2056" s="4"/>
      <c r="D2056" s="4"/>
      <c r="E2056" s="12"/>
      <c r="F2056" s="12"/>
      <c r="G2056" s="16"/>
      <c r="H2056" s="14"/>
      <c r="I2056" s="14"/>
      <c r="J2056" s="14"/>
      <c r="K2056" s="14"/>
      <c r="L2056" s="14"/>
      <c r="M2056" s="14"/>
      <c r="N2056" s="14"/>
      <c r="O2056" s="4"/>
      <c r="P2056" s="14"/>
      <c r="Q2056" s="14"/>
    </row>
    <row r="2057" spans="1:17" x14ac:dyDescent="0.25">
      <c r="A2057" s="5"/>
      <c r="B2057" s="6"/>
      <c r="C2057" s="4"/>
      <c r="D2057" s="4"/>
      <c r="E2057" s="12"/>
      <c r="F2057" s="12"/>
      <c r="G2057" s="16"/>
      <c r="H2057" s="14"/>
      <c r="I2057" s="14"/>
      <c r="J2057" s="14"/>
      <c r="K2057" s="14"/>
      <c r="L2057" s="14"/>
      <c r="M2057" s="14"/>
      <c r="N2057" s="14"/>
      <c r="O2057" s="4"/>
      <c r="P2057" s="14"/>
      <c r="Q2057" s="14"/>
    </row>
    <row r="2058" spans="1:17" x14ac:dyDescent="0.25">
      <c r="A2058" s="5"/>
      <c r="B2058" s="6"/>
      <c r="C2058" s="4"/>
      <c r="D2058" s="4"/>
      <c r="E2058" s="12"/>
      <c r="F2058" s="12"/>
      <c r="G2058" s="16"/>
      <c r="H2058" s="14"/>
      <c r="I2058" s="14"/>
      <c r="J2058" s="14"/>
      <c r="K2058" s="14"/>
      <c r="L2058" s="14"/>
      <c r="M2058" s="14"/>
      <c r="N2058" s="14"/>
      <c r="O2058" s="4"/>
      <c r="P2058" s="14"/>
      <c r="Q2058" s="14"/>
    </row>
    <row r="2059" spans="1:17" x14ac:dyDescent="0.25">
      <c r="A2059" s="5"/>
      <c r="B2059" s="6"/>
      <c r="C2059" s="4"/>
      <c r="D2059" s="4"/>
      <c r="E2059" s="12"/>
      <c r="F2059" s="12"/>
      <c r="G2059" s="16"/>
      <c r="H2059" s="14"/>
      <c r="I2059" s="14"/>
      <c r="J2059" s="14"/>
      <c r="K2059" s="14"/>
      <c r="L2059" s="14"/>
      <c r="M2059" s="14"/>
      <c r="N2059" s="14"/>
      <c r="O2059" s="4"/>
      <c r="P2059" s="14"/>
      <c r="Q2059" s="14"/>
    </row>
    <row r="2060" spans="1:17" x14ac:dyDescent="0.25">
      <c r="A2060" s="5"/>
      <c r="B2060" s="6"/>
      <c r="C2060" s="4"/>
      <c r="D2060" s="4"/>
      <c r="E2060" s="12"/>
      <c r="F2060" s="12"/>
      <c r="G2060" s="16"/>
      <c r="H2060" s="14"/>
      <c r="I2060" s="14"/>
      <c r="J2060" s="14"/>
      <c r="K2060" s="14"/>
      <c r="L2060" s="14"/>
      <c r="M2060" s="14"/>
      <c r="N2060" s="14"/>
      <c r="O2060" s="4"/>
      <c r="P2060" s="14"/>
      <c r="Q2060" s="14"/>
    </row>
    <row r="2061" spans="1:17" x14ac:dyDescent="0.25">
      <c r="A2061" s="5"/>
      <c r="B2061" s="6"/>
      <c r="C2061" s="4"/>
      <c r="D2061" s="4"/>
      <c r="E2061" s="12"/>
      <c r="F2061" s="12"/>
      <c r="G2061" s="16"/>
      <c r="H2061" s="14"/>
      <c r="I2061" s="14"/>
      <c r="J2061" s="14"/>
      <c r="K2061" s="14"/>
      <c r="L2061" s="14"/>
      <c r="M2061" s="14"/>
      <c r="N2061" s="14"/>
      <c r="O2061" s="4"/>
      <c r="P2061" s="14"/>
      <c r="Q2061" s="14"/>
    </row>
    <row r="2062" spans="1:17" x14ac:dyDescent="0.25">
      <c r="A2062" s="5"/>
      <c r="B2062" s="6"/>
      <c r="C2062" s="4"/>
      <c r="D2062" s="4"/>
      <c r="E2062" s="12"/>
      <c r="F2062" s="12"/>
      <c r="G2062" s="16"/>
      <c r="H2062" s="14"/>
      <c r="I2062" s="14"/>
      <c r="J2062" s="14"/>
      <c r="K2062" s="14"/>
      <c r="L2062" s="14"/>
      <c r="M2062" s="14"/>
      <c r="N2062" s="14"/>
      <c r="O2062" s="4"/>
      <c r="P2062" s="14"/>
      <c r="Q2062" s="14"/>
    </row>
    <row r="2063" spans="1:17" x14ac:dyDescent="0.25">
      <c r="A2063" s="5"/>
      <c r="B2063" s="6"/>
      <c r="C2063" s="4"/>
      <c r="D2063" s="4"/>
      <c r="E2063" s="12"/>
      <c r="F2063" s="12"/>
      <c r="G2063" s="16"/>
      <c r="H2063" s="14"/>
      <c r="I2063" s="14"/>
      <c r="J2063" s="14"/>
      <c r="K2063" s="14"/>
      <c r="L2063" s="14"/>
      <c r="M2063" s="14"/>
      <c r="N2063" s="14"/>
      <c r="O2063" s="4"/>
      <c r="P2063" s="14"/>
      <c r="Q2063" s="14"/>
    </row>
    <row r="2064" spans="1:17" x14ac:dyDescent="0.25">
      <c r="A2064" s="5"/>
      <c r="B2064" s="6"/>
      <c r="C2064" s="4"/>
      <c r="D2064" s="4"/>
      <c r="E2064" s="12"/>
      <c r="F2064" s="12"/>
      <c r="G2064" s="16"/>
      <c r="H2064" s="14"/>
      <c r="I2064" s="14"/>
      <c r="J2064" s="14"/>
      <c r="K2064" s="14"/>
      <c r="L2064" s="14"/>
      <c r="M2064" s="14"/>
      <c r="N2064" s="14"/>
      <c r="O2064" s="4"/>
      <c r="P2064" s="14"/>
      <c r="Q2064" s="14"/>
    </row>
    <row r="2065" spans="1:17" x14ac:dyDescent="0.25">
      <c r="A2065" s="5"/>
      <c r="B2065" s="6"/>
      <c r="C2065" s="4"/>
      <c r="D2065" s="4"/>
      <c r="E2065" s="12"/>
      <c r="F2065" s="12"/>
      <c r="G2065" s="16"/>
      <c r="H2065" s="14"/>
      <c r="I2065" s="14"/>
      <c r="J2065" s="14"/>
      <c r="K2065" s="14"/>
      <c r="L2065" s="14"/>
      <c r="M2065" s="14"/>
      <c r="N2065" s="14"/>
      <c r="O2065" s="4"/>
      <c r="P2065" s="14"/>
      <c r="Q2065" s="14"/>
    </row>
    <row r="2066" spans="1:17" x14ac:dyDescent="0.25">
      <c r="A2066" s="5"/>
      <c r="B2066" s="6"/>
      <c r="C2066" s="4"/>
      <c r="D2066" s="4"/>
      <c r="E2066" s="12"/>
      <c r="F2066" s="12"/>
      <c r="G2066" s="16"/>
      <c r="H2066" s="14"/>
      <c r="I2066" s="14"/>
      <c r="J2066" s="14"/>
      <c r="K2066" s="14"/>
      <c r="L2066" s="14"/>
      <c r="M2066" s="14"/>
      <c r="N2066" s="14"/>
      <c r="O2066" s="4"/>
      <c r="P2066" s="14"/>
      <c r="Q2066" s="14"/>
    </row>
    <row r="2067" spans="1:17" x14ac:dyDescent="0.25">
      <c r="A2067" s="5"/>
      <c r="B2067" s="6"/>
      <c r="C2067" s="4"/>
      <c r="D2067" s="4"/>
      <c r="E2067" s="12"/>
      <c r="F2067" s="12"/>
      <c r="G2067" s="16"/>
      <c r="H2067" s="14"/>
      <c r="I2067" s="14"/>
      <c r="J2067" s="14"/>
      <c r="K2067" s="14"/>
      <c r="L2067" s="14"/>
      <c r="M2067" s="14"/>
      <c r="N2067" s="14"/>
      <c r="O2067" s="4"/>
      <c r="P2067" s="14"/>
      <c r="Q2067" s="14"/>
    </row>
    <row r="2068" spans="1:17" x14ac:dyDescent="0.25">
      <c r="A2068" s="5"/>
      <c r="B2068" s="6"/>
      <c r="C2068" s="4"/>
      <c r="D2068" s="4"/>
      <c r="E2068" s="12"/>
      <c r="F2068" s="12"/>
      <c r="G2068" s="16"/>
      <c r="H2068" s="14"/>
      <c r="I2068" s="14"/>
      <c r="J2068" s="14"/>
      <c r="K2068" s="14"/>
      <c r="L2068" s="14"/>
      <c r="M2068" s="14"/>
      <c r="N2068" s="14"/>
      <c r="O2068" s="4"/>
      <c r="P2068" s="14"/>
      <c r="Q2068" s="14"/>
    </row>
    <row r="2069" spans="1:17" x14ac:dyDescent="0.25">
      <c r="A2069" s="5"/>
      <c r="B2069" s="6"/>
      <c r="C2069" s="4"/>
      <c r="D2069" s="4"/>
      <c r="E2069" s="12"/>
      <c r="F2069" s="12"/>
      <c r="G2069" s="16"/>
      <c r="H2069" s="14"/>
      <c r="I2069" s="14"/>
      <c r="J2069" s="14"/>
      <c r="K2069" s="14"/>
      <c r="L2069" s="14"/>
      <c r="M2069" s="14"/>
      <c r="N2069" s="14"/>
      <c r="O2069" s="4"/>
      <c r="P2069" s="14"/>
      <c r="Q2069" s="14"/>
    </row>
    <row r="2070" spans="1:17" x14ac:dyDescent="0.25">
      <c r="A2070" s="5"/>
      <c r="B2070" s="6"/>
      <c r="C2070" s="4"/>
      <c r="D2070" s="4"/>
      <c r="E2070" s="12"/>
      <c r="F2070" s="12"/>
      <c r="G2070" s="16"/>
      <c r="H2070" s="14"/>
      <c r="I2070" s="14"/>
      <c r="J2070" s="14"/>
      <c r="K2070" s="14"/>
      <c r="L2070" s="14"/>
      <c r="M2070" s="14"/>
      <c r="N2070" s="14"/>
      <c r="O2070" s="4"/>
      <c r="P2070" s="14"/>
      <c r="Q2070" s="14"/>
    </row>
    <row r="2071" spans="1:17" x14ac:dyDescent="0.25">
      <c r="A2071" s="5"/>
      <c r="B2071" s="6"/>
      <c r="C2071" s="4"/>
      <c r="D2071" s="4"/>
      <c r="E2071" s="12"/>
      <c r="F2071" s="12"/>
      <c r="G2071" s="16"/>
      <c r="H2071" s="14"/>
      <c r="I2071" s="14"/>
      <c r="J2071" s="14"/>
      <c r="K2071" s="14"/>
      <c r="L2071" s="14"/>
      <c r="M2071" s="14"/>
      <c r="N2071" s="14"/>
      <c r="O2071" s="4"/>
      <c r="P2071" s="14"/>
      <c r="Q2071" s="14"/>
    </row>
    <row r="2072" spans="1:17" x14ac:dyDescent="0.25">
      <c r="A2072" s="5"/>
      <c r="B2072" s="6"/>
      <c r="C2072" s="4"/>
      <c r="D2072" s="4"/>
      <c r="E2072" s="12"/>
      <c r="F2072" s="12"/>
      <c r="G2072" s="16"/>
      <c r="H2072" s="14"/>
      <c r="I2072" s="14"/>
      <c r="J2072" s="14"/>
      <c r="K2072" s="14"/>
      <c r="L2072" s="14"/>
      <c r="M2072" s="14"/>
      <c r="N2072" s="14"/>
      <c r="O2072" s="4"/>
      <c r="P2072" s="14"/>
      <c r="Q2072" s="14"/>
    </row>
    <row r="2073" spans="1:17" x14ac:dyDescent="0.25">
      <c r="A2073" s="5"/>
      <c r="B2073" s="6"/>
      <c r="C2073" s="4"/>
      <c r="D2073" s="4"/>
      <c r="E2073" s="12"/>
      <c r="F2073" s="12"/>
      <c r="G2073" s="16"/>
      <c r="H2073" s="14"/>
      <c r="I2073" s="14"/>
      <c r="J2073" s="14"/>
      <c r="K2073" s="14"/>
      <c r="L2073" s="14"/>
      <c r="M2073" s="14"/>
      <c r="N2073" s="14"/>
      <c r="O2073" s="4"/>
      <c r="P2073" s="14"/>
      <c r="Q2073" s="14"/>
    </row>
    <row r="2074" spans="1:17" x14ac:dyDescent="0.25">
      <c r="A2074" s="5"/>
      <c r="B2074" s="6"/>
      <c r="C2074" s="4"/>
      <c r="D2074" s="4"/>
      <c r="E2074" s="12"/>
      <c r="F2074" s="12"/>
      <c r="G2074" s="16"/>
      <c r="H2074" s="14"/>
      <c r="I2074" s="14"/>
      <c r="J2074" s="14"/>
      <c r="K2074" s="14"/>
      <c r="L2074" s="14"/>
      <c r="M2074" s="14"/>
      <c r="N2074" s="14"/>
      <c r="O2074" s="4"/>
      <c r="P2074" s="14"/>
      <c r="Q2074" s="14"/>
    </row>
    <row r="2075" spans="1:17" x14ac:dyDescent="0.25">
      <c r="A2075" s="5"/>
      <c r="B2075" s="6"/>
      <c r="C2075" s="4"/>
      <c r="D2075" s="4"/>
      <c r="E2075" s="12"/>
      <c r="F2075" s="12"/>
      <c r="G2075" s="16"/>
      <c r="H2075" s="14"/>
      <c r="I2075" s="14"/>
      <c r="J2075" s="14"/>
      <c r="K2075" s="14"/>
      <c r="L2075" s="14"/>
      <c r="M2075" s="14"/>
      <c r="N2075" s="14"/>
      <c r="O2075" s="4"/>
      <c r="P2075" s="14"/>
      <c r="Q2075" s="14"/>
    </row>
    <row r="2076" spans="1:17" x14ac:dyDescent="0.25">
      <c r="A2076" s="5"/>
      <c r="B2076" s="6"/>
      <c r="C2076" s="4"/>
      <c r="D2076" s="4"/>
      <c r="E2076" s="12"/>
      <c r="F2076" s="12"/>
      <c r="G2076" s="16"/>
      <c r="H2076" s="14"/>
      <c r="I2076" s="14"/>
      <c r="J2076" s="14"/>
      <c r="K2076" s="14"/>
      <c r="L2076" s="14"/>
      <c r="M2076" s="14"/>
      <c r="N2076" s="14"/>
      <c r="O2076" s="4"/>
      <c r="P2076" s="14"/>
      <c r="Q2076" s="14"/>
    </row>
    <row r="2077" spans="1:17" x14ac:dyDescent="0.25">
      <c r="A2077" s="5"/>
      <c r="B2077" s="6"/>
      <c r="C2077" s="4"/>
      <c r="D2077" s="4"/>
      <c r="E2077" s="12"/>
      <c r="F2077" s="12"/>
      <c r="G2077" s="16"/>
      <c r="H2077" s="14"/>
      <c r="I2077" s="14"/>
      <c r="J2077" s="14"/>
      <c r="K2077" s="14"/>
      <c r="L2077" s="14"/>
      <c r="M2077" s="14"/>
      <c r="N2077" s="14"/>
      <c r="O2077" s="4"/>
      <c r="P2077" s="14"/>
      <c r="Q2077" s="14"/>
    </row>
    <row r="2078" spans="1:17" x14ac:dyDescent="0.25">
      <c r="A2078" s="5"/>
      <c r="B2078" s="6"/>
      <c r="C2078" s="4"/>
      <c r="D2078" s="4"/>
      <c r="E2078" s="12"/>
      <c r="F2078" s="12"/>
      <c r="G2078" s="16"/>
      <c r="H2078" s="14"/>
      <c r="I2078" s="14"/>
      <c r="J2078" s="14"/>
      <c r="K2078" s="14"/>
      <c r="L2078" s="14"/>
      <c r="M2078" s="14"/>
      <c r="N2078" s="14"/>
      <c r="O2078" s="4"/>
      <c r="P2078" s="14"/>
      <c r="Q2078" s="14"/>
    </row>
    <row r="2079" spans="1:17" x14ac:dyDescent="0.25">
      <c r="A2079" s="5"/>
      <c r="B2079" s="6"/>
      <c r="C2079" s="4"/>
      <c r="D2079" s="4"/>
      <c r="E2079" s="12"/>
      <c r="F2079" s="12"/>
      <c r="G2079" s="16"/>
      <c r="H2079" s="14"/>
      <c r="I2079" s="14"/>
      <c r="J2079" s="14"/>
      <c r="K2079" s="14"/>
      <c r="L2079" s="14"/>
      <c r="M2079" s="14"/>
      <c r="N2079" s="14"/>
      <c r="O2079" s="4"/>
      <c r="P2079" s="14"/>
      <c r="Q2079" s="14"/>
    </row>
    <row r="2080" spans="1:17" x14ac:dyDescent="0.25">
      <c r="A2080" s="5"/>
      <c r="B2080" s="6"/>
      <c r="C2080" s="4"/>
      <c r="D2080" s="4"/>
      <c r="E2080" s="12"/>
      <c r="F2080" s="12"/>
      <c r="G2080" s="16"/>
      <c r="H2080" s="14"/>
      <c r="I2080" s="14"/>
      <c r="J2080" s="14"/>
      <c r="K2080" s="14"/>
      <c r="L2080" s="14"/>
      <c r="M2080" s="14"/>
      <c r="N2080" s="14"/>
      <c r="O2080" s="4"/>
      <c r="P2080" s="14"/>
      <c r="Q2080" s="14"/>
    </row>
    <row r="2081" spans="1:17" x14ac:dyDescent="0.25">
      <c r="A2081" s="5"/>
      <c r="B2081" s="6"/>
      <c r="C2081" s="4"/>
      <c r="D2081" s="4"/>
      <c r="E2081" s="12"/>
      <c r="F2081" s="12"/>
      <c r="G2081" s="16"/>
      <c r="H2081" s="14"/>
      <c r="I2081" s="14"/>
      <c r="J2081" s="14"/>
      <c r="K2081" s="14"/>
      <c r="L2081" s="14"/>
      <c r="M2081" s="14"/>
      <c r="N2081" s="14"/>
      <c r="O2081" s="4"/>
      <c r="P2081" s="14"/>
      <c r="Q2081" s="14"/>
    </row>
    <row r="2082" spans="1:17" x14ac:dyDescent="0.25">
      <c r="A2082" s="5"/>
      <c r="B2082" s="6"/>
      <c r="C2082" s="4"/>
      <c r="D2082" s="4"/>
      <c r="E2082" s="12"/>
      <c r="F2082" s="12"/>
      <c r="G2082" s="16"/>
      <c r="H2082" s="14"/>
      <c r="I2082" s="14"/>
      <c r="J2082" s="14"/>
      <c r="K2082" s="14"/>
      <c r="L2082" s="14"/>
      <c r="M2082" s="14"/>
      <c r="N2082" s="14"/>
      <c r="O2082" s="4"/>
      <c r="P2082" s="14"/>
      <c r="Q2082" s="14"/>
    </row>
    <row r="2083" spans="1:17" x14ac:dyDescent="0.25">
      <c r="A2083" s="5"/>
      <c r="B2083" s="6"/>
      <c r="C2083" s="4"/>
      <c r="D2083" s="4"/>
      <c r="E2083" s="12"/>
      <c r="F2083" s="12"/>
      <c r="G2083" s="16"/>
      <c r="H2083" s="14"/>
      <c r="I2083" s="14"/>
      <c r="J2083" s="14"/>
      <c r="K2083" s="14"/>
      <c r="L2083" s="14"/>
      <c r="M2083" s="14"/>
      <c r="N2083" s="14"/>
      <c r="O2083" s="4"/>
      <c r="P2083" s="14"/>
      <c r="Q2083" s="14"/>
    </row>
    <row r="2084" spans="1:17" x14ac:dyDescent="0.25">
      <c r="A2084" s="5"/>
      <c r="B2084" s="6"/>
      <c r="C2084" s="4"/>
      <c r="D2084" s="4"/>
      <c r="E2084" s="12"/>
      <c r="F2084" s="12"/>
      <c r="G2084" s="16"/>
      <c r="H2084" s="14"/>
      <c r="I2084" s="14"/>
      <c r="J2084" s="14"/>
      <c r="K2084" s="14"/>
      <c r="L2084" s="14"/>
      <c r="M2084" s="14"/>
      <c r="N2084" s="14"/>
      <c r="O2084" s="4"/>
      <c r="P2084" s="14"/>
      <c r="Q2084" s="14"/>
    </row>
    <row r="2085" spans="1:17" x14ac:dyDescent="0.25">
      <c r="A2085" s="5"/>
      <c r="B2085" s="6"/>
      <c r="C2085" s="4"/>
      <c r="D2085" s="4"/>
      <c r="E2085" s="12"/>
      <c r="F2085" s="12"/>
      <c r="G2085" s="16"/>
      <c r="H2085" s="14"/>
      <c r="I2085" s="14"/>
      <c r="J2085" s="14"/>
      <c r="K2085" s="14"/>
      <c r="L2085" s="14"/>
      <c r="M2085" s="14"/>
      <c r="N2085" s="14"/>
      <c r="O2085" s="4"/>
      <c r="P2085" s="14"/>
      <c r="Q2085" s="14"/>
    </row>
    <row r="2086" spans="1:17" x14ac:dyDescent="0.25">
      <c r="A2086" s="5"/>
      <c r="B2086" s="6"/>
      <c r="C2086" s="4"/>
      <c r="D2086" s="4"/>
      <c r="E2086" s="12"/>
      <c r="F2086" s="12"/>
      <c r="G2086" s="16"/>
      <c r="H2086" s="14"/>
      <c r="I2086" s="14"/>
      <c r="J2086" s="14"/>
      <c r="K2086" s="14"/>
      <c r="L2086" s="14"/>
      <c r="M2086" s="14"/>
      <c r="N2086" s="14"/>
      <c r="O2086" s="4"/>
      <c r="P2086" s="14"/>
      <c r="Q2086" s="14"/>
    </row>
    <row r="2087" spans="1:17" x14ac:dyDescent="0.25">
      <c r="A2087" s="5"/>
      <c r="B2087" s="6"/>
      <c r="C2087" s="4"/>
      <c r="D2087" s="4"/>
      <c r="E2087" s="12"/>
      <c r="F2087" s="12"/>
      <c r="G2087" s="16"/>
      <c r="H2087" s="14"/>
      <c r="I2087" s="14"/>
      <c r="J2087" s="14"/>
      <c r="K2087" s="14"/>
      <c r="L2087" s="14"/>
      <c r="M2087" s="14"/>
      <c r="N2087" s="14"/>
      <c r="O2087" s="4"/>
      <c r="P2087" s="14"/>
      <c r="Q2087" s="14"/>
    </row>
    <row r="2088" spans="1:17" x14ac:dyDescent="0.25">
      <c r="A2088" s="5"/>
      <c r="B2088" s="6"/>
      <c r="C2088" s="4"/>
      <c r="D2088" s="4"/>
      <c r="E2088" s="12"/>
      <c r="F2088" s="12"/>
      <c r="G2088" s="16"/>
      <c r="H2088" s="14"/>
      <c r="I2088" s="14"/>
      <c r="J2088" s="14"/>
      <c r="K2088" s="14"/>
      <c r="L2088" s="14"/>
      <c r="M2088" s="14"/>
      <c r="N2088" s="14"/>
      <c r="O2088" s="4"/>
      <c r="P2088" s="14"/>
      <c r="Q2088" s="14"/>
    </row>
    <row r="2089" spans="1:17" x14ac:dyDescent="0.25">
      <c r="A2089" s="5"/>
      <c r="B2089" s="6"/>
      <c r="C2089" s="4"/>
      <c r="D2089" s="4"/>
      <c r="E2089" s="12"/>
      <c r="F2089" s="12"/>
      <c r="G2089" s="16"/>
      <c r="H2089" s="14"/>
      <c r="I2089" s="14"/>
      <c r="J2089" s="14"/>
      <c r="K2089" s="14"/>
      <c r="L2089" s="14"/>
      <c r="M2089" s="14"/>
      <c r="N2089" s="14"/>
      <c r="O2089" s="4"/>
      <c r="P2089" s="14"/>
      <c r="Q2089" s="14"/>
    </row>
    <row r="2090" spans="1:17" x14ac:dyDescent="0.25">
      <c r="A2090" s="5"/>
      <c r="B2090" s="6"/>
      <c r="C2090" s="4"/>
      <c r="D2090" s="4"/>
      <c r="E2090" s="12"/>
      <c r="F2090" s="12"/>
      <c r="G2090" s="16"/>
      <c r="H2090" s="14"/>
      <c r="I2090" s="14"/>
      <c r="J2090" s="14"/>
      <c r="K2090" s="14"/>
      <c r="L2090" s="14"/>
      <c r="M2090" s="14"/>
      <c r="N2090" s="14"/>
      <c r="O2090" s="4"/>
      <c r="P2090" s="14"/>
      <c r="Q2090" s="14"/>
    </row>
    <row r="2091" spans="1:17" x14ac:dyDescent="0.25">
      <c r="A2091" s="5"/>
      <c r="B2091" s="6"/>
      <c r="C2091" s="4"/>
      <c r="D2091" s="4"/>
      <c r="E2091" s="12"/>
      <c r="F2091" s="12"/>
      <c r="G2091" s="16"/>
      <c r="H2091" s="14"/>
      <c r="I2091" s="14"/>
      <c r="J2091" s="14"/>
      <c r="K2091" s="14"/>
      <c r="L2091" s="14"/>
      <c r="M2091" s="14"/>
      <c r="N2091" s="14"/>
      <c r="O2091" s="4"/>
      <c r="P2091" s="14"/>
      <c r="Q2091" s="14"/>
    </row>
    <row r="2092" spans="1:17" x14ac:dyDescent="0.25">
      <c r="A2092" s="5"/>
      <c r="B2092" s="6"/>
      <c r="C2092" s="4"/>
      <c r="D2092" s="4"/>
      <c r="E2092" s="12"/>
      <c r="F2092" s="12"/>
      <c r="G2092" s="16"/>
      <c r="H2092" s="14"/>
      <c r="I2092" s="14"/>
      <c r="J2092" s="14"/>
      <c r="K2092" s="14"/>
      <c r="L2092" s="14"/>
      <c r="M2092" s="14"/>
      <c r="N2092" s="14"/>
      <c r="O2092" s="4"/>
      <c r="P2092" s="14"/>
      <c r="Q2092" s="14"/>
    </row>
    <row r="2093" spans="1:17" x14ac:dyDescent="0.25">
      <c r="A2093" s="5"/>
      <c r="B2093" s="6"/>
      <c r="C2093" s="4"/>
      <c r="D2093" s="4"/>
      <c r="E2093" s="12"/>
      <c r="F2093" s="12"/>
      <c r="G2093" s="16"/>
      <c r="H2093" s="14"/>
      <c r="I2093" s="14"/>
      <c r="J2093" s="14"/>
      <c r="K2093" s="14"/>
      <c r="L2093" s="14"/>
      <c r="M2093" s="14"/>
      <c r="N2093" s="14"/>
      <c r="O2093" s="4"/>
      <c r="P2093" s="14"/>
      <c r="Q2093" s="14"/>
    </row>
    <row r="2094" spans="1:17" x14ac:dyDescent="0.25">
      <c r="A2094" s="5"/>
      <c r="B2094" s="6"/>
      <c r="C2094" s="4"/>
      <c r="D2094" s="4"/>
      <c r="E2094" s="12"/>
      <c r="F2094" s="12"/>
      <c r="G2094" s="16"/>
      <c r="H2094" s="14"/>
      <c r="I2094" s="14"/>
      <c r="J2094" s="14"/>
      <c r="K2094" s="14"/>
      <c r="L2094" s="14"/>
      <c r="M2094" s="14"/>
      <c r="N2094" s="14"/>
      <c r="O2094" s="4"/>
      <c r="P2094" s="14"/>
      <c r="Q2094" s="14"/>
    </row>
    <row r="2095" spans="1:17" x14ac:dyDescent="0.25">
      <c r="A2095" s="5"/>
      <c r="B2095" s="6"/>
      <c r="C2095" s="4"/>
      <c r="D2095" s="4"/>
      <c r="E2095" s="12"/>
      <c r="F2095" s="12"/>
      <c r="G2095" s="16"/>
      <c r="H2095" s="14"/>
      <c r="I2095" s="14"/>
      <c r="J2095" s="14"/>
      <c r="K2095" s="14"/>
      <c r="L2095" s="14"/>
      <c r="M2095" s="14"/>
      <c r="N2095" s="14"/>
      <c r="O2095" s="4"/>
      <c r="P2095" s="14"/>
      <c r="Q2095" s="14"/>
    </row>
    <row r="2096" spans="1:17" x14ac:dyDescent="0.25">
      <c r="A2096" s="5"/>
      <c r="B2096" s="6"/>
      <c r="C2096" s="4"/>
      <c r="D2096" s="4"/>
      <c r="E2096" s="12"/>
      <c r="F2096" s="12"/>
      <c r="G2096" s="16"/>
      <c r="H2096" s="14"/>
      <c r="I2096" s="14"/>
      <c r="J2096" s="14"/>
      <c r="K2096" s="14"/>
      <c r="L2096" s="14"/>
      <c r="M2096" s="14"/>
      <c r="N2096" s="14"/>
      <c r="O2096" s="4"/>
      <c r="P2096" s="14"/>
      <c r="Q2096" s="14"/>
    </row>
    <row r="2097" spans="1:17" x14ac:dyDescent="0.25">
      <c r="A2097" s="5"/>
      <c r="B2097" s="6"/>
      <c r="C2097" s="4"/>
      <c r="D2097" s="4"/>
      <c r="E2097" s="12"/>
      <c r="F2097" s="12"/>
      <c r="G2097" s="16"/>
      <c r="H2097" s="14"/>
      <c r="I2097" s="14"/>
      <c r="J2097" s="14"/>
      <c r="K2097" s="14"/>
      <c r="L2097" s="14"/>
      <c r="M2097" s="14"/>
      <c r="N2097" s="14"/>
      <c r="O2097" s="4"/>
      <c r="P2097" s="14"/>
      <c r="Q2097" s="14"/>
    </row>
    <row r="2098" spans="1:17" x14ac:dyDescent="0.25">
      <c r="A2098" s="5"/>
      <c r="B2098" s="6"/>
      <c r="C2098" s="4"/>
      <c r="D2098" s="4"/>
      <c r="E2098" s="12"/>
      <c r="F2098" s="12"/>
      <c r="G2098" s="16"/>
      <c r="H2098" s="14"/>
      <c r="I2098" s="14"/>
      <c r="J2098" s="14"/>
      <c r="K2098" s="14"/>
      <c r="L2098" s="14"/>
      <c r="M2098" s="14"/>
      <c r="N2098" s="14"/>
      <c r="O2098" s="4"/>
      <c r="P2098" s="14"/>
      <c r="Q2098" s="14"/>
    </row>
    <row r="2099" spans="1:17" x14ac:dyDescent="0.25">
      <c r="A2099" s="5"/>
      <c r="B2099" s="6"/>
      <c r="C2099" s="4"/>
      <c r="D2099" s="4"/>
      <c r="E2099" s="12"/>
      <c r="F2099" s="12"/>
      <c r="G2099" s="16"/>
      <c r="H2099" s="14"/>
      <c r="I2099" s="14"/>
      <c r="J2099" s="14"/>
      <c r="K2099" s="14"/>
      <c r="L2099" s="14"/>
      <c r="M2099" s="14"/>
      <c r="N2099" s="14"/>
      <c r="O2099" s="4"/>
      <c r="P2099" s="14"/>
      <c r="Q2099" s="14"/>
    </row>
    <row r="2100" spans="1:17" x14ac:dyDescent="0.25">
      <c r="A2100" s="5"/>
      <c r="B2100" s="6"/>
      <c r="C2100" s="4"/>
      <c r="D2100" s="4"/>
      <c r="E2100" s="12"/>
      <c r="F2100" s="12"/>
      <c r="G2100" s="16"/>
      <c r="H2100" s="14"/>
      <c r="I2100" s="14"/>
      <c r="J2100" s="14"/>
      <c r="K2100" s="14"/>
      <c r="L2100" s="14"/>
      <c r="M2100" s="14"/>
      <c r="N2100" s="14"/>
      <c r="O2100" s="4"/>
      <c r="P2100" s="14"/>
      <c r="Q2100" s="14"/>
    </row>
    <row r="2101" spans="1:17" x14ac:dyDescent="0.25">
      <c r="A2101" s="5"/>
      <c r="B2101" s="6"/>
      <c r="C2101" s="4"/>
      <c r="D2101" s="4"/>
      <c r="E2101" s="12"/>
      <c r="F2101" s="12"/>
      <c r="G2101" s="16"/>
      <c r="H2101" s="14"/>
      <c r="I2101" s="14"/>
      <c r="J2101" s="14"/>
      <c r="K2101" s="14"/>
      <c r="L2101" s="14"/>
      <c r="M2101" s="14"/>
      <c r="N2101" s="14"/>
      <c r="O2101" s="4"/>
      <c r="P2101" s="14"/>
      <c r="Q2101" s="14"/>
    </row>
    <row r="2102" spans="1:17" x14ac:dyDescent="0.25">
      <c r="A2102" s="5"/>
      <c r="B2102" s="6"/>
      <c r="C2102" s="4"/>
      <c r="D2102" s="4"/>
      <c r="E2102" s="12"/>
      <c r="F2102" s="12"/>
      <c r="G2102" s="16"/>
      <c r="H2102" s="14"/>
      <c r="I2102" s="14"/>
      <c r="J2102" s="14"/>
      <c r="K2102" s="14"/>
      <c r="L2102" s="14"/>
      <c r="M2102" s="14"/>
      <c r="N2102" s="14"/>
      <c r="O2102" s="4"/>
      <c r="P2102" s="14"/>
      <c r="Q2102" s="14"/>
    </row>
    <row r="2103" spans="1:17" x14ac:dyDescent="0.25">
      <c r="A2103" s="5"/>
      <c r="B2103" s="6"/>
      <c r="C2103" s="4"/>
      <c r="D2103" s="4"/>
      <c r="E2103" s="12"/>
      <c r="F2103" s="12"/>
      <c r="G2103" s="16"/>
      <c r="H2103" s="14"/>
      <c r="I2103" s="14"/>
      <c r="J2103" s="14"/>
      <c r="K2103" s="14"/>
      <c r="L2103" s="14"/>
      <c r="M2103" s="14"/>
      <c r="N2103" s="14"/>
      <c r="O2103" s="4"/>
      <c r="P2103" s="14"/>
      <c r="Q2103" s="14"/>
    </row>
    <row r="2104" spans="1:17" x14ac:dyDescent="0.25">
      <c r="A2104" s="5"/>
      <c r="B2104" s="6"/>
      <c r="C2104" s="4"/>
      <c r="D2104" s="4"/>
      <c r="E2104" s="12"/>
      <c r="F2104" s="12"/>
      <c r="G2104" s="16"/>
      <c r="H2104" s="14"/>
      <c r="I2104" s="14"/>
      <c r="J2104" s="14"/>
      <c r="K2104" s="14"/>
      <c r="L2104" s="14"/>
      <c r="M2104" s="14"/>
      <c r="N2104" s="14"/>
      <c r="O2104" s="4"/>
      <c r="P2104" s="14"/>
      <c r="Q2104" s="14"/>
    </row>
    <row r="2105" spans="1:17" x14ac:dyDescent="0.25">
      <c r="A2105" s="5"/>
      <c r="B2105" s="6"/>
      <c r="C2105" s="4"/>
      <c r="D2105" s="4"/>
      <c r="E2105" s="12"/>
      <c r="F2105" s="12"/>
      <c r="G2105" s="16"/>
      <c r="H2105" s="14"/>
      <c r="I2105" s="14"/>
      <c r="J2105" s="14"/>
      <c r="K2105" s="14"/>
      <c r="L2105" s="14"/>
      <c r="M2105" s="14"/>
      <c r="N2105" s="14"/>
      <c r="O2105" s="4"/>
      <c r="P2105" s="14"/>
      <c r="Q2105" s="14"/>
    </row>
    <row r="2106" spans="1:17" x14ac:dyDescent="0.25">
      <c r="A2106" s="5"/>
      <c r="B2106" s="6"/>
      <c r="C2106" s="4"/>
      <c r="D2106" s="4"/>
      <c r="E2106" s="12"/>
      <c r="F2106" s="12"/>
      <c r="G2106" s="16"/>
      <c r="H2106" s="14"/>
      <c r="I2106" s="14"/>
      <c r="J2106" s="14"/>
      <c r="K2106" s="14"/>
      <c r="L2106" s="14"/>
      <c r="M2106" s="14"/>
      <c r="N2106" s="14"/>
      <c r="O2106" s="4"/>
      <c r="P2106" s="14"/>
      <c r="Q2106" s="14"/>
    </row>
    <row r="2107" spans="1:17" x14ac:dyDescent="0.25">
      <c r="A2107" s="5"/>
      <c r="B2107" s="6"/>
      <c r="C2107" s="4"/>
      <c r="D2107" s="4"/>
      <c r="E2107" s="12"/>
      <c r="F2107" s="12"/>
      <c r="G2107" s="16"/>
      <c r="H2107" s="14"/>
      <c r="I2107" s="14"/>
      <c r="J2107" s="14"/>
      <c r="K2107" s="14"/>
      <c r="L2107" s="14"/>
      <c r="M2107" s="14"/>
      <c r="N2107" s="14"/>
      <c r="O2107" s="4"/>
      <c r="P2107" s="14"/>
      <c r="Q2107" s="14"/>
    </row>
    <row r="2108" spans="1:17" x14ac:dyDescent="0.25">
      <c r="A2108" s="5"/>
      <c r="B2108" s="6"/>
      <c r="C2108" s="4"/>
      <c r="D2108" s="4"/>
      <c r="E2108" s="12"/>
      <c r="F2108" s="12"/>
      <c r="G2108" s="16"/>
      <c r="H2108" s="14"/>
      <c r="I2108" s="14"/>
      <c r="J2108" s="14"/>
      <c r="K2108" s="14"/>
      <c r="L2108" s="14"/>
      <c r="M2108" s="14"/>
      <c r="N2108" s="14"/>
      <c r="O2108" s="4"/>
      <c r="P2108" s="14"/>
      <c r="Q2108" s="14"/>
    </row>
    <row r="2109" spans="1:17" x14ac:dyDescent="0.25">
      <c r="A2109" s="5"/>
      <c r="B2109" s="6"/>
      <c r="C2109" s="4"/>
      <c r="D2109" s="4"/>
      <c r="E2109" s="12"/>
      <c r="F2109" s="12"/>
      <c r="G2109" s="16"/>
      <c r="H2109" s="14"/>
      <c r="I2109" s="14"/>
      <c r="J2109" s="14"/>
      <c r="K2109" s="14"/>
      <c r="L2109" s="14"/>
      <c r="M2109" s="14"/>
      <c r="N2109" s="14"/>
      <c r="O2109" s="4"/>
      <c r="P2109" s="14"/>
      <c r="Q2109" s="14"/>
    </row>
    <row r="2110" spans="1:17" x14ac:dyDescent="0.25">
      <c r="A2110" s="5"/>
      <c r="B2110" s="6"/>
      <c r="C2110" s="4"/>
      <c r="D2110" s="4"/>
      <c r="E2110" s="12"/>
      <c r="F2110" s="12"/>
      <c r="G2110" s="16"/>
      <c r="H2110" s="14"/>
      <c r="I2110" s="14"/>
      <c r="J2110" s="14"/>
      <c r="K2110" s="14"/>
      <c r="L2110" s="14"/>
      <c r="M2110" s="14"/>
      <c r="N2110" s="14"/>
      <c r="O2110" s="4"/>
      <c r="P2110" s="14"/>
      <c r="Q2110" s="14"/>
    </row>
    <row r="2111" spans="1:17" x14ac:dyDescent="0.25">
      <c r="A2111" s="5"/>
      <c r="B2111" s="6"/>
      <c r="C2111" s="4"/>
      <c r="D2111" s="4"/>
      <c r="E2111" s="12"/>
      <c r="F2111" s="12"/>
      <c r="G2111" s="16"/>
      <c r="H2111" s="14"/>
      <c r="I2111" s="14"/>
      <c r="J2111" s="14"/>
      <c r="K2111" s="14"/>
      <c r="L2111" s="14"/>
      <c r="M2111" s="14"/>
      <c r="N2111" s="14"/>
      <c r="O2111" s="4"/>
      <c r="P2111" s="14"/>
      <c r="Q2111" s="14"/>
    </row>
    <row r="2112" spans="1:17" x14ac:dyDescent="0.25">
      <c r="A2112" s="5"/>
      <c r="B2112" s="6"/>
      <c r="C2112" s="4"/>
      <c r="D2112" s="4"/>
      <c r="E2112" s="12"/>
      <c r="F2112" s="12"/>
      <c r="G2112" s="16"/>
      <c r="H2112" s="14"/>
      <c r="I2112" s="14"/>
      <c r="J2112" s="14"/>
      <c r="K2112" s="14"/>
      <c r="L2112" s="14"/>
      <c r="M2112" s="14"/>
      <c r="N2112" s="14"/>
      <c r="O2112" s="4"/>
      <c r="P2112" s="14"/>
      <c r="Q2112" s="14"/>
    </row>
    <row r="2113" spans="1:17" x14ac:dyDescent="0.25">
      <c r="A2113" s="5"/>
      <c r="B2113" s="6"/>
      <c r="C2113" s="4"/>
      <c r="D2113" s="4"/>
      <c r="E2113" s="12"/>
      <c r="F2113" s="12"/>
      <c r="G2113" s="16"/>
      <c r="H2113" s="14"/>
      <c r="I2113" s="14"/>
      <c r="J2113" s="14"/>
      <c r="K2113" s="14"/>
      <c r="L2113" s="14"/>
      <c r="M2113" s="14"/>
      <c r="N2113" s="14"/>
      <c r="O2113" s="4"/>
      <c r="P2113" s="14"/>
      <c r="Q2113" s="14"/>
    </row>
    <row r="2114" spans="1:17" x14ac:dyDescent="0.25">
      <c r="A2114" s="5"/>
      <c r="B2114" s="6"/>
      <c r="C2114" s="4"/>
      <c r="D2114" s="4"/>
      <c r="E2114" s="12"/>
      <c r="F2114" s="12"/>
      <c r="G2114" s="16"/>
      <c r="H2114" s="14"/>
      <c r="I2114" s="14"/>
      <c r="J2114" s="14"/>
      <c r="K2114" s="14"/>
      <c r="L2114" s="14"/>
      <c r="M2114" s="14"/>
      <c r="N2114" s="14"/>
      <c r="O2114" s="4"/>
      <c r="P2114" s="14"/>
      <c r="Q2114" s="14"/>
    </row>
    <row r="2115" spans="1:17" x14ac:dyDescent="0.25">
      <c r="A2115" s="5"/>
      <c r="B2115" s="6"/>
      <c r="C2115" s="4"/>
      <c r="D2115" s="4"/>
      <c r="E2115" s="12"/>
      <c r="F2115" s="12"/>
      <c r="G2115" s="16"/>
      <c r="H2115" s="14"/>
      <c r="I2115" s="14"/>
      <c r="J2115" s="14"/>
      <c r="K2115" s="14"/>
      <c r="L2115" s="14"/>
      <c r="M2115" s="14"/>
      <c r="N2115" s="14"/>
      <c r="O2115" s="4"/>
      <c r="P2115" s="14"/>
      <c r="Q2115" s="14"/>
    </row>
    <row r="2116" spans="1:17" x14ac:dyDescent="0.25">
      <c r="A2116" s="5"/>
      <c r="B2116" s="6"/>
      <c r="C2116" s="4"/>
      <c r="D2116" s="4"/>
      <c r="E2116" s="12"/>
      <c r="F2116" s="12"/>
      <c r="G2116" s="16"/>
      <c r="H2116" s="14"/>
      <c r="I2116" s="14"/>
      <c r="J2116" s="14"/>
      <c r="K2116" s="14"/>
      <c r="L2116" s="14"/>
      <c r="M2116" s="14"/>
      <c r="N2116" s="14"/>
      <c r="O2116" s="4"/>
      <c r="P2116" s="14"/>
      <c r="Q2116" s="14"/>
    </row>
    <row r="2117" spans="1:17" x14ac:dyDescent="0.25">
      <c r="A2117" s="5"/>
      <c r="B2117" s="6"/>
      <c r="C2117" s="4"/>
      <c r="D2117" s="4"/>
      <c r="E2117" s="12"/>
      <c r="F2117" s="12"/>
      <c r="G2117" s="16"/>
      <c r="H2117" s="14"/>
      <c r="I2117" s="14"/>
      <c r="J2117" s="14"/>
      <c r="K2117" s="14"/>
      <c r="L2117" s="14"/>
      <c r="M2117" s="14"/>
      <c r="N2117" s="14"/>
      <c r="O2117" s="4"/>
      <c r="P2117" s="14"/>
      <c r="Q2117" s="14"/>
    </row>
    <row r="2118" spans="1:17" x14ac:dyDescent="0.25">
      <c r="A2118" s="5"/>
      <c r="B2118" s="6"/>
      <c r="C2118" s="4"/>
      <c r="D2118" s="4"/>
      <c r="E2118" s="12"/>
      <c r="F2118" s="12"/>
      <c r="G2118" s="16"/>
      <c r="H2118" s="14"/>
      <c r="I2118" s="14"/>
      <c r="J2118" s="14"/>
      <c r="K2118" s="14"/>
      <c r="L2118" s="14"/>
      <c r="M2118" s="14"/>
      <c r="N2118" s="14"/>
      <c r="O2118" s="4"/>
      <c r="P2118" s="14"/>
      <c r="Q2118" s="14"/>
    </row>
    <row r="2119" spans="1:17" x14ac:dyDescent="0.25">
      <c r="A2119" s="5"/>
      <c r="B2119" s="6"/>
      <c r="C2119" s="4"/>
      <c r="D2119" s="4"/>
      <c r="E2119" s="12"/>
      <c r="F2119" s="12"/>
      <c r="G2119" s="16"/>
      <c r="H2119" s="14"/>
      <c r="I2119" s="14"/>
      <c r="J2119" s="14"/>
      <c r="K2119" s="14"/>
      <c r="L2119" s="14"/>
      <c r="M2119" s="14"/>
      <c r="N2119" s="14"/>
      <c r="O2119" s="4"/>
      <c r="P2119" s="14"/>
      <c r="Q2119" s="14"/>
    </row>
    <row r="2120" spans="1:17" x14ac:dyDescent="0.25">
      <c r="A2120" s="5"/>
      <c r="B2120" s="6"/>
      <c r="C2120" s="4"/>
      <c r="D2120" s="4"/>
      <c r="E2120" s="12"/>
      <c r="F2120" s="12"/>
      <c r="G2120" s="16"/>
      <c r="H2120" s="14"/>
      <c r="I2120" s="14"/>
      <c r="J2120" s="14"/>
      <c r="K2120" s="14"/>
      <c r="L2120" s="14"/>
      <c r="M2120" s="14"/>
      <c r="N2120" s="14"/>
      <c r="O2120" s="4"/>
      <c r="P2120" s="14"/>
      <c r="Q2120" s="14"/>
    </row>
    <row r="2121" spans="1:17" x14ac:dyDescent="0.25">
      <c r="A2121" s="5"/>
      <c r="B2121" s="6"/>
      <c r="C2121" s="4"/>
      <c r="D2121" s="4"/>
      <c r="E2121" s="12"/>
      <c r="F2121" s="12"/>
      <c r="G2121" s="16"/>
      <c r="H2121" s="14"/>
      <c r="I2121" s="14"/>
      <c r="J2121" s="14"/>
      <c r="K2121" s="14"/>
      <c r="L2121" s="14"/>
      <c r="M2121" s="14"/>
      <c r="N2121" s="14"/>
      <c r="O2121" s="4"/>
      <c r="P2121" s="14"/>
      <c r="Q2121" s="14"/>
    </row>
    <row r="2122" spans="1:17" x14ac:dyDescent="0.25">
      <c r="A2122" s="5"/>
      <c r="B2122" s="6"/>
      <c r="C2122" s="4"/>
      <c r="D2122" s="4"/>
      <c r="E2122" s="12"/>
      <c r="F2122" s="12"/>
      <c r="G2122" s="16"/>
      <c r="H2122" s="14"/>
      <c r="I2122" s="14"/>
      <c r="J2122" s="14"/>
      <c r="K2122" s="14"/>
      <c r="L2122" s="14"/>
      <c r="M2122" s="14"/>
      <c r="N2122" s="14"/>
      <c r="O2122" s="4"/>
      <c r="P2122" s="14"/>
      <c r="Q2122" s="14"/>
    </row>
    <row r="2123" spans="1:17" x14ac:dyDescent="0.25">
      <c r="A2123" s="5"/>
      <c r="B2123" s="6"/>
      <c r="C2123" s="4"/>
      <c r="D2123" s="4"/>
      <c r="E2123" s="12"/>
      <c r="F2123" s="12"/>
      <c r="G2123" s="16"/>
      <c r="H2123" s="14"/>
      <c r="I2123" s="14"/>
      <c r="J2123" s="14"/>
      <c r="K2123" s="14"/>
      <c r="L2123" s="14"/>
      <c r="M2123" s="14"/>
      <c r="N2123" s="14"/>
      <c r="O2123" s="4"/>
      <c r="P2123" s="14"/>
      <c r="Q2123" s="14"/>
    </row>
    <row r="2124" spans="1:17" x14ac:dyDescent="0.25">
      <c r="A2124" s="5"/>
      <c r="B2124" s="6"/>
      <c r="C2124" s="4"/>
      <c r="D2124" s="4"/>
      <c r="E2124" s="12"/>
      <c r="F2124" s="12"/>
      <c r="G2124" s="16"/>
      <c r="H2124" s="14"/>
      <c r="I2124" s="14"/>
      <c r="J2124" s="14"/>
      <c r="K2124" s="14"/>
      <c r="L2124" s="14"/>
      <c r="M2124" s="14"/>
      <c r="N2124" s="14"/>
      <c r="O2124" s="4"/>
      <c r="P2124" s="14"/>
      <c r="Q2124" s="14"/>
    </row>
    <row r="2125" spans="1:17" x14ac:dyDescent="0.25">
      <c r="A2125" s="5"/>
      <c r="B2125" s="6"/>
      <c r="C2125" s="4"/>
      <c r="D2125" s="4"/>
      <c r="E2125" s="12"/>
      <c r="F2125" s="12"/>
      <c r="G2125" s="16"/>
      <c r="H2125" s="14"/>
      <c r="I2125" s="14"/>
      <c r="J2125" s="14"/>
      <c r="K2125" s="14"/>
      <c r="L2125" s="14"/>
      <c r="M2125" s="14"/>
      <c r="N2125" s="14"/>
      <c r="O2125" s="4"/>
      <c r="P2125" s="14"/>
      <c r="Q2125" s="14"/>
    </row>
    <row r="2126" spans="1:17" x14ac:dyDescent="0.25">
      <c r="A2126" s="5"/>
      <c r="B2126" s="6"/>
      <c r="C2126" s="4"/>
      <c r="D2126" s="4"/>
      <c r="E2126" s="12"/>
      <c r="F2126" s="12"/>
      <c r="G2126" s="16"/>
      <c r="H2126" s="14"/>
      <c r="I2126" s="14"/>
      <c r="J2126" s="14"/>
      <c r="K2126" s="14"/>
      <c r="L2126" s="14"/>
      <c r="M2126" s="14"/>
      <c r="N2126" s="14"/>
      <c r="O2126" s="4"/>
      <c r="P2126" s="14"/>
      <c r="Q2126" s="14"/>
    </row>
    <row r="2127" spans="1:17" x14ac:dyDescent="0.25">
      <c r="A2127" s="5"/>
      <c r="B2127" s="6"/>
      <c r="C2127" s="4"/>
      <c r="D2127" s="4"/>
      <c r="E2127" s="12"/>
      <c r="F2127" s="12"/>
      <c r="G2127" s="16"/>
      <c r="H2127" s="14"/>
      <c r="I2127" s="14"/>
      <c r="J2127" s="14"/>
      <c r="K2127" s="14"/>
      <c r="L2127" s="14"/>
      <c r="M2127" s="14"/>
      <c r="N2127" s="14"/>
      <c r="O2127" s="4"/>
      <c r="P2127" s="14"/>
      <c r="Q2127" s="14"/>
    </row>
    <row r="2128" spans="1:17" x14ac:dyDescent="0.25">
      <c r="A2128" s="5"/>
      <c r="B2128" s="6"/>
      <c r="C2128" s="4"/>
      <c r="D2128" s="4"/>
      <c r="E2128" s="12"/>
      <c r="F2128" s="12"/>
      <c r="G2128" s="16"/>
      <c r="H2128" s="14"/>
      <c r="I2128" s="14"/>
      <c r="J2128" s="14"/>
      <c r="K2128" s="14"/>
      <c r="L2128" s="14"/>
      <c r="M2128" s="14"/>
      <c r="N2128" s="14"/>
      <c r="O2128" s="4"/>
      <c r="P2128" s="14"/>
      <c r="Q2128" s="14"/>
    </row>
    <row r="2129" spans="1:17" x14ac:dyDescent="0.25">
      <c r="A2129" s="5"/>
      <c r="B2129" s="6"/>
      <c r="C2129" s="4"/>
      <c r="D2129" s="4"/>
      <c r="E2129" s="12"/>
      <c r="F2129" s="12"/>
      <c r="G2129" s="16"/>
      <c r="H2129" s="14"/>
      <c r="I2129" s="14"/>
      <c r="J2129" s="14"/>
      <c r="K2129" s="14"/>
      <c r="L2129" s="14"/>
      <c r="M2129" s="14"/>
      <c r="N2129" s="14"/>
      <c r="O2129" s="4"/>
      <c r="P2129" s="14"/>
      <c r="Q2129" s="14"/>
    </row>
    <row r="2130" spans="1:17" x14ac:dyDescent="0.25">
      <c r="A2130" s="5"/>
      <c r="B2130" s="6"/>
      <c r="C2130" s="4"/>
      <c r="D2130" s="4"/>
      <c r="E2130" s="12"/>
      <c r="F2130" s="12"/>
      <c r="G2130" s="16"/>
      <c r="H2130" s="14"/>
      <c r="I2130" s="14"/>
      <c r="J2130" s="14"/>
      <c r="K2130" s="14"/>
      <c r="L2130" s="14"/>
      <c r="M2130" s="14"/>
      <c r="N2130" s="14"/>
      <c r="O2130" s="4"/>
      <c r="P2130" s="14"/>
      <c r="Q2130" s="14"/>
    </row>
    <row r="2131" spans="1:17" x14ac:dyDescent="0.25">
      <c r="A2131" s="5"/>
      <c r="B2131" s="6"/>
      <c r="C2131" s="4"/>
      <c r="D2131" s="4"/>
      <c r="E2131" s="12"/>
      <c r="F2131" s="12"/>
      <c r="G2131" s="16"/>
      <c r="H2131" s="14"/>
      <c r="I2131" s="14"/>
      <c r="J2131" s="14"/>
      <c r="K2131" s="14"/>
      <c r="L2131" s="14"/>
      <c r="M2131" s="14"/>
      <c r="N2131" s="14"/>
      <c r="O2131" s="4"/>
      <c r="P2131" s="14"/>
      <c r="Q2131" s="14"/>
    </row>
    <row r="2132" spans="1:17" x14ac:dyDescent="0.25">
      <c r="A2132" s="5"/>
      <c r="B2132" s="6"/>
      <c r="C2132" s="4"/>
      <c r="D2132" s="4"/>
      <c r="E2132" s="12"/>
      <c r="F2132" s="12"/>
      <c r="G2132" s="16"/>
      <c r="H2132" s="14"/>
      <c r="I2132" s="14"/>
      <c r="J2132" s="14"/>
      <c r="K2132" s="14"/>
      <c r="L2132" s="14"/>
      <c r="M2132" s="14"/>
      <c r="N2132" s="14"/>
      <c r="O2132" s="4"/>
      <c r="P2132" s="14"/>
      <c r="Q2132" s="14"/>
    </row>
    <row r="2133" spans="1:17" x14ac:dyDescent="0.25">
      <c r="A2133" s="5"/>
      <c r="B2133" s="6"/>
      <c r="C2133" s="4"/>
      <c r="D2133" s="4"/>
      <c r="E2133" s="12"/>
      <c r="F2133" s="12"/>
      <c r="G2133" s="16"/>
      <c r="H2133" s="14"/>
      <c r="I2133" s="14"/>
      <c r="J2133" s="14"/>
      <c r="K2133" s="14"/>
      <c r="L2133" s="14"/>
      <c r="M2133" s="14"/>
      <c r="N2133" s="14"/>
      <c r="O2133" s="4"/>
      <c r="P2133" s="14"/>
      <c r="Q2133" s="14"/>
    </row>
    <row r="2134" spans="1:17" x14ac:dyDescent="0.25">
      <c r="A2134" s="5"/>
      <c r="B2134" s="6"/>
      <c r="C2134" s="4"/>
      <c r="D2134" s="4"/>
      <c r="E2134" s="12"/>
      <c r="F2134" s="12"/>
      <c r="G2134" s="16"/>
      <c r="H2134" s="14"/>
      <c r="I2134" s="14"/>
      <c r="J2134" s="14"/>
      <c r="K2134" s="14"/>
      <c r="L2134" s="14"/>
      <c r="M2134" s="14"/>
      <c r="N2134" s="14"/>
      <c r="O2134" s="4"/>
      <c r="P2134" s="14"/>
      <c r="Q2134" s="14"/>
    </row>
    <row r="2135" spans="1:17" x14ac:dyDescent="0.25">
      <c r="A2135" s="5"/>
      <c r="B2135" s="6"/>
      <c r="C2135" s="4"/>
      <c r="D2135" s="4"/>
      <c r="E2135" s="12"/>
      <c r="F2135" s="12"/>
      <c r="G2135" s="16"/>
      <c r="H2135" s="14"/>
      <c r="I2135" s="14"/>
      <c r="J2135" s="14"/>
      <c r="K2135" s="14"/>
      <c r="L2135" s="14"/>
      <c r="M2135" s="14"/>
      <c r="N2135" s="14"/>
      <c r="O2135" s="4"/>
      <c r="P2135" s="14"/>
      <c r="Q2135" s="14"/>
    </row>
    <row r="2136" spans="1:17" x14ac:dyDescent="0.25">
      <c r="A2136" s="5"/>
      <c r="B2136" s="6"/>
      <c r="C2136" s="4"/>
      <c r="D2136" s="4"/>
      <c r="E2136" s="12"/>
      <c r="F2136" s="12"/>
      <c r="G2136" s="16"/>
      <c r="H2136" s="14"/>
      <c r="I2136" s="14"/>
      <c r="J2136" s="14"/>
      <c r="K2136" s="14"/>
      <c r="L2136" s="14"/>
      <c r="M2136" s="14"/>
      <c r="N2136" s="14"/>
      <c r="O2136" s="4"/>
      <c r="P2136" s="14"/>
      <c r="Q2136" s="14"/>
    </row>
    <row r="2137" spans="1:17" x14ac:dyDescent="0.25">
      <c r="A2137" s="5"/>
      <c r="B2137" s="6"/>
      <c r="C2137" s="4"/>
      <c r="D2137" s="4"/>
      <c r="E2137" s="12"/>
      <c r="F2137" s="12"/>
      <c r="G2137" s="16"/>
      <c r="H2137" s="14"/>
      <c r="I2137" s="14"/>
      <c r="J2137" s="14"/>
      <c r="K2137" s="14"/>
      <c r="L2137" s="14"/>
      <c r="M2137" s="14"/>
      <c r="N2137" s="14"/>
      <c r="O2137" s="4"/>
      <c r="P2137" s="14"/>
      <c r="Q2137" s="14"/>
    </row>
    <row r="2138" spans="1:17" x14ac:dyDescent="0.25">
      <c r="A2138" s="5"/>
      <c r="B2138" s="6"/>
      <c r="C2138" s="4"/>
      <c r="D2138" s="4"/>
      <c r="E2138" s="12"/>
      <c r="F2138" s="12"/>
      <c r="G2138" s="16"/>
      <c r="H2138" s="14"/>
      <c r="I2138" s="14"/>
      <c r="J2138" s="14"/>
      <c r="K2138" s="14"/>
      <c r="L2138" s="14"/>
      <c r="M2138" s="14"/>
      <c r="N2138" s="14"/>
      <c r="O2138" s="4"/>
      <c r="P2138" s="14"/>
      <c r="Q2138" s="14"/>
    </row>
    <row r="2139" spans="1:17" x14ac:dyDescent="0.25">
      <c r="A2139" s="5"/>
      <c r="B2139" s="6"/>
      <c r="C2139" s="4"/>
      <c r="D2139" s="4"/>
      <c r="E2139" s="12"/>
      <c r="F2139" s="12"/>
      <c r="G2139" s="16"/>
      <c r="H2139" s="14"/>
      <c r="I2139" s="14"/>
      <c r="J2139" s="14"/>
      <c r="K2139" s="14"/>
      <c r="L2139" s="14"/>
      <c r="M2139" s="14"/>
      <c r="N2139" s="14"/>
      <c r="O2139" s="4"/>
      <c r="P2139" s="14"/>
      <c r="Q2139" s="14"/>
    </row>
    <row r="2140" spans="1:17" x14ac:dyDescent="0.25">
      <c r="A2140" s="5"/>
      <c r="B2140" s="6"/>
      <c r="C2140" s="4"/>
      <c r="D2140" s="4"/>
      <c r="E2140" s="12"/>
      <c r="F2140" s="12"/>
      <c r="G2140" s="16"/>
      <c r="H2140" s="14"/>
      <c r="I2140" s="14"/>
      <c r="J2140" s="14"/>
      <c r="K2140" s="14"/>
      <c r="L2140" s="14"/>
      <c r="M2140" s="14"/>
      <c r="N2140" s="14"/>
      <c r="O2140" s="4"/>
      <c r="P2140" s="14"/>
      <c r="Q2140" s="14"/>
    </row>
    <row r="2141" spans="1:17" x14ac:dyDescent="0.25">
      <c r="A2141" s="5"/>
      <c r="B2141" s="6"/>
      <c r="C2141" s="4"/>
      <c r="D2141" s="4"/>
      <c r="E2141" s="12"/>
      <c r="F2141" s="12"/>
      <c r="G2141" s="16"/>
      <c r="H2141" s="14"/>
      <c r="I2141" s="14"/>
      <c r="J2141" s="14"/>
      <c r="K2141" s="14"/>
      <c r="L2141" s="14"/>
      <c r="M2141" s="14"/>
      <c r="N2141" s="14"/>
      <c r="O2141" s="4"/>
      <c r="P2141" s="14"/>
      <c r="Q2141" s="14"/>
    </row>
    <row r="2142" spans="1:17" x14ac:dyDescent="0.25">
      <c r="A2142" s="5"/>
      <c r="B2142" s="6"/>
      <c r="C2142" s="4"/>
      <c r="D2142" s="4"/>
      <c r="E2142" s="12"/>
      <c r="F2142" s="12"/>
      <c r="G2142" s="16"/>
      <c r="H2142" s="14"/>
      <c r="I2142" s="14"/>
      <c r="J2142" s="14"/>
      <c r="K2142" s="14"/>
      <c r="L2142" s="14"/>
      <c r="M2142" s="14"/>
      <c r="N2142" s="14"/>
      <c r="O2142" s="4"/>
      <c r="P2142" s="14"/>
      <c r="Q2142" s="14"/>
    </row>
    <row r="2143" spans="1:17" x14ac:dyDescent="0.25">
      <c r="A2143" s="5"/>
      <c r="B2143" s="6"/>
      <c r="C2143" s="4"/>
      <c r="D2143" s="4"/>
      <c r="E2143" s="12"/>
      <c r="F2143" s="12"/>
      <c r="G2143" s="16"/>
      <c r="H2143" s="14"/>
      <c r="I2143" s="14"/>
      <c r="J2143" s="14"/>
      <c r="K2143" s="14"/>
      <c r="L2143" s="14"/>
      <c r="M2143" s="14"/>
      <c r="N2143" s="14"/>
      <c r="O2143" s="4"/>
      <c r="P2143" s="14"/>
      <c r="Q2143" s="14"/>
    </row>
    <row r="2144" spans="1:17" x14ac:dyDescent="0.25">
      <c r="A2144" s="5"/>
      <c r="B2144" s="6"/>
      <c r="C2144" s="4"/>
      <c r="D2144" s="4"/>
      <c r="E2144" s="12"/>
      <c r="F2144" s="12"/>
      <c r="G2144" s="16"/>
      <c r="H2144" s="14"/>
      <c r="I2144" s="14"/>
      <c r="J2144" s="14"/>
      <c r="K2144" s="14"/>
      <c r="L2144" s="14"/>
      <c r="M2144" s="14"/>
      <c r="N2144" s="14"/>
      <c r="O2144" s="4"/>
      <c r="P2144" s="14"/>
      <c r="Q2144" s="14"/>
    </row>
    <row r="2145" spans="1:17" x14ac:dyDescent="0.25">
      <c r="A2145" s="5"/>
      <c r="B2145" s="6"/>
      <c r="C2145" s="4"/>
      <c r="D2145" s="4"/>
      <c r="E2145" s="12"/>
      <c r="F2145" s="12"/>
      <c r="G2145" s="16"/>
      <c r="H2145" s="14"/>
      <c r="I2145" s="14"/>
      <c r="J2145" s="14"/>
      <c r="K2145" s="14"/>
      <c r="L2145" s="14"/>
      <c r="M2145" s="14"/>
      <c r="N2145" s="14"/>
      <c r="O2145" s="4"/>
      <c r="P2145" s="14"/>
      <c r="Q2145" s="14"/>
    </row>
    <row r="2146" spans="1:17" x14ac:dyDescent="0.25">
      <c r="A2146" s="5"/>
      <c r="B2146" s="6"/>
      <c r="C2146" s="4"/>
      <c r="D2146" s="4"/>
      <c r="E2146" s="12"/>
      <c r="F2146" s="12"/>
      <c r="G2146" s="16"/>
      <c r="H2146" s="14"/>
      <c r="I2146" s="14"/>
      <c r="J2146" s="14"/>
      <c r="K2146" s="14"/>
      <c r="L2146" s="14"/>
      <c r="M2146" s="14"/>
      <c r="N2146" s="14"/>
      <c r="O2146" s="4"/>
      <c r="P2146" s="14"/>
      <c r="Q2146" s="14"/>
    </row>
    <row r="2147" spans="1:17" x14ac:dyDescent="0.25">
      <c r="A2147" s="5"/>
      <c r="B2147" s="6"/>
      <c r="C2147" s="4"/>
      <c r="D2147" s="4"/>
      <c r="E2147" s="12"/>
      <c r="F2147" s="12"/>
      <c r="G2147" s="16"/>
      <c r="H2147" s="14"/>
      <c r="I2147" s="14"/>
      <c r="J2147" s="14"/>
      <c r="K2147" s="14"/>
      <c r="L2147" s="14"/>
      <c r="M2147" s="14"/>
      <c r="N2147" s="14"/>
      <c r="O2147" s="4"/>
      <c r="P2147" s="14"/>
      <c r="Q2147" s="14"/>
    </row>
    <row r="2148" spans="1:17" x14ac:dyDescent="0.25">
      <c r="A2148" s="5"/>
      <c r="B2148" s="6"/>
      <c r="C2148" s="4"/>
      <c r="D2148" s="4"/>
      <c r="E2148" s="12"/>
      <c r="F2148" s="12"/>
      <c r="G2148" s="16"/>
      <c r="H2148" s="14"/>
      <c r="I2148" s="14"/>
      <c r="J2148" s="14"/>
      <c r="K2148" s="14"/>
      <c r="L2148" s="14"/>
      <c r="M2148" s="14"/>
      <c r="N2148" s="14"/>
      <c r="O2148" s="4"/>
      <c r="P2148" s="14"/>
      <c r="Q2148" s="14"/>
    </row>
    <row r="2149" spans="1:17" x14ac:dyDescent="0.25">
      <c r="A2149" s="5"/>
      <c r="B2149" s="6"/>
      <c r="C2149" s="4"/>
      <c r="D2149" s="4"/>
      <c r="E2149" s="12"/>
      <c r="F2149" s="12"/>
      <c r="G2149" s="16"/>
      <c r="H2149" s="14"/>
      <c r="I2149" s="14"/>
      <c r="J2149" s="14"/>
      <c r="K2149" s="14"/>
      <c r="L2149" s="14"/>
      <c r="M2149" s="14"/>
      <c r="N2149" s="14"/>
      <c r="O2149" s="4"/>
      <c r="P2149" s="14"/>
      <c r="Q2149" s="14"/>
    </row>
    <row r="2150" spans="1:17" x14ac:dyDescent="0.25">
      <c r="A2150" s="5"/>
      <c r="B2150" s="6"/>
      <c r="C2150" s="4"/>
      <c r="D2150" s="4"/>
      <c r="E2150" s="12"/>
      <c r="F2150" s="12"/>
      <c r="G2150" s="16"/>
      <c r="H2150" s="14"/>
      <c r="I2150" s="14"/>
      <c r="J2150" s="14"/>
      <c r="K2150" s="14"/>
      <c r="L2150" s="14"/>
      <c r="M2150" s="14"/>
      <c r="N2150" s="14"/>
      <c r="O2150" s="4"/>
      <c r="P2150" s="14"/>
      <c r="Q2150" s="14"/>
    </row>
    <row r="2151" spans="1:17" x14ac:dyDescent="0.25">
      <c r="A2151" s="5"/>
      <c r="B2151" s="6"/>
      <c r="C2151" s="4"/>
      <c r="D2151" s="4"/>
      <c r="E2151" s="12"/>
      <c r="F2151" s="12"/>
      <c r="G2151" s="16"/>
      <c r="H2151" s="14"/>
      <c r="I2151" s="14"/>
      <c r="J2151" s="14"/>
      <c r="K2151" s="14"/>
      <c r="L2151" s="14"/>
      <c r="M2151" s="14"/>
      <c r="N2151" s="14"/>
      <c r="O2151" s="4"/>
      <c r="P2151" s="14"/>
      <c r="Q2151" s="14"/>
    </row>
    <row r="2152" spans="1:17" x14ac:dyDescent="0.25">
      <c r="A2152" s="5"/>
      <c r="B2152" s="6"/>
      <c r="C2152" s="4"/>
      <c r="D2152" s="4"/>
      <c r="E2152" s="12"/>
      <c r="F2152" s="12"/>
      <c r="G2152" s="16"/>
      <c r="H2152" s="14"/>
      <c r="I2152" s="14"/>
      <c r="J2152" s="14"/>
      <c r="K2152" s="14"/>
      <c r="L2152" s="14"/>
      <c r="M2152" s="14"/>
      <c r="N2152" s="14"/>
      <c r="O2152" s="4"/>
      <c r="P2152" s="14"/>
      <c r="Q2152" s="14"/>
    </row>
    <row r="2153" spans="1:17" x14ac:dyDescent="0.25">
      <c r="A2153" s="5"/>
      <c r="B2153" s="6"/>
      <c r="C2153" s="4"/>
      <c r="D2153" s="4"/>
      <c r="E2153" s="12"/>
      <c r="F2153" s="12"/>
      <c r="G2153" s="16"/>
      <c r="H2153" s="14"/>
      <c r="I2153" s="14"/>
      <c r="J2153" s="14"/>
      <c r="K2153" s="14"/>
      <c r="L2153" s="14"/>
      <c r="M2153" s="14"/>
      <c r="N2153" s="14"/>
      <c r="O2153" s="4"/>
      <c r="P2153" s="14"/>
      <c r="Q2153" s="14"/>
    </row>
    <row r="2154" spans="1:17" x14ac:dyDescent="0.25">
      <c r="A2154" s="5"/>
      <c r="B2154" s="6"/>
      <c r="C2154" s="4"/>
      <c r="D2154" s="4"/>
      <c r="E2154" s="12"/>
      <c r="F2154" s="12"/>
      <c r="G2154" s="16"/>
      <c r="H2154" s="14"/>
      <c r="I2154" s="14"/>
      <c r="J2154" s="14"/>
      <c r="K2154" s="14"/>
      <c r="L2154" s="14"/>
      <c r="M2154" s="14"/>
      <c r="N2154" s="14"/>
      <c r="O2154" s="4"/>
      <c r="P2154" s="14"/>
      <c r="Q2154" s="14"/>
    </row>
    <row r="2155" spans="1:17" x14ac:dyDescent="0.25">
      <c r="A2155" s="5"/>
      <c r="B2155" s="6"/>
      <c r="C2155" s="4"/>
      <c r="D2155" s="4"/>
      <c r="E2155" s="12"/>
      <c r="F2155" s="12"/>
      <c r="G2155" s="16"/>
      <c r="H2155" s="14"/>
      <c r="I2155" s="14"/>
      <c r="J2155" s="14"/>
      <c r="K2155" s="14"/>
      <c r="L2155" s="14"/>
      <c r="M2155" s="14"/>
      <c r="N2155" s="14"/>
      <c r="O2155" s="4"/>
      <c r="P2155" s="14"/>
      <c r="Q2155" s="14"/>
    </row>
    <row r="2156" spans="1:17" x14ac:dyDescent="0.25">
      <c r="A2156" s="5"/>
      <c r="B2156" s="6"/>
      <c r="C2156" s="4"/>
      <c r="D2156" s="4"/>
      <c r="E2156" s="12"/>
      <c r="F2156" s="12"/>
      <c r="G2156" s="16"/>
      <c r="H2156" s="14"/>
      <c r="I2156" s="14"/>
      <c r="J2156" s="14"/>
      <c r="K2156" s="14"/>
      <c r="L2156" s="14"/>
      <c r="M2156" s="14"/>
      <c r="N2156" s="14"/>
      <c r="O2156" s="4"/>
      <c r="P2156" s="14"/>
      <c r="Q2156" s="14"/>
    </row>
    <row r="2157" spans="1:17" x14ac:dyDescent="0.25">
      <c r="A2157" s="5"/>
      <c r="B2157" s="6"/>
      <c r="C2157" s="4"/>
      <c r="D2157" s="4"/>
      <c r="E2157" s="12"/>
      <c r="F2157" s="12"/>
      <c r="G2157" s="16"/>
      <c r="H2157" s="14"/>
      <c r="I2157" s="14"/>
      <c r="J2157" s="14"/>
      <c r="K2157" s="14"/>
      <c r="L2157" s="14"/>
      <c r="M2157" s="14"/>
      <c r="N2157" s="14"/>
      <c r="O2157" s="4"/>
      <c r="P2157" s="14"/>
      <c r="Q2157" s="14"/>
    </row>
    <row r="2158" spans="1:17" x14ac:dyDescent="0.25">
      <c r="A2158" s="5"/>
      <c r="B2158" s="6"/>
      <c r="C2158" s="4"/>
      <c r="D2158" s="4"/>
      <c r="E2158" s="12"/>
      <c r="F2158" s="12"/>
      <c r="G2158" s="16"/>
      <c r="H2158" s="14"/>
      <c r="I2158" s="14"/>
      <c r="J2158" s="14"/>
      <c r="K2158" s="14"/>
      <c r="L2158" s="14"/>
      <c r="M2158" s="14"/>
      <c r="N2158" s="14"/>
      <c r="O2158" s="4"/>
      <c r="P2158" s="14"/>
      <c r="Q2158" s="14"/>
    </row>
    <row r="2159" spans="1:17" x14ac:dyDescent="0.25">
      <c r="A2159" s="5"/>
      <c r="B2159" s="6"/>
      <c r="C2159" s="4"/>
      <c r="D2159" s="4"/>
      <c r="E2159" s="12"/>
      <c r="F2159" s="12"/>
      <c r="G2159" s="16"/>
      <c r="H2159" s="14"/>
      <c r="I2159" s="14"/>
      <c r="J2159" s="14"/>
      <c r="K2159" s="14"/>
      <c r="L2159" s="14"/>
      <c r="M2159" s="14"/>
      <c r="N2159" s="14"/>
      <c r="O2159" s="4"/>
      <c r="P2159" s="14"/>
      <c r="Q2159" s="14"/>
    </row>
    <row r="2160" spans="1:17" x14ac:dyDescent="0.25">
      <c r="A2160" s="5"/>
      <c r="B2160" s="6"/>
      <c r="C2160" s="4"/>
      <c r="D2160" s="4"/>
      <c r="E2160" s="12"/>
      <c r="F2160" s="12"/>
      <c r="G2160" s="16"/>
      <c r="H2160" s="14"/>
      <c r="I2160" s="14"/>
      <c r="J2160" s="14"/>
      <c r="K2160" s="14"/>
      <c r="L2160" s="14"/>
      <c r="M2160" s="14"/>
      <c r="N2160" s="14"/>
      <c r="O2160" s="4"/>
      <c r="P2160" s="14"/>
      <c r="Q2160" s="14"/>
    </row>
    <row r="2161" spans="1:17" x14ac:dyDescent="0.25">
      <c r="A2161" s="5"/>
      <c r="B2161" s="6"/>
      <c r="C2161" s="4"/>
      <c r="D2161" s="4"/>
      <c r="E2161" s="12"/>
      <c r="F2161" s="12"/>
      <c r="G2161" s="16"/>
      <c r="H2161" s="14"/>
      <c r="I2161" s="14"/>
      <c r="J2161" s="14"/>
      <c r="K2161" s="14"/>
      <c r="L2161" s="14"/>
      <c r="M2161" s="14"/>
      <c r="N2161" s="14"/>
      <c r="O2161" s="4"/>
      <c r="P2161" s="14"/>
      <c r="Q2161" s="14"/>
    </row>
    <row r="2162" spans="1:17" x14ac:dyDescent="0.25">
      <c r="A2162" s="5"/>
      <c r="B2162" s="6"/>
      <c r="C2162" s="4"/>
      <c r="D2162" s="4"/>
      <c r="E2162" s="12"/>
      <c r="F2162" s="12"/>
      <c r="G2162" s="16"/>
      <c r="H2162" s="14"/>
      <c r="I2162" s="14"/>
      <c r="J2162" s="14"/>
      <c r="K2162" s="14"/>
      <c r="L2162" s="14"/>
      <c r="M2162" s="14"/>
      <c r="N2162" s="14"/>
      <c r="O2162" s="4"/>
      <c r="P2162" s="14"/>
      <c r="Q2162" s="14"/>
    </row>
    <row r="2163" spans="1:17" x14ac:dyDescent="0.25">
      <c r="A2163" s="5"/>
      <c r="B2163" s="6"/>
      <c r="C2163" s="4"/>
      <c r="D2163" s="4"/>
      <c r="E2163" s="12"/>
      <c r="F2163" s="12"/>
      <c r="G2163" s="16"/>
      <c r="H2163" s="14"/>
      <c r="I2163" s="14"/>
      <c r="J2163" s="14"/>
      <c r="K2163" s="14"/>
      <c r="L2163" s="14"/>
      <c r="M2163" s="14"/>
      <c r="N2163" s="14"/>
      <c r="O2163" s="4"/>
      <c r="P2163" s="14"/>
      <c r="Q2163" s="14"/>
    </row>
    <row r="2164" spans="1:17" x14ac:dyDescent="0.25">
      <c r="A2164" s="5"/>
      <c r="B2164" s="6"/>
      <c r="C2164" s="4"/>
      <c r="D2164" s="4"/>
      <c r="E2164" s="12"/>
      <c r="F2164" s="12"/>
      <c r="G2164" s="16"/>
      <c r="H2164" s="14"/>
      <c r="I2164" s="14"/>
      <c r="J2164" s="14"/>
      <c r="K2164" s="14"/>
      <c r="L2164" s="14"/>
      <c r="M2164" s="14"/>
      <c r="N2164" s="14"/>
      <c r="O2164" s="4"/>
      <c r="P2164" s="14"/>
      <c r="Q2164" s="14"/>
    </row>
    <row r="2165" spans="1:17" x14ac:dyDescent="0.25">
      <c r="A2165" s="5"/>
      <c r="B2165" s="6"/>
      <c r="C2165" s="4"/>
      <c r="D2165" s="4"/>
      <c r="E2165" s="12"/>
      <c r="F2165" s="12"/>
      <c r="G2165" s="16"/>
      <c r="H2165" s="14"/>
      <c r="I2165" s="14"/>
      <c r="J2165" s="14"/>
      <c r="K2165" s="14"/>
      <c r="L2165" s="14"/>
      <c r="M2165" s="14"/>
      <c r="N2165" s="14"/>
      <c r="O2165" s="4"/>
      <c r="P2165" s="14"/>
      <c r="Q2165" s="14"/>
    </row>
    <row r="2166" spans="1:17" x14ac:dyDescent="0.25">
      <c r="A2166" s="5"/>
      <c r="B2166" s="6"/>
      <c r="C2166" s="4"/>
      <c r="D2166" s="4"/>
      <c r="E2166" s="12"/>
      <c r="F2166" s="12"/>
      <c r="G2166" s="16"/>
      <c r="H2166" s="14"/>
      <c r="I2166" s="14"/>
      <c r="J2166" s="14"/>
      <c r="K2166" s="14"/>
      <c r="L2166" s="14"/>
      <c r="M2166" s="14"/>
      <c r="N2166" s="14"/>
      <c r="O2166" s="4"/>
      <c r="P2166" s="14"/>
      <c r="Q2166" s="14"/>
    </row>
    <row r="2167" spans="1:17" x14ac:dyDescent="0.25">
      <c r="A2167" s="5"/>
      <c r="B2167" s="6"/>
      <c r="C2167" s="4"/>
      <c r="D2167" s="4"/>
      <c r="E2167" s="12"/>
      <c r="F2167" s="12"/>
      <c r="G2167" s="16"/>
      <c r="H2167" s="14"/>
      <c r="I2167" s="14"/>
      <c r="J2167" s="14"/>
      <c r="K2167" s="14"/>
      <c r="L2167" s="14"/>
      <c r="M2167" s="14"/>
      <c r="N2167" s="14"/>
      <c r="O2167" s="4"/>
      <c r="P2167" s="14"/>
      <c r="Q2167" s="14"/>
    </row>
    <row r="2168" spans="1:17" x14ac:dyDescent="0.25">
      <c r="A2168" s="5"/>
      <c r="B2168" s="6"/>
      <c r="C2168" s="4"/>
      <c r="D2168" s="4"/>
      <c r="E2168" s="12"/>
      <c r="F2168" s="12"/>
      <c r="G2168" s="16"/>
      <c r="H2168" s="14"/>
      <c r="I2168" s="14"/>
      <c r="J2168" s="14"/>
      <c r="K2168" s="14"/>
      <c r="L2168" s="14"/>
      <c r="M2168" s="14"/>
      <c r="N2168" s="14"/>
      <c r="O2168" s="4"/>
      <c r="P2168" s="14"/>
      <c r="Q2168" s="14"/>
    </row>
    <row r="2169" spans="1:17" x14ac:dyDescent="0.25">
      <c r="A2169" s="5"/>
      <c r="B2169" s="6"/>
      <c r="C2169" s="4"/>
      <c r="D2169" s="4"/>
      <c r="E2169" s="12"/>
      <c r="F2169" s="12"/>
      <c r="G2169" s="16"/>
      <c r="H2169" s="14"/>
      <c r="I2169" s="14"/>
      <c r="J2169" s="14"/>
      <c r="K2169" s="14"/>
      <c r="L2169" s="14"/>
      <c r="M2169" s="14"/>
      <c r="N2169" s="14"/>
      <c r="O2169" s="4"/>
      <c r="P2169" s="14"/>
      <c r="Q2169" s="14"/>
    </row>
    <row r="2170" spans="1:17" x14ac:dyDescent="0.25">
      <c r="A2170" s="5"/>
      <c r="B2170" s="6"/>
      <c r="C2170" s="4"/>
      <c r="D2170" s="4"/>
      <c r="E2170" s="12"/>
      <c r="F2170" s="12"/>
      <c r="G2170" s="16"/>
      <c r="H2170" s="14"/>
      <c r="I2170" s="14"/>
      <c r="J2170" s="14"/>
      <c r="K2170" s="14"/>
      <c r="L2170" s="14"/>
      <c r="M2170" s="14"/>
      <c r="N2170" s="14"/>
      <c r="O2170" s="4"/>
      <c r="P2170" s="14"/>
      <c r="Q2170" s="14"/>
    </row>
    <row r="2171" spans="1:17" x14ac:dyDescent="0.25">
      <c r="A2171" s="5"/>
      <c r="B2171" s="6"/>
      <c r="C2171" s="4"/>
      <c r="D2171" s="4"/>
      <c r="E2171" s="12"/>
      <c r="F2171" s="12"/>
      <c r="G2171" s="16"/>
      <c r="H2171" s="14"/>
      <c r="I2171" s="14"/>
      <c r="J2171" s="14"/>
      <c r="K2171" s="14"/>
      <c r="L2171" s="14"/>
      <c r="M2171" s="14"/>
      <c r="N2171" s="14"/>
      <c r="O2171" s="4"/>
      <c r="P2171" s="14"/>
      <c r="Q2171" s="14"/>
    </row>
    <row r="2172" spans="1:17" x14ac:dyDescent="0.25">
      <c r="A2172" s="5"/>
      <c r="B2172" s="6"/>
      <c r="C2172" s="4"/>
      <c r="D2172" s="4"/>
      <c r="E2172" s="12"/>
      <c r="F2172" s="12"/>
      <c r="G2172" s="16"/>
      <c r="H2172" s="14"/>
      <c r="I2172" s="14"/>
      <c r="J2172" s="14"/>
      <c r="K2172" s="14"/>
      <c r="L2172" s="14"/>
      <c r="M2172" s="14"/>
      <c r="N2172" s="14"/>
      <c r="O2172" s="4"/>
      <c r="P2172" s="14"/>
      <c r="Q2172" s="14"/>
    </row>
    <row r="2173" spans="1:17" x14ac:dyDescent="0.25">
      <c r="A2173" s="5"/>
      <c r="B2173" s="6"/>
      <c r="C2173" s="4"/>
      <c r="D2173" s="4"/>
      <c r="E2173" s="12"/>
      <c r="F2173" s="12"/>
      <c r="G2173" s="16"/>
      <c r="H2173" s="14"/>
      <c r="I2173" s="14"/>
      <c r="J2173" s="14"/>
      <c r="K2173" s="14"/>
      <c r="L2173" s="14"/>
      <c r="M2173" s="14"/>
      <c r="N2173" s="14"/>
      <c r="O2173" s="4"/>
      <c r="P2173" s="14"/>
      <c r="Q2173" s="14"/>
    </row>
    <row r="2174" spans="1:17" x14ac:dyDescent="0.25">
      <c r="A2174" s="5"/>
      <c r="B2174" s="6"/>
      <c r="C2174" s="4"/>
      <c r="D2174" s="4"/>
      <c r="E2174" s="12"/>
      <c r="F2174" s="12"/>
      <c r="G2174" s="16"/>
      <c r="H2174" s="14"/>
      <c r="I2174" s="14"/>
      <c r="J2174" s="14"/>
      <c r="K2174" s="14"/>
      <c r="L2174" s="14"/>
      <c r="M2174" s="14"/>
      <c r="N2174" s="14"/>
      <c r="O2174" s="4"/>
      <c r="P2174" s="14"/>
      <c r="Q2174" s="14"/>
    </row>
    <row r="2175" spans="1:17" x14ac:dyDescent="0.25">
      <c r="A2175" s="5"/>
      <c r="B2175" s="6"/>
      <c r="C2175" s="4"/>
      <c r="D2175" s="4"/>
      <c r="E2175" s="12"/>
      <c r="F2175" s="12"/>
      <c r="G2175" s="16"/>
      <c r="H2175" s="14"/>
      <c r="I2175" s="14"/>
      <c r="J2175" s="14"/>
      <c r="K2175" s="14"/>
      <c r="L2175" s="14"/>
      <c r="M2175" s="14"/>
      <c r="N2175" s="14"/>
      <c r="O2175" s="4"/>
      <c r="P2175" s="14"/>
      <c r="Q2175" s="14"/>
    </row>
    <row r="2176" spans="1:17" x14ac:dyDescent="0.25">
      <c r="A2176" s="5"/>
      <c r="B2176" s="6"/>
      <c r="C2176" s="4"/>
      <c r="D2176" s="4"/>
      <c r="E2176" s="12"/>
      <c r="F2176" s="12"/>
      <c r="G2176" s="16"/>
      <c r="H2176" s="14"/>
      <c r="I2176" s="14"/>
      <c r="J2176" s="14"/>
      <c r="K2176" s="14"/>
      <c r="L2176" s="14"/>
      <c r="M2176" s="14"/>
      <c r="N2176" s="14"/>
      <c r="O2176" s="4"/>
      <c r="P2176" s="14"/>
      <c r="Q2176" s="14"/>
    </row>
    <row r="2177" spans="1:17" x14ac:dyDescent="0.25">
      <c r="A2177" s="5"/>
      <c r="B2177" s="6"/>
      <c r="C2177" s="4"/>
      <c r="D2177" s="4"/>
      <c r="E2177" s="12"/>
      <c r="F2177" s="12"/>
      <c r="G2177" s="16"/>
      <c r="H2177" s="14"/>
      <c r="I2177" s="14"/>
      <c r="J2177" s="14"/>
      <c r="K2177" s="14"/>
      <c r="L2177" s="14"/>
      <c r="M2177" s="14"/>
      <c r="N2177" s="14"/>
      <c r="O2177" s="4"/>
      <c r="P2177" s="14"/>
      <c r="Q2177" s="14"/>
    </row>
    <row r="2178" spans="1:17" x14ac:dyDescent="0.25">
      <c r="A2178" s="5"/>
      <c r="B2178" s="6"/>
      <c r="C2178" s="4"/>
      <c r="D2178" s="4"/>
      <c r="E2178" s="12"/>
      <c r="F2178" s="12"/>
      <c r="G2178" s="16"/>
      <c r="H2178" s="14"/>
      <c r="I2178" s="14"/>
      <c r="J2178" s="14"/>
      <c r="K2178" s="14"/>
      <c r="L2178" s="14"/>
      <c r="M2178" s="14"/>
      <c r="N2178" s="14"/>
      <c r="O2178" s="4"/>
      <c r="P2178" s="14"/>
      <c r="Q2178" s="14"/>
    </row>
    <row r="2179" spans="1:17" x14ac:dyDescent="0.25">
      <c r="A2179" s="5"/>
      <c r="B2179" s="6"/>
      <c r="C2179" s="4"/>
      <c r="D2179" s="4"/>
      <c r="E2179" s="12"/>
      <c r="F2179" s="12"/>
      <c r="G2179" s="16"/>
      <c r="H2179" s="14"/>
      <c r="I2179" s="14"/>
      <c r="J2179" s="14"/>
      <c r="K2179" s="14"/>
      <c r="L2179" s="14"/>
      <c r="M2179" s="14"/>
      <c r="N2179" s="14"/>
      <c r="O2179" s="4"/>
      <c r="P2179" s="14"/>
      <c r="Q2179" s="14"/>
    </row>
    <row r="2180" spans="1:17" x14ac:dyDescent="0.25">
      <c r="A2180" s="5"/>
      <c r="B2180" s="6"/>
      <c r="C2180" s="4"/>
      <c r="D2180" s="4"/>
      <c r="E2180" s="12"/>
      <c r="F2180" s="12"/>
      <c r="G2180" s="16"/>
      <c r="H2180" s="14"/>
      <c r="I2180" s="14"/>
      <c r="J2180" s="14"/>
      <c r="K2180" s="14"/>
      <c r="L2180" s="14"/>
      <c r="M2180" s="14"/>
      <c r="N2180" s="14"/>
      <c r="O2180" s="4"/>
      <c r="P2180" s="14"/>
      <c r="Q2180" s="14"/>
    </row>
    <row r="2181" spans="1:17" x14ac:dyDescent="0.25">
      <c r="A2181" s="5"/>
      <c r="B2181" s="6"/>
      <c r="C2181" s="4"/>
      <c r="D2181" s="4"/>
      <c r="E2181" s="12"/>
      <c r="F2181" s="12"/>
      <c r="G2181" s="16"/>
      <c r="H2181" s="14"/>
      <c r="I2181" s="14"/>
      <c r="J2181" s="14"/>
      <c r="K2181" s="14"/>
      <c r="L2181" s="14"/>
      <c r="M2181" s="14"/>
      <c r="N2181" s="14"/>
      <c r="O2181" s="4"/>
      <c r="P2181" s="14"/>
      <c r="Q2181" s="14"/>
    </row>
    <row r="2182" spans="1:17" x14ac:dyDescent="0.25">
      <c r="A2182" s="5"/>
      <c r="B2182" s="6"/>
      <c r="C2182" s="4"/>
      <c r="D2182" s="4"/>
      <c r="E2182" s="12"/>
      <c r="F2182" s="12"/>
      <c r="G2182" s="16"/>
      <c r="H2182" s="14"/>
      <c r="I2182" s="14"/>
      <c r="J2182" s="14"/>
      <c r="K2182" s="14"/>
      <c r="L2182" s="14"/>
      <c r="M2182" s="14"/>
      <c r="N2182" s="14"/>
      <c r="O2182" s="4"/>
      <c r="P2182" s="14"/>
      <c r="Q2182" s="14"/>
    </row>
    <row r="2183" spans="1:17" x14ac:dyDescent="0.25">
      <c r="A2183" s="5"/>
      <c r="B2183" s="6"/>
      <c r="C2183" s="4"/>
      <c r="D2183" s="4"/>
      <c r="E2183" s="12"/>
      <c r="F2183" s="12"/>
      <c r="G2183" s="16"/>
      <c r="H2183" s="14"/>
      <c r="I2183" s="14"/>
      <c r="J2183" s="14"/>
      <c r="K2183" s="14"/>
      <c r="L2183" s="14"/>
      <c r="M2183" s="14"/>
      <c r="N2183" s="14"/>
      <c r="O2183" s="4"/>
      <c r="P2183" s="14"/>
      <c r="Q2183" s="14"/>
    </row>
    <row r="2184" spans="1:17" x14ac:dyDescent="0.25">
      <c r="A2184" s="5"/>
      <c r="B2184" s="6"/>
      <c r="C2184" s="4"/>
      <c r="D2184" s="4"/>
      <c r="E2184" s="12"/>
      <c r="F2184" s="12"/>
      <c r="G2184" s="16"/>
      <c r="H2184" s="14"/>
      <c r="I2184" s="14"/>
      <c r="J2184" s="14"/>
      <c r="K2184" s="14"/>
      <c r="L2184" s="14"/>
      <c r="M2184" s="14"/>
      <c r="N2184" s="14"/>
      <c r="O2184" s="4"/>
      <c r="P2184" s="14"/>
      <c r="Q2184" s="14"/>
    </row>
    <row r="2185" spans="1:17" x14ac:dyDescent="0.25">
      <c r="A2185" s="5"/>
      <c r="B2185" s="6"/>
      <c r="C2185" s="4"/>
      <c r="D2185" s="4"/>
      <c r="E2185" s="12"/>
      <c r="F2185" s="12"/>
      <c r="G2185" s="16"/>
      <c r="H2185" s="14"/>
      <c r="I2185" s="14"/>
      <c r="J2185" s="14"/>
      <c r="K2185" s="14"/>
      <c r="L2185" s="14"/>
      <c r="M2185" s="14"/>
      <c r="N2185" s="14"/>
      <c r="O2185" s="4"/>
      <c r="P2185" s="14"/>
      <c r="Q2185" s="14"/>
    </row>
    <row r="2186" spans="1:17" x14ac:dyDescent="0.25">
      <c r="A2186" s="5"/>
      <c r="B2186" s="6"/>
      <c r="C2186" s="4"/>
      <c r="D2186" s="4"/>
      <c r="E2186" s="12"/>
      <c r="F2186" s="12"/>
      <c r="G2186" s="16"/>
      <c r="H2186" s="14"/>
      <c r="I2186" s="14"/>
      <c r="J2186" s="14"/>
      <c r="K2186" s="14"/>
      <c r="L2186" s="14"/>
      <c r="M2186" s="14"/>
      <c r="N2186" s="14"/>
      <c r="O2186" s="4"/>
      <c r="P2186" s="14"/>
      <c r="Q2186" s="14"/>
    </row>
    <row r="2187" spans="1:17" x14ac:dyDescent="0.25">
      <c r="A2187" s="5"/>
      <c r="B2187" s="6"/>
      <c r="C2187" s="4"/>
      <c r="D2187" s="4"/>
      <c r="E2187" s="12"/>
      <c r="F2187" s="12"/>
      <c r="G2187" s="16"/>
      <c r="H2187" s="14"/>
      <c r="I2187" s="14"/>
      <c r="J2187" s="14"/>
      <c r="K2187" s="14"/>
      <c r="L2187" s="14"/>
      <c r="M2187" s="14"/>
      <c r="N2187" s="14"/>
      <c r="O2187" s="4"/>
      <c r="P2187" s="14"/>
      <c r="Q2187" s="14"/>
    </row>
    <row r="2188" spans="1:17" x14ac:dyDescent="0.25">
      <c r="A2188" s="5"/>
      <c r="B2188" s="6"/>
      <c r="C2188" s="4"/>
      <c r="D2188" s="4"/>
      <c r="E2188" s="12"/>
      <c r="F2188" s="12"/>
      <c r="G2188" s="16"/>
      <c r="H2188" s="14"/>
      <c r="I2188" s="14"/>
      <c r="J2188" s="14"/>
      <c r="K2188" s="14"/>
      <c r="L2188" s="14"/>
      <c r="M2188" s="14"/>
      <c r="N2188" s="14"/>
      <c r="O2188" s="4"/>
      <c r="P2188" s="14"/>
      <c r="Q2188" s="14"/>
    </row>
    <row r="2189" spans="1:17" x14ac:dyDescent="0.25">
      <c r="A2189" s="5"/>
      <c r="B2189" s="6"/>
      <c r="C2189" s="4"/>
      <c r="D2189" s="4"/>
      <c r="E2189" s="12"/>
      <c r="F2189" s="12"/>
      <c r="G2189" s="16"/>
      <c r="H2189" s="14"/>
      <c r="I2189" s="14"/>
      <c r="J2189" s="14"/>
      <c r="K2189" s="14"/>
      <c r="L2189" s="14"/>
      <c r="M2189" s="14"/>
      <c r="N2189" s="14"/>
      <c r="O2189" s="4"/>
      <c r="P2189" s="14"/>
      <c r="Q2189" s="14"/>
    </row>
    <row r="2190" spans="1:17" x14ac:dyDescent="0.25">
      <c r="A2190" s="5"/>
      <c r="B2190" s="6"/>
      <c r="C2190" s="4"/>
      <c r="D2190" s="4"/>
      <c r="E2190" s="12"/>
      <c r="F2190" s="12"/>
      <c r="G2190" s="16"/>
      <c r="H2190" s="14"/>
      <c r="I2190" s="14"/>
      <c r="J2190" s="14"/>
      <c r="K2190" s="14"/>
      <c r="L2190" s="14"/>
      <c r="M2190" s="14"/>
      <c r="N2190" s="14"/>
      <c r="O2190" s="4"/>
      <c r="P2190" s="14"/>
      <c r="Q2190" s="14"/>
    </row>
    <row r="2191" spans="1:17" x14ac:dyDescent="0.25">
      <c r="A2191" s="5"/>
      <c r="B2191" s="6"/>
      <c r="C2191" s="4"/>
      <c r="D2191" s="4"/>
      <c r="E2191" s="12"/>
      <c r="F2191" s="12"/>
      <c r="G2191" s="16"/>
      <c r="H2191" s="14"/>
      <c r="I2191" s="14"/>
      <c r="J2191" s="14"/>
      <c r="K2191" s="14"/>
      <c r="L2191" s="14"/>
      <c r="M2191" s="14"/>
      <c r="N2191" s="14"/>
      <c r="O2191" s="4"/>
      <c r="P2191" s="14"/>
      <c r="Q2191" s="14"/>
    </row>
    <row r="2192" spans="1:17" x14ac:dyDescent="0.25">
      <c r="A2192" s="5"/>
      <c r="B2192" s="6"/>
      <c r="C2192" s="4"/>
      <c r="D2192" s="4"/>
      <c r="E2192" s="12"/>
      <c r="F2192" s="12"/>
      <c r="G2192" s="16"/>
      <c r="H2192" s="14"/>
      <c r="I2192" s="14"/>
      <c r="J2192" s="14"/>
      <c r="K2192" s="14"/>
      <c r="L2192" s="14"/>
      <c r="M2192" s="14"/>
      <c r="N2192" s="14"/>
      <c r="O2192" s="4"/>
      <c r="P2192" s="14"/>
      <c r="Q2192" s="14"/>
    </row>
    <row r="2193" spans="1:17" x14ac:dyDescent="0.25">
      <c r="A2193" s="5"/>
      <c r="B2193" s="6"/>
      <c r="C2193" s="4"/>
      <c r="D2193" s="4"/>
      <c r="E2193" s="12"/>
      <c r="F2193" s="12"/>
      <c r="G2193" s="16"/>
      <c r="H2193" s="14"/>
      <c r="I2193" s="14"/>
      <c r="J2193" s="14"/>
      <c r="K2193" s="14"/>
      <c r="L2193" s="14"/>
      <c r="M2193" s="14"/>
      <c r="N2193" s="14"/>
      <c r="O2193" s="4"/>
      <c r="P2193" s="14"/>
      <c r="Q2193" s="14"/>
    </row>
    <row r="2194" spans="1:17" x14ac:dyDescent="0.25">
      <c r="A2194" s="5"/>
      <c r="B2194" s="6"/>
      <c r="C2194" s="4"/>
      <c r="D2194" s="4"/>
      <c r="E2194" s="12"/>
      <c r="F2194" s="12"/>
      <c r="G2194" s="16"/>
      <c r="H2194" s="14"/>
      <c r="I2194" s="14"/>
      <c r="J2194" s="14"/>
      <c r="K2194" s="14"/>
      <c r="L2194" s="14"/>
      <c r="M2194" s="14"/>
      <c r="N2194" s="14"/>
      <c r="O2194" s="4"/>
      <c r="P2194" s="14"/>
      <c r="Q2194" s="14"/>
    </row>
    <row r="2195" spans="1:17" x14ac:dyDescent="0.25">
      <c r="A2195" s="5"/>
      <c r="B2195" s="6"/>
      <c r="C2195" s="4"/>
      <c r="D2195" s="4"/>
      <c r="E2195" s="12"/>
      <c r="F2195" s="12"/>
      <c r="G2195" s="16"/>
      <c r="H2195" s="14"/>
      <c r="I2195" s="14"/>
      <c r="J2195" s="14"/>
      <c r="K2195" s="14"/>
      <c r="L2195" s="14"/>
      <c r="M2195" s="14"/>
      <c r="N2195" s="14"/>
      <c r="O2195" s="4"/>
      <c r="P2195" s="14"/>
      <c r="Q2195" s="14"/>
    </row>
    <row r="2196" spans="1:17" x14ac:dyDescent="0.25">
      <c r="A2196" s="5"/>
      <c r="B2196" s="6"/>
      <c r="C2196" s="4"/>
      <c r="D2196" s="4"/>
      <c r="E2196" s="12"/>
      <c r="F2196" s="12"/>
      <c r="G2196" s="16"/>
      <c r="H2196" s="14"/>
      <c r="I2196" s="14"/>
      <c r="J2196" s="14"/>
      <c r="K2196" s="14"/>
      <c r="L2196" s="14"/>
      <c r="M2196" s="14"/>
      <c r="N2196" s="14"/>
      <c r="O2196" s="4"/>
      <c r="P2196" s="14"/>
      <c r="Q2196" s="14"/>
    </row>
    <row r="2197" spans="1:17" x14ac:dyDescent="0.25">
      <c r="A2197" s="5"/>
      <c r="B2197" s="6"/>
      <c r="C2197" s="4"/>
      <c r="D2197" s="4"/>
      <c r="E2197" s="12"/>
      <c r="F2197" s="12"/>
      <c r="G2197" s="16"/>
      <c r="H2197" s="14"/>
      <c r="I2197" s="14"/>
      <c r="J2197" s="14"/>
      <c r="K2197" s="14"/>
      <c r="L2197" s="14"/>
      <c r="M2197" s="14"/>
      <c r="N2197" s="14"/>
      <c r="O2197" s="4"/>
      <c r="P2197" s="14"/>
      <c r="Q2197" s="14"/>
    </row>
    <row r="2198" spans="1:17" x14ac:dyDescent="0.25">
      <c r="A2198" s="5"/>
      <c r="B2198" s="6"/>
      <c r="C2198" s="4"/>
      <c r="D2198" s="4"/>
      <c r="E2198" s="12"/>
      <c r="F2198" s="12"/>
      <c r="G2198" s="16"/>
      <c r="H2198" s="14"/>
      <c r="I2198" s="14"/>
      <c r="J2198" s="14"/>
      <c r="K2198" s="14"/>
      <c r="L2198" s="14"/>
      <c r="M2198" s="14"/>
      <c r="N2198" s="14"/>
      <c r="O2198" s="4"/>
      <c r="P2198" s="14"/>
      <c r="Q2198" s="14"/>
    </row>
    <row r="2199" spans="1:17" x14ac:dyDescent="0.25">
      <c r="A2199" s="5"/>
      <c r="B2199" s="6"/>
      <c r="C2199" s="4"/>
      <c r="D2199" s="4"/>
      <c r="E2199" s="12"/>
      <c r="F2199" s="12"/>
      <c r="G2199" s="16"/>
      <c r="H2199" s="14"/>
      <c r="I2199" s="14"/>
      <c r="J2199" s="14"/>
      <c r="K2199" s="14"/>
      <c r="L2199" s="14"/>
      <c r="M2199" s="14"/>
      <c r="N2199" s="14"/>
      <c r="O2199" s="4"/>
      <c r="P2199" s="14"/>
      <c r="Q2199" s="14"/>
    </row>
    <row r="2200" spans="1:17" x14ac:dyDescent="0.25">
      <c r="A2200" s="5"/>
      <c r="B2200" s="6"/>
      <c r="C2200" s="4"/>
      <c r="D2200" s="4"/>
      <c r="E2200" s="12"/>
      <c r="F2200" s="12"/>
      <c r="G2200" s="16"/>
      <c r="H2200" s="14"/>
      <c r="I2200" s="14"/>
      <c r="J2200" s="14"/>
      <c r="K2200" s="14"/>
      <c r="L2200" s="14"/>
      <c r="M2200" s="14"/>
      <c r="N2200" s="14"/>
      <c r="O2200" s="4"/>
      <c r="P2200" s="14"/>
      <c r="Q2200" s="14"/>
    </row>
    <row r="2201" spans="1:17" x14ac:dyDescent="0.25">
      <c r="A2201" s="5"/>
      <c r="B2201" s="6"/>
      <c r="C2201" s="4"/>
      <c r="D2201" s="4"/>
      <c r="E2201" s="12"/>
      <c r="F2201" s="12"/>
      <c r="G2201" s="16"/>
      <c r="H2201" s="14"/>
      <c r="I2201" s="14"/>
      <c r="J2201" s="14"/>
      <c r="K2201" s="14"/>
      <c r="L2201" s="14"/>
      <c r="M2201" s="14"/>
      <c r="N2201" s="14"/>
      <c r="O2201" s="4"/>
      <c r="P2201" s="14"/>
      <c r="Q2201" s="14"/>
    </row>
    <row r="2202" spans="1:17" x14ac:dyDescent="0.25">
      <c r="A2202" s="5"/>
      <c r="B2202" s="6"/>
      <c r="C2202" s="4"/>
      <c r="D2202" s="4"/>
      <c r="E2202" s="12"/>
      <c r="F2202" s="12"/>
      <c r="G2202" s="16"/>
      <c r="H2202" s="14"/>
      <c r="I2202" s="14"/>
      <c r="J2202" s="14"/>
      <c r="K2202" s="14"/>
      <c r="L2202" s="14"/>
      <c r="M2202" s="14"/>
      <c r="N2202" s="14"/>
      <c r="O2202" s="4"/>
      <c r="P2202" s="14"/>
      <c r="Q2202" s="14"/>
    </row>
    <row r="2203" spans="1:17" x14ac:dyDescent="0.25">
      <c r="A2203" s="5"/>
      <c r="B2203" s="6"/>
      <c r="C2203" s="4"/>
      <c r="D2203" s="4"/>
      <c r="E2203" s="12"/>
      <c r="F2203" s="12"/>
      <c r="G2203" s="16"/>
      <c r="H2203" s="14"/>
      <c r="I2203" s="14"/>
      <c r="J2203" s="14"/>
      <c r="K2203" s="14"/>
      <c r="L2203" s="14"/>
      <c r="M2203" s="14"/>
      <c r="N2203" s="14"/>
      <c r="O2203" s="4"/>
      <c r="P2203" s="14"/>
      <c r="Q2203" s="14"/>
    </row>
    <row r="2204" spans="1:17" x14ac:dyDescent="0.25">
      <c r="A2204" s="5"/>
      <c r="B2204" s="6"/>
      <c r="C2204" s="4"/>
      <c r="D2204" s="4"/>
      <c r="E2204" s="12"/>
      <c r="F2204" s="12"/>
      <c r="G2204" s="16"/>
      <c r="H2204" s="14"/>
      <c r="I2204" s="14"/>
      <c r="J2204" s="14"/>
      <c r="K2204" s="14"/>
      <c r="L2204" s="14"/>
      <c r="M2204" s="14"/>
      <c r="N2204" s="14"/>
      <c r="O2204" s="4"/>
      <c r="P2204" s="14"/>
      <c r="Q2204" s="14"/>
    </row>
    <row r="2205" spans="1:17" x14ac:dyDescent="0.25">
      <c r="A2205" s="5"/>
      <c r="B2205" s="6"/>
      <c r="C2205" s="4"/>
      <c r="D2205" s="4"/>
      <c r="E2205" s="12"/>
      <c r="F2205" s="12"/>
      <c r="G2205" s="16"/>
      <c r="H2205" s="14"/>
      <c r="I2205" s="14"/>
      <c r="J2205" s="14"/>
      <c r="K2205" s="14"/>
      <c r="L2205" s="14"/>
      <c r="M2205" s="14"/>
      <c r="N2205" s="14"/>
      <c r="O2205" s="4"/>
      <c r="P2205" s="14"/>
      <c r="Q2205" s="14"/>
    </row>
    <row r="2206" spans="1:17" x14ac:dyDescent="0.25">
      <c r="A2206" s="5"/>
      <c r="B2206" s="6"/>
      <c r="C2206" s="4"/>
      <c r="D2206" s="4"/>
      <c r="E2206" s="12"/>
      <c r="F2206" s="12"/>
      <c r="G2206" s="16"/>
      <c r="H2206" s="14"/>
      <c r="I2206" s="14"/>
      <c r="J2206" s="14"/>
      <c r="K2206" s="14"/>
      <c r="L2206" s="14"/>
      <c r="M2206" s="14"/>
      <c r="N2206" s="14"/>
      <c r="O2206" s="4"/>
      <c r="P2206" s="14"/>
      <c r="Q2206" s="14"/>
    </row>
    <row r="2207" spans="1:17" x14ac:dyDescent="0.25">
      <c r="A2207" s="5"/>
      <c r="B2207" s="6"/>
      <c r="C2207" s="4"/>
      <c r="D2207" s="4"/>
      <c r="E2207" s="12"/>
      <c r="F2207" s="12"/>
      <c r="G2207" s="16"/>
      <c r="H2207" s="14"/>
      <c r="I2207" s="14"/>
      <c r="J2207" s="14"/>
      <c r="K2207" s="14"/>
      <c r="L2207" s="14"/>
      <c r="M2207" s="14"/>
      <c r="N2207" s="14"/>
      <c r="O2207" s="4"/>
      <c r="P2207" s="14"/>
      <c r="Q2207" s="14"/>
    </row>
    <row r="2208" spans="1:17" x14ac:dyDescent="0.25">
      <c r="A2208" s="5"/>
      <c r="B2208" s="6"/>
      <c r="C2208" s="4"/>
      <c r="D2208" s="4"/>
      <c r="E2208" s="12"/>
      <c r="F2208" s="12"/>
      <c r="G2208" s="16"/>
      <c r="H2208" s="14"/>
      <c r="I2208" s="14"/>
      <c r="J2208" s="14"/>
      <c r="K2208" s="14"/>
      <c r="L2208" s="14"/>
      <c r="M2208" s="14"/>
      <c r="N2208" s="14"/>
      <c r="O2208" s="4"/>
      <c r="P2208" s="14"/>
      <c r="Q2208" s="14"/>
    </row>
    <row r="2209" spans="1:17" x14ac:dyDescent="0.25">
      <c r="A2209" s="5"/>
      <c r="B2209" s="6"/>
      <c r="C2209" s="4"/>
      <c r="D2209" s="4"/>
      <c r="E2209" s="12"/>
      <c r="F2209" s="12"/>
      <c r="G2209" s="16"/>
      <c r="H2209" s="14"/>
      <c r="I2209" s="14"/>
      <c r="J2209" s="14"/>
      <c r="K2209" s="14"/>
      <c r="L2209" s="14"/>
      <c r="M2209" s="14"/>
      <c r="N2209" s="14"/>
      <c r="O2209" s="4"/>
      <c r="P2209" s="14"/>
      <c r="Q2209" s="14"/>
    </row>
    <row r="2210" spans="1:17" x14ac:dyDescent="0.25">
      <c r="A2210" s="5"/>
      <c r="B2210" s="6"/>
      <c r="C2210" s="4"/>
      <c r="D2210" s="4"/>
      <c r="E2210" s="12"/>
      <c r="F2210" s="12"/>
      <c r="G2210" s="16"/>
      <c r="H2210" s="14"/>
      <c r="I2210" s="14"/>
      <c r="J2210" s="14"/>
      <c r="K2210" s="14"/>
      <c r="L2210" s="14"/>
      <c r="M2210" s="14"/>
      <c r="N2210" s="14"/>
      <c r="O2210" s="4"/>
      <c r="P2210" s="14"/>
      <c r="Q2210" s="14"/>
    </row>
    <row r="2211" spans="1:17" x14ac:dyDescent="0.25">
      <c r="A2211" s="5"/>
      <c r="B2211" s="6"/>
      <c r="C2211" s="4"/>
      <c r="D2211" s="4"/>
      <c r="E2211" s="12"/>
      <c r="F2211" s="12"/>
      <c r="G2211" s="16"/>
      <c r="H2211" s="14"/>
      <c r="I2211" s="14"/>
      <c r="J2211" s="14"/>
      <c r="K2211" s="14"/>
      <c r="L2211" s="14"/>
      <c r="M2211" s="14"/>
      <c r="N2211" s="14"/>
      <c r="O2211" s="4"/>
      <c r="P2211" s="14"/>
      <c r="Q2211" s="14"/>
    </row>
    <row r="2212" spans="1:17" x14ac:dyDescent="0.25">
      <c r="A2212" s="5"/>
      <c r="B2212" s="6"/>
      <c r="C2212" s="4"/>
      <c r="D2212" s="4"/>
      <c r="E2212" s="12"/>
      <c r="F2212" s="12"/>
      <c r="G2212" s="16"/>
      <c r="H2212" s="14"/>
      <c r="I2212" s="14"/>
      <c r="J2212" s="14"/>
      <c r="K2212" s="14"/>
      <c r="L2212" s="14"/>
      <c r="M2212" s="14"/>
      <c r="N2212" s="14"/>
      <c r="O2212" s="4"/>
      <c r="P2212" s="14"/>
      <c r="Q2212" s="14"/>
    </row>
    <row r="2213" spans="1:17" x14ac:dyDescent="0.25">
      <c r="A2213" s="5"/>
      <c r="B2213" s="6"/>
      <c r="C2213" s="4"/>
      <c r="D2213" s="4"/>
      <c r="E2213" s="12"/>
      <c r="F2213" s="12"/>
      <c r="G2213" s="16"/>
      <c r="H2213" s="14"/>
      <c r="I2213" s="14"/>
      <c r="J2213" s="14"/>
      <c r="K2213" s="14"/>
      <c r="L2213" s="14"/>
      <c r="M2213" s="14"/>
      <c r="N2213" s="14"/>
      <c r="O2213" s="4"/>
      <c r="P2213" s="14"/>
      <c r="Q2213" s="14"/>
    </row>
    <row r="2214" spans="1:17" x14ac:dyDescent="0.25">
      <c r="A2214" s="5"/>
      <c r="B2214" s="6"/>
      <c r="C2214" s="4"/>
      <c r="D2214" s="4"/>
      <c r="E2214" s="12"/>
      <c r="F2214" s="12"/>
      <c r="G2214" s="16"/>
      <c r="H2214" s="14"/>
      <c r="I2214" s="14"/>
      <c r="J2214" s="14"/>
      <c r="K2214" s="14"/>
      <c r="L2214" s="14"/>
      <c r="M2214" s="14"/>
      <c r="N2214" s="14"/>
      <c r="O2214" s="4"/>
      <c r="P2214" s="14"/>
      <c r="Q2214" s="14"/>
    </row>
    <row r="2215" spans="1:17" x14ac:dyDescent="0.25">
      <c r="A2215" s="5"/>
      <c r="B2215" s="6"/>
      <c r="C2215" s="4"/>
      <c r="D2215" s="4"/>
      <c r="E2215" s="12"/>
      <c r="F2215" s="12"/>
      <c r="G2215" s="16"/>
      <c r="H2215" s="14"/>
      <c r="I2215" s="14"/>
      <c r="J2215" s="14"/>
      <c r="K2215" s="14"/>
      <c r="L2215" s="14"/>
      <c r="M2215" s="14"/>
      <c r="N2215" s="14"/>
      <c r="O2215" s="4"/>
      <c r="P2215" s="14"/>
      <c r="Q2215" s="14"/>
    </row>
    <row r="2216" spans="1:17" x14ac:dyDescent="0.25">
      <c r="A2216" s="5"/>
      <c r="B2216" s="6"/>
      <c r="C2216" s="4"/>
      <c r="D2216" s="4"/>
      <c r="E2216" s="12"/>
      <c r="F2216" s="12"/>
      <c r="G2216" s="16"/>
      <c r="H2216" s="14"/>
      <c r="I2216" s="14"/>
      <c r="J2216" s="14"/>
      <c r="K2216" s="14"/>
      <c r="L2216" s="14"/>
      <c r="M2216" s="14"/>
      <c r="N2216" s="14"/>
      <c r="O2216" s="4"/>
      <c r="P2216" s="14"/>
      <c r="Q2216" s="14"/>
    </row>
    <row r="2217" spans="1:17" x14ac:dyDescent="0.25">
      <c r="A2217" s="5"/>
      <c r="B2217" s="6"/>
      <c r="C2217" s="4"/>
      <c r="D2217" s="4"/>
      <c r="E2217" s="12"/>
      <c r="F2217" s="12"/>
      <c r="G2217" s="16"/>
      <c r="H2217" s="14"/>
      <c r="I2217" s="14"/>
      <c r="J2217" s="14"/>
      <c r="K2217" s="14"/>
      <c r="L2217" s="14"/>
      <c r="M2217" s="14"/>
      <c r="N2217" s="14"/>
      <c r="O2217" s="4"/>
      <c r="P2217" s="14"/>
      <c r="Q2217" s="14"/>
    </row>
    <row r="2218" spans="1:17" x14ac:dyDescent="0.25">
      <c r="A2218" s="5"/>
      <c r="B2218" s="6"/>
      <c r="C2218" s="4"/>
      <c r="D2218" s="4"/>
      <c r="E2218" s="12"/>
      <c r="F2218" s="12"/>
      <c r="G2218" s="16"/>
      <c r="H2218" s="14"/>
      <c r="I2218" s="14"/>
      <c r="J2218" s="14"/>
      <c r="K2218" s="14"/>
      <c r="L2218" s="14"/>
      <c r="M2218" s="14"/>
      <c r="N2218" s="14"/>
      <c r="O2218" s="4"/>
      <c r="P2218" s="14"/>
      <c r="Q2218" s="14"/>
    </row>
    <row r="2219" spans="1:17" x14ac:dyDescent="0.25">
      <c r="A2219" s="5"/>
      <c r="B2219" s="6"/>
      <c r="C2219" s="4"/>
      <c r="D2219" s="4"/>
      <c r="E2219" s="12"/>
      <c r="F2219" s="12"/>
      <c r="G2219" s="16"/>
      <c r="H2219" s="14"/>
      <c r="I2219" s="14"/>
      <c r="J2219" s="14"/>
      <c r="K2219" s="14"/>
      <c r="L2219" s="14"/>
      <c r="M2219" s="14"/>
      <c r="N2219" s="14"/>
      <c r="O2219" s="4"/>
      <c r="P2219" s="14"/>
      <c r="Q2219" s="14"/>
    </row>
    <row r="2220" spans="1:17" x14ac:dyDescent="0.25">
      <c r="A2220" s="5"/>
      <c r="B2220" s="6"/>
      <c r="C2220" s="4"/>
      <c r="D2220" s="4"/>
      <c r="E2220" s="12"/>
      <c r="F2220" s="12"/>
      <c r="G2220" s="16"/>
      <c r="H2220" s="14"/>
      <c r="I2220" s="14"/>
      <c r="J2220" s="14"/>
      <c r="K2220" s="14"/>
      <c r="L2220" s="14"/>
      <c r="M2220" s="14"/>
      <c r="N2220" s="14"/>
      <c r="O2220" s="4"/>
      <c r="P2220" s="14"/>
      <c r="Q2220" s="14"/>
    </row>
    <row r="2221" spans="1:17" x14ac:dyDescent="0.25">
      <c r="A2221" s="5"/>
      <c r="B2221" s="6"/>
      <c r="C2221" s="4"/>
      <c r="D2221" s="4"/>
      <c r="E2221" s="12"/>
      <c r="F2221" s="12"/>
      <c r="G2221" s="16"/>
      <c r="H2221" s="14"/>
      <c r="I2221" s="14"/>
      <c r="J2221" s="14"/>
      <c r="K2221" s="14"/>
      <c r="L2221" s="14"/>
      <c r="M2221" s="14"/>
      <c r="N2221" s="14"/>
      <c r="O2221" s="4"/>
      <c r="P2221" s="14"/>
      <c r="Q2221" s="14"/>
    </row>
    <row r="2222" spans="1:17" x14ac:dyDescent="0.25">
      <c r="A2222" s="5"/>
      <c r="B2222" s="6"/>
      <c r="C2222" s="4"/>
      <c r="D2222" s="4"/>
      <c r="E2222" s="12"/>
      <c r="F2222" s="12"/>
      <c r="G2222" s="16"/>
      <c r="H2222" s="14"/>
      <c r="I2222" s="14"/>
      <c r="J2222" s="14"/>
      <c r="K2222" s="14"/>
      <c r="L2222" s="14"/>
      <c r="M2222" s="14"/>
      <c r="N2222" s="14"/>
      <c r="O2222" s="4"/>
      <c r="P2222" s="14"/>
      <c r="Q2222" s="14"/>
    </row>
    <row r="2223" spans="1:17" x14ac:dyDescent="0.25">
      <c r="A2223" s="5"/>
      <c r="B2223" s="6"/>
      <c r="C2223" s="4"/>
      <c r="D2223" s="4"/>
      <c r="E2223" s="12"/>
      <c r="F2223" s="12"/>
      <c r="G2223" s="16"/>
      <c r="H2223" s="14"/>
      <c r="I2223" s="14"/>
      <c r="J2223" s="14"/>
      <c r="K2223" s="14"/>
      <c r="L2223" s="14"/>
      <c r="M2223" s="14"/>
      <c r="N2223" s="14"/>
      <c r="O2223" s="4"/>
      <c r="P2223" s="14"/>
      <c r="Q2223" s="14"/>
    </row>
    <row r="2224" spans="1:17" x14ac:dyDescent="0.25">
      <c r="A2224" s="5"/>
      <c r="B2224" s="6"/>
      <c r="C2224" s="4"/>
      <c r="D2224" s="4"/>
      <c r="E2224" s="12"/>
      <c r="F2224" s="12"/>
      <c r="G2224" s="16"/>
      <c r="H2224" s="14"/>
      <c r="I2224" s="14"/>
      <c r="J2224" s="14"/>
      <c r="K2224" s="14"/>
      <c r="L2224" s="14"/>
      <c r="M2224" s="14"/>
      <c r="N2224" s="14"/>
      <c r="O2224" s="4"/>
      <c r="P2224" s="14"/>
      <c r="Q2224" s="14"/>
    </row>
    <row r="2225" spans="1:17" x14ac:dyDescent="0.25">
      <c r="A2225" s="5"/>
      <c r="B2225" s="6"/>
      <c r="C2225" s="4"/>
      <c r="D2225" s="4"/>
      <c r="E2225" s="12"/>
      <c r="F2225" s="12"/>
      <c r="G2225" s="16"/>
      <c r="H2225" s="14"/>
      <c r="I2225" s="14"/>
      <c r="J2225" s="14"/>
      <c r="K2225" s="14"/>
      <c r="L2225" s="14"/>
      <c r="M2225" s="14"/>
      <c r="N2225" s="14"/>
      <c r="O2225" s="4"/>
      <c r="P2225" s="14"/>
      <c r="Q2225" s="14"/>
    </row>
    <row r="2226" spans="1:17" x14ac:dyDescent="0.25">
      <c r="A2226" s="5"/>
      <c r="B2226" s="6"/>
      <c r="C2226" s="4"/>
      <c r="D2226" s="4"/>
      <c r="E2226" s="12"/>
      <c r="F2226" s="12"/>
      <c r="G2226" s="16"/>
      <c r="H2226" s="14"/>
      <c r="I2226" s="14"/>
      <c r="J2226" s="14"/>
      <c r="K2226" s="14"/>
      <c r="L2226" s="14"/>
      <c r="M2226" s="14"/>
      <c r="N2226" s="14"/>
      <c r="O2226" s="4"/>
      <c r="P2226" s="14"/>
      <c r="Q2226" s="14"/>
    </row>
    <row r="2227" spans="1:17" x14ac:dyDescent="0.25">
      <c r="A2227" s="5"/>
      <c r="B2227" s="6"/>
      <c r="C2227" s="4"/>
      <c r="D2227" s="4"/>
      <c r="E2227" s="12"/>
      <c r="F2227" s="12"/>
      <c r="G2227" s="16"/>
      <c r="H2227" s="14"/>
      <c r="I2227" s="14"/>
      <c r="J2227" s="14"/>
      <c r="K2227" s="14"/>
      <c r="L2227" s="14"/>
      <c r="M2227" s="14"/>
      <c r="N2227" s="14"/>
      <c r="O2227" s="4"/>
      <c r="P2227" s="14"/>
      <c r="Q2227" s="14"/>
    </row>
    <row r="2228" spans="1:17" x14ac:dyDescent="0.25">
      <c r="A2228" s="5"/>
      <c r="B2228" s="6"/>
      <c r="C2228" s="4"/>
      <c r="D2228" s="4"/>
      <c r="E2228" s="12"/>
      <c r="F2228" s="12"/>
      <c r="G2228" s="16"/>
      <c r="H2228" s="14"/>
      <c r="I2228" s="14"/>
      <c r="J2228" s="14"/>
      <c r="K2228" s="14"/>
      <c r="L2228" s="14"/>
      <c r="M2228" s="14"/>
      <c r="N2228" s="14"/>
      <c r="O2228" s="4"/>
      <c r="P2228" s="14"/>
      <c r="Q2228" s="14"/>
    </row>
    <row r="2229" spans="1:17" x14ac:dyDescent="0.25">
      <c r="A2229" s="5"/>
      <c r="B2229" s="6"/>
      <c r="C2229" s="4"/>
      <c r="D2229" s="4"/>
      <c r="E2229" s="12"/>
      <c r="F2229" s="12"/>
      <c r="G2229" s="16"/>
      <c r="H2229" s="14"/>
      <c r="I2229" s="14"/>
      <c r="J2229" s="14"/>
      <c r="K2229" s="14"/>
      <c r="L2229" s="14"/>
      <c r="M2229" s="14"/>
      <c r="N2229" s="14"/>
      <c r="O2229" s="4"/>
      <c r="P2229" s="14"/>
      <c r="Q2229" s="14"/>
    </row>
    <row r="2230" spans="1:17" x14ac:dyDescent="0.25">
      <c r="A2230" s="5"/>
      <c r="B2230" s="6"/>
      <c r="C2230" s="4"/>
      <c r="D2230" s="4"/>
      <c r="E2230" s="12"/>
      <c r="F2230" s="12"/>
      <c r="G2230" s="16"/>
      <c r="H2230" s="14"/>
      <c r="I2230" s="14"/>
      <c r="J2230" s="14"/>
      <c r="K2230" s="14"/>
      <c r="L2230" s="14"/>
      <c r="M2230" s="14"/>
      <c r="N2230" s="14"/>
      <c r="O2230" s="4"/>
      <c r="P2230" s="14"/>
      <c r="Q2230" s="14"/>
    </row>
    <row r="2231" spans="1:17" x14ac:dyDescent="0.25">
      <c r="A2231" s="5"/>
      <c r="B2231" s="6"/>
      <c r="C2231" s="4"/>
      <c r="D2231" s="4"/>
      <c r="E2231" s="12"/>
      <c r="F2231" s="12"/>
      <c r="G2231" s="16"/>
      <c r="H2231" s="14"/>
      <c r="I2231" s="14"/>
      <c r="J2231" s="14"/>
      <c r="K2231" s="14"/>
      <c r="L2231" s="14"/>
      <c r="M2231" s="14"/>
      <c r="N2231" s="14"/>
      <c r="O2231" s="4"/>
      <c r="P2231" s="14"/>
      <c r="Q2231" s="14"/>
    </row>
    <row r="2232" spans="1:17" x14ac:dyDescent="0.25">
      <c r="A2232" s="5"/>
      <c r="B2232" s="6"/>
      <c r="C2232" s="4"/>
      <c r="D2232" s="4"/>
      <c r="E2232" s="12"/>
      <c r="F2232" s="12"/>
      <c r="G2232" s="16"/>
      <c r="H2232" s="14"/>
      <c r="I2232" s="14"/>
      <c r="J2232" s="14"/>
      <c r="K2232" s="14"/>
      <c r="L2232" s="14"/>
      <c r="M2232" s="14"/>
      <c r="N2232" s="14"/>
      <c r="O2232" s="4"/>
      <c r="P2232" s="14"/>
      <c r="Q2232" s="14"/>
    </row>
    <row r="2233" spans="1:17" x14ac:dyDescent="0.25">
      <c r="A2233" s="5"/>
      <c r="B2233" s="6"/>
      <c r="C2233" s="4"/>
      <c r="D2233" s="4"/>
      <c r="E2233" s="12"/>
      <c r="F2233" s="12"/>
      <c r="G2233" s="16"/>
      <c r="H2233" s="14"/>
      <c r="I2233" s="14"/>
      <c r="J2233" s="14"/>
      <c r="K2233" s="14"/>
      <c r="L2233" s="14"/>
      <c r="M2233" s="14"/>
      <c r="N2233" s="14"/>
      <c r="O2233" s="4"/>
      <c r="P2233" s="14"/>
      <c r="Q2233" s="14"/>
    </row>
    <row r="2234" spans="1:17" x14ac:dyDescent="0.25">
      <c r="A2234" s="5"/>
      <c r="B2234" s="6"/>
      <c r="C2234" s="4"/>
      <c r="D2234" s="4"/>
      <c r="E2234" s="12"/>
      <c r="F2234" s="12"/>
      <c r="G2234" s="16"/>
      <c r="H2234" s="14"/>
      <c r="I2234" s="14"/>
      <c r="J2234" s="14"/>
      <c r="K2234" s="14"/>
      <c r="L2234" s="14"/>
      <c r="M2234" s="14"/>
      <c r="N2234" s="14"/>
      <c r="O2234" s="4"/>
      <c r="P2234" s="14"/>
      <c r="Q2234" s="14"/>
    </row>
    <row r="2235" spans="1:17" x14ac:dyDescent="0.25">
      <c r="A2235" s="5"/>
      <c r="B2235" s="6"/>
      <c r="C2235" s="4"/>
      <c r="D2235" s="4"/>
      <c r="E2235" s="12"/>
      <c r="F2235" s="12"/>
      <c r="G2235" s="16"/>
      <c r="H2235" s="14"/>
      <c r="I2235" s="14"/>
      <c r="J2235" s="14"/>
      <c r="K2235" s="14"/>
      <c r="L2235" s="14"/>
      <c r="M2235" s="14"/>
      <c r="N2235" s="14"/>
      <c r="O2235" s="4"/>
      <c r="P2235" s="14"/>
      <c r="Q2235" s="14"/>
    </row>
    <row r="2236" spans="1:17" x14ac:dyDescent="0.25">
      <c r="A2236" s="5"/>
      <c r="B2236" s="6"/>
      <c r="C2236" s="4"/>
      <c r="D2236" s="4"/>
      <c r="E2236" s="12"/>
      <c r="F2236" s="12"/>
      <c r="G2236" s="16"/>
      <c r="H2236" s="14"/>
      <c r="I2236" s="14"/>
      <c r="J2236" s="14"/>
      <c r="K2236" s="14"/>
      <c r="L2236" s="14"/>
      <c r="M2236" s="14"/>
      <c r="N2236" s="14"/>
      <c r="O2236" s="4"/>
      <c r="P2236" s="14"/>
      <c r="Q2236" s="14"/>
    </row>
    <row r="2237" spans="1:17" x14ac:dyDescent="0.25">
      <c r="A2237" s="5"/>
      <c r="B2237" s="6"/>
      <c r="C2237" s="4"/>
      <c r="D2237" s="4"/>
      <c r="E2237" s="12"/>
      <c r="F2237" s="12"/>
      <c r="G2237" s="16"/>
      <c r="H2237" s="14"/>
      <c r="I2237" s="14"/>
      <c r="J2237" s="14"/>
      <c r="K2237" s="14"/>
      <c r="L2237" s="14"/>
      <c r="M2237" s="14"/>
      <c r="N2237" s="14"/>
      <c r="O2237" s="4"/>
      <c r="P2237" s="14"/>
      <c r="Q2237" s="14"/>
    </row>
    <row r="2238" spans="1:17" x14ac:dyDescent="0.25">
      <c r="A2238" s="5"/>
      <c r="B2238" s="6"/>
      <c r="C2238" s="4"/>
      <c r="D2238" s="4"/>
      <c r="E2238" s="12"/>
      <c r="F2238" s="12"/>
      <c r="G2238" s="16"/>
      <c r="H2238" s="14"/>
      <c r="I2238" s="14"/>
      <c r="J2238" s="14"/>
      <c r="K2238" s="14"/>
      <c r="L2238" s="14"/>
      <c r="M2238" s="14"/>
      <c r="N2238" s="14"/>
      <c r="O2238" s="4"/>
      <c r="P2238" s="14"/>
      <c r="Q2238" s="14"/>
    </row>
    <row r="2239" spans="1:17" x14ac:dyDescent="0.25">
      <c r="A2239" s="5"/>
      <c r="B2239" s="6"/>
      <c r="C2239" s="4"/>
      <c r="D2239" s="4"/>
      <c r="E2239" s="12"/>
      <c r="F2239" s="12"/>
      <c r="G2239" s="16"/>
      <c r="H2239" s="14"/>
      <c r="I2239" s="14"/>
      <c r="J2239" s="14"/>
      <c r="K2239" s="14"/>
      <c r="L2239" s="14"/>
      <c r="M2239" s="14"/>
      <c r="N2239" s="14"/>
      <c r="O2239" s="4"/>
      <c r="P2239" s="14"/>
      <c r="Q2239" s="14"/>
    </row>
    <row r="2240" spans="1:17" x14ac:dyDescent="0.25">
      <c r="A2240" s="5"/>
      <c r="B2240" s="6"/>
      <c r="C2240" s="4"/>
      <c r="D2240" s="4"/>
      <c r="E2240" s="12"/>
      <c r="F2240" s="12"/>
      <c r="G2240" s="16"/>
      <c r="H2240" s="14"/>
      <c r="I2240" s="14"/>
      <c r="J2240" s="14"/>
      <c r="K2240" s="14"/>
      <c r="L2240" s="14"/>
      <c r="M2240" s="14"/>
      <c r="N2240" s="14"/>
      <c r="O2240" s="4"/>
      <c r="P2240" s="14"/>
      <c r="Q2240" s="14"/>
    </row>
    <row r="2241" spans="1:17" x14ac:dyDescent="0.25">
      <c r="A2241" s="5"/>
      <c r="B2241" s="6"/>
      <c r="C2241" s="4"/>
      <c r="D2241" s="4"/>
      <c r="E2241" s="12"/>
      <c r="F2241" s="12"/>
      <c r="G2241" s="16"/>
      <c r="H2241" s="14"/>
      <c r="I2241" s="14"/>
      <c r="J2241" s="14"/>
      <c r="K2241" s="14"/>
      <c r="L2241" s="14"/>
      <c r="M2241" s="14"/>
      <c r="N2241" s="14"/>
      <c r="O2241" s="4"/>
      <c r="P2241" s="14"/>
      <c r="Q2241" s="14"/>
    </row>
    <row r="2242" spans="1:17" x14ac:dyDescent="0.25">
      <c r="A2242" s="5"/>
      <c r="B2242" s="6"/>
      <c r="C2242" s="4"/>
      <c r="D2242" s="4"/>
      <c r="E2242" s="12"/>
      <c r="F2242" s="12"/>
      <c r="G2242" s="16"/>
      <c r="H2242" s="14"/>
      <c r="I2242" s="14"/>
      <c r="J2242" s="14"/>
      <c r="K2242" s="14"/>
      <c r="L2242" s="14"/>
      <c r="M2242" s="14"/>
      <c r="N2242" s="14"/>
      <c r="O2242" s="4"/>
      <c r="P2242" s="14"/>
      <c r="Q2242" s="14"/>
    </row>
    <row r="2243" spans="1:17" x14ac:dyDescent="0.25">
      <c r="A2243" s="5"/>
      <c r="B2243" s="6"/>
      <c r="C2243" s="4"/>
      <c r="D2243" s="4"/>
      <c r="E2243" s="12"/>
      <c r="F2243" s="12"/>
      <c r="G2243" s="16"/>
      <c r="H2243" s="14"/>
      <c r="I2243" s="14"/>
      <c r="J2243" s="14"/>
      <c r="K2243" s="14"/>
      <c r="L2243" s="14"/>
      <c r="M2243" s="14"/>
      <c r="N2243" s="14"/>
      <c r="O2243" s="4"/>
      <c r="P2243" s="14"/>
      <c r="Q2243" s="14"/>
    </row>
    <row r="2244" spans="1:17" x14ac:dyDescent="0.25">
      <c r="A2244" s="5"/>
      <c r="B2244" s="6"/>
      <c r="C2244" s="4"/>
      <c r="D2244" s="4"/>
      <c r="E2244" s="12"/>
      <c r="F2244" s="12"/>
      <c r="G2244" s="16"/>
      <c r="H2244" s="14"/>
      <c r="I2244" s="14"/>
      <c r="J2244" s="14"/>
      <c r="K2244" s="14"/>
      <c r="L2244" s="14"/>
      <c r="M2244" s="14"/>
      <c r="N2244" s="14"/>
      <c r="O2244" s="4"/>
      <c r="P2244" s="14"/>
      <c r="Q2244" s="14"/>
    </row>
    <row r="2245" spans="1:17" x14ac:dyDescent="0.25">
      <c r="A2245" s="5"/>
      <c r="B2245" s="6"/>
      <c r="C2245" s="4"/>
      <c r="D2245" s="4"/>
      <c r="E2245" s="12"/>
      <c r="F2245" s="12"/>
      <c r="G2245" s="16"/>
      <c r="H2245" s="14"/>
      <c r="I2245" s="14"/>
      <c r="J2245" s="14"/>
      <c r="K2245" s="14"/>
      <c r="L2245" s="14"/>
      <c r="M2245" s="14"/>
      <c r="N2245" s="14"/>
      <c r="O2245" s="4"/>
      <c r="P2245" s="14"/>
      <c r="Q2245" s="14"/>
    </row>
    <row r="2246" spans="1:17" x14ac:dyDescent="0.25">
      <c r="A2246" s="5"/>
      <c r="B2246" s="6"/>
      <c r="C2246" s="4"/>
      <c r="D2246" s="4"/>
      <c r="E2246" s="12"/>
      <c r="F2246" s="12"/>
      <c r="G2246" s="16"/>
      <c r="H2246" s="14"/>
      <c r="I2246" s="14"/>
      <c r="J2246" s="14"/>
      <c r="K2246" s="14"/>
      <c r="L2246" s="14"/>
      <c r="M2246" s="14"/>
      <c r="N2246" s="14"/>
      <c r="O2246" s="4"/>
      <c r="P2246" s="14"/>
      <c r="Q2246" s="14"/>
    </row>
    <row r="2247" spans="1:17" x14ac:dyDescent="0.25">
      <c r="A2247" s="5"/>
      <c r="B2247" s="6"/>
      <c r="C2247" s="4"/>
      <c r="D2247" s="4"/>
      <c r="E2247" s="12"/>
      <c r="F2247" s="12"/>
      <c r="G2247" s="16"/>
      <c r="H2247" s="14"/>
      <c r="I2247" s="14"/>
      <c r="J2247" s="14"/>
      <c r="K2247" s="14"/>
      <c r="L2247" s="14"/>
      <c r="M2247" s="14"/>
      <c r="N2247" s="14"/>
      <c r="O2247" s="4"/>
      <c r="P2247" s="14"/>
      <c r="Q2247" s="14"/>
    </row>
    <row r="2248" spans="1:17" x14ac:dyDescent="0.25">
      <c r="A2248" s="5"/>
      <c r="B2248" s="6"/>
      <c r="C2248" s="4"/>
      <c r="D2248" s="4"/>
      <c r="E2248" s="12"/>
      <c r="F2248" s="12"/>
      <c r="G2248" s="16"/>
      <c r="H2248" s="14"/>
      <c r="I2248" s="14"/>
      <c r="J2248" s="14"/>
      <c r="K2248" s="14"/>
      <c r="L2248" s="14"/>
      <c r="M2248" s="14"/>
      <c r="N2248" s="14"/>
      <c r="O2248" s="4"/>
      <c r="P2248" s="14"/>
      <c r="Q2248" s="14"/>
    </row>
    <row r="2249" spans="1:17" x14ac:dyDescent="0.25">
      <c r="A2249" s="5"/>
      <c r="B2249" s="6"/>
      <c r="C2249" s="4"/>
      <c r="D2249" s="4"/>
      <c r="E2249" s="12"/>
      <c r="F2249" s="12"/>
      <c r="G2249" s="16"/>
      <c r="H2249" s="14"/>
      <c r="I2249" s="14"/>
      <c r="J2249" s="14"/>
      <c r="K2249" s="14"/>
      <c r="L2249" s="14"/>
      <c r="M2249" s="14"/>
      <c r="N2249" s="14"/>
      <c r="O2249" s="4"/>
      <c r="P2249" s="14"/>
      <c r="Q2249" s="14"/>
    </row>
    <row r="2250" spans="1:17" x14ac:dyDescent="0.25">
      <c r="A2250" s="5"/>
      <c r="B2250" s="6"/>
      <c r="C2250" s="4"/>
      <c r="D2250" s="4"/>
      <c r="E2250" s="12"/>
      <c r="F2250" s="12"/>
      <c r="G2250" s="16"/>
      <c r="H2250" s="14"/>
      <c r="I2250" s="14"/>
      <c r="J2250" s="14"/>
      <c r="K2250" s="14"/>
      <c r="L2250" s="14"/>
      <c r="M2250" s="14"/>
      <c r="N2250" s="14"/>
      <c r="O2250" s="4"/>
      <c r="P2250" s="14"/>
      <c r="Q2250" s="14"/>
    </row>
    <row r="2251" spans="1:17" x14ac:dyDescent="0.25">
      <c r="A2251" s="5"/>
      <c r="B2251" s="6"/>
      <c r="C2251" s="4"/>
      <c r="D2251" s="4"/>
      <c r="E2251" s="12"/>
      <c r="F2251" s="12"/>
      <c r="G2251" s="16"/>
      <c r="H2251" s="14"/>
      <c r="I2251" s="14"/>
      <c r="J2251" s="14"/>
      <c r="K2251" s="14"/>
      <c r="L2251" s="14"/>
      <c r="M2251" s="14"/>
      <c r="N2251" s="14"/>
      <c r="O2251" s="4"/>
      <c r="P2251" s="14"/>
      <c r="Q2251" s="14"/>
    </row>
    <row r="2252" spans="1:17" x14ac:dyDescent="0.25">
      <c r="A2252" s="5"/>
      <c r="B2252" s="6"/>
      <c r="C2252" s="4"/>
      <c r="D2252" s="4"/>
      <c r="E2252" s="12"/>
      <c r="F2252" s="12"/>
      <c r="G2252" s="16"/>
      <c r="H2252" s="14"/>
      <c r="I2252" s="14"/>
      <c r="J2252" s="14"/>
      <c r="K2252" s="14"/>
      <c r="L2252" s="14"/>
      <c r="M2252" s="14"/>
      <c r="N2252" s="14"/>
      <c r="O2252" s="4"/>
      <c r="P2252" s="14"/>
      <c r="Q2252" s="14"/>
    </row>
    <row r="2253" spans="1:17" x14ac:dyDescent="0.25">
      <c r="A2253" s="5"/>
      <c r="B2253" s="6"/>
      <c r="C2253" s="4"/>
      <c r="D2253" s="4"/>
      <c r="E2253" s="12"/>
      <c r="F2253" s="12"/>
      <c r="G2253" s="16"/>
      <c r="H2253" s="14"/>
      <c r="I2253" s="14"/>
      <c r="J2253" s="14"/>
      <c r="K2253" s="14"/>
      <c r="L2253" s="14"/>
      <c r="M2253" s="14"/>
      <c r="N2253" s="14"/>
      <c r="O2253" s="4"/>
      <c r="P2253" s="14"/>
      <c r="Q2253" s="14"/>
    </row>
    <row r="2254" spans="1:17" x14ac:dyDescent="0.25">
      <c r="A2254" s="5"/>
      <c r="B2254" s="6"/>
      <c r="C2254" s="4"/>
      <c r="D2254" s="4"/>
      <c r="E2254" s="12"/>
      <c r="F2254" s="12"/>
      <c r="G2254" s="16"/>
      <c r="H2254" s="14"/>
      <c r="I2254" s="14"/>
      <c r="J2254" s="14"/>
      <c r="K2254" s="14"/>
      <c r="L2254" s="14"/>
      <c r="M2254" s="14"/>
      <c r="N2254" s="14"/>
      <c r="O2254" s="4"/>
      <c r="P2254" s="14"/>
      <c r="Q2254" s="14"/>
    </row>
    <row r="2255" spans="1:17" x14ac:dyDescent="0.25">
      <c r="A2255" s="5"/>
      <c r="B2255" s="6"/>
      <c r="C2255" s="4"/>
      <c r="D2255" s="4"/>
      <c r="E2255" s="12"/>
      <c r="F2255" s="12"/>
      <c r="G2255" s="16"/>
      <c r="H2255" s="14"/>
      <c r="I2255" s="14"/>
      <c r="J2255" s="14"/>
      <c r="K2255" s="14"/>
      <c r="L2255" s="14"/>
      <c r="M2255" s="14"/>
      <c r="N2255" s="14"/>
      <c r="O2255" s="4"/>
      <c r="P2255" s="14"/>
      <c r="Q2255" s="14"/>
    </row>
    <row r="2256" spans="1:17" x14ac:dyDescent="0.25">
      <c r="A2256" s="5"/>
      <c r="B2256" s="6"/>
      <c r="C2256" s="4"/>
      <c r="D2256" s="4"/>
      <c r="E2256" s="12"/>
      <c r="F2256" s="12"/>
      <c r="G2256" s="16"/>
      <c r="H2256" s="14"/>
      <c r="I2256" s="14"/>
      <c r="J2256" s="14"/>
      <c r="K2256" s="14"/>
      <c r="L2256" s="14"/>
      <c r="M2256" s="14"/>
      <c r="N2256" s="14"/>
      <c r="O2256" s="4"/>
      <c r="P2256" s="14"/>
      <c r="Q2256" s="14"/>
    </row>
    <row r="2257" spans="1:17" x14ac:dyDescent="0.25">
      <c r="A2257" s="5"/>
      <c r="B2257" s="6"/>
      <c r="C2257" s="4"/>
      <c r="D2257" s="4"/>
      <c r="E2257" s="12"/>
      <c r="F2257" s="12"/>
      <c r="G2257" s="16"/>
      <c r="H2257" s="14"/>
      <c r="I2257" s="14"/>
      <c r="J2257" s="14"/>
      <c r="K2257" s="14"/>
      <c r="L2257" s="14"/>
      <c r="M2257" s="14"/>
      <c r="N2257" s="14"/>
      <c r="O2257" s="4"/>
      <c r="P2257" s="14"/>
      <c r="Q2257" s="14"/>
    </row>
    <row r="2258" spans="1:17" x14ac:dyDescent="0.25">
      <c r="A2258" s="5"/>
      <c r="B2258" s="6"/>
      <c r="C2258" s="4"/>
      <c r="D2258" s="4"/>
      <c r="E2258" s="12"/>
      <c r="F2258" s="12"/>
      <c r="G2258" s="16"/>
      <c r="H2258" s="14"/>
      <c r="I2258" s="14"/>
      <c r="J2258" s="14"/>
      <c r="K2258" s="14"/>
      <c r="L2258" s="14"/>
      <c r="M2258" s="14"/>
      <c r="N2258" s="14"/>
      <c r="O2258" s="4"/>
      <c r="P2258" s="14"/>
      <c r="Q2258" s="14"/>
    </row>
    <row r="2259" spans="1:17" x14ac:dyDescent="0.25">
      <c r="A2259" s="5"/>
      <c r="B2259" s="6"/>
      <c r="C2259" s="4"/>
      <c r="D2259" s="4"/>
      <c r="E2259" s="12"/>
      <c r="F2259" s="12"/>
      <c r="G2259" s="16"/>
      <c r="H2259" s="14"/>
      <c r="I2259" s="14"/>
      <c r="J2259" s="14"/>
      <c r="K2259" s="14"/>
      <c r="L2259" s="14"/>
      <c r="M2259" s="14"/>
      <c r="N2259" s="14"/>
      <c r="O2259" s="4"/>
      <c r="P2259" s="14"/>
      <c r="Q2259" s="14"/>
    </row>
    <row r="2260" spans="1:17" x14ac:dyDescent="0.25">
      <c r="A2260" s="5"/>
      <c r="B2260" s="6"/>
      <c r="C2260" s="4"/>
      <c r="D2260" s="4"/>
      <c r="E2260" s="12"/>
      <c r="F2260" s="12"/>
      <c r="G2260" s="16"/>
      <c r="H2260" s="14"/>
      <c r="I2260" s="14"/>
      <c r="J2260" s="14"/>
      <c r="K2260" s="14"/>
      <c r="L2260" s="14"/>
      <c r="M2260" s="14"/>
      <c r="N2260" s="14"/>
      <c r="O2260" s="4"/>
      <c r="P2260" s="14"/>
      <c r="Q2260" s="14"/>
    </row>
    <row r="2261" spans="1:17" x14ac:dyDescent="0.25">
      <c r="A2261" s="5"/>
      <c r="B2261" s="6"/>
      <c r="C2261" s="4"/>
      <c r="D2261" s="4"/>
      <c r="E2261" s="12"/>
      <c r="F2261" s="12"/>
      <c r="G2261" s="16"/>
      <c r="H2261" s="14"/>
      <c r="I2261" s="14"/>
      <c r="J2261" s="14"/>
      <c r="K2261" s="14"/>
      <c r="L2261" s="14"/>
      <c r="M2261" s="14"/>
      <c r="N2261" s="14"/>
      <c r="O2261" s="4"/>
      <c r="P2261" s="14"/>
      <c r="Q2261" s="14"/>
    </row>
    <row r="2262" spans="1:17" x14ac:dyDescent="0.25">
      <c r="A2262" s="5"/>
      <c r="B2262" s="6"/>
      <c r="C2262" s="4"/>
      <c r="D2262" s="4"/>
      <c r="E2262" s="12"/>
      <c r="F2262" s="12"/>
      <c r="G2262" s="16"/>
      <c r="H2262" s="14"/>
      <c r="I2262" s="14"/>
      <c r="J2262" s="14"/>
      <c r="K2262" s="14"/>
      <c r="L2262" s="14"/>
      <c r="M2262" s="14"/>
      <c r="N2262" s="14"/>
      <c r="O2262" s="4"/>
      <c r="P2262" s="14"/>
      <c r="Q2262" s="14"/>
    </row>
    <row r="2263" spans="1:17" x14ac:dyDescent="0.25">
      <c r="A2263" s="5"/>
      <c r="B2263" s="6"/>
      <c r="C2263" s="4"/>
      <c r="D2263" s="4"/>
      <c r="E2263" s="12"/>
      <c r="F2263" s="12"/>
      <c r="G2263" s="16"/>
      <c r="H2263" s="14"/>
      <c r="I2263" s="14"/>
      <c r="J2263" s="14"/>
      <c r="K2263" s="14"/>
      <c r="L2263" s="14"/>
      <c r="M2263" s="14"/>
      <c r="N2263" s="14"/>
      <c r="O2263" s="4"/>
      <c r="P2263" s="14"/>
      <c r="Q2263" s="14"/>
    </row>
    <row r="2264" spans="1:17" x14ac:dyDescent="0.25">
      <c r="A2264" s="5"/>
      <c r="B2264" s="6"/>
      <c r="C2264" s="4"/>
      <c r="D2264" s="4"/>
      <c r="E2264" s="12"/>
      <c r="F2264" s="12"/>
      <c r="G2264" s="16"/>
      <c r="H2264" s="14"/>
      <c r="I2264" s="14"/>
      <c r="J2264" s="14"/>
      <c r="K2264" s="14"/>
      <c r="L2264" s="14"/>
      <c r="M2264" s="14"/>
      <c r="N2264" s="14"/>
      <c r="O2264" s="4"/>
      <c r="P2264" s="14"/>
      <c r="Q2264" s="14"/>
    </row>
    <row r="2265" spans="1:17" x14ac:dyDescent="0.25">
      <c r="A2265" s="5"/>
      <c r="B2265" s="6"/>
      <c r="C2265" s="4"/>
      <c r="D2265" s="4"/>
      <c r="E2265" s="12"/>
      <c r="F2265" s="12"/>
      <c r="G2265" s="16"/>
      <c r="H2265" s="14"/>
      <c r="I2265" s="14"/>
      <c r="J2265" s="14"/>
      <c r="K2265" s="14"/>
      <c r="L2265" s="14"/>
      <c r="M2265" s="14"/>
      <c r="N2265" s="14"/>
      <c r="O2265" s="4"/>
      <c r="P2265" s="14"/>
      <c r="Q2265" s="14"/>
    </row>
    <row r="2266" spans="1:17" x14ac:dyDescent="0.25">
      <c r="A2266" s="5"/>
      <c r="B2266" s="6"/>
      <c r="C2266" s="4"/>
      <c r="D2266" s="4"/>
      <c r="E2266" s="12"/>
      <c r="F2266" s="12"/>
      <c r="G2266" s="16"/>
      <c r="H2266" s="14"/>
      <c r="I2266" s="14"/>
      <c r="J2266" s="14"/>
      <c r="K2266" s="14"/>
      <c r="L2266" s="14"/>
      <c r="M2266" s="14"/>
      <c r="N2266" s="14"/>
      <c r="O2266" s="4"/>
      <c r="P2266" s="14"/>
      <c r="Q2266" s="14"/>
    </row>
    <row r="2267" spans="1:17" x14ac:dyDescent="0.25">
      <c r="A2267" s="5"/>
      <c r="B2267" s="6"/>
      <c r="C2267" s="4"/>
      <c r="D2267" s="4"/>
      <c r="E2267" s="12"/>
      <c r="F2267" s="12"/>
      <c r="G2267" s="16"/>
      <c r="H2267" s="14"/>
      <c r="I2267" s="14"/>
      <c r="J2267" s="14"/>
      <c r="K2267" s="14"/>
      <c r="L2267" s="14"/>
      <c r="M2267" s="14"/>
      <c r="N2267" s="14"/>
      <c r="O2267" s="4"/>
      <c r="P2267" s="14"/>
      <c r="Q2267" s="14"/>
    </row>
    <row r="2268" spans="1:17" x14ac:dyDescent="0.25">
      <c r="A2268" s="5"/>
      <c r="B2268" s="6"/>
      <c r="C2268" s="4"/>
      <c r="D2268" s="4"/>
      <c r="E2268" s="12"/>
      <c r="F2268" s="12"/>
      <c r="G2268" s="16"/>
      <c r="H2268" s="14"/>
      <c r="I2268" s="14"/>
      <c r="J2268" s="14"/>
      <c r="K2268" s="14"/>
      <c r="L2268" s="14"/>
      <c r="M2268" s="14"/>
      <c r="N2268" s="14"/>
      <c r="O2268" s="4"/>
      <c r="P2268" s="14"/>
      <c r="Q2268" s="14"/>
    </row>
    <row r="2269" spans="1:17" x14ac:dyDescent="0.25">
      <c r="A2269" s="5"/>
      <c r="B2269" s="6"/>
      <c r="C2269" s="4"/>
      <c r="D2269" s="4"/>
      <c r="E2269" s="12"/>
      <c r="F2269" s="12"/>
      <c r="G2269" s="16"/>
      <c r="H2269" s="14"/>
      <c r="I2269" s="14"/>
      <c r="J2269" s="14"/>
      <c r="K2269" s="14"/>
      <c r="L2269" s="14"/>
      <c r="M2269" s="14"/>
      <c r="N2269" s="14"/>
      <c r="O2269" s="4"/>
      <c r="P2269" s="14"/>
      <c r="Q2269" s="14"/>
    </row>
    <row r="2270" spans="1:17" x14ac:dyDescent="0.25">
      <c r="A2270" s="5"/>
      <c r="B2270" s="6"/>
      <c r="C2270" s="4"/>
      <c r="D2270" s="4"/>
      <c r="E2270" s="12"/>
      <c r="F2270" s="12"/>
      <c r="G2270" s="16"/>
      <c r="H2270" s="14"/>
      <c r="I2270" s="14"/>
      <c r="J2270" s="14"/>
      <c r="K2270" s="14"/>
      <c r="L2270" s="14"/>
      <c r="M2270" s="14"/>
      <c r="N2270" s="14"/>
      <c r="O2270" s="4"/>
      <c r="P2270" s="14"/>
      <c r="Q2270" s="14"/>
    </row>
    <row r="2271" spans="1:17" x14ac:dyDescent="0.25">
      <c r="A2271" s="5"/>
      <c r="B2271" s="6"/>
      <c r="C2271" s="4"/>
      <c r="D2271" s="4"/>
      <c r="E2271" s="12"/>
      <c r="F2271" s="12"/>
      <c r="G2271" s="16"/>
      <c r="H2271" s="14"/>
      <c r="I2271" s="14"/>
      <c r="J2271" s="14"/>
      <c r="K2271" s="14"/>
      <c r="L2271" s="14"/>
      <c r="M2271" s="14"/>
      <c r="N2271" s="14"/>
      <c r="O2271" s="4"/>
      <c r="P2271" s="14"/>
      <c r="Q2271" s="14"/>
    </row>
    <row r="2272" spans="1:17" x14ac:dyDescent="0.25">
      <c r="A2272" s="5"/>
      <c r="B2272" s="6"/>
      <c r="C2272" s="4"/>
      <c r="D2272" s="4"/>
      <c r="E2272" s="12"/>
      <c r="F2272" s="12"/>
      <c r="G2272" s="16"/>
      <c r="H2272" s="14"/>
      <c r="I2272" s="14"/>
      <c r="J2272" s="14"/>
      <c r="K2272" s="14"/>
      <c r="L2272" s="14"/>
      <c r="M2272" s="14"/>
      <c r="N2272" s="14"/>
      <c r="O2272" s="4"/>
      <c r="P2272" s="14"/>
      <c r="Q2272" s="14"/>
    </row>
    <row r="2273" spans="1:17" x14ac:dyDescent="0.25">
      <c r="A2273" s="5"/>
      <c r="B2273" s="6"/>
      <c r="C2273" s="4"/>
      <c r="D2273" s="4"/>
      <c r="E2273" s="12"/>
      <c r="F2273" s="12"/>
      <c r="G2273" s="16"/>
      <c r="H2273" s="14"/>
      <c r="I2273" s="14"/>
      <c r="J2273" s="14"/>
      <c r="K2273" s="14"/>
      <c r="L2273" s="14"/>
      <c r="M2273" s="14"/>
      <c r="N2273" s="14"/>
      <c r="O2273" s="4"/>
      <c r="P2273" s="14"/>
      <c r="Q2273" s="14"/>
    </row>
    <row r="2274" spans="1:17" x14ac:dyDescent="0.25">
      <c r="A2274" s="5"/>
      <c r="B2274" s="6"/>
      <c r="C2274" s="4"/>
      <c r="D2274" s="4"/>
      <c r="E2274" s="12"/>
      <c r="F2274" s="12"/>
      <c r="G2274" s="16"/>
      <c r="H2274" s="14"/>
      <c r="I2274" s="14"/>
      <c r="J2274" s="14"/>
      <c r="K2274" s="14"/>
      <c r="L2274" s="14"/>
      <c r="M2274" s="14"/>
      <c r="N2274" s="14"/>
      <c r="O2274" s="4"/>
      <c r="P2274" s="14"/>
      <c r="Q2274" s="14"/>
    </row>
    <row r="2275" spans="1:17" x14ac:dyDescent="0.25">
      <c r="A2275" s="5"/>
      <c r="B2275" s="6"/>
      <c r="C2275" s="4"/>
      <c r="D2275" s="4"/>
      <c r="E2275" s="12"/>
      <c r="F2275" s="12"/>
      <c r="G2275" s="16"/>
      <c r="H2275" s="14"/>
      <c r="I2275" s="14"/>
      <c r="J2275" s="14"/>
      <c r="K2275" s="14"/>
      <c r="L2275" s="14"/>
      <c r="M2275" s="14"/>
      <c r="N2275" s="14"/>
      <c r="O2275" s="4"/>
      <c r="P2275" s="14"/>
      <c r="Q2275" s="14"/>
    </row>
    <row r="2276" spans="1:17" x14ac:dyDescent="0.25">
      <c r="A2276" s="5"/>
      <c r="B2276" s="6"/>
      <c r="C2276" s="4"/>
      <c r="D2276" s="4"/>
      <c r="E2276" s="12"/>
      <c r="F2276" s="12"/>
      <c r="G2276" s="16"/>
      <c r="H2276" s="14"/>
      <c r="I2276" s="14"/>
      <c r="J2276" s="14"/>
      <c r="K2276" s="14"/>
      <c r="L2276" s="14"/>
      <c r="M2276" s="14"/>
      <c r="N2276" s="14"/>
      <c r="O2276" s="4"/>
      <c r="P2276" s="14"/>
      <c r="Q2276" s="14"/>
    </row>
    <row r="2277" spans="1:17" x14ac:dyDescent="0.25">
      <c r="A2277" s="5"/>
      <c r="B2277" s="6"/>
      <c r="C2277" s="4"/>
      <c r="D2277" s="4"/>
      <c r="E2277" s="12"/>
      <c r="F2277" s="12"/>
      <c r="G2277" s="16"/>
      <c r="H2277" s="14"/>
      <c r="I2277" s="14"/>
      <c r="J2277" s="14"/>
      <c r="K2277" s="14"/>
      <c r="L2277" s="14"/>
      <c r="M2277" s="14"/>
      <c r="N2277" s="14"/>
      <c r="O2277" s="4"/>
      <c r="P2277" s="14"/>
      <c r="Q2277" s="14"/>
    </row>
    <row r="2278" spans="1:17" x14ac:dyDescent="0.25">
      <c r="A2278" s="5"/>
      <c r="B2278" s="6"/>
      <c r="C2278" s="4"/>
      <c r="D2278" s="4"/>
      <c r="E2278" s="12"/>
      <c r="F2278" s="12"/>
      <c r="G2278" s="16"/>
      <c r="H2278" s="14"/>
      <c r="I2278" s="14"/>
      <c r="J2278" s="14"/>
      <c r="K2278" s="14"/>
      <c r="L2278" s="14"/>
      <c r="M2278" s="14"/>
      <c r="N2278" s="14"/>
      <c r="O2278" s="4"/>
      <c r="P2278" s="14"/>
      <c r="Q2278" s="14"/>
    </row>
    <row r="2279" spans="1:17" x14ac:dyDescent="0.25">
      <c r="A2279" s="5"/>
      <c r="B2279" s="6"/>
      <c r="C2279" s="4"/>
      <c r="D2279" s="4"/>
      <c r="E2279" s="12"/>
      <c r="F2279" s="12"/>
      <c r="G2279" s="16"/>
      <c r="H2279" s="14"/>
      <c r="I2279" s="14"/>
      <c r="J2279" s="14"/>
      <c r="K2279" s="14"/>
      <c r="L2279" s="14"/>
      <c r="M2279" s="14"/>
      <c r="N2279" s="14"/>
      <c r="O2279" s="4"/>
      <c r="P2279" s="14"/>
      <c r="Q2279" s="14"/>
    </row>
    <row r="2280" spans="1:17" x14ac:dyDescent="0.25">
      <c r="A2280" s="5"/>
      <c r="B2280" s="6"/>
      <c r="C2280" s="4"/>
      <c r="D2280" s="4"/>
      <c r="E2280" s="12"/>
      <c r="F2280" s="12"/>
      <c r="G2280" s="16"/>
      <c r="H2280" s="14"/>
      <c r="I2280" s="14"/>
      <c r="J2280" s="14"/>
      <c r="K2280" s="14"/>
      <c r="L2280" s="14"/>
      <c r="M2280" s="14"/>
      <c r="N2280" s="14"/>
      <c r="O2280" s="4"/>
      <c r="P2280" s="14"/>
      <c r="Q2280" s="14"/>
    </row>
    <row r="2281" spans="1:17" x14ac:dyDescent="0.25">
      <c r="A2281" s="5"/>
      <c r="B2281" s="6"/>
      <c r="C2281" s="4"/>
      <c r="D2281" s="4"/>
      <c r="E2281" s="12"/>
      <c r="F2281" s="12"/>
      <c r="G2281" s="16"/>
      <c r="H2281" s="14"/>
      <c r="I2281" s="14"/>
      <c r="J2281" s="14"/>
      <c r="K2281" s="14"/>
      <c r="L2281" s="14"/>
      <c r="M2281" s="14"/>
      <c r="N2281" s="14"/>
      <c r="O2281" s="4"/>
      <c r="P2281" s="14"/>
      <c r="Q2281" s="14"/>
    </row>
    <row r="2282" spans="1:17" x14ac:dyDescent="0.25">
      <c r="A2282" s="5"/>
      <c r="B2282" s="6"/>
      <c r="C2282" s="4"/>
      <c r="D2282" s="4"/>
      <c r="E2282" s="12"/>
      <c r="F2282" s="12"/>
      <c r="G2282" s="16"/>
      <c r="H2282" s="14"/>
      <c r="I2282" s="14"/>
      <c r="J2282" s="14"/>
      <c r="K2282" s="14"/>
      <c r="L2282" s="14"/>
      <c r="M2282" s="14"/>
      <c r="N2282" s="14"/>
      <c r="O2282" s="4"/>
      <c r="P2282" s="14"/>
      <c r="Q2282" s="14"/>
    </row>
    <row r="2283" spans="1:17" x14ac:dyDescent="0.25">
      <c r="A2283" s="5"/>
      <c r="B2283" s="6"/>
      <c r="C2283" s="4"/>
      <c r="D2283" s="4"/>
      <c r="E2283" s="12"/>
      <c r="F2283" s="12"/>
      <c r="G2283" s="16"/>
      <c r="H2283" s="14"/>
      <c r="I2283" s="14"/>
      <c r="J2283" s="14"/>
      <c r="K2283" s="14"/>
      <c r="L2283" s="14"/>
      <c r="M2283" s="14"/>
      <c r="N2283" s="14"/>
      <c r="O2283" s="4"/>
      <c r="P2283" s="14"/>
      <c r="Q2283" s="14"/>
    </row>
    <row r="2284" spans="1:17" x14ac:dyDescent="0.25">
      <c r="A2284" s="5"/>
      <c r="B2284" s="6"/>
      <c r="C2284" s="4"/>
      <c r="D2284" s="4"/>
      <c r="E2284" s="12"/>
      <c r="F2284" s="12"/>
      <c r="G2284" s="16"/>
      <c r="H2284" s="14"/>
      <c r="I2284" s="14"/>
      <c r="J2284" s="14"/>
      <c r="K2284" s="14"/>
      <c r="L2284" s="14"/>
      <c r="M2284" s="14"/>
      <c r="N2284" s="14"/>
      <c r="O2284" s="4"/>
      <c r="P2284" s="14"/>
      <c r="Q2284" s="14"/>
    </row>
    <row r="2285" spans="1:17" x14ac:dyDescent="0.25">
      <c r="A2285" s="5"/>
      <c r="B2285" s="6"/>
      <c r="C2285" s="4"/>
      <c r="D2285" s="4"/>
      <c r="E2285" s="12"/>
      <c r="F2285" s="12"/>
      <c r="G2285" s="16"/>
      <c r="H2285" s="14"/>
      <c r="I2285" s="14"/>
      <c r="J2285" s="14"/>
      <c r="K2285" s="14"/>
      <c r="L2285" s="14"/>
      <c r="M2285" s="14"/>
      <c r="N2285" s="14"/>
      <c r="O2285" s="4"/>
      <c r="P2285" s="14"/>
      <c r="Q2285" s="14"/>
    </row>
    <row r="2286" spans="1:17" x14ac:dyDescent="0.25">
      <c r="A2286" s="5"/>
      <c r="B2286" s="6"/>
      <c r="C2286" s="4"/>
      <c r="D2286" s="4"/>
      <c r="E2286" s="12"/>
      <c r="F2286" s="12"/>
      <c r="G2286" s="16"/>
      <c r="H2286" s="14"/>
      <c r="I2286" s="14"/>
      <c r="J2286" s="14"/>
      <c r="K2286" s="14"/>
      <c r="L2286" s="14"/>
      <c r="M2286" s="14"/>
      <c r="N2286" s="14"/>
      <c r="O2286" s="4"/>
      <c r="P2286" s="14"/>
      <c r="Q2286" s="14"/>
    </row>
    <row r="2287" spans="1:17" x14ac:dyDescent="0.25">
      <c r="A2287" s="5"/>
      <c r="B2287" s="6"/>
      <c r="C2287" s="4"/>
      <c r="D2287" s="4"/>
      <c r="E2287" s="12"/>
      <c r="F2287" s="12"/>
      <c r="G2287" s="16"/>
      <c r="H2287" s="14"/>
      <c r="I2287" s="14"/>
      <c r="J2287" s="14"/>
      <c r="K2287" s="14"/>
      <c r="L2287" s="14"/>
      <c r="M2287" s="14"/>
      <c r="N2287" s="14"/>
      <c r="O2287" s="4"/>
      <c r="P2287" s="14"/>
      <c r="Q2287" s="14"/>
    </row>
    <row r="2288" spans="1:17" x14ac:dyDescent="0.25">
      <c r="A2288" s="5"/>
      <c r="B2288" s="6"/>
      <c r="C2288" s="4"/>
      <c r="D2288" s="4"/>
      <c r="E2288" s="12"/>
      <c r="F2288" s="12"/>
      <c r="G2288" s="16"/>
      <c r="H2288" s="14"/>
      <c r="I2288" s="14"/>
      <c r="J2288" s="14"/>
      <c r="K2288" s="14"/>
      <c r="L2288" s="14"/>
      <c r="M2288" s="14"/>
      <c r="N2288" s="14"/>
      <c r="O2288" s="4"/>
      <c r="P2288" s="14"/>
      <c r="Q2288" s="14"/>
    </row>
    <row r="2289" spans="1:17" x14ac:dyDescent="0.25">
      <c r="A2289" s="5"/>
      <c r="B2289" s="6"/>
      <c r="C2289" s="4"/>
      <c r="D2289" s="4"/>
      <c r="E2289" s="12"/>
      <c r="F2289" s="12"/>
      <c r="G2289" s="16"/>
      <c r="H2289" s="14"/>
      <c r="I2289" s="14"/>
      <c r="J2289" s="14"/>
      <c r="K2289" s="14"/>
      <c r="L2289" s="14"/>
      <c r="M2289" s="14"/>
      <c r="N2289" s="14"/>
      <c r="O2289" s="4"/>
      <c r="P2289" s="14"/>
      <c r="Q2289" s="14"/>
    </row>
    <row r="2290" spans="1:17" x14ac:dyDescent="0.25">
      <c r="A2290" s="5"/>
      <c r="B2290" s="6"/>
      <c r="C2290" s="4"/>
      <c r="D2290" s="4"/>
      <c r="E2290" s="12"/>
      <c r="F2290" s="12"/>
      <c r="G2290" s="16"/>
      <c r="H2290" s="14"/>
      <c r="I2290" s="14"/>
      <c r="J2290" s="14"/>
      <c r="K2290" s="14"/>
      <c r="L2290" s="14"/>
      <c r="M2290" s="14"/>
      <c r="N2290" s="14"/>
      <c r="O2290" s="4"/>
      <c r="P2290" s="14"/>
      <c r="Q2290" s="14"/>
    </row>
    <row r="2291" spans="1:17" x14ac:dyDescent="0.25">
      <c r="A2291" s="5"/>
      <c r="B2291" s="6"/>
      <c r="C2291" s="4"/>
      <c r="D2291" s="4"/>
      <c r="E2291" s="12"/>
      <c r="F2291" s="12"/>
      <c r="G2291" s="16"/>
      <c r="H2291" s="14"/>
      <c r="I2291" s="14"/>
      <c r="J2291" s="14"/>
      <c r="K2291" s="14"/>
      <c r="L2291" s="14"/>
      <c r="M2291" s="14"/>
      <c r="N2291" s="14"/>
      <c r="O2291" s="4"/>
      <c r="P2291" s="14"/>
      <c r="Q2291" s="14"/>
    </row>
    <row r="2292" spans="1:17" x14ac:dyDescent="0.25">
      <c r="A2292" s="5"/>
      <c r="B2292" s="6"/>
      <c r="C2292" s="4"/>
      <c r="D2292" s="4"/>
      <c r="E2292" s="12"/>
      <c r="F2292" s="12"/>
      <c r="G2292" s="16"/>
      <c r="H2292" s="14"/>
      <c r="I2292" s="14"/>
      <c r="J2292" s="14"/>
      <c r="K2292" s="14"/>
      <c r="L2292" s="14"/>
      <c r="M2292" s="14"/>
      <c r="N2292" s="14"/>
      <c r="O2292" s="4"/>
      <c r="P2292" s="14"/>
      <c r="Q2292" s="14"/>
    </row>
    <row r="2293" spans="1:17" x14ac:dyDescent="0.25">
      <c r="A2293" s="5"/>
      <c r="B2293" s="6"/>
      <c r="C2293" s="4"/>
      <c r="D2293" s="4"/>
      <c r="E2293" s="12"/>
      <c r="F2293" s="12"/>
      <c r="G2293" s="16"/>
      <c r="H2293" s="14"/>
      <c r="I2293" s="14"/>
      <c r="J2293" s="14"/>
      <c r="K2293" s="14"/>
      <c r="L2293" s="14"/>
      <c r="M2293" s="14"/>
      <c r="N2293" s="14"/>
      <c r="O2293" s="4"/>
      <c r="P2293" s="14"/>
      <c r="Q2293" s="14"/>
    </row>
    <row r="2294" spans="1:17" x14ac:dyDescent="0.25">
      <c r="A2294" s="5"/>
      <c r="B2294" s="6"/>
      <c r="C2294" s="4"/>
      <c r="D2294" s="4"/>
      <c r="E2294" s="12"/>
      <c r="F2294" s="12"/>
      <c r="G2294" s="16"/>
      <c r="H2294" s="14"/>
      <c r="I2294" s="14"/>
      <c r="J2294" s="14"/>
      <c r="K2294" s="14"/>
      <c r="L2294" s="14"/>
      <c r="M2294" s="14"/>
      <c r="N2294" s="14"/>
      <c r="O2294" s="4"/>
      <c r="P2294" s="14"/>
      <c r="Q2294" s="14"/>
    </row>
    <row r="2295" spans="1:17" x14ac:dyDescent="0.25">
      <c r="A2295" s="5"/>
      <c r="B2295" s="6"/>
      <c r="C2295" s="4"/>
      <c r="D2295" s="4"/>
      <c r="E2295" s="12"/>
      <c r="F2295" s="12"/>
      <c r="G2295" s="16"/>
      <c r="H2295" s="14"/>
      <c r="I2295" s="14"/>
      <c r="J2295" s="14"/>
      <c r="K2295" s="14"/>
      <c r="L2295" s="14"/>
      <c r="M2295" s="14"/>
      <c r="N2295" s="14"/>
      <c r="O2295" s="4"/>
      <c r="P2295" s="14"/>
      <c r="Q2295" s="14"/>
    </row>
    <row r="2296" spans="1:17" x14ac:dyDescent="0.25">
      <c r="A2296" s="5"/>
      <c r="B2296" s="6"/>
      <c r="C2296" s="4"/>
      <c r="D2296" s="4"/>
      <c r="E2296" s="12"/>
      <c r="F2296" s="12"/>
      <c r="G2296" s="16"/>
      <c r="H2296" s="14"/>
      <c r="I2296" s="14"/>
      <c r="J2296" s="14"/>
      <c r="K2296" s="14"/>
      <c r="L2296" s="14"/>
      <c r="M2296" s="14"/>
      <c r="N2296" s="14"/>
      <c r="O2296" s="4"/>
      <c r="P2296" s="14"/>
      <c r="Q2296" s="14"/>
    </row>
    <row r="2297" spans="1:17" x14ac:dyDescent="0.25">
      <c r="A2297" s="5"/>
      <c r="B2297" s="6"/>
      <c r="C2297" s="4"/>
      <c r="D2297" s="4"/>
      <c r="E2297" s="12"/>
      <c r="F2297" s="12"/>
      <c r="G2297" s="16"/>
      <c r="H2297" s="14"/>
      <c r="I2297" s="14"/>
      <c r="J2297" s="14"/>
      <c r="K2297" s="14"/>
      <c r="L2297" s="14"/>
      <c r="M2297" s="14"/>
      <c r="N2297" s="14"/>
      <c r="O2297" s="4"/>
      <c r="P2297" s="14"/>
      <c r="Q2297" s="14"/>
    </row>
    <row r="2298" spans="1:17" x14ac:dyDescent="0.25">
      <c r="A2298" s="5"/>
      <c r="B2298" s="6"/>
      <c r="C2298" s="4"/>
      <c r="D2298" s="4"/>
      <c r="E2298" s="12"/>
      <c r="F2298" s="12"/>
      <c r="G2298" s="16"/>
      <c r="H2298" s="14"/>
      <c r="I2298" s="14"/>
      <c r="J2298" s="14"/>
      <c r="K2298" s="14"/>
      <c r="L2298" s="14"/>
      <c r="M2298" s="14"/>
      <c r="N2298" s="14"/>
      <c r="O2298" s="4"/>
      <c r="P2298" s="14"/>
      <c r="Q2298" s="14"/>
    </row>
    <row r="2299" spans="1:17" x14ac:dyDescent="0.25">
      <c r="A2299" s="5"/>
      <c r="B2299" s="6"/>
      <c r="C2299" s="4"/>
      <c r="D2299" s="4"/>
      <c r="E2299" s="12"/>
      <c r="F2299" s="12"/>
      <c r="G2299" s="16"/>
      <c r="H2299" s="14"/>
      <c r="I2299" s="14"/>
      <c r="J2299" s="14"/>
      <c r="K2299" s="14"/>
      <c r="L2299" s="14"/>
      <c r="M2299" s="14"/>
      <c r="N2299" s="14"/>
      <c r="O2299" s="4"/>
      <c r="P2299" s="14"/>
      <c r="Q2299" s="14"/>
    </row>
    <row r="2300" spans="1:17" x14ac:dyDescent="0.25">
      <c r="A2300" s="5"/>
      <c r="B2300" s="6"/>
      <c r="C2300" s="4"/>
      <c r="D2300" s="4"/>
      <c r="E2300" s="12"/>
      <c r="F2300" s="12"/>
      <c r="G2300" s="16"/>
      <c r="H2300" s="14"/>
      <c r="I2300" s="14"/>
      <c r="J2300" s="14"/>
      <c r="K2300" s="14"/>
      <c r="L2300" s="14"/>
      <c r="M2300" s="14"/>
      <c r="N2300" s="14"/>
      <c r="O2300" s="4"/>
      <c r="P2300" s="14"/>
      <c r="Q2300" s="14"/>
    </row>
    <row r="2301" spans="1:17" x14ac:dyDescent="0.25">
      <c r="A2301" s="5"/>
      <c r="B2301" s="6"/>
      <c r="C2301" s="4"/>
      <c r="D2301" s="4"/>
      <c r="E2301" s="12"/>
      <c r="F2301" s="12"/>
      <c r="G2301" s="16"/>
      <c r="H2301" s="14"/>
      <c r="I2301" s="14"/>
      <c r="J2301" s="14"/>
      <c r="K2301" s="14"/>
      <c r="L2301" s="14"/>
      <c r="M2301" s="14"/>
      <c r="N2301" s="14"/>
      <c r="O2301" s="4"/>
      <c r="P2301" s="14"/>
      <c r="Q2301" s="14"/>
    </row>
    <row r="2302" spans="1:17" x14ac:dyDescent="0.25">
      <c r="A2302" s="5"/>
      <c r="B2302" s="6"/>
      <c r="C2302" s="4"/>
      <c r="D2302" s="4"/>
      <c r="E2302" s="12"/>
      <c r="F2302" s="12"/>
      <c r="G2302" s="16"/>
      <c r="H2302" s="14"/>
      <c r="I2302" s="14"/>
      <c r="J2302" s="14"/>
      <c r="K2302" s="14"/>
      <c r="L2302" s="14"/>
      <c r="M2302" s="14"/>
      <c r="N2302" s="14"/>
      <c r="O2302" s="4"/>
      <c r="P2302" s="14"/>
      <c r="Q2302" s="14"/>
    </row>
    <row r="2303" spans="1:17" x14ac:dyDescent="0.25">
      <c r="A2303" s="5"/>
      <c r="B2303" s="6"/>
      <c r="C2303" s="4"/>
      <c r="D2303" s="4"/>
      <c r="E2303" s="12"/>
      <c r="F2303" s="12"/>
      <c r="G2303" s="16"/>
      <c r="H2303" s="14"/>
      <c r="I2303" s="14"/>
      <c r="J2303" s="14"/>
      <c r="K2303" s="14"/>
      <c r="L2303" s="14"/>
      <c r="M2303" s="14"/>
      <c r="N2303" s="14"/>
      <c r="O2303" s="4"/>
      <c r="P2303" s="14"/>
      <c r="Q2303" s="14"/>
    </row>
    <row r="2304" spans="1:17" x14ac:dyDescent="0.25">
      <c r="A2304" s="5"/>
      <c r="B2304" s="6"/>
      <c r="C2304" s="4"/>
      <c r="D2304" s="4"/>
      <c r="E2304" s="12"/>
      <c r="F2304" s="12"/>
      <c r="G2304" s="16"/>
      <c r="H2304" s="14"/>
      <c r="I2304" s="14"/>
      <c r="J2304" s="14"/>
      <c r="K2304" s="14"/>
      <c r="L2304" s="14"/>
      <c r="M2304" s="14"/>
      <c r="N2304" s="14"/>
      <c r="O2304" s="4"/>
      <c r="P2304" s="14"/>
      <c r="Q2304" s="14"/>
    </row>
    <row r="2305" spans="1:17" x14ac:dyDescent="0.25">
      <c r="A2305" s="5"/>
      <c r="B2305" s="6"/>
      <c r="C2305" s="4"/>
      <c r="D2305" s="4"/>
      <c r="E2305" s="12"/>
      <c r="F2305" s="12"/>
      <c r="G2305" s="16"/>
      <c r="H2305" s="14"/>
      <c r="I2305" s="14"/>
      <c r="J2305" s="14"/>
      <c r="K2305" s="14"/>
      <c r="L2305" s="14"/>
      <c r="M2305" s="14"/>
      <c r="N2305" s="14"/>
      <c r="O2305" s="4"/>
      <c r="P2305" s="14"/>
      <c r="Q2305" s="14"/>
    </row>
    <row r="2306" spans="1:17" x14ac:dyDescent="0.25">
      <c r="A2306" s="5"/>
      <c r="B2306" s="6"/>
      <c r="C2306" s="4"/>
      <c r="D2306" s="4"/>
      <c r="E2306" s="12"/>
      <c r="F2306" s="12"/>
      <c r="G2306" s="16"/>
      <c r="H2306" s="14"/>
      <c r="I2306" s="14"/>
      <c r="J2306" s="14"/>
      <c r="K2306" s="14"/>
      <c r="L2306" s="14"/>
      <c r="M2306" s="14"/>
      <c r="N2306" s="14"/>
      <c r="O2306" s="4"/>
      <c r="P2306" s="14"/>
      <c r="Q2306" s="14"/>
    </row>
    <row r="2307" spans="1:17" x14ac:dyDescent="0.25">
      <c r="A2307" s="5"/>
      <c r="B2307" s="6"/>
      <c r="C2307" s="4"/>
      <c r="D2307" s="4"/>
      <c r="E2307" s="12"/>
      <c r="F2307" s="12"/>
      <c r="G2307" s="16"/>
      <c r="H2307" s="14"/>
      <c r="I2307" s="14"/>
      <c r="J2307" s="14"/>
      <c r="K2307" s="14"/>
      <c r="L2307" s="14"/>
      <c r="M2307" s="14"/>
      <c r="N2307" s="14"/>
      <c r="O2307" s="4"/>
      <c r="P2307" s="14"/>
      <c r="Q2307" s="14"/>
    </row>
    <row r="2308" spans="1:17" x14ac:dyDescent="0.25">
      <c r="A2308" s="5"/>
      <c r="B2308" s="6"/>
      <c r="C2308" s="4"/>
      <c r="D2308" s="4"/>
      <c r="E2308" s="12"/>
      <c r="F2308" s="12"/>
      <c r="G2308" s="16"/>
      <c r="H2308" s="14"/>
      <c r="I2308" s="14"/>
      <c r="J2308" s="14"/>
      <c r="K2308" s="14"/>
      <c r="L2308" s="14"/>
      <c r="M2308" s="14"/>
      <c r="N2308" s="14"/>
      <c r="O2308" s="4"/>
      <c r="P2308" s="14"/>
      <c r="Q2308" s="14"/>
    </row>
    <row r="2309" spans="1:17" x14ac:dyDescent="0.25">
      <c r="A2309" s="5"/>
      <c r="B2309" s="6"/>
      <c r="C2309" s="4"/>
      <c r="D2309" s="4"/>
      <c r="E2309" s="12"/>
      <c r="F2309" s="12"/>
      <c r="G2309" s="16"/>
      <c r="H2309" s="14"/>
      <c r="I2309" s="14"/>
      <c r="J2309" s="14"/>
      <c r="K2309" s="14"/>
      <c r="L2309" s="14"/>
      <c r="M2309" s="14"/>
      <c r="N2309" s="14"/>
      <c r="O2309" s="4"/>
      <c r="P2309" s="14"/>
      <c r="Q2309" s="14"/>
    </row>
    <row r="2310" spans="1:17" x14ac:dyDescent="0.25">
      <c r="A2310" s="5"/>
      <c r="B2310" s="6"/>
      <c r="C2310" s="4"/>
      <c r="D2310" s="4"/>
      <c r="E2310" s="12"/>
      <c r="F2310" s="12"/>
      <c r="G2310" s="16"/>
      <c r="H2310" s="14"/>
      <c r="I2310" s="14"/>
      <c r="J2310" s="14"/>
      <c r="K2310" s="14"/>
      <c r="L2310" s="14"/>
      <c r="M2310" s="14"/>
      <c r="N2310" s="14"/>
      <c r="O2310" s="4"/>
      <c r="P2310" s="14"/>
      <c r="Q2310" s="14"/>
    </row>
    <row r="2311" spans="1:17" x14ac:dyDescent="0.25">
      <c r="A2311" s="5"/>
      <c r="B2311" s="6"/>
      <c r="C2311" s="4"/>
      <c r="D2311" s="4"/>
      <c r="E2311" s="12"/>
      <c r="F2311" s="12"/>
      <c r="G2311" s="16"/>
      <c r="H2311" s="14"/>
      <c r="I2311" s="14"/>
      <c r="J2311" s="14"/>
      <c r="K2311" s="14"/>
      <c r="L2311" s="14"/>
      <c r="M2311" s="14"/>
      <c r="N2311" s="14"/>
      <c r="O2311" s="4"/>
      <c r="P2311" s="14"/>
      <c r="Q2311" s="14"/>
    </row>
    <row r="2312" spans="1:17" x14ac:dyDescent="0.25">
      <c r="A2312" s="5"/>
      <c r="B2312" s="6"/>
      <c r="C2312" s="4"/>
      <c r="D2312" s="4"/>
      <c r="E2312" s="12"/>
      <c r="F2312" s="12"/>
      <c r="G2312" s="16"/>
      <c r="H2312" s="14"/>
      <c r="I2312" s="14"/>
      <c r="J2312" s="14"/>
      <c r="K2312" s="14"/>
      <c r="L2312" s="14"/>
      <c r="M2312" s="14"/>
      <c r="N2312" s="14"/>
      <c r="O2312" s="4"/>
      <c r="P2312" s="14"/>
      <c r="Q2312" s="14"/>
    </row>
    <row r="2313" spans="1:17" x14ac:dyDescent="0.25">
      <c r="A2313" s="5"/>
      <c r="B2313" s="6"/>
      <c r="C2313" s="4"/>
      <c r="D2313" s="4"/>
      <c r="E2313" s="12"/>
      <c r="F2313" s="12"/>
      <c r="G2313" s="16"/>
      <c r="H2313" s="14"/>
      <c r="I2313" s="14"/>
      <c r="J2313" s="14"/>
      <c r="K2313" s="14"/>
      <c r="L2313" s="14"/>
      <c r="M2313" s="14"/>
      <c r="N2313" s="14"/>
      <c r="O2313" s="4"/>
      <c r="P2313" s="14"/>
      <c r="Q2313" s="14"/>
    </row>
    <row r="2314" spans="1:17" x14ac:dyDescent="0.25">
      <c r="A2314" s="5"/>
      <c r="B2314" s="6"/>
      <c r="C2314" s="4"/>
      <c r="D2314" s="4"/>
      <c r="E2314" s="12"/>
      <c r="F2314" s="12"/>
      <c r="G2314" s="16"/>
      <c r="H2314" s="14"/>
      <c r="I2314" s="14"/>
      <c r="J2314" s="14"/>
      <c r="K2314" s="14"/>
      <c r="L2314" s="14"/>
      <c r="M2314" s="14"/>
      <c r="N2314" s="14"/>
      <c r="O2314" s="4"/>
      <c r="P2314" s="14"/>
      <c r="Q2314" s="14"/>
    </row>
    <row r="2315" spans="1:17" x14ac:dyDescent="0.25">
      <c r="A2315" s="5"/>
      <c r="B2315" s="6"/>
      <c r="C2315" s="4"/>
      <c r="D2315" s="4"/>
      <c r="E2315" s="12"/>
      <c r="F2315" s="12"/>
      <c r="G2315" s="16"/>
      <c r="H2315" s="14"/>
      <c r="I2315" s="14"/>
      <c r="J2315" s="14"/>
      <c r="K2315" s="14"/>
      <c r="L2315" s="14"/>
      <c r="M2315" s="14"/>
      <c r="N2315" s="14"/>
      <c r="O2315" s="4"/>
      <c r="P2315" s="14"/>
      <c r="Q2315" s="14"/>
    </row>
    <row r="2316" spans="1:17" x14ac:dyDescent="0.25">
      <c r="A2316" s="5"/>
      <c r="B2316" s="6"/>
      <c r="C2316" s="4"/>
      <c r="D2316" s="4"/>
      <c r="E2316" s="12"/>
      <c r="F2316" s="12"/>
      <c r="G2316" s="16"/>
      <c r="H2316" s="14"/>
      <c r="I2316" s="14"/>
      <c r="J2316" s="14"/>
      <c r="K2316" s="14"/>
      <c r="L2316" s="14"/>
      <c r="M2316" s="14"/>
      <c r="N2316" s="14"/>
      <c r="O2316" s="4"/>
      <c r="P2316" s="14"/>
      <c r="Q2316" s="14"/>
    </row>
    <row r="2317" spans="1:17" x14ac:dyDescent="0.25">
      <c r="A2317" s="5"/>
      <c r="B2317" s="6"/>
      <c r="C2317" s="4"/>
      <c r="D2317" s="4"/>
      <c r="E2317" s="12"/>
      <c r="F2317" s="12"/>
      <c r="G2317" s="16"/>
      <c r="H2317" s="14"/>
      <c r="I2317" s="14"/>
      <c r="J2317" s="14"/>
      <c r="K2317" s="14"/>
      <c r="L2317" s="14"/>
      <c r="M2317" s="14"/>
      <c r="N2317" s="14"/>
      <c r="O2317" s="4"/>
      <c r="P2317" s="14"/>
      <c r="Q2317" s="14"/>
    </row>
    <row r="2318" spans="1:17" x14ac:dyDescent="0.25">
      <c r="A2318" s="5"/>
      <c r="B2318" s="6"/>
      <c r="C2318" s="4"/>
      <c r="D2318" s="4"/>
      <c r="E2318" s="12"/>
      <c r="F2318" s="12"/>
      <c r="G2318" s="16"/>
      <c r="H2318" s="14"/>
      <c r="I2318" s="14"/>
      <c r="J2318" s="14"/>
      <c r="K2318" s="14"/>
      <c r="L2318" s="14"/>
      <c r="M2318" s="14"/>
      <c r="N2318" s="14"/>
      <c r="O2318" s="4"/>
      <c r="P2318" s="14"/>
      <c r="Q2318" s="14"/>
    </row>
    <row r="2319" spans="1:17" x14ac:dyDescent="0.25">
      <c r="A2319" s="5"/>
      <c r="B2319" s="6"/>
      <c r="C2319" s="4"/>
      <c r="D2319" s="4"/>
      <c r="E2319" s="12"/>
      <c r="F2319" s="12"/>
      <c r="G2319" s="16"/>
      <c r="H2319" s="14"/>
      <c r="I2319" s="14"/>
      <c r="J2319" s="14"/>
      <c r="K2319" s="14"/>
      <c r="L2319" s="14"/>
      <c r="M2319" s="14"/>
      <c r="N2319" s="14"/>
      <c r="O2319" s="4"/>
      <c r="P2319" s="14"/>
      <c r="Q2319" s="14"/>
    </row>
    <row r="2320" spans="1:17" x14ac:dyDescent="0.25">
      <c r="A2320" s="5"/>
      <c r="B2320" s="6"/>
      <c r="C2320" s="4"/>
      <c r="D2320" s="4"/>
      <c r="E2320" s="12"/>
      <c r="F2320" s="12"/>
      <c r="G2320" s="16"/>
      <c r="H2320" s="14"/>
      <c r="I2320" s="14"/>
      <c r="J2320" s="14"/>
      <c r="K2320" s="14"/>
      <c r="L2320" s="14"/>
      <c r="M2320" s="14"/>
      <c r="N2320" s="14"/>
      <c r="O2320" s="4"/>
      <c r="P2320" s="14"/>
      <c r="Q2320" s="14"/>
    </row>
    <row r="2321" spans="1:17" x14ac:dyDescent="0.25">
      <c r="A2321" s="5"/>
      <c r="B2321" s="6"/>
      <c r="C2321" s="4"/>
      <c r="D2321" s="4"/>
      <c r="E2321" s="12"/>
      <c r="F2321" s="12"/>
      <c r="G2321" s="16"/>
      <c r="H2321" s="14"/>
      <c r="I2321" s="14"/>
      <c r="J2321" s="14"/>
      <c r="K2321" s="14"/>
      <c r="L2321" s="14"/>
      <c r="M2321" s="14"/>
      <c r="N2321" s="14"/>
      <c r="O2321" s="4"/>
      <c r="P2321" s="14"/>
      <c r="Q2321" s="14"/>
    </row>
    <row r="2322" spans="1:17" x14ac:dyDescent="0.25">
      <c r="A2322" s="5"/>
      <c r="B2322" s="6"/>
      <c r="C2322" s="4"/>
      <c r="D2322" s="4"/>
      <c r="E2322" s="12"/>
      <c r="F2322" s="12"/>
      <c r="G2322" s="16"/>
      <c r="H2322" s="14"/>
      <c r="I2322" s="14"/>
      <c r="J2322" s="14"/>
      <c r="K2322" s="14"/>
      <c r="L2322" s="14"/>
      <c r="M2322" s="14"/>
      <c r="N2322" s="14"/>
      <c r="O2322" s="4"/>
      <c r="P2322" s="14"/>
      <c r="Q2322" s="14"/>
    </row>
    <row r="2323" spans="1:17" x14ac:dyDescent="0.25">
      <c r="A2323" s="5"/>
      <c r="B2323" s="6"/>
      <c r="C2323" s="4"/>
      <c r="D2323" s="4"/>
      <c r="E2323" s="12"/>
      <c r="F2323" s="12"/>
      <c r="G2323" s="16"/>
      <c r="H2323" s="14"/>
      <c r="I2323" s="14"/>
      <c r="J2323" s="14"/>
      <c r="K2323" s="14"/>
      <c r="L2323" s="14"/>
      <c r="M2323" s="14"/>
      <c r="N2323" s="14"/>
      <c r="O2323" s="4"/>
      <c r="P2323" s="14"/>
      <c r="Q2323" s="14"/>
    </row>
    <row r="2324" spans="1:17" x14ac:dyDescent="0.25">
      <c r="A2324" s="5"/>
      <c r="B2324" s="6"/>
      <c r="C2324" s="4"/>
      <c r="D2324" s="4"/>
      <c r="E2324" s="12"/>
      <c r="F2324" s="12"/>
      <c r="G2324" s="16"/>
      <c r="H2324" s="14"/>
      <c r="I2324" s="14"/>
      <c r="J2324" s="14"/>
      <c r="K2324" s="14"/>
      <c r="L2324" s="14"/>
      <c r="M2324" s="14"/>
      <c r="N2324" s="14"/>
      <c r="O2324" s="4"/>
      <c r="P2324" s="14"/>
      <c r="Q2324" s="14"/>
    </row>
    <row r="2325" spans="1:17" x14ac:dyDescent="0.25">
      <c r="A2325" s="5"/>
      <c r="B2325" s="6"/>
      <c r="C2325" s="4"/>
      <c r="D2325" s="4"/>
      <c r="E2325" s="12"/>
      <c r="F2325" s="12"/>
      <c r="G2325" s="16"/>
      <c r="H2325" s="14"/>
      <c r="I2325" s="14"/>
      <c r="J2325" s="14"/>
      <c r="K2325" s="14"/>
      <c r="L2325" s="14"/>
      <c r="M2325" s="14"/>
      <c r="N2325" s="14"/>
      <c r="O2325" s="4"/>
      <c r="P2325" s="14"/>
      <c r="Q2325" s="14"/>
    </row>
    <row r="2326" spans="1:17" x14ac:dyDescent="0.25">
      <c r="A2326" s="5"/>
      <c r="B2326" s="6"/>
      <c r="C2326" s="4"/>
      <c r="D2326" s="4"/>
      <c r="E2326" s="12"/>
      <c r="F2326" s="12"/>
      <c r="G2326" s="16"/>
      <c r="H2326" s="14"/>
      <c r="I2326" s="14"/>
      <c r="J2326" s="14"/>
      <c r="K2326" s="14"/>
      <c r="L2326" s="14"/>
      <c r="M2326" s="14"/>
      <c r="N2326" s="14"/>
      <c r="O2326" s="4"/>
      <c r="P2326" s="14"/>
      <c r="Q2326" s="14"/>
    </row>
    <row r="2327" spans="1:17" x14ac:dyDescent="0.25">
      <c r="A2327" s="5"/>
      <c r="B2327" s="6"/>
      <c r="C2327" s="4"/>
      <c r="D2327" s="4"/>
      <c r="E2327" s="12"/>
      <c r="F2327" s="12"/>
      <c r="G2327" s="16"/>
      <c r="H2327" s="14"/>
      <c r="I2327" s="14"/>
      <c r="J2327" s="14"/>
      <c r="K2327" s="14"/>
      <c r="L2327" s="14"/>
      <c r="M2327" s="14"/>
      <c r="N2327" s="14"/>
      <c r="O2327" s="4"/>
      <c r="P2327" s="14"/>
      <c r="Q2327" s="14"/>
    </row>
    <row r="2328" spans="1:17" x14ac:dyDescent="0.25">
      <c r="A2328" s="5"/>
      <c r="B2328" s="6"/>
      <c r="C2328" s="4"/>
      <c r="D2328" s="4"/>
      <c r="E2328" s="12"/>
      <c r="F2328" s="12"/>
      <c r="G2328" s="16"/>
      <c r="H2328" s="14"/>
      <c r="I2328" s="14"/>
      <c r="J2328" s="14"/>
      <c r="K2328" s="14"/>
      <c r="L2328" s="14"/>
      <c r="M2328" s="14"/>
      <c r="N2328" s="14"/>
      <c r="O2328" s="4"/>
      <c r="P2328" s="14"/>
      <c r="Q2328" s="14"/>
    </row>
    <row r="2329" spans="1:17" x14ac:dyDescent="0.25">
      <c r="A2329" s="5"/>
      <c r="B2329" s="6"/>
      <c r="C2329" s="4"/>
      <c r="D2329" s="4"/>
      <c r="E2329" s="12"/>
      <c r="F2329" s="12"/>
      <c r="G2329" s="16"/>
      <c r="H2329" s="14"/>
      <c r="I2329" s="14"/>
      <c r="J2329" s="14"/>
      <c r="K2329" s="14"/>
      <c r="L2329" s="14"/>
      <c r="M2329" s="14"/>
      <c r="N2329" s="14"/>
      <c r="O2329" s="4"/>
      <c r="P2329" s="14"/>
      <c r="Q2329" s="14"/>
    </row>
    <row r="2330" spans="1:17" x14ac:dyDescent="0.25">
      <c r="A2330" s="5"/>
      <c r="B2330" s="6"/>
      <c r="C2330" s="4"/>
      <c r="D2330" s="4"/>
      <c r="E2330" s="12"/>
      <c r="F2330" s="12"/>
      <c r="G2330" s="16"/>
      <c r="H2330" s="14"/>
      <c r="I2330" s="14"/>
      <c r="J2330" s="14"/>
      <c r="K2330" s="14"/>
      <c r="L2330" s="14"/>
      <c r="M2330" s="14"/>
      <c r="N2330" s="14"/>
      <c r="O2330" s="4"/>
      <c r="P2330" s="14"/>
      <c r="Q2330" s="14"/>
    </row>
    <row r="2331" spans="1:17" x14ac:dyDescent="0.25">
      <c r="A2331" s="5"/>
      <c r="B2331" s="6"/>
      <c r="C2331" s="4"/>
      <c r="D2331" s="4"/>
      <c r="E2331" s="12"/>
      <c r="F2331" s="12"/>
      <c r="G2331" s="16"/>
      <c r="H2331" s="14"/>
      <c r="I2331" s="14"/>
      <c r="J2331" s="14"/>
      <c r="K2331" s="14"/>
      <c r="L2331" s="14"/>
      <c r="M2331" s="14"/>
      <c r="N2331" s="14"/>
      <c r="O2331" s="4"/>
      <c r="P2331" s="14"/>
      <c r="Q2331" s="14"/>
    </row>
    <row r="2332" spans="1:17" x14ac:dyDescent="0.25">
      <c r="A2332" s="5"/>
      <c r="B2332" s="6"/>
      <c r="C2332" s="4"/>
      <c r="D2332" s="4"/>
      <c r="E2332" s="12"/>
      <c r="F2332" s="12"/>
      <c r="G2332" s="16"/>
      <c r="H2332" s="14"/>
      <c r="I2332" s="14"/>
      <c r="J2332" s="14"/>
      <c r="K2332" s="14"/>
      <c r="L2332" s="14"/>
      <c r="M2332" s="14"/>
      <c r="N2332" s="14"/>
      <c r="O2332" s="4"/>
      <c r="P2332" s="14"/>
      <c r="Q2332" s="14"/>
    </row>
    <row r="2333" spans="1:17" x14ac:dyDescent="0.25">
      <c r="A2333" s="5"/>
      <c r="B2333" s="6"/>
      <c r="C2333" s="4"/>
      <c r="D2333" s="4"/>
      <c r="E2333" s="12"/>
      <c r="F2333" s="12"/>
      <c r="G2333" s="16"/>
      <c r="H2333" s="14"/>
      <c r="I2333" s="14"/>
      <c r="J2333" s="14"/>
      <c r="K2333" s="14"/>
      <c r="L2333" s="14"/>
      <c r="M2333" s="14"/>
      <c r="N2333" s="14"/>
      <c r="O2333" s="4"/>
      <c r="P2333" s="14"/>
      <c r="Q2333" s="14"/>
    </row>
    <row r="2334" spans="1:17" x14ac:dyDescent="0.25">
      <c r="A2334" s="5"/>
      <c r="B2334" s="6"/>
      <c r="C2334" s="4"/>
      <c r="D2334" s="4"/>
      <c r="E2334" s="12"/>
      <c r="F2334" s="12"/>
      <c r="G2334" s="16"/>
      <c r="H2334" s="14"/>
      <c r="I2334" s="14"/>
      <c r="J2334" s="14"/>
      <c r="K2334" s="14"/>
      <c r="L2334" s="14"/>
      <c r="M2334" s="14"/>
      <c r="N2334" s="14"/>
      <c r="O2334" s="4"/>
      <c r="P2334" s="14"/>
      <c r="Q2334" s="14"/>
    </row>
    <row r="2335" spans="1:17" x14ac:dyDescent="0.25">
      <c r="A2335" s="5"/>
      <c r="B2335" s="6"/>
      <c r="C2335" s="4"/>
      <c r="D2335" s="4"/>
      <c r="E2335" s="12"/>
      <c r="F2335" s="12"/>
      <c r="G2335" s="16"/>
      <c r="H2335" s="14"/>
      <c r="I2335" s="14"/>
      <c r="J2335" s="14"/>
      <c r="K2335" s="14"/>
      <c r="L2335" s="14"/>
      <c r="M2335" s="14"/>
      <c r="N2335" s="14"/>
      <c r="O2335" s="4"/>
      <c r="P2335" s="14"/>
      <c r="Q2335" s="14"/>
    </row>
    <row r="2336" spans="1:17" x14ac:dyDescent="0.25">
      <c r="A2336" s="5"/>
      <c r="B2336" s="6"/>
      <c r="C2336" s="4"/>
      <c r="D2336" s="4"/>
      <c r="E2336" s="12"/>
      <c r="F2336" s="12"/>
      <c r="G2336" s="16"/>
      <c r="H2336" s="14"/>
      <c r="I2336" s="14"/>
      <c r="J2336" s="14"/>
      <c r="K2336" s="14"/>
      <c r="L2336" s="14"/>
      <c r="M2336" s="14"/>
      <c r="N2336" s="14"/>
      <c r="O2336" s="4"/>
      <c r="P2336" s="14"/>
      <c r="Q2336" s="14"/>
    </row>
    <row r="2337" spans="1:17" x14ac:dyDescent="0.25">
      <c r="A2337" s="5"/>
      <c r="B2337" s="6"/>
      <c r="C2337" s="4"/>
      <c r="D2337" s="4"/>
      <c r="E2337" s="12"/>
      <c r="F2337" s="12"/>
      <c r="G2337" s="16"/>
      <c r="H2337" s="14"/>
      <c r="I2337" s="14"/>
      <c r="J2337" s="14"/>
      <c r="K2337" s="14"/>
      <c r="L2337" s="14"/>
      <c r="M2337" s="14"/>
      <c r="N2337" s="14"/>
      <c r="O2337" s="4"/>
      <c r="P2337" s="14"/>
      <c r="Q2337" s="14"/>
    </row>
    <row r="2338" spans="1:17" x14ac:dyDescent="0.25">
      <c r="A2338" s="5"/>
      <c r="B2338" s="6"/>
      <c r="C2338" s="4"/>
      <c r="D2338" s="4"/>
      <c r="E2338" s="12"/>
      <c r="F2338" s="12"/>
      <c r="G2338" s="16"/>
      <c r="H2338" s="14"/>
      <c r="I2338" s="14"/>
      <c r="J2338" s="14"/>
      <c r="K2338" s="14"/>
      <c r="L2338" s="14"/>
      <c r="M2338" s="14"/>
      <c r="N2338" s="14"/>
      <c r="O2338" s="4"/>
      <c r="P2338" s="14"/>
      <c r="Q2338" s="14"/>
    </row>
    <row r="2339" spans="1:17" x14ac:dyDescent="0.25">
      <c r="A2339" s="5"/>
      <c r="B2339" s="6"/>
      <c r="C2339" s="4"/>
      <c r="D2339" s="4"/>
      <c r="E2339" s="12"/>
      <c r="F2339" s="12"/>
      <c r="G2339" s="16"/>
      <c r="H2339" s="14"/>
      <c r="I2339" s="14"/>
      <c r="J2339" s="14"/>
      <c r="K2339" s="14"/>
      <c r="L2339" s="14"/>
      <c r="M2339" s="14"/>
      <c r="N2339" s="14"/>
      <c r="O2339" s="4"/>
      <c r="P2339" s="14"/>
      <c r="Q2339" s="14"/>
    </row>
    <row r="2340" spans="1:17" x14ac:dyDescent="0.25">
      <c r="A2340" s="5"/>
      <c r="B2340" s="6"/>
      <c r="C2340" s="4"/>
      <c r="D2340" s="4"/>
      <c r="E2340" s="12"/>
      <c r="F2340" s="12"/>
      <c r="G2340" s="16"/>
      <c r="H2340" s="14"/>
      <c r="I2340" s="14"/>
      <c r="J2340" s="14"/>
      <c r="K2340" s="14"/>
      <c r="L2340" s="14"/>
      <c r="M2340" s="14"/>
      <c r="N2340" s="14"/>
      <c r="O2340" s="4"/>
      <c r="P2340" s="14"/>
      <c r="Q2340" s="14"/>
    </row>
    <row r="2341" spans="1:17" x14ac:dyDescent="0.25">
      <c r="A2341" s="5"/>
      <c r="B2341" s="6"/>
      <c r="C2341" s="4"/>
      <c r="D2341" s="4"/>
      <c r="E2341" s="12"/>
      <c r="F2341" s="12"/>
      <c r="G2341" s="16"/>
      <c r="H2341" s="14"/>
      <c r="I2341" s="14"/>
      <c r="J2341" s="14"/>
      <c r="K2341" s="14"/>
      <c r="L2341" s="14"/>
      <c r="M2341" s="14"/>
      <c r="N2341" s="14"/>
      <c r="O2341" s="4"/>
      <c r="P2341" s="14"/>
      <c r="Q2341" s="14"/>
    </row>
    <row r="2342" spans="1:17" x14ac:dyDescent="0.25">
      <c r="A2342" s="5"/>
      <c r="B2342" s="6"/>
      <c r="C2342" s="4"/>
      <c r="D2342" s="4"/>
      <c r="E2342" s="12"/>
      <c r="F2342" s="12"/>
      <c r="G2342" s="16"/>
      <c r="H2342" s="14"/>
      <c r="I2342" s="14"/>
      <c r="J2342" s="14"/>
      <c r="K2342" s="14"/>
      <c r="L2342" s="14"/>
      <c r="M2342" s="14"/>
      <c r="N2342" s="14"/>
      <c r="O2342" s="4"/>
      <c r="P2342" s="14"/>
      <c r="Q2342" s="14"/>
    </row>
    <row r="2343" spans="1:17" x14ac:dyDescent="0.25">
      <c r="A2343" s="5"/>
      <c r="B2343" s="6"/>
      <c r="C2343" s="4"/>
      <c r="D2343" s="4"/>
      <c r="E2343" s="12"/>
      <c r="F2343" s="12"/>
      <c r="G2343" s="16"/>
      <c r="H2343" s="14"/>
      <c r="I2343" s="14"/>
      <c r="J2343" s="14"/>
      <c r="K2343" s="14"/>
      <c r="L2343" s="14"/>
      <c r="M2343" s="14"/>
      <c r="N2343" s="14"/>
      <c r="O2343" s="4"/>
      <c r="P2343" s="14"/>
      <c r="Q2343" s="14"/>
    </row>
    <row r="2344" spans="1:17" x14ac:dyDescent="0.25">
      <c r="A2344" s="5"/>
      <c r="B2344" s="6"/>
      <c r="C2344" s="4"/>
      <c r="D2344" s="4"/>
      <c r="E2344" s="12"/>
      <c r="F2344" s="12"/>
      <c r="G2344" s="16"/>
      <c r="H2344" s="14"/>
      <c r="I2344" s="14"/>
      <c r="J2344" s="14"/>
      <c r="K2344" s="14"/>
      <c r="L2344" s="14"/>
      <c r="M2344" s="14"/>
      <c r="N2344" s="14"/>
      <c r="O2344" s="4"/>
      <c r="P2344" s="14"/>
      <c r="Q2344" s="14"/>
    </row>
    <row r="2345" spans="1:17" x14ac:dyDescent="0.25">
      <c r="A2345" s="5"/>
      <c r="B2345" s="6"/>
      <c r="C2345" s="4"/>
      <c r="D2345" s="4"/>
      <c r="E2345" s="12"/>
      <c r="F2345" s="12"/>
      <c r="G2345" s="16"/>
      <c r="H2345" s="14"/>
      <c r="I2345" s="14"/>
      <c r="J2345" s="14"/>
      <c r="K2345" s="14"/>
      <c r="L2345" s="14"/>
      <c r="M2345" s="14"/>
      <c r="N2345" s="14"/>
      <c r="O2345" s="4"/>
      <c r="P2345" s="14"/>
      <c r="Q2345" s="14"/>
    </row>
    <row r="2346" spans="1:17" x14ac:dyDescent="0.25">
      <c r="A2346" s="5"/>
      <c r="B2346" s="6"/>
      <c r="C2346" s="4"/>
      <c r="D2346" s="4"/>
      <c r="E2346" s="12"/>
      <c r="F2346" s="12"/>
      <c r="G2346" s="16"/>
      <c r="H2346" s="14"/>
      <c r="I2346" s="14"/>
      <c r="J2346" s="14"/>
      <c r="K2346" s="14"/>
      <c r="L2346" s="14"/>
      <c r="M2346" s="14"/>
      <c r="N2346" s="14"/>
      <c r="O2346" s="4"/>
      <c r="P2346" s="14"/>
      <c r="Q2346" s="14"/>
    </row>
    <row r="2347" spans="1:17" x14ac:dyDescent="0.25">
      <c r="A2347" s="5"/>
      <c r="B2347" s="6"/>
      <c r="C2347" s="4"/>
      <c r="D2347" s="4"/>
      <c r="E2347" s="12"/>
      <c r="F2347" s="12"/>
      <c r="G2347" s="16"/>
      <c r="H2347" s="14"/>
      <c r="I2347" s="14"/>
      <c r="J2347" s="14"/>
      <c r="K2347" s="14"/>
      <c r="L2347" s="14"/>
      <c r="M2347" s="14"/>
      <c r="N2347" s="14"/>
      <c r="O2347" s="4"/>
      <c r="P2347" s="14"/>
      <c r="Q2347" s="14"/>
    </row>
    <row r="2348" spans="1:17" x14ac:dyDescent="0.25">
      <c r="A2348" s="5"/>
      <c r="B2348" s="6"/>
      <c r="C2348" s="4"/>
      <c r="D2348" s="4"/>
      <c r="E2348" s="12"/>
      <c r="F2348" s="12"/>
      <c r="G2348" s="16"/>
      <c r="H2348" s="14"/>
      <c r="I2348" s="14"/>
      <c r="J2348" s="14"/>
      <c r="K2348" s="14"/>
      <c r="L2348" s="14"/>
      <c r="M2348" s="14"/>
      <c r="N2348" s="14"/>
      <c r="O2348" s="4"/>
      <c r="P2348" s="14"/>
      <c r="Q2348" s="14"/>
    </row>
    <row r="2349" spans="1:17" x14ac:dyDescent="0.25">
      <c r="A2349" s="5"/>
      <c r="B2349" s="6"/>
      <c r="C2349" s="4"/>
      <c r="D2349" s="4"/>
      <c r="E2349" s="12"/>
      <c r="F2349" s="12"/>
      <c r="G2349" s="16"/>
      <c r="H2349" s="14"/>
      <c r="I2349" s="14"/>
      <c r="J2349" s="14"/>
      <c r="K2349" s="14"/>
      <c r="L2349" s="14"/>
      <c r="M2349" s="14"/>
      <c r="N2349" s="14"/>
      <c r="O2349" s="4"/>
      <c r="P2349" s="14"/>
      <c r="Q2349" s="14"/>
    </row>
    <row r="2350" spans="1:17" x14ac:dyDescent="0.25">
      <c r="A2350" s="5"/>
      <c r="B2350" s="6"/>
      <c r="C2350" s="4"/>
      <c r="D2350" s="4"/>
      <c r="E2350" s="12"/>
      <c r="F2350" s="12"/>
      <c r="G2350" s="16"/>
      <c r="H2350" s="14"/>
      <c r="I2350" s="14"/>
      <c r="J2350" s="14"/>
      <c r="K2350" s="14"/>
      <c r="L2350" s="14"/>
      <c r="M2350" s="14"/>
      <c r="N2350" s="14"/>
      <c r="O2350" s="4"/>
      <c r="P2350" s="14"/>
      <c r="Q2350" s="14"/>
    </row>
    <row r="2351" spans="1:17" x14ac:dyDescent="0.25">
      <c r="A2351" s="5"/>
      <c r="B2351" s="6"/>
      <c r="C2351" s="4"/>
      <c r="D2351" s="4"/>
      <c r="E2351" s="12"/>
      <c r="F2351" s="12"/>
      <c r="G2351" s="16"/>
      <c r="H2351" s="14"/>
      <c r="I2351" s="14"/>
      <c r="J2351" s="14"/>
      <c r="K2351" s="14"/>
      <c r="L2351" s="14"/>
      <c r="M2351" s="14"/>
      <c r="N2351" s="14"/>
      <c r="O2351" s="4"/>
      <c r="P2351" s="14"/>
      <c r="Q2351" s="14"/>
    </row>
    <row r="2352" spans="1:17" x14ac:dyDescent="0.25">
      <c r="A2352" s="5"/>
      <c r="B2352" s="6"/>
      <c r="C2352" s="4"/>
      <c r="D2352" s="4"/>
      <c r="E2352" s="12"/>
      <c r="F2352" s="12"/>
      <c r="G2352" s="16"/>
      <c r="H2352" s="14"/>
      <c r="I2352" s="14"/>
      <c r="J2352" s="14"/>
      <c r="K2352" s="14"/>
      <c r="L2352" s="14"/>
      <c r="M2352" s="14"/>
      <c r="N2352" s="14"/>
      <c r="O2352" s="4"/>
      <c r="P2352" s="14"/>
      <c r="Q2352" s="14"/>
    </row>
    <row r="2353" spans="1:17" x14ac:dyDescent="0.25">
      <c r="A2353" s="5"/>
      <c r="B2353" s="6"/>
      <c r="C2353" s="4"/>
      <c r="D2353" s="4"/>
      <c r="E2353" s="12"/>
      <c r="F2353" s="12"/>
      <c r="G2353" s="16"/>
      <c r="H2353" s="14"/>
      <c r="I2353" s="14"/>
      <c r="J2353" s="14"/>
      <c r="K2353" s="14"/>
      <c r="L2353" s="14"/>
      <c r="M2353" s="14"/>
      <c r="N2353" s="14"/>
      <c r="O2353" s="4"/>
      <c r="P2353" s="14"/>
      <c r="Q2353" s="14"/>
    </row>
    <row r="2354" spans="1:17" x14ac:dyDescent="0.25">
      <c r="A2354" s="5"/>
      <c r="B2354" s="6"/>
      <c r="C2354" s="4"/>
      <c r="D2354" s="4"/>
      <c r="E2354" s="12"/>
      <c r="F2354" s="12"/>
      <c r="G2354" s="16"/>
      <c r="H2354" s="14"/>
      <c r="I2354" s="14"/>
      <c r="J2354" s="14"/>
      <c r="K2354" s="14"/>
      <c r="L2354" s="14"/>
      <c r="M2354" s="14"/>
      <c r="N2354" s="14"/>
      <c r="O2354" s="4"/>
      <c r="P2354" s="14"/>
      <c r="Q2354" s="14"/>
    </row>
    <row r="2355" spans="1:17" x14ac:dyDescent="0.25">
      <c r="A2355" s="5"/>
      <c r="B2355" s="6"/>
      <c r="C2355" s="4"/>
      <c r="D2355" s="4"/>
      <c r="E2355" s="12"/>
      <c r="F2355" s="12"/>
      <c r="G2355" s="16"/>
      <c r="H2355" s="14"/>
      <c r="I2355" s="14"/>
      <c r="J2355" s="14"/>
      <c r="K2355" s="14"/>
      <c r="L2355" s="14"/>
      <c r="M2355" s="14"/>
      <c r="N2355" s="14"/>
      <c r="O2355" s="4"/>
      <c r="P2355" s="14"/>
      <c r="Q2355" s="14"/>
    </row>
    <row r="2356" spans="1:17" x14ac:dyDescent="0.25">
      <c r="A2356" s="5"/>
      <c r="B2356" s="6"/>
      <c r="C2356" s="4"/>
      <c r="D2356" s="4"/>
      <c r="E2356" s="12"/>
      <c r="F2356" s="12"/>
      <c r="G2356" s="16"/>
      <c r="H2356" s="14"/>
      <c r="I2356" s="14"/>
      <c r="J2356" s="14"/>
      <c r="K2356" s="14"/>
      <c r="L2356" s="14"/>
      <c r="M2356" s="14"/>
      <c r="N2356" s="14"/>
      <c r="O2356" s="4"/>
      <c r="P2356" s="14"/>
      <c r="Q2356" s="14"/>
    </row>
    <row r="2357" spans="1:17" x14ac:dyDescent="0.25">
      <c r="A2357" s="5"/>
      <c r="B2357" s="6"/>
      <c r="C2357" s="4"/>
      <c r="D2357" s="4"/>
      <c r="E2357" s="12"/>
      <c r="F2357" s="12"/>
      <c r="G2357" s="16"/>
      <c r="H2357" s="14"/>
      <c r="I2357" s="14"/>
      <c r="J2357" s="14"/>
      <c r="K2357" s="14"/>
      <c r="L2357" s="14"/>
      <c r="M2357" s="14"/>
      <c r="N2357" s="14"/>
      <c r="O2357" s="4"/>
      <c r="P2357" s="14"/>
      <c r="Q2357" s="14"/>
    </row>
    <row r="2358" spans="1:17" x14ac:dyDescent="0.25">
      <c r="A2358" s="5"/>
      <c r="B2358" s="6"/>
      <c r="C2358" s="4"/>
      <c r="D2358" s="4"/>
      <c r="E2358" s="12"/>
      <c r="F2358" s="12"/>
      <c r="G2358" s="16"/>
      <c r="H2358" s="14"/>
      <c r="I2358" s="14"/>
      <c r="J2358" s="14"/>
      <c r="K2358" s="14"/>
      <c r="L2358" s="14"/>
      <c r="M2358" s="14"/>
      <c r="N2358" s="14"/>
      <c r="O2358" s="4"/>
      <c r="P2358" s="14"/>
      <c r="Q2358" s="14"/>
    </row>
    <row r="2359" spans="1:17" x14ac:dyDescent="0.25">
      <c r="A2359" s="5"/>
      <c r="B2359" s="6"/>
      <c r="C2359" s="4"/>
      <c r="D2359" s="4"/>
      <c r="E2359" s="12"/>
      <c r="F2359" s="12"/>
      <c r="G2359" s="16"/>
      <c r="H2359" s="14"/>
      <c r="I2359" s="14"/>
      <c r="J2359" s="14"/>
      <c r="K2359" s="14"/>
      <c r="L2359" s="14"/>
      <c r="M2359" s="14"/>
      <c r="N2359" s="14"/>
      <c r="O2359" s="4"/>
      <c r="P2359" s="14"/>
      <c r="Q2359" s="14"/>
    </row>
    <row r="2360" spans="1:17" x14ac:dyDescent="0.25">
      <c r="A2360" s="5"/>
      <c r="B2360" s="6"/>
      <c r="C2360" s="4"/>
      <c r="D2360" s="4"/>
      <c r="E2360" s="12"/>
      <c r="F2360" s="12"/>
      <c r="G2360" s="16"/>
      <c r="H2360" s="14"/>
      <c r="I2360" s="14"/>
      <c r="J2360" s="14"/>
      <c r="K2360" s="14"/>
      <c r="L2360" s="14"/>
      <c r="M2360" s="14"/>
      <c r="N2360" s="14"/>
      <c r="O2360" s="4"/>
      <c r="P2360" s="14"/>
      <c r="Q2360" s="14"/>
    </row>
    <row r="2361" spans="1:17" x14ac:dyDescent="0.25">
      <c r="A2361" s="5"/>
      <c r="B2361" s="6"/>
      <c r="C2361" s="4"/>
      <c r="D2361" s="4"/>
      <c r="E2361" s="12"/>
      <c r="F2361" s="12"/>
      <c r="G2361" s="16"/>
      <c r="H2361" s="14"/>
      <c r="I2361" s="14"/>
      <c r="J2361" s="14"/>
      <c r="K2361" s="14"/>
      <c r="L2361" s="14"/>
      <c r="M2361" s="14"/>
      <c r="N2361" s="14"/>
      <c r="O2361" s="4"/>
      <c r="P2361" s="14"/>
      <c r="Q2361" s="14"/>
    </row>
    <row r="2362" spans="1:17" x14ac:dyDescent="0.25">
      <c r="A2362" s="5"/>
      <c r="B2362" s="6"/>
      <c r="C2362" s="4"/>
      <c r="D2362" s="4"/>
      <c r="E2362" s="12"/>
      <c r="F2362" s="12"/>
      <c r="G2362" s="16"/>
      <c r="H2362" s="14"/>
      <c r="I2362" s="14"/>
      <c r="J2362" s="14"/>
      <c r="K2362" s="14"/>
      <c r="L2362" s="14"/>
      <c r="M2362" s="14"/>
      <c r="N2362" s="14"/>
      <c r="O2362" s="4"/>
      <c r="P2362" s="14"/>
      <c r="Q2362" s="14"/>
    </row>
    <row r="2363" spans="1:17" x14ac:dyDescent="0.25">
      <c r="A2363" s="5"/>
      <c r="B2363" s="6"/>
      <c r="C2363" s="4"/>
      <c r="D2363" s="4"/>
      <c r="E2363" s="12"/>
      <c r="F2363" s="12"/>
      <c r="G2363" s="16"/>
      <c r="H2363" s="14"/>
      <c r="I2363" s="14"/>
      <c r="J2363" s="14"/>
      <c r="K2363" s="14"/>
      <c r="L2363" s="14"/>
      <c r="M2363" s="14"/>
      <c r="N2363" s="14"/>
      <c r="O2363" s="4"/>
      <c r="P2363" s="14"/>
      <c r="Q2363" s="14"/>
    </row>
    <row r="2364" spans="1:17" x14ac:dyDescent="0.25">
      <c r="A2364" s="5"/>
      <c r="B2364" s="6"/>
      <c r="C2364" s="4"/>
      <c r="D2364" s="4"/>
      <c r="E2364" s="12"/>
      <c r="F2364" s="12"/>
      <c r="G2364" s="16"/>
      <c r="H2364" s="14"/>
      <c r="I2364" s="14"/>
      <c r="J2364" s="14"/>
      <c r="K2364" s="14"/>
      <c r="L2364" s="14"/>
      <c r="M2364" s="14"/>
      <c r="N2364" s="14"/>
      <c r="O2364" s="4"/>
      <c r="P2364" s="14"/>
      <c r="Q2364" s="14"/>
    </row>
    <row r="2365" spans="1:17" x14ac:dyDescent="0.25">
      <c r="A2365" s="5"/>
      <c r="B2365" s="6"/>
      <c r="C2365" s="4"/>
      <c r="D2365" s="4"/>
      <c r="E2365" s="12"/>
      <c r="F2365" s="12"/>
      <c r="G2365" s="16"/>
      <c r="H2365" s="14"/>
      <c r="I2365" s="14"/>
      <c r="J2365" s="14"/>
      <c r="K2365" s="14"/>
      <c r="L2365" s="14"/>
      <c r="M2365" s="14"/>
      <c r="N2365" s="14"/>
      <c r="O2365" s="4"/>
      <c r="P2365" s="14"/>
      <c r="Q2365" s="14"/>
    </row>
    <row r="2366" spans="1:17" x14ac:dyDescent="0.25">
      <c r="A2366" s="5"/>
      <c r="B2366" s="6"/>
      <c r="C2366" s="4"/>
      <c r="D2366" s="4"/>
      <c r="E2366" s="12"/>
      <c r="F2366" s="12"/>
      <c r="G2366" s="16"/>
      <c r="H2366" s="14"/>
      <c r="I2366" s="14"/>
      <c r="J2366" s="14"/>
      <c r="K2366" s="14"/>
      <c r="L2366" s="14"/>
      <c r="M2366" s="14"/>
      <c r="N2366" s="14"/>
      <c r="O2366" s="4"/>
      <c r="P2366" s="14"/>
      <c r="Q2366" s="14"/>
    </row>
    <row r="2367" spans="1:17" x14ac:dyDescent="0.25">
      <c r="A2367" s="5"/>
      <c r="B2367" s="6"/>
      <c r="C2367" s="4"/>
      <c r="D2367" s="4"/>
      <c r="E2367" s="12"/>
      <c r="F2367" s="12"/>
      <c r="G2367" s="16"/>
      <c r="H2367" s="14"/>
      <c r="I2367" s="14"/>
      <c r="J2367" s="14"/>
      <c r="K2367" s="14"/>
      <c r="L2367" s="14"/>
      <c r="M2367" s="14"/>
      <c r="N2367" s="14"/>
      <c r="O2367" s="4"/>
      <c r="P2367" s="14"/>
      <c r="Q2367" s="14"/>
    </row>
    <row r="2368" spans="1:17" x14ac:dyDescent="0.25">
      <c r="A2368" s="5"/>
      <c r="B2368" s="6"/>
      <c r="C2368" s="4"/>
      <c r="D2368" s="4"/>
      <c r="E2368" s="12"/>
      <c r="F2368" s="12"/>
      <c r="G2368" s="16"/>
      <c r="H2368" s="14"/>
      <c r="I2368" s="14"/>
      <c r="J2368" s="14"/>
      <c r="K2368" s="14"/>
      <c r="L2368" s="14"/>
      <c r="M2368" s="14"/>
      <c r="N2368" s="14"/>
      <c r="O2368" s="4"/>
      <c r="P2368" s="14"/>
      <c r="Q2368" s="14"/>
    </row>
    <row r="2369" spans="1:17" x14ac:dyDescent="0.25">
      <c r="A2369" s="5"/>
      <c r="B2369" s="6"/>
      <c r="C2369" s="4"/>
      <c r="D2369" s="4"/>
      <c r="E2369" s="12"/>
      <c r="F2369" s="12"/>
      <c r="G2369" s="16"/>
      <c r="H2369" s="14"/>
      <c r="I2369" s="14"/>
      <c r="J2369" s="14"/>
      <c r="K2369" s="14"/>
      <c r="L2369" s="14"/>
      <c r="M2369" s="14"/>
      <c r="N2369" s="14"/>
      <c r="O2369" s="4"/>
      <c r="P2369" s="14"/>
      <c r="Q2369" s="14"/>
    </row>
    <row r="2370" spans="1:17" x14ac:dyDescent="0.25">
      <c r="A2370" s="5"/>
      <c r="B2370" s="6"/>
      <c r="C2370" s="4"/>
      <c r="D2370" s="4"/>
      <c r="E2370" s="12"/>
      <c r="F2370" s="12"/>
      <c r="G2370" s="16"/>
      <c r="H2370" s="14"/>
      <c r="I2370" s="14"/>
      <c r="J2370" s="14"/>
      <c r="K2370" s="14"/>
      <c r="L2370" s="14"/>
      <c r="M2370" s="14"/>
      <c r="N2370" s="14"/>
      <c r="O2370" s="4"/>
      <c r="P2370" s="14"/>
      <c r="Q2370" s="14"/>
    </row>
    <row r="2371" spans="1:17" x14ac:dyDescent="0.25">
      <c r="A2371" s="5"/>
      <c r="B2371" s="6"/>
      <c r="C2371" s="4"/>
      <c r="D2371" s="4"/>
      <c r="E2371" s="12"/>
      <c r="F2371" s="12"/>
      <c r="G2371" s="16"/>
      <c r="H2371" s="14"/>
      <c r="I2371" s="14"/>
      <c r="J2371" s="14"/>
      <c r="K2371" s="14"/>
      <c r="L2371" s="14"/>
      <c r="M2371" s="14"/>
      <c r="N2371" s="14"/>
      <c r="O2371" s="4"/>
      <c r="P2371" s="14"/>
      <c r="Q2371" s="14"/>
    </row>
    <row r="2372" spans="1:17" x14ac:dyDescent="0.25">
      <c r="A2372" s="5"/>
      <c r="B2372" s="6"/>
      <c r="C2372" s="4"/>
      <c r="D2372" s="4"/>
      <c r="E2372" s="12"/>
      <c r="F2372" s="12"/>
      <c r="G2372" s="16"/>
      <c r="H2372" s="14"/>
      <c r="I2372" s="14"/>
      <c r="J2372" s="14"/>
      <c r="K2372" s="14"/>
      <c r="L2372" s="14"/>
      <c r="M2372" s="14"/>
      <c r="N2372" s="14"/>
      <c r="O2372" s="4"/>
      <c r="P2372" s="14"/>
      <c r="Q2372" s="14"/>
    </row>
    <row r="2373" spans="1:17" x14ac:dyDescent="0.25">
      <c r="A2373" s="5"/>
      <c r="B2373" s="6"/>
      <c r="C2373" s="4"/>
      <c r="D2373" s="4"/>
      <c r="E2373" s="12"/>
      <c r="F2373" s="12"/>
      <c r="G2373" s="16"/>
      <c r="H2373" s="14"/>
      <c r="I2373" s="14"/>
      <c r="J2373" s="14"/>
      <c r="K2373" s="14"/>
      <c r="L2373" s="14"/>
      <c r="M2373" s="14"/>
      <c r="N2373" s="14"/>
      <c r="O2373" s="4"/>
      <c r="P2373" s="14"/>
      <c r="Q2373" s="14"/>
    </row>
    <row r="2374" spans="1:17" x14ac:dyDescent="0.25">
      <c r="A2374" s="5"/>
      <c r="B2374" s="6"/>
      <c r="C2374" s="4"/>
      <c r="D2374" s="4"/>
      <c r="E2374" s="12"/>
      <c r="F2374" s="12"/>
      <c r="G2374" s="16"/>
      <c r="H2374" s="14"/>
      <c r="I2374" s="14"/>
      <c r="J2374" s="14"/>
      <c r="K2374" s="14"/>
      <c r="L2374" s="14"/>
      <c r="M2374" s="14"/>
      <c r="N2374" s="14"/>
      <c r="O2374" s="4"/>
      <c r="P2374" s="14"/>
      <c r="Q2374" s="14"/>
    </row>
    <row r="2375" spans="1:17" x14ac:dyDescent="0.25">
      <c r="A2375" s="5"/>
      <c r="B2375" s="6"/>
      <c r="C2375" s="4"/>
      <c r="D2375" s="4"/>
      <c r="E2375" s="12"/>
      <c r="F2375" s="12"/>
      <c r="G2375" s="16"/>
      <c r="H2375" s="14"/>
      <c r="I2375" s="14"/>
      <c r="J2375" s="14"/>
      <c r="K2375" s="14"/>
      <c r="L2375" s="14"/>
      <c r="M2375" s="14"/>
      <c r="N2375" s="14"/>
      <c r="O2375" s="4"/>
      <c r="P2375" s="14"/>
      <c r="Q2375" s="14"/>
    </row>
    <row r="2376" spans="1:17" x14ac:dyDescent="0.25">
      <c r="A2376" s="5"/>
      <c r="B2376" s="6"/>
      <c r="C2376" s="4"/>
      <c r="D2376" s="4"/>
      <c r="E2376" s="12"/>
      <c r="F2376" s="12"/>
      <c r="G2376" s="16"/>
      <c r="H2376" s="14"/>
      <c r="I2376" s="14"/>
      <c r="J2376" s="14"/>
      <c r="K2376" s="14"/>
      <c r="L2376" s="14"/>
      <c r="M2376" s="14"/>
      <c r="N2376" s="14"/>
      <c r="O2376" s="4"/>
      <c r="P2376" s="14"/>
      <c r="Q2376" s="14"/>
    </row>
    <row r="2377" spans="1:17" x14ac:dyDescent="0.25">
      <c r="A2377" s="5"/>
      <c r="B2377" s="6"/>
      <c r="C2377" s="4"/>
      <c r="D2377" s="4"/>
      <c r="E2377" s="12"/>
      <c r="F2377" s="12"/>
      <c r="G2377" s="16"/>
      <c r="H2377" s="14"/>
      <c r="I2377" s="14"/>
      <c r="J2377" s="14"/>
      <c r="K2377" s="14"/>
      <c r="L2377" s="14"/>
      <c r="M2377" s="14"/>
      <c r="N2377" s="14"/>
      <c r="O2377" s="4"/>
      <c r="P2377" s="14"/>
      <c r="Q2377" s="14"/>
    </row>
    <row r="2378" spans="1:17" x14ac:dyDescent="0.25">
      <c r="A2378" s="5"/>
      <c r="B2378" s="6"/>
      <c r="C2378" s="4"/>
      <c r="D2378" s="4"/>
      <c r="E2378" s="12"/>
      <c r="F2378" s="12"/>
      <c r="G2378" s="16"/>
      <c r="H2378" s="14"/>
      <c r="I2378" s="14"/>
      <c r="J2378" s="14"/>
      <c r="K2378" s="14"/>
      <c r="L2378" s="14"/>
      <c r="M2378" s="14"/>
      <c r="N2378" s="14"/>
      <c r="O2378" s="4"/>
      <c r="P2378" s="14"/>
      <c r="Q2378" s="14"/>
    </row>
    <row r="2379" spans="1:17" x14ac:dyDescent="0.25">
      <c r="A2379" s="5"/>
      <c r="B2379" s="6"/>
      <c r="C2379" s="4"/>
      <c r="D2379" s="4"/>
      <c r="E2379" s="12"/>
      <c r="F2379" s="12"/>
      <c r="G2379" s="16"/>
      <c r="H2379" s="14"/>
      <c r="I2379" s="14"/>
      <c r="J2379" s="14"/>
      <c r="K2379" s="14"/>
      <c r="L2379" s="14"/>
      <c r="M2379" s="14"/>
      <c r="N2379" s="14"/>
      <c r="O2379" s="4"/>
      <c r="P2379" s="14"/>
      <c r="Q2379" s="14"/>
    </row>
    <row r="2380" spans="1:17" x14ac:dyDescent="0.25">
      <c r="A2380" s="5"/>
      <c r="B2380" s="6"/>
      <c r="C2380" s="4"/>
      <c r="D2380" s="4"/>
      <c r="E2380" s="12"/>
      <c r="F2380" s="12"/>
      <c r="G2380" s="16"/>
      <c r="H2380" s="14"/>
      <c r="I2380" s="14"/>
      <c r="J2380" s="14"/>
      <c r="K2380" s="14"/>
      <c r="L2380" s="14"/>
      <c r="M2380" s="14"/>
      <c r="N2380" s="14"/>
      <c r="O2380" s="4"/>
      <c r="P2380" s="14"/>
      <c r="Q2380" s="14"/>
    </row>
    <row r="2381" spans="1:17" x14ac:dyDescent="0.25">
      <c r="A2381" s="5"/>
      <c r="B2381" s="6"/>
      <c r="C2381" s="4"/>
      <c r="D2381" s="4"/>
      <c r="E2381" s="12"/>
      <c r="F2381" s="12"/>
      <c r="G2381" s="16"/>
      <c r="H2381" s="14"/>
      <c r="I2381" s="14"/>
      <c r="J2381" s="14"/>
      <c r="K2381" s="14"/>
      <c r="L2381" s="14"/>
      <c r="M2381" s="14"/>
      <c r="N2381" s="14"/>
      <c r="O2381" s="4"/>
      <c r="P2381" s="14"/>
      <c r="Q2381" s="14"/>
    </row>
    <row r="2382" spans="1:17" x14ac:dyDescent="0.25">
      <c r="A2382" s="5"/>
      <c r="B2382" s="6"/>
      <c r="C2382" s="4"/>
      <c r="D2382" s="4"/>
      <c r="E2382" s="12"/>
      <c r="F2382" s="12"/>
      <c r="G2382" s="16"/>
      <c r="H2382" s="14"/>
      <c r="I2382" s="14"/>
      <c r="J2382" s="14"/>
      <c r="K2382" s="14"/>
      <c r="L2382" s="14"/>
      <c r="M2382" s="14"/>
      <c r="N2382" s="14"/>
      <c r="O2382" s="4"/>
      <c r="P2382" s="14"/>
      <c r="Q2382" s="14"/>
    </row>
    <row r="2383" spans="1:17" x14ac:dyDescent="0.25">
      <c r="A2383" s="5"/>
      <c r="B2383" s="6"/>
      <c r="C2383" s="4"/>
      <c r="D2383" s="4"/>
      <c r="E2383" s="12"/>
      <c r="F2383" s="12"/>
      <c r="G2383" s="16"/>
      <c r="H2383" s="14"/>
      <c r="I2383" s="14"/>
      <c r="J2383" s="14"/>
      <c r="K2383" s="14"/>
      <c r="L2383" s="14"/>
      <c r="M2383" s="14"/>
      <c r="N2383" s="14"/>
      <c r="O2383" s="4"/>
      <c r="P2383" s="14"/>
      <c r="Q2383" s="14"/>
    </row>
    <row r="2384" spans="1:17" x14ac:dyDescent="0.25">
      <c r="A2384" s="5"/>
      <c r="B2384" s="6"/>
      <c r="C2384" s="4"/>
      <c r="D2384" s="4"/>
      <c r="E2384" s="12"/>
      <c r="F2384" s="12"/>
      <c r="G2384" s="16"/>
      <c r="H2384" s="14"/>
      <c r="I2384" s="14"/>
      <c r="J2384" s="14"/>
      <c r="K2384" s="14"/>
      <c r="L2384" s="14"/>
      <c r="M2384" s="14"/>
      <c r="N2384" s="14"/>
      <c r="O2384" s="4"/>
      <c r="P2384" s="14"/>
      <c r="Q2384" s="14"/>
    </row>
    <row r="2385" spans="1:17" x14ac:dyDescent="0.25">
      <c r="A2385" s="5"/>
      <c r="B2385" s="6"/>
      <c r="C2385" s="4"/>
      <c r="D2385" s="4"/>
      <c r="E2385" s="12"/>
      <c r="F2385" s="12"/>
      <c r="G2385" s="16"/>
      <c r="H2385" s="14"/>
      <c r="I2385" s="14"/>
      <c r="J2385" s="14"/>
      <c r="K2385" s="14"/>
      <c r="L2385" s="14"/>
      <c r="M2385" s="14"/>
      <c r="N2385" s="14"/>
      <c r="O2385" s="4"/>
      <c r="P2385" s="14"/>
      <c r="Q2385" s="14"/>
    </row>
    <row r="2386" spans="1:17" x14ac:dyDescent="0.25">
      <c r="A2386" s="5"/>
      <c r="B2386" s="6"/>
      <c r="C2386" s="4"/>
      <c r="D2386" s="4"/>
      <c r="E2386" s="12"/>
      <c r="F2386" s="12"/>
      <c r="G2386" s="16"/>
      <c r="H2386" s="14"/>
      <c r="I2386" s="14"/>
      <c r="J2386" s="14"/>
      <c r="K2386" s="14"/>
      <c r="L2386" s="14"/>
      <c r="M2386" s="14"/>
      <c r="N2386" s="14"/>
      <c r="O2386" s="4"/>
      <c r="P2386" s="14"/>
      <c r="Q2386" s="14"/>
    </row>
    <row r="2387" spans="1:17" x14ac:dyDescent="0.25">
      <c r="A2387" s="5"/>
      <c r="B2387" s="6"/>
      <c r="C2387" s="4"/>
      <c r="D2387" s="4"/>
      <c r="E2387" s="12"/>
      <c r="F2387" s="12"/>
      <c r="G2387" s="16"/>
      <c r="H2387" s="14"/>
      <c r="I2387" s="14"/>
      <c r="J2387" s="14"/>
      <c r="K2387" s="14"/>
      <c r="L2387" s="14"/>
      <c r="M2387" s="14"/>
      <c r="N2387" s="14"/>
      <c r="O2387" s="4"/>
      <c r="P2387" s="14"/>
      <c r="Q2387" s="14"/>
    </row>
    <row r="2388" spans="1:17" x14ac:dyDescent="0.25">
      <c r="A2388" s="5"/>
      <c r="B2388" s="6"/>
      <c r="C2388" s="4"/>
      <c r="D2388" s="4"/>
      <c r="E2388" s="12"/>
      <c r="F2388" s="12"/>
      <c r="G2388" s="16"/>
      <c r="H2388" s="14"/>
      <c r="I2388" s="14"/>
      <c r="J2388" s="14"/>
      <c r="K2388" s="14"/>
      <c r="L2388" s="14"/>
      <c r="M2388" s="14"/>
      <c r="N2388" s="14"/>
      <c r="O2388" s="4"/>
      <c r="P2388" s="14"/>
      <c r="Q2388" s="14"/>
    </row>
    <row r="2389" spans="1:17" x14ac:dyDescent="0.25">
      <c r="A2389" s="5"/>
      <c r="B2389" s="6"/>
      <c r="C2389" s="4"/>
      <c r="D2389" s="4"/>
      <c r="E2389" s="12"/>
      <c r="F2389" s="12"/>
      <c r="G2389" s="16"/>
      <c r="H2389" s="14"/>
      <c r="I2389" s="14"/>
      <c r="J2389" s="14"/>
      <c r="K2389" s="14"/>
      <c r="L2389" s="14"/>
      <c r="M2389" s="14"/>
      <c r="N2389" s="14"/>
      <c r="O2389" s="4"/>
      <c r="P2389" s="14"/>
      <c r="Q2389" s="14"/>
    </row>
    <row r="2390" spans="1:17" x14ac:dyDescent="0.25">
      <c r="A2390" s="5"/>
      <c r="B2390" s="6"/>
      <c r="C2390" s="4"/>
      <c r="D2390" s="4"/>
      <c r="E2390" s="12"/>
      <c r="F2390" s="12"/>
      <c r="G2390" s="16"/>
      <c r="H2390" s="14"/>
      <c r="I2390" s="14"/>
      <c r="J2390" s="14"/>
      <c r="K2390" s="14"/>
      <c r="L2390" s="14"/>
      <c r="M2390" s="14"/>
      <c r="N2390" s="14"/>
      <c r="O2390" s="4"/>
      <c r="P2390" s="14"/>
      <c r="Q2390" s="14"/>
    </row>
    <row r="2391" spans="1:17" x14ac:dyDescent="0.25">
      <c r="A2391" s="5"/>
      <c r="B2391" s="6"/>
      <c r="C2391" s="4"/>
      <c r="D2391" s="4"/>
      <c r="E2391" s="12"/>
      <c r="F2391" s="12"/>
      <c r="G2391" s="16"/>
      <c r="H2391" s="14"/>
      <c r="I2391" s="14"/>
      <c r="J2391" s="14"/>
      <c r="K2391" s="14"/>
      <c r="L2391" s="14"/>
      <c r="M2391" s="14"/>
      <c r="N2391" s="14"/>
      <c r="O2391" s="4"/>
      <c r="P2391" s="14"/>
      <c r="Q2391" s="14"/>
    </row>
    <row r="2392" spans="1:17" x14ac:dyDescent="0.25">
      <c r="A2392" s="5"/>
      <c r="B2392" s="6"/>
      <c r="C2392" s="4"/>
      <c r="D2392" s="4"/>
      <c r="E2392" s="12"/>
      <c r="F2392" s="12"/>
      <c r="G2392" s="16"/>
      <c r="H2392" s="14"/>
      <c r="I2392" s="14"/>
      <c r="J2392" s="14"/>
      <c r="K2392" s="14"/>
      <c r="L2392" s="14"/>
      <c r="M2392" s="14"/>
      <c r="N2392" s="14"/>
      <c r="O2392" s="4"/>
      <c r="P2392" s="14"/>
      <c r="Q2392" s="14"/>
    </row>
    <row r="2393" spans="1:17" x14ac:dyDescent="0.25">
      <c r="A2393" s="5"/>
      <c r="B2393" s="6"/>
      <c r="C2393" s="4"/>
      <c r="D2393" s="4"/>
      <c r="E2393" s="12"/>
      <c r="F2393" s="12"/>
      <c r="G2393" s="16"/>
      <c r="H2393" s="14"/>
      <c r="I2393" s="14"/>
      <c r="J2393" s="14"/>
      <c r="K2393" s="14"/>
      <c r="L2393" s="14"/>
      <c r="M2393" s="14"/>
      <c r="N2393" s="14"/>
      <c r="O2393" s="4"/>
      <c r="P2393" s="14"/>
      <c r="Q2393" s="14"/>
    </row>
    <row r="2394" spans="1:17" x14ac:dyDescent="0.25">
      <c r="A2394" s="5"/>
      <c r="B2394" s="6"/>
      <c r="C2394" s="4"/>
      <c r="D2394" s="4"/>
      <c r="E2394" s="12"/>
      <c r="F2394" s="12"/>
      <c r="G2394" s="16"/>
      <c r="H2394" s="14"/>
      <c r="I2394" s="14"/>
      <c r="J2394" s="14"/>
      <c r="K2394" s="14"/>
      <c r="L2394" s="14"/>
      <c r="M2394" s="14"/>
      <c r="N2394" s="14"/>
      <c r="O2394" s="4"/>
      <c r="P2394" s="14"/>
      <c r="Q2394" s="14"/>
    </row>
    <row r="2395" spans="1:17" x14ac:dyDescent="0.25">
      <c r="A2395" s="5"/>
      <c r="B2395" s="6"/>
      <c r="C2395" s="4"/>
      <c r="D2395" s="4"/>
      <c r="E2395" s="12"/>
      <c r="F2395" s="12"/>
      <c r="G2395" s="16"/>
      <c r="H2395" s="14"/>
      <c r="I2395" s="14"/>
      <c r="J2395" s="14"/>
      <c r="K2395" s="14"/>
      <c r="L2395" s="14"/>
      <c r="M2395" s="14"/>
      <c r="N2395" s="14"/>
      <c r="O2395" s="4"/>
      <c r="P2395" s="14"/>
      <c r="Q2395" s="14"/>
    </row>
    <row r="2396" spans="1:17" x14ac:dyDescent="0.25">
      <c r="A2396" s="5"/>
      <c r="B2396" s="6"/>
      <c r="C2396" s="4"/>
      <c r="D2396" s="4"/>
      <c r="E2396" s="12"/>
      <c r="F2396" s="12"/>
      <c r="G2396" s="16"/>
      <c r="H2396" s="14"/>
      <c r="I2396" s="14"/>
      <c r="J2396" s="14"/>
      <c r="K2396" s="14"/>
      <c r="L2396" s="14"/>
      <c r="M2396" s="14"/>
      <c r="N2396" s="14"/>
      <c r="O2396" s="4"/>
      <c r="P2396" s="14"/>
      <c r="Q2396" s="14"/>
    </row>
    <row r="2397" spans="1:17" x14ac:dyDescent="0.25">
      <c r="A2397" s="5"/>
      <c r="B2397" s="6"/>
      <c r="C2397" s="4"/>
      <c r="D2397" s="4"/>
      <c r="E2397" s="12"/>
      <c r="F2397" s="12"/>
      <c r="G2397" s="16"/>
      <c r="H2397" s="14"/>
      <c r="I2397" s="14"/>
      <c r="J2397" s="14"/>
      <c r="K2397" s="14"/>
      <c r="L2397" s="14"/>
      <c r="M2397" s="14"/>
      <c r="N2397" s="14"/>
      <c r="O2397" s="4"/>
      <c r="P2397" s="14"/>
      <c r="Q2397" s="14"/>
    </row>
    <row r="2398" spans="1:17" x14ac:dyDescent="0.25">
      <c r="A2398" s="5"/>
      <c r="B2398" s="6"/>
      <c r="C2398" s="4"/>
      <c r="D2398" s="4"/>
      <c r="E2398" s="12"/>
      <c r="F2398" s="12"/>
      <c r="G2398" s="16"/>
      <c r="H2398" s="14"/>
      <c r="I2398" s="14"/>
      <c r="J2398" s="14"/>
      <c r="K2398" s="14"/>
      <c r="L2398" s="14"/>
      <c r="M2398" s="14"/>
      <c r="N2398" s="14"/>
      <c r="O2398" s="4"/>
      <c r="P2398" s="14"/>
      <c r="Q2398" s="14"/>
    </row>
    <row r="2399" spans="1:17" x14ac:dyDescent="0.25">
      <c r="A2399" s="5"/>
      <c r="B2399" s="6"/>
      <c r="C2399" s="4"/>
      <c r="D2399" s="4"/>
      <c r="E2399" s="12"/>
      <c r="F2399" s="12"/>
      <c r="G2399" s="16"/>
      <c r="H2399" s="14"/>
      <c r="I2399" s="14"/>
      <c r="J2399" s="14"/>
      <c r="K2399" s="14"/>
      <c r="L2399" s="14"/>
      <c r="M2399" s="14"/>
      <c r="N2399" s="14"/>
      <c r="O2399" s="4"/>
      <c r="P2399" s="14"/>
      <c r="Q2399" s="14"/>
    </row>
    <row r="2400" spans="1:17" x14ac:dyDescent="0.25">
      <c r="A2400" s="5"/>
      <c r="B2400" s="6"/>
      <c r="C2400" s="4"/>
      <c r="D2400" s="4"/>
      <c r="E2400" s="12"/>
      <c r="F2400" s="12"/>
      <c r="G2400" s="16"/>
      <c r="H2400" s="14"/>
      <c r="I2400" s="14"/>
      <c r="J2400" s="14"/>
      <c r="K2400" s="14"/>
      <c r="L2400" s="14"/>
      <c r="M2400" s="14"/>
      <c r="N2400" s="14"/>
      <c r="O2400" s="4"/>
      <c r="P2400" s="14"/>
      <c r="Q2400" s="14"/>
    </row>
    <row r="2401" spans="1:17" x14ac:dyDescent="0.25">
      <c r="A2401" s="5"/>
      <c r="B2401" s="6"/>
      <c r="C2401" s="4"/>
      <c r="D2401" s="4"/>
      <c r="E2401" s="12"/>
      <c r="F2401" s="12"/>
      <c r="G2401" s="16"/>
      <c r="H2401" s="14"/>
      <c r="I2401" s="14"/>
      <c r="J2401" s="14"/>
      <c r="K2401" s="14"/>
      <c r="L2401" s="14"/>
      <c r="M2401" s="14"/>
      <c r="N2401" s="14"/>
      <c r="O2401" s="4"/>
      <c r="P2401" s="14"/>
      <c r="Q2401" s="14"/>
    </row>
    <row r="2402" spans="1:17" x14ac:dyDescent="0.25">
      <c r="A2402" s="5"/>
      <c r="B2402" s="6"/>
      <c r="C2402" s="4"/>
      <c r="D2402" s="4"/>
      <c r="E2402" s="12"/>
      <c r="F2402" s="12"/>
      <c r="G2402" s="16"/>
      <c r="H2402" s="14"/>
      <c r="I2402" s="14"/>
      <c r="J2402" s="14"/>
      <c r="K2402" s="14"/>
      <c r="L2402" s="14"/>
      <c r="M2402" s="14"/>
      <c r="N2402" s="14"/>
      <c r="O2402" s="4"/>
      <c r="P2402" s="14"/>
      <c r="Q2402" s="14"/>
    </row>
    <row r="2403" spans="1:17" x14ac:dyDescent="0.25">
      <c r="A2403" s="5"/>
      <c r="B2403" s="6"/>
      <c r="C2403" s="4"/>
      <c r="D2403" s="4"/>
      <c r="E2403" s="12"/>
      <c r="F2403" s="12"/>
      <c r="G2403" s="16"/>
      <c r="H2403" s="14"/>
      <c r="I2403" s="14"/>
      <c r="J2403" s="14"/>
      <c r="K2403" s="14"/>
      <c r="L2403" s="14"/>
      <c r="M2403" s="14"/>
      <c r="N2403" s="14"/>
      <c r="O2403" s="4"/>
      <c r="P2403" s="14"/>
      <c r="Q2403" s="14"/>
    </row>
    <row r="2404" spans="1:17" x14ac:dyDescent="0.25">
      <c r="A2404" s="5"/>
      <c r="B2404" s="6"/>
      <c r="C2404" s="4"/>
      <c r="D2404" s="4"/>
      <c r="E2404" s="12"/>
      <c r="F2404" s="12"/>
      <c r="G2404" s="16"/>
      <c r="H2404" s="14"/>
      <c r="I2404" s="14"/>
      <c r="J2404" s="14"/>
      <c r="K2404" s="14"/>
      <c r="L2404" s="14"/>
      <c r="M2404" s="14"/>
      <c r="N2404" s="14"/>
      <c r="O2404" s="4"/>
      <c r="P2404" s="14"/>
      <c r="Q2404" s="14"/>
    </row>
    <row r="2405" spans="1:17" x14ac:dyDescent="0.25">
      <c r="A2405" s="5"/>
      <c r="B2405" s="6"/>
      <c r="C2405" s="4"/>
      <c r="D2405" s="4"/>
      <c r="E2405" s="12"/>
      <c r="F2405" s="12"/>
      <c r="G2405" s="16"/>
      <c r="H2405" s="14"/>
      <c r="I2405" s="14"/>
      <c r="J2405" s="14"/>
      <c r="K2405" s="14"/>
      <c r="L2405" s="14"/>
      <c r="M2405" s="14"/>
      <c r="N2405" s="14"/>
      <c r="O2405" s="4"/>
      <c r="P2405" s="14"/>
      <c r="Q2405" s="14"/>
    </row>
    <row r="2406" spans="1:17" x14ac:dyDescent="0.25">
      <c r="A2406" s="5"/>
      <c r="B2406" s="6"/>
      <c r="C2406" s="4"/>
      <c r="D2406" s="4"/>
      <c r="E2406" s="12"/>
      <c r="F2406" s="12"/>
      <c r="G2406" s="16"/>
      <c r="H2406" s="14"/>
      <c r="I2406" s="14"/>
      <c r="J2406" s="14"/>
      <c r="K2406" s="14"/>
      <c r="L2406" s="14"/>
      <c r="M2406" s="14"/>
      <c r="N2406" s="14"/>
      <c r="O2406" s="4"/>
      <c r="P2406" s="14"/>
      <c r="Q2406" s="14"/>
    </row>
    <row r="2407" spans="1:17" x14ac:dyDescent="0.25">
      <c r="A2407" s="5"/>
      <c r="B2407" s="6"/>
      <c r="C2407" s="4"/>
      <c r="D2407" s="4"/>
      <c r="E2407" s="12"/>
      <c r="F2407" s="12"/>
      <c r="G2407" s="16"/>
      <c r="H2407" s="14"/>
      <c r="I2407" s="14"/>
      <c r="J2407" s="14"/>
      <c r="K2407" s="14"/>
      <c r="L2407" s="14"/>
      <c r="M2407" s="14"/>
      <c r="N2407" s="14"/>
      <c r="O2407" s="4"/>
      <c r="P2407" s="14"/>
      <c r="Q2407" s="14"/>
    </row>
    <row r="2408" spans="1:17" x14ac:dyDescent="0.25">
      <c r="A2408" s="5"/>
      <c r="B2408" s="6"/>
      <c r="C2408" s="4"/>
      <c r="D2408" s="4"/>
      <c r="E2408" s="12"/>
      <c r="F2408" s="12"/>
      <c r="G2408" s="16"/>
      <c r="H2408" s="14"/>
      <c r="I2408" s="14"/>
      <c r="J2408" s="14"/>
      <c r="K2408" s="14"/>
      <c r="L2408" s="14"/>
      <c r="M2408" s="14"/>
      <c r="N2408" s="14"/>
      <c r="O2408" s="4"/>
      <c r="P2408" s="14"/>
      <c r="Q2408" s="14"/>
    </row>
    <row r="2409" spans="1:17" x14ac:dyDescent="0.25">
      <c r="A2409" s="5"/>
      <c r="B2409" s="6"/>
      <c r="C2409" s="4"/>
      <c r="D2409" s="4"/>
      <c r="E2409" s="12"/>
      <c r="F2409" s="12"/>
      <c r="G2409" s="16"/>
      <c r="H2409" s="14"/>
      <c r="I2409" s="14"/>
      <c r="J2409" s="14"/>
      <c r="K2409" s="14"/>
      <c r="L2409" s="14"/>
      <c r="M2409" s="14"/>
      <c r="N2409" s="14"/>
      <c r="O2409" s="4"/>
      <c r="P2409" s="14"/>
      <c r="Q2409" s="14"/>
    </row>
    <row r="2410" spans="1:17" x14ac:dyDescent="0.25">
      <c r="A2410" s="5"/>
      <c r="B2410" s="6"/>
      <c r="C2410" s="4"/>
      <c r="D2410" s="4"/>
      <c r="E2410" s="12"/>
      <c r="F2410" s="12"/>
      <c r="G2410" s="16"/>
      <c r="H2410" s="14"/>
      <c r="I2410" s="14"/>
      <c r="J2410" s="14"/>
      <c r="K2410" s="14"/>
      <c r="L2410" s="14"/>
      <c r="M2410" s="14"/>
      <c r="N2410" s="14"/>
      <c r="O2410" s="4"/>
      <c r="P2410" s="14"/>
      <c r="Q2410" s="14"/>
    </row>
    <row r="2411" spans="1:17" x14ac:dyDescent="0.25">
      <c r="A2411" s="5"/>
      <c r="B2411" s="6"/>
      <c r="C2411" s="4"/>
      <c r="D2411" s="4"/>
      <c r="E2411" s="12"/>
      <c r="F2411" s="12"/>
      <c r="G2411" s="16"/>
      <c r="H2411" s="14"/>
      <c r="I2411" s="14"/>
      <c r="J2411" s="14"/>
      <c r="K2411" s="14"/>
      <c r="L2411" s="14"/>
      <c r="M2411" s="14"/>
      <c r="N2411" s="14"/>
      <c r="O2411" s="4"/>
      <c r="P2411" s="14"/>
      <c r="Q2411" s="14"/>
    </row>
    <row r="2412" spans="1:17" x14ac:dyDescent="0.25">
      <c r="A2412" s="5"/>
      <c r="B2412" s="6"/>
      <c r="C2412" s="4"/>
      <c r="D2412" s="4"/>
      <c r="E2412" s="12"/>
      <c r="F2412" s="12"/>
      <c r="G2412" s="16"/>
      <c r="H2412" s="14"/>
      <c r="I2412" s="14"/>
      <c r="J2412" s="14"/>
      <c r="K2412" s="14"/>
      <c r="L2412" s="14"/>
      <c r="M2412" s="14"/>
      <c r="N2412" s="14"/>
      <c r="O2412" s="4"/>
      <c r="P2412" s="14"/>
      <c r="Q2412" s="14"/>
    </row>
    <row r="2413" spans="1:17" x14ac:dyDescent="0.25">
      <c r="A2413" s="5"/>
      <c r="B2413" s="6"/>
      <c r="C2413" s="4"/>
      <c r="D2413" s="4"/>
      <c r="E2413" s="12"/>
      <c r="F2413" s="12"/>
      <c r="G2413" s="16"/>
      <c r="H2413" s="14"/>
      <c r="I2413" s="14"/>
      <c r="J2413" s="14"/>
      <c r="K2413" s="14"/>
      <c r="L2413" s="14"/>
      <c r="M2413" s="14"/>
      <c r="N2413" s="14"/>
      <c r="O2413" s="4"/>
      <c r="P2413" s="14"/>
      <c r="Q2413" s="14"/>
    </row>
    <row r="2414" spans="1:17" x14ac:dyDescent="0.25">
      <c r="A2414" s="5"/>
      <c r="B2414" s="6"/>
      <c r="C2414" s="4"/>
      <c r="D2414" s="4"/>
      <c r="E2414" s="12"/>
      <c r="F2414" s="12"/>
      <c r="G2414" s="16"/>
      <c r="H2414" s="14"/>
      <c r="I2414" s="14"/>
      <c r="J2414" s="14"/>
      <c r="K2414" s="14"/>
      <c r="L2414" s="14"/>
      <c r="M2414" s="14"/>
      <c r="N2414" s="14"/>
      <c r="O2414" s="4"/>
      <c r="P2414" s="14"/>
      <c r="Q2414" s="14"/>
    </row>
    <row r="2415" spans="1:17" x14ac:dyDescent="0.25">
      <c r="A2415" s="5"/>
      <c r="B2415" s="6"/>
      <c r="C2415" s="4"/>
      <c r="D2415" s="4"/>
      <c r="E2415" s="12"/>
      <c r="F2415" s="12"/>
      <c r="G2415" s="16"/>
      <c r="H2415" s="14"/>
      <c r="I2415" s="14"/>
      <c r="J2415" s="14"/>
      <c r="K2415" s="14"/>
      <c r="L2415" s="14"/>
      <c r="M2415" s="14"/>
      <c r="N2415" s="14"/>
      <c r="O2415" s="4"/>
      <c r="P2415" s="14"/>
      <c r="Q2415" s="14"/>
    </row>
    <row r="2416" spans="1:17" x14ac:dyDescent="0.25">
      <c r="A2416" s="5"/>
      <c r="B2416" s="6"/>
      <c r="C2416" s="4"/>
      <c r="D2416" s="4"/>
      <c r="E2416" s="12"/>
      <c r="F2416" s="12"/>
      <c r="G2416" s="16"/>
      <c r="H2416" s="14"/>
      <c r="I2416" s="14"/>
      <c r="J2416" s="14"/>
      <c r="K2416" s="14"/>
      <c r="L2416" s="14"/>
      <c r="M2416" s="14"/>
      <c r="N2416" s="14"/>
      <c r="O2416" s="4"/>
      <c r="P2416" s="14"/>
      <c r="Q2416" s="14"/>
    </row>
    <row r="2417" spans="1:17" x14ac:dyDescent="0.25">
      <c r="A2417" s="5"/>
      <c r="B2417" s="6"/>
      <c r="C2417" s="4"/>
      <c r="D2417" s="4"/>
      <c r="E2417" s="12"/>
      <c r="F2417" s="12"/>
      <c r="G2417" s="16"/>
      <c r="H2417" s="14"/>
      <c r="I2417" s="14"/>
      <c r="J2417" s="14"/>
      <c r="K2417" s="14"/>
      <c r="L2417" s="14"/>
      <c r="M2417" s="14"/>
      <c r="N2417" s="14"/>
      <c r="O2417" s="4"/>
      <c r="P2417" s="14"/>
      <c r="Q2417" s="14"/>
    </row>
    <row r="2418" spans="1:17" x14ac:dyDescent="0.25">
      <c r="A2418" s="5"/>
      <c r="B2418" s="6"/>
      <c r="C2418" s="4"/>
      <c r="D2418" s="4"/>
      <c r="E2418" s="12"/>
      <c r="F2418" s="12"/>
      <c r="G2418" s="16"/>
      <c r="H2418" s="14"/>
      <c r="I2418" s="14"/>
      <c r="J2418" s="14"/>
      <c r="K2418" s="14"/>
      <c r="L2418" s="14"/>
      <c r="M2418" s="14"/>
      <c r="N2418" s="14"/>
      <c r="O2418" s="4"/>
      <c r="P2418" s="14"/>
      <c r="Q2418" s="14"/>
    </row>
    <row r="2419" spans="1:17" x14ac:dyDescent="0.25">
      <c r="A2419" s="5"/>
      <c r="B2419" s="6"/>
      <c r="C2419" s="4"/>
      <c r="D2419" s="4"/>
      <c r="E2419" s="12"/>
      <c r="F2419" s="12"/>
      <c r="G2419" s="16"/>
      <c r="H2419" s="14"/>
      <c r="I2419" s="14"/>
      <c r="J2419" s="14"/>
      <c r="K2419" s="14"/>
      <c r="L2419" s="14"/>
      <c r="M2419" s="14"/>
      <c r="N2419" s="14"/>
      <c r="O2419" s="4"/>
      <c r="P2419" s="14"/>
      <c r="Q2419" s="14"/>
    </row>
    <row r="2420" spans="1:17" x14ac:dyDescent="0.25">
      <c r="A2420" s="5"/>
      <c r="B2420" s="6"/>
      <c r="C2420" s="4"/>
      <c r="D2420" s="4"/>
      <c r="E2420" s="12"/>
      <c r="F2420" s="12"/>
      <c r="G2420" s="16"/>
      <c r="H2420" s="14"/>
      <c r="I2420" s="14"/>
      <c r="J2420" s="14"/>
      <c r="K2420" s="14"/>
      <c r="L2420" s="14"/>
      <c r="M2420" s="14"/>
      <c r="N2420" s="14"/>
      <c r="O2420" s="4"/>
      <c r="P2420" s="14"/>
      <c r="Q2420" s="14"/>
    </row>
    <row r="2421" spans="1:17" x14ac:dyDescent="0.25">
      <c r="A2421" s="5"/>
      <c r="B2421" s="6"/>
      <c r="C2421" s="4"/>
      <c r="D2421" s="4"/>
      <c r="E2421" s="12"/>
      <c r="F2421" s="12"/>
      <c r="G2421" s="16"/>
      <c r="H2421" s="14"/>
      <c r="I2421" s="14"/>
      <c r="J2421" s="14"/>
      <c r="K2421" s="14"/>
      <c r="L2421" s="14"/>
      <c r="M2421" s="14"/>
      <c r="N2421" s="14"/>
      <c r="O2421" s="4"/>
      <c r="P2421" s="14"/>
      <c r="Q2421" s="14"/>
    </row>
    <row r="2422" spans="1:17" x14ac:dyDescent="0.25">
      <c r="A2422" s="5"/>
      <c r="B2422" s="6"/>
      <c r="C2422" s="4"/>
      <c r="D2422" s="4"/>
      <c r="E2422" s="12"/>
      <c r="F2422" s="12"/>
      <c r="G2422" s="16"/>
      <c r="H2422" s="14"/>
      <c r="I2422" s="14"/>
      <c r="J2422" s="14"/>
      <c r="K2422" s="14"/>
      <c r="L2422" s="14"/>
      <c r="M2422" s="14"/>
      <c r="N2422" s="14"/>
      <c r="O2422" s="4"/>
      <c r="P2422" s="14"/>
      <c r="Q2422" s="14"/>
    </row>
    <row r="2423" spans="1:17" x14ac:dyDescent="0.25">
      <c r="A2423" s="5"/>
      <c r="B2423" s="6"/>
      <c r="C2423" s="4"/>
      <c r="D2423" s="4"/>
      <c r="E2423" s="12"/>
      <c r="F2423" s="12"/>
      <c r="G2423" s="16"/>
      <c r="H2423" s="14"/>
      <c r="I2423" s="14"/>
      <c r="J2423" s="14"/>
      <c r="K2423" s="14"/>
      <c r="L2423" s="14"/>
      <c r="M2423" s="14"/>
      <c r="N2423" s="14"/>
      <c r="O2423" s="4"/>
      <c r="P2423" s="14"/>
      <c r="Q2423" s="14"/>
    </row>
    <row r="2424" spans="1:17" x14ac:dyDescent="0.25">
      <c r="A2424" s="5"/>
      <c r="B2424" s="6"/>
      <c r="C2424" s="4"/>
      <c r="D2424" s="4"/>
      <c r="E2424" s="12"/>
      <c r="F2424" s="12"/>
      <c r="G2424" s="16"/>
      <c r="H2424" s="14"/>
      <c r="I2424" s="14"/>
      <c r="J2424" s="14"/>
      <c r="K2424" s="14"/>
      <c r="L2424" s="14"/>
      <c r="M2424" s="14"/>
      <c r="N2424" s="14"/>
      <c r="O2424" s="4"/>
      <c r="P2424" s="14"/>
      <c r="Q2424" s="14"/>
    </row>
    <row r="2425" spans="1:17" x14ac:dyDescent="0.25">
      <c r="A2425" s="5"/>
      <c r="B2425" s="6"/>
      <c r="C2425" s="4"/>
      <c r="D2425" s="4"/>
      <c r="E2425" s="12"/>
      <c r="F2425" s="12"/>
      <c r="G2425" s="16"/>
      <c r="H2425" s="14"/>
      <c r="I2425" s="14"/>
      <c r="J2425" s="14"/>
      <c r="K2425" s="14"/>
      <c r="L2425" s="14"/>
      <c r="M2425" s="14"/>
      <c r="N2425" s="14"/>
      <c r="O2425" s="4"/>
      <c r="P2425" s="14"/>
      <c r="Q2425" s="14"/>
    </row>
    <row r="2426" spans="1:17" x14ac:dyDescent="0.25">
      <c r="A2426" s="5"/>
      <c r="B2426" s="6"/>
      <c r="C2426" s="4"/>
      <c r="D2426" s="4"/>
      <c r="E2426" s="12"/>
      <c r="F2426" s="12"/>
      <c r="G2426" s="16"/>
      <c r="H2426" s="14"/>
      <c r="I2426" s="14"/>
      <c r="J2426" s="14"/>
      <c r="K2426" s="14"/>
      <c r="L2426" s="14"/>
      <c r="M2426" s="14"/>
      <c r="N2426" s="14"/>
      <c r="O2426" s="4"/>
      <c r="P2426" s="14"/>
      <c r="Q2426" s="14"/>
    </row>
    <row r="2427" spans="1:17" x14ac:dyDescent="0.25">
      <c r="A2427" s="5"/>
      <c r="B2427" s="6"/>
      <c r="C2427" s="4"/>
      <c r="D2427" s="4"/>
      <c r="E2427" s="12"/>
      <c r="F2427" s="12"/>
      <c r="G2427" s="16"/>
      <c r="H2427" s="14"/>
      <c r="I2427" s="14"/>
      <c r="J2427" s="14"/>
      <c r="K2427" s="14"/>
      <c r="L2427" s="14"/>
      <c r="M2427" s="14"/>
      <c r="N2427" s="14"/>
      <c r="O2427" s="4"/>
      <c r="P2427" s="14"/>
      <c r="Q2427" s="14"/>
    </row>
    <row r="2428" spans="1:17" x14ac:dyDescent="0.25">
      <c r="A2428" s="5"/>
      <c r="B2428" s="6"/>
      <c r="C2428" s="4"/>
      <c r="D2428" s="4"/>
      <c r="E2428" s="12"/>
      <c r="F2428" s="12"/>
      <c r="G2428" s="16"/>
      <c r="H2428" s="14"/>
      <c r="I2428" s="14"/>
      <c r="J2428" s="14"/>
      <c r="K2428" s="14"/>
      <c r="L2428" s="14"/>
      <c r="M2428" s="14"/>
      <c r="N2428" s="14"/>
      <c r="O2428" s="4"/>
      <c r="P2428" s="14"/>
      <c r="Q2428" s="14"/>
    </row>
    <row r="2429" spans="1:17" x14ac:dyDescent="0.25">
      <c r="A2429" s="5"/>
      <c r="B2429" s="6"/>
      <c r="C2429" s="4"/>
      <c r="D2429" s="4"/>
      <c r="E2429" s="12"/>
      <c r="F2429" s="12"/>
      <c r="G2429" s="16"/>
      <c r="H2429" s="14"/>
      <c r="I2429" s="14"/>
      <c r="J2429" s="14"/>
      <c r="K2429" s="14"/>
      <c r="L2429" s="14"/>
      <c r="M2429" s="14"/>
      <c r="N2429" s="14"/>
      <c r="O2429" s="4"/>
      <c r="P2429" s="14"/>
      <c r="Q2429" s="14"/>
    </row>
    <row r="2430" spans="1:17" x14ac:dyDescent="0.25">
      <c r="A2430" s="5"/>
      <c r="B2430" s="6"/>
      <c r="C2430" s="4"/>
      <c r="D2430" s="4"/>
      <c r="E2430" s="12"/>
      <c r="F2430" s="12"/>
      <c r="G2430" s="16"/>
      <c r="H2430" s="14"/>
      <c r="I2430" s="14"/>
      <c r="J2430" s="14"/>
      <c r="K2430" s="14"/>
      <c r="L2430" s="14"/>
      <c r="M2430" s="14"/>
      <c r="N2430" s="14"/>
      <c r="O2430" s="4"/>
      <c r="P2430" s="14"/>
      <c r="Q2430" s="14"/>
    </row>
    <row r="2431" spans="1:17" x14ac:dyDescent="0.25">
      <c r="A2431" s="5"/>
      <c r="B2431" s="6"/>
      <c r="C2431" s="4"/>
      <c r="D2431" s="4"/>
      <c r="E2431" s="12"/>
      <c r="F2431" s="12"/>
      <c r="G2431" s="16"/>
      <c r="H2431" s="14"/>
      <c r="I2431" s="14"/>
      <c r="J2431" s="14"/>
      <c r="K2431" s="14"/>
      <c r="L2431" s="14"/>
      <c r="M2431" s="14"/>
      <c r="N2431" s="14"/>
      <c r="O2431" s="4"/>
      <c r="P2431" s="14"/>
      <c r="Q2431" s="14"/>
    </row>
    <row r="2432" spans="1:17" x14ac:dyDescent="0.25">
      <c r="A2432" s="5"/>
      <c r="B2432" s="6"/>
      <c r="C2432" s="4"/>
      <c r="D2432" s="4"/>
      <c r="E2432" s="12"/>
      <c r="F2432" s="12"/>
      <c r="G2432" s="16"/>
      <c r="H2432" s="14"/>
      <c r="I2432" s="14"/>
      <c r="J2432" s="14"/>
      <c r="K2432" s="14"/>
      <c r="L2432" s="14"/>
      <c r="M2432" s="14"/>
      <c r="N2432" s="14"/>
      <c r="O2432" s="4"/>
      <c r="P2432" s="14"/>
      <c r="Q2432" s="14"/>
    </row>
    <row r="2433" spans="1:17" x14ac:dyDescent="0.25">
      <c r="A2433" s="5"/>
      <c r="B2433" s="6"/>
      <c r="C2433" s="4"/>
      <c r="D2433" s="4"/>
      <c r="E2433" s="12"/>
      <c r="F2433" s="12"/>
      <c r="G2433" s="16"/>
      <c r="H2433" s="14"/>
      <c r="I2433" s="14"/>
      <c r="J2433" s="14"/>
      <c r="K2433" s="14"/>
      <c r="L2433" s="14"/>
      <c r="M2433" s="14"/>
      <c r="N2433" s="14"/>
      <c r="O2433" s="4"/>
      <c r="P2433" s="14"/>
      <c r="Q2433" s="14"/>
    </row>
    <row r="2434" spans="1:17" x14ac:dyDescent="0.25">
      <c r="A2434" s="5"/>
      <c r="B2434" s="6"/>
      <c r="C2434" s="4"/>
      <c r="D2434" s="4"/>
      <c r="E2434" s="12"/>
      <c r="F2434" s="12"/>
      <c r="G2434" s="16"/>
      <c r="H2434" s="14"/>
      <c r="I2434" s="14"/>
      <c r="J2434" s="14"/>
      <c r="K2434" s="14"/>
      <c r="L2434" s="14"/>
      <c r="M2434" s="14"/>
      <c r="N2434" s="14"/>
      <c r="O2434" s="4"/>
      <c r="P2434" s="14"/>
      <c r="Q2434" s="14"/>
    </row>
    <row r="2435" spans="1:17" x14ac:dyDescent="0.25">
      <c r="A2435" s="5"/>
      <c r="B2435" s="6"/>
      <c r="C2435" s="4"/>
      <c r="D2435" s="4"/>
      <c r="E2435" s="12"/>
      <c r="F2435" s="12"/>
      <c r="G2435" s="16"/>
      <c r="H2435" s="14"/>
      <c r="I2435" s="14"/>
      <c r="J2435" s="14"/>
      <c r="K2435" s="14"/>
      <c r="L2435" s="14"/>
      <c r="M2435" s="14"/>
      <c r="N2435" s="14"/>
      <c r="O2435" s="4"/>
      <c r="P2435" s="14"/>
      <c r="Q2435" s="14"/>
    </row>
    <row r="2436" spans="1:17" x14ac:dyDescent="0.25">
      <c r="A2436" s="5"/>
      <c r="B2436" s="6"/>
      <c r="C2436" s="4"/>
      <c r="D2436" s="4"/>
      <c r="E2436" s="12"/>
      <c r="F2436" s="12"/>
      <c r="G2436" s="16"/>
      <c r="H2436" s="14"/>
      <c r="I2436" s="14"/>
      <c r="J2436" s="14"/>
      <c r="K2436" s="14"/>
      <c r="L2436" s="14"/>
      <c r="M2436" s="14"/>
      <c r="N2436" s="14"/>
      <c r="O2436" s="4"/>
      <c r="P2436" s="14"/>
      <c r="Q2436" s="14"/>
    </row>
    <row r="2437" spans="1:17" x14ac:dyDescent="0.25">
      <c r="A2437" s="5"/>
      <c r="B2437" s="6"/>
      <c r="C2437" s="4"/>
      <c r="D2437" s="4"/>
      <c r="E2437" s="12"/>
      <c r="F2437" s="12"/>
      <c r="G2437" s="16"/>
      <c r="H2437" s="14"/>
      <c r="I2437" s="14"/>
      <c r="J2437" s="14"/>
      <c r="K2437" s="14"/>
      <c r="L2437" s="14"/>
      <c r="M2437" s="14"/>
      <c r="N2437" s="14"/>
      <c r="O2437" s="4"/>
      <c r="P2437" s="14"/>
      <c r="Q2437" s="14"/>
    </row>
    <row r="2438" spans="1:17" x14ac:dyDescent="0.25">
      <c r="A2438" s="5"/>
      <c r="B2438" s="6"/>
      <c r="C2438" s="4"/>
      <c r="D2438" s="4"/>
      <c r="E2438" s="12"/>
      <c r="F2438" s="12"/>
      <c r="G2438" s="16"/>
      <c r="H2438" s="14"/>
      <c r="I2438" s="14"/>
      <c r="J2438" s="14"/>
      <c r="K2438" s="14"/>
      <c r="L2438" s="14"/>
      <c r="M2438" s="14"/>
      <c r="N2438" s="14"/>
      <c r="O2438" s="4"/>
      <c r="P2438" s="14"/>
      <c r="Q2438" s="14"/>
    </row>
    <row r="2439" spans="1:17" x14ac:dyDescent="0.25">
      <c r="A2439" s="5"/>
      <c r="B2439" s="6"/>
      <c r="C2439" s="4"/>
      <c r="D2439" s="4"/>
      <c r="E2439" s="12"/>
      <c r="F2439" s="12"/>
      <c r="G2439" s="16"/>
      <c r="H2439" s="14"/>
      <c r="I2439" s="14"/>
      <c r="J2439" s="14"/>
      <c r="K2439" s="14"/>
      <c r="L2439" s="14"/>
      <c r="M2439" s="14"/>
      <c r="N2439" s="14"/>
      <c r="O2439" s="4"/>
      <c r="P2439" s="14"/>
      <c r="Q2439" s="14"/>
    </row>
    <row r="2440" spans="1:17" x14ac:dyDescent="0.25">
      <c r="A2440" s="5"/>
      <c r="B2440" s="6"/>
      <c r="C2440" s="4"/>
      <c r="D2440" s="4"/>
      <c r="E2440" s="12"/>
      <c r="F2440" s="12"/>
      <c r="G2440" s="16"/>
      <c r="H2440" s="14"/>
      <c r="I2440" s="14"/>
      <c r="J2440" s="14"/>
      <c r="K2440" s="14"/>
      <c r="L2440" s="14"/>
      <c r="M2440" s="14"/>
      <c r="N2440" s="14"/>
      <c r="O2440" s="4"/>
      <c r="P2440" s="14"/>
      <c r="Q2440" s="14"/>
    </row>
    <row r="2441" spans="1:17" x14ac:dyDescent="0.25">
      <c r="A2441" s="5"/>
      <c r="B2441" s="6"/>
      <c r="C2441" s="4"/>
      <c r="D2441" s="4"/>
      <c r="E2441" s="12"/>
      <c r="F2441" s="12"/>
      <c r="G2441" s="16"/>
      <c r="H2441" s="14"/>
      <c r="I2441" s="14"/>
      <c r="J2441" s="14"/>
      <c r="K2441" s="14"/>
      <c r="L2441" s="14"/>
      <c r="M2441" s="14"/>
      <c r="N2441" s="14"/>
      <c r="O2441" s="4"/>
      <c r="P2441" s="14"/>
      <c r="Q2441" s="14"/>
    </row>
    <row r="2442" spans="1:17" x14ac:dyDescent="0.25">
      <c r="A2442" s="5"/>
      <c r="B2442" s="6"/>
      <c r="C2442" s="4"/>
      <c r="D2442" s="4"/>
      <c r="E2442" s="12"/>
      <c r="F2442" s="12"/>
      <c r="G2442" s="16"/>
      <c r="H2442" s="14"/>
      <c r="I2442" s="14"/>
      <c r="J2442" s="14"/>
      <c r="K2442" s="14"/>
      <c r="L2442" s="14"/>
      <c r="M2442" s="14"/>
      <c r="N2442" s="14"/>
      <c r="O2442" s="4"/>
      <c r="P2442" s="14"/>
      <c r="Q2442" s="14"/>
    </row>
    <row r="2443" spans="1:17" x14ac:dyDescent="0.25">
      <c r="A2443" s="5"/>
      <c r="B2443" s="6"/>
      <c r="C2443" s="4"/>
      <c r="D2443" s="4"/>
      <c r="E2443" s="12"/>
      <c r="F2443" s="12"/>
      <c r="G2443" s="16"/>
      <c r="H2443" s="14"/>
      <c r="I2443" s="14"/>
      <c r="J2443" s="14"/>
      <c r="K2443" s="14"/>
      <c r="L2443" s="14"/>
      <c r="M2443" s="14"/>
      <c r="N2443" s="14"/>
      <c r="O2443" s="4"/>
      <c r="P2443" s="14"/>
      <c r="Q2443" s="14"/>
    </row>
    <row r="2444" spans="1:17" x14ac:dyDescent="0.25">
      <c r="A2444" s="5"/>
      <c r="B2444" s="6"/>
      <c r="C2444" s="4"/>
      <c r="D2444" s="4"/>
      <c r="E2444" s="12"/>
      <c r="F2444" s="12"/>
      <c r="G2444" s="16"/>
      <c r="H2444" s="14"/>
      <c r="I2444" s="14"/>
      <c r="J2444" s="14"/>
      <c r="K2444" s="14"/>
      <c r="L2444" s="14"/>
      <c r="M2444" s="14"/>
      <c r="N2444" s="14"/>
      <c r="O2444" s="4"/>
      <c r="P2444" s="14"/>
      <c r="Q2444" s="14"/>
    </row>
    <row r="2445" spans="1:17" x14ac:dyDescent="0.25">
      <c r="A2445" s="5"/>
      <c r="B2445" s="6"/>
      <c r="C2445" s="4"/>
      <c r="D2445" s="4"/>
      <c r="E2445" s="12"/>
      <c r="F2445" s="12"/>
      <c r="G2445" s="16"/>
      <c r="H2445" s="14"/>
      <c r="I2445" s="14"/>
      <c r="J2445" s="14"/>
      <c r="K2445" s="14"/>
      <c r="L2445" s="14"/>
      <c r="M2445" s="14"/>
      <c r="N2445" s="14"/>
      <c r="O2445" s="4"/>
      <c r="P2445" s="14"/>
      <c r="Q2445" s="14"/>
    </row>
    <row r="2446" spans="1:17" x14ac:dyDescent="0.25">
      <c r="A2446" s="5"/>
      <c r="B2446" s="6"/>
      <c r="C2446" s="4"/>
      <c r="D2446" s="4"/>
      <c r="E2446" s="12"/>
      <c r="F2446" s="12"/>
      <c r="G2446" s="16"/>
      <c r="H2446" s="14"/>
      <c r="I2446" s="14"/>
      <c r="J2446" s="14"/>
      <c r="K2446" s="14"/>
      <c r="L2446" s="14"/>
      <c r="M2446" s="14"/>
      <c r="N2446" s="14"/>
      <c r="O2446" s="4"/>
      <c r="P2446" s="14"/>
      <c r="Q2446" s="14"/>
    </row>
    <row r="2447" spans="1:17" x14ac:dyDescent="0.25">
      <c r="A2447" s="5"/>
      <c r="B2447" s="6"/>
      <c r="C2447" s="4"/>
      <c r="D2447" s="4"/>
      <c r="E2447" s="12"/>
      <c r="F2447" s="12"/>
      <c r="G2447" s="16"/>
      <c r="H2447" s="14"/>
      <c r="I2447" s="14"/>
      <c r="J2447" s="14"/>
      <c r="K2447" s="14"/>
      <c r="L2447" s="14"/>
      <c r="M2447" s="14"/>
      <c r="N2447" s="14"/>
      <c r="O2447" s="4"/>
      <c r="P2447" s="14"/>
      <c r="Q2447" s="14"/>
    </row>
    <row r="2448" spans="1:17" x14ac:dyDescent="0.25">
      <c r="A2448" s="5"/>
      <c r="B2448" s="6"/>
      <c r="C2448" s="4"/>
      <c r="D2448" s="4"/>
      <c r="E2448" s="12"/>
      <c r="F2448" s="12"/>
      <c r="G2448" s="16"/>
      <c r="H2448" s="14"/>
      <c r="I2448" s="14"/>
      <c r="J2448" s="14"/>
      <c r="K2448" s="14"/>
      <c r="L2448" s="14"/>
      <c r="M2448" s="14"/>
      <c r="N2448" s="14"/>
      <c r="O2448" s="4"/>
      <c r="P2448" s="14"/>
      <c r="Q2448" s="14"/>
    </row>
    <row r="2449" spans="1:17" x14ac:dyDescent="0.25">
      <c r="A2449" s="5"/>
      <c r="B2449" s="6"/>
      <c r="C2449" s="4"/>
      <c r="D2449" s="4"/>
      <c r="E2449" s="12"/>
      <c r="F2449" s="12"/>
      <c r="G2449" s="16"/>
      <c r="H2449" s="14"/>
      <c r="I2449" s="14"/>
      <c r="J2449" s="14"/>
      <c r="K2449" s="14"/>
      <c r="L2449" s="14"/>
      <c r="M2449" s="14"/>
      <c r="N2449" s="14"/>
      <c r="O2449" s="4"/>
      <c r="P2449" s="14"/>
      <c r="Q2449" s="14"/>
    </row>
    <row r="2450" spans="1:17" x14ac:dyDescent="0.25">
      <c r="A2450" s="5"/>
      <c r="B2450" s="6"/>
      <c r="C2450" s="4"/>
      <c r="D2450" s="4"/>
      <c r="E2450" s="12"/>
      <c r="F2450" s="12"/>
      <c r="G2450" s="16"/>
      <c r="H2450" s="14"/>
      <c r="I2450" s="14"/>
      <c r="J2450" s="14"/>
      <c r="K2450" s="14"/>
      <c r="L2450" s="14"/>
      <c r="M2450" s="14"/>
      <c r="N2450" s="14"/>
      <c r="O2450" s="4"/>
      <c r="P2450" s="14"/>
      <c r="Q2450" s="14"/>
    </row>
    <row r="2451" spans="1:17" x14ac:dyDescent="0.25">
      <c r="A2451" s="5"/>
      <c r="B2451" s="6"/>
      <c r="C2451" s="4"/>
      <c r="D2451" s="4"/>
      <c r="E2451" s="12"/>
      <c r="F2451" s="12"/>
      <c r="G2451" s="16"/>
      <c r="H2451" s="14"/>
      <c r="I2451" s="14"/>
      <c r="J2451" s="14"/>
      <c r="K2451" s="14"/>
      <c r="L2451" s="14"/>
      <c r="M2451" s="14"/>
      <c r="N2451" s="14"/>
      <c r="O2451" s="4"/>
      <c r="P2451" s="14"/>
      <c r="Q2451" s="14"/>
    </row>
    <row r="2452" spans="1:17" x14ac:dyDescent="0.25">
      <c r="A2452" s="5"/>
      <c r="B2452" s="6"/>
      <c r="C2452" s="4"/>
      <c r="D2452" s="4"/>
      <c r="E2452" s="12"/>
      <c r="F2452" s="12"/>
      <c r="G2452" s="16"/>
      <c r="H2452" s="14"/>
      <c r="I2452" s="14"/>
      <c r="J2452" s="14"/>
      <c r="K2452" s="14"/>
      <c r="L2452" s="14"/>
      <c r="M2452" s="14"/>
      <c r="N2452" s="14"/>
      <c r="O2452" s="4"/>
      <c r="P2452" s="14"/>
      <c r="Q2452" s="14"/>
    </row>
    <row r="2453" spans="1:17" x14ac:dyDescent="0.25">
      <c r="A2453" s="5"/>
      <c r="B2453" s="6"/>
      <c r="C2453" s="4"/>
      <c r="D2453" s="4"/>
      <c r="E2453" s="12"/>
      <c r="F2453" s="12"/>
      <c r="G2453" s="16"/>
      <c r="H2453" s="14"/>
      <c r="I2453" s="14"/>
      <c r="J2453" s="14"/>
      <c r="K2453" s="14"/>
      <c r="L2453" s="14"/>
      <c r="M2453" s="14"/>
      <c r="N2453" s="14"/>
      <c r="O2453" s="4"/>
      <c r="P2453" s="14"/>
      <c r="Q2453" s="14"/>
    </row>
    <row r="2454" spans="1:17" x14ac:dyDescent="0.25">
      <c r="A2454" s="5"/>
      <c r="B2454" s="6"/>
      <c r="C2454" s="4"/>
      <c r="D2454" s="4"/>
      <c r="E2454" s="12"/>
      <c r="F2454" s="12"/>
      <c r="G2454" s="16"/>
      <c r="H2454" s="14"/>
      <c r="I2454" s="14"/>
      <c r="J2454" s="14"/>
      <c r="K2454" s="14"/>
      <c r="L2454" s="14"/>
      <c r="M2454" s="14"/>
      <c r="N2454" s="14"/>
      <c r="O2454" s="4"/>
      <c r="P2454" s="14"/>
      <c r="Q2454" s="14"/>
    </row>
    <row r="2455" spans="1:17" x14ac:dyDescent="0.25">
      <c r="A2455" s="5"/>
      <c r="B2455" s="6"/>
      <c r="C2455" s="4"/>
      <c r="D2455" s="4"/>
      <c r="E2455" s="12"/>
      <c r="F2455" s="12"/>
      <c r="G2455" s="16"/>
      <c r="H2455" s="14"/>
      <c r="I2455" s="14"/>
      <c r="J2455" s="14"/>
      <c r="K2455" s="14"/>
      <c r="L2455" s="14"/>
      <c r="M2455" s="14"/>
      <c r="N2455" s="14"/>
      <c r="O2455" s="4"/>
      <c r="P2455" s="14"/>
      <c r="Q2455" s="14"/>
    </row>
    <row r="2456" spans="1:17" x14ac:dyDescent="0.25">
      <c r="A2456" s="5"/>
      <c r="B2456" s="6"/>
      <c r="C2456" s="4"/>
      <c r="D2456" s="4"/>
      <c r="E2456" s="12"/>
      <c r="F2456" s="12"/>
      <c r="G2456" s="16"/>
      <c r="H2456" s="14"/>
      <c r="I2456" s="14"/>
      <c r="J2456" s="14"/>
      <c r="K2456" s="14"/>
      <c r="L2456" s="14"/>
      <c r="M2456" s="14"/>
      <c r="N2456" s="14"/>
      <c r="O2456" s="4"/>
      <c r="P2456" s="14"/>
      <c r="Q2456" s="14"/>
    </row>
    <row r="2457" spans="1:17" x14ac:dyDescent="0.25">
      <c r="A2457" s="5"/>
      <c r="B2457" s="6"/>
      <c r="C2457" s="4"/>
      <c r="D2457" s="4"/>
      <c r="E2457" s="12"/>
      <c r="F2457" s="12"/>
      <c r="G2457" s="16"/>
      <c r="H2457" s="14"/>
      <c r="I2457" s="14"/>
      <c r="J2457" s="14"/>
      <c r="K2457" s="14"/>
      <c r="L2457" s="14"/>
      <c r="M2457" s="14"/>
      <c r="N2457" s="14"/>
      <c r="O2457" s="4"/>
      <c r="P2457" s="14"/>
      <c r="Q2457" s="14"/>
    </row>
    <row r="2458" spans="1:17" x14ac:dyDescent="0.25">
      <c r="A2458" s="5"/>
      <c r="B2458" s="6"/>
      <c r="C2458" s="4"/>
      <c r="D2458" s="4"/>
      <c r="E2458" s="12"/>
      <c r="F2458" s="12"/>
      <c r="G2458" s="16"/>
      <c r="H2458" s="14"/>
      <c r="I2458" s="14"/>
      <c r="J2458" s="14"/>
      <c r="K2458" s="14"/>
      <c r="L2458" s="14"/>
      <c r="M2458" s="14"/>
      <c r="N2458" s="14"/>
      <c r="O2458" s="4"/>
      <c r="P2458" s="14"/>
      <c r="Q2458" s="14"/>
    </row>
    <row r="2459" spans="1:17" x14ac:dyDescent="0.25">
      <c r="A2459" s="5"/>
      <c r="B2459" s="6"/>
      <c r="C2459" s="4"/>
      <c r="D2459" s="4"/>
      <c r="E2459" s="12"/>
      <c r="F2459" s="12"/>
      <c r="G2459" s="16"/>
      <c r="H2459" s="14"/>
      <c r="I2459" s="14"/>
      <c r="J2459" s="14"/>
      <c r="K2459" s="14"/>
      <c r="L2459" s="14"/>
      <c r="M2459" s="14"/>
      <c r="N2459" s="14"/>
      <c r="O2459" s="4"/>
      <c r="P2459" s="14"/>
      <c r="Q2459" s="14"/>
    </row>
    <row r="2460" spans="1:17" x14ac:dyDescent="0.25">
      <c r="A2460" s="5"/>
      <c r="B2460" s="6"/>
      <c r="C2460" s="4"/>
      <c r="D2460" s="4"/>
      <c r="E2460" s="12"/>
      <c r="F2460" s="12"/>
      <c r="G2460" s="16"/>
      <c r="H2460" s="14"/>
      <c r="I2460" s="14"/>
      <c r="J2460" s="14"/>
      <c r="K2460" s="14"/>
      <c r="L2460" s="14"/>
      <c r="M2460" s="14"/>
      <c r="N2460" s="14"/>
      <c r="O2460" s="4"/>
      <c r="P2460" s="14"/>
      <c r="Q2460" s="14"/>
    </row>
    <row r="2461" spans="1:17" x14ac:dyDescent="0.25">
      <c r="A2461" s="5"/>
      <c r="B2461" s="6"/>
      <c r="C2461" s="4"/>
      <c r="D2461" s="4"/>
      <c r="E2461" s="12"/>
      <c r="F2461" s="12"/>
      <c r="G2461" s="16"/>
      <c r="H2461" s="14"/>
      <c r="I2461" s="14"/>
      <c r="J2461" s="14"/>
      <c r="K2461" s="14"/>
      <c r="L2461" s="14"/>
      <c r="M2461" s="14"/>
      <c r="N2461" s="14"/>
      <c r="O2461" s="4"/>
      <c r="P2461" s="14"/>
      <c r="Q2461" s="14"/>
    </row>
    <row r="2462" spans="1:17" x14ac:dyDescent="0.25">
      <c r="A2462" s="5"/>
      <c r="B2462" s="6"/>
      <c r="C2462" s="4"/>
      <c r="D2462" s="4"/>
      <c r="E2462" s="12"/>
      <c r="F2462" s="12"/>
      <c r="G2462" s="16"/>
      <c r="H2462" s="14"/>
      <c r="I2462" s="14"/>
      <c r="J2462" s="14"/>
      <c r="K2462" s="14"/>
      <c r="L2462" s="14"/>
      <c r="M2462" s="14"/>
      <c r="N2462" s="14"/>
      <c r="O2462" s="4"/>
      <c r="P2462" s="14"/>
      <c r="Q2462" s="14"/>
    </row>
    <row r="2463" spans="1:17" x14ac:dyDescent="0.25">
      <c r="A2463" s="5"/>
      <c r="B2463" s="6"/>
      <c r="C2463" s="4"/>
      <c r="D2463" s="4"/>
      <c r="E2463" s="12"/>
      <c r="F2463" s="12"/>
      <c r="G2463" s="16"/>
      <c r="H2463" s="14"/>
      <c r="I2463" s="14"/>
      <c r="J2463" s="14"/>
      <c r="K2463" s="14"/>
      <c r="L2463" s="14"/>
      <c r="M2463" s="14"/>
      <c r="N2463" s="14"/>
      <c r="O2463" s="4"/>
      <c r="P2463" s="14"/>
      <c r="Q2463" s="14"/>
    </row>
    <row r="2464" spans="1:17" x14ac:dyDescent="0.25">
      <c r="A2464" s="5"/>
      <c r="B2464" s="6"/>
      <c r="C2464" s="4"/>
      <c r="D2464" s="4"/>
      <c r="E2464" s="12"/>
      <c r="F2464" s="12"/>
      <c r="G2464" s="16"/>
      <c r="H2464" s="14"/>
      <c r="I2464" s="14"/>
      <c r="J2464" s="14"/>
      <c r="K2464" s="14"/>
      <c r="L2464" s="14"/>
      <c r="M2464" s="14"/>
      <c r="N2464" s="14"/>
      <c r="O2464" s="4"/>
      <c r="P2464" s="14"/>
      <c r="Q2464" s="14"/>
    </row>
    <row r="2465" spans="1:17" x14ac:dyDescent="0.25">
      <c r="A2465" s="5"/>
      <c r="B2465" s="6"/>
      <c r="C2465" s="4"/>
      <c r="D2465" s="4"/>
      <c r="E2465" s="12"/>
      <c r="F2465" s="12"/>
      <c r="G2465" s="16"/>
      <c r="H2465" s="14"/>
      <c r="I2465" s="14"/>
      <c r="J2465" s="14"/>
      <c r="K2465" s="14"/>
      <c r="L2465" s="14"/>
      <c r="M2465" s="14"/>
      <c r="N2465" s="14"/>
      <c r="O2465" s="4"/>
      <c r="P2465" s="14"/>
      <c r="Q2465" s="14"/>
    </row>
    <row r="2466" spans="1:17" x14ac:dyDescent="0.25">
      <c r="A2466" s="5"/>
      <c r="B2466" s="6"/>
      <c r="C2466" s="4"/>
      <c r="D2466" s="4"/>
      <c r="E2466" s="12"/>
      <c r="F2466" s="12"/>
      <c r="G2466" s="16"/>
      <c r="H2466" s="14"/>
      <c r="I2466" s="14"/>
      <c r="J2466" s="14"/>
      <c r="K2466" s="14"/>
      <c r="L2466" s="14"/>
      <c r="M2466" s="14"/>
      <c r="N2466" s="14"/>
      <c r="O2466" s="4"/>
      <c r="P2466" s="14"/>
      <c r="Q2466" s="14"/>
    </row>
    <row r="2467" spans="1:17" x14ac:dyDescent="0.25">
      <c r="A2467" s="5"/>
      <c r="B2467" s="6"/>
      <c r="C2467" s="4"/>
      <c r="D2467" s="4"/>
      <c r="E2467" s="12"/>
      <c r="F2467" s="12"/>
      <c r="G2467" s="16"/>
      <c r="H2467" s="14"/>
      <c r="I2467" s="14"/>
      <c r="J2467" s="14"/>
      <c r="K2467" s="14"/>
      <c r="L2467" s="14"/>
      <c r="M2467" s="14"/>
      <c r="N2467" s="14"/>
      <c r="O2467" s="4"/>
      <c r="P2467" s="14"/>
      <c r="Q2467" s="14"/>
    </row>
    <row r="2468" spans="1:17" x14ac:dyDescent="0.25">
      <c r="A2468" s="5"/>
      <c r="B2468" s="6"/>
      <c r="C2468" s="4"/>
      <c r="D2468" s="4"/>
      <c r="E2468" s="12"/>
      <c r="F2468" s="12"/>
      <c r="G2468" s="16"/>
      <c r="H2468" s="14"/>
      <c r="I2468" s="14"/>
      <c r="J2468" s="14"/>
      <c r="K2468" s="14"/>
      <c r="L2468" s="14"/>
      <c r="M2468" s="14"/>
      <c r="N2468" s="14"/>
      <c r="O2468" s="4"/>
      <c r="P2468" s="14"/>
      <c r="Q2468" s="14"/>
    </row>
    <row r="2469" spans="1:17" x14ac:dyDescent="0.25">
      <c r="A2469" s="5"/>
      <c r="B2469" s="6"/>
      <c r="C2469" s="4"/>
      <c r="D2469" s="4"/>
      <c r="E2469" s="12"/>
      <c r="F2469" s="12"/>
      <c r="G2469" s="16"/>
      <c r="H2469" s="14"/>
      <c r="I2469" s="14"/>
      <c r="J2469" s="14"/>
      <c r="K2469" s="14"/>
      <c r="L2469" s="14"/>
      <c r="M2469" s="14"/>
      <c r="N2469" s="14"/>
      <c r="O2469" s="4"/>
      <c r="P2469" s="14"/>
      <c r="Q2469" s="14"/>
    </row>
    <row r="2470" spans="1:17" x14ac:dyDescent="0.25">
      <c r="A2470" s="5"/>
      <c r="B2470" s="6"/>
      <c r="C2470" s="4"/>
      <c r="D2470" s="4"/>
      <c r="E2470" s="12"/>
      <c r="F2470" s="12"/>
      <c r="G2470" s="16"/>
      <c r="H2470" s="14"/>
      <c r="I2470" s="14"/>
      <c r="J2470" s="14"/>
      <c r="K2470" s="14"/>
      <c r="L2470" s="14"/>
      <c r="M2470" s="14"/>
      <c r="N2470" s="14"/>
      <c r="O2470" s="4"/>
      <c r="P2470" s="14"/>
      <c r="Q2470" s="14"/>
    </row>
    <row r="2471" spans="1:17" x14ac:dyDescent="0.25">
      <c r="A2471" s="5"/>
      <c r="B2471" s="6"/>
      <c r="C2471" s="4"/>
      <c r="D2471" s="4"/>
      <c r="E2471" s="12"/>
      <c r="F2471" s="12"/>
      <c r="G2471" s="16"/>
      <c r="H2471" s="14"/>
      <c r="I2471" s="14"/>
      <c r="J2471" s="14"/>
      <c r="K2471" s="14"/>
      <c r="L2471" s="14"/>
      <c r="M2471" s="14"/>
      <c r="N2471" s="14"/>
      <c r="O2471" s="4"/>
      <c r="P2471" s="14"/>
      <c r="Q2471" s="14"/>
    </row>
    <row r="2472" spans="1:17" x14ac:dyDescent="0.25">
      <c r="A2472" s="5"/>
      <c r="B2472" s="6"/>
      <c r="C2472" s="4"/>
      <c r="D2472" s="4"/>
      <c r="E2472" s="12"/>
      <c r="F2472" s="12"/>
      <c r="G2472" s="16"/>
      <c r="H2472" s="14"/>
      <c r="I2472" s="14"/>
      <c r="J2472" s="14"/>
      <c r="K2472" s="14"/>
      <c r="L2472" s="14"/>
      <c r="M2472" s="14"/>
      <c r="N2472" s="14"/>
      <c r="O2472" s="4"/>
      <c r="P2472" s="14"/>
      <c r="Q2472" s="14"/>
    </row>
    <row r="2473" spans="1:17" x14ac:dyDescent="0.25">
      <c r="A2473" s="5"/>
      <c r="B2473" s="6"/>
      <c r="C2473" s="4"/>
      <c r="D2473" s="4"/>
      <c r="E2473" s="12"/>
      <c r="F2473" s="12"/>
      <c r="G2473" s="16"/>
      <c r="H2473" s="14"/>
      <c r="I2473" s="14"/>
      <c r="J2473" s="14"/>
      <c r="K2473" s="14"/>
      <c r="L2473" s="14"/>
      <c r="M2473" s="14"/>
      <c r="N2473" s="14"/>
      <c r="O2473" s="4"/>
      <c r="P2473" s="14"/>
      <c r="Q2473" s="14"/>
    </row>
    <row r="2474" spans="1:17" x14ac:dyDescent="0.25">
      <c r="A2474" s="5"/>
      <c r="B2474" s="6"/>
      <c r="C2474" s="4"/>
      <c r="D2474" s="4"/>
      <c r="E2474" s="12"/>
      <c r="F2474" s="12"/>
      <c r="G2474" s="16"/>
      <c r="H2474" s="14"/>
      <c r="I2474" s="14"/>
      <c r="J2474" s="14"/>
      <c r="K2474" s="14"/>
      <c r="L2474" s="14"/>
      <c r="M2474" s="14"/>
      <c r="N2474" s="14"/>
      <c r="O2474" s="4"/>
      <c r="P2474" s="14"/>
      <c r="Q2474" s="14"/>
    </row>
    <row r="2475" spans="1:17" x14ac:dyDescent="0.25">
      <c r="A2475" s="5"/>
      <c r="B2475" s="6"/>
      <c r="C2475" s="4"/>
      <c r="D2475" s="4"/>
      <c r="E2475" s="12"/>
      <c r="F2475" s="12"/>
      <c r="G2475" s="16"/>
      <c r="H2475" s="14"/>
      <c r="I2475" s="14"/>
      <c r="J2475" s="14"/>
      <c r="K2475" s="14"/>
      <c r="L2475" s="14"/>
      <c r="M2475" s="14"/>
      <c r="N2475" s="14"/>
      <c r="O2475" s="4"/>
      <c r="P2475" s="14"/>
      <c r="Q2475" s="14"/>
    </row>
    <row r="2476" spans="1:17" x14ac:dyDescent="0.25">
      <c r="A2476" s="5"/>
      <c r="B2476" s="6"/>
      <c r="C2476" s="4"/>
      <c r="D2476" s="4"/>
      <c r="E2476" s="12"/>
      <c r="F2476" s="12"/>
      <c r="G2476" s="16"/>
      <c r="H2476" s="14"/>
      <c r="I2476" s="14"/>
      <c r="J2476" s="14"/>
      <c r="K2476" s="14"/>
      <c r="L2476" s="14"/>
      <c r="M2476" s="14"/>
      <c r="N2476" s="14"/>
      <c r="O2476" s="4"/>
      <c r="P2476" s="14"/>
      <c r="Q2476" s="14"/>
    </row>
    <row r="2477" spans="1:17" x14ac:dyDescent="0.25">
      <c r="A2477" s="5"/>
      <c r="B2477" s="6"/>
      <c r="C2477" s="4"/>
      <c r="D2477" s="4"/>
      <c r="E2477" s="12"/>
      <c r="F2477" s="12"/>
      <c r="G2477" s="16"/>
      <c r="H2477" s="14"/>
      <c r="I2477" s="14"/>
      <c r="J2477" s="14"/>
      <c r="K2477" s="14"/>
      <c r="L2477" s="14"/>
      <c r="M2477" s="14"/>
      <c r="N2477" s="14"/>
      <c r="O2477" s="4"/>
      <c r="P2477" s="14"/>
      <c r="Q2477" s="14"/>
    </row>
    <row r="2478" spans="1:17" x14ac:dyDescent="0.25">
      <c r="A2478" s="5"/>
      <c r="B2478" s="6"/>
      <c r="C2478" s="4"/>
      <c r="D2478" s="4"/>
      <c r="E2478" s="12"/>
      <c r="F2478" s="12"/>
      <c r="G2478" s="16"/>
      <c r="H2478" s="14"/>
      <c r="I2478" s="14"/>
      <c r="J2478" s="14"/>
      <c r="K2478" s="14"/>
      <c r="L2478" s="14"/>
      <c r="M2478" s="14"/>
      <c r="N2478" s="14"/>
      <c r="O2478" s="4"/>
      <c r="P2478" s="14"/>
      <c r="Q2478" s="14"/>
    </row>
    <row r="2479" spans="1:17" x14ac:dyDescent="0.25">
      <c r="A2479" s="5"/>
      <c r="B2479" s="6"/>
      <c r="C2479" s="4"/>
      <c r="D2479" s="4"/>
      <c r="E2479" s="12"/>
      <c r="F2479" s="12"/>
      <c r="G2479" s="16"/>
      <c r="H2479" s="14"/>
      <c r="I2479" s="14"/>
      <c r="J2479" s="14"/>
      <c r="K2479" s="14"/>
      <c r="L2479" s="14"/>
      <c r="M2479" s="14"/>
      <c r="N2479" s="14"/>
      <c r="O2479" s="4"/>
      <c r="P2479" s="14"/>
      <c r="Q2479" s="14"/>
    </row>
    <row r="2480" spans="1:17" x14ac:dyDescent="0.25">
      <c r="A2480" s="5"/>
      <c r="B2480" s="6"/>
      <c r="C2480" s="4"/>
      <c r="D2480" s="4"/>
      <c r="E2480" s="12"/>
      <c r="F2480" s="12"/>
      <c r="G2480" s="16"/>
      <c r="H2480" s="14"/>
      <c r="I2480" s="14"/>
      <c r="J2480" s="14"/>
      <c r="K2480" s="14"/>
      <c r="L2480" s="14"/>
      <c r="M2480" s="14"/>
      <c r="N2480" s="14"/>
      <c r="O2480" s="4"/>
      <c r="P2480" s="14"/>
      <c r="Q2480" s="14"/>
    </row>
    <row r="2481" spans="1:17" x14ac:dyDescent="0.25">
      <c r="A2481" s="5"/>
      <c r="B2481" s="6"/>
      <c r="C2481" s="4"/>
      <c r="D2481" s="4"/>
      <c r="E2481" s="12"/>
      <c r="F2481" s="12"/>
      <c r="G2481" s="16"/>
      <c r="H2481" s="14"/>
      <c r="I2481" s="14"/>
      <c r="J2481" s="14"/>
      <c r="K2481" s="14"/>
      <c r="L2481" s="14"/>
      <c r="M2481" s="14"/>
      <c r="N2481" s="14"/>
      <c r="O2481" s="4"/>
      <c r="P2481" s="14"/>
      <c r="Q2481" s="14"/>
    </row>
    <row r="2482" spans="1:17" x14ac:dyDescent="0.25">
      <c r="A2482" s="5"/>
      <c r="B2482" s="6"/>
      <c r="C2482" s="4"/>
      <c r="D2482" s="4"/>
      <c r="E2482" s="12"/>
      <c r="F2482" s="12"/>
      <c r="G2482" s="16"/>
      <c r="H2482" s="14"/>
      <c r="I2482" s="14"/>
      <c r="J2482" s="14"/>
      <c r="K2482" s="14"/>
      <c r="L2482" s="14"/>
      <c r="M2482" s="14"/>
      <c r="N2482" s="14"/>
      <c r="O2482" s="4"/>
      <c r="P2482" s="14"/>
      <c r="Q2482" s="14"/>
    </row>
    <row r="2483" spans="1:17" x14ac:dyDescent="0.25">
      <c r="A2483" s="5"/>
      <c r="B2483" s="6"/>
      <c r="C2483" s="4"/>
      <c r="D2483" s="4"/>
      <c r="E2483" s="12"/>
      <c r="F2483" s="12"/>
      <c r="G2483" s="16"/>
      <c r="H2483" s="14"/>
      <c r="I2483" s="14"/>
      <c r="J2483" s="14"/>
      <c r="K2483" s="14"/>
      <c r="L2483" s="14"/>
      <c r="M2483" s="14"/>
      <c r="N2483" s="14"/>
      <c r="O2483" s="4"/>
      <c r="P2483" s="14"/>
      <c r="Q2483" s="14"/>
    </row>
    <row r="2484" spans="1:17" x14ac:dyDescent="0.25">
      <c r="A2484" s="5"/>
      <c r="B2484" s="6"/>
      <c r="C2484" s="4"/>
      <c r="D2484" s="4"/>
      <c r="E2484" s="12"/>
      <c r="F2484" s="12"/>
      <c r="G2484" s="16"/>
      <c r="H2484" s="14"/>
      <c r="I2484" s="14"/>
      <c r="J2484" s="14"/>
      <c r="K2484" s="14"/>
      <c r="L2484" s="14"/>
      <c r="M2484" s="14"/>
      <c r="N2484" s="14"/>
      <c r="O2484" s="4"/>
      <c r="P2484" s="14"/>
      <c r="Q2484" s="14"/>
    </row>
    <row r="2485" spans="1:17" x14ac:dyDescent="0.25">
      <c r="A2485" s="5"/>
      <c r="B2485" s="6"/>
      <c r="C2485" s="4"/>
      <c r="D2485" s="4"/>
      <c r="E2485" s="12"/>
      <c r="F2485" s="12"/>
      <c r="G2485" s="16"/>
      <c r="H2485" s="14"/>
      <c r="I2485" s="14"/>
      <c r="J2485" s="14"/>
      <c r="K2485" s="14"/>
      <c r="L2485" s="14"/>
      <c r="M2485" s="14"/>
      <c r="N2485" s="14"/>
      <c r="O2485" s="4"/>
      <c r="P2485" s="14"/>
      <c r="Q2485" s="14"/>
    </row>
    <row r="2486" spans="1:17" x14ac:dyDescent="0.25">
      <c r="A2486" s="5"/>
      <c r="B2486" s="6"/>
      <c r="C2486" s="4"/>
      <c r="D2486" s="4"/>
      <c r="E2486" s="12"/>
      <c r="F2486" s="12"/>
      <c r="G2486" s="16"/>
      <c r="H2486" s="14"/>
      <c r="I2486" s="14"/>
      <c r="J2486" s="14"/>
      <c r="K2486" s="14"/>
      <c r="L2486" s="14"/>
      <c r="M2486" s="14"/>
      <c r="N2486" s="14"/>
      <c r="O2486" s="4"/>
      <c r="P2486" s="14"/>
      <c r="Q2486" s="14"/>
    </row>
    <row r="2487" spans="1:17" x14ac:dyDescent="0.25">
      <c r="A2487" s="5"/>
      <c r="B2487" s="6"/>
      <c r="C2487" s="4"/>
      <c r="D2487" s="4"/>
      <c r="E2487" s="12"/>
      <c r="F2487" s="12"/>
      <c r="G2487" s="16"/>
      <c r="H2487" s="14"/>
      <c r="I2487" s="14"/>
      <c r="J2487" s="14"/>
      <c r="K2487" s="14"/>
      <c r="L2487" s="14"/>
      <c r="M2487" s="14"/>
      <c r="N2487" s="14"/>
      <c r="O2487" s="4"/>
      <c r="P2487" s="14"/>
      <c r="Q2487" s="14"/>
    </row>
    <row r="2488" spans="1:17" x14ac:dyDescent="0.25">
      <c r="A2488" s="5"/>
      <c r="B2488" s="6"/>
      <c r="C2488" s="4"/>
      <c r="D2488" s="4"/>
      <c r="E2488" s="12"/>
      <c r="F2488" s="12"/>
      <c r="G2488" s="16"/>
      <c r="H2488" s="14"/>
      <c r="I2488" s="14"/>
      <c r="J2488" s="14"/>
      <c r="K2488" s="14"/>
      <c r="L2488" s="14"/>
      <c r="M2488" s="14"/>
      <c r="N2488" s="14"/>
      <c r="O2488" s="4"/>
      <c r="P2488" s="14"/>
      <c r="Q2488" s="14"/>
    </row>
    <row r="2489" spans="1:17" x14ac:dyDescent="0.25">
      <c r="A2489" s="5"/>
      <c r="B2489" s="6"/>
      <c r="C2489" s="4"/>
      <c r="D2489" s="4"/>
      <c r="E2489" s="12"/>
      <c r="F2489" s="12"/>
      <c r="G2489" s="16"/>
      <c r="H2489" s="14"/>
      <c r="I2489" s="14"/>
      <c r="J2489" s="14"/>
      <c r="K2489" s="14"/>
      <c r="L2489" s="14"/>
      <c r="M2489" s="14"/>
      <c r="N2489" s="14"/>
      <c r="O2489" s="4"/>
      <c r="P2489" s="14"/>
      <c r="Q2489" s="14"/>
    </row>
    <row r="2490" spans="1:17" x14ac:dyDescent="0.25">
      <c r="A2490" s="5"/>
      <c r="B2490" s="6"/>
      <c r="C2490" s="4"/>
      <c r="D2490" s="4"/>
      <c r="E2490" s="12"/>
      <c r="F2490" s="12"/>
      <c r="G2490" s="16"/>
      <c r="H2490" s="14"/>
      <c r="I2490" s="14"/>
      <c r="J2490" s="14"/>
      <c r="K2490" s="14"/>
      <c r="L2490" s="14"/>
      <c r="M2490" s="14"/>
      <c r="N2490" s="14"/>
      <c r="O2490" s="4"/>
      <c r="P2490" s="14"/>
      <c r="Q2490" s="14"/>
    </row>
    <row r="2491" spans="1:17" x14ac:dyDescent="0.25">
      <c r="A2491" s="5"/>
      <c r="B2491" s="6"/>
      <c r="C2491" s="4"/>
      <c r="D2491" s="4"/>
      <c r="E2491" s="12"/>
      <c r="F2491" s="12"/>
      <c r="G2491" s="16"/>
      <c r="H2491" s="14"/>
      <c r="I2491" s="14"/>
      <c r="J2491" s="14"/>
      <c r="K2491" s="14"/>
      <c r="L2491" s="14"/>
      <c r="M2491" s="14"/>
      <c r="N2491" s="14"/>
      <c r="O2491" s="4"/>
      <c r="P2491" s="14"/>
      <c r="Q2491" s="14"/>
    </row>
    <row r="2492" spans="1:17" x14ac:dyDescent="0.25">
      <c r="A2492" s="5"/>
      <c r="B2492" s="6"/>
      <c r="C2492" s="4"/>
      <c r="D2492" s="4"/>
      <c r="E2492" s="12"/>
      <c r="F2492" s="12"/>
      <c r="G2492" s="16"/>
      <c r="H2492" s="14"/>
      <c r="I2492" s="14"/>
      <c r="J2492" s="14"/>
      <c r="K2492" s="14"/>
      <c r="L2492" s="14"/>
      <c r="M2492" s="14"/>
      <c r="N2492" s="14"/>
      <c r="O2492" s="4"/>
      <c r="P2492" s="14"/>
      <c r="Q2492" s="14"/>
    </row>
    <row r="2493" spans="1:17" x14ac:dyDescent="0.25">
      <c r="A2493" s="5"/>
      <c r="B2493" s="6"/>
      <c r="C2493" s="4"/>
      <c r="D2493" s="4"/>
      <c r="E2493" s="12"/>
      <c r="F2493" s="12"/>
      <c r="G2493" s="16"/>
      <c r="H2493" s="14"/>
      <c r="I2493" s="14"/>
      <c r="J2493" s="14"/>
      <c r="K2493" s="14"/>
      <c r="L2493" s="14"/>
      <c r="M2493" s="14"/>
      <c r="N2493" s="14"/>
      <c r="O2493" s="4"/>
      <c r="P2493" s="14"/>
      <c r="Q2493" s="14"/>
    </row>
    <row r="2494" spans="1:17" x14ac:dyDescent="0.25">
      <c r="A2494" s="5"/>
      <c r="B2494" s="6"/>
      <c r="C2494" s="4"/>
      <c r="D2494" s="4"/>
      <c r="E2494" s="12"/>
      <c r="F2494" s="12"/>
      <c r="G2494" s="16"/>
      <c r="H2494" s="14"/>
      <c r="I2494" s="14"/>
      <c r="J2494" s="14"/>
      <c r="K2494" s="14"/>
      <c r="L2494" s="14"/>
      <c r="M2494" s="14"/>
      <c r="N2494" s="14"/>
      <c r="O2494" s="4"/>
      <c r="P2494" s="14"/>
      <c r="Q2494" s="14"/>
    </row>
    <row r="2495" spans="1:17" x14ac:dyDescent="0.25">
      <c r="A2495" s="5"/>
      <c r="B2495" s="6"/>
      <c r="C2495" s="4"/>
      <c r="D2495" s="4"/>
      <c r="E2495" s="12"/>
      <c r="F2495" s="12"/>
      <c r="G2495" s="16"/>
      <c r="H2495" s="14"/>
      <c r="I2495" s="14"/>
      <c r="J2495" s="14"/>
      <c r="K2495" s="14"/>
      <c r="L2495" s="14"/>
      <c r="M2495" s="14"/>
      <c r="N2495" s="14"/>
      <c r="O2495" s="4"/>
      <c r="P2495" s="14"/>
      <c r="Q2495" s="14"/>
    </row>
    <row r="2496" spans="1:17" x14ac:dyDescent="0.25">
      <c r="A2496" s="5"/>
      <c r="B2496" s="6"/>
      <c r="C2496" s="4"/>
      <c r="D2496" s="4"/>
      <c r="E2496" s="12"/>
      <c r="F2496" s="12"/>
      <c r="G2496" s="16"/>
      <c r="H2496" s="14"/>
      <c r="I2496" s="14"/>
      <c r="J2496" s="14"/>
      <c r="K2496" s="14"/>
      <c r="L2496" s="14"/>
      <c r="M2496" s="14"/>
      <c r="N2496" s="14"/>
      <c r="O2496" s="4"/>
      <c r="P2496" s="14"/>
      <c r="Q2496" s="14"/>
    </row>
    <row r="2497" spans="1:17" x14ac:dyDescent="0.25">
      <c r="A2497" s="5"/>
      <c r="B2497" s="6"/>
      <c r="C2497" s="4"/>
      <c r="D2497" s="4"/>
      <c r="E2497" s="12"/>
      <c r="F2497" s="12"/>
      <c r="G2497" s="16"/>
      <c r="H2497" s="14"/>
      <c r="I2497" s="14"/>
      <c r="J2497" s="14"/>
      <c r="K2497" s="14"/>
      <c r="L2497" s="14"/>
      <c r="M2497" s="14"/>
      <c r="N2497" s="14"/>
      <c r="O2497" s="4"/>
      <c r="P2497" s="14"/>
      <c r="Q2497" s="14"/>
    </row>
    <row r="2498" spans="1:17" x14ac:dyDescent="0.25">
      <c r="A2498" s="5"/>
      <c r="B2498" s="6"/>
      <c r="C2498" s="4"/>
      <c r="D2498" s="4"/>
      <c r="E2498" s="12"/>
      <c r="F2498" s="12"/>
      <c r="G2498" s="16"/>
      <c r="H2498" s="14"/>
      <c r="I2498" s="14"/>
      <c r="J2498" s="14"/>
      <c r="K2498" s="14"/>
      <c r="L2498" s="14"/>
      <c r="M2498" s="14"/>
      <c r="N2498" s="14"/>
      <c r="O2498" s="4"/>
      <c r="P2498" s="14"/>
      <c r="Q2498" s="14"/>
    </row>
    <row r="2499" spans="1:17" x14ac:dyDescent="0.25">
      <c r="A2499" s="5"/>
      <c r="B2499" s="6"/>
      <c r="C2499" s="4"/>
      <c r="D2499" s="4"/>
      <c r="E2499" s="12"/>
      <c r="F2499" s="12"/>
      <c r="G2499" s="16"/>
      <c r="H2499" s="14"/>
      <c r="I2499" s="14"/>
      <c r="J2499" s="14"/>
      <c r="K2499" s="14"/>
      <c r="L2499" s="14"/>
      <c r="M2499" s="14"/>
      <c r="N2499" s="14"/>
      <c r="O2499" s="4"/>
      <c r="P2499" s="14"/>
      <c r="Q2499" s="14"/>
    </row>
    <row r="2500" spans="1:17" x14ac:dyDescent="0.25">
      <c r="A2500" s="5"/>
      <c r="B2500" s="6"/>
      <c r="C2500" s="4"/>
      <c r="D2500" s="4"/>
      <c r="E2500" s="12"/>
      <c r="F2500" s="12"/>
      <c r="G2500" s="16"/>
      <c r="H2500" s="14"/>
      <c r="I2500" s="14"/>
      <c r="J2500" s="14"/>
      <c r="K2500" s="14"/>
      <c r="L2500" s="14"/>
      <c r="M2500" s="14"/>
      <c r="N2500" s="14"/>
      <c r="O2500" s="4"/>
      <c r="P2500" s="14"/>
      <c r="Q2500" s="14"/>
    </row>
    <row r="2501" spans="1:17" x14ac:dyDescent="0.25">
      <c r="A2501" s="5"/>
      <c r="B2501" s="6"/>
      <c r="C2501" s="4"/>
      <c r="D2501" s="4"/>
      <c r="E2501" s="12"/>
      <c r="F2501" s="12"/>
      <c r="G2501" s="16"/>
      <c r="H2501" s="14"/>
      <c r="I2501" s="14"/>
      <c r="J2501" s="14"/>
      <c r="K2501" s="14"/>
      <c r="L2501" s="14"/>
      <c r="M2501" s="14"/>
      <c r="N2501" s="14"/>
      <c r="O2501" s="4"/>
      <c r="P2501" s="14"/>
      <c r="Q2501" s="14"/>
    </row>
    <row r="2502" spans="1:17" x14ac:dyDescent="0.25">
      <c r="A2502" s="5"/>
      <c r="B2502" s="6"/>
      <c r="C2502" s="4"/>
      <c r="D2502" s="4"/>
      <c r="E2502" s="12"/>
      <c r="F2502" s="12"/>
      <c r="G2502" s="16"/>
      <c r="H2502" s="14"/>
      <c r="I2502" s="14"/>
      <c r="J2502" s="14"/>
      <c r="K2502" s="14"/>
      <c r="L2502" s="14"/>
      <c r="M2502" s="14"/>
      <c r="N2502" s="14"/>
      <c r="O2502" s="4"/>
      <c r="P2502" s="14"/>
      <c r="Q2502" s="14"/>
    </row>
    <row r="2503" spans="1:17" x14ac:dyDescent="0.25">
      <c r="A2503" s="5"/>
      <c r="B2503" s="6"/>
      <c r="C2503" s="4"/>
      <c r="D2503" s="4"/>
      <c r="E2503" s="12"/>
      <c r="F2503" s="12"/>
      <c r="G2503" s="16"/>
      <c r="H2503" s="14"/>
      <c r="I2503" s="14"/>
      <c r="J2503" s="14"/>
      <c r="K2503" s="14"/>
      <c r="L2503" s="14"/>
      <c r="M2503" s="14"/>
      <c r="N2503" s="14"/>
      <c r="O2503" s="4"/>
      <c r="P2503" s="14"/>
      <c r="Q2503" s="14"/>
    </row>
    <row r="2504" spans="1:17" x14ac:dyDescent="0.25">
      <c r="A2504" s="5"/>
      <c r="B2504" s="6"/>
      <c r="C2504" s="4"/>
      <c r="D2504" s="4"/>
      <c r="E2504" s="12"/>
      <c r="F2504" s="12"/>
      <c r="G2504" s="16"/>
      <c r="H2504" s="14"/>
      <c r="I2504" s="14"/>
      <c r="J2504" s="14"/>
      <c r="K2504" s="14"/>
      <c r="L2504" s="14"/>
      <c r="M2504" s="14"/>
      <c r="N2504" s="14"/>
      <c r="O2504" s="4"/>
      <c r="P2504" s="14"/>
      <c r="Q2504" s="14"/>
    </row>
    <row r="2505" spans="1:17" x14ac:dyDescent="0.25">
      <c r="A2505" s="5"/>
      <c r="B2505" s="6"/>
      <c r="C2505" s="4"/>
      <c r="D2505" s="4"/>
      <c r="E2505" s="12"/>
      <c r="F2505" s="12"/>
      <c r="G2505" s="16"/>
      <c r="H2505" s="14"/>
      <c r="I2505" s="14"/>
      <c r="J2505" s="14"/>
      <c r="K2505" s="14"/>
      <c r="L2505" s="14"/>
      <c r="M2505" s="14"/>
      <c r="N2505" s="14"/>
      <c r="O2505" s="4"/>
      <c r="P2505" s="14"/>
      <c r="Q2505" s="14"/>
    </row>
    <row r="2506" spans="1:17" x14ac:dyDescent="0.25">
      <c r="A2506" s="5"/>
      <c r="B2506" s="6"/>
      <c r="C2506" s="4"/>
      <c r="D2506" s="4"/>
      <c r="E2506" s="12"/>
      <c r="F2506" s="12"/>
      <c r="G2506" s="16"/>
      <c r="H2506" s="14"/>
      <c r="I2506" s="14"/>
      <c r="J2506" s="14"/>
      <c r="K2506" s="14"/>
      <c r="L2506" s="14"/>
      <c r="M2506" s="14"/>
      <c r="N2506" s="14"/>
      <c r="O2506" s="4"/>
      <c r="P2506" s="14"/>
      <c r="Q2506" s="14"/>
    </row>
    <row r="2507" spans="1:17" x14ac:dyDescent="0.25">
      <c r="A2507" s="5"/>
      <c r="B2507" s="6"/>
      <c r="C2507" s="4"/>
      <c r="D2507" s="4"/>
      <c r="E2507" s="12"/>
      <c r="F2507" s="12"/>
      <c r="G2507" s="16"/>
      <c r="H2507" s="14"/>
      <c r="I2507" s="14"/>
      <c r="J2507" s="14"/>
      <c r="K2507" s="14"/>
      <c r="L2507" s="14"/>
      <c r="M2507" s="14"/>
      <c r="N2507" s="14"/>
      <c r="O2507" s="4"/>
      <c r="P2507" s="14"/>
      <c r="Q2507" s="14"/>
    </row>
    <row r="2508" spans="1:17" x14ac:dyDescent="0.25">
      <c r="A2508" s="5"/>
      <c r="B2508" s="6"/>
      <c r="C2508" s="4"/>
      <c r="D2508" s="4"/>
      <c r="E2508" s="12"/>
      <c r="F2508" s="12"/>
      <c r="G2508" s="16"/>
      <c r="H2508" s="14"/>
      <c r="I2508" s="14"/>
      <c r="J2508" s="14"/>
      <c r="K2508" s="14"/>
      <c r="L2508" s="14"/>
      <c r="M2508" s="14"/>
      <c r="N2508" s="14"/>
      <c r="O2508" s="4"/>
      <c r="P2508" s="14"/>
      <c r="Q2508" s="14"/>
    </row>
    <row r="2509" spans="1:17" x14ac:dyDescent="0.25">
      <c r="A2509" s="5"/>
      <c r="B2509" s="6"/>
      <c r="C2509" s="4"/>
      <c r="D2509" s="4"/>
      <c r="E2509" s="12"/>
      <c r="F2509" s="12"/>
      <c r="G2509" s="16"/>
      <c r="H2509" s="14"/>
      <c r="I2509" s="14"/>
      <c r="J2509" s="14"/>
      <c r="K2509" s="14"/>
      <c r="L2509" s="14"/>
      <c r="M2509" s="14"/>
      <c r="N2509" s="14"/>
      <c r="O2509" s="4"/>
      <c r="P2509" s="14"/>
      <c r="Q2509" s="14"/>
    </row>
    <row r="2510" spans="1:17" x14ac:dyDescent="0.25">
      <c r="A2510" s="5"/>
      <c r="B2510" s="6"/>
      <c r="C2510" s="4"/>
      <c r="D2510" s="4"/>
      <c r="E2510" s="12"/>
      <c r="F2510" s="12"/>
      <c r="G2510" s="16"/>
      <c r="H2510" s="14"/>
      <c r="I2510" s="14"/>
      <c r="J2510" s="14"/>
      <c r="K2510" s="14"/>
      <c r="L2510" s="14"/>
      <c r="M2510" s="14"/>
      <c r="N2510" s="14"/>
      <c r="O2510" s="4"/>
      <c r="P2510" s="14"/>
      <c r="Q2510" s="14"/>
    </row>
    <row r="2511" spans="1:17" x14ac:dyDescent="0.25">
      <c r="A2511" s="5"/>
      <c r="B2511" s="6"/>
      <c r="C2511" s="4"/>
      <c r="D2511" s="4"/>
      <c r="E2511" s="12"/>
      <c r="F2511" s="12"/>
      <c r="G2511" s="16"/>
      <c r="H2511" s="14"/>
      <c r="I2511" s="14"/>
      <c r="J2511" s="14"/>
      <c r="K2511" s="14"/>
      <c r="L2511" s="14"/>
      <c r="M2511" s="14"/>
      <c r="N2511" s="14"/>
      <c r="O2511" s="4"/>
      <c r="P2511" s="14"/>
      <c r="Q2511" s="14"/>
    </row>
    <row r="2512" spans="1:17" x14ac:dyDescent="0.25">
      <c r="A2512" s="5"/>
      <c r="B2512" s="6"/>
      <c r="C2512" s="4"/>
      <c r="D2512" s="4"/>
      <c r="E2512" s="12"/>
      <c r="F2512" s="12"/>
      <c r="G2512" s="16"/>
      <c r="H2512" s="14"/>
      <c r="I2512" s="14"/>
      <c r="J2512" s="14"/>
      <c r="K2512" s="14"/>
      <c r="L2512" s="14"/>
      <c r="M2512" s="14"/>
      <c r="N2512" s="14"/>
      <c r="O2512" s="4"/>
      <c r="P2512" s="14"/>
      <c r="Q2512" s="14"/>
    </row>
    <row r="2513" spans="1:17" x14ac:dyDescent="0.25">
      <c r="A2513" s="5"/>
      <c r="B2513" s="6"/>
      <c r="C2513" s="4"/>
      <c r="D2513" s="4"/>
      <c r="E2513" s="12"/>
      <c r="F2513" s="12"/>
      <c r="G2513" s="16"/>
      <c r="H2513" s="14"/>
      <c r="I2513" s="14"/>
      <c r="J2513" s="14"/>
      <c r="K2513" s="14"/>
      <c r="L2513" s="14"/>
      <c r="M2513" s="14"/>
      <c r="N2513" s="14"/>
      <c r="O2513" s="4"/>
      <c r="P2513" s="14"/>
      <c r="Q2513" s="14"/>
    </row>
    <row r="2514" spans="1:17" x14ac:dyDescent="0.25">
      <c r="A2514" s="5"/>
      <c r="B2514" s="6"/>
      <c r="C2514" s="4"/>
      <c r="D2514" s="4"/>
      <c r="E2514" s="12"/>
      <c r="F2514" s="12"/>
      <c r="G2514" s="16"/>
      <c r="H2514" s="14"/>
      <c r="I2514" s="14"/>
      <c r="J2514" s="14"/>
      <c r="K2514" s="14"/>
      <c r="L2514" s="14"/>
      <c r="M2514" s="14"/>
      <c r="N2514" s="14"/>
      <c r="O2514" s="4"/>
      <c r="P2514" s="14"/>
      <c r="Q2514" s="14"/>
    </row>
    <row r="2515" spans="1:17" x14ac:dyDescent="0.25">
      <c r="A2515" s="5"/>
      <c r="B2515" s="6"/>
      <c r="C2515" s="4"/>
      <c r="D2515" s="4"/>
      <c r="E2515" s="12"/>
      <c r="F2515" s="12"/>
      <c r="G2515" s="16"/>
      <c r="H2515" s="14"/>
      <c r="I2515" s="14"/>
      <c r="J2515" s="14"/>
      <c r="K2515" s="14"/>
      <c r="L2515" s="14"/>
      <c r="M2515" s="14"/>
      <c r="N2515" s="14"/>
      <c r="O2515" s="4"/>
      <c r="P2515" s="14"/>
      <c r="Q2515" s="14"/>
    </row>
    <row r="2516" spans="1:17" x14ac:dyDescent="0.25">
      <c r="A2516" s="5"/>
      <c r="B2516" s="6"/>
      <c r="C2516" s="4"/>
      <c r="D2516" s="4"/>
      <c r="E2516" s="12"/>
      <c r="F2516" s="12"/>
      <c r="G2516" s="16"/>
      <c r="H2516" s="14"/>
      <c r="I2516" s="14"/>
      <c r="J2516" s="14"/>
      <c r="K2516" s="14"/>
      <c r="L2516" s="14"/>
      <c r="M2516" s="14"/>
      <c r="N2516" s="14"/>
      <c r="O2516" s="4"/>
      <c r="P2516" s="14"/>
      <c r="Q2516" s="14"/>
    </row>
    <row r="2517" spans="1:17" x14ac:dyDescent="0.25">
      <c r="A2517" s="5"/>
      <c r="B2517" s="6"/>
      <c r="C2517" s="4"/>
      <c r="D2517" s="4"/>
      <c r="E2517" s="12"/>
      <c r="F2517" s="12"/>
      <c r="G2517" s="16"/>
      <c r="H2517" s="14"/>
      <c r="I2517" s="14"/>
      <c r="J2517" s="14"/>
      <c r="K2517" s="14"/>
      <c r="L2517" s="14"/>
      <c r="M2517" s="14"/>
      <c r="N2517" s="14"/>
      <c r="O2517" s="4"/>
      <c r="P2517" s="14"/>
      <c r="Q2517" s="14"/>
    </row>
    <row r="2518" spans="1:17" x14ac:dyDescent="0.25">
      <c r="A2518" s="5"/>
      <c r="B2518" s="6"/>
      <c r="C2518" s="4"/>
      <c r="D2518" s="4"/>
      <c r="E2518" s="12"/>
      <c r="F2518" s="12"/>
      <c r="G2518" s="16"/>
      <c r="H2518" s="14"/>
      <c r="I2518" s="14"/>
      <c r="J2518" s="14"/>
      <c r="K2518" s="14"/>
      <c r="L2518" s="14"/>
      <c r="M2518" s="14"/>
      <c r="N2518" s="14"/>
      <c r="O2518" s="4"/>
      <c r="P2518" s="14"/>
      <c r="Q2518" s="14"/>
    </row>
    <row r="2519" spans="1:17" x14ac:dyDescent="0.25">
      <c r="A2519" s="5"/>
      <c r="B2519" s="6"/>
      <c r="C2519" s="4"/>
      <c r="D2519" s="4"/>
      <c r="E2519" s="12"/>
      <c r="F2519" s="12"/>
      <c r="G2519" s="16"/>
      <c r="H2519" s="14"/>
      <c r="I2519" s="14"/>
      <c r="J2519" s="14"/>
      <c r="K2519" s="14"/>
      <c r="L2519" s="14"/>
      <c r="M2519" s="14"/>
      <c r="N2519" s="14"/>
      <c r="O2519" s="4"/>
      <c r="P2519" s="14"/>
      <c r="Q2519" s="14"/>
    </row>
    <row r="2520" spans="1:17" x14ac:dyDescent="0.25">
      <c r="A2520" s="5"/>
      <c r="B2520" s="6"/>
      <c r="C2520" s="4"/>
      <c r="D2520" s="4"/>
      <c r="E2520" s="12"/>
      <c r="F2520" s="12"/>
      <c r="G2520" s="16"/>
      <c r="H2520" s="14"/>
      <c r="I2520" s="14"/>
      <c r="J2520" s="14"/>
      <c r="K2520" s="14"/>
      <c r="L2520" s="14"/>
      <c r="M2520" s="14"/>
      <c r="N2520" s="14"/>
      <c r="O2520" s="4"/>
      <c r="P2520" s="14"/>
      <c r="Q2520" s="14"/>
    </row>
    <row r="2521" spans="1:17" x14ac:dyDescent="0.25">
      <c r="A2521" s="5"/>
      <c r="B2521" s="6"/>
      <c r="C2521" s="4"/>
      <c r="D2521" s="4"/>
      <c r="E2521" s="12"/>
      <c r="F2521" s="12"/>
      <c r="G2521" s="16"/>
      <c r="H2521" s="14"/>
      <c r="I2521" s="14"/>
      <c r="J2521" s="14"/>
      <c r="K2521" s="14"/>
      <c r="L2521" s="14"/>
      <c r="M2521" s="14"/>
      <c r="N2521" s="14"/>
      <c r="O2521" s="4"/>
      <c r="P2521" s="14"/>
      <c r="Q2521" s="14"/>
    </row>
    <row r="2522" spans="1:17" x14ac:dyDescent="0.25">
      <c r="A2522" s="5"/>
      <c r="B2522" s="6"/>
      <c r="C2522" s="4"/>
      <c r="D2522" s="4"/>
      <c r="E2522" s="12"/>
      <c r="F2522" s="12"/>
      <c r="G2522" s="16"/>
      <c r="H2522" s="14"/>
      <c r="I2522" s="14"/>
      <c r="J2522" s="14"/>
      <c r="K2522" s="14"/>
      <c r="L2522" s="14"/>
      <c r="M2522" s="14"/>
      <c r="N2522" s="14"/>
      <c r="O2522" s="4"/>
      <c r="P2522" s="14"/>
      <c r="Q2522" s="14"/>
    </row>
    <row r="2523" spans="1:17" x14ac:dyDescent="0.25">
      <c r="A2523" s="5"/>
      <c r="B2523" s="6"/>
      <c r="C2523" s="4"/>
      <c r="D2523" s="4"/>
      <c r="E2523" s="12"/>
      <c r="F2523" s="12"/>
      <c r="G2523" s="16"/>
      <c r="H2523" s="14"/>
      <c r="I2523" s="14"/>
      <c r="J2523" s="14"/>
      <c r="K2523" s="14"/>
      <c r="L2523" s="14"/>
      <c r="M2523" s="14"/>
      <c r="N2523" s="14"/>
      <c r="O2523" s="4"/>
      <c r="P2523" s="14"/>
      <c r="Q2523" s="14"/>
    </row>
    <row r="2524" spans="1:17" x14ac:dyDescent="0.25">
      <c r="A2524" s="5"/>
      <c r="B2524" s="6"/>
      <c r="C2524" s="4"/>
      <c r="D2524" s="4"/>
      <c r="E2524" s="12"/>
      <c r="F2524" s="12"/>
      <c r="G2524" s="16"/>
      <c r="H2524" s="14"/>
      <c r="I2524" s="14"/>
      <c r="J2524" s="14"/>
      <c r="K2524" s="14"/>
      <c r="L2524" s="14"/>
      <c r="M2524" s="14"/>
      <c r="N2524" s="14"/>
      <c r="O2524" s="4"/>
      <c r="P2524" s="14"/>
      <c r="Q2524" s="14"/>
    </row>
    <row r="2525" spans="1:17" x14ac:dyDescent="0.25">
      <c r="A2525" s="5"/>
      <c r="B2525" s="6"/>
      <c r="C2525" s="4"/>
      <c r="D2525" s="4"/>
      <c r="E2525" s="12"/>
      <c r="F2525" s="12"/>
      <c r="G2525" s="16"/>
      <c r="H2525" s="14"/>
      <c r="I2525" s="14"/>
      <c r="J2525" s="14"/>
      <c r="K2525" s="14"/>
      <c r="L2525" s="14"/>
      <c r="M2525" s="14"/>
      <c r="N2525" s="14"/>
      <c r="O2525" s="4"/>
      <c r="P2525" s="14"/>
      <c r="Q2525" s="14"/>
    </row>
    <row r="2526" spans="1:17" x14ac:dyDescent="0.25">
      <c r="A2526" s="5"/>
      <c r="B2526" s="6"/>
      <c r="C2526" s="4"/>
      <c r="D2526" s="4"/>
      <c r="E2526" s="12"/>
      <c r="F2526" s="12"/>
      <c r="G2526" s="16"/>
      <c r="H2526" s="14"/>
      <c r="I2526" s="14"/>
      <c r="J2526" s="14"/>
      <c r="K2526" s="14"/>
      <c r="L2526" s="14"/>
      <c r="M2526" s="14"/>
      <c r="N2526" s="14"/>
      <c r="O2526" s="4"/>
      <c r="P2526" s="14"/>
      <c r="Q2526" s="14"/>
    </row>
    <row r="2527" spans="1:17" x14ac:dyDescent="0.25">
      <c r="A2527" s="5"/>
      <c r="B2527" s="6"/>
      <c r="C2527" s="4"/>
      <c r="D2527" s="4"/>
      <c r="E2527" s="12"/>
      <c r="F2527" s="12"/>
      <c r="G2527" s="16"/>
      <c r="H2527" s="14"/>
      <c r="I2527" s="14"/>
      <c r="J2527" s="14"/>
      <c r="K2527" s="14"/>
      <c r="L2527" s="14"/>
      <c r="M2527" s="14"/>
      <c r="N2527" s="14"/>
      <c r="O2527" s="4"/>
      <c r="P2527" s="14"/>
      <c r="Q2527" s="14"/>
    </row>
    <row r="2528" spans="1:17" x14ac:dyDescent="0.25">
      <c r="A2528" s="5"/>
      <c r="B2528" s="6"/>
      <c r="C2528" s="4"/>
      <c r="D2528" s="4"/>
      <c r="E2528" s="12"/>
      <c r="F2528" s="12"/>
      <c r="G2528" s="16"/>
      <c r="H2528" s="14"/>
      <c r="I2528" s="14"/>
      <c r="J2528" s="14"/>
      <c r="K2528" s="14"/>
      <c r="L2528" s="14"/>
      <c r="M2528" s="14"/>
      <c r="N2528" s="14"/>
      <c r="O2528" s="4"/>
      <c r="P2528" s="14"/>
      <c r="Q2528" s="14"/>
    </row>
    <row r="2529" spans="1:17" x14ac:dyDescent="0.25">
      <c r="A2529" s="5"/>
      <c r="B2529" s="6"/>
      <c r="C2529" s="4"/>
      <c r="D2529" s="4"/>
      <c r="E2529" s="12"/>
      <c r="F2529" s="12"/>
      <c r="G2529" s="16"/>
      <c r="H2529" s="14"/>
      <c r="I2529" s="14"/>
      <c r="J2529" s="14"/>
      <c r="K2529" s="14"/>
      <c r="L2529" s="14"/>
      <c r="M2529" s="14"/>
      <c r="N2529" s="14"/>
      <c r="O2529" s="4"/>
      <c r="P2529" s="14"/>
      <c r="Q2529" s="14"/>
    </row>
    <row r="2530" spans="1:17" x14ac:dyDescent="0.25">
      <c r="A2530" s="5"/>
      <c r="B2530" s="6"/>
      <c r="C2530" s="4"/>
      <c r="D2530" s="4"/>
      <c r="E2530" s="12"/>
      <c r="F2530" s="12"/>
      <c r="G2530" s="16"/>
      <c r="H2530" s="14"/>
      <c r="I2530" s="14"/>
      <c r="J2530" s="14"/>
      <c r="K2530" s="14"/>
      <c r="L2530" s="14"/>
      <c r="M2530" s="14"/>
      <c r="N2530" s="14"/>
      <c r="O2530" s="4"/>
      <c r="P2530" s="14"/>
      <c r="Q2530" s="14"/>
    </row>
    <row r="2531" spans="1:17" x14ac:dyDescent="0.25">
      <c r="A2531" s="5"/>
      <c r="B2531" s="6"/>
      <c r="C2531" s="4"/>
      <c r="D2531" s="4"/>
      <c r="E2531" s="12"/>
      <c r="F2531" s="12"/>
      <c r="G2531" s="16"/>
      <c r="H2531" s="14"/>
      <c r="I2531" s="14"/>
      <c r="J2531" s="14"/>
      <c r="K2531" s="14"/>
      <c r="L2531" s="14"/>
      <c r="M2531" s="14"/>
      <c r="N2531" s="14"/>
      <c r="O2531" s="4"/>
      <c r="P2531" s="14"/>
      <c r="Q2531" s="14"/>
    </row>
    <row r="2532" spans="1:17" x14ac:dyDescent="0.25">
      <c r="A2532" s="5"/>
      <c r="B2532" s="6"/>
      <c r="C2532" s="4"/>
      <c r="D2532" s="4"/>
      <c r="E2532" s="12"/>
      <c r="F2532" s="12"/>
      <c r="G2532" s="16"/>
      <c r="H2532" s="14"/>
      <c r="I2532" s="14"/>
      <c r="J2532" s="14"/>
      <c r="K2532" s="14"/>
      <c r="L2532" s="14"/>
      <c r="M2532" s="14"/>
      <c r="N2532" s="14"/>
      <c r="O2532" s="4"/>
      <c r="P2532" s="14"/>
      <c r="Q2532" s="14"/>
    </row>
    <row r="2533" spans="1:17" x14ac:dyDescent="0.25">
      <c r="A2533" s="5"/>
      <c r="B2533" s="6"/>
      <c r="C2533" s="4"/>
      <c r="D2533" s="4"/>
      <c r="E2533" s="12"/>
      <c r="F2533" s="12"/>
      <c r="G2533" s="16"/>
      <c r="H2533" s="14"/>
      <c r="I2533" s="14"/>
      <c r="J2533" s="14"/>
      <c r="K2533" s="14"/>
      <c r="L2533" s="14"/>
      <c r="M2533" s="14"/>
      <c r="N2533" s="14"/>
      <c r="O2533" s="4"/>
      <c r="P2533" s="14"/>
      <c r="Q2533" s="14"/>
    </row>
    <row r="2534" spans="1:17" x14ac:dyDescent="0.25">
      <c r="A2534" s="5"/>
      <c r="B2534" s="6"/>
      <c r="C2534" s="4"/>
      <c r="D2534" s="4"/>
      <c r="E2534" s="12"/>
      <c r="F2534" s="12"/>
      <c r="G2534" s="16"/>
      <c r="H2534" s="14"/>
      <c r="I2534" s="14"/>
      <c r="J2534" s="14"/>
      <c r="K2534" s="14"/>
      <c r="L2534" s="14"/>
      <c r="M2534" s="14"/>
      <c r="N2534" s="14"/>
      <c r="O2534" s="4"/>
      <c r="P2534" s="14"/>
      <c r="Q2534" s="14"/>
    </row>
    <row r="2535" spans="1:17" x14ac:dyDescent="0.25">
      <c r="A2535" s="5"/>
      <c r="B2535" s="6"/>
      <c r="C2535" s="4"/>
      <c r="D2535" s="4"/>
      <c r="E2535" s="12"/>
      <c r="F2535" s="12"/>
      <c r="G2535" s="16"/>
      <c r="H2535" s="14"/>
      <c r="I2535" s="14"/>
      <c r="J2535" s="14"/>
      <c r="K2535" s="14"/>
      <c r="L2535" s="14"/>
      <c r="M2535" s="14"/>
      <c r="N2535" s="14"/>
      <c r="O2535" s="4"/>
      <c r="P2535" s="14"/>
      <c r="Q2535" s="14"/>
    </row>
    <row r="2536" spans="1:17" x14ac:dyDescent="0.25">
      <c r="A2536" s="5"/>
      <c r="B2536" s="6"/>
      <c r="C2536" s="4"/>
      <c r="D2536" s="4"/>
      <c r="E2536" s="12"/>
      <c r="F2536" s="12"/>
      <c r="G2536" s="16"/>
      <c r="H2536" s="14"/>
      <c r="I2536" s="14"/>
      <c r="J2536" s="14"/>
      <c r="K2536" s="14"/>
      <c r="L2536" s="14"/>
      <c r="M2536" s="14"/>
      <c r="N2536" s="14"/>
      <c r="O2536" s="4"/>
      <c r="P2536" s="14"/>
      <c r="Q2536" s="14"/>
    </row>
    <row r="2537" spans="1:17" x14ac:dyDescent="0.25">
      <c r="A2537" s="5"/>
      <c r="B2537" s="6"/>
      <c r="C2537" s="4"/>
      <c r="D2537" s="4"/>
      <c r="E2537" s="12"/>
      <c r="F2537" s="12"/>
      <c r="G2537" s="16"/>
      <c r="H2537" s="14"/>
      <c r="I2537" s="14"/>
      <c r="J2537" s="14"/>
      <c r="K2537" s="14"/>
      <c r="L2537" s="14"/>
      <c r="M2537" s="14"/>
      <c r="N2537" s="14"/>
      <c r="O2537" s="4"/>
      <c r="P2537" s="14"/>
      <c r="Q2537" s="14"/>
    </row>
    <row r="2538" spans="1:17" x14ac:dyDescent="0.25">
      <c r="A2538" s="5"/>
      <c r="B2538" s="6"/>
      <c r="C2538" s="4"/>
      <c r="D2538" s="4"/>
      <c r="E2538" s="12"/>
      <c r="F2538" s="12"/>
      <c r="G2538" s="16"/>
      <c r="H2538" s="14"/>
      <c r="I2538" s="14"/>
      <c r="J2538" s="14"/>
      <c r="K2538" s="14"/>
      <c r="L2538" s="14"/>
      <c r="M2538" s="14"/>
      <c r="N2538" s="14"/>
      <c r="O2538" s="4"/>
      <c r="P2538" s="14"/>
      <c r="Q2538" s="14"/>
    </row>
    <row r="2539" spans="1:17" x14ac:dyDescent="0.25">
      <c r="A2539" s="5"/>
      <c r="B2539" s="6"/>
      <c r="C2539" s="4"/>
      <c r="D2539" s="4"/>
      <c r="E2539" s="12"/>
      <c r="F2539" s="12"/>
      <c r="G2539" s="16"/>
      <c r="H2539" s="14"/>
      <c r="I2539" s="14"/>
      <c r="J2539" s="14"/>
      <c r="K2539" s="14"/>
      <c r="L2539" s="14"/>
      <c r="M2539" s="14"/>
      <c r="N2539" s="14"/>
      <c r="O2539" s="4"/>
      <c r="P2539" s="14"/>
      <c r="Q2539" s="14"/>
    </row>
    <row r="2540" spans="1:17" x14ac:dyDescent="0.25">
      <c r="A2540" s="5"/>
      <c r="B2540" s="6"/>
      <c r="C2540" s="4"/>
      <c r="D2540" s="4"/>
      <c r="E2540" s="12"/>
      <c r="F2540" s="12"/>
      <c r="G2540" s="16"/>
      <c r="H2540" s="14"/>
      <c r="I2540" s="14"/>
      <c r="J2540" s="14"/>
      <c r="K2540" s="14"/>
      <c r="L2540" s="14"/>
      <c r="M2540" s="14"/>
      <c r="N2540" s="14"/>
      <c r="O2540" s="4"/>
      <c r="P2540" s="14"/>
      <c r="Q2540" s="14"/>
    </row>
    <row r="2541" spans="1:17" x14ac:dyDescent="0.25">
      <c r="A2541" s="5"/>
      <c r="B2541" s="6"/>
      <c r="C2541" s="4"/>
      <c r="D2541" s="4"/>
      <c r="E2541" s="12"/>
      <c r="F2541" s="12"/>
      <c r="G2541" s="16"/>
      <c r="H2541" s="14"/>
      <c r="I2541" s="14"/>
      <c r="J2541" s="14"/>
      <c r="K2541" s="14"/>
      <c r="L2541" s="14"/>
      <c r="M2541" s="14"/>
      <c r="N2541" s="14"/>
      <c r="O2541" s="4"/>
      <c r="P2541" s="14"/>
      <c r="Q2541" s="14"/>
    </row>
    <row r="2542" spans="1:17" x14ac:dyDescent="0.25">
      <c r="A2542" s="5"/>
      <c r="B2542" s="6"/>
      <c r="C2542" s="4"/>
      <c r="D2542" s="4"/>
      <c r="E2542" s="12"/>
      <c r="F2542" s="12"/>
      <c r="G2542" s="16"/>
      <c r="H2542" s="14"/>
      <c r="I2542" s="14"/>
      <c r="J2542" s="14"/>
      <c r="K2542" s="14"/>
      <c r="L2542" s="14"/>
      <c r="M2542" s="14"/>
      <c r="N2542" s="14"/>
      <c r="O2542" s="4"/>
      <c r="P2542" s="14"/>
      <c r="Q2542" s="14"/>
    </row>
    <row r="2543" spans="1:17" x14ac:dyDescent="0.25">
      <c r="A2543" s="5"/>
      <c r="B2543" s="6"/>
      <c r="C2543" s="4"/>
      <c r="D2543" s="4"/>
      <c r="E2543" s="12"/>
      <c r="F2543" s="12"/>
      <c r="G2543" s="16"/>
      <c r="H2543" s="14"/>
      <c r="I2543" s="14"/>
      <c r="J2543" s="14"/>
      <c r="K2543" s="14"/>
      <c r="L2543" s="14"/>
      <c r="M2543" s="14"/>
      <c r="N2543" s="14"/>
      <c r="O2543" s="4"/>
      <c r="P2543" s="14"/>
      <c r="Q2543" s="14"/>
    </row>
    <row r="2544" spans="1:17" x14ac:dyDescent="0.25">
      <c r="A2544" s="5"/>
      <c r="B2544" s="6"/>
      <c r="C2544" s="4"/>
      <c r="D2544" s="4"/>
      <c r="E2544" s="12"/>
      <c r="F2544" s="12"/>
      <c r="G2544" s="16"/>
      <c r="H2544" s="14"/>
      <c r="I2544" s="14"/>
      <c r="J2544" s="14"/>
      <c r="K2544" s="14"/>
      <c r="L2544" s="14"/>
      <c r="M2544" s="14"/>
      <c r="N2544" s="14"/>
      <c r="O2544" s="4"/>
      <c r="P2544" s="14"/>
      <c r="Q2544" s="14"/>
    </row>
    <row r="2545" spans="1:17" x14ac:dyDescent="0.25">
      <c r="A2545" s="5"/>
      <c r="B2545" s="6"/>
      <c r="C2545" s="4"/>
      <c r="D2545" s="4"/>
      <c r="E2545" s="12"/>
      <c r="F2545" s="12"/>
      <c r="G2545" s="16"/>
      <c r="H2545" s="14"/>
      <c r="I2545" s="14"/>
      <c r="J2545" s="14"/>
      <c r="K2545" s="14"/>
      <c r="L2545" s="14"/>
      <c r="M2545" s="14"/>
      <c r="N2545" s="14"/>
      <c r="O2545" s="4"/>
      <c r="P2545" s="14"/>
      <c r="Q2545" s="14"/>
    </row>
    <row r="2546" spans="1:17" x14ac:dyDescent="0.25">
      <c r="A2546" s="5"/>
      <c r="B2546" s="6"/>
      <c r="C2546" s="4"/>
      <c r="D2546" s="4"/>
      <c r="E2546" s="12"/>
      <c r="F2546" s="12"/>
      <c r="G2546" s="16"/>
      <c r="H2546" s="14"/>
      <c r="I2546" s="14"/>
      <c r="J2546" s="14"/>
      <c r="K2546" s="14"/>
      <c r="L2546" s="14"/>
      <c r="M2546" s="14"/>
      <c r="N2546" s="14"/>
      <c r="O2546" s="4"/>
      <c r="P2546" s="14"/>
      <c r="Q2546" s="14"/>
    </row>
    <row r="2547" spans="1:17" x14ac:dyDescent="0.25">
      <c r="A2547" s="5"/>
      <c r="B2547" s="6"/>
      <c r="C2547" s="4"/>
      <c r="D2547" s="4"/>
      <c r="E2547" s="12"/>
      <c r="F2547" s="12"/>
      <c r="G2547" s="16"/>
      <c r="H2547" s="14"/>
      <c r="I2547" s="14"/>
      <c r="J2547" s="14"/>
      <c r="K2547" s="14"/>
      <c r="L2547" s="14"/>
      <c r="M2547" s="14"/>
      <c r="N2547" s="14"/>
      <c r="O2547" s="4"/>
      <c r="P2547" s="14"/>
      <c r="Q2547" s="14"/>
    </row>
    <row r="2548" spans="1:17" x14ac:dyDescent="0.25">
      <c r="A2548" s="5"/>
      <c r="B2548" s="6"/>
      <c r="C2548" s="4"/>
      <c r="D2548" s="4"/>
      <c r="E2548" s="12"/>
      <c r="F2548" s="12"/>
      <c r="G2548" s="16"/>
      <c r="H2548" s="14"/>
      <c r="I2548" s="14"/>
      <c r="J2548" s="14"/>
      <c r="K2548" s="14"/>
      <c r="L2548" s="14"/>
      <c r="M2548" s="14"/>
      <c r="N2548" s="14"/>
      <c r="O2548" s="4"/>
      <c r="P2548" s="14"/>
      <c r="Q2548" s="14"/>
    </row>
    <row r="2549" spans="1:17" x14ac:dyDescent="0.25">
      <c r="A2549" s="5"/>
      <c r="B2549" s="6"/>
      <c r="C2549" s="4"/>
      <c r="D2549" s="4"/>
      <c r="E2549" s="12"/>
      <c r="F2549" s="12"/>
      <c r="G2549" s="16"/>
      <c r="H2549" s="14"/>
      <c r="I2549" s="14"/>
      <c r="J2549" s="14"/>
      <c r="K2549" s="14"/>
      <c r="L2549" s="14"/>
      <c r="M2549" s="14"/>
      <c r="N2549" s="14"/>
      <c r="O2549" s="4"/>
      <c r="P2549" s="14"/>
      <c r="Q2549" s="14"/>
    </row>
    <row r="2550" spans="1:17" x14ac:dyDescent="0.25">
      <c r="A2550" s="5"/>
      <c r="B2550" s="6"/>
      <c r="C2550" s="4"/>
      <c r="D2550" s="4"/>
      <c r="E2550" s="12"/>
      <c r="F2550" s="12"/>
      <c r="G2550" s="16"/>
      <c r="H2550" s="14"/>
      <c r="I2550" s="14"/>
      <c r="J2550" s="14"/>
      <c r="K2550" s="14"/>
      <c r="L2550" s="14"/>
      <c r="M2550" s="14"/>
      <c r="N2550" s="14"/>
      <c r="O2550" s="4"/>
      <c r="P2550" s="14"/>
      <c r="Q2550" s="14"/>
    </row>
    <row r="2551" spans="1:17" x14ac:dyDescent="0.25">
      <c r="A2551" s="5"/>
      <c r="B2551" s="6"/>
      <c r="C2551" s="4"/>
      <c r="D2551" s="4"/>
      <c r="E2551" s="12"/>
      <c r="F2551" s="12"/>
      <c r="G2551" s="16"/>
      <c r="H2551" s="14"/>
      <c r="I2551" s="14"/>
      <c r="J2551" s="14"/>
      <c r="K2551" s="14"/>
      <c r="L2551" s="14"/>
      <c r="M2551" s="14"/>
      <c r="N2551" s="14"/>
      <c r="O2551" s="4"/>
      <c r="P2551" s="14"/>
      <c r="Q2551" s="14"/>
    </row>
    <row r="2552" spans="1:17" x14ac:dyDescent="0.25">
      <c r="A2552" s="5"/>
      <c r="B2552" s="6"/>
      <c r="C2552" s="4"/>
      <c r="D2552" s="4"/>
      <c r="E2552" s="12"/>
      <c r="F2552" s="12"/>
      <c r="G2552" s="16"/>
      <c r="H2552" s="14"/>
      <c r="I2552" s="14"/>
      <c r="J2552" s="14"/>
      <c r="K2552" s="14"/>
      <c r="L2552" s="14"/>
      <c r="M2552" s="14"/>
      <c r="N2552" s="14"/>
      <c r="O2552" s="4"/>
      <c r="P2552" s="14"/>
      <c r="Q2552" s="14"/>
    </row>
    <row r="2553" spans="1:17" x14ac:dyDescent="0.25">
      <c r="A2553" s="5"/>
      <c r="B2553" s="6"/>
      <c r="C2553" s="4"/>
      <c r="D2553" s="4"/>
      <c r="E2553" s="12"/>
      <c r="F2553" s="12"/>
      <c r="G2553" s="16"/>
      <c r="H2553" s="14"/>
      <c r="I2553" s="14"/>
      <c r="J2553" s="14"/>
      <c r="K2553" s="14"/>
      <c r="L2553" s="14"/>
      <c r="M2553" s="14"/>
      <c r="N2553" s="14"/>
      <c r="O2553" s="4"/>
      <c r="P2553" s="14"/>
      <c r="Q2553" s="14"/>
    </row>
    <row r="2554" spans="1:17" x14ac:dyDescent="0.25">
      <c r="A2554" s="5"/>
      <c r="B2554" s="6"/>
      <c r="C2554" s="4"/>
      <c r="D2554" s="4"/>
      <c r="E2554" s="12"/>
      <c r="F2554" s="12"/>
      <c r="G2554" s="16"/>
      <c r="H2554" s="14"/>
      <c r="I2554" s="14"/>
      <c r="J2554" s="14"/>
      <c r="K2554" s="14"/>
      <c r="L2554" s="14"/>
      <c r="M2554" s="14"/>
      <c r="N2554" s="14"/>
      <c r="O2554" s="4"/>
      <c r="P2554" s="14"/>
      <c r="Q2554" s="14"/>
    </row>
    <row r="2555" spans="1:17" x14ac:dyDescent="0.25">
      <c r="A2555" s="5"/>
      <c r="B2555" s="6"/>
      <c r="C2555" s="4"/>
      <c r="D2555" s="4"/>
      <c r="E2555" s="12"/>
      <c r="F2555" s="12"/>
      <c r="G2555" s="16"/>
      <c r="H2555" s="14"/>
      <c r="I2555" s="14"/>
      <c r="J2555" s="14"/>
      <c r="K2555" s="14"/>
      <c r="L2555" s="14"/>
      <c r="M2555" s="14"/>
      <c r="N2555" s="14"/>
      <c r="O2555" s="4"/>
      <c r="P2555" s="14"/>
      <c r="Q2555" s="14"/>
    </row>
    <row r="2556" spans="1:17" x14ac:dyDescent="0.25">
      <c r="A2556" s="5"/>
      <c r="B2556" s="6"/>
      <c r="C2556" s="4"/>
      <c r="D2556" s="4"/>
      <c r="E2556" s="12"/>
      <c r="F2556" s="12"/>
      <c r="G2556" s="16"/>
      <c r="H2556" s="14"/>
      <c r="I2556" s="14"/>
      <c r="J2556" s="14"/>
      <c r="K2556" s="14"/>
      <c r="L2556" s="14"/>
      <c r="M2556" s="14"/>
      <c r="N2556" s="14"/>
      <c r="O2556" s="4"/>
      <c r="P2556" s="14"/>
      <c r="Q2556" s="14"/>
    </row>
    <row r="2557" spans="1:17" x14ac:dyDescent="0.25">
      <c r="A2557" s="5"/>
      <c r="B2557" s="6"/>
      <c r="C2557" s="4"/>
      <c r="D2557" s="4"/>
      <c r="E2557" s="12"/>
      <c r="F2557" s="12"/>
      <c r="G2557" s="16"/>
      <c r="H2557" s="14"/>
      <c r="I2557" s="14"/>
      <c r="J2557" s="14"/>
      <c r="K2557" s="14"/>
      <c r="L2557" s="14"/>
      <c r="M2557" s="14"/>
      <c r="N2557" s="14"/>
      <c r="O2557" s="4"/>
      <c r="P2557" s="14"/>
      <c r="Q2557" s="14"/>
    </row>
    <row r="2558" spans="1:17" x14ac:dyDescent="0.25">
      <c r="A2558" s="5"/>
      <c r="B2558" s="6"/>
      <c r="C2558" s="4"/>
      <c r="D2558" s="4"/>
      <c r="E2558" s="12"/>
      <c r="F2558" s="12"/>
      <c r="G2558" s="16"/>
      <c r="H2558" s="14"/>
      <c r="I2558" s="14"/>
      <c r="J2558" s="14"/>
      <c r="K2558" s="14"/>
      <c r="L2558" s="14"/>
      <c r="M2558" s="14"/>
      <c r="N2558" s="14"/>
      <c r="O2558" s="4"/>
      <c r="P2558" s="14"/>
      <c r="Q2558" s="14"/>
    </row>
    <row r="2559" spans="1:17" x14ac:dyDescent="0.25">
      <c r="A2559" s="5"/>
      <c r="B2559" s="6"/>
      <c r="C2559" s="4"/>
      <c r="D2559" s="4"/>
      <c r="E2559" s="12"/>
      <c r="F2559" s="12"/>
      <c r="G2559" s="16"/>
      <c r="H2559" s="14"/>
      <c r="I2559" s="14"/>
      <c r="J2559" s="14"/>
      <c r="K2559" s="14"/>
      <c r="L2559" s="14"/>
      <c r="M2559" s="14"/>
      <c r="N2559" s="14"/>
      <c r="O2559" s="4"/>
      <c r="P2559" s="14"/>
      <c r="Q2559" s="14"/>
    </row>
    <row r="2560" spans="1:17" x14ac:dyDescent="0.25">
      <c r="A2560" s="5"/>
      <c r="B2560" s="6"/>
      <c r="C2560" s="4"/>
      <c r="D2560" s="4"/>
      <c r="E2560" s="12"/>
      <c r="F2560" s="12"/>
      <c r="G2560" s="16"/>
      <c r="H2560" s="14"/>
      <c r="I2560" s="14"/>
      <c r="J2560" s="14"/>
      <c r="K2560" s="14"/>
      <c r="L2560" s="14"/>
      <c r="M2560" s="14"/>
      <c r="N2560" s="14"/>
      <c r="O2560" s="4"/>
      <c r="P2560" s="14"/>
      <c r="Q2560" s="14"/>
    </row>
    <row r="2561" spans="1:17" x14ac:dyDescent="0.25">
      <c r="A2561" s="5"/>
      <c r="B2561" s="6"/>
      <c r="C2561" s="4"/>
      <c r="D2561" s="4"/>
      <c r="E2561" s="12"/>
      <c r="F2561" s="12"/>
      <c r="G2561" s="16"/>
      <c r="H2561" s="14"/>
      <c r="I2561" s="14"/>
      <c r="J2561" s="14"/>
      <c r="K2561" s="14"/>
      <c r="L2561" s="14"/>
      <c r="M2561" s="14"/>
      <c r="N2561" s="14"/>
      <c r="O2561" s="4"/>
      <c r="P2561" s="14"/>
      <c r="Q2561" s="14"/>
    </row>
    <row r="2562" spans="1:17" x14ac:dyDescent="0.25">
      <c r="A2562" s="5"/>
      <c r="B2562" s="6"/>
      <c r="C2562" s="4"/>
      <c r="D2562" s="4"/>
      <c r="E2562" s="12"/>
      <c r="F2562" s="12"/>
      <c r="G2562" s="16"/>
      <c r="H2562" s="14"/>
      <c r="I2562" s="14"/>
      <c r="J2562" s="14"/>
      <c r="K2562" s="14"/>
      <c r="L2562" s="14"/>
      <c r="M2562" s="14"/>
      <c r="N2562" s="14"/>
      <c r="O2562" s="4"/>
      <c r="P2562" s="14"/>
      <c r="Q2562" s="14"/>
    </row>
    <row r="2563" spans="1:17" x14ac:dyDescent="0.25">
      <c r="A2563" s="5"/>
      <c r="B2563" s="6"/>
      <c r="C2563" s="4"/>
      <c r="D2563" s="4"/>
      <c r="E2563" s="12"/>
      <c r="F2563" s="12"/>
      <c r="G2563" s="16"/>
      <c r="H2563" s="14"/>
      <c r="I2563" s="14"/>
      <c r="J2563" s="14"/>
      <c r="K2563" s="14"/>
      <c r="L2563" s="14"/>
      <c r="M2563" s="14"/>
      <c r="N2563" s="14"/>
      <c r="O2563" s="4"/>
      <c r="P2563" s="14"/>
      <c r="Q2563" s="14"/>
    </row>
    <row r="2564" spans="1:17" x14ac:dyDescent="0.25">
      <c r="A2564" s="5"/>
      <c r="B2564" s="6"/>
      <c r="C2564" s="4"/>
      <c r="D2564" s="4"/>
      <c r="E2564" s="12"/>
      <c r="F2564" s="12"/>
      <c r="G2564" s="16"/>
      <c r="H2564" s="14"/>
      <c r="I2564" s="14"/>
      <c r="J2564" s="14"/>
      <c r="K2564" s="14"/>
      <c r="L2564" s="14"/>
      <c r="M2564" s="14"/>
      <c r="N2564" s="14"/>
      <c r="O2564" s="4"/>
      <c r="P2564" s="14"/>
      <c r="Q2564" s="14"/>
    </row>
    <row r="2565" spans="1:17" x14ac:dyDescent="0.25">
      <c r="A2565" s="5"/>
      <c r="B2565" s="6"/>
      <c r="C2565" s="4"/>
      <c r="D2565" s="4"/>
      <c r="E2565" s="12"/>
      <c r="F2565" s="12"/>
      <c r="G2565" s="16"/>
      <c r="H2565" s="14"/>
      <c r="I2565" s="14"/>
      <c r="J2565" s="14"/>
      <c r="K2565" s="14"/>
      <c r="L2565" s="14"/>
      <c r="M2565" s="14"/>
      <c r="N2565" s="14"/>
      <c r="O2565" s="4"/>
      <c r="P2565" s="14"/>
      <c r="Q2565" s="14"/>
    </row>
    <row r="2566" spans="1:17" x14ac:dyDescent="0.25">
      <c r="A2566" s="5"/>
      <c r="B2566" s="6"/>
      <c r="C2566" s="4"/>
      <c r="D2566" s="4"/>
      <c r="E2566" s="12"/>
      <c r="F2566" s="12"/>
      <c r="G2566" s="16"/>
      <c r="H2566" s="14"/>
      <c r="I2566" s="14"/>
      <c r="J2566" s="14"/>
      <c r="K2566" s="14"/>
      <c r="L2566" s="14"/>
      <c r="M2566" s="14"/>
      <c r="N2566" s="14"/>
      <c r="O2566" s="4"/>
      <c r="P2566" s="14"/>
      <c r="Q2566" s="14"/>
    </row>
    <row r="2567" spans="1:17" x14ac:dyDescent="0.25">
      <c r="A2567" s="5"/>
      <c r="B2567" s="6"/>
      <c r="C2567" s="4"/>
      <c r="D2567" s="4"/>
      <c r="E2567" s="12"/>
      <c r="F2567" s="12"/>
      <c r="G2567" s="16"/>
      <c r="H2567" s="14"/>
      <c r="I2567" s="14"/>
      <c r="J2567" s="14"/>
      <c r="K2567" s="14"/>
      <c r="L2567" s="14"/>
      <c r="M2567" s="14"/>
      <c r="N2567" s="14"/>
      <c r="O2567" s="4"/>
      <c r="P2567" s="14"/>
      <c r="Q2567" s="14"/>
    </row>
    <row r="2568" spans="1:17" x14ac:dyDescent="0.25">
      <c r="A2568" s="5"/>
      <c r="B2568" s="6"/>
      <c r="C2568" s="4"/>
      <c r="D2568" s="4"/>
      <c r="E2568" s="12"/>
      <c r="F2568" s="12"/>
      <c r="G2568" s="16"/>
      <c r="H2568" s="14"/>
      <c r="I2568" s="14"/>
      <c r="J2568" s="14"/>
      <c r="K2568" s="14"/>
      <c r="L2568" s="14"/>
      <c r="M2568" s="14"/>
      <c r="N2568" s="14"/>
      <c r="O2568" s="4"/>
      <c r="P2568" s="14"/>
      <c r="Q2568" s="14"/>
    </row>
    <row r="2569" spans="1:17" x14ac:dyDescent="0.25">
      <c r="A2569" s="5"/>
      <c r="B2569" s="6"/>
      <c r="C2569" s="4"/>
      <c r="D2569" s="4"/>
      <c r="E2569" s="12"/>
      <c r="F2569" s="12"/>
      <c r="G2569" s="16"/>
      <c r="H2569" s="14"/>
      <c r="I2569" s="14"/>
      <c r="J2569" s="14"/>
      <c r="K2569" s="14"/>
      <c r="L2569" s="14"/>
      <c r="M2569" s="14"/>
      <c r="N2569" s="14"/>
      <c r="O2569" s="4"/>
      <c r="P2569" s="14"/>
      <c r="Q2569" s="14"/>
    </row>
    <row r="2570" spans="1:17" x14ac:dyDescent="0.25">
      <c r="A2570" s="5"/>
      <c r="B2570" s="6"/>
      <c r="C2570" s="4"/>
      <c r="D2570" s="4"/>
      <c r="E2570" s="12"/>
      <c r="F2570" s="12"/>
      <c r="G2570" s="16"/>
      <c r="H2570" s="14"/>
      <c r="I2570" s="14"/>
      <c r="J2570" s="14"/>
      <c r="K2570" s="14"/>
      <c r="L2570" s="14"/>
      <c r="M2570" s="14"/>
      <c r="N2570" s="14"/>
      <c r="O2570" s="4"/>
      <c r="P2570" s="14"/>
      <c r="Q2570" s="14"/>
    </row>
    <row r="2571" spans="1:17" x14ac:dyDescent="0.25">
      <c r="A2571" s="5"/>
      <c r="B2571" s="6"/>
      <c r="C2571" s="4"/>
      <c r="D2571" s="4"/>
      <c r="E2571" s="12"/>
      <c r="F2571" s="12"/>
      <c r="G2571" s="16"/>
      <c r="H2571" s="14"/>
      <c r="I2571" s="14"/>
      <c r="J2571" s="14"/>
      <c r="K2571" s="14"/>
      <c r="L2571" s="14"/>
      <c r="M2571" s="14"/>
      <c r="N2571" s="14"/>
      <c r="O2571" s="4"/>
      <c r="P2571" s="14"/>
      <c r="Q2571" s="14"/>
    </row>
    <row r="2572" spans="1:17" x14ac:dyDescent="0.25">
      <c r="A2572" s="5"/>
      <c r="B2572" s="6"/>
      <c r="C2572" s="4"/>
      <c r="D2572" s="4"/>
      <c r="E2572" s="12"/>
      <c r="F2572" s="12"/>
      <c r="G2572" s="16"/>
      <c r="H2572" s="14"/>
      <c r="I2572" s="14"/>
      <c r="J2572" s="14"/>
      <c r="K2572" s="14"/>
      <c r="L2572" s="14"/>
      <c r="M2572" s="14"/>
      <c r="N2572" s="14"/>
      <c r="O2572" s="4"/>
      <c r="P2572" s="14"/>
      <c r="Q2572" s="14"/>
    </row>
    <row r="2573" spans="1:17" x14ac:dyDescent="0.25">
      <c r="A2573" s="5"/>
      <c r="B2573" s="6"/>
      <c r="C2573" s="4"/>
      <c r="D2573" s="4"/>
      <c r="E2573" s="12"/>
      <c r="F2573" s="12"/>
      <c r="G2573" s="16"/>
      <c r="H2573" s="14"/>
      <c r="I2573" s="14"/>
      <c r="J2573" s="14"/>
      <c r="K2573" s="14"/>
      <c r="L2573" s="14"/>
      <c r="M2573" s="14"/>
      <c r="N2573" s="14"/>
      <c r="O2573" s="4"/>
      <c r="P2573" s="14"/>
      <c r="Q2573" s="14"/>
    </row>
    <row r="2574" spans="1:17" x14ac:dyDescent="0.25">
      <c r="A2574" s="5"/>
      <c r="B2574" s="6"/>
      <c r="C2574" s="4"/>
      <c r="D2574" s="4"/>
      <c r="E2574" s="12"/>
      <c r="F2574" s="12"/>
      <c r="G2574" s="16"/>
      <c r="H2574" s="14"/>
      <c r="I2574" s="14"/>
      <c r="J2574" s="14"/>
      <c r="K2574" s="14"/>
      <c r="L2574" s="14"/>
      <c r="M2574" s="14"/>
      <c r="N2574" s="14"/>
      <c r="O2574" s="4"/>
      <c r="P2574" s="14"/>
      <c r="Q2574" s="14"/>
    </row>
    <row r="2575" spans="1:17" x14ac:dyDescent="0.25">
      <c r="A2575" s="5"/>
      <c r="B2575" s="6"/>
      <c r="C2575" s="4"/>
      <c r="D2575" s="4"/>
      <c r="E2575" s="12"/>
      <c r="F2575" s="12"/>
      <c r="G2575" s="16"/>
      <c r="H2575" s="14"/>
      <c r="I2575" s="14"/>
      <c r="J2575" s="14"/>
      <c r="K2575" s="14"/>
      <c r="L2575" s="14"/>
      <c r="M2575" s="14"/>
      <c r="N2575" s="14"/>
      <c r="O2575" s="4"/>
      <c r="P2575" s="14"/>
      <c r="Q2575" s="14"/>
    </row>
    <row r="2576" spans="1:17" x14ac:dyDescent="0.25">
      <c r="A2576" s="5"/>
      <c r="B2576" s="6"/>
      <c r="C2576" s="4"/>
      <c r="D2576" s="4"/>
      <c r="E2576" s="12"/>
      <c r="F2576" s="12"/>
      <c r="G2576" s="16"/>
      <c r="H2576" s="14"/>
      <c r="I2576" s="14"/>
      <c r="J2576" s="14"/>
      <c r="K2576" s="14"/>
      <c r="L2576" s="14"/>
      <c r="M2576" s="14"/>
      <c r="N2576" s="14"/>
      <c r="O2576" s="4"/>
      <c r="P2576" s="14"/>
      <c r="Q2576" s="14"/>
    </row>
    <row r="2577" spans="1:17" x14ac:dyDescent="0.25">
      <c r="A2577" s="5"/>
      <c r="B2577" s="6"/>
      <c r="C2577" s="4"/>
      <c r="D2577" s="4"/>
      <c r="E2577" s="12"/>
      <c r="F2577" s="12"/>
      <c r="G2577" s="16"/>
      <c r="H2577" s="14"/>
      <c r="I2577" s="14"/>
      <c r="J2577" s="14"/>
      <c r="K2577" s="14"/>
      <c r="L2577" s="14"/>
      <c r="M2577" s="14"/>
      <c r="N2577" s="14"/>
      <c r="O2577" s="4"/>
      <c r="P2577" s="14"/>
      <c r="Q2577" s="14"/>
    </row>
    <row r="2578" spans="1:17" x14ac:dyDescent="0.25">
      <c r="A2578" s="5"/>
      <c r="B2578" s="6"/>
      <c r="C2578" s="4"/>
      <c r="D2578" s="4"/>
      <c r="E2578" s="12"/>
      <c r="F2578" s="12"/>
      <c r="G2578" s="16"/>
      <c r="H2578" s="14"/>
      <c r="I2578" s="14"/>
      <c r="J2578" s="14"/>
      <c r="K2578" s="14"/>
      <c r="L2578" s="14"/>
      <c r="M2578" s="14"/>
      <c r="N2578" s="14"/>
      <c r="O2578" s="4"/>
      <c r="P2578" s="14"/>
      <c r="Q2578" s="14"/>
    </row>
    <row r="2579" spans="1:17" x14ac:dyDescent="0.25">
      <c r="A2579" s="5"/>
      <c r="B2579" s="6"/>
      <c r="C2579" s="4"/>
      <c r="D2579" s="4"/>
      <c r="E2579" s="12"/>
      <c r="F2579" s="12"/>
      <c r="G2579" s="16"/>
      <c r="H2579" s="14"/>
      <c r="I2579" s="14"/>
      <c r="J2579" s="14"/>
      <c r="K2579" s="14"/>
      <c r="L2579" s="14"/>
      <c r="M2579" s="14"/>
      <c r="N2579" s="14"/>
      <c r="O2579" s="4"/>
      <c r="P2579" s="14"/>
      <c r="Q2579" s="14"/>
    </row>
    <row r="2580" spans="1:17" x14ac:dyDescent="0.25">
      <c r="A2580" s="5"/>
      <c r="B2580" s="6"/>
      <c r="C2580" s="4"/>
      <c r="D2580" s="4"/>
      <c r="E2580" s="12"/>
      <c r="F2580" s="12"/>
      <c r="G2580" s="16"/>
      <c r="H2580" s="14"/>
      <c r="I2580" s="14"/>
      <c r="J2580" s="14"/>
      <c r="K2580" s="14"/>
      <c r="L2580" s="14"/>
      <c r="M2580" s="14"/>
      <c r="N2580" s="14"/>
      <c r="O2580" s="4"/>
      <c r="P2580" s="14"/>
      <c r="Q2580" s="14"/>
    </row>
    <row r="2581" spans="1:17" x14ac:dyDescent="0.25">
      <c r="A2581" s="5"/>
      <c r="B2581" s="6"/>
      <c r="C2581" s="4"/>
      <c r="D2581" s="4"/>
      <c r="E2581" s="12"/>
      <c r="F2581" s="12"/>
      <c r="G2581" s="16"/>
      <c r="H2581" s="14"/>
      <c r="I2581" s="14"/>
      <c r="J2581" s="14"/>
      <c r="K2581" s="14"/>
      <c r="L2581" s="14"/>
      <c r="M2581" s="14"/>
      <c r="N2581" s="14"/>
      <c r="O2581" s="4"/>
      <c r="P2581" s="14"/>
      <c r="Q2581" s="14"/>
    </row>
    <row r="2582" spans="1:17" x14ac:dyDescent="0.25">
      <c r="A2582" s="5"/>
      <c r="B2582" s="6"/>
      <c r="C2582" s="4"/>
      <c r="D2582" s="4"/>
      <c r="E2582" s="12"/>
      <c r="F2582" s="12"/>
      <c r="G2582" s="16"/>
      <c r="H2582" s="14"/>
      <c r="I2582" s="14"/>
      <c r="J2582" s="14"/>
      <c r="K2582" s="14"/>
      <c r="L2582" s="14"/>
      <c r="M2582" s="14"/>
      <c r="N2582" s="14"/>
      <c r="O2582" s="4"/>
      <c r="P2582" s="14"/>
      <c r="Q2582" s="14"/>
    </row>
    <row r="2583" spans="1:17" x14ac:dyDescent="0.25">
      <c r="A2583" s="5"/>
      <c r="B2583" s="6"/>
      <c r="C2583" s="4"/>
      <c r="D2583" s="4"/>
      <c r="E2583" s="12"/>
      <c r="F2583" s="12"/>
      <c r="G2583" s="16"/>
      <c r="H2583" s="14"/>
      <c r="I2583" s="14"/>
      <c r="J2583" s="14"/>
      <c r="K2583" s="14"/>
      <c r="L2583" s="14"/>
      <c r="M2583" s="14"/>
      <c r="N2583" s="14"/>
      <c r="O2583" s="4"/>
      <c r="P2583" s="14"/>
      <c r="Q2583" s="14"/>
    </row>
    <row r="2584" spans="1:17" x14ac:dyDescent="0.25">
      <c r="A2584" s="5"/>
      <c r="B2584" s="6"/>
      <c r="C2584" s="4"/>
      <c r="D2584" s="4"/>
      <c r="E2584" s="12"/>
      <c r="F2584" s="12"/>
      <c r="G2584" s="16"/>
      <c r="H2584" s="14"/>
      <c r="I2584" s="14"/>
      <c r="J2584" s="14"/>
      <c r="K2584" s="14"/>
      <c r="L2584" s="14"/>
      <c r="M2584" s="14"/>
      <c r="N2584" s="14"/>
      <c r="O2584" s="4"/>
      <c r="P2584" s="14"/>
      <c r="Q2584" s="14"/>
    </row>
    <row r="2585" spans="1:17" x14ac:dyDescent="0.25">
      <c r="A2585" s="5"/>
      <c r="B2585" s="6"/>
      <c r="C2585" s="4"/>
      <c r="D2585" s="4"/>
      <c r="E2585" s="12"/>
      <c r="F2585" s="12"/>
      <c r="G2585" s="16"/>
      <c r="H2585" s="14"/>
      <c r="I2585" s="14"/>
      <c r="J2585" s="14"/>
      <c r="K2585" s="14"/>
      <c r="L2585" s="14"/>
      <c r="M2585" s="14"/>
      <c r="N2585" s="14"/>
      <c r="O2585" s="4"/>
      <c r="P2585" s="14"/>
      <c r="Q2585" s="14"/>
    </row>
    <row r="2586" spans="1:17" x14ac:dyDescent="0.25">
      <c r="A2586" s="5"/>
      <c r="B2586" s="6"/>
      <c r="C2586" s="4"/>
      <c r="D2586" s="4"/>
      <c r="E2586" s="12"/>
      <c r="F2586" s="12"/>
      <c r="G2586" s="16"/>
      <c r="H2586" s="14"/>
      <c r="I2586" s="14"/>
      <c r="J2586" s="14"/>
      <c r="K2586" s="14"/>
      <c r="L2586" s="14"/>
      <c r="M2586" s="14"/>
      <c r="N2586" s="14"/>
      <c r="O2586" s="4"/>
      <c r="P2586" s="14"/>
      <c r="Q2586" s="14"/>
    </row>
    <row r="2587" spans="1:17" x14ac:dyDescent="0.25">
      <c r="A2587" s="5"/>
      <c r="B2587" s="6"/>
      <c r="C2587" s="4"/>
      <c r="D2587" s="4"/>
      <c r="E2587" s="12"/>
      <c r="F2587" s="12"/>
      <c r="G2587" s="16"/>
      <c r="H2587" s="14"/>
      <c r="I2587" s="14"/>
      <c r="J2587" s="14"/>
      <c r="K2587" s="14"/>
      <c r="L2587" s="14"/>
      <c r="M2587" s="14"/>
      <c r="N2587" s="14"/>
      <c r="O2587" s="4"/>
      <c r="P2587" s="14"/>
      <c r="Q2587" s="14"/>
    </row>
    <row r="2588" spans="1:17" x14ac:dyDescent="0.25">
      <c r="A2588" s="5"/>
      <c r="B2588" s="6"/>
      <c r="C2588" s="4"/>
      <c r="D2588" s="4"/>
      <c r="E2588" s="12"/>
      <c r="F2588" s="12"/>
      <c r="G2588" s="16"/>
      <c r="H2588" s="14"/>
      <c r="I2588" s="14"/>
      <c r="J2588" s="14"/>
      <c r="K2588" s="14"/>
      <c r="L2588" s="14"/>
      <c r="M2588" s="14"/>
      <c r="N2588" s="14"/>
      <c r="O2588" s="4"/>
      <c r="P2588" s="14"/>
      <c r="Q2588" s="14"/>
    </row>
    <row r="2589" spans="1:17" x14ac:dyDescent="0.25">
      <c r="A2589" s="5"/>
      <c r="B2589" s="6"/>
      <c r="C2589" s="4"/>
      <c r="D2589" s="4"/>
      <c r="E2589" s="12"/>
      <c r="F2589" s="12"/>
      <c r="G2589" s="16"/>
      <c r="H2589" s="14"/>
      <c r="I2589" s="14"/>
      <c r="J2589" s="14"/>
      <c r="K2589" s="14"/>
      <c r="L2589" s="14"/>
      <c r="M2589" s="14"/>
      <c r="N2589" s="14"/>
      <c r="O2589" s="4"/>
      <c r="P2589" s="14"/>
      <c r="Q2589" s="14"/>
    </row>
    <row r="2590" spans="1:17" x14ac:dyDescent="0.25">
      <c r="A2590" s="5"/>
      <c r="B2590" s="6"/>
      <c r="C2590" s="4"/>
      <c r="D2590" s="4"/>
      <c r="E2590" s="12"/>
      <c r="F2590" s="12"/>
      <c r="G2590" s="16"/>
      <c r="H2590" s="14"/>
      <c r="I2590" s="14"/>
      <c r="J2590" s="14"/>
      <c r="K2590" s="14"/>
      <c r="L2590" s="14"/>
      <c r="M2590" s="14"/>
      <c r="N2590" s="14"/>
      <c r="O2590" s="4"/>
      <c r="P2590" s="14"/>
      <c r="Q2590" s="14"/>
    </row>
    <row r="2591" spans="1:17" x14ac:dyDescent="0.25">
      <c r="A2591" s="5"/>
      <c r="B2591" s="6"/>
      <c r="C2591" s="4"/>
      <c r="D2591" s="4"/>
      <c r="E2591" s="12"/>
      <c r="F2591" s="12"/>
      <c r="G2591" s="16"/>
      <c r="H2591" s="14"/>
      <c r="I2591" s="14"/>
      <c r="J2591" s="14"/>
      <c r="K2591" s="14"/>
      <c r="L2591" s="14"/>
      <c r="M2591" s="14"/>
      <c r="N2591" s="14"/>
      <c r="O2591" s="4"/>
      <c r="P2591" s="14"/>
      <c r="Q2591" s="14"/>
    </row>
    <row r="2592" spans="1:17" x14ac:dyDescent="0.25">
      <c r="A2592" s="5"/>
      <c r="B2592" s="6"/>
      <c r="C2592" s="4"/>
      <c r="D2592" s="4"/>
      <c r="E2592" s="12"/>
      <c r="F2592" s="12"/>
      <c r="G2592" s="16"/>
      <c r="H2592" s="14"/>
      <c r="I2592" s="14"/>
      <c r="J2592" s="14"/>
      <c r="K2592" s="14"/>
      <c r="L2592" s="14"/>
      <c r="M2592" s="14"/>
      <c r="N2592" s="14"/>
      <c r="O2592" s="4"/>
      <c r="P2592" s="14"/>
      <c r="Q2592" s="14"/>
    </row>
    <row r="2593" spans="1:17" x14ac:dyDescent="0.25">
      <c r="A2593" s="5"/>
      <c r="B2593" s="6"/>
      <c r="C2593" s="4"/>
      <c r="D2593" s="4"/>
      <c r="E2593" s="12"/>
      <c r="F2593" s="12"/>
      <c r="G2593" s="16"/>
      <c r="H2593" s="14"/>
      <c r="I2593" s="14"/>
      <c r="J2593" s="14"/>
      <c r="K2593" s="14"/>
      <c r="L2593" s="14"/>
      <c r="M2593" s="14"/>
      <c r="N2593" s="14"/>
      <c r="O2593" s="4"/>
      <c r="P2593" s="14"/>
      <c r="Q2593" s="14"/>
    </row>
    <row r="2594" spans="1:17" x14ac:dyDescent="0.25">
      <c r="A2594" s="5"/>
      <c r="B2594" s="6"/>
      <c r="C2594" s="4"/>
      <c r="D2594" s="4"/>
      <c r="E2594" s="12"/>
      <c r="F2594" s="12"/>
      <c r="G2594" s="16"/>
      <c r="H2594" s="14"/>
      <c r="I2594" s="14"/>
      <c r="J2594" s="14"/>
      <c r="K2594" s="14"/>
      <c r="L2594" s="14"/>
      <c r="M2594" s="14"/>
      <c r="N2594" s="14"/>
      <c r="O2594" s="4"/>
      <c r="P2594" s="14"/>
      <c r="Q2594" s="14"/>
    </row>
    <row r="2595" spans="1:17" x14ac:dyDescent="0.25">
      <c r="A2595" s="5"/>
      <c r="B2595" s="6"/>
      <c r="C2595" s="4"/>
      <c r="D2595" s="4"/>
      <c r="E2595" s="12"/>
      <c r="F2595" s="12"/>
      <c r="G2595" s="16"/>
      <c r="H2595" s="14"/>
      <c r="I2595" s="14"/>
      <c r="J2595" s="14"/>
      <c r="K2595" s="14"/>
      <c r="L2595" s="14"/>
      <c r="M2595" s="14"/>
      <c r="N2595" s="14"/>
      <c r="O2595" s="4"/>
      <c r="P2595" s="14"/>
      <c r="Q2595" s="14"/>
    </row>
    <row r="2596" spans="1:17" x14ac:dyDescent="0.25">
      <c r="A2596" s="5"/>
      <c r="B2596" s="6"/>
      <c r="C2596" s="4"/>
      <c r="D2596" s="4"/>
      <c r="E2596" s="12"/>
      <c r="F2596" s="12"/>
      <c r="G2596" s="16"/>
      <c r="H2596" s="14"/>
      <c r="I2596" s="14"/>
      <c r="J2596" s="14"/>
      <c r="K2596" s="14"/>
      <c r="L2596" s="14"/>
      <c r="M2596" s="14"/>
      <c r="N2596" s="14"/>
      <c r="O2596" s="4"/>
      <c r="P2596" s="14"/>
      <c r="Q2596" s="14"/>
    </row>
    <row r="2597" spans="1:17" x14ac:dyDescent="0.25">
      <c r="A2597" s="5"/>
      <c r="B2597" s="6"/>
      <c r="C2597" s="4"/>
      <c r="D2597" s="4"/>
      <c r="E2597" s="12"/>
      <c r="F2597" s="12"/>
      <c r="G2597" s="16"/>
      <c r="H2597" s="14"/>
      <c r="I2597" s="14"/>
      <c r="J2597" s="14"/>
      <c r="K2597" s="14"/>
      <c r="L2597" s="14"/>
      <c r="M2597" s="14"/>
      <c r="N2597" s="14"/>
      <c r="O2597" s="4"/>
      <c r="P2597" s="14"/>
      <c r="Q2597" s="14"/>
    </row>
    <row r="2598" spans="1:17" x14ac:dyDescent="0.25">
      <c r="A2598" s="5"/>
      <c r="B2598" s="6"/>
      <c r="C2598" s="4"/>
      <c r="D2598" s="4"/>
      <c r="E2598" s="12"/>
      <c r="F2598" s="12"/>
      <c r="G2598" s="16"/>
      <c r="H2598" s="14"/>
      <c r="I2598" s="14"/>
      <c r="J2598" s="14"/>
      <c r="K2598" s="14"/>
      <c r="L2598" s="14"/>
      <c r="M2598" s="14"/>
      <c r="N2598" s="14"/>
      <c r="O2598" s="4"/>
      <c r="P2598" s="14"/>
      <c r="Q2598" s="14"/>
    </row>
    <row r="2599" spans="1:17" x14ac:dyDescent="0.25">
      <c r="A2599" s="5"/>
      <c r="B2599" s="6"/>
      <c r="C2599" s="4"/>
      <c r="D2599" s="4"/>
      <c r="E2599" s="12"/>
      <c r="F2599" s="12"/>
      <c r="G2599" s="16"/>
      <c r="H2599" s="14"/>
      <c r="I2599" s="14"/>
      <c r="J2599" s="14"/>
      <c r="K2599" s="14"/>
      <c r="L2599" s="14"/>
      <c r="M2599" s="14"/>
      <c r="N2599" s="14"/>
      <c r="O2599" s="4"/>
      <c r="P2599" s="14"/>
      <c r="Q2599" s="14"/>
    </row>
    <row r="2600" spans="1:17" x14ac:dyDescent="0.25">
      <c r="A2600" s="5"/>
      <c r="B2600" s="6"/>
      <c r="C2600" s="4"/>
      <c r="D2600" s="4"/>
      <c r="E2600" s="12"/>
      <c r="F2600" s="12"/>
      <c r="G2600" s="16"/>
      <c r="H2600" s="14"/>
      <c r="I2600" s="14"/>
      <c r="J2600" s="14"/>
      <c r="K2600" s="14"/>
      <c r="L2600" s="14"/>
      <c r="M2600" s="14"/>
      <c r="N2600" s="14"/>
      <c r="O2600" s="4"/>
      <c r="P2600" s="14"/>
      <c r="Q2600" s="14"/>
    </row>
    <row r="2601" spans="1:17" x14ac:dyDescent="0.25">
      <c r="A2601" s="5"/>
      <c r="B2601" s="6"/>
      <c r="C2601" s="4"/>
      <c r="D2601" s="4"/>
      <c r="E2601" s="12"/>
      <c r="F2601" s="12"/>
      <c r="G2601" s="16"/>
      <c r="H2601" s="14"/>
      <c r="I2601" s="14"/>
      <c r="J2601" s="14"/>
      <c r="K2601" s="14"/>
      <c r="L2601" s="14"/>
      <c r="M2601" s="14"/>
      <c r="N2601" s="14"/>
      <c r="O2601" s="4"/>
      <c r="P2601" s="14"/>
      <c r="Q2601" s="14"/>
    </row>
    <row r="2602" spans="1:17" x14ac:dyDescent="0.25">
      <c r="A2602" s="5"/>
      <c r="B2602" s="6"/>
      <c r="C2602" s="4"/>
      <c r="D2602" s="4"/>
      <c r="E2602" s="12"/>
      <c r="F2602" s="12"/>
      <c r="G2602" s="16"/>
      <c r="H2602" s="14"/>
      <c r="I2602" s="14"/>
      <c r="J2602" s="14"/>
      <c r="K2602" s="14"/>
      <c r="L2602" s="14"/>
      <c r="M2602" s="14"/>
      <c r="N2602" s="14"/>
      <c r="O2602" s="4"/>
      <c r="P2602" s="14"/>
      <c r="Q2602" s="14"/>
    </row>
    <row r="2603" spans="1:17" x14ac:dyDescent="0.25">
      <c r="A2603" s="5"/>
      <c r="B2603" s="6"/>
      <c r="C2603" s="4"/>
      <c r="D2603" s="4"/>
      <c r="E2603" s="12"/>
      <c r="F2603" s="12"/>
      <c r="G2603" s="16"/>
      <c r="H2603" s="14"/>
      <c r="I2603" s="14"/>
      <c r="J2603" s="14"/>
      <c r="K2603" s="14"/>
      <c r="L2603" s="14"/>
      <c r="M2603" s="14"/>
      <c r="N2603" s="14"/>
      <c r="O2603" s="4"/>
      <c r="P2603" s="14"/>
      <c r="Q2603" s="14"/>
    </row>
    <row r="2604" spans="1:17" x14ac:dyDescent="0.25">
      <c r="A2604" s="5"/>
      <c r="B2604" s="6"/>
      <c r="C2604" s="4"/>
      <c r="D2604" s="4"/>
      <c r="E2604" s="12"/>
      <c r="F2604" s="12"/>
      <c r="G2604" s="16"/>
      <c r="H2604" s="14"/>
      <c r="I2604" s="14"/>
      <c r="J2604" s="14"/>
      <c r="K2604" s="14"/>
      <c r="L2604" s="14"/>
      <c r="M2604" s="14"/>
      <c r="N2604" s="14"/>
      <c r="O2604" s="4"/>
      <c r="P2604" s="14"/>
      <c r="Q2604" s="14"/>
    </row>
    <row r="2605" spans="1:17" x14ac:dyDescent="0.25">
      <c r="A2605" s="5"/>
      <c r="B2605" s="6"/>
      <c r="C2605" s="4"/>
      <c r="D2605" s="4"/>
      <c r="E2605" s="12"/>
      <c r="F2605" s="12"/>
      <c r="G2605" s="16"/>
      <c r="H2605" s="14"/>
      <c r="I2605" s="14"/>
      <c r="J2605" s="14"/>
      <c r="K2605" s="14"/>
      <c r="L2605" s="14"/>
      <c r="M2605" s="14"/>
      <c r="N2605" s="14"/>
      <c r="O2605" s="4"/>
      <c r="P2605" s="14"/>
      <c r="Q2605" s="14"/>
    </row>
    <row r="2606" spans="1:17" x14ac:dyDescent="0.25">
      <c r="A2606" s="5"/>
      <c r="B2606" s="6"/>
      <c r="C2606" s="4"/>
      <c r="D2606" s="4"/>
      <c r="E2606" s="12"/>
      <c r="F2606" s="12"/>
      <c r="G2606" s="16"/>
      <c r="H2606" s="14"/>
      <c r="I2606" s="14"/>
      <c r="J2606" s="14"/>
      <c r="K2606" s="14"/>
      <c r="L2606" s="14"/>
      <c r="M2606" s="14"/>
      <c r="N2606" s="14"/>
      <c r="O2606" s="4"/>
      <c r="P2606" s="14"/>
      <c r="Q2606" s="14"/>
    </row>
    <row r="2607" spans="1:17" x14ac:dyDescent="0.25">
      <c r="A2607" s="5"/>
      <c r="B2607" s="6"/>
      <c r="C2607" s="4"/>
      <c r="D2607" s="4"/>
      <c r="E2607" s="12"/>
      <c r="F2607" s="12"/>
      <c r="G2607" s="16"/>
      <c r="H2607" s="14"/>
      <c r="I2607" s="14"/>
      <c r="J2607" s="14"/>
      <c r="K2607" s="14"/>
      <c r="L2607" s="14"/>
      <c r="M2607" s="14"/>
      <c r="N2607" s="14"/>
      <c r="O2607" s="4"/>
      <c r="P2607" s="14"/>
      <c r="Q2607" s="14"/>
    </row>
    <row r="2608" spans="1:17" x14ac:dyDescent="0.25">
      <c r="A2608" s="5"/>
      <c r="B2608" s="6"/>
      <c r="C2608" s="4"/>
      <c r="D2608" s="4"/>
      <c r="E2608" s="12"/>
      <c r="F2608" s="12"/>
      <c r="G2608" s="16"/>
      <c r="H2608" s="14"/>
      <c r="I2608" s="14"/>
      <c r="J2608" s="14"/>
      <c r="K2608" s="14"/>
      <c r="L2608" s="14"/>
      <c r="M2608" s="14"/>
      <c r="N2608" s="14"/>
      <c r="O2608" s="4"/>
      <c r="P2608" s="14"/>
      <c r="Q2608" s="14"/>
    </row>
    <row r="2609" spans="1:17" x14ac:dyDescent="0.25">
      <c r="A2609" s="5"/>
      <c r="B2609" s="6"/>
      <c r="C2609" s="4"/>
      <c r="D2609" s="4"/>
      <c r="E2609" s="12"/>
      <c r="F2609" s="12"/>
      <c r="G2609" s="16"/>
      <c r="H2609" s="14"/>
      <c r="I2609" s="14"/>
      <c r="J2609" s="14"/>
      <c r="K2609" s="14"/>
      <c r="L2609" s="14"/>
      <c r="M2609" s="14"/>
      <c r="N2609" s="14"/>
      <c r="O2609" s="4"/>
      <c r="P2609" s="14"/>
      <c r="Q2609" s="14"/>
    </row>
    <row r="2610" spans="1:17" x14ac:dyDescent="0.25">
      <c r="A2610" s="5"/>
      <c r="B2610" s="6"/>
      <c r="C2610" s="4"/>
      <c r="D2610" s="4"/>
      <c r="E2610" s="12"/>
      <c r="F2610" s="12"/>
      <c r="G2610" s="16"/>
      <c r="H2610" s="14"/>
      <c r="I2610" s="14"/>
      <c r="J2610" s="14"/>
      <c r="K2610" s="14"/>
      <c r="L2610" s="14"/>
      <c r="M2610" s="14"/>
      <c r="N2610" s="14"/>
      <c r="O2610" s="4"/>
      <c r="P2610" s="14"/>
      <c r="Q2610" s="14"/>
    </row>
    <row r="2611" spans="1:17" x14ac:dyDescent="0.25">
      <c r="A2611" s="5"/>
      <c r="B2611" s="6"/>
      <c r="C2611" s="4"/>
      <c r="D2611" s="4"/>
      <c r="E2611" s="12"/>
      <c r="F2611" s="12"/>
      <c r="G2611" s="16"/>
      <c r="H2611" s="14"/>
      <c r="I2611" s="14"/>
      <c r="J2611" s="14"/>
      <c r="K2611" s="14"/>
      <c r="L2611" s="14"/>
      <c r="M2611" s="14"/>
      <c r="N2611" s="14"/>
      <c r="O2611" s="4"/>
      <c r="P2611" s="14"/>
      <c r="Q2611" s="14"/>
    </row>
    <row r="2612" spans="1:17" x14ac:dyDescent="0.25">
      <c r="A2612" s="5"/>
      <c r="B2612" s="6"/>
      <c r="C2612" s="4"/>
      <c r="D2612" s="4"/>
      <c r="E2612" s="12"/>
      <c r="F2612" s="12"/>
      <c r="G2612" s="16"/>
      <c r="H2612" s="14"/>
      <c r="I2612" s="14"/>
      <c r="J2612" s="14"/>
      <c r="K2612" s="14"/>
      <c r="L2612" s="14"/>
      <c r="M2612" s="14"/>
      <c r="N2612" s="14"/>
      <c r="O2612" s="4"/>
      <c r="P2612" s="14"/>
      <c r="Q2612" s="14"/>
    </row>
    <row r="2613" spans="1:17" x14ac:dyDescent="0.25">
      <c r="A2613" s="5"/>
      <c r="B2613" s="6"/>
      <c r="C2613" s="4"/>
      <c r="D2613" s="4"/>
      <c r="E2613" s="12"/>
      <c r="F2613" s="12"/>
      <c r="G2613" s="16"/>
      <c r="H2613" s="14"/>
      <c r="I2613" s="14"/>
      <c r="J2613" s="14"/>
      <c r="K2613" s="14"/>
      <c r="L2613" s="14"/>
      <c r="M2613" s="14"/>
      <c r="N2613" s="14"/>
      <c r="O2613" s="4"/>
      <c r="P2613" s="14"/>
      <c r="Q2613" s="14"/>
    </row>
    <row r="2614" spans="1:17" x14ac:dyDescent="0.25">
      <c r="A2614" s="5"/>
      <c r="B2614" s="6"/>
      <c r="C2614" s="4"/>
      <c r="D2614" s="4"/>
      <c r="E2614" s="12"/>
      <c r="F2614" s="12"/>
      <c r="G2614" s="16"/>
      <c r="H2614" s="14"/>
      <c r="I2614" s="14"/>
      <c r="J2614" s="14"/>
      <c r="K2614" s="14"/>
      <c r="L2614" s="14"/>
      <c r="M2614" s="14"/>
      <c r="N2614" s="14"/>
      <c r="O2614" s="4"/>
      <c r="P2614" s="14"/>
      <c r="Q2614" s="14"/>
    </row>
    <row r="2615" spans="1:17" x14ac:dyDescent="0.25">
      <c r="A2615" s="5"/>
      <c r="B2615" s="6"/>
      <c r="C2615" s="4"/>
      <c r="D2615" s="4"/>
      <c r="E2615" s="12"/>
      <c r="F2615" s="12"/>
      <c r="G2615" s="16"/>
      <c r="H2615" s="14"/>
      <c r="I2615" s="14"/>
      <c r="J2615" s="14"/>
      <c r="K2615" s="14"/>
      <c r="L2615" s="14"/>
      <c r="M2615" s="14"/>
      <c r="N2615" s="14"/>
      <c r="O2615" s="4"/>
      <c r="P2615" s="14"/>
      <c r="Q2615" s="14"/>
    </row>
    <row r="2616" spans="1:17" x14ac:dyDescent="0.25">
      <c r="A2616" s="5"/>
      <c r="B2616" s="6"/>
      <c r="C2616" s="4"/>
      <c r="D2616" s="4"/>
      <c r="E2616" s="12"/>
      <c r="F2616" s="12"/>
      <c r="G2616" s="16"/>
      <c r="H2616" s="14"/>
      <c r="I2616" s="14"/>
      <c r="J2616" s="14"/>
      <c r="K2616" s="14"/>
      <c r="L2616" s="14"/>
      <c r="M2616" s="14"/>
      <c r="N2616" s="14"/>
      <c r="O2616" s="4"/>
      <c r="P2616" s="14"/>
      <c r="Q2616" s="14"/>
    </row>
    <row r="2617" spans="1:17" x14ac:dyDescent="0.25">
      <c r="A2617" s="5"/>
      <c r="B2617" s="6"/>
      <c r="C2617" s="4"/>
      <c r="D2617" s="4"/>
      <c r="E2617" s="12"/>
      <c r="F2617" s="12"/>
      <c r="G2617" s="16"/>
      <c r="H2617" s="14"/>
      <c r="I2617" s="14"/>
      <c r="J2617" s="14"/>
      <c r="K2617" s="14"/>
      <c r="L2617" s="14"/>
      <c r="M2617" s="14"/>
      <c r="N2617" s="14"/>
      <c r="O2617" s="4"/>
      <c r="P2617" s="14"/>
      <c r="Q2617" s="14"/>
    </row>
    <row r="2618" spans="1:17" x14ac:dyDescent="0.25">
      <c r="A2618" s="5"/>
      <c r="B2618" s="6"/>
      <c r="C2618" s="4"/>
      <c r="D2618" s="4"/>
      <c r="E2618" s="12"/>
      <c r="F2618" s="12"/>
      <c r="G2618" s="16"/>
      <c r="H2618" s="14"/>
      <c r="I2618" s="14"/>
      <c r="J2618" s="14"/>
      <c r="K2618" s="14"/>
      <c r="L2618" s="14"/>
      <c r="M2618" s="14"/>
      <c r="N2618" s="14"/>
      <c r="O2618" s="4"/>
      <c r="P2618" s="14"/>
      <c r="Q2618" s="14"/>
    </row>
    <row r="2619" spans="1:17" x14ac:dyDescent="0.25">
      <c r="A2619" s="5"/>
      <c r="B2619" s="6"/>
      <c r="C2619" s="4"/>
      <c r="D2619" s="4"/>
      <c r="E2619" s="12"/>
      <c r="F2619" s="12"/>
      <c r="G2619" s="16"/>
      <c r="H2619" s="14"/>
      <c r="I2619" s="14"/>
      <c r="J2619" s="14"/>
      <c r="K2619" s="14"/>
      <c r="L2619" s="14"/>
      <c r="M2619" s="14"/>
      <c r="N2619" s="14"/>
      <c r="O2619" s="4"/>
      <c r="P2619" s="14"/>
      <c r="Q2619" s="14"/>
    </row>
    <row r="2620" spans="1:17" x14ac:dyDescent="0.25">
      <c r="A2620" s="5"/>
      <c r="B2620" s="6"/>
      <c r="C2620" s="4"/>
      <c r="D2620" s="4"/>
      <c r="E2620" s="12"/>
      <c r="F2620" s="12"/>
      <c r="G2620" s="16"/>
      <c r="H2620" s="14"/>
      <c r="I2620" s="14"/>
      <c r="J2620" s="14"/>
      <c r="K2620" s="14"/>
      <c r="L2620" s="14"/>
      <c r="M2620" s="14"/>
      <c r="N2620" s="14"/>
      <c r="O2620" s="4"/>
      <c r="P2620" s="14"/>
      <c r="Q2620" s="14"/>
    </row>
    <row r="2621" spans="1:17" x14ac:dyDescent="0.25">
      <c r="A2621" s="5"/>
      <c r="B2621" s="6"/>
      <c r="C2621" s="4"/>
      <c r="D2621" s="4"/>
      <c r="E2621" s="12"/>
      <c r="F2621" s="12"/>
      <c r="G2621" s="16"/>
      <c r="H2621" s="14"/>
      <c r="I2621" s="14"/>
      <c r="J2621" s="14"/>
      <c r="K2621" s="14"/>
      <c r="L2621" s="14"/>
      <c r="M2621" s="14"/>
      <c r="N2621" s="14"/>
      <c r="O2621" s="4"/>
      <c r="P2621" s="14"/>
      <c r="Q2621" s="14"/>
    </row>
    <row r="2622" spans="1:17" x14ac:dyDescent="0.25">
      <c r="A2622" s="5"/>
      <c r="B2622" s="6"/>
      <c r="C2622" s="4"/>
      <c r="D2622" s="4"/>
      <c r="E2622" s="12"/>
      <c r="F2622" s="12"/>
      <c r="G2622" s="16"/>
      <c r="H2622" s="14"/>
      <c r="I2622" s="14"/>
      <c r="J2622" s="14"/>
      <c r="K2622" s="14"/>
      <c r="L2622" s="14"/>
      <c r="M2622" s="14"/>
      <c r="N2622" s="14"/>
      <c r="O2622" s="4"/>
      <c r="P2622" s="14"/>
      <c r="Q2622" s="14"/>
    </row>
    <row r="2623" spans="1:17" x14ac:dyDescent="0.25">
      <c r="A2623" s="5"/>
      <c r="B2623" s="6"/>
      <c r="C2623" s="4"/>
      <c r="D2623" s="4"/>
      <c r="E2623" s="12"/>
      <c r="F2623" s="12"/>
      <c r="G2623" s="16"/>
      <c r="H2623" s="14"/>
      <c r="I2623" s="14"/>
      <c r="J2623" s="14"/>
      <c r="K2623" s="14"/>
      <c r="L2623" s="14"/>
      <c r="M2623" s="14"/>
      <c r="N2623" s="14"/>
      <c r="O2623" s="4"/>
      <c r="P2623" s="14"/>
      <c r="Q2623" s="14"/>
    </row>
    <row r="2624" spans="1:17" x14ac:dyDescent="0.25">
      <c r="A2624" s="5"/>
      <c r="B2624" s="6"/>
      <c r="C2624" s="4"/>
      <c r="D2624" s="4"/>
      <c r="E2624" s="12"/>
      <c r="F2624" s="12"/>
      <c r="G2624" s="16"/>
      <c r="H2624" s="14"/>
      <c r="I2624" s="14"/>
      <c r="J2624" s="14"/>
      <c r="K2624" s="14"/>
      <c r="L2624" s="14"/>
      <c r="M2624" s="14"/>
      <c r="N2624" s="14"/>
      <c r="O2624" s="4"/>
      <c r="P2624" s="14"/>
      <c r="Q2624" s="14"/>
    </row>
    <row r="2625" spans="1:17" x14ac:dyDescent="0.25">
      <c r="A2625" s="5"/>
      <c r="B2625" s="6"/>
      <c r="C2625" s="4"/>
      <c r="D2625" s="4"/>
      <c r="E2625" s="12"/>
      <c r="F2625" s="12"/>
      <c r="G2625" s="16"/>
      <c r="H2625" s="14"/>
      <c r="I2625" s="14"/>
      <c r="J2625" s="14"/>
      <c r="K2625" s="14"/>
      <c r="L2625" s="14"/>
      <c r="M2625" s="14"/>
      <c r="N2625" s="14"/>
      <c r="O2625" s="4"/>
      <c r="P2625" s="14"/>
      <c r="Q2625" s="14"/>
    </row>
    <row r="2626" spans="1:17" x14ac:dyDescent="0.25">
      <c r="A2626" s="5"/>
      <c r="B2626" s="6"/>
      <c r="C2626" s="4"/>
      <c r="D2626" s="4"/>
      <c r="E2626" s="12"/>
      <c r="F2626" s="12"/>
      <c r="G2626" s="16"/>
      <c r="H2626" s="14"/>
      <c r="I2626" s="14"/>
      <c r="J2626" s="14"/>
      <c r="K2626" s="14"/>
      <c r="L2626" s="14"/>
      <c r="M2626" s="14"/>
      <c r="N2626" s="14"/>
      <c r="O2626" s="4"/>
      <c r="P2626" s="14"/>
      <c r="Q2626" s="14"/>
    </row>
    <row r="2627" spans="1:17" x14ac:dyDescent="0.25">
      <c r="A2627" s="5"/>
      <c r="B2627" s="6"/>
      <c r="C2627" s="4"/>
      <c r="D2627" s="4"/>
      <c r="E2627" s="12"/>
      <c r="F2627" s="12"/>
      <c r="G2627" s="16"/>
      <c r="H2627" s="14"/>
      <c r="I2627" s="14"/>
      <c r="J2627" s="14"/>
      <c r="K2627" s="14"/>
      <c r="L2627" s="14"/>
      <c r="M2627" s="14"/>
      <c r="N2627" s="14"/>
      <c r="O2627" s="4"/>
      <c r="P2627" s="14"/>
      <c r="Q2627" s="14"/>
    </row>
    <row r="2628" spans="1:17" x14ac:dyDescent="0.25">
      <c r="A2628" s="5"/>
      <c r="B2628" s="6"/>
      <c r="C2628" s="4"/>
      <c r="D2628" s="4"/>
      <c r="E2628" s="12"/>
      <c r="F2628" s="12"/>
      <c r="G2628" s="16"/>
      <c r="H2628" s="14"/>
      <c r="I2628" s="14"/>
      <c r="J2628" s="14"/>
      <c r="K2628" s="14"/>
      <c r="L2628" s="14"/>
      <c r="M2628" s="14"/>
      <c r="N2628" s="14"/>
      <c r="O2628" s="4"/>
      <c r="P2628" s="14"/>
      <c r="Q2628" s="14"/>
    </row>
    <row r="2629" spans="1:17" x14ac:dyDescent="0.25">
      <c r="A2629" s="5"/>
      <c r="B2629" s="6"/>
      <c r="C2629" s="4"/>
      <c r="D2629" s="4"/>
      <c r="E2629" s="12"/>
      <c r="F2629" s="12"/>
      <c r="G2629" s="16"/>
      <c r="H2629" s="14"/>
      <c r="I2629" s="14"/>
      <c r="J2629" s="14"/>
      <c r="K2629" s="14"/>
      <c r="L2629" s="14"/>
      <c r="M2629" s="14"/>
      <c r="N2629" s="14"/>
      <c r="O2629" s="4"/>
      <c r="P2629" s="14"/>
      <c r="Q2629" s="14"/>
    </row>
    <row r="2630" spans="1:17" x14ac:dyDescent="0.25">
      <c r="A2630" s="5"/>
      <c r="B2630" s="6"/>
      <c r="C2630" s="4"/>
      <c r="D2630" s="4"/>
      <c r="E2630" s="12"/>
      <c r="F2630" s="12"/>
      <c r="G2630" s="16"/>
      <c r="H2630" s="14"/>
      <c r="I2630" s="14"/>
      <c r="J2630" s="14"/>
      <c r="K2630" s="14"/>
      <c r="L2630" s="14"/>
      <c r="M2630" s="14"/>
      <c r="N2630" s="14"/>
      <c r="O2630" s="4"/>
      <c r="P2630" s="14"/>
      <c r="Q2630" s="14"/>
    </row>
    <row r="2631" spans="1:17" x14ac:dyDescent="0.25">
      <c r="A2631" s="5"/>
      <c r="B2631" s="6"/>
      <c r="C2631" s="4"/>
      <c r="D2631" s="4"/>
      <c r="E2631" s="12"/>
      <c r="F2631" s="12"/>
      <c r="G2631" s="16"/>
      <c r="H2631" s="14"/>
      <c r="I2631" s="14"/>
      <c r="J2631" s="14"/>
      <c r="K2631" s="14"/>
      <c r="L2631" s="14"/>
      <c r="M2631" s="14"/>
      <c r="N2631" s="14"/>
      <c r="O2631" s="4"/>
      <c r="P2631" s="14"/>
      <c r="Q2631" s="14"/>
    </row>
    <row r="2632" spans="1:17" x14ac:dyDescent="0.25">
      <c r="A2632" s="5"/>
      <c r="B2632" s="6"/>
      <c r="C2632" s="4"/>
      <c r="D2632" s="4"/>
      <c r="E2632" s="12"/>
      <c r="F2632" s="12"/>
      <c r="G2632" s="16"/>
      <c r="H2632" s="14"/>
      <c r="I2632" s="14"/>
      <c r="J2632" s="14"/>
      <c r="K2632" s="14"/>
      <c r="L2632" s="14"/>
      <c r="M2632" s="14"/>
      <c r="N2632" s="14"/>
      <c r="O2632" s="4"/>
      <c r="P2632" s="14"/>
      <c r="Q2632" s="14"/>
    </row>
    <row r="2633" spans="1:17" x14ac:dyDescent="0.25">
      <c r="A2633" s="5"/>
      <c r="B2633" s="6"/>
      <c r="C2633" s="4"/>
      <c r="D2633" s="4"/>
      <c r="E2633" s="12"/>
      <c r="F2633" s="12"/>
      <c r="G2633" s="16"/>
      <c r="H2633" s="14"/>
      <c r="I2633" s="14"/>
      <c r="J2633" s="14"/>
      <c r="K2633" s="14"/>
      <c r="L2633" s="14"/>
      <c r="M2633" s="14"/>
      <c r="N2633" s="14"/>
      <c r="O2633" s="4"/>
      <c r="P2633" s="14"/>
      <c r="Q2633" s="14"/>
    </row>
    <row r="2634" spans="1:17" x14ac:dyDescent="0.25">
      <c r="A2634" s="5"/>
      <c r="B2634" s="6"/>
      <c r="C2634" s="4"/>
      <c r="D2634" s="4"/>
      <c r="E2634" s="12"/>
      <c r="F2634" s="12"/>
      <c r="G2634" s="16"/>
      <c r="H2634" s="14"/>
      <c r="I2634" s="14"/>
      <c r="J2634" s="14"/>
      <c r="K2634" s="14"/>
      <c r="L2634" s="14"/>
      <c r="M2634" s="14"/>
      <c r="N2634" s="14"/>
      <c r="O2634" s="4"/>
      <c r="P2634" s="14"/>
      <c r="Q2634" s="14"/>
    </row>
    <row r="2635" spans="1:17" x14ac:dyDescent="0.25">
      <c r="A2635" s="5"/>
      <c r="B2635" s="6"/>
      <c r="C2635" s="4"/>
      <c r="D2635" s="4"/>
      <c r="E2635" s="12"/>
      <c r="F2635" s="12"/>
      <c r="G2635" s="16"/>
      <c r="H2635" s="14"/>
      <c r="I2635" s="14"/>
      <c r="J2635" s="14"/>
      <c r="K2635" s="14"/>
      <c r="L2635" s="14"/>
      <c r="M2635" s="14"/>
      <c r="N2635" s="14"/>
      <c r="O2635" s="4"/>
      <c r="P2635" s="14"/>
      <c r="Q2635" s="14"/>
    </row>
    <row r="2636" spans="1:17" x14ac:dyDescent="0.25">
      <c r="A2636" s="5"/>
      <c r="B2636" s="6"/>
      <c r="C2636" s="4"/>
      <c r="D2636" s="4"/>
      <c r="E2636" s="12"/>
      <c r="F2636" s="12"/>
      <c r="G2636" s="16"/>
      <c r="H2636" s="14"/>
      <c r="I2636" s="14"/>
      <c r="J2636" s="14"/>
      <c r="K2636" s="14"/>
      <c r="L2636" s="14"/>
      <c r="M2636" s="14"/>
      <c r="N2636" s="14"/>
      <c r="O2636" s="4"/>
      <c r="P2636" s="14"/>
      <c r="Q2636" s="14"/>
    </row>
    <row r="2637" spans="1:17" x14ac:dyDescent="0.25">
      <c r="A2637" s="5"/>
      <c r="B2637" s="6"/>
      <c r="C2637" s="4"/>
      <c r="D2637" s="4"/>
      <c r="E2637" s="12"/>
      <c r="F2637" s="12"/>
      <c r="G2637" s="16"/>
      <c r="H2637" s="14"/>
      <c r="I2637" s="14"/>
      <c r="J2637" s="14"/>
      <c r="K2637" s="14"/>
      <c r="L2637" s="14"/>
      <c r="M2637" s="14"/>
      <c r="N2637" s="14"/>
      <c r="O2637" s="4"/>
      <c r="P2637" s="14"/>
      <c r="Q2637" s="14"/>
    </row>
    <row r="2638" spans="1:17" x14ac:dyDescent="0.25">
      <c r="A2638" s="5"/>
      <c r="B2638" s="6"/>
      <c r="C2638" s="4"/>
      <c r="D2638" s="4"/>
      <c r="E2638" s="12"/>
      <c r="F2638" s="12"/>
      <c r="G2638" s="16"/>
      <c r="H2638" s="14"/>
      <c r="I2638" s="14"/>
      <c r="J2638" s="14"/>
      <c r="K2638" s="14"/>
      <c r="L2638" s="14"/>
      <c r="M2638" s="14"/>
      <c r="N2638" s="14"/>
      <c r="O2638" s="4"/>
      <c r="P2638" s="14"/>
      <c r="Q2638" s="14"/>
    </row>
    <row r="2639" spans="1:17" x14ac:dyDescent="0.25">
      <c r="A2639" s="5"/>
      <c r="B2639" s="6"/>
      <c r="C2639" s="4"/>
      <c r="D2639" s="4"/>
      <c r="E2639" s="12"/>
      <c r="F2639" s="12"/>
      <c r="G2639" s="16"/>
      <c r="H2639" s="14"/>
      <c r="I2639" s="14"/>
      <c r="J2639" s="14"/>
      <c r="K2639" s="14"/>
      <c r="L2639" s="14"/>
      <c r="M2639" s="14"/>
      <c r="N2639" s="14"/>
      <c r="O2639" s="4"/>
      <c r="P2639" s="14"/>
      <c r="Q2639" s="14"/>
    </row>
    <row r="2640" spans="1:17" x14ac:dyDescent="0.25">
      <c r="A2640" s="5"/>
      <c r="B2640" s="6"/>
      <c r="C2640" s="4"/>
      <c r="D2640" s="4"/>
      <c r="E2640" s="12"/>
      <c r="F2640" s="12"/>
      <c r="G2640" s="16"/>
      <c r="H2640" s="14"/>
      <c r="I2640" s="14"/>
      <c r="J2640" s="14"/>
      <c r="K2640" s="14"/>
      <c r="L2640" s="14"/>
      <c r="M2640" s="14"/>
      <c r="N2640" s="14"/>
      <c r="O2640" s="4"/>
      <c r="P2640" s="14"/>
      <c r="Q2640" s="14"/>
    </row>
    <row r="2641" spans="1:17" x14ac:dyDescent="0.25">
      <c r="A2641" s="5"/>
      <c r="B2641" s="6"/>
      <c r="C2641" s="4"/>
      <c r="D2641" s="4"/>
      <c r="E2641" s="12"/>
      <c r="F2641" s="12"/>
      <c r="G2641" s="16"/>
      <c r="H2641" s="14"/>
      <c r="I2641" s="14"/>
      <c r="J2641" s="14"/>
      <c r="K2641" s="14"/>
      <c r="L2641" s="14"/>
      <c r="M2641" s="14"/>
      <c r="N2641" s="14"/>
      <c r="O2641" s="4"/>
      <c r="P2641" s="14"/>
      <c r="Q2641" s="14"/>
    </row>
    <row r="2642" spans="1:17" x14ac:dyDescent="0.25">
      <c r="A2642" s="5"/>
      <c r="B2642" s="6"/>
      <c r="C2642" s="4"/>
      <c r="D2642" s="4"/>
      <c r="E2642" s="12"/>
      <c r="F2642" s="12"/>
      <c r="G2642" s="16"/>
      <c r="H2642" s="14"/>
      <c r="I2642" s="14"/>
      <c r="J2642" s="14"/>
      <c r="K2642" s="14"/>
      <c r="L2642" s="14"/>
      <c r="M2642" s="14"/>
      <c r="N2642" s="14"/>
      <c r="O2642" s="4"/>
      <c r="P2642" s="14"/>
      <c r="Q2642" s="14"/>
    </row>
    <row r="2643" spans="1:17" x14ac:dyDescent="0.25">
      <c r="A2643" s="5"/>
      <c r="B2643" s="6"/>
      <c r="C2643" s="4"/>
      <c r="D2643" s="4"/>
      <c r="E2643" s="12"/>
      <c r="F2643" s="12"/>
      <c r="G2643" s="16"/>
      <c r="H2643" s="14"/>
      <c r="I2643" s="14"/>
      <c r="J2643" s="14"/>
      <c r="K2643" s="14"/>
      <c r="L2643" s="14"/>
      <c r="M2643" s="14"/>
      <c r="N2643" s="14"/>
      <c r="O2643" s="4"/>
      <c r="P2643" s="14"/>
      <c r="Q2643" s="14"/>
    </row>
    <row r="2644" spans="1:17" x14ac:dyDescent="0.25">
      <c r="A2644" s="5"/>
      <c r="B2644" s="6"/>
      <c r="C2644" s="4"/>
      <c r="D2644" s="4"/>
      <c r="E2644" s="12"/>
      <c r="F2644" s="12"/>
      <c r="G2644" s="16"/>
      <c r="H2644" s="14"/>
      <c r="I2644" s="14"/>
      <c r="J2644" s="14"/>
      <c r="K2644" s="14"/>
      <c r="L2644" s="14"/>
      <c r="M2644" s="14"/>
      <c r="N2644" s="14"/>
      <c r="O2644" s="4"/>
      <c r="P2644" s="14"/>
      <c r="Q2644" s="14"/>
    </row>
    <row r="2645" spans="1:17" x14ac:dyDescent="0.25">
      <c r="A2645" s="5"/>
      <c r="B2645" s="6"/>
      <c r="C2645" s="4"/>
      <c r="D2645" s="4"/>
      <c r="E2645" s="12"/>
      <c r="F2645" s="12"/>
      <c r="G2645" s="16"/>
      <c r="H2645" s="14"/>
      <c r="I2645" s="14"/>
      <c r="J2645" s="14"/>
      <c r="K2645" s="14"/>
      <c r="L2645" s="14"/>
      <c r="M2645" s="14"/>
      <c r="N2645" s="14"/>
      <c r="O2645" s="4"/>
      <c r="P2645" s="14"/>
      <c r="Q2645" s="14"/>
    </row>
    <row r="2646" spans="1:17" x14ac:dyDescent="0.25">
      <c r="A2646" s="5"/>
      <c r="B2646" s="6"/>
      <c r="C2646" s="4"/>
      <c r="D2646" s="4"/>
      <c r="E2646" s="12"/>
      <c r="F2646" s="12"/>
      <c r="G2646" s="16"/>
      <c r="H2646" s="14"/>
      <c r="I2646" s="14"/>
      <c r="J2646" s="14"/>
      <c r="K2646" s="14"/>
      <c r="L2646" s="14"/>
      <c r="M2646" s="14"/>
      <c r="N2646" s="14"/>
      <c r="O2646" s="4"/>
      <c r="P2646" s="14"/>
      <c r="Q2646" s="14"/>
    </row>
    <row r="2647" spans="1:17" x14ac:dyDescent="0.25">
      <c r="A2647" s="5"/>
      <c r="B2647" s="6"/>
      <c r="C2647" s="4"/>
      <c r="D2647" s="4"/>
      <c r="E2647" s="12"/>
      <c r="F2647" s="12"/>
      <c r="G2647" s="16"/>
      <c r="H2647" s="14"/>
      <c r="I2647" s="14"/>
      <c r="J2647" s="14"/>
      <c r="K2647" s="14"/>
      <c r="L2647" s="14"/>
      <c r="M2647" s="14"/>
      <c r="N2647" s="14"/>
      <c r="O2647" s="4"/>
      <c r="P2647" s="14"/>
      <c r="Q2647" s="14"/>
    </row>
    <row r="2648" spans="1:17" x14ac:dyDescent="0.25">
      <c r="A2648" s="5"/>
      <c r="B2648" s="6"/>
      <c r="C2648" s="4"/>
      <c r="D2648" s="4"/>
      <c r="E2648" s="12"/>
      <c r="F2648" s="12"/>
      <c r="G2648" s="16"/>
      <c r="H2648" s="14"/>
      <c r="I2648" s="14"/>
      <c r="J2648" s="14"/>
      <c r="K2648" s="14"/>
      <c r="L2648" s="14"/>
      <c r="M2648" s="14"/>
      <c r="N2648" s="14"/>
      <c r="O2648" s="4"/>
      <c r="P2648" s="14"/>
      <c r="Q2648" s="14"/>
    </row>
    <row r="2649" spans="1:17" x14ac:dyDescent="0.25">
      <c r="A2649" s="5"/>
      <c r="B2649" s="6"/>
      <c r="C2649" s="4"/>
      <c r="D2649" s="4"/>
      <c r="E2649" s="12"/>
      <c r="F2649" s="12"/>
      <c r="G2649" s="16"/>
      <c r="H2649" s="14"/>
      <c r="I2649" s="14"/>
      <c r="J2649" s="14"/>
      <c r="K2649" s="14"/>
      <c r="L2649" s="14"/>
      <c r="M2649" s="14"/>
      <c r="N2649" s="14"/>
      <c r="O2649" s="4"/>
      <c r="P2649" s="14"/>
      <c r="Q2649" s="14"/>
    </row>
    <row r="2650" spans="1:17" x14ac:dyDescent="0.25">
      <c r="A2650" s="5"/>
      <c r="B2650" s="6"/>
      <c r="C2650" s="4"/>
      <c r="D2650" s="4"/>
      <c r="E2650" s="12"/>
      <c r="F2650" s="12"/>
      <c r="G2650" s="16"/>
      <c r="H2650" s="14"/>
      <c r="I2650" s="14"/>
      <c r="J2650" s="14"/>
      <c r="K2650" s="14"/>
      <c r="L2650" s="14"/>
      <c r="M2650" s="14"/>
      <c r="N2650" s="14"/>
      <c r="O2650" s="4"/>
      <c r="P2650" s="14"/>
      <c r="Q2650" s="14"/>
    </row>
    <row r="2651" spans="1:17" x14ac:dyDescent="0.25">
      <c r="A2651" s="5"/>
      <c r="B2651" s="6"/>
      <c r="C2651" s="4"/>
      <c r="D2651" s="4"/>
      <c r="E2651" s="12"/>
      <c r="F2651" s="12"/>
      <c r="G2651" s="16"/>
      <c r="H2651" s="14"/>
      <c r="I2651" s="14"/>
      <c r="J2651" s="14"/>
      <c r="K2651" s="14"/>
      <c r="L2651" s="14"/>
      <c r="M2651" s="14"/>
      <c r="N2651" s="14"/>
      <c r="O2651" s="4"/>
      <c r="P2651" s="14"/>
      <c r="Q2651" s="14"/>
    </row>
    <row r="2652" spans="1:17" x14ac:dyDescent="0.25">
      <c r="A2652" s="5"/>
      <c r="B2652" s="6"/>
      <c r="C2652" s="4"/>
      <c r="D2652" s="4"/>
      <c r="E2652" s="12"/>
      <c r="F2652" s="12"/>
      <c r="G2652" s="16"/>
      <c r="H2652" s="14"/>
      <c r="I2652" s="14"/>
      <c r="J2652" s="14"/>
      <c r="K2652" s="14"/>
      <c r="L2652" s="14"/>
      <c r="M2652" s="14"/>
      <c r="N2652" s="14"/>
      <c r="O2652" s="4"/>
      <c r="P2652" s="14"/>
      <c r="Q2652" s="14"/>
    </row>
    <row r="2653" spans="1:17" x14ac:dyDescent="0.25">
      <c r="A2653" s="5"/>
      <c r="B2653" s="6"/>
      <c r="C2653" s="4"/>
      <c r="D2653" s="4"/>
      <c r="E2653" s="12"/>
      <c r="F2653" s="12"/>
      <c r="G2653" s="16"/>
      <c r="H2653" s="14"/>
      <c r="I2653" s="14"/>
      <c r="J2653" s="14"/>
      <c r="K2653" s="14"/>
      <c r="L2653" s="14"/>
      <c r="M2653" s="14"/>
      <c r="N2653" s="14"/>
      <c r="O2653" s="4"/>
      <c r="P2653" s="14"/>
      <c r="Q2653" s="14"/>
    </row>
    <row r="2654" spans="1:17" x14ac:dyDescent="0.25">
      <c r="A2654" s="5"/>
      <c r="B2654" s="6"/>
      <c r="C2654" s="4"/>
      <c r="D2654" s="4"/>
      <c r="E2654" s="12"/>
      <c r="F2654" s="12"/>
      <c r="G2654" s="16"/>
      <c r="H2654" s="14"/>
      <c r="I2654" s="14"/>
      <c r="J2654" s="14"/>
      <c r="K2654" s="14"/>
      <c r="L2654" s="14"/>
      <c r="M2654" s="14"/>
      <c r="N2654" s="14"/>
      <c r="O2654" s="4"/>
      <c r="P2654" s="14"/>
      <c r="Q2654" s="14"/>
    </row>
    <row r="2655" spans="1:17" x14ac:dyDescent="0.25">
      <c r="A2655" s="5"/>
      <c r="B2655" s="6"/>
      <c r="C2655" s="4"/>
      <c r="D2655" s="4"/>
      <c r="E2655" s="12"/>
      <c r="F2655" s="12"/>
      <c r="G2655" s="16"/>
      <c r="H2655" s="14"/>
      <c r="I2655" s="14"/>
      <c r="J2655" s="14"/>
      <c r="K2655" s="14"/>
      <c r="L2655" s="14"/>
      <c r="M2655" s="14"/>
      <c r="N2655" s="14"/>
      <c r="O2655" s="4"/>
      <c r="P2655" s="14"/>
      <c r="Q2655" s="14"/>
    </row>
    <row r="2656" spans="1:17" x14ac:dyDescent="0.25">
      <c r="A2656" s="5"/>
      <c r="B2656" s="6"/>
      <c r="C2656" s="4"/>
      <c r="D2656" s="4"/>
      <c r="E2656" s="12"/>
      <c r="F2656" s="12"/>
      <c r="G2656" s="16"/>
      <c r="H2656" s="14"/>
      <c r="I2656" s="14"/>
      <c r="J2656" s="14"/>
      <c r="K2656" s="14"/>
      <c r="L2656" s="14"/>
      <c r="M2656" s="14"/>
      <c r="N2656" s="14"/>
      <c r="O2656" s="4"/>
      <c r="P2656" s="14"/>
      <c r="Q2656" s="14"/>
    </row>
    <row r="2657" spans="1:17" x14ac:dyDescent="0.25">
      <c r="A2657" s="5"/>
      <c r="B2657" s="6"/>
      <c r="C2657" s="4"/>
      <c r="D2657" s="4"/>
      <c r="E2657" s="12"/>
      <c r="F2657" s="12"/>
      <c r="G2657" s="16"/>
      <c r="H2657" s="14"/>
      <c r="I2657" s="14"/>
      <c r="J2657" s="14"/>
      <c r="K2657" s="14"/>
      <c r="L2657" s="14"/>
      <c r="M2657" s="14"/>
      <c r="N2657" s="14"/>
      <c r="O2657" s="4"/>
      <c r="P2657" s="14"/>
      <c r="Q2657" s="14"/>
    </row>
    <row r="2658" spans="1:17" x14ac:dyDescent="0.25">
      <c r="A2658" s="5"/>
      <c r="B2658" s="6"/>
      <c r="C2658" s="4"/>
      <c r="D2658" s="4"/>
      <c r="E2658" s="12"/>
      <c r="F2658" s="12"/>
      <c r="G2658" s="16"/>
      <c r="H2658" s="14"/>
      <c r="I2658" s="14"/>
      <c r="J2658" s="14"/>
      <c r="K2658" s="14"/>
      <c r="L2658" s="14"/>
      <c r="M2658" s="14"/>
      <c r="N2658" s="14"/>
      <c r="O2658" s="4"/>
      <c r="P2658" s="14"/>
      <c r="Q2658" s="14"/>
    </row>
    <row r="2659" spans="1:17" x14ac:dyDescent="0.25">
      <c r="A2659" s="5"/>
      <c r="B2659" s="6"/>
      <c r="C2659" s="4"/>
      <c r="D2659" s="4"/>
      <c r="E2659" s="12"/>
      <c r="F2659" s="12"/>
      <c r="G2659" s="16"/>
      <c r="H2659" s="14"/>
      <c r="I2659" s="14"/>
      <c r="J2659" s="14"/>
      <c r="K2659" s="14"/>
      <c r="L2659" s="14"/>
      <c r="M2659" s="14"/>
      <c r="N2659" s="14"/>
      <c r="O2659" s="4"/>
      <c r="P2659" s="14"/>
      <c r="Q2659" s="14"/>
    </row>
    <row r="2660" spans="1:17" x14ac:dyDescent="0.25">
      <c r="A2660" s="5"/>
      <c r="B2660" s="6"/>
      <c r="C2660" s="4"/>
      <c r="D2660" s="4"/>
      <c r="E2660" s="12"/>
      <c r="F2660" s="12"/>
      <c r="G2660" s="16"/>
      <c r="H2660" s="14"/>
      <c r="I2660" s="14"/>
      <c r="J2660" s="14"/>
      <c r="K2660" s="14"/>
      <c r="L2660" s="14"/>
      <c r="M2660" s="14"/>
      <c r="N2660" s="14"/>
      <c r="O2660" s="4"/>
      <c r="P2660" s="14"/>
      <c r="Q2660" s="14"/>
    </row>
    <row r="2661" spans="1:17" x14ac:dyDescent="0.25">
      <c r="A2661" s="5"/>
      <c r="B2661" s="6"/>
      <c r="C2661" s="4"/>
      <c r="D2661" s="4"/>
      <c r="E2661" s="12"/>
      <c r="F2661" s="12"/>
      <c r="G2661" s="16"/>
      <c r="H2661" s="14"/>
      <c r="I2661" s="14"/>
      <c r="J2661" s="14"/>
      <c r="K2661" s="14"/>
      <c r="L2661" s="14"/>
      <c r="M2661" s="14"/>
      <c r="N2661" s="14"/>
      <c r="O2661" s="4"/>
      <c r="P2661" s="14"/>
      <c r="Q2661" s="14"/>
    </row>
    <row r="2662" spans="1:17" x14ac:dyDescent="0.25">
      <c r="A2662" s="5"/>
      <c r="B2662" s="6"/>
      <c r="C2662" s="4"/>
      <c r="D2662" s="4"/>
      <c r="E2662" s="12"/>
      <c r="F2662" s="12"/>
      <c r="G2662" s="16"/>
      <c r="H2662" s="14"/>
      <c r="I2662" s="14"/>
      <c r="J2662" s="14"/>
      <c r="K2662" s="14"/>
      <c r="L2662" s="14"/>
      <c r="M2662" s="14"/>
      <c r="N2662" s="14"/>
      <c r="O2662" s="4"/>
      <c r="P2662" s="14"/>
      <c r="Q2662" s="14"/>
    </row>
    <row r="2663" spans="1:17" x14ac:dyDescent="0.25">
      <c r="A2663" s="5"/>
      <c r="B2663" s="6"/>
      <c r="C2663" s="4"/>
      <c r="D2663" s="4"/>
      <c r="E2663" s="12"/>
      <c r="F2663" s="12"/>
      <c r="G2663" s="16"/>
      <c r="H2663" s="14"/>
      <c r="I2663" s="14"/>
      <c r="J2663" s="14"/>
      <c r="K2663" s="14"/>
      <c r="L2663" s="14"/>
      <c r="M2663" s="14"/>
      <c r="N2663" s="14"/>
      <c r="O2663" s="4"/>
      <c r="P2663" s="14"/>
      <c r="Q2663" s="14"/>
    </row>
    <row r="2664" spans="1:17" x14ac:dyDescent="0.25">
      <c r="A2664" s="5"/>
      <c r="B2664" s="6"/>
      <c r="C2664" s="4"/>
      <c r="D2664" s="4"/>
      <c r="E2664" s="12"/>
      <c r="F2664" s="12"/>
      <c r="G2664" s="16"/>
      <c r="H2664" s="14"/>
      <c r="I2664" s="14"/>
      <c r="J2664" s="14"/>
      <c r="K2664" s="14"/>
      <c r="L2664" s="14"/>
      <c r="M2664" s="14"/>
      <c r="N2664" s="14"/>
      <c r="O2664" s="4"/>
      <c r="P2664" s="14"/>
      <c r="Q2664" s="14"/>
    </row>
    <row r="2665" spans="1:17" x14ac:dyDescent="0.25">
      <c r="A2665" s="5"/>
      <c r="B2665" s="6"/>
      <c r="C2665" s="4"/>
      <c r="D2665" s="4"/>
      <c r="E2665" s="12"/>
      <c r="F2665" s="12"/>
      <c r="G2665" s="16"/>
      <c r="H2665" s="14"/>
      <c r="I2665" s="14"/>
      <c r="J2665" s="14"/>
      <c r="K2665" s="14"/>
      <c r="L2665" s="14"/>
      <c r="M2665" s="14"/>
      <c r="N2665" s="14"/>
      <c r="O2665" s="4"/>
      <c r="P2665" s="14"/>
      <c r="Q2665" s="14"/>
    </row>
    <row r="2666" spans="1:17" x14ac:dyDescent="0.25">
      <c r="A2666" s="5"/>
      <c r="B2666" s="6"/>
      <c r="C2666" s="4"/>
      <c r="D2666" s="4"/>
      <c r="E2666" s="12"/>
      <c r="F2666" s="12"/>
      <c r="G2666" s="16"/>
      <c r="H2666" s="14"/>
      <c r="I2666" s="14"/>
      <c r="J2666" s="14"/>
      <c r="K2666" s="14"/>
      <c r="L2666" s="14"/>
      <c r="M2666" s="14"/>
      <c r="N2666" s="14"/>
      <c r="O2666" s="4"/>
      <c r="P2666" s="14"/>
      <c r="Q2666" s="14"/>
    </row>
    <row r="2667" spans="1:17" x14ac:dyDescent="0.25">
      <c r="A2667" s="5"/>
      <c r="B2667" s="6"/>
      <c r="C2667" s="4"/>
      <c r="D2667" s="4"/>
      <c r="E2667" s="12"/>
      <c r="F2667" s="12"/>
      <c r="G2667" s="16"/>
      <c r="H2667" s="14"/>
      <c r="I2667" s="14"/>
      <c r="J2667" s="14"/>
      <c r="K2667" s="14"/>
      <c r="L2667" s="14"/>
      <c r="M2667" s="14"/>
      <c r="N2667" s="14"/>
      <c r="O2667" s="4"/>
      <c r="P2667" s="14"/>
      <c r="Q2667" s="14"/>
    </row>
    <row r="2668" spans="1:17" x14ac:dyDescent="0.25">
      <c r="A2668" s="5"/>
      <c r="B2668" s="6"/>
      <c r="C2668" s="4"/>
      <c r="D2668" s="4"/>
      <c r="E2668" s="12"/>
      <c r="F2668" s="12"/>
      <c r="G2668" s="16"/>
      <c r="H2668" s="14"/>
      <c r="I2668" s="14"/>
      <c r="J2668" s="14"/>
      <c r="K2668" s="14"/>
      <c r="L2668" s="14"/>
      <c r="M2668" s="14"/>
      <c r="N2668" s="14"/>
      <c r="O2668" s="4"/>
      <c r="P2668" s="14"/>
      <c r="Q2668" s="14"/>
    </row>
    <row r="2669" spans="1:17" x14ac:dyDescent="0.25">
      <c r="A2669" s="5"/>
      <c r="B2669" s="6"/>
      <c r="C2669" s="4"/>
      <c r="D2669" s="4"/>
      <c r="E2669" s="12"/>
      <c r="F2669" s="12"/>
      <c r="G2669" s="16"/>
      <c r="H2669" s="14"/>
      <c r="I2669" s="14"/>
      <c r="J2669" s="14"/>
      <c r="K2669" s="14"/>
      <c r="L2669" s="14"/>
      <c r="M2669" s="14"/>
      <c r="N2669" s="14"/>
      <c r="O2669" s="4"/>
      <c r="P2669" s="14"/>
      <c r="Q2669" s="14"/>
    </row>
    <row r="2670" spans="1:17" x14ac:dyDescent="0.25">
      <c r="A2670" s="5"/>
      <c r="B2670" s="6"/>
      <c r="C2670" s="4"/>
      <c r="D2670" s="4"/>
      <c r="E2670" s="12"/>
      <c r="F2670" s="12"/>
      <c r="G2670" s="16"/>
      <c r="H2670" s="14"/>
      <c r="I2670" s="14"/>
      <c r="J2670" s="14"/>
      <c r="K2670" s="14"/>
      <c r="L2670" s="14"/>
      <c r="M2670" s="14"/>
      <c r="N2670" s="14"/>
      <c r="O2670" s="4"/>
      <c r="P2670" s="14"/>
      <c r="Q2670" s="14"/>
    </row>
    <row r="2671" spans="1:17" x14ac:dyDescent="0.25">
      <c r="A2671" s="5"/>
      <c r="B2671" s="6"/>
      <c r="C2671" s="4"/>
      <c r="D2671" s="4"/>
      <c r="E2671" s="12"/>
      <c r="F2671" s="12"/>
      <c r="G2671" s="16"/>
      <c r="H2671" s="14"/>
      <c r="I2671" s="14"/>
      <c r="J2671" s="14"/>
      <c r="K2671" s="14"/>
      <c r="L2671" s="14"/>
      <c r="M2671" s="14"/>
      <c r="N2671" s="14"/>
      <c r="O2671" s="4"/>
      <c r="P2671" s="14"/>
      <c r="Q2671" s="14"/>
    </row>
    <row r="2672" spans="1:17" x14ac:dyDescent="0.25">
      <c r="A2672" s="5"/>
      <c r="B2672" s="6"/>
      <c r="C2672" s="4"/>
      <c r="D2672" s="4"/>
      <c r="E2672" s="12"/>
      <c r="F2672" s="12"/>
      <c r="G2672" s="16"/>
      <c r="H2672" s="14"/>
      <c r="I2672" s="14"/>
      <c r="J2672" s="14"/>
      <c r="K2672" s="14"/>
      <c r="L2672" s="14"/>
      <c r="M2672" s="14"/>
      <c r="N2672" s="14"/>
      <c r="O2672" s="4"/>
      <c r="P2672" s="14"/>
      <c r="Q2672" s="14"/>
    </row>
    <row r="2673" spans="1:17" x14ac:dyDescent="0.25">
      <c r="A2673" s="5"/>
      <c r="B2673" s="6"/>
      <c r="C2673" s="4"/>
      <c r="D2673" s="4"/>
      <c r="E2673" s="12"/>
      <c r="F2673" s="12"/>
      <c r="G2673" s="16"/>
      <c r="H2673" s="14"/>
      <c r="I2673" s="14"/>
      <c r="J2673" s="14"/>
      <c r="K2673" s="14"/>
      <c r="L2673" s="14"/>
      <c r="M2673" s="14"/>
      <c r="N2673" s="14"/>
      <c r="O2673" s="4"/>
      <c r="P2673" s="14"/>
      <c r="Q2673" s="14"/>
    </row>
    <row r="2674" spans="1:17" x14ac:dyDescent="0.25">
      <c r="A2674" s="5"/>
      <c r="B2674" s="6"/>
      <c r="C2674" s="4"/>
      <c r="D2674" s="4"/>
      <c r="E2674" s="12"/>
      <c r="F2674" s="12"/>
      <c r="G2674" s="16"/>
      <c r="H2674" s="14"/>
      <c r="I2674" s="14"/>
      <c r="J2674" s="14"/>
      <c r="K2674" s="14"/>
      <c r="L2674" s="14"/>
      <c r="M2674" s="14"/>
      <c r="N2674" s="14"/>
      <c r="O2674" s="4"/>
      <c r="P2674" s="14"/>
      <c r="Q2674" s="14"/>
    </row>
    <row r="2675" spans="1:17" x14ac:dyDescent="0.25">
      <c r="A2675" s="5"/>
      <c r="B2675" s="6"/>
      <c r="C2675" s="4"/>
      <c r="D2675" s="4"/>
      <c r="E2675" s="12"/>
      <c r="F2675" s="12"/>
      <c r="G2675" s="16"/>
      <c r="H2675" s="14"/>
      <c r="I2675" s="14"/>
      <c r="J2675" s="14"/>
      <c r="K2675" s="14"/>
      <c r="L2675" s="14"/>
      <c r="M2675" s="14"/>
      <c r="N2675" s="14"/>
      <c r="O2675" s="4"/>
      <c r="P2675" s="14"/>
      <c r="Q2675" s="14"/>
    </row>
    <row r="2676" spans="1:17" x14ac:dyDescent="0.25">
      <c r="A2676" s="5"/>
      <c r="B2676" s="6"/>
      <c r="C2676" s="4"/>
      <c r="D2676" s="4"/>
      <c r="E2676" s="12"/>
      <c r="F2676" s="12"/>
      <c r="G2676" s="16"/>
      <c r="H2676" s="14"/>
      <c r="I2676" s="14"/>
      <c r="J2676" s="14"/>
      <c r="K2676" s="14"/>
      <c r="L2676" s="14"/>
      <c r="M2676" s="14"/>
      <c r="N2676" s="14"/>
      <c r="O2676" s="4"/>
      <c r="P2676" s="14"/>
      <c r="Q2676" s="14"/>
    </row>
    <row r="2677" spans="1:17" x14ac:dyDescent="0.25">
      <c r="A2677" s="5"/>
      <c r="B2677" s="6"/>
      <c r="C2677" s="4"/>
      <c r="D2677" s="4"/>
      <c r="E2677" s="12"/>
      <c r="F2677" s="12"/>
      <c r="G2677" s="16"/>
      <c r="H2677" s="14"/>
      <c r="I2677" s="14"/>
      <c r="J2677" s="14"/>
      <c r="K2677" s="14"/>
      <c r="L2677" s="14"/>
      <c r="M2677" s="14"/>
      <c r="N2677" s="14"/>
      <c r="O2677" s="4"/>
      <c r="P2677" s="14"/>
      <c r="Q2677" s="14"/>
    </row>
    <row r="2678" spans="1:17" x14ac:dyDescent="0.25">
      <c r="A2678" s="5"/>
      <c r="B2678" s="6"/>
      <c r="C2678" s="4"/>
      <c r="D2678" s="4"/>
      <c r="E2678" s="12"/>
      <c r="F2678" s="12"/>
      <c r="G2678" s="16"/>
      <c r="H2678" s="14"/>
      <c r="I2678" s="14"/>
      <c r="J2678" s="14"/>
      <c r="K2678" s="14"/>
      <c r="L2678" s="14"/>
      <c r="M2678" s="14"/>
      <c r="N2678" s="14"/>
      <c r="O2678" s="4"/>
      <c r="P2678" s="14"/>
      <c r="Q2678" s="14"/>
    </row>
    <row r="2679" spans="1:17" x14ac:dyDescent="0.25">
      <c r="A2679" s="5"/>
      <c r="B2679" s="6"/>
      <c r="C2679" s="4"/>
      <c r="D2679" s="4"/>
      <c r="E2679" s="12"/>
      <c r="F2679" s="12"/>
      <c r="G2679" s="16"/>
      <c r="H2679" s="14"/>
      <c r="I2679" s="14"/>
      <c r="J2679" s="14"/>
      <c r="K2679" s="14"/>
      <c r="L2679" s="14"/>
      <c r="M2679" s="14"/>
      <c r="N2679" s="14"/>
      <c r="O2679" s="4"/>
      <c r="P2679" s="14"/>
      <c r="Q2679" s="14"/>
    </row>
    <row r="2680" spans="1:17" x14ac:dyDescent="0.25">
      <c r="A2680" s="5"/>
      <c r="B2680" s="6"/>
      <c r="C2680" s="4"/>
      <c r="D2680" s="4"/>
      <c r="E2680" s="12"/>
      <c r="F2680" s="12"/>
      <c r="G2680" s="16"/>
      <c r="H2680" s="14"/>
      <c r="I2680" s="14"/>
      <c r="J2680" s="14"/>
      <c r="K2680" s="14"/>
      <c r="L2680" s="14"/>
      <c r="M2680" s="14"/>
      <c r="N2680" s="14"/>
      <c r="O2680" s="4"/>
      <c r="P2680" s="14"/>
      <c r="Q2680" s="14"/>
    </row>
    <row r="2681" spans="1:17" x14ac:dyDescent="0.25">
      <c r="A2681" s="5"/>
      <c r="B2681" s="6"/>
      <c r="C2681" s="4"/>
      <c r="D2681" s="4"/>
      <c r="E2681" s="12"/>
      <c r="F2681" s="12"/>
      <c r="G2681" s="16"/>
      <c r="H2681" s="14"/>
      <c r="I2681" s="14"/>
      <c r="J2681" s="14"/>
      <c r="K2681" s="14"/>
      <c r="L2681" s="14"/>
      <c r="M2681" s="14"/>
      <c r="N2681" s="14"/>
      <c r="O2681" s="4"/>
      <c r="P2681" s="14"/>
      <c r="Q2681" s="14"/>
    </row>
    <row r="2682" spans="1:17" x14ac:dyDescent="0.25">
      <c r="A2682" s="5"/>
      <c r="B2682" s="6"/>
      <c r="C2682" s="4"/>
      <c r="D2682" s="4"/>
      <c r="E2682" s="12"/>
      <c r="F2682" s="12"/>
      <c r="G2682" s="16"/>
      <c r="H2682" s="14"/>
      <c r="I2682" s="14"/>
      <c r="J2682" s="14"/>
      <c r="K2682" s="14"/>
      <c r="L2682" s="14"/>
      <c r="M2682" s="14"/>
      <c r="N2682" s="14"/>
      <c r="O2682" s="4"/>
      <c r="P2682" s="14"/>
      <c r="Q2682" s="14"/>
    </row>
    <row r="2683" spans="1:17" x14ac:dyDescent="0.25">
      <c r="A2683" s="5"/>
      <c r="B2683" s="6"/>
      <c r="C2683" s="4"/>
      <c r="D2683" s="4"/>
      <c r="E2683" s="12"/>
      <c r="F2683" s="12"/>
      <c r="G2683" s="16"/>
      <c r="H2683" s="14"/>
      <c r="I2683" s="14"/>
      <c r="J2683" s="14"/>
      <c r="K2683" s="14"/>
      <c r="L2683" s="14"/>
      <c r="M2683" s="14"/>
      <c r="N2683" s="14"/>
      <c r="O2683" s="4"/>
      <c r="P2683" s="14"/>
      <c r="Q2683" s="14"/>
    </row>
    <row r="2684" spans="1:17" x14ac:dyDescent="0.25">
      <c r="A2684" s="5"/>
      <c r="B2684" s="6"/>
      <c r="C2684" s="4"/>
      <c r="D2684" s="4"/>
      <c r="E2684" s="12"/>
      <c r="F2684" s="12"/>
      <c r="G2684" s="16"/>
      <c r="H2684" s="14"/>
      <c r="I2684" s="14"/>
      <c r="J2684" s="14"/>
      <c r="K2684" s="14"/>
      <c r="L2684" s="14"/>
      <c r="M2684" s="14"/>
      <c r="N2684" s="14"/>
      <c r="O2684" s="4"/>
      <c r="P2684" s="14"/>
      <c r="Q2684" s="14"/>
    </row>
    <row r="2685" spans="1:17" x14ac:dyDescent="0.25">
      <c r="A2685" s="5"/>
      <c r="B2685" s="6"/>
      <c r="C2685" s="4"/>
      <c r="D2685" s="4"/>
      <c r="E2685" s="12"/>
      <c r="F2685" s="12"/>
      <c r="G2685" s="16"/>
      <c r="H2685" s="14"/>
      <c r="I2685" s="14"/>
      <c r="J2685" s="14"/>
      <c r="K2685" s="14"/>
      <c r="L2685" s="14"/>
      <c r="M2685" s="14"/>
      <c r="N2685" s="14"/>
      <c r="O2685" s="4"/>
      <c r="P2685" s="14"/>
      <c r="Q2685" s="14"/>
    </row>
    <row r="2686" spans="1:17" x14ac:dyDescent="0.25">
      <c r="A2686" s="5"/>
      <c r="B2686" s="6"/>
      <c r="C2686" s="4"/>
      <c r="D2686" s="4"/>
      <c r="E2686" s="12"/>
      <c r="F2686" s="12"/>
      <c r="G2686" s="16"/>
      <c r="H2686" s="14"/>
      <c r="I2686" s="14"/>
      <c r="J2686" s="14"/>
      <c r="K2686" s="14"/>
      <c r="L2686" s="14"/>
      <c r="M2686" s="14"/>
      <c r="N2686" s="14"/>
      <c r="O2686" s="4"/>
      <c r="P2686" s="14"/>
      <c r="Q2686" s="14"/>
    </row>
    <row r="2687" spans="1:17" x14ac:dyDescent="0.25">
      <c r="A2687" s="5"/>
      <c r="B2687" s="6"/>
      <c r="C2687" s="4"/>
      <c r="D2687" s="4"/>
      <c r="E2687" s="12"/>
      <c r="F2687" s="12"/>
      <c r="G2687" s="16"/>
      <c r="H2687" s="14"/>
      <c r="I2687" s="14"/>
      <c r="J2687" s="14"/>
      <c r="K2687" s="14"/>
      <c r="L2687" s="14"/>
      <c r="M2687" s="14"/>
      <c r="N2687" s="14"/>
      <c r="O2687" s="4"/>
      <c r="P2687" s="14"/>
      <c r="Q2687" s="14"/>
    </row>
    <row r="2688" spans="1:17" x14ac:dyDescent="0.25">
      <c r="A2688" s="5"/>
      <c r="B2688" s="6"/>
      <c r="C2688" s="4"/>
      <c r="D2688" s="4"/>
      <c r="E2688" s="12"/>
      <c r="F2688" s="12"/>
      <c r="G2688" s="16"/>
      <c r="H2688" s="14"/>
      <c r="I2688" s="14"/>
      <c r="J2688" s="14"/>
      <c r="K2688" s="14"/>
      <c r="L2688" s="14"/>
      <c r="M2688" s="14"/>
      <c r="N2688" s="14"/>
      <c r="O2688" s="4"/>
      <c r="P2688" s="14"/>
      <c r="Q2688" s="14"/>
    </row>
    <row r="2689" spans="1:17" x14ac:dyDescent="0.25">
      <c r="A2689" s="5"/>
      <c r="B2689" s="6"/>
      <c r="C2689" s="4"/>
      <c r="D2689" s="4"/>
      <c r="E2689" s="12"/>
      <c r="F2689" s="12"/>
      <c r="G2689" s="16"/>
      <c r="H2689" s="14"/>
      <c r="I2689" s="14"/>
      <c r="J2689" s="14"/>
      <c r="K2689" s="14"/>
      <c r="L2689" s="14"/>
      <c r="M2689" s="14"/>
      <c r="N2689" s="14"/>
      <c r="O2689" s="4"/>
      <c r="P2689" s="14"/>
      <c r="Q2689" s="14"/>
    </row>
    <row r="2690" spans="1:17" x14ac:dyDescent="0.25">
      <c r="A2690" s="5"/>
      <c r="B2690" s="6"/>
      <c r="C2690" s="4"/>
      <c r="D2690" s="4"/>
      <c r="E2690" s="12"/>
      <c r="F2690" s="12"/>
      <c r="G2690" s="16"/>
      <c r="H2690" s="14"/>
      <c r="I2690" s="14"/>
      <c r="J2690" s="14"/>
      <c r="K2690" s="14"/>
      <c r="L2690" s="14"/>
      <c r="M2690" s="14"/>
      <c r="N2690" s="14"/>
      <c r="O2690" s="4"/>
      <c r="P2690" s="14"/>
      <c r="Q2690" s="14"/>
    </row>
    <row r="2691" spans="1:17" x14ac:dyDescent="0.25">
      <c r="A2691" s="5"/>
      <c r="B2691" s="6"/>
      <c r="C2691" s="4"/>
      <c r="D2691" s="4"/>
      <c r="E2691" s="12"/>
      <c r="F2691" s="12"/>
      <c r="G2691" s="16"/>
      <c r="H2691" s="14"/>
      <c r="I2691" s="14"/>
      <c r="J2691" s="14"/>
      <c r="K2691" s="14"/>
      <c r="L2691" s="14"/>
      <c r="M2691" s="14"/>
      <c r="N2691" s="14"/>
      <c r="O2691" s="4"/>
      <c r="P2691" s="14"/>
      <c r="Q2691" s="14"/>
    </row>
    <row r="2692" spans="1:17" x14ac:dyDescent="0.25">
      <c r="A2692" s="5"/>
      <c r="B2692" s="6"/>
      <c r="C2692" s="4"/>
      <c r="D2692" s="4"/>
      <c r="E2692" s="12"/>
      <c r="F2692" s="12"/>
      <c r="G2692" s="16"/>
      <c r="H2692" s="14"/>
      <c r="I2692" s="14"/>
      <c r="J2692" s="14"/>
      <c r="K2692" s="14"/>
      <c r="L2692" s="14"/>
      <c r="M2692" s="14"/>
      <c r="N2692" s="14"/>
      <c r="O2692" s="4"/>
      <c r="P2692" s="14"/>
      <c r="Q2692" s="14"/>
    </row>
    <row r="2693" spans="1:17" x14ac:dyDescent="0.25">
      <c r="A2693" s="5"/>
      <c r="B2693" s="6"/>
      <c r="C2693" s="4"/>
      <c r="D2693" s="4"/>
      <c r="E2693" s="12"/>
      <c r="F2693" s="12"/>
      <c r="G2693" s="16"/>
      <c r="H2693" s="14"/>
      <c r="I2693" s="14"/>
      <c r="J2693" s="14"/>
      <c r="K2693" s="14"/>
      <c r="L2693" s="14"/>
      <c r="M2693" s="14"/>
      <c r="N2693" s="14"/>
      <c r="O2693" s="4"/>
      <c r="P2693" s="14"/>
      <c r="Q2693" s="14"/>
    </row>
    <row r="2694" spans="1:17" x14ac:dyDescent="0.25">
      <c r="A2694" s="5"/>
      <c r="B2694" s="6"/>
      <c r="C2694" s="4"/>
      <c r="D2694" s="4"/>
      <c r="E2694" s="12"/>
      <c r="F2694" s="12"/>
      <c r="G2694" s="16"/>
      <c r="H2694" s="14"/>
      <c r="I2694" s="14"/>
      <c r="J2694" s="14"/>
      <c r="K2694" s="14"/>
      <c r="L2694" s="14"/>
      <c r="M2694" s="14"/>
      <c r="N2694" s="14"/>
      <c r="O2694" s="4"/>
      <c r="P2694" s="14"/>
      <c r="Q2694" s="14"/>
    </row>
    <row r="2695" spans="1:17" x14ac:dyDescent="0.25">
      <c r="A2695" s="5"/>
      <c r="B2695" s="6"/>
      <c r="C2695" s="4"/>
      <c r="D2695" s="4"/>
      <c r="E2695" s="12"/>
      <c r="F2695" s="12"/>
      <c r="G2695" s="16"/>
      <c r="H2695" s="14"/>
      <c r="I2695" s="14"/>
      <c r="J2695" s="14"/>
      <c r="K2695" s="14"/>
      <c r="L2695" s="14"/>
      <c r="M2695" s="14"/>
      <c r="N2695" s="14"/>
      <c r="O2695" s="4"/>
      <c r="P2695" s="14"/>
      <c r="Q2695" s="14"/>
    </row>
    <row r="2696" spans="1:17" x14ac:dyDescent="0.25">
      <c r="A2696" s="5"/>
      <c r="B2696" s="6"/>
      <c r="C2696" s="4"/>
      <c r="D2696" s="4"/>
      <c r="E2696" s="12"/>
      <c r="F2696" s="12"/>
      <c r="G2696" s="16"/>
      <c r="H2696" s="14"/>
      <c r="I2696" s="14"/>
      <c r="J2696" s="14"/>
      <c r="K2696" s="14"/>
      <c r="L2696" s="14"/>
      <c r="M2696" s="14"/>
      <c r="N2696" s="14"/>
      <c r="O2696" s="4"/>
      <c r="P2696" s="14"/>
      <c r="Q2696" s="14"/>
    </row>
    <row r="2697" spans="1:17" x14ac:dyDescent="0.25">
      <c r="A2697" s="5"/>
      <c r="B2697" s="6"/>
      <c r="C2697" s="4"/>
      <c r="D2697" s="4"/>
      <c r="E2697" s="12"/>
      <c r="F2697" s="12"/>
      <c r="G2697" s="16"/>
      <c r="H2697" s="14"/>
      <c r="I2697" s="14"/>
      <c r="J2697" s="14"/>
      <c r="K2697" s="14"/>
      <c r="L2697" s="14"/>
      <c r="M2697" s="14"/>
      <c r="N2697" s="14"/>
      <c r="O2697" s="4"/>
      <c r="P2697" s="14"/>
      <c r="Q2697" s="14"/>
    </row>
    <row r="2698" spans="1:17" x14ac:dyDescent="0.25">
      <c r="A2698" s="5"/>
      <c r="B2698" s="6"/>
      <c r="C2698" s="4"/>
      <c r="D2698" s="4"/>
      <c r="E2698" s="12"/>
      <c r="F2698" s="12"/>
      <c r="G2698" s="16"/>
      <c r="H2698" s="14"/>
      <c r="I2698" s="14"/>
      <c r="J2698" s="14"/>
      <c r="K2698" s="14"/>
      <c r="L2698" s="14"/>
      <c r="M2698" s="14"/>
      <c r="N2698" s="14"/>
      <c r="O2698" s="4"/>
      <c r="P2698" s="14"/>
      <c r="Q2698" s="14"/>
    </row>
    <row r="2699" spans="1:17" x14ac:dyDescent="0.25">
      <c r="A2699" s="5"/>
      <c r="B2699" s="6"/>
      <c r="C2699" s="4"/>
      <c r="D2699" s="4"/>
      <c r="E2699" s="12"/>
      <c r="F2699" s="12"/>
      <c r="G2699" s="16"/>
      <c r="H2699" s="14"/>
      <c r="I2699" s="14"/>
      <c r="J2699" s="14"/>
      <c r="K2699" s="14"/>
      <c r="L2699" s="14"/>
      <c r="M2699" s="14"/>
      <c r="N2699" s="14"/>
      <c r="O2699" s="4"/>
      <c r="P2699" s="14"/>
      <c r="Q2699" s="14"/>
    </row>
    <row r="2700" spans="1:17" x14ac:dyDescent="0.25">
      <c r="A2700" s="5"/>
      <c r="B2700" s="6"/>
      <c r="C2700" s="4"/>
      <c r="D2700" s="4"/>
      <c r="E2700" s="12"/>
      <c r="F2700" s="12"/>
      <c r="G2700" s="16"/>
      <c r="H2700" s="14"/>
      <c r="I2700" s="14"/>
      <c r="J2700" s="14"/>
      <c r="K2700" s="14"/>
      <c r="L2700" s="14"/>
      <c r="M2700" s="14"/>
      <c r="N2700" s="14"/>
      <c r="O2700" s="4"/>
      <c r="P2700" s="14"/>
      <c r="Q2700" s="14"/>
    </row>
    <row r="2701" spans="1:17" x14ac:dyDescent="0.25">
      <c r="A2701" s="5"/>
      <c r="B2701" s="6"/>
      <c r="C2701" s="4"/>
      <c r="D2701" s="4"/>
      <c r="E2701" s="12"/>
      <c r="F2701" s="12"/>
      <c r="G2701" s="16"/>
      <c r="H2701" s="14"/>
      <c r="I2701" s="14"/>
      <c r="J2701" s="14"/>
      <c r="K2701" s="14"/>
      <c r="L2701" s="14"/>
      <c r="M2701" s="14"/>
      <c r="N2701" s="14"/>
      <c r="O2701" s="4"/>
      <c r="P2701" s="14"/>
      <c r="Q2701" s="14"/>
    </row>
    <row r="2702" spans="1:17" x14ac:dyDescent="0.25">
      <c r="A2702" s="5"/>
      <c r="B2702" s="6"/>
      <c r="C2702" s="4"/>
      <c r="D2702" s="4"/>
      <c r="E2702" s="12"/>
      <c r="F2702" s="12"/>
      <c r="G2702" s="16"/>
      <c r="H2702" s="14"/>
      <c r="I2702" s="14"/>
      <c r="J2702" s="14"/>
      <c r="K2702" s="14"/>
      <c r="L2702" s="14"/>
      <c r="M2702" s="14"/>
      <c r="N2702" s="14"/>
      <c r="O2702" s="4"/>
      <c r="P2702" s="14"/>
      <c r="Q2702" s="14"/>
    </row>
    <row r="2703" spans="1:17" x14ac:dyDescent="0.25">
      <c r="A2703" s="5"/>
      <c r="B2703" s="6"/>
      <c r="C2703" s="4"/>
      <c r="D2703" s="4"/>
      <c r="E2703" s="12"/>
      <c r="F2703" s="12"/>
      <c r="G2703" s="16"/>
      <c r="H2703" s="14"/>
      <c r="I2703" s="14"/>
      <c r="J2703" s="14"/>
      <c r="K2703" s="14"/>
      <c r="L2703" s="14"/>
      <c r="M2703" s="14"/>
      <c r="N2703" s="14"/>
      <c r="O2703" s="4"/>
      <c r="P2703" s="14"/>
      <c r="Q2703" s="14"/>
    </row>
    <row r="2704" spans="1:17" x14ac:dyDescent="0.25">
      <c r="A2704" s="5"/>
      <c r="B2704" s="6"/>
      <c r="C2704" s="4"/>
      <c r="D2704" s="4"/>
      <c r="E2704" s="12"/>
      <c r="F2704" s="12"/>
      <c r="G2704" s="16"/>
      <c r="H2704" s="14"/>
      <c r="I2704" s="14"/>
      <c r="J2704" s="14"/>
      <c r="K2704" s="14"/>
      <c r="L2704" s="14"/>
      <c r="M2704" s="14"/>
      <c r="N2704" s="14"/>
      <c r="O2704" s="4"/>
      <c r="P2704" s="14"/>
      <c r="Q2704" s="14"/>
    </row>
    <row r="2705" spans="1:17" x14ac:dyDescent="0.25">
      <c r="A2705" s="5"/>
      <c r="B2705" s="6"/>
      <c r="C2705" s="4"/>
      <c r="D2705" s="4"/>
      <c r="E2705" s="12"/>
      <c r="F2705" s="12"/>
      <c r="G2705" s="16"/>
      <c r="H2705" s="14"/>
      <c r="I2705" s="14"/>
      <c r="J2705" s="14"/>
      <c r="K2705" s="14"/>
      <c r="L2705" s="14"/>
      <c r="M2705" s="14"/>
      <c r="N2705" s="14"/>
      <c r="O2705" s="4"/>
      <c r="P2705" s="14"/>
      <c r="Q2705" s="14"/>
    </row>
    <row r="2706" spans="1:17" x14ac:dyDescent="0.25">
      <c r="A2706" s="5"/>
      <c r="B2706" s="6"/>
      <c r="C2706" s="4"/>
      <c r="D2706" s="4"/>
      <c r="E2706" s="12"/>
      <c r="F2706" s="12"/>
      <c r="G2706" s="16"/>
      <c r="H2706" s="14"/>
      <c r="I2706" s="14"/>
      <c r="J2706" s="14"/>
      <c r="K2706" s="14"/>
      <c r="L2706" s="14"/>
      <c r="M2706" s="14"/>
      <c r="N2706" s="14"/>
      <c r="O2706" s="4"/>
      <c r="P2706" s="14"/>
      <c r="Q2706" s="14"/>
    </row>
    <row r="2707" spans="1:17" x14ac:dyDescent="0.25">
      <c r="A2707" s="5"/>
      <c r="B2707" s="6"/>
      <c r="C2707" s="4"/>
      <c r="D2707" s="4"/>
      <c r="E2707" s="12"/>
      <c r="F2707" s="12"/>
      <c r="G2707" s="16"/>
      <c r="H2707" s="14"/>
      <c r="I2707" s="14"/>
      <c r="J2707" s="14"/>
      <c r="K2707" s="14"/>
      <c r="L2707" s="14"/>
      <c r="M2707" s="14"/>
      <c r="N2707" s="14"/>
      <c r="O2707" s="4"/>
      <c r="P2707" s="14"/>
      <c r="Q2707" s="14"/>
    </row>
    <row r="2708" spans="1:17" x14ac:dyDescent="0.25">
      <c r="A2708" s="5"/>
      <c r="B2708" s="6"/>
      <c r="C2708" s="4"/>
      <c r="D2708" s="4"/>
      <c r="E2708" s="12"/>
      <c r="F2708" s="12"/>
      <c r="G2708" s="16"/>
      <c r="H2708" s="14"/>
      <c r="I2708" s="14"/>
      <c r="J2708" s="14"/>
      <c r="K2708" s="14"/>
      <c r="L2708" s="14"/>
      <c r="M2708" s="14"/>
      <c r="N2708" s="14"/>
      <c r="O2708" s="4"/>
      <c r="P2708" s="14"/>
      <c r="Q2708" s="14"/>
    </row>
    <row r="2709" spans="1:17" x14ac:dyDescent="0.25">
      <c r="A2709" s="5"/>
      <c r="B2709" s="6"/>
      <c r="C2709" s="4"/>
      <c r="D2709" s="4"/>
      <c r="E2709" s="12"/>
      <c r="F2709" s="12"/>
      <c r="G2709" s="16"/>
      <c r="H2709" s="14"/>
      <c r="I2709" s="14"/>
      <c r="J2709" s="14"/>
      <c r="K2709" s="14"/>
      <c r="L2709" s="14"/>
      <c r="M2709" s="14"/>
      <c r="N2709" s="14"/>
      <c r="O2709" s="4"/>
      <c r="P2709" s="14"/>
      <c r="Q2709" s="14"/>
    </row>
    <row r="2710" spans="1:17" x14ac:dyDescent="0.25">
      <c r="A2710" s="5"/>
      <c r="B2710" s="6"/>
      <c r="C2710" s="4"/>
      <c r="D2710" s="4"/>
      <c r="E2710" s="12"/>
      <c r="F2710" s="12"/>
      <c r="G2710" s="16"/>
      <c r="H2710" s="14"/>
      <c r="I2710" s="14"/>
      <c r="J2710" s="14"/>
      <c r="K2710" s="14"/>
      <c r="L2710" s="14"/>
      <c r="M2710" s="14"/>
      <c r="N2710" s="14"/>
      <c r="O2710" s="4"/>
      <c r="P2710" s="14"/>
      <c r="Q2710" s="14"/>
    </row>
    <row r="2711" spans="1:17" x14ac:dyDescent="0.25">
      <c r="A2711" s="5"/>
      <c r="B2711" s="6"/>
      <c r="C2711" s="4"/>
      <c r="D2711" s="4"/>
      <c r="E2711" s="12"/>
      <c r="F2711" s="12"/>
      <c r="G2711" s="16"/>
      <c r="H2711" s="14"/>
      <c r="I2711" s="14"/>
      <c r="J2711" s="14"/>
      <c r="K2711" s="14"/>
      <c r="L2711" s="14"/>
      <c r="M2711" s="14"/>
      <c r="N2711" s="14"/>
      <c r="O2711" s="4"/>
      <c r="P2711" s="14"/>
      <c r="Q2711" s="14"/>
    </row>
    <row r="2712" spans="1:17" x14ac:dyDescent="0.25">
      <c r="A2712" s="5"/>
      <c r="B2712" s="6"/>
      <c r="C2712" s="4"/>
      <c r="D2712" s="4"/>
      <c r="E2712" s="12"/>
      <c r="F2712" s="12"/>
      <c r="G2712" s="16"/>
      <c r="H2712" s="14"/>
      <c r="I2712" s="14"/>
      <c r="J2712" s="14"/>
      <c r="K2712" s="14"/>
      <c r="L2712" s="14"/>
      <c r="M2712" s="14"/>
      <c r="N2712" s="14"/>
      <c r="O2712" s="4"/>
      <c r="P2712" s="14"/>
      <c r="Q2712" s="14"/>
    </row>
    <row r="2713" spans="1:17" x14ac:dyDescent="0.25">
      <c r="A2713" s="5"/>
      <c r="B2713" s="6"/>
      <c r="C2713" s="4"/>
      <c r="D2713" s="4"/>
      <c r="E2713" s="12"/>
      <c r="F2713" s="12"/>
      <c r="G2713" s="16"/>
      <c r="H2713" s="14"/>
      <c r="I2713" s="14"/>
      <c r="J2713" s="14"/>
      <c r="K2713" s="14"/>
      <c r="L2713" s="14"/>
      <c r="M2713" s="14"/>
      <c r="N2713" s="14"/>
      <c r="O2713" s="4"/>
      <c r="P2713" s="14"/>
      <c r="Q2713" s="14"/>
    </row>
    <row r="2714" spans="1:17" x14ac:dyDescent="0.25">
      <c r="A2714" s="5"/>
      <c r="B2714" s="6"/>
      <c r="C2714" s="4"/>
      <c r="D2714" s="4"/>
      <c r="E2714" s="12"/>
      <c r="F2714" s="12"/>
      <c r="G2714" s="16"/>
      <c r="H2714" s="14"/>
      <c r="I2714" s="14"/>
      <c r="J2714" s="14"/>
      <c r="K2714" s="14"/>
      <c r="L2714" s="14"/>
      <c r="M2714" s="14"/>
      <c r="N2714" s="14"/>
      <c r="O2714" s="4"/>
      <c r="P2714" s="14"/>
      <c r="Q2714" s="14"/>
    </row>
    <row r="2715" spans="1:17" x14ac:dyDescent="0.25">
      <c r="A2715" s="5"/>
      <c r="B2715" s="6"/>
      <c r="C2715" s="4"/>
      <c r="D2715" s="4"/>
      <c r="E2715" s="12"/>
      <c r="F2715" s="12"/>
      <c r="G2715" s="16"/>
      <c r="H2715" s="14"/>
      <c r="I2715" s="14"/>
      <c r="J2715" s="14"/>
      <c r="K2715" s="14"/>
      <c r="L2715" s="14"/>
      <c r="M2715" s="14"/>
      <c r="N2715" s="14"/>
      <c r="O2715" s="4"/>
      <c r="P2715" s="14"/>
      <c r="Q2715" s="14"/>
    </row>
    <row r="2716" spans="1:17" x14ac:dyDescent="0.25">
      <c r="A2716" s="5"/>
      <c r="B2716" s="6"/>
      <c r="C2716" s="4"/>
      <c r="D2716" s="4"/>
      <c r="E2716" s="12"/>
      <c r="F2716" s="12"/>
      <c r="G2716" s="16"/>
      <c r="H2716" s="14"/>
      <c r="I2716" s="14"/>
      <c r="J2716" s="14"/>
      <c r="K2716" s="14"/>
      <c r="L2716" s="14"/>
      <c r="M2716" s="14"/>
      <c r="N2716" s="14"/>
      <c r="O2716" s="4"/>
      <c r="P2716" s="14"/>
      <c r="Q2716" s="14"/>
    </row>
    <row r="2717" spans="1:17" x14ac:dyDescent="0.25">
      <c r="A2717" s="5"/>
      <c r="B2717" s="6"/>
      <c r="C2717" s="4"/>
      <c r="D2717" s="4"/>
      <c r="E2717" s="12"/>
      <c r="F2717" s="12"/>
      <c r="G2717" s="16"/>
      <c r="H2717" s="14"/>
      <c r="I2717" s="14"/>
      <c r="J2717" s="14"/>
      <c r="K2717" s="14"/>
      <c r="L2717" s="14"/>
      <c r="M2717" s="14"/>
      <c r="N2717" s="14"/>
      <c r="O2717" s="4"/>
      <c r="P2717" s="14"/>
      <c r="Q2717" s="14"/>
    </row>
    <row r="2718" spans="1:17" x14ac:dyDescent="0.25">
      <c r="A2718" s="5"/>
      <c r="B2718" s="6"/>
      <c r="C2718" s="4"/>
      <c r="D2718" s="4"/>
      <c r="E2718" s="12"/>
      <c r="F2718" s="12"/>
      <c r="G2718" s="16"/>
      <c r="H2718" s="14"/>
      <c r="I2718" s="14"/>
      <c r="J2718" s="14"/>
      <c r="K2718" s="14"/>
      <c r="L2718" s="14"/>
      <c r="M2718" s="14"/>
      <c r="N2718" s="14"/>
      <c r="O2718" s="4"/>
      <c r="P2718" s="14"/>
      <c r="Q2718" s="14"/>
    </row>
    <row r="2719" spans="1:17" x14ac:dyDescent="0.25">
      <c r="A2719" s="5"/>
      <c r="B2719" s="6"/>
      <c r="C2719" s="4"/>
      <c r="D2719" s="4"/>
      <c r="E2719" s="12"/>
      <c r="F2719" s="12"/>
      <c r="G2719" s="16"/>
      <c r="H2719" s="14"/>
      <c r="I2719" s="14"/>
      <c r="J2719" s="14"/>
      <c r="K2719" s="14"/>
      <c r="L2719" s="14"/>
      <c r="M2719" s="14"/>
      <c r="N2719" s="14"/>
      <c r="O2719" s="4"/>
      <c r="P2719" s="14"/>
      <c r="Q2719" s="14"/>
    </row>
    <row r="2720" spans="1:17" x14ac:dyDescent="0.25">
      <c r="A2720" s="5"/>
      <c r="B2720" s="6"/>
      <c r="C2720" s="4"/>
      <c r="D2720" s="4"/>
      <c r="E2720" s="12"/>
      <c r="F2720" s="12"/>
      <c r="G2720" s="16"/>
      <c r="H2720" s="14"/>
      <c r="I2720" s="14"/>
      <c r="J2720" s="14"/>
      <c r="K2720" s="14"/>
      <c r="L2720" s="14"/>
      <c r="M2720" s="14"/>
      <c r="N2720" s="14"/>
      <c r="O2720" s="4"/>
      <c r="P2720" s="14"/>
      <c r="Q2720" s="14"/>
    </row>
    <row r="2721" spans="1:17" x14ac:dyDescent="0.25">
      <c r="A2721" s="5"/>
      <c r="B2721" s="6"/>
      <c r="C2721" s="4"/>
      <c r="D2721" s="4"/>
      <c r="E2721" s="12"/>
      <c r="F2721" s="12"/>
      <c r="G2721" s="16"/>
      <c r="H2721" s="14"/>
      <c r="I2721" s="14"/>
      <c r="J2721" s="14"/>
      <c r="K2721" s="14"/>
      <c r="L2721" s="14"/>
      <c r="M2721" s="14"/>
      <c r="N2721" s="14"/>
      <c r="O2721" s="4"/>
      <c r="P2721" s="14"/>
      <c r="Q2721" s="14"/>
    </row>
    <row r="2722" spans="1:17" x14ac:dyDescent="0.25">
      <c r="A2722" s="5"/>
      <c r="B2722" s="6"/>
      <c r="C2722" s="4"/>
      <c r="D2722" s="4"/>
      <c r="E2722" s="12"/>
      <c r="F2722" s="12"/>
      <c r="G2722" s="16"/>
      <c r="H2722" s="14"/>
      <c r="I2722" s="14"/>
      <c r="J2722" s="14"/>
      <c r="K2722" s="14"/>
      <c r="L2722" s="14"/>
      <c r="M2722" s="14"/>
      <c r="N2722" s="14"/>
      <c r="O2722" s="4"/>
      <c r="P2722" s="14"/>
      <c r="Q2722" s="14"/>
    </row>
    <row r="2723" spans="1:17" x14ac:dyDescent="0.25">
      <c r="A2723" s="5"/>
      <c r="B2723" s="6"/>
      <c r="C2723" s="4"/>
      <c r="D2723" s="4"/>
      <c r="E2723" s="12"/>
      <c r="F2723" s="12"/>
      <c r="G2723" s="16"/>
      <c r="H2723" s="14"/>
      <c r="I2723" s="14"/>
      <c r="J2723" s="14"/>
      <c r="K2723" s="14"/>
      <c r="L2723" s="14"/>
      <c r="M2723" s="14"/>
      <c r="N2723" s="14"/>
      <c r="O2723" s="4"/>
      <c r="P2723" s="14"/>
      <c r="Q2723" s="14"/>
    </row>
    <row r="2724" spans="1:17" x14ac:dyDescent="0.25">
      <c r="A2724" s="5"/>
      <c r="B2724" s="6"/>
      <c r="C2724" s="4"/>
      <c r="D2724" s="4"/>
      <c r="E2724" s="12"/>
      <c r="F2724" s="12"/>
      <c r="G2724" s="16"/>
      <c r="H2724" s="14"/>
      <c r="I2724" s="14"/>
      <c r="J2724" s="14"/>
      <c r="K2724" s="14"/>
      <c r="L2724" s="14"/>
      <c r="M2724" s="14"/>
      <c r="N2724" s="14"/>
      <c r="O2724" s="4"/>
      <c r="P2724" s="14"/>
      <c r="Q2724" s="14"/>
    </row>
    <row r="2725" spans="1:17" x14ac:dyDescent="0.25">
      <c r="A2725" s="5"/>
      <c r="B2725" s="6"/>
      <c r="C2725" s="4"/>
      <c r="D2725" s="4"/>
      <c r="E2725" s="12"/>
      <c r="F2725" s="12"/>
      <c r="G2725" s="16"/>
      <c r="H2725" s="14"/>
      <c r="I2725" s="14"/>
      <c r="J2725" s="14"/>
      <c r="K2725" s="14"/>
      <c r="L2725" s="14"/>
      <c r="M2725" s="14"/>
      <c r="N2725" s="14"/>
      <c r="O2725" s="4"/>
      <c r="P2725" s="14"/>
      <c r="Q2725" s="14"/>
    </row>
    <row r="2726" spans="1:17" x14ac:dyDescent="0.25">
      <c r="A2726" s="5"/>
      <c r="B2726" s="6"/>
      <c r="C2726" s="4"/>
      <c r="D2726" s="4"/>
      <c r="E2726" s="12"/>
      <c r="F2726" s="12"/>
      <c r="G2726" s="16"/>
      <c r="H2726" s="14"/>
      <c r="I2726" s="14"/>
      <c r="J2726" s="14"/>
      <c r="K2726" s="14"/>
      <c r="L2726" s="14"/>
      <c r="M2726" s="14"/>
      <c r="N2726" s="14"/>
      <c r="O2726" s="4"/>
      <c r="P2726" s="14"/>
      <c r="Q2726" s="14"/>
    </row>
    <row r="2727" spans="1:17" x14ac:dyDescent="0.25">
      <c r="A2727" s="5"/>
      <c r="B2727" s="6"/>
      <c r="C2727" s="4"/>
      <c r="D2727" s="4"/>
      <c r="E2727" s="12"/>
      <c r="F2727" s="12"/>
      <c r="G2727" s="16"/>
      <c r="H2727" s="14"/>
      <c r="I2727" s="14"/>
      <c r="J2727" s="14"/>
      <c r="K2727" s="14"/>
      <c r="L2727" s="14"/>
      <c r="M2727" s="14"/>
      <c r="N2727" s="14"/>
      <c r="O2727" s="4"/>
      <c r="P2727" s="14"/>
      <c r="Q2727" s="14"/>
    </row>
    <row r="2728" spans="1:17" x14ac:dyDescent="0.25">
      <c r="A2728" s="5"/>
      <c r="B2728" s="6"/>
      <c r="C2728" s="4"/>
      <c r="D2728" s="4"/>
      <c r="E2728" s="12"/>
      <c r="F2728" s="12"/>
      <c r="G2728" s="16"/>
      <c r="H2728" s="14"/>
      <c r="I2728" s="14"/>
      <c r="J2728" s="14"/>
      <c r="K2728" s="14"/>
      <c r="L2728" s="14"/>
      <c r="M2728" s="14"/>
      <c r="N2728" s="14"/>
      <c r="O2728" s="4"/>
      <c r="P2728" s="14"/>
      <c r="Q2728" s="14"/>
    </row>
    <row r="2729" spans="1:17" x14ac:dyDescent="0.25">
      <c r="A2729" s="5"/>
      <c r="B2729" s="6"/>
      <c r="C2729" s="4"/>
      <c r="D2729" s="4"/>
      <c r="E2729" s="12"/>
      <c r="F2729" s="12"/>
      <c r="G2729" s="16"/>
      <c r="H2729" s="14"/>
      <c r="I2729" s="14"/>
      <c r="J2729" s="14"/>
      <c r="K2729" s="14"/>
      <c r="L2729" s="14"/>
      <c r="M2729" s="14"/>
      <c r="N2729" s="14"/>
      <c r="O2729" s="4"/>
      <c r="P2729" s="14"/>
      <c r="Q2729" s="14"/>
    </row>
    <row r="2730" spans="1:17" x14ac:dyDescent="0.25">
      <c r="A2730" s="5"/>
      <c r="B2730" s="6"/>
      <c r="C2730" s="4"/>
      <c r="D2730" s="4"/>
      <c r="E2730" s="12"/>
      <c r="F2730" s="12"/>
      <c r="G2730" s="16"/>
      <c r="H2730" s="14"/>
      <c r="I2730" s="14"/>
      <c r="J2730" s="14"/>
      <c r="K2730" s="14"/>
      <c r="L2730" s="14"/>
      <c r="M2730" s="14"/>
      <c r="N2730" s="14"/>
      <c r="O2730" s="4"/>
      <c r="P2730" s="14"/>
      <c r="Q2730" s="14"/>
    </row>
    <row r="2731" spans="1:17" x14ac:dyDescent="0.25">
      <c r="A2731" s="5"/>
      <c r="B2731" s="6"/>
      <c r="C2731" s="4"/>
      <c r="D2731" s="4"/>
      <c r="E2731" s="12"/>
      <c r="F2731" s="12"/>
      <c r="G2731" s="16"/>
      <c r="H2731" s="14"/>
      <c r="I2731" s="14"/>
      <c r="J2731" s="14"/>
      <c r="K2731" s="14"/>
      <c r="L2731" s="14"/>
      <c r="M2731" s="14"/>
      <c r="N2731" s="14"/>
      <c r="O2731" s="4"/>
      <c r="P2731" s="14"/>
      <c r="Q2731" s="14"/>
    </row>
    <row r="2732" spans="1:17" x14ac:dyDescent="0.25">
      <c r="A2732" s="5"/>
      <c r="B2732" s="6"/>
      <c r="C2732" s="4"/>
      <c r="D2732" s="4"/>
      <c r="E2732" s="12"/>
      <c r="F2732" s="12"/>
      <c r="G2732" s="16"/>
      <c r="H2732" s="14"/>
      <c r="I2732" s="14"/>
      <c r="J2732" s="14"/>
      <c r="K2732" s="14"/>
      <c r="L2732" s="14"/>
      <c r="M2732" s="14"/>
      <c r="N2732" s="14"/>
      <c r="O2732" s="4"/>
      <c r="P2732" s="14"/>
      <c r="Q2732" s="14"/>
    </row>
    <row r="2733" spans="1:17" x14ac:dyDescent="0.25">
      <c r="A2733" s="5"/>
      <c r="B2733" s="6"/>
      <c r="C2733" s="4"/>
      <c r="D2733" s="4"/>
      <c r="E2733" s="12"/>
      <c r="F2733" s="12"/>
      <c r="G2733" s="16"/>
      <c r="H2733" s="14"/>
      <c r="I2733" s="14"/>
      <c r="J2733" s="14"/>
      <c r="K2733" s="14"/>
      <c r="L2733" s="14"/>
      <c r="M2733" s="14"/>
      <c r="N2733" s="14"/>
      <c r="O2733" s="4"/>
      <c r="P2733" s="14"/>
      <c r="Q2733" s="14"/>
    </row>
    <row r="2734" spans="1:17" x14ac:dyDescent="0.25">
      <c r="A2734" s="5"/>
      <c r="B2734" s="6"/>
      <c r="C2734" s="4"/>
      <c r="D2734" s="4"/>
      <c r="E2734" s="12"/>
      <c r="F2734" s="12"/>
      <c r="G2734" s="16"/>
      <c r="H2734" s="14"/>
      <c r="I2734" s="14"/>
      <c r="J2734" s="14"/>
      <c r="K2734" s="14"/>
      <c r="L2734" s="14"/>
      <c r="M2734" s="14"/>
      <c r="N2734" s="14"/>
      <c r="O2734" s="4"/>
      <c r="P2734" s="14"/>
      <c r="Q2734" s="14"/>
    </row>
    <row r="2735" spans="1:17" x14ac:dyDescent="0.25">
      <c r="A2735" s="5"/>
      <c r="B2735" s="6"/>
      <c r="C2735" s="4"/>
      <c r="D2735" s="4"/>
      <c r="E2735" s="12"/>
      <c r="F2735" s="12"/>
      <c r="G2735" s="16"/>
      <c r="H2735" s="14"/>
      <c r="I2735" s="14"/>
      <c r="J2735" s="14"/>
      <c r="K2735" s="14"/>
      <c r="L2735" s="14"/>
      <c r="M2735" s="14"/>
      <c r="N2735" s="14"/>
      <c r="O2735" s="4"/>
      <c r="P2735" s="14"/>
      <c r="Q2735" s="14"/>
    </row>
    <row r="2736" spans="1:17" x14ac:dyDescent="0.25">
      <c r="A2736" s="5"/>
      <c r="B2736" s="6"/>
      <c r="C2736" s="4"/>
      <c r="D2736" s="4"/>
      <c r="E2736" s="12"/>
      <c r="F2736" s="12"/>
      <c r="G2736" s="16"/>
      <c r="H2736" s="14"/>
      <c r="I2736" s="14"/>
      <c r="J2736" s="14"/>
      <c r="K2736" s="14"/>
      <c r="L2736" s="14"/>
      <c r="M2736" s="14"/>
      <c r="N2736" s="14"/>
      <c r="O2736" s="4"/>
      <c r="P2736" s="14"/>
      <c r="Q2736" s="14"/>
    </row>
    <row r="2737" spans="1:17" x14ac:dyDescent="0.25">
      <c r="A2737" s="5"/>
      <c r="B2737" s="6"/>
      <c r="C2737" s="4"/>
      <c r="D2737" s="4"/>
      <c r="E2737" s="12"/>
      <c r="F2737" s="12"/>
      <c r="G2737" s="16"/>
      <c r="H2737" s="14"/>
      <c r="I2737" s="14"/>
      <c r="J2737" s="14"/>
      <c r="K2737" s="14"/>
      <c r="L2737" s="14"/>
      <c r="M2737" s="14"/>
      <c r="N2737" s="14"/>
      <c r="O2737" s="4"/>
      <c r="P2737" s="14"/>
      <c r="Q2737" s="14"/>
    </row>
    <row r="2738" spans="1:17" x14ac:dyDescent="0.25">
      <c r="A2738" s="5"/>
      <c r="B2738" s="6"/>
      <c r="C2738" s="4"/>
      <c r="D2738" s="4"/>
      <c r="E2738" s="12"/>
      <c r="F2738" s="12"/>
      <c r="G2738" s="16"/>
      <c r="H2738" s="14"/>
      <c r="I2738" s="14"/>
      <c r="J2738" s="14"/>
      <c r="K2738" s="14"/>
      <c r="L2738" s="14"/>
      <c r="M2738" s="14"/>
      <c r="N2738" s="14"/>
      <c r="O2738" s="4"/>
      <c r="P2738" s="14"/>
      <c r="Q2738" s="14"/>
    </row>
    <row r="2739" spans="1:17" x14ac:dyDescent="0.25">
      <c r="A2739" s="5"/>
      <c r="B2739" s="6"/>
      <c r="C2739" s="4"/>
      <c r="D2739" s="4"/>
      <c r="E2739" s="12"/>
      <c r="F2739" s="12"/>
      <c r="G2739" s="16"/>
      <c r="H2739" s="14"/>
      <c r="I2739" s="14"/>
      <c r="J2739" s="14"/>
      <c r="K2739" s="14"/>
      <c r="L2739" s="14"/>
      <c r="M2739" s="14"/>
      <c r="N2739" s="14"/>
      <c r="O2739" s="4"/>
      <c r="P2739" s="14"/>
      <c r="Q2739" s="14"/>
    </row>
    <row r="2740" spans="1:17" x14ac:dyDescent="0.25">
      <c r="A2740" s="5"/>
      <c r="B2740" s="6"/>
      <c r="C2740" s="4"/>
      <c r="D2740" s="4"/>
      <c r="E2740" s="12"/>
      <c r="F2740" s="12"/>
      <c r="G2740" s="16"/>
      <c r="H2740" s="14"/>
      <c r="I2740" s="14"/>
      <c r="J2740" s="14"/>
      <c r="K2740" s="14"/>
      <c r="L2740" s="14"/>
      <c r="M2740" s="14"/>
      <c r="N2740" s="14"/>
      <c r="O2740" s="4"/>
      <c r="P2740" s="14"/>
      <c r="Q2740" s="14"/>
    </row>
    <row r="2741" spans="1:17" x14ac:dyDescent="0.25">
      <c r="A2741" s="5"/>
      <c r="B2741" s="6"/>
      <c r="C2741" s="4"/>
      <c r="D2741" s="4"/>
      <c r="E2741" s="12"/>
      <c r="F2741" s="12"/>
      <c r="G2741" s="16"/>
      <c r="H2741" s="14"/>
      <c r="I2741" s="14"/>
      <c r="J2741" s="14"/>
      <c r="K2741" s="14"/>
      <c r="L2741" s="14"/>
      <c r="M2741" s="14"/>
      <c r="N2741" s="14"/>
      <c r="O2741" s="4"/>
      <c r="P2741" s="14"/>
      <c r="Q2741" s="14"/>
    </row>
    <row r="2742" spans="1:17" x14ac:dyDescent="0.25">
      <c r="A2742" s="5"/>
      <c r="B2742" s="6"/>
      <c r="C2742" s="4"/>
      <c r="D2742" s="4"/>
      <c r="E2742" s="12"/>
      <c r="F2742" s="12"/>
      <c r="G2742" s="16"/>
      <c r="H2742" s="14"/>
      <c r="I2742" s="14"/>
      <c r="J2742" s="14"/>
      <c r="K2742" s="14"/>
      <c r="L2742" s="14"/>
      <c r="M2742" s="14"/>
      <c r="N2742" s="14"/>
      <c r="O2742" s="4"/>
      <c r="P2742" s="14"/>
      <c r="Q2742" s="14"/>
    </row>
    <row r="2743" spans="1:17" x14ac:dyDescent="0.25">
      <c r="A2743" s="5"/>
      <c r="B2743" s="6"/>
      <c r="C2743" s="4"/>
      <c r="D2743" s="4"/>
      <c r="E2743" s="12"/>
      <c r="F2743" s="12"/>
      <c r="G2743" s="16"/>
      <c r="H2743" s="14"/>
      <c r="I2743" s="14"/>
      <c r="J2743" s="14"/>
      <c r="K2743" s="14"/>
      <c r="L2743" s="14"/>
      <c r="M2743" s="14"/>
      <c r="N2743" s="14"/>
      <c r="O2743" s="4"/>
      <c r="P2743" s="14"/>
      <c r="Q2743" s="14"/>
    </row>
    <row r="2744" spans="1:17" x14ac:dyDescent="0.25">
      <c r="A2744" s="5"/>
      <c r="B2744" s="6"/>
      <c r="C2744" s="4"/>
      <c r="D2744" s="4"/>
      <c r="E2744" s="12"/>
      <c r="F2744" s="12"/>
      <c r="G2744" s="16"/>
      <c r="H2744" s="14"/>
      <c r="I2744" s="14"/>
      <c r="J2744" s="14"/>
      <c r="K2744" s="14"/>
      <c r="L2744" s="14"/>
      <c r="M2744" s="14"/>
      <c r="N2744" s="14"/>
      <c r="O2744" s="4"/>
      <c r="P2744" s="14"/>
      <c r="Q2744" s="14"/>
    </row>
    <row r="2745" spans="1:17" x14ac:dyDescent="0.25">
      <c r="A2745" s="5"/>
      <c r="B2745" s="6"/>
      <c r="C2745" s="4"/>
      <c r="D2745" s="4"/>
      <c r="E2745" s="12"/>
      <c r="F2745" s="12"/>
      <c r="G2745" s="16"/>
      <c r="H2745" s="14"/>
      <c r="I2745" s="14"/>
      <c r="J2745" s="14"/>
      <c r="K2745" s="14"/>
      <c r="L2745" s="14"/>
      <c r="M2745" s="14"/>
      <c r="N2745" s="14"/>
      <c r="O2745" s="4"/>
      <c r="P2745" s="14"/>
      <c r="Q2745" s="14"/>
    </row>
    <row r="2746" spans="1:17" x14ac:dyDescent="0.25">
      <c r="A2746" s="5"/>
      <c r="B2746" s="6"/>
      <c r="C2746" s="4"/>
      <c r="D2746" s="4"/>
      <c r="E2746" s="12"/>
      <c r="F2746" s="12"/>
      <c r="G2746" s="16"/>
      <c r="H2746" s="14"/>
      <c r="I2746" s="14"/>
      <c r="J2746" s="14"/>
      <c r="K2746" s="14"/>
      <c r="L2746" s="14"/>
      <c r="M2746" s="14"/>
      <c r="N2746" s="14"/>
      <c r="O2746" s="4"/>
      <c r="P2746" s="14"/>
      <c r="Q2746" s="14"/>
    </row>
    <row r="2747" spans="1:17" x14ac:dyDescent="0.25">
      <c r="A2747" s="5"/>
      <c r="B2747" s="6"/>
      <c r="C2747" s="4"/>
      <c r="D2747" s="4"/>
      <c r="E2747" s="12"/>
      <c r="F2747" s="12"/>
      <c r="G2747" s="16"/>
      <c r="H2747" s="14"/>
      <c r="I2747" s="14"/>
      <c r="J2747" s="14"/>
      <c r="K2747" s="14"/>
      <c r="L2747" s="14"/>
      <c r="M2747" s="14"/>
      <c r="N2747" s="14"/>
      <c r="O2747" s="4"/>
      <c r="P2747" s="14"/>
      <c r="Q2747" s="14"/>
    </row>
    <row r="2748" spans="1:17" x14ac:dyDescent="0.25">
      <c r="A2748" s="5"/>
      <c r="B2748" s="6"/>
      <c r="C2748" s="4"/>
      <c r="D2748" s="4"/>
      <c r="E2748" s="12"/>
      <c r="F2748" s="12"/>
      <c r="G2748" s="16"/>
      <c r="H2748" s="14"/>
      <c r="I2748" s="14"/>
      <c r="J2748" s="14"/>
      <c r="K2748" s="14"/>
      <c r="L2748" s="14"/>
      <c r="M2748" s="14"/>
      <c r="N2748" s="14"/>
      <c r="O2748" s="4"/>
      <c r="P2748" s="14"/>
      <c r="Q2748" s="14"/>
    </row>
    <row r="2749" spans="1:17" x14ac:dyDescent="0.25">
      <c r="A2749" s="5"/>
      <c r="B2749" s="6"/>
      <c r="C2749" s="4"/>
      <c r="D2749" s="4"/>
      <c r="E2749" s="12"/>
      <c r="F2749" s="12"/>
      <c r="G2749" s="16"/>
      <c r="H2749" s="14"/>
      <c r="I2749" s="14"/>
      <c r="J2749" s="14"/>
      <c r="K2749" s="14"/>
      <c r="L2749" s="14"/>
      <c r="M2749" s="14"/>
      <c r="N2749" s="14"/>
      <c r="O2749" s="4"/>
      <c r="P2749" s="14"/>
      <c r="Q2749" s="14"/>
    </row>
    <row r="2750" spans="1:17" x14ac:dyDescent="0.25">
      <c r="A2750" s="5"/>
      <c r="B2750" s="6"/>
      <c r="C2750" s="4"/>
      <c r="D2750" s="4"/>
      <c r="E2750" s="12"/>
      <c r="F2750" s="12"/>
      <c r="G2750" s="16"/>
      <c r="H2750" s="14"/>
      <c r="I2750" s="14"/>
      <c r="J2750" s="14"/>
      <c r="K2750" s="14"/>
      <c r="L2750" s="14"/>
      <c r="M2750" s="14"/>
      <c r="N2750" s="14"/>
      <c r="O2750" s="4"/>
      <c r="P2750" s="14"/>
      <c r="Q2750" s="14"/>
    </row>
    <row r="2751" spans="1:17" x14ac:dyDescent="0.25">
      <c r="A2751" s="5"/>
      <c r="B2751" s="6"/>
      <c r="C2751" s="4"/>
      <c r="D2751" s="4"/>
      <c r="E2751" s="12"/>
      <c r="F2751" s="12"/>
      <c r="G2751" s="16"/>
      <c r="H2751" s="14"/>
      <c r="I2751" s="14"/>
      <c r="J2751" s="14"/>
      <c r="K2751" s="14"/>
      <c r="L2751" s="14"/>
      <c r="M2751" s="14"/>
      <c r="N2751" s="14"/>
      <c r="O2751" s="4"/>
      <c r="P2751" s="14"/>
      <c r="Q2751" s="14"/>
    </row>
    <row r="2752" spans="1:17" x14ac:dyDescent="0.25">
      <c r="A2752" s="5"/>
      <c r="B2752" s="6"/>
      <c r="C2752" s="4"/>
      <c r="D2752" s="4"/>
      <c r="E2752" s="12"/>
      <c r="F2752" s="12"/>
      <c r="G2752" s="16"/>
      <c r="H2752" s="14"/>
      <c r="I2752" s="14"/>
      <c r="J2752" s="14"/>
      <c r="K2752" s="14"/>
      <c r="L2752" s="14"/>
      <c r="M2752" s="14"/>
      <c r="N2752" s="14"/>
      <c r="O2752" s="4"/>
      <c r="P2752" s="14"/>
      <c r="Q2752" s="14"/>
    </row>
    <row r="2753" spans="1:17" x14ac:dyDescent="0.25">
      <c r="A2753" s="5"/>
      <c r="B2753" s="6"/>
      <c r="C2753" s="4"/>
      <c r="D2753" s="4"/>
      <c r="E2753" s="12"/>
      <c r="F2753" s="12"/>
      <c r="G2753" s="16"/>
      <c r="H2753" s="14"/>
      <c r="I2753" s="14"/>
      <c r="J2753" s="14"/>
      <c r="K2753" s="14"/>
      <c r="L2753" s="14"/>
      <c r="M2753" s="14"/>
      <c r="N2753" s="14"/>
      <c r="O2753" s="4"/>
      <c r="P2753" s="14"/>
      <c r="Q2753" s="14"/>
    </row>
    <row r="2754" spans="1:17" x14ac:dyDescent="0.25">
      <c r="A2754" s="5"/>
      <c r="B2754" s="6"/>
      <c r="C2754" s="4"/>
      <c r="D2754" s="4"/>
      <c r="E2754" s="12"/>
      <c r="F2754" s="12"/>
      <c r="G2754" s="16"/>
      <c r="H2754" s="14"/>
      <c r="I2754" s="14"/>
      <c r="J2754" s="14"/>
      <c r="K2754" s="14"/>
      <c r="L2754" s="14"/>
      <c r="M2754" s="14"/>
      <c r="N2754" s="14"/>
      <c r="O2754" s="4"/>
      <c r="P2754" s="14"/>
      <c r="Q2754" s="14"/>
    </row>
    <row r="2755" spans="1:17" x14ac:dyDescent="0.25">
      <c r="A2755" s="5"/>
      <c r="B2755" s="6"/>
      <c r="C2755" s="4"/>
      <c r="D2755" s="4"/>
      <c r="E2755" s="12"/>
      <c r="F2755" s="12"/>
      <c r="G2755" s="16"/>
      <c r="H2755" s="14"/>
      <c r="I2755" s="14"/>
      <c r="J2755" s="14"/>
      <c r="K2755" s="14"/>
      <c r="L2755" s="14"/>
      <c r="M2755" s="14"/>
      <c r="N2755" s="14"/>
      <c r="O2755" s="4"/>
      <c r="P2755" s="14"/>
      <c r="Q2755" s="14"/>
    </row>
    <row r="2756" spans="1:17" x14ac:dyDescent="0.25">
      <c r="A2756" s="5"/>
      <c r="B2756" s="6"/>
      <c r="C2756" s="4"/>
      <c r="D2756" s="4"/>
      <c r="E2756" s="12"/>
      <c r="F2756" s="12"/>
      <c r="G2756" s="16"/>
      <c r="H2756" s="14"/>
      <c r="I2756" s="14"/>
      <c r="J2756" s="14"/>
      <c r="K2756" s="14"/>
      <c r="L2756" s="14"/>
      <c r="M2756" s="14"/>
      <c r="N2756" s="14"/>
      <c r="O2756" s="4"/>
      <c r="P2756" s="14"/>
      <c r="Q2756" s="14"/>
    </row>
    <row r="2757" spans="1:17" x14ac:dyDescent="0.25">
      <c r="A2757" s="5"/>
      <c r="B2757" s="6"/>
      <c r="C2757" s="4"/>
      <c r="D2757" s="4"/>
      <c r="E2757" s="12"/>
      <c r="F2757" s="12"/>
      <c r="G2757" s="16"/>
      <c r="H2757" s="14"/>
      <c r="I2757" s="14"/>
      <c r="J2757" s="14"/>
      <c r="K2757" s="14"/>
      <c r="L2757" s="14"/>
      <c r="M2757" s="14"/>
      <c r="N2757" s="14"/>
      <c r="O2757" s="4"/>
      <c r="P2757" s="14"/>
      <c r="Q2757" s="14"/>
    </row>
    <row r="2758" spans="1:17" x14ac:dyDescent="0.25">
      <c r="A2758" s="5"/>
      <c r="B2758" s="6"/>
      <c r="C2758" s="4"/>
      <c r="D2758" s="4"/>
      <c r="E2758" s="12"/>
      <c r="F2758" s="12"/>
      <c r="G2758" s="16"/>
      <c r="H2758" s="14"/>
      <c r="I2758" s="14"/>
      <c r="J2758" s="14"/>
      <c r="K2758" s="14"/>
      <c r="L2758" s="14"/>
      <c r="M2758" s="14"/>
      <c r="N2758" s="14"/>
      <c r="O2758" s="4"/>
      <c r="P2758" s="14"/>
      <c r="Q2758" s="14"/>
    </row>
    <row r="2759" spans="1:17" x14ac:dyDescent="0.25">
      <c r="A2759" s="5"/>
      <c r="B2759" s="6"/>
      <c r="C2759" s="4"/>
      <c r="D2759" s="4"/>
      <c r="E2759" s="12"/>
      <c r="F2759" s="12"/>
      <c r="G2759" s="16"/>
      <c r="H2759" s="14"/>
      <c r="I2759" s="14"/>
      <c r="J2759" s="14"/>
      <c r="K2759" s="14"/>
      <c r="L2759" s="14"/>
      <c r="M2759" s="14"/>
      <c r="N2759" s="14"/>
      <c r="O2759" s="4"/>
      <c r="P2759" s="14"/>
      <c r="Q2759" s="14"/>
    </row>
    <row r="2760" spans="1:17" x14ac:dyDescent="0.25">
      <c r="A2760" s="5"/>
      <c r="B2760" s="6"/>
      <c r="C2760" s="4"/>
      <c r="D2760" s="4"/>
      <c r="E2760" s="12"/>
      <c r="F2760" s="12"/>
      <c r="G2760" s="16"/>
      <c r="H2760" s="14"/>
      <c r="I2760" s="14"/>
      <c r="J2760" s="14"/>
      <c r="K2760" s="14"/>
      <c r="L2760" s="14"/>
      <c r="M2760" s="14"/>
      <c r="N2760" s="14"/>
      <c r="O2760" s="4"/>
      <c r="P2760" s="14"/>
      <c r="Q2760" s="14"/>
    </row>
    <row r="2761" spans="1:17" x14ac:dyDescent="0.25">
      <c r="A2761" s="5"/>
      <c r="B2761" s="6"/>
      <c r="C2761" s="4"/>
      <c r="D2761" s="4"/>
      <c r="E2761" s="12"/>
      <c r="F2761" s="12"/>
      <c r="G2761" s="16"/>
      <c r="H2761" s="14"/>
      <c r="I2761" s="14"/>
      <c r="J2761" s="14"/>
      <c r="K2761" s="14"/>
      <c r="L2761" s="14"/>
      <c r="M2761" s="14"/>
      <c r="N2761" s="14"/>
      <c r="O2761" s="4"/>
      <c r="P2761" s="14"/>
      <c r="Q2761" s="14"/>
    </row>
    <row r="2762" spans="1:17" x14ac:dyDescent="0.25">
      <c r="A2762" s="5"/>
      <c r="B2762" s="6"/>
      <c r="C2762" s="4"/>
      <c r="D2762" s="4"/>
      <c r="E2762" s="12"/>
      <c r="F2762" s="12"/>
      <c r="G2762" s="16"/>
      <c r="H2762" s="14"/>
      <c r="I2762" s="14"/>
      <c r="J2762" s="14"/>
      <c r="K2762" s="14"/>
      <c r="L2762" s="14"/>
      <c r="M2762" s="14"/>
      <c r="N2762" s="14"/>
      <c r="O2762" s="4"/>
      <c r="P2762" s="14"/>
      <c r="Q2762" s="14"/>
    </row>
    <row r="2763" spans="1:17" x14ac:dyDescent="0.25">
      <c r="A2763" s="5"/>
      <c r="B2763" s="6"/>
      <c r="C2763" s="4"/>
      <c r="D2763" s="4"/>
      <c r="E2763" s="12"/>
      <c r="F2763" s="12"/>
      <c r="G2763" s="16"/>
      <c r="H2763" s="14"/>
      <c r="I2763" s="14"/>
      <c r="J2763" s="14"/>
      <c r="K2763" s="14"/>
      <c r="L2763" s="14"/>
      <c r="M2763" s="14"/>
      <c r="N2763" s="14"/>
      <c r="O2763" s="4"/>
      <c r="P2763" s="14"/>
      <c r="Q2763" s="14"/>
    </row>
    <row r="2764" spans="1:17" x14ac:dyDescent="0.25">
      <c r="A2764" s="5"/>
      <c r="B2764" s="6"/>
      <c r="C2764" s="4"/>
      <c r="D2764" s="4"/>
      <c r="E2764" s="12"/>
      <c r="F2764" s="12"/>
      <c r="G2764" s="16"/>
      <c r="H2764" s="14"/>
      <c r="I2764" s="14"/>
      <c r="J2764" s="14"/>
      <c r="K2764" s="14"/>
      <c r="L2764" s="14"/>
      <c r="M2764" s="14"/>
      <c r="N2764" s="14"/>
      <c r="O2764" s="4"/>
      <c r="P2764" s="14"/>
      <c r="Q2764" s="14"/>
    </row>
    <row r="2765" spans="1:17" x14ac:dyDescent="0.25">
      <c r="A2765" s="5"/>
      <c r="B2765" s="6"/>
      <c r="C2765" s="4"/>
      <c r="D2765" s="4"/>
      <c r="E2765" s="12"/>
      <c r="F2765" s="12"/>
      <c r="G2765" s="16"/>
      <c r="H2765" s="14"/>
      <c r="I2765" s="14"/>
      <c r="J2765" s="14"/>
      <c r="K2765" s="14"/>
      <c r="L2765" s="14"/>
      <c r="M2765" s="14"/>
      <c r="N2765" s="14"/>
      <c r="O2765" s="4"/>
      <c r="P2765" s="14"/>
      <c r="Q2765" s="14"/>
    </row>
    <row r="2766" spans="1:17" x14ac:dyDescent="0.25">
      <c r="A2766" s="5"/>
      <c r="B2766" s="6"/>
      <c r="C2766" s="4"/>
      <c r="D2766" s="4"/>
      <c r="E2766" s="12"/>
      <c r="F2766" s="12"/>
      <c r="G2766" s="16"/>
      <c r="H2766" s="14"/>
      <c r="I2766" s="14"/>
      <c r="J2766" s="14"/>
      <c r="K2766" s="14"/>
      <c r="L2766" s="14"/>
      <c r="M2766" s="14"/>
      <c r="N2766" s="14"/>
      <c r="O2766" s="4"/>
      <c r="P2766" s="14"/>
      <c r="Q2766" s="14"/>
    </row>
    <row r="2767" spans="1:17" x14ac:dyDescent="0.25">
      <c r="A2767" s="5"/>
      <c r="B2767" s="6"/>
      <c r="C2767" s="4"/>
      <c r="D2767" s="4"/>
      <c r="E2767" s="12"/>
      <c r="F2767" s="12"/>
      <c r="G2767" s="16"/>
      <c r="H2767" s="14"/>
      <c r="I2767" s="14"/>
      <c r="J2767" s="14"/>
      <c r="K2767" s="14"/>
      <c r="L2767" s="14"/>
      <c r="M2767" s="14"/>
      <c r="N2767" s="14"/>
      <c r="O2767" s="4"/>
      <c r="P2767" s="14"/>
      <c r="Q2767" s="14"/>
    </row>
    <row r="2768" spans="1:17" x14ac:dyDescent="0.25">
      <c r="A2768" s="5"/>
      <c r="B2768" s="6"/>
      <c r="C2768" s="4"/>
      <c r="D2768" s="4"/>
      <c r="E2768" s="12"/>
      <c r="F2768" s="12"/>
      <c r="G2768" s="16"/>
      <c r="H2768" s="14"/>
      <c r="I2768" s="14"/>
      <c r="J2768" s="14"/>
      <c r="K2768" s="14"/>
      <c r="L2768" s="14"/>
      <c r="M2768" s="14"/>
      <c r="N2768" s="14"/>
      <c r="O2768" s="4"/>
      <c r="P2768" s="14"/>
      <c r="Q2768" s="14"/>
    </row>
    <row r="2769" spans="1:17" x14ac:dyDescent="0.25">
      <c r="A2769" s="5"/>
      <c r="B2769" s="6"/>
      <c r="C2769" s="4"/>
      <c r="D2769" s="4"/>
      <c r="E2769" s="12"/>
      <c r="F2769" s="12"/>
      <c r="G2769" s="16"/>
      <c r="H2769" s="14"/>
      <c r="I2769" s="14"/>
      <c r="J2769" s="14"/>
      <c r="K2769" s="14"/>
      <c r="L2769" s="14"/>
      <c r="M2769" s="14"/>
      <c r="N2769" s="14"/>
      <c r="O2769" s="4"/>
      <c r="P2769" s="14"/>
      <c r="Q2769" s="14"/>
    </row>
    <row r="2770" spans="1:17" x14ac:dyDescent="0.25">
      <c r="A2770" s="5"/>
      <c r="B2770" s="6"/>
      <c r="C2770" s="4"/>
      <c r="D2770" s="4"/>
      <c r="E2770" s="12"/>
      <c r="F2770" s="12"/>
      <c r="G2770" s="16"/>
      <c r="H2770" s="14"/>
      <c r="I2770" s="14"/>
      <c r="J2770" s="14"/>
      <c r="K2770" s="14"/>
      <c r="L2770" s="14"/>
      <c r="M2770" s="14"/>
      <c r="N2770" s="14"/>
      <c r="O2770" s="4"/>
      <c r="P2770" s="14"/>
      <c r="Q2770" s="14"/>
    </row>
    <row r="2771" spans="1:17" x14ac:dyDescent="0.25">
      <c r="A2771" s="5"/>
      <c r="B2771" s="6"/>
      <c r="C2771" s="4"/>
      <c r="D2771" s="4"/>
      <c r="E2771" s="12"/>
      <c r="F2771" s="12"/>
      <c r="G2771" s="16"/>
      <c r="H2771" s="14"/>
      <c r="I2771" s="14"/>
      <c r="J2771" s="14"/>
      <c r="K2771" s="14"/>
      <c r="L2771" s="14"/>
      <c r="M2771" s="14"/>
      <c r="N2771" s="14"/>
      <c r="O2771" s="4"/>
      <c r="P2771" s="14"/>
      <c r="Q2771" s="14"/>
    </row>
    <row r="2772" spans="1:17" x14ac:dyDescent="0.25">
      <c r="A2772" s="5"/>
      <c r="B2772" s="6"/>
      <c r="C2772" s="4"/>
      <c r="D2772" s="4"/>
      <c r="E2772" s="12"/>
      <c r="F2772" s="12"/>
      <c r="G2772" s="16"/>
      <c r="H2772" s="14"/>
      <c r="I2772" s="14"/>
      <c r="J2772" s="14"/>
      <c r="K2772" s="14"/>
      <c r="L2772" s="14"/>
      <c r="M2772" s="14"/>
      <c r="N2772" s="14"/>
      <c r="O2772" s="4"/>
      <c r="P2772" s="14"/>
      <c r="Q2772" s="14"/>
    </row>
    <row r="2773" spans="1:17" x14ac:dyDescent="0.25">
      <c r="A2773" s="5"/>
      <c r="B2773" s="6"/>
      <c r="C2773" s="4"/>
      <c r="D2773" s="4"/>
      <c r="E2773" s="12"/>
      <c r="F2773" s="12"/>
      <c r="G2773" s="16"/>
      <c r="H2773" s="14"/>
      <c r="I2773" s="14"/>
      <c r="J2773" s="14"/>
      <c r="K2773" s="14"/>
      <c r="L2773" s="14"/>
      <c r="M2773" s="14"/>
      <c r="N2773" s="14"/>
      <c r="O2773" s="4"/>
      <c r="P2773" s="14"/>
      <c r="Q2773" s="14"/>
    </row>
    <row r="2774" spans="1:17" x14ac:dyDescent="0.25">
      <c r="A2774" s="5"/>
      <c r="B2774" s="6"/>
      <c r="C2774" s="4"/>
      <c r="D2774" s="4"/>
      <c r="E2774" s="12"/>
      <c r="F2774" s="12"/>
      <c r="G2774" s="16"/>
      <c r="H2774" s="14"/>
      <c r="I2774" s="14"/>
      <c r="J2774" s="14"/>
      <c r="K2774" s="14"/>
      <c r="L2774" s="14"/>
      <c r="M2774" s="14"/>
      <c r="N2774" s="14"/>
      <c r="O2774" s="4"/>
      <c r="P2774" s="14"/>
      <c r="Q2774" s="14"/>
    </row>
    <row r="2775" spans="1:17" x14ac:dyDescent="0.25">
      <c r="A2775" s="5"/>
      <c r="B2775" s="6"/>
      <c r="C2775" s="4"/>
      <c r="D2775" s="4"/>
      <c r="E2775" s="12"/>
      <c r="F2775" s="12"/>
      <c r="G2775" s="16"/>
      <c r="H2775" s="14"/>
      <c r="I2775" s="14"/>
      <c r="J2775" s="14"/>
      <c r="K2775" s="14"/>
      <c r="L2775" s="14"/>
      <c r="M2775" s="14"/>
      <c r="N2775" s="14"/>
      <c r="O2775" s="4"/>
      <c r="P2775" s="14"/>
      <c r="Q2775" s="14"/>
    </row>
    <row r="2776" spans="1:17" x14ac:dyDescent="0.25">
      <c r="A2776" s="5"/>
      <c r="B2776" s="6"/>
      <c r="C2776" s="4"/>
      <c r="D2776" s="4"/>
      <c r="E2776" s="12"/>
      <c r="F2776" s="12"/>
      <c r="G2776" s="16"/>
      <c r="H2776" s="14"/>
      <c r="I2776" s="14"/>
      <c r="J2776" s="14"/>
      <c r="K2776" s="14"/>
      <c r="L2776" s="14"/>
      <c r="M2776" s="14"/>
      <c r="N2776" s="14"/>
      <c r="O2776" s="4"/>
      <c r="P2776" s="14"/>
      <c r="Q2776" s="14"/>
    </row>
    <row r="2777" spans="1:17" x14ac:dyDescent="0.25">
      <c r="A2777" s="5"/>
      <c r="B2777" s="6"/>
      <c r="C2777" s="4"/>
      <c r="D2777" s="4"/>
      <c r="E2777" s="12"/>
      <c r="F2777" s="12"/>
      <c r="G2777" s="16"/>
      <c r="H2777" s="14"/>
      <c r="I2777" s="14"/>
      <c r="J2777" s="14"/>
      <c r="K2777" s="14"/>
      <c r="L2777" s="14"/>
      <c r="M2777" s="14"/>
      <c r="N2777" s="14"/>
      <c r="O2777" s="4"/>
      <c r="P2777" s="14"/>
      <c r="Q2777" s="14"/>
    </row>
    <row r="2778" spans="1:17" x14ac:dyDescent="0.25">
      <c r="A2778" s="5"/>
      <c r="B2778" s="6"/>
      <c r="C2778" s="4"/>
      <c r="D2778" s="4"/>
      <c r="E2778" s="12"/>
      <c r="F2778" s="12"/>
      <c r="G2778" s="16"/>
      <c r="H2778" s="14"/>
      <c r="I2778" s="14"/>
      <c r="J2778" s="14"/>
      <c r="K2778" s="14"/>
      <c r="L2778" s="14"/>
      <c r="M2778" s="14"/>
      <c r="N2778" s="14"/>
      <c r="O2778" s="4"/>
      <c r="P2778" s="14"/>
      <c r="Q2778" s="14"/>
    </row>
    <row r="2779" spans="1:17" x14ac:dyDescent="0.25">
      <c r="A2779" s="5"/>
      <c r="B2779" s="6"/>
      <c r="C2779" s="4"/>
      <c r="D2779" s="4"/>
      <c r="E2779" s="12"/>
      <c r="F2779" s="12"/>
      <c r="G2779" s="16"/>
      <c r="H2779" s="14"/>
      <c r="I2779" s="14"/>
      <c r="J2779" s="14"/>
      <c r="K2779" s="14"/>
      <c r="L2779" s="14"/>
      <c r="M2779" s="14"/>
      <c r="N2779" s="14"/>
      <c r="O2779" s="4"/>
      <c r="P2779" s="14"/>
      <c r="Q2779" s="14"/>
    </row>
    <row r="2780" spans="1:17" x14ac:dyDescent="0.25">
      <c r="A2780" s="5"/>
      <c r="B2780" s="6"/>
      <c r="C2780" s="4"/>
      <c r="D2780" s="4"/>
      <c r="E2780" s="12"/>
      <c r="F2780" s="12"/>
      <c r="G2780" s="16"/>
      <c r="H2780" s="14"/>
      <c r="I2780" s="14"/>
      <c r="J2780" s="14"/>
      <c r="K2780" s="14"/>
      <c r="L2780" s="14"/>
      <c r="M2780" s="14"/>
      <c r="N2780" s="14"/>
      <c r="O2780" s="4"/>
      <c r="P2780" s="14"/>
      <c r="Q2780" s="14"/>
    </row>
    <row r="2781" spans="1:17" x14ac:dyDescent="0.25">
      <c r="A2781" s="5"/>
      <c r="B2781" s="6"/>
      <c r="C2781" s="4"/>
      <c r="D2781" s="4"/>
      <c r="E2781" s="12"/>
      <c r="F2781" s="12"/>
      <c r="G2781" s="16"/>
      <c r="H2781" s="14"/>
      <c r="I2781" s="14"/>
      <c r="J2781" s="14"/>
      <c r="K2781" s="14"/>
      <c r="L2781" s="14"/>
      <c r="M2781" s="14"/>
      <c r="N2781" s="14"/>
      <c r="O2781" s="4"/>
      <c r="P2781" s="14"/>
      <c r="Q2781" s="14"/>
    </row>
    <row r="2782" spans="1:17" x14ac:dyDescent="0.25">
      <c r="A2782" s="5"/>
      <c r="B2782" s="6"/>
      <c r="C2782" s="4"/>
      <c r="D2782" s="4"/>
      <c r="E2782" s="12"/>
      <c r="F2782" s="12"/>
      <c r="G2782" s="16"/>
      <c r="H2782" s="14"/>
      <c r="I2782" s="14"/>
      <c r="J2782" s="14"/>
      <c r="K2782" s="14"/>
      <c r="L2782" s="14"/>
      <c r="M2782" s="14"/>
      <c r="N2782" s="14"/>
      <c r="O2782" s="4"/>
      <c r="P2782" s="14"/>
      <c r="Q2782" s="14"/>
    </row>
    <row r="2783" spans="1:17" x14ac:dyDescent="0.25">
      <c r="A2783" s="5"/>
      <c r="B2783" s="6"/>
      <c r="C2783" s="4"/>
      <c r="D2783" s="4"/>
      <c r="E2783" s="12"/>
      <c r="F2783" s="12"/>
      <c r="G2783" s="16"/>
      <c r="H2783" s="14"/>
      <c r="I2783" s="14"/>
      <c r="J2783" s="14"/>
      <c r="K2783" s="14"/>
      <c r="L2783" s="14"/>
      <c r="M2783" s="14"/>
      <c r="N2783" s="14"/>
      <c r="O2783" s="4"/>
      <c r="P2783" s="14"/>
      <c r="Q2783" s="14"/>
    </row>
    <row r="2784" spans="1:17" x14ac:dyDescent="0.25">
      <c r="A2784" s="5"/>
      <c r="B2784" s="6"/>
      <c r="C2784" s="4"/>
      <c r="D2784" s="4"/>
      <c r="E2784" s="12"/>
      <c r="F2784" s="12"/>
      <c r="G2784" s="16"/>
      <c r="H2784" s="14"/>
      <c r="I2784" s="14"/>
      <c r="J2784" s="14"/>
      <c r="K2784" s="14"/>
      <c r="L2784" s="14"/>
      <c r="M2784" s="14"/>
      <c r="N2784" s="14"/>
      <c r="O2784" s="4"/>
      <c r="P2784" s="14"/>
      <c r="Q2784" s="14"/>
    </row>
    <row r="2785" spans="1:17" x14ac:dyDescent="0.25">
      <c r="A2785" s="5"/>
      <c r="B2785" s="6"/>
      <c r="C2785" s="4"/>
      <c r="D2785" s="4"/>
      <c r="E2785" s="12"/>
      <c r="F2785" s="12"/>
      <c r="G2785" s="16"/>
      <c r="H2785" s="14"/>
      <c r="I2785" s="14"/>
      <c r="J2785" s="14"/>
      <c r="K2785" s="14"/>
      <c r="L2785" s="14"/>
      <c r="M2785" s="14"/>
      <c r="N2785" s="14"/>
      <c r="O2785" s="4"/>
      <c r="P2785" s="14"/>
      <c r="Q2785" s="14"/>
    </row>
    <row r="2786" spans="1:17" x14ac:dyDescent="0.25">
      <c r="A2786" s="5"/>
      <c r="B2786" s="6"/>
      <c r="C2786" s="4"/>
      <c r="D2786" s="4"/>
      <c r="E2786" s="12"/>
      <c r="F2786" s="12"/>
      <c r="G2786" s="16"/>
      <c r="H2786" s="14"/>
      <c r="I2786" s="14"/>
      <c r="J2786" s="14"/>
      <c r="K2786" s="14"/>
      <c r="L2786" s="14"/>
      <c r="M2786" s="14"/>
      <c r="N2786" s="14"/>
      <c r="O2786" s="4"/>
      <c r="P2786" s="14"/>
      <c r="Q2786" s="14"/>
    </row>
    <row r="2787" spans="1:17" x14ac:dyDescent="0.25">
      <c r="A2787" s="5"/>
      <c r="B2787" s="6"/>
      <c r="C2787" s="4"/>
      <c r="D2787" s="4"/>
      <c r="E2787" s="12"/>
      <c r="F2787" s="12"/>
      <c r="G2787" s="16"/>
      <c r="H2787" s="14"/>
      <c r="I2787" s="14"/>
      <c r="J2787" s="14"/>
      <c r="K2787" s="14"/>
      <c r="L2787" s="14"/>
      <c r="M2787" s="14"/>
      <c r="N2787" s="14"/>
      <c r="O2787" s="4"/>
      <c r="P2787" s="14"/>
      <c r="Q2787" s="14"/>
    </row>
    <row r="2788" spans="1:17" x14ac:dyDescent="0.25">
      <c r="A2788" s="5"/>
      <c r="B2788" s="6"/>
      <c r="C2788" s="4"/>
      <c r="D2788" s="4"/>
      <c r="E2788" s="12"/>
      <c r="F2788" s="12"/>
      <c r="G2788" s="16"/>
      <c r="H2788" s="14"/>
      <c r="I2788" s="14"/>
      <c r="J2788" s="14"/>
      <c r="K2788" s="14"/>
      <c r="L2788" s="14"/>
      <c r="M2788" s="14"/>
      <c r="N2788" s="14"/>
      <c r="O2788" s="4"/>
      <c r="P2788" s="14"/>
      <c r="Q2788" s="14"/>
    </row>
    <row r="2789" spans="1:17" x14ac:dyDescent="0.25">
      <c r="A2789" s="5"/>
      <c r="B2789" s="6"/>
      <c r="C2789" s="4"/>
      <c r="D2789" s="4"/>
      <c r="E2789" s="12"/>
      <c r="F2789" s="12"/>
      <c r="G2789" s="16"/>
      <c r="H2789" s="14"/>
      <c r="I2789" s="14"/>
      <c r="J2789" s="14"/>
      <c r="K2789" s="14"/>
      <c r="L2789" s="14"/>
      <c r="M2789" s="14"/>
      <c r="N2789" s="14"/>
      <c r="O2789" s="4"/>
      <c r="P2789" s="14"/>
      <c r="Q2789" s="14"/>
    </row>
    <row r="2790" spans="1:17" x14ac:dyDescent="0.25">
      <c r="A2790" s="5"/>
      <c r="B2790" s="6"/>
      <c r="C2790" s="4"/>
      <c r="D2790" s="4"/>
      <c r="E2790" s="12"/>
      <c r="F2790" s="12"/>
      <c r="G2790" s="16"/>
      <c r="H2790" s="14"/>
      <c r="I2790" s="14"/>
      <c r="J2790" s="14"/>
      <c r="K2790" s="14"/>
      <c r="L2790" s="14"/>
      <c r="M2790" s="14"/>
      <c r="N2790" s="14"/>
      <c r="O2790" s="4"/>
      <c r="P2790" s="14"/>
      <c r="Q2790" s="14"/>
    </row>
    <row r="2791" spans="1:17" x14ac:dyDescent="0.25">
      <c r="A2791" s="5"/>
      <c r="B2791" s="6"/>
      <c r="C2791" s="4"/>
      <c r="D2791" s="4"/>
      <c r="E2791" s="12"/>
      <c r="F2791" s="12"/>
      <c r="G2791" s="16"/>
      <c r="H2791" s="14"/>
      <c r="I2791" s="14"/>
      <c r="J2791" s="14"/>
      <c r="K2791" s="14"/>
      <c r="L2791" s="14"/>
      <c r="M2791" s="14"/>
      <c r="N2791" s="14"/>
      <c r="O2791" s="4"/>
      <c r="P2791" s="14"/>
      <c r="Q2791" s="14"/>
    </row>
    <row r="2792" spans="1:17" x14ac:dyDescent="0.25">
      <c r="A2792" s="5"/>
      <c r="B2792" s="6"/>
      <c r="C2792" s="4"/>
      <c r="D2792" s="4"/>
      <c r="E2792" s="12"/>
      <c r="F2792" s="12"/>
      <c r="G2792" s="16"/>
      <c r="H2792" s="14"/>
      <c r="I2792" s="14"/>
      <c r="J2792" s="14"/>
      <c r="K2792" s="14"/>
      <c r="L2792" s="14"/>
      <c r="M2792" s="14"/>
      <c r="N2792" s="14"/>
      <c r="O2792" s="4"/>
      <c r="P2792" s="14"/>
      <c r="Q2792" s="14"/>
    </row>
    <row r="2793" spans="1:17" x14ac:dyDescent="0.25">
      <c r="A2793" s="5"/>
      <c r="B2793" s="6"/>
      <c r="C2793" s="4"/>
      <c r="D2793" s="4"/>
      <c r="E2793" s="12"/>
      <c r="F2793" s="12"/>
      <c r="G2793" s="16"/>
      <c r="H2793" s="14"/>
      <c r="I2793" s="14"/>
      <c r="J2793" s="14"/>
      <c r="K2793" s="14"/>
      <c r="L2793" s="14"/>
      <c r="M2793" s="14"/>
      <c r="N2793" s="14"/>
      <c r="O2793" s="4"/>
      <c r="P2793" s="14"/>
      <c r="Q2793" s="14"/>
    </row>
    <row r="2794" spans="1:17" x14ac:dyDescent="0.25">
      <c r="A2794" s="5"/>
      <c r="B2794" s="6"/>
      <c r="C2794" s="4"/>
      <c r="D2794" s="4"/>
      <c r="E2794" s="12"/>
      <c r="F2794" s="12"/>
      <c r="G2794" s="16"/>
      <c r="H2794" s="14"/>
      <c r="I2794" s="14"/>
      <c r="J2794" s="14"/>
      <c r="K2794" s="14"/>
      <c r="L2794" s="14"/>
      <c r="M2794" s="14"/>
      <c r="N2794" s="14"/>
      <c r="O2794" s="4"/>
      <c r="P2794" s="14"/>
      <c r="Q2794" s="14"/>
    </row>
    <row r="2795" spans="1:17" x14ac:dyDescent="0.25">
      <c r="A2795" s="5"/>
      <c r="B2795" s="6"/>
      <c r="C2795" s="4"/>
      <c r="D2795" s="4"/>
      <c r="E2795" s="12"/>
      <c r="F2795" s="12"/>
      <c r="G2795" s="16"/>
      <c r="H2795" s="14"/>
      <c r="I2795" s="14"/>
      <c r="J2795" s="14"/>
      <c r="K2795" s="14"/>
      <c r="L2795" s="14"/>
      <c r="M2795" s="14"/>
      <c r="N2795" s="14"/>
      <c r="O2795" s="4"/>
      <c r="P2795" s="14"/>
      <c r="Q2795" s="14"/>
    </row>
    <row r="2796" spans="1:17" x14ac:dyDescent="0.25">
      <c r="A2796" s="5"/>
      <c r="B2796" s="6"/>
      <c r="C2796" s="4"/>
      <c r="D2796" s="4"/>
      <c r="E2796" s="12"/>
      <c r="F2796" s="12"/>
      <c r="G2796" s="16"/>
      <c r="H2796" s="14"/>
      <c r="I2796" s="14"/>
      <c r="J2796" s="14"/>
      <c r="K2796" s="14"/>
      <c r="L2796" s="14"/>
      <c r="M2796" s="14"/>
      <c r="N2796" s="14"/>
      <c r="O2796" s="4"/>
      <c r="P2796" s="14"/>
      <c r="Q2796" s="14"/>
    </row>
    <row r="2797" spans="1:17" x14ac:dyDescent="0.25">
      <c r="A2797" s="5"/>
      <c r="B2797" s="6"/>
      <c r="C2797" s="4"/>
      <c r="D2797" s="4"/>
      <c r="E2797" s="12"/>
      <c r="F2797" s="12"/>
      <c r="G2797" s="16"/>
      <c r="H2797" s="14"/>
      <c r="I2797" s="14"/>
      <c r="J2797" s="14"/>
      <c r="K2797" s="14"/>
      <c r="L2797" s="14"/>
      <c r="M2797" s="14"/>
      <c r="N2797" s="14"/>
      <c r="O2797" s="4"/>
      <c r="P2797" s="14"/>
      <c r="Q2797" s="14"/>
    </row>
    <row r="2798" spans="1:17" x14ac:dyDescent="0.25">
      <c r="A2798" s="5"/>
      <c r="B2798" s="6"/>
      <c r="C2798" s="4"/>
      <c r="D2798" s="4"/>
      <c r="E2798" s="12"/>
      <c r="F2798" s="12"/>
      <c r="G2798" s="16"/>
      <c r="H2798" s="14"/>
      <c r="I2798" s="14"/>
      <c r="J2798" s="14"/>
      <c r="K2798" s="14"/>
      <c r="L2798" s="14"/>
      <c r="M2798" s="14"/>
      <c r="N2798" s="14"/>
      <c r="O2798" s="4"/>
      <c r="P2798" s="14"/>
      <c r="Q2798" s="14"/>
    </row>
    <row r="2799" spans="1:17" x14ac:dyDescent="0.25">
      <c r="A2799" s="5"/>
      <c r="B2799" s="6"/>
      <c r="C2799" s="4"/>
      <c r="D2799" s="4"/>
      <c r="E2799" s="12"/>
      <c r="F2799" s="12"/>
      <c r="G2799" s="16"/>
      <c r="H2799" s="14"/>
      <c r="I2799" s="14"/>
      <c r="J2799" s="14"/>
      <c r="K2799" s="14"/>
      <c r="L2799" s="14"/>
      <c r="M2799" s="14"/>
      <c r="N2799" s="14"/>
      <c r="O2799" s="4"/>
      <c r="P2799" s="14"/>
      <c r="Q2799" s="14"/>
    </row>
    <row r="2800" spans="1:17" x14ac:dyDescent="0.25">
      <c r="A2800" s="5"/>
      <c r="B2800" s="6"/>
      <c r="C2800" s="4"/>
      <c r="D2800" s="4"/>
      <c r="E2800" s="12"/>
      <c r="F2800" s="12"/>
      <c r="G2800" s="16"/>
      <c r="H2800" s="14"/>
      <c r="I2800" s="14"/>
      <c r="J2800" s="14"/>
      <c r="K2800" s="14"/>
      <c r="L2800" s="14"/>
      <c r="M2800" s="14"/>
      <c r="N2800" s="14"/>
      <c r="O2800" s="4"/>
      <c r="P2800" s="14"/>
      <c r="Q2800" s="14"/>
    </row>
    <row r="2801" spans="1:17" x14ac:dyDescent="0.25">
      <c r="A2801" s="5"/>
      <c r="B2801" s="6"/>
      <c r="C2801" s="4"/>
      <c r="D2801" s="4"/>
      <c r="E2801" s="12"/>
      <c r="F2801" s="12"/>
      <c r="G2801" s="16"/>
      <c r="H2801" s="14"/>
      <c r="I2801" s="14"/>
      <c r="J2801" s="14"/>
      <c r="K2801" s="14"/>
      <c r="L2801" s="14"/>
      <c r="M2801" s="14"/>
      <c r="N2801" s="14"/>
      <c r="O2801" s="4"/>
      <c r="P2801" s="14"/>
      <c r="Q2801" s="14"/>
    </row>
    <row r="2802" spans="1:17" x14ac:dyDescent="0.25">
      <c r="A2802" s="5"/>
      <c r="B2802" s="6"/>
      <c r="C2802" s="4"/>
      <c r="D2802" s="4"/>
      <c r="E2802" s="12"/>
      <c r="F2802" s="12"/>
      <c r="G2802" s="16"/>
      <c r="H2802" s="14"/>
      <c r="I2802" s="14"/>
      <c r="J2802" s="14"/>
      <c r="K2802" s="14"/>
      <c r="L2802" s="14"/>
      <c r="M2802" s="14"/>
      <c r="N2802" s="14"/>
      <c r="O2802" s="4"/>
      <c r="P2802" s="14"/>
      <c r="Q2802" s="14"/>
    </row>
    <row r="2803" spans="1:17" x14ac:dyDescent="0.25">
      <c r="A2803" s="5"/>
      <c r="B2803" s="6"/>
      <c r="C2803" s="4"/>
      <c r="D2803" s="4"/>
      <c r="E2803" s="12"/>
      <c r="F2803" s="12"/>
      <c r="G2803" s="16"/>
      <c r="H2803" s="14"/>
      <c r="I2803" s="14"/>
      <c r="J2803" s="14"/>
      <c r="K2803" s="14"/>
      <c r="L2803" s="14"/>
      <c r="M2803" s="14"/>
      <c r="N2803" s="14"/>
      <c r="O2803" s="4"/>
      <c r="P2803" s="14"/>
      <c r="Q2803" s="14"/>
    </row>
    <row r="2804" spans="1:17" x14ac:dyDescent="0.25">
      <c r="A2804" s="5"/>
      <c r="B2804" s="6"/>
      <c r="C2804" s="4"/>
      <c r="D2804" s="4"/>
      <c r="E2804" s="12"/>
      <c r="F2804" s="12"/>
      <c r="G2804" s="16"/>
      <c r="H2804" s="14"/>
      <c r="I2804" s="14"/>
      <c r="J2804" s="14"/>
      <c r="K2804" s="14"/>
      <c r="L2804" s="14"/>
      <c r="M2804" s="14"/>
      <c r="N2804" s="14"/>
      <c r="O2804" s="4"/>
      <c r="P2804" s="14"/>
      <c r="Q2804" s="14"/>
    </row>
    <row r="2805" spans="1:17" x14ac:dyDescent="0.25">
      <c r="A2805" s="5"/>
      <c r="B2805" s="6"/>
      <c r="C2805" s="4"/>
      <c r="D2805" s="4"/>
      <c r="E2805" s="12"/>
      <c r="F2805" s="12"/>
      <c r="G2805" s="16"/>
      <c r="H2805" s="14"/>
      <c r="I2805" s="14"/>
      <c r="J2805" s="14"/>
      <c r="K2805" s="14"/>
      <c r="L2805" s="14"/>
      <c r="M2805" s="14"/>
      <c r="N2805" s="14"/>
      <c r="O2805" s="4"/>
      <c r="P2805" s="14"/>
      <c r="Q2805" s="14"/>
    </row>
    <row r="2806" spans="1:17" x14ac:dyDescent="0.25">
      <c r="A2806" s="5"/>
      <c r="B2806" s="6"/>
      <c r="C2806" s="4"/>
      <c r="D2806" s="4"/>
      <c r="E2806" s="12"/>
      <c r="F2806" s="12"/>
      <c r="G2806" s="16"/>
      <c r="H2806" s="14"/>
      <c r="I2806" s="14"/>
      <c r="J2806" s="14"/>
      <c r="K2806" s="14"/>
      <c r="L2806" s="14"/>
      <c r="M2806" s="14"/>
      <c r="N2806" s="14"/>
      <c r="O2806" s="4"/>
      <c r="P2806" s="14"/>
      <c r="Q2806" s="14"/>
    </row>
    <row r="2807" spans="1:17" x14ac:dyDescent="0.25">
      <c r="A2807" s="5"/>
      <c r="B2807" s="6"/>
      <c r="C2807" s="4"/>
      <c r="D2807" s="4"/>
      <c r="E2807" s="12"/>
      <c r="F2807" s="12"/>
      <c r="G2807" s="16"/>
      <c r="H2807" s="14"/>
      <c r="I2807" s="14"/>
      <c r="J2807" s="14"/>
      <c r="K2807" s="14"/>
      <c r="L2807" s="14"/>
      <c r="M2807" s="14"/>
      <c r="N2807" s="14"/>
      <c r="O2807" s="4"/>
      <c r="P2807" s="14"/>
      <c r="Q2807" s="14"/>
    </row>
    <row r="2808" spans="1:17" x14ac:dyDescent="0.25">
      <c r="A2808" s="5"/>
      <c r="B2808" s="6"/>
      <c r="C2808" s="4"/>
      <c r="D2808" s="4"/>
      <c r="E2808" s="12"/>
      <c r="F2808" s="12"/>
      <c r="G2808" s="16"/>
      <c r="H2808" s="14"/>
      <c r="I2808" s="14"/>
      <c r="J2808" s="14"/>
      <c r="K2808" s="14"/>
      <c r="L2808" s="14"/>
      <c r="M2808" s="14"/>
      <c r="N2808" s="14"/>
      <c r="O2808" s="4"/>
      <c r="P2808" s="14"/>
      <c r="Q2808" s="14"/>
    </row>
    <row r="2809" spans="1:17" x14ac:dyDescent="0.25">
      <c r="A2809" s="5"/>
      <c r="B2809" s="6"/>
      <c r="C2809" s="4"/>
      <c r="D2809" s="4"/>
      <c r="E2809" s="12"/>
      <c r="F2809" s="12"/>
      <c r="G2809" s="16"/>
      <c r="H2809" s="14"/>
      <c r="I2809" s="14"/>
      <c r="J2809" s="14"/>
      <c r="K2809" s="14"/>
      <c r="L2809" s="14"/>
      <c r="M2809" s="14"/>
      <c r="N2809" s="14"/>
      <c r="O2809" s="4"/>
      <c r="P2809" s="14"/>
      <c r="Q2809" s="14"/>
    </row>
    <row r="2810" spans="1:17" x14ac:dyDescent="0.25">
      <c r="A2810" s="5"/>
      <c r="B2810" s="6"/>
      <c r="C2810" s="4"/>
      <c r="D2810" s="4"/>
      <c r="E2810" s="12"/>
      <c r="F2810" s="12"/>
      <c r="G2810" s="16"/>
      <c r="H2810" s="14"/>
      <c r="I2810" s="14"/>
      <c r="J2810" s="14"/>
      <c r="K2810" s="14"/>
      <c r="L2810" s="14"/>
      <c r="M2810" s="14"/>
      <c r="N2810" s="14"/>
      <c r="O2810" s="4"/>
      <c r="P2810" s="14"/>
      <c r="Q2810" s="14"/>
    </row>
    <row r="2811" spans="1:17" x14ac:dyDescent="0.25">
      <c r="A2811" s="5"/>
      <c r="B2811" s="6"/>
      <c r="C2811" s="4"/>
      <c r="D2811" s="4"/>
      <c r="E2811" s="12"/>
      <c r="F2811" s="12"/>
      <c r="G2811" s="16"/>
      <c r="H2811" s="14"/>
      <c r="I2811" s="14"/>
      <c r="J2811" s="14"/>
      <c r="K2811" s="14"/>
      <c r="L2811" s="14"/>
      <c r="M2811" s="14"/>
      <c r="N2811" s="14"/>
      <c r="O2811" s="4"/>
      <c r="P2811" s="14"/>
      <c r="Q2811" s="14"/>
    </row>
    <row r="2812" spans="1:17" x14ac:dyDescent="0.25">
      <c r="A2812" s="5"/>
      <c r="B2812" s="6"/>
      <c r="C2812" s="4"/>
      <c r="D2812" s="4"/>
      <c r="E2812" s="12"/>
      <c r="F2812" s="12"/>
      <c r="G2812" s="16"/>
      <c r="H2812" s="14"/>
      <c r="I2812" s="14"/>
      <c r="J2812" s="14"/>
      <c r="K2812" s="14"/>
      <c r="L2812" s="14"/>
      <c r="M2812" s="14"/>
      <c r="N2812" s="14"/>
      <c r="O2812" s="4"/>
      <c r="P2812" s="14"/>
      <c r="Q2812" s="14"/>
    </row>
    <row r="2813" spans="1:17" x14ac:dyDescent="0.25">
      <c r="A2813" s="5"/>
      <c r="B2813" s="6"/>
      <c r="C2813" s="4"/>
      <c r="D2813" s="4"/>
      <c r="E2813" s="12"/>
      <c r="F2813" s="12"/>
      <c r="G2813" s="16"/>
      <c r="H2813" s="14"/>
      <c r="I2813" s="14"/>
      <c r="J2813" s="14"/>
      <c r="K2813" s="14"/>
      <c r="L2813" s="14"/>
      <c r="M2813" s="14"/>
      <c r="N2813" s="14"/>
      <c r="O2813" s="4"/>
      <c r="P2813" s="14"/>
      <c r="Q2813" s="14"/>
    </row>
    <row r="2814" spans="1:17" x14ac:dyDescent="0.25">
      <c r="A2814" s="5"/>
      <c r="B2814" s="6"/>
      <c r="C2814" s="4"/>
      <c r="D2814" s="4"/>
      <c r="E2814" s="12"/>
      <c r="F2814" s="12"/>
      <c r="G2814" s="16"/>
      <c r="H2814" s="14"/>
      <c r="I2814" s="14"/>
      <c r="J2814" s="14"/>
      <c r="K2814" s="14"/>
      <c r="L2814" s="14"/>
      <c r="M2814" s="14"/>
      <c r="N2814" s="14"/>
      <c r="O2814" s="4"/>
      <c r="P2814" s="14"/>
      <c r="Q2814" s="14"/>
    </row>
    <row r="2815" spans="1:17" x14ac:dyDescent="0.25">
      <c r="A2815" s="5"/>
      <c r="B2815" s="6"/>
      <c r="C2815" s="4"/>
      <c r="D2815" s="4"/>
      <c r="E2815" s="12"/>
      <c r="F2815" s="12"/>
      <c r="G2815" s="16"/>
      <c r="H2815" s="14"/>
      <c r="I2815" s="14"/>
      <c r="J2815" s="14"/>
      <c r="K2815" s="14"/>
      <c r="L2815" s="14"/>
      <c r="M2815" s="14"/>
      <c r="N2815" s="14"/>
      <c r="O2815" s="4"/>
      <c r="P2815" s="14"/>
      <c r="Q2815" s="14"/>
    </row>
    <row r="2816" spans="1:17" x14ac:dyDescent="0.25">
      <c r="A2816" s="5"/>
      <c r="B2816" s="6"/>
      <c r="C2816" s="4"/>
      <c r="D2816" s="4"/>
      <c r="E2816" s="12"/>
      <c r="F2816" s="12"/>
      <c r="G2816" s="16"/>
      <c r="H2816" s="14"/>
      <c r="I2816" s="14"/>
      <c r="J2816" s="14"/>
      <c r="K2816" s="14"/>
      <c r="L2816" s="14"/>
      <c r="M2816" s="14"/>
      <c r="N2816" s="14"/>
      <c r="O2816" s="4"/>
      <c r="P2816" s="14"/>
      <c r="Q2816" s="14"/>
    </row>
    <row r="2817" spans="1:17" x14ac:dyDescent="0.25">
      <c r="A2817" s="5"/>
      <c r="B2817" s="6"/>
      <c r="C2817" s="4"/>
      <c r="D2817" s="4"/>
      <c r="E2817" s="12"/>
      <c r="F2817" s="12"/>
      <c r="G2817" s="16"/>
      <c r="H2817" s="14"/>
      <c r="I2817" s="14"/>
      <c r="J2817" s="14"/>
      <c r="K2817" s="14"/>
      <c r="L2817" s="14"/>
      <c r="M2817" s="14"/>
      <c r="N2817" s="14"/>
      <c r="O2817" s="4"/>
      <c r="P2817" s="14"/>
      <c r="Q2817" s="14"/>
    </row>
    <row r="2818" spans="1:17" x14ac:dyDescent="0.25">
      <c r="A2818" s="5"/>
      <c r="B2818" s="6"/>
      <c r="C2818" s="4"/>
      <c r="D2818" s="4"/>
      <c r="E2818" s="12"/>
      <c r="F2818" s="12"/>
      <c r="G2818" s="16"/>
      <c r="H2818" s="14"/>
      <c r="I2818" s="14"/>
      <c r="J2818" s="14"/>
      <c r="K2818" s="14"/>
      <c r="L2818" s="14"/>
      <c r="M2818" s="14"/>
      <c r="N2818" s="14"/>
      <c r="O2818" s="4"/>
      <c r="P2818" s="14"/>
      <c r="Q2818" s="14"/>
    </row>
    <row r="2819" spans="1:17" x14ac:dyDescent="0.25">
      <c r="A2819" s="5"/>
      <c r="B2819" s="6"/>
      <c r="C2819" s="4"/>
      <c r="D2819" s="4"/>
      <c r="E2819" s="12"/>
      <c r="F2819" s="12"/>
      <c r="G2819" s="16"/>
      <c r="H2819" s="14"/>
      <c r="I2819" s="14"/>
      <c r="J2819" s="14"/>
      <c r="K2819" s="14"/>
      <c r="L2819" s="14"/>
      <c r="M2819" s="14"/>
      <c r="N2819" s="14"/>
      <c r="O2819" s="4"/>
      <c r="P2819" s="14"/>
      <c r="Q2819" s="14"/>
    </row>
    <row r="2820" spans="1:17" x14ac:dyDescent="0.25">
      <c r="A2820" s="5"/>
      <c r="B2820" s="6"/>
      <c r="C2820" s="4"/>
      <c r="D2820" s="4"/>
      <c r="E2820" s="12"/>
      <c r="F2820" s="12"/>
      <c r="G2820" s="16"/>
      <c r="H2820" s="14"/>
      <c r="I2820" s="14"/>
      <c r="J2820" s="14"/>
      <c r="K2820" s="14"/>
      <c r="L2820" s="14"/>
      <c r="M2820" s="14"/>
      <c r="N2820" s="14"/>
      <c r="O2820" s="4"/>
      <c r="P2820" s="14"/>
      <c r="Q2820" s="14"/>
    </row>
    <row r="2821" spans="1:17" x14ac:dyDescent="0.25">
      <c r="A2821" s="5"/>
      <c r="B2821" s="6"/>
      <c r="C2821" s="4"/>
      <c r="D2821" s="4"/>
      <c r="E2821" s="12"/>
      <c r="F2821" s="12"/>
      <c r="G2821" s="16"/>
      <c r="H2821" s="14"/>
      <c r="I2821" s="14"/>
      <c r="J2821" s="14"/>
      <c r="K2821" s="14"/>
      <c r="L2821" s="14"/>
      <c r="M2821" s="14"/>
      <c r="N2821" s="14"/>
      <c r="O2821" s="4"/>
      <c r="P2821" s="14"/>
      <c r="Q2821" s="14"/>
    </row>
    <row r="2822" spans="1:17" x14ac:dyDescent="0.25">
      <c r="A2822" s="5"/>
      <c r="B2822" s="6"/>
      <c r="C2822" s="4"/>
      <c r="D2822" s="4"/>
      <c r="E2822" s="12"/>
      <c r="F2822" s="12"/>
      <c r="G2822" s="16"/>
      <c r="H2822" s="14"/>
      <c r="I2822" s="14"/>
      <c r="J2822" s="14"/>
      <c r="K2822" s="14"/>
      <c r="L2822" s="14"/>
      <c r="M2822" s="14"/>
      <c r="N2822" s="14"/>
      <c r="O2822" s="4"/>
      <c r="P2822" s="14"/>
      <c r="Q2822" s="14"/>
    </row>
    <row r="2823" spans="1:17" x14ac:dyDescent="0.25">
      <c r="A2823" s="5"/>
      <c r="B2823" s="6"/>
      <c r="C2823" s="4"/>
      <c r="D2823" s="4"/>
      <c r="E2823" s="12"/>
      <c r="F2823" s="12"/>
      <c r="G2823" s="16"/>
      <c r="H2823" s="14"/>
      <c r="I2823" s="14"/>
      <c r="J2823" s="14"/>
      <c r="K2823" s="14"/>
      <c r="L2823" s="14"/>
      <c r="M2823" s="14"/>
      <c r="N2823" s="14"/>
      <c r="O2823" s="4"/>
      <c r="P2823" s="14"/>
      <c r="Q2823" s="14"/>
    </row>
    <row r="2824" spans="1:17" x14ac:dyDescent="0.25">
      <c r="A2824" s="5"/>
      <c r="B2824" s="6"/>
      <c r="C2824" s="4"/>
      <c r="D2824" s="4"/>
      <c r="E2824" s="12"/>
      <c r="F2824" s="12"/>
      <c r="G2824" s="16"/>
      <c r="H2824" s="14"/>
      <c r="I2824" s="14"/>
      <c r="J2824" s="14"/>
      <c r="K2824" s="14"/>
      <c r="L2824" s="14"/>
      <c r="M2824" s="14"/>
      <c r="N2824" s="14"/>
      <c r="O2824" s="4"/>
      <c r="P2824" s="14"/>
      <c r="Q2824" s="14"/>
    </row>
    <row r="2825" spans="1:17" x14ac:dyDescent="0.25">
      <c r="A2825" s="5"/>
      <c r="B2825" s="6"/>
      <c r="C2825" s="4"/>
      <c r="D2825" s="4"/>
      <c r="E2825" s="12"/>
      <c r="F2825" s="12"/>
      <c r="G2825" s="16"/>
      <c r="H2825" s="14"/>
      <c r="I2825" s="14"/>
      <c r="J2825" s="14"/>
      <c r="K2825" s="14"/>
      <c r="L2825" s="14"/>
      <c r="M2825" s="14"/>
      <c r="N2825" s="14"/>
      <c r="O2825" s="4"/>
      <c r="P2825" s="14"/>
      <c r="Q2825" s="14"/>
    </row>
    <row r="2826" spans="1:17" x14ac:dyDescent="0.25">
      <c r="A2826" s="5"/>
      <c r="B2826" s="6"/>
      <c r="C2826" s="4"/>
      <c r="D2826" s="4"/>
      <c r="E2826" s="12"/>
      <c r="F2826" s="12"/>
      <c r="G2826" s="16"/>
      <c r="H2826" s="14"/>
      <c r="I2826" s="14"/>
      <c r="J2826" s="14"/>
      <c r="K2826" s="14"/>
      <c r="L2826" s="14"/>
      <c r="M2826" s="14"/>
      <c r="N2826" s="14"/>
      <c r="O2826" s="4"/>
      <c r="P2826" s="14"/>
      <c r="Q2826" s="14"/>
    </row>
    <row r="2827" spans="1:17" x14ac:dyDescent="0.25">
      <c r="A2827" s="5"/>
      <c r="B2827" s="6"/>
      <c r="C2827" s="4"/>
      <c r="D2827" s="4"/>
      <c r="E2827" s="12"/>
      <c r="F2827" s="12"/>
      <c r="G2827" s="16"/>
      <c r="H2827" s="14"/>
      <c r="I2827" s="14"/>
      <c r="J2827" s="14"/>
      <c r="K2827" s="14"/>
      <c r="L2827" s="14"/>
      <c r="M2827" s="14"/>
      <c r="N2827" s="14"/>
      <c r="O2827" s="4"/>
      <c r="P2827" s="14"/>
      <c r="Q2827" s="14"/>
    </row>
    <row r="2828" spans="1:17" x14ac:dyDescent="0.25">
      <c r="A2828" s="5"/>
      <c r="B2828" s="6"/>
      <c r="C2828" s="4"/>
      <c r="D2828" s="4"/>
      <c r="E2828" s="12"/>
      <c r="F2828" s="12"/>
      <c r="G2828" s="16"/>
      <c r="H2828" s="14"/>
      <c r="I2828" s="14"/>
      <c r="J2828" s="14"/>
      <c r="K2828" s="14"/>
      <c r="L2828" s="14"/>
      <c r="M2828" s="14"/>
      <c r="N2828" s="14"/>
      <c r="O2828" s="4"/>
      <c r="P2828" s="14"/>
      <c r="Q2828" s="14"/>
    </row>
    <row r="2829" spans="1:17" x14ac:dyDescent="0.25">
      <c r="A2829" s="5"/>
      <c r="B2829" s="6"/>
      <c r="C2829" s="4"/>
      <c r="D2829" s="4"/>
      <c r="E2829" s="12"/>
      <c r="F2829" s="12"/>
      <c r="G2829" s="16"/>
      <c r="H2829" s="14"/>
      <c r="I2829" s="14"/>
      <c r="J2829" s="14"/>
      <c r="K2829" s="14"/>
      <c r="L2829" s="14"/>
      <c r="M2829" s="14"/>
      <c r="N2829" s="14"/>
      <c r="O2829" s="4"/>
      <c r="P2829" s="14"/>
      <c r="Q2829" s="14"/>
    </row>
    <row r="2830" spans="1:17" x14ac:dyDescent="0.25">
      <c r="A2830" s="5"/>
      <c r="B2830" s="6"/>
      <c r="C2830" s="4"/>
      <c r="D2830" s="4"/>
      <c r="E2830" s="12"/>
      <c r="F2830" s="12"/>
      <c r="G2830" s="16"/>
      <c r="H2830" s="14"/>
      <c r="I2830" s="14"/>
      <c r="J2830" s="14"/>
      <c r="K2830" s="14"/>
      <c r="L2830" s="14"/>
      <c r="M2830" s="14"/>
      <c r="N2830" s="14"/>
      <c r="O2830" s="4"/>
      <c r="P2830" s="14"/>
      <c r="Q2830" s="14"/>
    </row>
    <row r="2831" spans="1:17" x14ac:dyDescent="0.25">
      <c r="A2831" s="5"/>
      <c r="B2831" s="6"/>
      <c r="C2831" s="4"/>
      <c r="D2831" s="4"/>
      <c r="E2831" s="12"/>
      <c r="F2831" s="12"/>
      <c r="G2831" s="16"/>
      <c r="H2831" s="14"/>
      <c r="I2831" s="14"/>
      <c r="J2831" s="14"/>
      <c r="K2831" s="14"/>
      <c r="L2831" s="14"/>
      <c r="M2831" s="14"/>
      <c r="N2831" s="14"/>
      <c r="O2831" s="4"/>
      <c r="P2831" s="14"/>
      <c r="Q2831" s="14"/>
    </row>
    <row r="2832" spans="1:17" x14ac:dyDescent="0.25">
      <c r="A2832" s="5"/>
      <c r="B2832" s="6"/>
      <c r="C2832" s="4"/>
      <c r="D2832" s="4"/>
      <c r="E2832" s="12"/>
      <c r="F2832" s="12"/>
      <c r="G2832" s="16"/>
      <c r="H2832" s="14"/>
      <c r="I2832" s="14"/>
      <c r="J2832" s="14"/>
      <c r="K2832" s="14"/>
      <c r="L2832" s="14"/>
      <c r="M2832" s="14"/>
      <c r="N2832" s="14"/>
      <c r="O2832" s="4"/>
      <c r="P2832" s="14"/>
      <c r="Q2832" s="14"/>
    </row>
    <row r="2833" spans="1:17" x14ac:dyDescent="0.25">
      <c r="A2833" s="5"/>
      <c r="B2833" s="6"/>
      <c r="C2833" s="4"/>
      <c r="D2833" s="4"/>
      <c r="E2833" s="12"/>
      <c r="F2833" s="12"/>
      <c r="G2833" s="16"/>
      <c r="H2833" s="14"/>
      <c r="I2833" s="14"/>
      <c r="J2833" s="14"/>
      <c r="K2833" s="14"/>
      <c r="L2833" s="14"/>
      <c r="M2833" s="14"/>
      <c r="N2833" s="14"/>
      <c r="O2833" s="4"/>
      <c r="P2833" s="14"/>
      <c r="Q2833" s="14"/>
    </row>
    <row r="2834" spans="1:17" x14ac:dyDescent="0.25">
      <c r="A2834" s="5"/>
      <c r="B2834" s="6"/>
      <c r="C2834" s="4"/>
      <c r="D2834" s="4"/>
      <c r="E2834" s="12"/>
      <c r="F2834" s="12"/>
      <c r="G2834" s="16"/>
      <c r="H2834" s="14"/>
      <c r="I2834" s="14"/>
      <c r="J2834" s="14"/>
      <c r="K2834" s="14"/>
      <c r="L2834" s="14"/>
      <c r="M2834" s="14"/>
      <c r="N2834" s="14"/>
      <c r="O2834" s="4"/>
      <c r="P2834" s="14"/>
      <c r="Q2834" s="14"/>
    </row>
    <row r="2835" spans="1:17" x14ac:dyDescent="0.25">
      <c r="A2835" s="5"/>
      <c r="B2835" s="6"/>
      <c r="C2835" s="4"/>
      <c r="D2835" s="4"/>
      <c r="E2835" s="12"/>
      <c r="F2835" s="12"/>
      <c r="G2835" s="16"/>
      <c r="H2835" s="14"/>
      <c r="I2835" s="14"/>
      <c r="J2835" s="14"/>
      <c r="K2835" s="14"/>
      <c r="L2835" s="14"/>
      <c r="M2835" s="14"/>
      <c r="N2835" s="14"/>
      <c r="O2835" s="4"/>
      <c r="P2835" s="14"/>
      <c r="Q2835" s="14"/>
    </row>
    <row r="2836" spans="1:17" x14ac:dyDescent="0.25">
      <c r="A2836" s="5"/>
      <c r="B2836" s="6"/>
      <c r="C2836" s="4"/>
      <c r="D2836" s="4"/>
      <c r="E2836" s="12"/>
      <c r="F2836" s="12"/>
      <c r="G2836" s="16"/>
      <c r="H2836" s="14"/>
      <c r="I2836" s="14"/>
      <c r="J2836" s="14"/>
      <c r="K2836" s="14"/>
      <c r="L2836" s="14"/>
      <c r="M2836" s="14"/>
      <c r="N2836" s="14"/>
      <c r="O2836" s="4"/>
      <c r="P2836" s="14"/>
      <c r="Q2836" s="14"/>
    </row>
    <row r="2837" spans="1:17" x14ac:dyDescent="0.25">
      <c r="A2837" s="5"/>
      <c r="B2837" s="6"/>
      <c r="C2837" s="4"/>
      <c r="D2837" s="4"/>
      <c r="E2837" s="12"/>
      <c r="F2837" s="12"/>
      <c r="G2837" s="16"/>
      <c r="H2837" s="14"/>
      <c r="I2837" s="14"/>
      <c r="J2837" s="14"/>
      <c r="K2837" s="14"/>
      <c r="L2837" s="14"/>
      <c r="M2837" s="14"/>
      <c r="N2837" s="14"/>
      <c r="O2837" s="4"/>
      <c r="P2837" s="14"/>
      <c r="Q2837" s="14"/>
    </row>
    <row r="2838" spans="1:17" x14ac:dyDescent="0.25">
      <c r="A2838" s="5"/>
      <c r="B2838" s="6"/>
      <c r="C2838" s="4"/>
      <c r="D2838" s="4"/>
      <c r="E2838" s="12"/>
      <c r="F2838" s="12"/>
      <c r="G2838" s="16"/>
      <c r="H2838" s="14"/>
      <c r="I2838" s="14"/>
      <c r="J2838" s="14"/>
      <c r="K2838" s="14"/>
      <c r="L2838" s="14"/>
      <c r="M2838" s="14"/>
      <c r="N2838" s="14"/>
      <c r="O2838" s="4"/>
      <c r="P2838" s="14"/>
      <c r="Q2838" s="14"/>
    </row>
    <row r="2839" spans="1:17" x14ac:dyDescent="0.25">
      <c r="A2839" s="5"/>
      <c r="B2839" s="6"/>
      <c r="C2839" s="4"/>
      <c r="D2839" s="4"/>
      <c r="E2839" s="12"/>
      <c r="F2839" s="12"/>
      <c r="G2839" s="16"/>
      <c r="H2839" s="14"/>
      <c r="I2839" s="14"/>
      <c r="J2839" s="14"/>
      <c r="K2839" s="14"/>
      <c r="L2839" s="14"/>
      <c r="M2839" s="14"/>
      <c r="N2839" s="14"/>
      <c r="O2839" s="4"/>
      <c r="P2839" s="14"/>
      <c r="Q2839" s="14"/>
    </row>
    <row r="2840" spans="1:17" x14ac:dyDescent="0.25">
      <c r="A2840" s="5"/>
      <c r="B2840" s="6"/>
      <c r="C2840" s="4"/>
      <c r="D2840" s="4"/>
      <c r="E2840" s="12"/>
      <c r="F2840" s="12"/>
      <c r="G2840" s="16"/>
      <c r="H2840" s="14"/>
      <c r="I2840" s="14"/>
      <c r="J2840" s="14"/>
      <c r="K2840" s="14"/>
      <c r="L2840" s="14"/>
      <c r="M2840" s="14"/>
      <c r="N2840" s="14"/>
      <c r="O2840" s="4"/>
      <c r="P2840" s="14"/>
      <c r="Q2840" s="14"/>
    </row>
    <row r="2841" spans="1:17" x14ac:dyDescent="0.25">
      <c r="A2841" s="5"/>
      <c r="B2841" s="6"/>
      <c r="C2841" s="4"/>
      <c r="D2841" s="4"/>
      <c r="E2841" s="12"/>
      <c r="F2841" s="12"/>
      <c r="G2841" s="16"/>
      <c r="H2841" s="14"/>
      <c r="I2841" s="14"/>
      <c r="J2841" s="14"/>
      <c r="K2841" s="14"/>
      <c r="L2841" s="14"/>
      <c r="M2841" s="14"/>
      <c r="N2841" s="14"/>
      <c r="O2841" s="4"/>
      <c r="P2841" s="14"/>
      <c r="Q2841" s="14"/>
    </row>
    <row r="2842" spans="1:17" x14ac:dyDescent="0.25">
      <c r="A2842" s="5"/>
      <c r="B2842" s="6"/>
      <c r="C2842" s="4"/>
      <c r="D2842" s="4"/>
      <c r="E2842" s="12"/>
      <c r="F2842" s="12"/>
      <c r="G2842" s="16"/>
      <c r="H2842" s="14"/>
      <c r="I2842" s="14"/>
      <c r="J2842" s="14"/>
      <c r="K2842" s="14"/>
      <c r="L2842" s="14"/>
      <c r="M2842" s="14"/>
      <c r="N2842" s="14"/>
      <c r="O2842" s="4"/>
      <c r="P2842" s="14"/>
      <c r="Q2842" s="14"/>
    </row>
    <row r="2843" spans="1:17" x14ac:dyDescent="0.25">
      <c r="A2843" s="5"/>
      <c r="B2843" s="6"/>
      <c r="C2843" s="4"/>
      <c r="D2843" s="4"/>
      <c r="E2843" s="12"/>
      <c r="F2843" s="12"/>
      <c r="G2843" s="16"/>
      <c r="H2843" s="14"/>
      <c r="I2843" s="14"/>
      <c r="J2843" s="14"/>
      <c r="K2843" s="14"/>
      <c r="L2843" s="14"/>
      <c r="M2843" s="14"/>
      <c r="N2843" s="14"/>
      <c r="O2843" s="4"/>
      <c r="P2843" s="14"/>
      <c r="Q2843" s="14"/>
    </row>
    <row r="2844" spans="1:17" x14ac:dyDescent="0.25">
      <c r="A2844" s="5"/>
      <c r="B2844" s="6"/>
      <c r="C2844" s="4"/>
      <c r="D2844" s="4"/>
      <c r="E2844" s="12"/>
      <c r="F2844" s="12"/>
      <c r="G2844" s="16"/>
      <c r="H2844" s="14"/>
      <c r="I2844" s="14"/>
      <c r="J2844" s="14"/>
      <c r="K2844" s="14"/>
      <c r="L2844" s="14"/>
      <c r="M2844" s="14"/>
      <c r="N2844" s="14"/>
      <c r="O2844" s="4"/>
      <c r="P2844" s="14"/>
      <c r="Q2844" s="14"/>
    </row>
    <row r="2845" spans="1:17" x14ac:dyDescent="0.25">
      <c r="A2845" s="5"/>
      <c r="B2845" s="6"/>
      <c r="C2845" s="4"/>
      <c r="D2845" s="4"/>
      <c r="E2845" s="12"/>
      <c r="F2845" s="12"/>
      <c r="G2845" s="16"/>
      <c r="H2845" s="14"/>
      <c r="I2845" s="14"/>
      <c r="J2845" s="14"/>
      <c r="K2845" s="14"/>
      <c r="L2845" s="14"/>
      <c r="M2845" s="14"/>
      <c r="N2845" s="14"/>
      <c r="O2845" s="4"/>
      <c r="P2845" s="14"/>
      <c r="Q2845" s="14"/>
    </row>
    <row r="2846" spans="1:17" x14ac:dyDescent="0.25">
      <c r="A2846" s="5"/>
      <c r="B2846" s="6"/>
      <c r="C2846" s="4"/>
      <c r="D2846" s="4"/>
      <c r="E2846" s="12"/>
      <c r="F2846" s="12"/>
      <c r="G2846" s="16"/>
      <c r="H2846" s="14"/>
      <c r="I2846" s="14"/>
      <c r="J2846" s="14"/>
      <c r="K2846" s="14"/>
      <c r="L2846" s="14"/>
      <c r="M2846" s="14"/>
      <c r="N2846" s="14"/>
      <c r="O2846" s="4"/>
      <c r="P2846" s="14"/>
      <c r="Q2846" s="14"/>
    </row>
    <row r="2847" spans="1:17" x14ac:dyDescent="0.25">
      <c r="A2847" s="5"/>
      <c r="B2847" s="6"/>
      <c r="C2847" s="4"/>
      <c r="D2847" s="4"/>
      <c r="E2847" s="12"/>
      <c r="F2847" s="12"/>
      <c r="G2847" s="16"/>
      <c r="H2847" s="14"/>
      <c r="I2847" s="14"/>
      <c r="J2847" s="14"/>
      <c r="K2847" s="14"/>
      <c r="L2847" s="14"/>
      <c r="M2847" s="14"/>
      <c r="N2847" s="14"/>
      <c r="O2847" s="4"/>
      <c r="P2847" s="14"/>
      <c r="Q2847" s="14"/>
    </row>
    <row r="2848" spans="1:17" x14ac:dyDescent="0.25">
      <c r="A2848" s="5"/>
      <c r="B2848" s="6"/>
      <c r="C2848" s="4"/>
      <c r="D2848" s="4"/>
      <c r="E2848" s="12"/>
      <c r="F2848" s="12"/>
      <c r="G2848" s="16"/>
      <c r="H2848" s="14"/>
      <c r="I2848" s="14"/>
      <c r="J2848" s="14"/>
      <c r="K2848" s="14"/>
      <c r="L2848" s="14"/>
      <c r="M2848" s="14"/>
      <c r="N2848" s="14"/>
      <c r="O2848" s="4"/>
      <c r="P2848" s="14"/>
      <c r="Q2848" s="14"/>
    </row>
    <row r="2849" spans="1:17" x14ac:dyDescent="0.25">
      <c r="A2849" s="5"/>
      <c r="B2849" s="6"/>
      <c r="C2849" s="4"/>
      <c r="D2849" s="4"/>
      <c r="E2849" s="12"/>
      <c r="F2849" s="12"/>
      <c r="G2849" s="16"/>
      <c r="H2849" s="14"/>
      <c r="I2849" s="14"/>
      <c r="J2849" s="14"/>
      <c r="K2849" s="14"/>
      <c r="L2849" s="14"/>
      <c r="M2849" s="14"/>
      <c r="N2849" s="14"/>
      <c r="O2849" s="4"/>
      <c r="P2849" s="14"/>
      <c r="Q2849" s="14"/>
    </row>
    <row r="2850" spans="1:17" x14ac:dyDescent="0.25">
      <c r="A2850" s="5"/>
      <c r="B2850" s="6"/>
      <c r="C2850" s="4"/>
      <c r="D2850" s="4"/>
      <c r="E2850" s="12"/>
      <c r="F2850" s="12"/>
      <c r="G2850" s="16"/>
      <c r="H2850" s="14"/>
      <c r="I2850" s="14"/>
      <c r="J2850" s="14"/>
      <c r="K2850" s="14"/>
      <c r="L2850" s="14"/>
      <c r="M2850" s="14"/>
      <c r="N2850" s="14"/>
      <c r="O2850" s="4"/>
      <c r="P2850" s="14"/>
      <c r="Q2850" s="14"/>
    </row>
    <row r="2851" spans="1:17" x14ac:dyDescent="0.25">
      <c r="A2851" s="5"/>
      <c r="B2851" s="6"/>
      <c r="C2851" s="4"/>
      <c r="D2851" s="4"/>
      <c r="E2851" s="12"/>
      <c r="F2851" s="12"/>
      <c r="G2851" s="16"/>
      <c r="H2851" s="14"/>
      <c r="I2851" s="14"/>
      <c r="J2851" s="14"/>
      <c r="K2851" s="14"/>
      <c r="L2851" s="14"/>
      <c r="M2851" s="14"/>
      <c r="N2851" s="14"/>
      <c r="O2851" s="4"/>
      <c r="P2851" s="14"/>
      <c r="Q2851" s="14"/>
    </row>
    <row r="2852" spans="1:17" x14ac:dyDescent="0.25">
      <c r="A2852" s="5"/>
      <c r="B2852" s="6"/>
      <c r="C2852" s="4"/>
      <c r="D2852" s="4"/>
      <c r="E2852" s="12"/>
      <c r="F2852" s="12"/>
      <c r="G2852" s="16"/>
      <c r="H2852" s="14"/>
      <c r="I2852" s="14"/>
      <c r="J2852" s="14"/>
      <c r="K2852" s="14"/>
      <c r="L2852" s="14"/>
      <c r="M2852" s="14"/>
      <c r="N2852" s="14"/>
      <c r="O2852" s="4"/>
      <c r="P2852" s="14"/>
      <c r="Q2852" s="14"/>
    </row>
    <row r="2853" spans="1:17" x14ac:dyDescent="0.25">
      <c r="A2853" s="5"/>
      <c r="B2853" s="6"/>
      <c r="C2853" s="4"/>
      <c r="D2853" s="4"/>
      <c r="E2853" s="12"/>
      <c r="F2853" s="12"/>
      <c r="G2853" s="16"/>
      <c r="H2853" s="14"/>
      <c r="I2853" s="14"/>
      <c r="J2853" s="14"/>
      <c r="K2853" s="14"/>
      <c r="L2853" s="14"/>
      <c r="M2853" s="14"/>
      <c r="N2853" s="14"/>
      <c r="O2853" s="4"/>
      <c r="P2853" s="14"/>
      <c r="Q2853" s="14"/>
    </row>
    <row r="2854" spans="1:17" x14ac:dyDescent="0.25">
      <c r="A2854" s="5"/>
      <c r="B2854" s="6"/>
      <c r="C2854" s="4"/>
      <c r="D2854" s="4"/>
      <c r="E2854" s="12"/>
      <c r="F2854" s="12"/>
      <c r="G2854" s="16"/>
      <c r="H2854" s="14"/>
      <c r="I2854" s="14"/>
      <c r="J2854" s="14"/>
      <c r="K2854" s="14"/>
      <c r="L2854" s="14"/>
      <c r="M2854" s="14"/>
      <c r="N2854" s="14"/>
      <c r="O2854" s="4"/>
      <c r="P2854" s="14"/>
      <c r="Q2854" s="14"/>
    </row>
    <row r="2855" spans="1:17" x14ac:dyDescent="0.25">
      <c r="A2855" s="5"/>
      <c r="B2855" s="6"/>
      <c r="C2855" s="4"/>
      <c r="D2855" s="4"/>
      <c r="E2855" s="12"/>
      <c r="F2855" s="12"/>
      <c r="G2855" s="16"/>
      <c r="H2855" s="14"/>
      <c r="I2855" s="14"/>
      <c r="J2855" s="14"/>
      <c r="K2855" s="14"/>
      <c r="L2855" s="14"/>
      <c r="M2855" s="14"/>
      <c r="N2855" s="14"/>
      <c r="O2855" s="4"/>
      <c r="P2855" s="14"/>
      <c r="Q2855" s="14"/>
    </row>
    <row r="2856" spans="1:17" x14ac:dyDescent="0.25">
      <c r="A2856" s="5"/>
      <c r="B2856" s="6"/>
      <c r="C2856" s="4"/>
      <c r="D2856" s="4"/>
      <c r="E2856" s="12"/>
      <c r="F2856" s="12"/>
      <c r="G2856" s="16"/>
      <c r="H2856" s="14"/>
      <c r="I2856" s="14"/>
      <c r="J2856" s="14"/>
      <c r="K2856" s="14"/>
      <c r="L2856" s="14"/>
      <c r="M2856" s="14"/>
      <c r="N2856" s="14"/>
      <c r="O2856" s="4"/>
      <c r="P2856" s="14"/>
      <c r="Q2856" s="14"/>
    </row>
    <row r="2857" spans="1:17" x14ac:dyDescent="0.25">
      <c r="A2857" s="5"/>
      <c r="B2857" s="6"/>
      <c r="C2857" s="4"/>
      <c r="D2857" s="4"/>
      <c r="E2857" s="12"/>
      <c r="F2857" s="12"/>
      <c r="G2857" s="16"/>
      <c r="H2857" s="14"/>
      <c r="I2857" s="14"/>
      <c r="J2857" s="14"/>
      <c r="K2857" s="14"/>
      <c r="L2857" s="14"/>
      <c r="M2857" s="14"/>
      <c r="N2857" s="14"/>
      <c r="O2857" s="4"/>
      <c r="P2857" s="14"/>
      <c r="Q2857" s="14"/>
    </row>
    <row r="2858" spans="1:17" x14ac:dyDescent="0.25">
      <c r="A2858" s="5"/>
      <c r="B2858" s="6"/>
      <c r="C2858" s="4"/>
      <c r="D2858" s="4"/>
      <c r="E2858" s="12"/>
      <c r="F2858" s="12"/>
      <c r="G2858" s="16"/>
      <c r="H2858" s="14"/>
      <c r="I2858" s="14"/>
      <c r="J2858" s="14"/>
      <c r="K2858" s="14"/>
      <c r="L2858" s="14"/>
      <c r="M2858" s="14"/>
      <c r="N2858" s="14"/>
      <c r="O2858" s="4"/>
      <c r="P2858" s="14"/>
      <c r="Q2858" s="14"/>
    </row>
    <row r="2859" spans="1:17" x14ac:dyDescent="0.25">
      <c r="A2859" s="5"/>
      <c r="B2859" s="6"/>
      <c r="C2859" s="4"/>
      <c r="D2859" s="4"/>
      <c r="E2859" s="12"/>
      <c r="F2859" s="12"/>
      <c r="G2859" s="16"/>
      <c r="H2859" s="14"/>
      <c r="I2859" s="14"/>
      <c r="J2859" s="14"/>
      <c r="K2859" s="14"/>
      <c r="L2859" s="14"/>
      <c r="M2859" s="14"/>
      <c r="N2859" s="14"/>
      <c r="O2859" s="4"/>
      <c r="P2859" s="14"/>
      <c r="Q2859" s="14"/>
    </row>
    <row r="2860" spans="1:17" x14ac:dyDescent="0.25">
      <c r="A2860" s="5"/>
      <c r="B2860" s="6"/>
      <c r="C2860" s="4"/>
      <c r="D2860" s="4"/>
      <c r="E2860" s="12"/>
      <c r="F2860" s="12"/>
      <c r="G2860" s="16"/>
      <c r="H2860" s="14"/>
      <c r="I2860" s="14"/>
      <c r="J2860" s="14"/>
      <c r="K2860" s="14"/>
      <c r="L2860" s="14"/>
      <c r="M2860" s="14"/>
      <c r="N2860" s="14"/>
      <c r="O2860" s="4"/>
      <c r="P2860" s="14"/>
      <c r="Q2860" s="14"/>
    </row>
    <row r="2861" spans="1:17" x14ac:dyDescent="0.25">
      <c r="A2861" s="5"/>
      <c r="B2861" s="6"/>
      <c r="C2861" s="4"/>
      <c r="D2861" s="4"/>
      <c r="E2861" s="12"/>
      <c r="F2861" s="12"/>
      <c r="G2861" s="16"/>
      <c r="H2861" s="14"/>
      <c r="I2861" s="14"/>
      <c r="J2861" s="14"/>
      <c r="K2861" s="14"/>
      <c r="L2861" s="14"/>
      <c r="M2861" s="14"/>
      <c r="N2861" s="14"/>
      <c r="O2861" s="4"/>
      <c r="P2861" s="14"/>
      <c r="Q2861" s="14"/>
    </row>
    <row r="2862" spans="1:17" x14ac:dyDescent="0.25">
      <c r="A2862" s="5"/>
      <c r="B2862" s="6"/>
      <c r="C2862" s="4"/>
      <c r="D2862" s="4"/>
      <c r="E2862" s="12"/>
      <c r="F2862" s="12"/>
      <c r="G2862" s="16"/>
      <c r="H2862" s="14"/>
      <c r="I2862" s="14"/>
      <c r="J2862" s="14"/>
      <c r="K2862" s="14"/>
      <c r="L2862" s="14"/>
      <c r="M2862" s="14"/>
      <c r="N2862" s="14"/>
      <c r="O2862" s="4"/>
      <c r="P2862" s="14"/>
      <c r="Q2862" s="14"/>
    </row>
    <row r="2863" spans="1:17" x14ac:dyDescent="0.25">
      <c r="A2863" s="5"/>
      <c r="B2863" s="6"/>
      <c r="C2863" s="4"/>
      <c r="D2863" s="4"/>
      <c r="E2863" s="12"/>
      <c r="F2863" s="12"/>
      <c r="G2863" s="16"/>
      <c r="H2863" s="14"/>
      <c r="I2863" s="14"/>
      <c r="J2863" s="14"/>
      <c r="K2863" s="14"/>
      <c r="L2863" s="14"/>
      <c r="M2863" s="14"/>
      <c r="N2863" s="14"/>
      <c r="O2863" s="4"/>
      <c r="P2863" s="14"/>
      <c r="Q2863" s="14"/>
    </row>
    <row r="2864" spans="1:17" x14ac:dyDescent="0.25">
      <c r="A2864" s="5"/>
      <c r="B2864" s="6"/>
      <c r="C2864" s="4"/>
      <c r="D2864" s="4"/>
      <c r="E2864" s="12"/>
      <c r="F2864" s="12"/>
      <c r="G2864" s="16"/>
      <c r="H2864" s="14"/>
      <c r="I2864" s="14"/>
      <c r="J2864" s="14"/>
      <c r="K2864" s="14"/>
      <c r="L2864" s="14"/>
      <c r="M2864" s="14"/>
      <c r="N2864" s="14"/>
      <c r="O2864" s="4"/>
      <c r="P2864" s="14"/>
      <c r="Q2864" s="14"/>
    </row>
    <row r="2865" spans="1:17" x14ac:dyDescent="0.25">
      <c r="A2865" s="5"/>
      <c r="B2865" s="6"/>
      <c r="C2865" s="4"/>
      <c r="D2865" s="4"/>
      <c r="E2865" s="12"/>
      <c r="F2865" s="12"/>
      <c r="G2865" s="16"/>
      <c r="H2865" s="14"/>
      <c r="I2865" s="14"/>
      <c r="J2865" s="14"/>
      <c r="K2865" s="14"/>
      <c r="L2865" s="14"/>
      <c r="M2865" s="14"/>
      <c r="N2865" s="14"/>
      <c r="O2865" s="4"/>
      <c r="P2865" s="14"/>
      <c r="Q2865" s="14"/>
    </row>
    <row r="2866" spans="1:17" x14ac:dyDescent="0.25">
      <c r="A2866" s="5"/>
      <c r="B2866" s="6"/>
      <c r="C2866" s="4"/>
      <c r="D2866" s="4"/>
      <c r="E2866" s="12"/>
      <c r="F2866" s="12"/>
      <c r="G2866" s="16"/>
      <c r="H2866" s="14"/>
      <c r="I2866" s="14"/>
      <c r="J2866" s="14"/>
      <c r="K2866" s="14"/>
      <c r="L2866" s="14"/>
      <c r="M2866" s="14"/>
      <c r="N2866" s="14"/>
      <c r="O2866" s="4"/>
      <c r="P2866" s="14"/>
      <c r="Q2866" s="14"/>
    </row>
    <row r="2867" spans="1:17" x14ac:dyDescent="0.25">
      <c r="A2867" s="5"/>
      <c r="B2867" s="6"/>
      <c r="C2867" s="4"/>
      <c r="D2867" s="4"/>
      <c r="E2867" s="12"/>
      <c r="F2867" s="12"/>
      <c r="G2867" s="16"/>
      <c r="H2867" s="14"/>
      <c r="I2867" s="14"/>
      <c r="J2867" s="14"/>
      <c r="K2867" s="14"/>
      <c r="L2867" s="14"/>
      <c r="M2867" s="14"/>
      <c r="N2867" s="14"/>
      <c r="O2867" s="4"/>
      <c r="P2867" s="14"/>
      <c r="Q2867" s="14"/>
    </row>
    <row r="2868" spans="1:17" x14ac:dyDescent="0.25">
      <c r="A2868" s="5"/>
      <c r="B2868" s="6"/>
      <c r="C2868" s="4"/>
      <c r="D2868" s="4"/>
      <c r="E2868" s="12"/>
      <c r="F2868" s="12"/>
      <c r="G2868" s="16"/>
      <c r="H2868" s="14"/>
      <c r="I2868" s="14"/>
      <c r="J2868" s="14"/>
      <c r="K2868" s="14"/>
      <c r="L2868" s="14"/>
      <c r="M2868" s="14"/>
      <c r="N2868" s="14"/>
      <c r="O2868" s="4"/>
      <c r="P2868" s="14"/>
      <c r="Q2868" s="14"/>
    </row>
    <row r="2869" spans="1:17" x14ac:dyDescent="0.25">
      <c r="A2869" s="5"/>
      <c r="B2869" s="6"/>
      <c r="C2869" s="4"/>
      <c r="D2869" s="4"/>
      <c r="E2869" s="12"/>
      <c r="F2869" s="12"/>
      <c r="G2869" s="16"/>
      <c r="H2869" s="14"/>
      <c r="I2869" s="14"/>
      <c r="J2869" s="14"/>
      <c r="K2869" s="14"/>
      <c r="L2869" s="14"/>
      <c r="M2869" s="14"/>
      <c r="N2869" s="14"/>
      <c r="O2869" s="4"/>
      <c r="P2869" s="14"/>
      <c r="Q2869" s="14"/>
    </row>
    <row r="2870" spans="1:17" x14ac:dyDescent="0.25">
      <c r="A2870" s="5"/>
      <c r="B2870" s="6"/>
      <c r="C2870" s="4"/>
      <c r="D2870" s="4"/>
      <c r="E2870" s="12"/>
      <c r="F2870" s="12"/>
      <c r="G2870" s="16"/>
      <c r="H2870" s="14"/>
      <c r="I2870" s="14"/>
      <c r="J2870" s="14"/>
      <c r="K2870" s="14"/>
      <c r="L2870" s="14"/>
      <c r="M2870" s="14"/>
      <c r="N2870" s="14"/>
      <c r="O2870" s="4"/>
      <c r="P2870" s="14"/>
      <c r="Q2870" s="14"/>
    </row>
    <row r="2871" spans="1:17" x14ac:dyDescent="0.25">
      <c r="A2871" s="5"/>
      <c r="B2871" s="6"/>
      <c r="C2871" s="4"/>
      <c r="D2871" s="4"/>
      <c r="E2871" s="12"/>
      <c r="F2871" s="12"/>
      <c r="G2871" s="16"/>
      <c r="H2871" s="14"/>
      <c r="I2871" s="14"/>
      <c r="J2871" s="14"/>
      <c r="K2871" s="14"/>
      <c r="L2871" s="14"/>
      <c r="M2871" s="14"/>
      <c r="N2871" s="14"/>
      <c r="O2871" s="4"/>
      <c r="P2871" s="14"/>
      <c r="Q2871" s="14"/>
    </row>
    <row r="2872" spans="1:17" x14ac:dyDescent="0.25">
      <c r="A2872" s="5"/>
      <c r="B2872" s="6"/>
      <c r="C2872" s="4"/>
      <c r="D2872" s="4"/>
      <c r="E2872" s="12"/>
      <c r="F2872" s="12"/>
      <c r="G2872" s="16"/>
      <c r="H2872" s="14"/>
      <c r="I2872" s="14"/>
      <c r="J2872" s="14"/>
      <c r="K2872" s="14"/>
      <c r="L2872" s="14"/>
      <c r="M2872" s="14"/>
      <c r="N2872" s="14"/>
      <c r="O2872" s="4"/>
      <c r="P2872" s="14"/>
      <c r="Q2872" s="14"/>
    </row>
    <row r="2873" spans="1:17" x14ac:dyDescent="0.25">
      <c r="A2873" s="5"/>
      <c r="B2873" s="6"/>
      <c r="C2873" s="4"/>
      <c r="D2873" s="4"/>
      <c r="E2873" s="12"/>
      <c r="F2873" s="12"/>
      <c r="G2873" s="16"/>
      <c r="H2873" s="14"/>
      <c r="I2873" s="14"/>
      <c r="J2873" s="14"/>
      <c r="K2873" s="14"/>
      <c r="L2873" s="14"/>
      <c r="M2873" s="14"/>
      <c r="N2873" s="14"/>
      <c r="O2873" s="4"/>
      <c r="P2873" s="14"/>
      <c r="Q2873" s="14"/>
    </row>
    <row r="2874" spans="1:17" x14ac:dyDescent="0.25">
      <c r="A2874" s="5"/>
      <c r="B2874" s="6"/>
      <c r="C2874" s="4"/>
      <c r="D2874" s="4"/>
      <c r="E2874" s="12"/>
      <c r="F2874" s="12"/>
      <c r="G2874" s="16"/>
      <c r="H2874" s="14"/>
      <c r="I2874" s="14"/>
      <c r="J2874" s="14"/>
      <c r="K2874" s="14"/>
      <c r="L2874" s="14"/>
      <c r="M2874" s="14"/>
      <c r="N2874" s="14"/>
      <c r="O2874" s="4"/>
      <c r="P2874" s="14"/>
      <c r="Q2874" s="14"/>
    </row>
    <row r="2875" spans="1:17" x14ac:dyDescent="0.25">
      <c r="A2875" s="5"/>
      <c r="B2875" s="6"/>
      <c r="C2875" s="4"/>
      <c r="D2875" s="4"/>
      <c r="E2875" s="12"/>
      <c r="F2875" s="12"/>
      <c r="G2875" s="16"/>
      <c r="H2875" s="14"/>
      <c r="I2875" s="14"/>
      <c r="J2875" s="14"/>
      <c r="K2875" s="14"/>
      <c r="L2875" s="14"/>
      <c r="M2875" s="14"/>
      <c r="N2875" s="14"/>
      <c r="O2875" s="4"/>
      <c r="P2875" s="14"/>
      <c r="Q2875" s="14"/>
    </row>
    <row r="2876" spans="1:17" x14ac:dyDescent="0.25">
      <c r="A2876" s="5"/>
      <c r="B2876" s="6"/>
      <c r="C2876" s="4"/>
      <c r="D2876" s="4"/>
      <c r="E2876" s="12"/>
      <c r="F2876" s="12"/>
      <c r="G2876" s="16"/>
      <c r="H2876" s="14"/>
      <c r="I2876" s="14"/>
      <c r="J2876" s="14"/>
      <c r="K2876" s="14"/>
      <c r="L2876" s="14"/>
      <c r="M2876" s="14"/>
      <c r="N2876" s="14"/>
      <c r="O2876" s="4"/>
      <c r="P2876" s="14"/>
      <c r="Q2876" s="14"/>
    </row>
    <row r="2877" spans="1:17" x14ac:dyDescent="0.25">
      <c r="A2877" s="5"/>
      <c r="B2877" s="6"/>
      <c r="C2877" s="4"/>
      <c r="D2877" s="4"/>
      <c r="E2877" s="12"/>
      <c r="F2877" s="12"/>
      <c r="G2877" s="16"/>
      <c r="H2877" s="14"/>
      <c r="I2877" s="14"/>
      <c r="J2877" s="14"/>
      <c r="K2877" s="14"/>
      <c r="L2877" s="14"/>
      <c r="M2877" s="14"/>
      <c r="N2877" s="14"/>
      <c r="O2877" s="4"/>
      <c r="P2877" s="14"/>
      <c r="Q2877" s="14"/>
    </row>
    <row r="2878" spans="1:17" x14ac:dyDescent="0.25">
      <c r="A2878" s="5"/>
      <c r="B2878" s="6"/>
      <c r="C2878" s="4"/>
      <c r="D2878" s="4"/>
      <c r="E2878" s="12"/>
      <c r="F2878" s="12"/>
      <c r="G2878" s="16"/>
      <c r="H2878" s="14"/>
      <c r="I2878" s="14"/>
      <c r="J2878" s="14"/>
      <c r="K2878" s="14"/>
      <c r="L2878" s="14"/>
      <c r="M2878" s="14"/>
      <c r="N2878" s="14"/>
      <c r="O2878" s="4"/>
      <c r="P2878" s="14"/>
      <c r="Q2878" s="14"/>
    </row>
    <row r="2879" spans="1:17" x14ac:dyDescent="0.25">
      <c r="A2879" s="5"/>
      <c r="B2879" s="6"/>
      <c r="C2879" s="4"/>
      <c r="D2879" s="4"/>
      <c r="E2879" s="12"/>
      <c r="F2879" s="12"/>
      <c r="G2879" s="16"/>
      <c r="H2879" s="14"/>
      <c r="I2879" s="14"/>
      <c r="J2879" s="14"/>
      <c r="K2879" s="14"/>
      <c r="L2879" s="14"/>
      <c r="M2879" s="14"/>
      <c r="N2879" s="14"/>
      <c r="O2879" s="4"/>
      <c r="P2879" s="14"/>
      <c r="Q2879" s="14"/>
    </row>
    <row r="2880" spans="1:17" x14ac:dyDescent="0.25">
      <c r="A2880" s="5"/>
      <c r="B2880" s="6"/>
      <c r="C2880" s="4"/>
      <c r="D2880" s="4"/>
      <c r="E2880" s="12"/>
      <c r="F2880" s="12"/>
      <c r="G2880" s="16"/>
      <c r="H2880" s="14"/>
      <c r="I2880" s="14"/>
      <c r="J2880" s="14"/>
      <c r="K2880" s="14"/>
      <c r="L2880" s="14"/>
      <c r="M2880" s="14"/>
      <c r="N2880" s="14"/>
      <c r="O2880" s="4"/>
      <c r="P2880" s="14"/>
      <c r="Q2880" s="14"/>
    </row>
    <row r="2881" spans="1:17" x14ac:dyDescent="0.25">
      <c r="A2881" s="5"/>
      <c r="B2881" s="6"/>
      <c r="C2881" s="4"/>
      <c r="D2881" s="4"/>
      <c r="E2881" s="12"/>
      <c r="F2881" s="12"/>
      <c r="G2881" s="16"/>
      <c r="H2881" s="14"/>
      <c r="I2881" s="14"/>
      <c r="J2881" s="14"/>
      <c r="K2881" s="14"/>
      <c r="L2881" s="14"/>
      <c r="M2881" s="14"/>
      <c r="N2881" s="14"/>
      <c r="O2881" s="4"/>
      <c r="P2881" s="14"/>
      <c r="Q2881" s="14"/>
    </row>
    <row r="2882" spans="1:17" x14ac:dyDescent="0.25">
      <c r="A2882" s="5"/>
      <c r="B2882" s="6"/>
      <c r="C2882" s="4"/>
      <c r="D2882" s="4"/>
      <c r="E2882" s="12"/>
      <c r="F2882" s="12"/>
      <c r="G2882" s="16"/>
      <c r="H2882" s="14"/>
      <c r="I2882" s="14"/>
      <c r="J2882" s="14"/>
      <c r="K2882" s="14"/>
      <c r="L2882" s="14"/>
      <c r="M2882" s="14"/>
      <c r="N2882" s="14"/>
      <c r="O2882" s="4"/>
      <c r="P2882" s="14"/>
      <c r="Q2882" s="14"/>
    </row>
    <row r="2883" spans="1:17" x14ac:dyDescent="0.25">
      <c r="A2883" s="5"/>
      <c r="B2883" s="6"/>
      <c r="C2883" s="4"/>
      <c r="D2883" s="4"/>
      <c r="E2883" s="12"/>
      <c r="F2883" s="12"/>
      <c r="G2883" s="16"/>
      <c r="H2883" s="14"/>
      <c r="I2883" s="14"/>
      <c r="J2883" s="14"/>
      <c r="K2883" s="14"/>
      <c r="L2883" s="14"/>
      <c r="M2883" s="14"/>
      <c r="N2883" s="14"/>
      <c r="O2883" s="4"/>
      <c r="P2883" s="14"/>
      <c r="Q2883" s="14"/>
    </row>
    <row r="2884" spans="1:17" x14ac:dyDescent="0.25">
      <c r="A2884" s="5"/>
      <c r="B2884" s="6"/>
      <c r="C2884" s="4"/>
      <c r="D2884" s="4"/>
      <c r="E2884" s="12"/>
      <c r="F2884" s="12"/>
      <c r="G2884" s="16"/>
      <c r="H2884" s="14"/>
      <c r="I2884" s="14"/>
      <c r="J2884" s="14"/>
      <c r="K2884" s="14"/>
      <c r="L2884" s="14"/>
      <c r="M2884" s="14"/>
      <c r="N2884" s="14"/>
      <c r="O2884" s="4"/>
      <c r="P2884" s="14"/>
      <c r="Q2884" s="14"/>
    </row>
    <row r="2885" spans="1:17" x14ac:dyDescent="0.25">
      <c r="A2885" s="5"/>
      <c r="B2885" s="6"/>
      <c r="C2885" s="4"/>
      <c r="D2885" s="4"/>
      <c r="E2885" s="12"/>
      <c r="F2885" s="12"/>
      <c r="G2885" s="16"/>
      <c r="H2885" s="14"/>
      <c r="I2885" s="14"/>
      <c r="J2885" s="14"/>
      <c r="K2885" s="14"/>
      <c r="L2885" s="14"/>
      <c r="M2885" s="14"/>
      <c r="N2885" s="14"/>
      <c r="O2885" s="4"/>
      <c r="P2885" s="14"/>
      <c r="Q2885" s="14"/>
    </row>
    <row r="2886" spans="1:17" x14ac:dyDescent="0.25">
      <c r="A2886" s="5"/>
      <c r="B2886" s="6"/>
      <c r="C2886" s="4"/>
      <c r="D2886" s="4"/>
      <c r="E2886" s="12"/>
      <c r="F2886" s="12"/>
      <c r="G2886" s="16"/>
      <c r="H2886" s="14"/>
      <c r="I2886" s="14"/>
      <c r="J2886" s="14"/>
      <c r="K2886" s="14"/>
      <c r="L2886" s="14"/>
      <c r="M2886" s="14"/>
      <c r="N2886" s="14"/>
      <c r="O2886" s="4"/>
      <c r="P2886" s="14"/>
      <c r="Q2886" s="14"/>
    </row>
    <row r="2887" spans="1:17" x14ac:dyDescent="0.25">
      <c r="A2887" s="5"/>
      <c r="B2887" s="6"/>
      <c r="C2887" s="4"/>
      <c r="D2887" s="4"/>
      <c r="E2887" s="12"/>
      <c r="F2887" s="12"/>
      <c r="G2887" s="16"/>
      <c r="H2887" s="14"/>
      <c r="I2887" s="14"/>
      <c r="J2887" s="14"/>
      <c r="K2887" s="14"/>
      <c r="L2887" s="14"/>
      <c r="M2887" s="14"/>
      <c r="N2887" s="14"/>
      <c r="O2887" s="4"/>
      <c r="P2887" s="14"/>
      <c r="Q2887" s="14"/>
    </row>
    <row r="2888" spans="1:17" x14ac:dyDescent="0.25">
      <c r="A2888" s="5"/>
      <c r="B2888" s="6"/>
      <c r="C2888" s="4"/>
      <c r="D2888" s="4"/>
      <c r="E2888" s="12"/>
      <c r="F2888" s="12"/>
      <c r="G2888" s="16"/>
      <c r="H2888" s="14"/>
      <c r="I2888" s="14"/>
      <c r="J2888" s="14"/>
      <c r="K2888" s="14"/>
      <c r="L2888" s="14"/>
      <c r="M2888" s="14"/>
      <c r="N2888" s="14"/>
      <c r="O2888" s="4"/>
      <c r="P2888" s="14"/>
      <c r="Q2888" s="14"/>
    </row>
    <row r="2889" spans="1:17" x14ac:dyDescent="0.25">
      <c r="A2889" s="5"/>
      <c r="B2889" s="6"/>
      <c r="C2889" s="4"/>
      <c r="D2889" s="4"/>
      <c r="E2889" s="12"/>
      <c r="F2889" s="12"/>
      <c r="G2889" s="16"/>
      <c r="H2889" s="14"/>
      <c r="I2889" s="14"/>
      <c r="J2889" s="14"/>
      <c r="K2889" s="14"/>
      <c r="L2889" s="14"/>
      <c r="M2889" s="14"/>
      <c r="N2889" s="14"/>
      <c r="O2889" s="4"/>
      <c r="P2889" s="14"/>
      <c r="Q2889" s="14"/>
    </row>
    <row r="2890" spans="1:17" x14ac:dyDescent="0.25">
      <c r="A2890" s="5"/>
      <c r="B2890" s="6"/>
      <c r="C2890" s="4"/>
      <c r="D2890" s="4"/>
      <c r="E2890" s="12"/>
      <c r="F2890" s="12"/>
      <c r="G2890" s="16"/>
      <c r="H2890" s="14"/>
      <c r="I2890" s="14"/>
      <c r="J2890" s="14"/>
      <c r="K2890" s="14"/>
      <c r="L2890" s="14"/>
      <c r="M2890" s="14"/>
      <c r="N2890" s="14"/>
      <c r="O2890" s="4"/>
      <c r="P2890" s="14"/>
      <c r="Q2890" s="14"/>
    </row>
    <row r="2891" spans="1:17" x14ac:dyDescent="0.25">
      <c r="A2891" s="5"/>
      <c r="B2891" s="6"/>
      <c r="C2891" s="4"/>
      <c r="D2891" s="4"/>
      <c r="E2891" s="12"/>
      <c r="F2891" s="12"/>
      <c r="G2891" s="16"/>
      <c r="H2891" s="14"/>
      <c r="I2891" s="14"/>
      <c r="J2891" s="14"/>
      <c r="K2891" s="14"/>
      <c r="L2891" s="14"/>
      <c r="M2891" s="14"/>
      <c r="N2891" s="14"/>
      <c r="O2891" s="4"/>
      <c r="P2891" s="14"/>
      <c r="Q2891" s="14"/>
    </row>
    <row r="2892" spans="1:17" x14ac:dyDescent="0.25">
      <c r="A2892" s="5"/>
      <c r="B2892" s="6"/>
      <c r="C2892" s="4"/>
      <c r="D2892" s="4"/>
      <c r="E2892" s="12"/>
      <c r="F2892" s="12"/>
      <c r="G2892" s="16"/>
      <c r="H2892" s="14"/>
      <c r="I2892" s="14"/>
      <c r="J2892" s="14"/>
      <c r="K2892" s="14"/>
      <c r="L2892" s="14"/>
      <c r="M2892" s="14"/>
      <c r="N2892" s="14"/>
      <c r="O2892" s="4"/>
      <c r="P2892" s="14"/>
      <c r="Q2892" s="14"/>
    </row>
    <row r="2893" spans="1:17" x14ac:dyDescent="0.25">
      <c r="A2893" s="5"/>
      <c r="B2893" s="6"/>
      <c r="C2893" s="4"/>
      <c r="D2893" s="4"/>
      <c r="E2893" s="12"/>
      <c r="F2893" s="12"/>
      <c r="G2893" s="16"/>
      <c r="H2893" s="14"/>
      <c r="I2893" s="14"/>
      <c r="J2893" s="14"/>
      <c r="K2893" s="14"/>
      <c r="L2893" s="14"/>
      <c r="M2893" s="14"/>
      <c r="N2893" s="14"/>
      <c r="O2893" s="4"/>
      <c r="P2893" s="14"/>
      <c r="Q2893" s="14"/>
    </row>
    <row r="2894" spans="1:17" x14ac:dyDescent="0.25">
      <c r="A2894" s="5"/>
      <c r="B2894" s="6"/>
      <c r="C2894" s="4"/>
      <c r="D2894" s="4"/>
      <c r="E2894" s="12"/>
      <c r="F2894" s="12"/>
      <c r="G2894" s="16"/>
      <c r="H2894" s="14"/>
      <c r="I2894" s="14"/>
      <c r="J2894" s="14"/>
      <c r="K2894" s="14"/>
      <c r="L2894" s="14"/>
      <c r="M2894" s="14"/>
      <c r="N2894" s="14"/>
      <c r="O2894" s="4"/>
      <c r="P2894" s="14"/>
      <c r="Q2894" s="14"/>
    </row>
    <row r="2895" spans="1:17" x14ac:dyDescent="0.25">
      <c r="A2895" s="5"/>
      <c r="B2895" s="6"/>
      <c r="C2895" s="4"/>
      <c r="D2895" s="4"/>
      <c r="E2895" s="12"/>
      <c r="F2895" s="12"/>
      <c r="G2895" s="16"/>
      <c r="H2895" s="14"/>
      <c r="I2895" s="14"/>
      <c r="J2895" s="14"/>
      <c r="K2895" s="14"/>
      <c r="L2895" s="14"/>
      <c r="M2895" s="14"/>
      <c r="N2895" s="14"/>
      <c r="O2895" s="4"/>
      <c r="P2895" s="14"/>
      <c r="Q2895" s="14"/>
    </row>
    <row r="2896" spans="1:17" x14ac:dyDescent="0.25">
      <c r="A2896" s="5"/>
      <c r="B2896" s="6"/>
      <c r="C2896" s="4"/>
      <c r="D2896" s="4"/>
      <c r="E2896" s="12"/>
      <c r="F2896" s="12"/>
      <c r="G2896" s="16"/>
      <c r="H2896" s="14"/>
      <c r="I2896" s="14"/>
      <c r="J2896" s="14"/>
      <c r="K2896" s="14"/>
      <c r="L2896" s="14"/>
      <c r="M2896" s="14"/>
      <c r="N2896" s="14"/>
      <c r="O2896" s="4"/>
      <c r="P2896" s="14"/>
      <c r="Q2896" s="14"/>
    </row>
    <row r="2897" spans="1:17" x14ac:dyDescent="0.25">
      <c r="A2897" s="5"/>
      <c r="B2897" s="6"/>
      <c r="C2897" s="4"/>
      <c r="D2897" s="4"/>
      <c r="E2897" s="12"/>
      <c r="F2897" s="12"/>
      <c r="G2897" s="16"/>
      <c r="H2897" s="14"/>
      <c r="I2897" s="14"/>
      <c r="J2897" s="14"/>
      <c r="K2897" s="14"/>
      <c r="L2897" s="14"/>
      <c r="M2897" s="14"/>
      <c r="N2897" s="14"/>
      <c r="O2897" s="4"/>
      <c r="P2897" s="14"/>
      <c r="Q2897" s="14"/>
    </row>
    <row r="2898" spans="1:17" x14ac:dyDescent="0.25">
      <c r="A2898" s="5"/>
      <c r="B2898" s="6"/>
      <c r="C2898" s="4"/>
      <c r="D2898" s="4"/>
      <c r="E2898" s="12"/>
      <c r="F2898" s="12"/>
      <c r="G2898" s="16"/>
      <c r="H2898" s="14"/>
      <c r="I2898" s="14"/>
      <c r="J2898" s="14"/>
      <c r="K2898" s="14"/>
      <c r="L2898" s="14"/>
      <c r="M2898" s="14"/>
      <c r="N2898" s="14"/>
      <c r="O2898" s="4"/>
      <c r="P2898" s="14"/>
      <c r="Q2898" s="14"/>
    </row>
    <row r="2899" spans="1:17" x14ac:dyDescent="0.25">
      <c r="A2899" s="5"/>
      <c r="B2899" s="6"/>
      <c r="C2899" s="4"/>
      <c r="D2899" s="4"/>
      <c r="E2899" s="12"/>
      <c r="F2899" s="12"/>
      <c r="G2899" s="16"/>
      <c r="H2899" s="14"/>
      <c r="I2899" s="14"/>
      <c r="J2899" s="14"/>
      <c r="K2899" s="14"/>
      <c r="L2899" s="14"/>
      <c r="M2899" s="14"/>
      <c r="N2899" s="14"/>
      <c r="O2899" s="4"/>
      <c r="P2899" s="14"/>
      <c r="Q2899" s="14"/>
    </row>
    <row r="2900" spans="1:17" x14ac:dyDescent="0.25">
      <c r="A2900" s="5"/>
      <c r="B2900" s="6"/>
      <c r="C2900" s="4"/>
      <c r="D2900" s="4"/>
      <c r="E2900" s="12"/>
      <c r="F2900" s="12"/>
      <c r="G2900" s="16"/>
      <c r="H2900" s="14"/>
      <c r="I2900" s="14"/>
      <c r="J2900" s="14"/>
      <c r="K2900" s="14"/>
      <c r="L2900" s="14"/>
      <c r="M2900" s="14"/>
      <c r="N2900" s="14"/>
      <c r="O2900" s="4"/>
      <c r="P2900" s="14"/>
      <c r="Q2900" s="14"/>
    </row>
    <row r="2901" spans="1:17" x14ac:dyDescent="0.25">
      <c r="A2901" s="5"/>
      <c r="B2901" s="6"/>
      <c r="C2901" s="4"/>
      <c r="D2901" s="4"/>
      <c r="E2901" s="12"/>
      <c r="F2901" s="12"/>
      <c r="G2901" s="16"/>
      <c r="H2901" s="14"/>
      <c r="I2901" s="14"/>
      <c r="J2901" s="14"/>
      <c r="K2901" s="14"/>
      <c r="L2901" s="14"/>
      <c r="M2901" s="14"/>
      <c r="N2901" s="14"/>
      <c r="O2901" s="4"/>
      <c r="P2901" s="14"/>
      <c r="Q2901" s="14"/>
    </row>
    <row r="2902" spans="1:17" x14ac:dyDescent="0.25">
      <c r="A2902" s="5"/>
      <c r="B2902" s="6"/>
      <c r="C2902" s="4"/>
      <c r="D2902" s="4"/>
      <c r="E2902" s="12"/>
      <c r="F2902" s="12"/>
      <c r="G2902" s="16"/>
      <c r="H2902" s="14"/>
      <c r="I2902" s="14"/>
      <c r="J2902" s="14"/>
      <c r="K2902" s="14"/>
      <c r="L2902" s="14"/>
      <c r="M2902" s="14"/>
      <c r="N2902" s="14"/>
      <c r="O2902" s="4"/>
      <c r="P2902" s="14"/>
      <c r="Q2902" s="14"/>
    </row>
    <row r="2903" spans="1:17" x14ac:dyDescent="0.25">
      <c r="A2903" s="5"/>
      <c r="B2903" s="6"/>
      <c r="C2903" s="4"/>
      <c r="D2903" s="4"/>
      <c r="E2903" s="12"/>
      <c r="F2903" s="12"/>
      <c r="G2903" s="16"/>
      <c r="H2903" s="14"/>
      <c r="I2903" s="14"/>
      <c r="J2903" s="14"/>
      <c r="K2903" s="14"/>
      <c r="L2903" s="14"/>
      <c r="M2903" s="14"/>
      <c r="N2903" s="14"/>
      <c r="O2903" s="4"/>
      <c r="P2903" s="14"/>
      <c r="Q2903" s="14"/>
    </row>
    <row r="2904" spans="1:17" x14ac:dyDescent="0.25">
      <c r="A2904" s="5"/>
      <c r="B2904" s="6"/>
      <c r="C2904" s="4"/>
      <c r="D2904" s="4"/>
      <c r="E2904" s="12"/>
      <c r="F2904" s="12"/>
      <c r="G2904" s="16"/>
      <c r="H2904" s="14"/>
      <c r="I2904" s="14"/>
      <c r="J2904" s="14"/>
      <c r="K2904" s="14"/>
      <c r="L2904" s="14"/>
      <c r="M2904" s="14"/>
      <c r="N2904" s="14"/>
      <c r="O2904" s="4"/>
      <c r="P2904" s="14"/>
      <c r="Q2904" s="14"/>
    </row>
    <row r="2905" spans="1:17" x14ac:dyDescent="0.25">
      <c r="A2905" s="5"/>
      <c r="B2905" s="6"/>
      <c r="C2905" s="4"/>
      <c r="D2905" s="4"/>
      <c r="E2905" s="12"/>
      <c r="F2905" s="12"/>
      <c r="G2905" s="16"/>
      <c r="H2905" s="14"/>
      <c r="I2905" s="14"/>
      <c r="J2905" s="14"/>
      <c r="K2905" s="14"/>
      <c r="L2905" s="14"/>
      <c r="M2905" s="14"/>
      <c r="N2905" s="14"/>
      <c r="O2905" s="4"/>
      <c r="P2905" s="14"/>
      <c r="Q2905" s="14"/>
    </row>
    <row r="2906" spans="1:17" x14ac:dyDescent="0.25">
      <c r="A2906" s="5"/>
      <c r="B2906" s="6"/>
      <c r="C2906" s="4"/>
      <c r="D2906" s="4"/>
      <c r="E2906" s="12"/>
      <c r="F2906" s="12"/>
      <c r="G2906" s="16"/>
      <c r="H2906" s="14"/>
      <c r="I2906" s="14"/>
      <c r="J2906" s="14"/>
      <c r="K2906" s="14"/>
      <c r="L2906" s="14"/>
      <c r="M2906" s="14"/>
      <c r="N2906" s="14"/>
      <c r="O2906" s="4"/>
      <c r="P2906" s="14"/>
      <c r="Q2906" s="14"/>
    </row>
    <row r="2907" spans="1:17" x14ac:dyDescent="0.25">
      <c r="A2907" s="5"/>
      <c r="B2907" s="6"/>
      <c r="C2907" s="4"/>
      <c r="D2907" s="4"/>
      <c r="E2907" s="12"/>
      <c r="F2907" s="12"/>
      <c r="G2907" s="16"/>
      <c r="H2907" s="14"/>
      <c r="I2907" s="14"/>
      <c r="J2907" s="14"/>
      <c r="K2907" s="14"/>
      <c r="L2907" s="14"/>
      <c r="M2907" s="14"/>
      <c r="N2907" s="14"/>
      <c r="O2907" s="4"/>
      <c r="P2907" s="14"/>
      <c r="Q2907" s="14"/>
    </row>
    <row r="2908" spans="1:17" x14ac:dyDescent="0.25">
      <c r="A2908" s="5"/>
      <c r="B2908" s="6"/>
      <c r="C2908" s="4"/>
      <c r="D2908" s="4"/>
      <c r="E2908" s="12"/>
      <c r="F2908" s="12"/>
      <c r="G2908" s="16"/>
      <c r="H2908" s="14"/>
      <c r="I2908" s="14"/>
      <c r="J2908" s="14"/>
      <c r="K2908" s="14"/>
      <c r="L2908" s="14"/>
      <c r="M2908" s="14"/>
      <c r="N2908" s="14"/>
      <c r="O2908" s="4"/>
      <c r="P2908" s="14"/>
      <c r="Q2908" s="14"/>
    </row>
    <row r="2909" spans="1:17" x14ac:dyDescent="0.25">
      <c r="A2909" s="5"/>
      <c r="B2909" s="6"/>
      <c r="C2909" s="4"/>
      <c r="D2909" s="4"/>
      <c r="E2909" s="12"/>
      <c r="F2909" s="12"/>
      <c r="G2909" s="16"/>
      <c r="H2909" s="14"/>
      <c r="I2909" s="14"/>
      <c r="J2909" s="14"/>
      <c r="K2909" s="14"/>
      <c r="L2909" s="14"/>
      <c r="M2909" s="14"/>
      <c r="N2909" s="14"/>
      <c r="O2909" s="4"/>
      <c r="P2909" s="14"/>
      <c r="Q2909" s="14"/>
    </row>
    <row r="2910" spans="1:17" x14ac:dyDescent="0.25">
      <c r="A2910" s="5"/>
      <c r="B2910" s="6"/>
      <c r="C2910" s="4"/>
      <c r="D2910" s="4"/>
      <c r="E2910" s="12"/>
      <c r="F2910" s="12"/>
      <c r="G2910" s="16"/>
      <c r="H2910" s="14"/>
      <c r="I2910" s="14"/>
      <c r="J2910" s="14"/>
      <c r="K2910" s="14"/>
      <c r="L2910" s="14"/>
      <c r="M2910" s="14"/>
      <c r="N2910" s="14"/>
      <c r="O2910" s="4"/>
      <c r="P2910" s="14"/>
      <c r="Q2910" s="14"/>
    </row>
    <row r="2911" spans="1:17" x14ac:dyDescent="0.25">
      <c r="A2911" s="5"/>
      <c r="B2911" s="6"/>
      <c r="C2911" s="4"/>
      <c r="D2911" s="4"/>
      <c r="E2911" s="12"/>
      <c r="F2911" s="12"/>
      <c r="G2911" s="16"/>
      <c r="H2911" s="14"/>
      <c r="I2911" s="14"/>
      <c r="J2911" s="14"/>
      <c r="K2911" s="14"/>
      <c r="L2911" s="14"/>
      <c r="M2911" s="14"/>
      <c r="N2911" s="14"/>
      <c r="O2911" s="4"/>
      <c r="P2911" s="14"/>
      <c r="Q2911" s="14"/>
    </row>
    <row r="2912" spans="1:17" x14ac:dyDescent="0.25">
      <c r="A2912" s="5"/>
      <c r="B2912" s="6"/>
      <c r="C2912" s="4"/>
      <c r="D2912" s="4"/>
      <c r="E2912" s="12"/>
      <c r="F2912" s="12"/>
      <c r="G2912" s="16"/>
      <c r="H2912" s="14"/>
      <c r="I2912" s="14"/>
      <c r="J2912" s="14"/>
      <c r="K2912" s="14"/>
      <c r="L2912" s="14"/>
      <c r="M2912" s="14"/>
      <c r="N2912" s="14"/>
      <c r="O2912" s="4"/>
      <c r="P2912" s="14"/>
      <c r="Q2912" s="14"/>
    </row>
    <row r="2913" spans="1:17" x14ac:dyDescent="0.25">
      <c r="A2913" s="5"/>
      <c r="B2913" s="6"/>
      <c r="C2913" s="4"/>
      <c r="D2913" s="4"/>
      <c r="E2913" s="12"/>
      <c r="F2913" s="12"/>
      <c r="G2913" s="16"/>
      <c r="H2913" s="14"/>
      <c r="I2913" s="14"/>
      <c r="J2913" s="14"/>
      <c r="K2913" s="14"/>
      <c r="L2913" s="14"/>
      <c r="M2913" s="14"/>
      <c r="N2913" s="14"/>
      <c r="O2913" s="4"/>
      <c r="P2913" s="14"/>
      <c r="Q2913" s="14"/>
    </row>
    <row r="2914" spans="1:17" x14ac:dyDescent="0.25">
      <c r="A2914" s="5"/>
      <c r="B2914" s="6"/>
      <c r="C2914" s="4"/>
      <c r="D2914" s="4"/>
      <c r="E2914" s="12"/>
      <c r="F2914" s="12"/>
      <c r="G2914" s="16"/>
      <c r="H2914" s="14"/>
      <c r="I2914" s="14"/>
      <c r="J2914" s="14"/>
      <c r="K2914" s="14"/>
      <c r="L2914" s="14"/>
      <c r="M2914" s="14"/>
      <c r="N2914" s="14"/>
      <c r="O2914" s="4"/>
      <c r="P2914" s="14"/>
      <c r="Q2914" s="14"/>
    </row>
    <row r="2915" spans="1:17" x14ac:dyDescent="0.25">
      <c r="A2915" s="5"/>
      <c r="B2915" s="6"/>
      <c r="C2915" s="4"/>
      <c r="D2915" s="4"/>
      <c r="E2915" s="12"/>
      <c r="F2915" s="12"/>
      <c r="G2915" s="16"/>
      <c r="H2915" s="14"/>
      <c r="I2915" s="14"/>
      <c r="J2915" s="14"/>
      <c r="K2915" s="14"/>
      <c r="L2915" s="14"/>
      <c r="M2915" s="14"/>
      <c r="N2915" s="14"/>
      <c r="O2915" s="4"/>
      <c r="P2915" s="14"/>
      <c r="Q2915" s="14"/>
    </row>
    <row r="2916" spans="1:17" x14ac:dyDescent="0.25">
      <c r="A2916" s="5"/>
      <c r="B2916" s="6"/>
      <c r="C2916" s="4"/>
      <c r="D2916" s="4"/>
      <c r="E2916" s="12"/>
      <c r="F2916" s="12"/>
      <c r="G2916" s="16"/>
      <c r="H2916" s="14"/>
      <c r="I2916" s="14"/>
      <c r="J2916" s="14"/>
      <c r="K2916" s="14"/>
      <c r="L2916" s="14"/>
      <c r="M2916" s="14"/>
      <c r="N2916" s="14"/>
      <c r="O2916" s="4"/>
      <c r="P2916" s="14"/>
      <c r="Q2916" s="14"/>
    </row>
    <row r="2917" spans="1:17" x14ac:dyDescent="0.25">
      <c r="A2917" s="5"/>
      <c r="B2917" s="6"/>
      <c r="C2917" s="4"/>
      <c r="D2917" s="4"/>
      <c r="E2917" s="12"/>
      <c r="F2917" s="12"/>
      <c r="G2917" s="16"/>
      <c r="H2917" s="14"/>
      <c r="I2917" s="14"/>
      <c r="J2917" s="14"/>
      <c r="K2917" s="14"/>
      <c r="L2917" s="14"/>
      <c r="M2917" s="14"/>
      <c r="N2917" s="14"/>
      <c r="O2917" s="4"/>
      <c r="P2917" s="14"/>
      <c r="Q2917" s="14"/>
    </row>
    <row r="2918" spans="1:17" x14ac:dyDescent="0.25">
      <c r="A2918" s="5"/>
      <c r="B2918" s="6"/>
      <c r="C2918" s="4"/>
      <c r="D2918" s="4"/>
      <c r="E2918" s="12"/>
      <c r="F2918" s="12"/>
      <c r="G2918" s="16"/>
      <c r="H2918" s="14"/>
      <c r="I2918" s="14"/>
      <c r="J2918" s="14"/>
      <c r="K2918" s="14"/>
      <c r="L2918" s="14"/>
      <c r="M2918" s="14"/>
      <c r="N2918" s="14"/>
      <c r="O2918" s="4"/>
      <c r="P2918" s="14"/>
      <c r="Q2918" s="14"/>
    </row>
    <row r="2919" spans="1:17" x14ac:dyDescent="0.25">
      <c r="A2919" s="5"/>
      <c r="B2919" s="6"/>
      <c r="C2919" s="4"/>
      <c r="D2919" s="4"/>
      <c r="E2919" s="12"/>
      <c r="F2919" s="12"/>
      <c r="G2919" s="16"/>
      <c r="H2919" s="14"/>
      <c r="I2919" s="14"/>
      <c r="J2919" s="14"/>
      <c r="K2919" s="14"/>
      <c r="L2919" s="14"/>
      <c r="M2919" s="14"/>
      <c r="N2919" s="14"/>
      <c r="O2919" s="4"/>
      <c r="P2919" s="14"/>
      <c r="Q2919" s="14"/>
    </row>
    <row r="2920" spans="1:17" x14ac:dyDescent="0.25">
      <c r="A2920" s="5"/>
      <c r="B2920" s="6"/>
      <c r="C2920" s="4"/>
      <c r="D2920" s="4"/>
      <c r="E2920" s="12"/>
      <c r="F2920" s="12"/>
      <c r="G2920" s="16"/>
      <c r="H2920" s="14"/>
      <c r="I2920" s="14"/>
      <c r="J2920" s="14"/>
      <c r="K2920" s="14"/>
      <c r="L2920" s="14"/>
      <c r="M2920" s="14"/>
      <c r="N2920" s="14"/>
      <c r="O2920" s="4"/>
      <c r="P2920" s="14"/>
      <c r="Q2920" s="14"/>
    </row>
    <row r="2921" spans="1:17" x14ac:dyDescent="0.25">
      <c r="A2921" s="5"/>
      <c r="B2921" s="6"/>
      <c r="C2921" s="4"/>
      <c r="D2921" s="4"/>
      <c r="E2921" s="12"/>
      <c r="F2921" s="12"/>
      <c r="G2921" s="16"/>
      <c r="H2921" s="14"/>
      <c r="I2921" s="14"/>
      <c r="J2921" s="14"/>
      <c r="K2921" s="14"/>
      <c r="L2921" s="14"/>
      <c r="M2921" s="14"/>
      <c r="N2921" s="14"/>
      <c r="O2921" s="4"/>
      <c r="P2921" s="14"/>
      <c r="Q2921" s="14"/>
    </row>
    <row r="2922" spans="1:17" x14ac:dyDescent="0.25">
      <c r="A2922" s="5"/>
      <c r="B2922" s="6"/>
      <c r="C2922" s="4"/>
      <c r="D2922" s="4"/>
      <c r="E2922" s="12"/>
      <c r="F2922" s="12"/>
      <c r="G2922" s="16"/>
      <c r="H2922" s="14"/>
      <c r="I2922" s="14"/>
      <c r="J2922" s="14"/>
      <c r="K2922" s="14"/>
      <c r="L2922" s="14"/>
      <c r="M2922" s="14"/>
      <c r="N2922" s="14"/>
      <c r="O2922" s="4"/>
      <c r="P2922" s="14"/>
      <c r="Q2922" s="14"/>
    </row>
    <row r="2923" spans="1:17" x14ac:dyDescent="0.25">
      <c r="A2923" s="5"/>
      <c r="B2923" s="6"/>
      <c r="C2923" s="4"/>
      <c r="D2923" s="4"/>
      <c r="E2923" s="12"/>
      <c r="F2923" s="12"/>
      <c r="G2923" s="16"/>
      <c r="H2923" s="14"/>
      <c r="I2923" s="14"/>
      <c r="J2923" s="14"/>
      <c r="K2923" s="14"/>
      <c r="L2923" s="14"/>
      <c r="M2923" s="14"/>
      <c r="N2923" s="14"/>
      <c r="O2923" s="4"/>
      <c r="P2923" s="14"/>
      <c r="Q2923" s="14"/>
    </row>
    <row r="2924" spans="1:17" x14ac:dyDescent="0.25">
      <c r="A2924" s="5"/>
      <c r="B2924" s="6"/>
      <c r="C2924" s="4"/>
      <c r="D2924" s="4"/>
      <c r="E2924" s="12"/>
      <c r="F2924" s="12"/>
      <c r="G2924" s="16"/>
      <c r="H2924" s="14"/>
      <c r="I2924" s="14"/>
      <c r="J2924" s="14"/>
      <c r="K2924" s="14"/>
      <c r="L2924" s="14"/>
      <c r="M2924" s="14"/>
      <c r="N2924" s="14"/>
      <c r="O2924" s="4"/>
      <c r="P2924" s="14"/>
      <c r="Q2924" s="14"/>
    </row>
    <row r="2925" spans="1:17" x14ac:dyDescent="0.25">
      <c r="A2925" s="5"/>
      <c r="B2925" s="6"/>
      <c r="C2925" s="4"/>
      <c r="D2925" s="4"/>
      <c r="E2925" s="12"/>
      <c r="F2925" s="12"/>
      <c r="G2925" s="16"/>
      <c r="H2925" s="14"/>
      <c r="I2925" s="14"/>
      <c r="J2925" s="14"/>
      <c r="K2925" s="14"/>
      <c r="L2925" s="14"/>
      <c r="M2925" s="14"/>
      <c r="N2925" s="14"/>
      <c r="O2925" s="4"/>
      <c r="P2925" s="14"/>
      <c r="Q2925" s="14"/>
    </row>
    <row r="2926" spans="1:17" x14ac:dyDescent="0.25">
      <c r="A2926" s="5"/>
      <c r="B2926" s="6"/>
      <c r="C2926" s="4"/>
      <c r="D2926" s="4"/>
      <c r="E2926" s="12"/>
      <c r="F2926" s="12"/>
      <c r="G2926" s="16"/>
      <c r="H2926" s="14"/>
      <c r="I2926" s="14"/>
      <c r="J2926" s="14"/>
      <c r="K2926" s="14"/>
      <c r="L2926" s="14"/>
      <c r="M2926" s="14"/>
      <c r="N2926" s="14"/>
      <c r="O2926" s="4"/>
      <c r="P2926" s="14"/>
      <c r="Q2926" s="14"/>
    </row>
    <row r="2927" spans="1:17" x14ac:dyDescent="0.25">
      <c r="A2927" s="5"/>
      <c r="B2927" s="6"/>
      <c r="C2927" s="4"/>
      <c r="D2927" s="4"/>
      <c r="E2927" s="12"/>
      <c r="F2927" s="12"/>
      <c r="G2927" s="16"/>
      <c r="H2927" s="14"/>
      <c r="I2927" s="14"/>
      <c r="J2927" s="14"/>
      <c r="K2927" s="14"/>
      <c r="L2927" s="14"/>
      <c r="M2927" s="14"/>
      <c r="N2927" s="14"/>
      <c r="O2927" s="4"/>
      <c r="P2927" s="14"/>
      <c r="Q2927" s="14"/>
    </row>
    <row r="2928" spans="1:17" x14ac:dyDescent="0.25">
      <c r="A2928" s="5"/>
      <c r="B2928" s="6"/>
      <c r="C2928" s="4"/>
      <c r="D2928" s="4"/>
      <c r="E2928" s="12"/>
      <c r="F2928" s="12"/>
      <c r="G2928" s="16"/>
      <c r="H2928" s="14"/>
      <c r="I2928" s="14"/>
      <c r="J2928" s="14"/>
      <c r="K2928" s="14"/>
      <c r="L2928" s="14"/>
      <c r="M2928" s="14"/>
      <c r="N2928" s="14"/>
      <c r="O2928" s="4"/>
      <c r="P2928" s="14"/>
      <c r="Q2928" s="14"/>
    </row>
    <row r="2929" spans="1:17" x14ac:dyDescent="0.25">
      <c r="A2929" s="5"/>
      <c r="B2929" s="6"/>
      <c r="C2929" s="4"/>
      <c r="D2929" s="4"/>
      <c r="E2929" s="12"/>
      <c r="F2929" s="12"/>
      <c r="G2929" s="16"/>
      <c r="H2929" s="14"/>
      <c r="I2929" s="14"/>
      <c r="J2929" s="14"/>
      <c r="K2929" s="14"/>
      <c r="L2929" s="14"/>
      <c r="M2929" s="14"/>
      <c r="N2929" s="14"/>
      <c r="O2929" s="4"/>
      <c r="P2929" s="14"/>
      <c r="Q2929" s="14"/>
    </row>
    <row r="2930" spans="1:17" x14ac:dyDescent="0.25">
      <c r="A2930" s="5"/>
      <c r="B2930" s="6"/>
      <c r="C2930" s="4"/>
      <c r="D2930" s="4"/>
      <c r="E2930" s="12"/>
      <c r="F2930" s="12"/>
      <c r="G2930" s="16"/>
      <c r="H2930" s="14"/>
      <c r="I2930" s="14"/>
      <c r="J2930" s="14"/>
      <c r="K2930" s="14"/>
      <c r="L2930" s="14"/>
      <c r="M2930" s="14"/>
      <c r="N2930" s="14"/>
      <c r="O2930" s="4"/>
      <c r="P2930" s="14"/>
      <c r="Q2930" s="14"/>
    </row>
    <row r="2931" spans="1:17" x14ac:dyDescent="0.25">
      <c r="A2931" s="5"/>
      <c r="B2931" s="6"/>
      <c r="C2931" s="4"/>
      <c r="D2931" s="4"/>
      <c r="E2931" s="12"/>
      <c r="F2931" s="12"/>
      <c r="G2931" s="16"/>
      <c r="H2931" s="14"/>
      <c r="I2931" s="14"/>
      <c r="J2931" s="14"/>
      <c r="K2931" s="14"/>
      <c r="L2931" s="14"/>
      <c r="M2931" s="14"/>
      <c r="N2931" s="14"/>
      <c r="O2931" s="4"/>
      <c r="P2931" s="14"/>
      <c r="Q2931" s="14"/>
    </row>
    <row r="2932" spans="1:17" x14ac:dyDescent="0.25">
      <c r="A2932" s="5"/>
      <c r="B2932" s="6"/>
      <c r="C2932" s="4"/>
      <c r="D2932" s="4"/>
      <c r="E2932" s="12"/>
      <c r="F2932" s="12"/>
      <c r="G2932" s="16"/>
      <c r="H2932" s="14"/>
      <c r="I2932" s="14"/>
      <c r="J2932" s="14"/>
      <c r="K2932" s="14"/>
      <c r="L2932" s="14"/>
      <c r="M2932" s="14"/>
      <c r="N2932" s="14"/>
      <c r="O2932" s="4"/>
      <c r="P2932" s="14"/>
      <c r="Q2932" s="14"/>
    </row>
    <row r="2933" spans="1:17" x14ac:dyDescent="0.25">
      <c r="A2933" s="5"/>
      <c r="B2933" s="6"/>
      <c r="C2933" s="4"/>
      <c r="D2933" s="4"/>
      <c r="E2933" s="12"/>
      <c r="F2933" s="12"/>
      <c r="G2933" s="16"/>
      <c r="H2933" s="14"/>
      <c r="I2933" s="14"/>
      <c r="J2933" s="14"/>
      <c r="K2933" s="14"/>
      <c r="L2933" s="14"/>
      <c r="M2933" s="14"/>
      <c r="N2933" s="14"/>
      <c r="O2933" s="4"/>
      <c r="P2933" s="14"/>
      <c r="Q2933" s="14"/>
    </row>
    <row r="2934" spans="1:17" x14ac:dyDescent="0.25">
      <c r="A2934" s="5"/>
      <c r="B2934" s="6"/>
      <c r="C2934" s="4"/>
      <c r="D2934" s="4"/>
      <c r="E2934" s="12"/>
      <c r="F2934" s="12"/>
      <c r="G2934" s="16"/>
      <c r="H2934" s="14"/>
      <c r="I2934" s="14"/>
      <c r="J2934" s="14"/>
      <c r="K2934" s="14"/>
      <c r="L2934" s="14"/>
      <c r="M2934" s="14"/>
      <c r="N2934" s="14"/>
      <c r="O2934" s="4"/>
      <c r="P2934" s="14"/>
      <c r="Q2934" s="14"/>
    </row>
    <row r="2935" spans="1:17" x14ac:dyDescent="0.25">
      <c r="A2935" s="5"/>
      <c r="B2935" s="6"/>
      <c r="C2935" s="4"/>
      <c r="D2935" s="4"/>
      <c r="E2935" s="12"/>
      <c r="F2935" s="12"/>
      <c r="G2935" s="16"/>
      <c r="H2935" s="14"/>
      <c r="I2935" s="14"/>
      <c r="J2935" s="14"/>
      <c r="K2935" s="14"/>
      <c r="L2935" s="14"/>
      <c r="M2935" s="14"/>
      <c r="N2935" s="14"/>
      <c r="O2935" s="4"/>
      <c r="P2935" s="14"/>
      <c r="Q2935" s="14"/>
    </row>
    <row r="2936" spans="1:17" x14ac:dyDescent="0.25">
      <c r="A2936" s="5"/>
      <c r="B2936" s="6"/>
      <c r="C2936" s="4"/>
      <c r="D2936" s="4"/>
      <c r="E2936" s="12"/>
      <c r="F2936" s="12"/>
      <c r="G2936" s="16"/>
      <c r="H2936" s="14"/>
      <c r="I2936" s="14"/>
      <c r="J2936" s="14"/>
      <c r="K2936" s="14"/>
      <c r="L2936" s="14"/>
      <c r="M2936" s="14"/>
      <c r="N2936" s="14"/>
      <c r="O2936" s="4"/>
      <c r="P2936" s="14"/>
      <c r="Q2936" s="14"/>
    </row>
    <row r="2937" spans="1:17" x14ac:dyDescent="0.25">
      <c r="A2937" s="5"/>
      <c r="B2937" s="6"/>
      <c r="C2937" s="4"/>
      <c r="D2937" s="4"/>
      <c r="E2937" s="12"/>
      <c r="F2937" s="12"/>
      <c r="G2937" s="16"/>
      <c r="H2937" s="14"/>
      <c r="I2937" s="14"/>
      <c r="J2937" s="14"/>
      <c r="K2937" s="14"/>
      <c r="L2937" s="14"/>
      <c r="M2937" s="14"/>
      <c r="N2937" s="14"/>
      <c r="O2937" s="4"/>
      <c r="P2937" s="14"/>
      <c r="Q2937" s="14"/>
    </row>
    <row r="2938" spans="1:17" x14ac:dyDescent="0.25">
      <c r="A2938" s="5"/>
      <c r="B2938" s="6"/>
      <c r="C2938" s="4"/>
      <c r="D2938" s="4"/>
      <c r="E2938" s="12"/>
      <c r="F2938" s="12"/>
      <c r="G2938" s="16"/>
      <c r="H2938" s="14"/>
      <c r="I2938" s="14"/>
      <c r="J2938" s="14"/>
      <c r="K2938" s="14"/>
      <c r="L2938" s="14"/>
      <c r="M2938" s="14"/>
      <c r="N2938" s="14"/>
      <c r="O2938" s="4"/>
      <c r="P2938" s="14"/>
      <c r="Q2938" s="14"/>
    </row>
    <row r="2939" spans="1:17" x14ac:dyDescent="0.25">
      <c r="A2939" s="5"/>
      <c r="B2939" s="6"/>
      <c r="C2939" s="4"/>
      <c r="D2939" s="4"/>
      <c r="E2939" s="12"/>
      <c r="F2939" s="12"/>
      <c r="G2939" s="16"/>
      <c r="H2939" s="14"/>
      <c r="I2939" s="14"/>
      <c r="J2939" s="14"/>
      <c r="K2939" s="14"/>
      <c r="L2939" s="14"/>
      <c r="M2939" s="14"/>
      <c r="N2939" s="14"/>
      <c r="O2939" s="4"/>
      <c r="P2939" s="14"/>
      <c r="Q2939" s="14"/>
    </row>
    <row r="2940" spans="1:17" x14ac:dyDescent="0.25">
      <c r="A2940" s="5"/>
      <c r="B2940" s="6"/>
      <c r="C2940" s="4"/>
      <c r="D2940" s="4"/>
      <c r="E2940" s="12"/>
      <c r="F2940" s="12"/>
      <c r="G2940" s="16"/>
      <c r="H2940" s="14"/>
      <c r="I2940" s="14"/>
      <c r="J2940" s="14"/>
      <c r="K2940" s="14"/>
      <c r="L2940" s="14"/>
      <c r="M2940" s="14"/>
      <c r="N2940" s="14"/>
      <c r="O2940" s="4"/>
      <c r="P2940" s="14"/>
      <c r="Q2940" s="14"/>
    </row>
    <row r="2941" spans="1:17" x14ac:dyDescent="0.25">
      <c r="A2941" s="5"/>
      <c r="B2941" s="6"/>
      <c r="C2941" s="4"/>
      <c r="D2941" s="4"/>
      <c r="E2941" s="12"/>
      <c r="F2941" s="12"/>
      <c r="G2941" s="16"/>
      <c r="H2941" s="14"/>
      <c r="I2941" s="14"/>
      <c r="J2941" s="14"/>
      <c r="K2941" s="14"/>
      <c r="L2941" s="14"/>
      <c r="M2941" s="14"/>
      <c r="N2941" s="14"/>
      <c r="O2941" s="4"/>
      <c r="P2941" s="14"/>
      <c r="Q2941" s="14"/>
    </row>
    <row r="2942" spans="1:17" x14ac:dyDescent="0.25">
      <c r="A2942" s="5"/>
      <c r="B2942" s="6"/>
      <c r="C2942" s="4"/>
      <c r="D2942" s="4"/>
      <c r="E2942" s="12"/>
      <c r="F2942" s="12"/>
      <c r="G2942" s="16"/>
      <c r="H2942" s="14"/>
      <c r="I2942" s="14"/>
      <c r="J2942" s="14"/>
      <c r="K2942" s="14"/>
      <c r="L2942" s="14"/>
      <c r="M2942" s="14"/>
      <c r="N2942" s="14"/>
      <c r="O2942" s="4"/>
      <c r="P2942" s="14"/>
      <c r="Q2942" s="14"/>
    </row>
    <row r="2943" spans="1:17" x14ac:dyDescent="0.25">
      <c r="A2943" s="5"/>
      <c r="B2943" s="6"/>
      <c r="C2943" s="4"/>
      <c r="D2943" s="4"/>
      <c r="E2943" s="12"/>
      <c r="F2943" s="12"/>
      <c r="G2943" s="16"/>
      <c r="H2943" s="14"/>
      <c r="I2943" s="14"/>
      <c r="J2943" s="14"/>
      <c r="K2943" s="14"/>
      <c r="L2943" s="14"/>
      <c r="M2943" s="14"/>
      <c r="N2943" s="14"/>
      <c r="O2943" s="4"/>
      <c r="P2943" s="14"/>
      <c r="Q2943" s="14"/>
    </row>
    <row r="2944" spans="1:17" x14ac:dyDescent="0.25">
      <c r="A2944" s="5"/>
      <c r="B2944" s="6"/>
      <c r="C2944" s="4"/>
      <c r="D2944" s="4"/>
      <c r="E2944" s="12"/>
      <c r="F2944" s="12"/>
      <c r="G2944" s="16"/>
      <c r="H2944" s="14"/>
      <c r="I2944" s="14"/>
      <c r="J2944" s="14"/>
      <c r="K2944" s="14"/>
      <c r="L2944" s="14"/>
      <c r="M2944" s="14"/>
      <c r="N2944" s="14"/>
      <c r="O2944" s="4"/>
      <c r="P2944" s="14"/>
      <c r="Q2944" s="14"/>
    </row>
    <row r="2945" spans="1:17" x14ac:dyDescent="0.25">
      <c r="A2945" s="5"/>
      <c r="B2945" s="6"/>
      <c r="C2945" s="4"/>
      <c r="D2945" s="4"/>
      <c r="E2945" s="12"/>
      <c r="F2945" s="12"/>
      <c r="G2945" s="16"/>
      <c r="H2945" s="14"/>
      <c r="I2945" s="14"/>
      <c r="J2945" s="14"/>
      <c r="K2945" s="14"/>
      <c r="L2945" s="14"/>
      <c r="M2945" s="14"/>
      <c r="N2945" s="14"/>
      <c r="O2945" s="4"/>
      <c r="P2945" s="14"/>
      <c r="Q2945" s="14"/>
    </row>
    <row r="2946" spans="1:17" x14ac:dyDescent="0.25">
      <c r="A2946" s="5"/>
      <c r="B2946" s="6"/>
      <c r="C2946" s="4"/>
      <c r="D2946" s="4"/>
      <c r="E2946" s="12"/>
      <c r="F2946" s="12"/>
      <c r="G2946" s="16"/>
      <c r="H2946" s="14"/>
      <c r="I2946" s="14"/>
      <c r="J2946" s="14"/>
      <c r="K2946" s="14"/>
      <c r="L2946" s="14"/>
      <c r="M2946" s="14"/>
      <c r="N2946" s="14"/>
      <c r="O2946" s="4"/>
      <c r="P2946" s="14"/>
      <c r="Q2946" s="14"/>
    </row>
    <row r="2947" spans="1:17" x14ac:dyDescent="0.25">
      <c r="A2947" s="5"/>
      <c r="B2947" s="6"/>
      <c r="C2947" s="4"/>
      <c r="D2947" s="4"/>
      <c r="E2947" s="12"/>
      <c r="F2947" s="12"/>
      <c r="G2947" s="16"/>
      <c r="H2947" s="14"/>
      <c r="I2947" s="14"/>
      <c r="J2947" s="14"/>
      <c r="K2947" s="14"/>
      <c r="L2947" s="14"/>
      <c r="M2947" s="14"/>
      <c r="N2947" s="14"/>
      <c r="O2947" s="4"/>
      <c r="P2947" s="14"/>
      <c r="Q2947" s="14"/>
    </row>
    <row r="2948" spans="1:17" x14ac:dyDescent="0.25">
      <c r="A2948" s="5"/>
      <c r="B2948" s="6"/>
      <c r="C2948" s="4"/>
      <c r="D2948" s="4"/>
      <c r="E2948" s="12"/>
      <c r="F2948" s="12"/>
      <c r="G2948" s="16"/>
      <c r="H2948" s="14"/>
      <c r="I2948" s="14"/>
      <c r="J2948" s="14"/>
      <c r="K2948" s="14"/>
      <c r="L2948" s="14"/>
      <c r="M2948" s="14"/>
      <c r="N2948" s="14"/>
      <c r="O2948" s="4"/>
      <c r="P2948" s="14"/>
      <c r="Q2948" s="14"/>
    </row>
    <row r="2949" spans="1:17" x14ac:dyDescent="0.25">
      <c r="A2949" s="5"/>
      <c r="B2949" s="6"/>
      <c r="C2949" s="4"/>
      <c r="D2949" s="4"/>
      <c r="E2949" s="12"/>
      <c r="F2949" s="12"/>
      <c r="G2949" s="16"/>
      <c r="H2949" s="14"/>
      <c r="I2949" s="14"/>
      <c r="J2949" s="14"/>
      <c r="K2949" s="14"/>
      <c r="L2949" s="14"/>
      <c r="M2949" s="14"/>
      <c r="N2949" s="14"/>
      <c r="O2949" s="4"/>
      <c r="P2949" s="14"/>
      <c r="Q2949" s="14"/>
    </row>
    <row r="2950" spans="1:17" x14ac:dyDescent="0.25">
      <c r="A2950" s="5"/>
      <c r="B2950" s="6"/>
      <c r="C2950" s="4"/>
      <c r="D2950" s="4"/>
      <c r="E2950" s="12"/>
      <c r="F2950" s="12"/>
      <c r="G2950" s="16"/>
      <c r="H2950" s="14"/>
      <c r="I2950" s="14"/>
      <c r="J2950" s="14"/>
      <c r="K2950" s="14"/>
      <c r="L2950" s="14"/>
      <c r="M2950" s="14"/>
      <c r="N2950" s="14"/>
      <c r="O2950" s="4"/>
      <c r="P2950" s="14"/>
      <c r="Q2950" s="14"/>
    </row>
    <row r="2951" spans="1:17" x14ac:dyDescent="0.25">
      <c r="A2951" s="5"/>
      <c r="B2951" s="6"/>
      <c r="C2951" s="4"/>
      <c r="D2951" s="4"/>
      <c r="E2951" s="12"/>
      <c r="F2951" s="12"/>
      <c r="G2951" s="16"/>
      <c r="H2951" s="14"/>
      <c r="I2951" s="14"/>
      <c r="J2951" s="14"/>
      <c r="K2951" s="14"/>
      <c r="L2951" s="14"/>
      <c r="M2951" s="14"/>
      <c r="N2951" s="14"/>
      <c r="O2951" s="4"/>
      <c r="P2951" s="14"/>
      <c r="Q2951" s="14"/>
    </row>
    <row r="2952" spans="1:17" x14ac:dyDescent="0.25">
      <c r="A2952" s="5"/>
      <c r="B2952" s="6"/>
      <c r="C2952" s="4"/>
      <c r="D2952" s="4"/>
      <c r="E2952" s="12"/>
      <c r="F2952" s="12"/>
      <c r="G2952" s="16"/>
      <c r="H2952" s="14"/>
      <c r="I2952" s="14"/>
      <c r="J2952" s="14"/>
      <c r="K2952" s="14"/>
      <c r="L2952" s="14"/>
      <c r="M2952" s="14"/>
      <c r="N2952" s="14"/>
      <c r="O2952" s="4"/>
      <c r="P2952" s="14"/>
      <c r="Q2952" s="14"/>
    </row>
    <row r="2953" spans="1:17" x14ac:dyDescent="0.25">
      <c r="A2953" s="5"/>
      <c r="B2953" s="6"/>
      <c r="C2953" s="4"/>
      <c r="D2953" s="4"/>
      <c r="E2953" s="12"/>
      <c r="F2953" s="12"/>
      <c r="G2953" s="16"/>
      <c r="H2953" s="14"/>
      <c r="I2953" s="14"/>
      <c r="J2953" s="14"/>
      <c r="K2953" s="14"/>
      <c r="L2953" s="14"/>
      <c r="M2953" s="14"/>
      <c r="N2953" s="14"/>
      <c r="O2953" s="4"/>
      <c r="P2953" s="14"/>
      <c r="Q2953" s="14"/>
    </row>
    <row r="2954" spans="1:17" x14ac:dyDescent="0.25">
      <c r="A2954" s="5"/>
      <c r="B2954" s="6"/>
      <c r="C2954" s="4"/>
      <c r="D2954" s="4"/>
      <c r="E2954" s="12"/>
      <c r="F2954" s="12"/>
      <c r="G2954" s="16"/>
      <c r="H2954" s="14"/>
      <c r="I2954" s="14"/>
      <c r="J2954" s="14"/>
      <c r="K2954" s="14"/>
      <c r="L2954" s="14"/>
      <c r="M2954" s="14"/>
      <c r="N2954" s="14"/>
      <c r="O2954" s="4"/>
      <c r="P2954" s="14"/>
      <c r="Q2954" s="14"/>
    </row>
    <row r="2955" spans="1:17" x14ac:dyDescent="0.25">
      <c r="A2955" s="5"/>
      <c r="B2955" s="6"/>
      <c r="C2955" s="4"/>
      <c r="D2955" s="4"/>
      <c r="E2955" s="12"/>
      <c r="F2955" s="12"/>
      <c r="G2955" s="16"/>
      <c r="H2955" s="14"/>
      <c r="I2955" s="14"/>
      <c r="J2955" s="14"/>
      <c r="K2955" s="14"/>
      <c r="L2955" s="14"/>
      <c r="M2955" s="14"/>
      <c r="N2955" s="14"/>
      <c r="O2955" s="4"/>
      <c r="P2955" s="14"/>
      <c r="Q2955" s="14"/>
    </row>
    <row r="2956" spans="1:17" x14ac:dyDescent="0.25">
      <c r="A2956" s="5"/>
      <c r="B2956" s="6"/>
      <c r="C2956" s="4"/>
      <c r="D2956" s="4"/>
      <c r="E2956" s="12"/>
      <c r="F2956" s="12"/>
      <c r="G2956" s="16"/>
      <c r="H2956" s="14"/>
      <c r="I2956" s="14"/>
      <c r="J2956" s="14"/>
      <c r="K2956" s="14"/>
      <c r="L2956" s="14"/>
      <c r="M2956" s="14"/>
      <c r="N2956" s="14"/>
      <c r="O2956" s="4"/>
      <c r="P2956" s="14"/>
      <c r="Q2956" s="14"/>
    </row>
    <row r="2957" spans="1:17" x14ac:dyDescent="0.25">
      <c r="A2957" s="5"/>
      <c r="B2957" s="6"/>
      <c r="C2957" s="4"/>
      <c r="D2957" s="4"/>
      <c r="E2957" s="12"/>
      <c r="F2957" s="12"/>
      <c r="G2957" s="16"/>
      <c r="H2957" s="14"/>
      <c r="I2957" s="14"/>
      <c r="J2957" s="14"/>
      <c r="K2957" s="14"/>
      <c r="L2957" s="14"/>
      <c r="M2957" s="14"/>
      <c r="N2957" s="14"/>
      <c r="O2957" s="4"/>
      <c r="P2957" s="14"/>
      <c r="Q2957" s="14"/>
    </row>
    <row r="2958" spans="1:17" x14ac:dyDescent="0.25">
      <c r="A2958" s="5"/>
      <c r="B2958" s="6"/>
      <c r="C2958" s="4"/>
      <c r="D2958" s="4"/>
      <c r="E2958" s="12"/>
      <c r="F2958" s="12"/>
      <c r="G2958" s="16"/>
      <c r="H2958" s="14"/>
      <c r="I2958" s="14"/>
      <c r="J2958" s="14"/>
      <c r="K2958" s="14"/>
      <c r="L2958" s="14"/>
      <c r="M2958" s="14"/>
      <c r="N2958" s="14"/>
      <c r="O2958" s="4"/>
      <c r="P2958" s="14"/>
      <c r="Q2958" s="14"/>
    </row>
    <row r="2959" spans="1:17" x14ac:dyDescent="0.25">
      <c r="A2959" s="5"/>
      <c r="B2959" s="6"/>
      <c r="C2959" s="4"/>
      <c r="D2959" s="4"/>
      <c r="E2959" s="12"/>
      <c r="F2959" s="12"/>
      <c r="G2959" s="16"/>
      <c r="H2959" s="14"/>
      <c r="I2959" s="14"/>
      <c r="J2959" s="14"/>
      <c r="K2959" s="14"/>
      <c r="L2959" s="14"/>
      <c r="M2959" s="14"/>
      <c r="N2959" s="14"/>
      <c r="O2959" s="4"/>
      <c r="P2959" s="14"/>
      <c r="Q2959" s="14"/>
    </row>
    <row r="2960" spans="1:17" x14ac:dyDescent="0.25">
      <c r="A2960" s="5"/>
      <c r="B2960" s="6"/>
      <c r="C2960" s="4"/>
      <c r="D2960" s="4"/>
      <c r="E2960" s="12"/>
      <c r="F2960" s="12"/>
      <c r="G2960" s="16"/>
      <c r="H2960" s="14"/>
      <c r="I2960" s="14"/>
      <c r="J2960" s="14"/>
      <c r="K2960" s="14"/>
      <c r="L2960" s="14"/>
      <c r="M2960" s="14"/>
      <c r="N2960" s="14"/>
      <c r="O2960" s="4"/>
      <c r="P2960" s="14"/>
      <c r="Q2960" s="14"/>
    </row>
    <row r="2961" spans="1:17" x14ac:dyDescent="0.25">
      <c r="A2961" s="5"/>
      <c r="B2961" s="6"/>
      <c r="C2961" s="4"/>
      <c r="D2961" s="4"/>
      <c r="E2961" s="12"/>
      <c r="F2961" s="12"/>
      <c r="G2961" s="16"/>
      <c r="H2961" s="14"/>
      <c r="I2961" s="14"/>
      <c r="J2961" s="14"/>
      <c r="K2961" s="14"/>
      <c r="L2961" s="14"/>
      <c r="M2961" s="14"/>
      <c r="N2961" s="14"/>
      <c r="O2961" s="4"/>
      <c r="P2961" s="14"/>
      <c r="Q2961" s="14"/>
    </row>
    <row r="2962" spans="1:17" x14ac:dyDescent="0.25">
      <c r="A2962" s="5"/>
      <c r="B2962" s="6"/>
      <c r="C2962" s="4"/>
      <c r="D2962" s="4"/>
      <c r="E2962" s="12"/>
      <c r="F2962" s="12"/>
      <c r="G2962" s="16"/>
      <c r="H2962" s="14"/>
      <c r="I2962" s="14"/>
      <c r="J2962" s="14"/>
      <c r="K2962" s="14"/>
      <c r="L2962" s="14"/>
      <c r="M2962" s="14"/>
      <c r="N2962" s="14"/>
      <c r="O2962" s="4"/>
      <c r="P2962" s="14"/>
      <c r="Q2962" s="14"/>
    </row>
    <row r="2963" spans="1:17" x14ac:dyDescent="0.25">
      <c r="A2963" s="5"/>
      <c r="B2963" s="6"/>
      <c r="C2963" s="4"/>
      <c r="D2963" s="4"/>
      <c r="E2963" s="12"/>
      <c r="F2963" s="12"/>
      <c r="G2963" s="16"/>
      <c r="H2963" s="14"/>
      <c r="I2963" s="14"/>
      <c r="J2963" s="14"/>
      <c r="K2963" s="14"/>
      <c r="L2963" s="14"/>
      <c r="M2963" s="14"/>
      <c r="N2963" s="14"/>
      <c r="O2963" s="4"/>
      <c r="P2963" s="14"/>
      <c r="Q2963" s="14"/>
    </row>
    <row r="2964" spans="1:17" x14ac:dyDescent="0.25">
      <c r="A2964" s="5"/>
      <c r="B2964" s="6"/>
      <c r="C2964" s="4"/>
      <c r="D2964" s="4"/>
      <c r="E2964" s="12"/>
      <c r="F2964" s="12"/>
      <c r="G2964" s="16"/>
      <c r="H2964" s="14"/>
      <c r="I2964" s="14"/>
      <c r="J2964" s="14"/>
      <c r="K2964" s="14"/>
      <c r="L2964" s="14"/>
      <c r="M2964" s="14"/>
      <c r="N2964" s="14"/>
      <c r="O2964" s="4"/>
      <c r="P2964" s="14"/>
      <c r="Q2964" s="14"/>
    </row>
    <row r="2965" spans="1:17" x14ac:dyDescent="0.25">
      <c r="A2965" s="5"/>
      <c r="B2965" s="6"/>
      <c r="C2965" s="4"/>
      <c r="D2965" s="4"/>
      <c r="E2965" s="12"/>
      <c r="F2965" s="12"/>
      <c r="G2965" s="16"/>
      <c r="H2965" s="14"/>
      <c r="I2965" s="14"/>
      <c r="J2965" s="14"/>
      <c r="K2965" s="14"/>
      <c r="L2965" s="14"/>
      <c r="M2965" s="14"/>
      <c r="N2965" s="14"/>
      <c r="O2965" s="4"/>
      <c r="P2965" s="14"/>
      <c r="Q2965" s="14"/>
    </row>
    <row r="2966" spans="1:17" x14ac:dyDescent="0.25">
      <c r="A2966" s="5"/>
      <c r="B2966" s="6"/>
      <c r="C2966" s="4"/>
      <c r="D2966" s="4"/>
      <c r="E2966" s="12"/>
      <c r="F2966" s="12"/>
      <c r="G2966" s="16"/>
      <c r="H2966" s="14"/>
      <c r="I2966" s="14"/>
      <c r="J2966" s="14"/>
      <c r="K2966" s="14"/>
      <c r="L2966" s="14"/>
      <c r="M2966" s="14"/>
      <c r="N2966" s="14"/>
      <c r="O2966" s="4"/>
      <c r="P2966" s="14"/>
      <c r="Q2966" s="14"/>
    </row>
    <row r="2967" spans="1:17" x14ac:dyDescent="0.25">
      <c r="A2967" s="5"/>
      <c r="B2967" s="6"/>
      <c r="C2967" s="4"/>
      <c r="D2967" s="4"/>
      <c r="E2967" s="12"/>
      <c r="F2967" s="12"/>
      <c r="G2967" s="16"/>
      <c r="H2967" s="14"/>
      <c r="I2967" s="14"/>
      <c r="J2967" s="14"/>
      <c r="K2967" s="14"/>
      <c r="L2967" s="14"/>
      <c r="M2967" s="14"/>
      <c r="N2967" s="14"/>
      <c r="O2967" s="4"/>
      <c r="P2967" s="14"/>
      <c r="Q2967" s="14"/>
    </row>
    <row r="2968" spans="1:17" x14ac:dyDescent="0.25">
      <c r="A2968" s="5"/>
      <c r="B2968" s="6"/>
      <c r="C2968" s="4"/>
      <c r="D2968" s="4"/>
      <c r="E2968" s="12"/>
      <c r="F2968" s="12"/>
      <c r="G2968" s="16"/>
      <c r="H2968" s="14"/>
      <c r="I2968" s="14"/>
      <c r="J2968" s="14"/>
      <c r="K2968" s="14"/>
      <c r="L2968" s="14"/>
      <c r="M2968" s="14"/>
      <c r="N2968" s="14"/>
      <c r="O2968" s="4"/>
      <c r="P2968" s="14"/>
      <c r="Q2968" s="14"/>
    </row>
    <row r="2969" spans="1:17" x14ac:dyDescent="0.25">
      <c r="A2969" s="5"/>
      <c r="B2969" s="6"/>
      <c r="C2969" s="4"/>
      <c r="D2969" s="4"/>
      <c r="E2969" s="12"/>
      <c r="F2969" s="12"/>
      <c r="G2969" s="16"/>
      <c r="H2969" s="14"/>
      <c r="I2969" s="14"/>
      <c r="J2969" s="14"/>
      <c r="K2969" s="14"/>
      <c r="L2969" s="14"/>
      <c r="M2969" s="14"/>
      <c r="N2969" s="14"/>
      <c r="O2969" s="4"/>
      <c r="P2969" s="14"/>
      <c r="Q2969" s="14"/>
    </row>
    <row r="2970" spans="1:17" x14ac:dyDescent="0.25">
      <c r="A2970" s="5"/>
      <c r="B2970" s="6"/>
      <c r="C2970" s="4"/>
      <c r="D2970" s="4"/>
      <c r="E2970" s="12"/>
      <c r="F2970" s="12"/>
      <c r="G2970" s="16"/>
      <c r="H2970" s="14"/>
      <c r="I2970" s="14"/>
      <c r="J2970" s="14"/>
      <c r="K2970" s="14"/>
      <c r="L2970" s="14"/>
      <c r="M2970" s="14"/>
      <c r="N2970" s="14"/>
      <c r="O2970" s="4"/>
      <c r="P2970" s="14"/>
      <c r="Q2970" s="14"/>
    </row>
    <row r="2971" spans="1:17" x14ac:dyDescent="0.25">
      <c r="A2971" s="5"/>
      <c r="B2971" s="6"/>
      <c r="C2971" s="4"/>
      <c r="D2971" s="4"/>
      <c r="E2971" s="12"/>
      <c r="F2971" s="12"/>
      <c r="G2971" s="16"/>
      <c r="H2971" s="14"/>
      <c r="I2971" s="14"/>
      <c r="J2971" s="14"/>
      <c r="K2971" s="14"/>
      <c r="L2971" s="14"/>
      <c r="M2971" s="14"/>
      <c r="N2971" s="14"/>
      <c r="O2971" s="4"/>
      <c r="P2971" s="14"/>
      <c r="Q2971" s="14"/>
    </row>
    <row r="2972" spans="1:17" x14ac:dyDescent="0.25">
      <c r="A2972" s="5"/>
      <c r="B2972" s="6"/>
      <c r="C2972" s="4"/>
      <c r="D2972" s="4"/>
      <c r="E2972" s="12"/>
      <c r="F2972" s="12"/>
      <c r="G2972" s="16"/>
      <c r="H2972" s="14"/>
      <c r="I2972" s="14"/>
      <c r="J2972" s="14"/>
      <c r="K2972" s="14"/>
      <c r="L2972" s="14"/>
      <c r="M2972" s="14"/>
      <c r="N2972" s="14"/>
      <c r="O2972" s="4"/>
      <c r="P2972" s="14"/>
      <c r="Q2972" s="14"/>
    </row>
    <row r="2973" spans="1:17" x14ac:dyDescent="0.25">
      <c r="A2973" s="5"/>
      <c r="B2973" s="6"/>
      <c r="C2973" s="4"/>
      <c r="D2973" s="4"/>
      <c r="E2973" s="12"/>
      <c r="F2973" s="12"/>
      <c r="G2973" s="16"/>
      <c r="H2973" s="14"/>
      <c r="I2973" s="14"/>
      <c r="J2973" s="14"/>
      <c r="K2973" s="14"/>
      <c r="L2973" s="14"/>
      <c r="M2973" s="14"/>
      <c r="N2973" s="14"/>
      <c r="O2973" s="4"/>
      <c r="P2973" s="14"/>
      <c r="Q2973" s="14"/>
    </row>
    <row r="2974" spans="1:17" x14ac:dyDescent="0.25">
      <c r="A2974" s="5"/>
      <c r="B2974" s="6"/>
      <c r="C2974" s="4"/>
      <c r="D2974" s="4"/>
      <c r="E2974" s="12"/>
      <c r="F2974" s="12"/>
      <c r="G2974" s="16"/>
      <c r="H2974" s="14"/>
      <c r="I2974" s="14"/>
      <c r="J2974" s="14"/>
      <c r="K2974" s="14"/>
      <c r="L2974" s="14"/>
      <c r="M2974" s="14"/>
      <c r="N2974" s="14"/>
      <c r="O2974" s="4"/>
      <c r="P2974" s="14"/>
      <c r="Q2974" s="14"/>
    </row>
    <row r="2975" spans="1:17" x14ac:dyDescent="0.25">
      <c r="A2975" s="5"/>
      <c r="B2975" s="6"/>
      <c r="C2975" s="4"/>
      <c r="D2975" s="4"/>
      <c r="E2975" s="12"/>
      <c r="F2975" s="12"/>
      <c r="G2975" s="16"/>
      <c r="H2975" s="14"/>
      <c r="I2975" s="14"/>
      <c r="J2975" s="14"/>
      <c r="K2975" s="14"/>
      <c r="L2975" s="14"/>
      <c r="M2975" s="14"/>
      <c r="N2975" s="14"/>
      <c r="O2975" s="4"/>
      <c r="P2975" s="14"/>
      <c r="Q2975" s="14"/>
    </row>
    <row r="2976" spans="1:17" x14ac:dyDescent="0.25">
      <c r="A2976" s="5"/>
      <c r="B2976" s="6"/>
      <c r="C2976" s="4"/>
      <c r="D2976" s="4"/>
      <c r="E2976" s="12"/>
      <c r="F2976" s="12"/>
      <c r="G2976" s="16"/>
      <c r="H2976" s="14"/>
      <c r="I2976" s="14"/>
      <c r="J2976" s="14"/>
      <c r="K2976" s="14"/>
      <c r="L2976" s="14"/>
      <c r="M2976" s="14"/>
      <c r="N2976" s="14"/>
      <c r="O2976" s="4"/>
      <c r="P2976" s="14"/>
      <c r="Q2976" s="14"/>
    </row>
    <row r="2977" spans="1:17" x14ac:dyDescent="0.25">
      <c r="A2977" s="5"/>
      <c r="B2977" s="6"/>
      <c r="C2977" s="4"/>
      <c r="D2977" s="4"/>
      <c r="E2977" s="12"/>
      <c r="F2977" s="12"/>
      <c r="G2977" s="16"/>
      <c r="H2977" s="14"/>
      <c r="I2977" s="14"/>
      <c r="J2977" s="14"/>
      <c r="K2977" s="14"/>
      <c r="L2977" s="14"/>
      <c r="M2977" s="14"/>
      <c r="N2977" s="14"/>
      <c r="O2977" s="4"/>
      <c r="P2977" s="14"/>
      <c r="Q2977" s="14"/>
    </row>
    <row r="2978" spans="1:17" x14ac:dyDescent="0.25">
      <c r="A2978" s="5"/>
      <c r="B2978" s="6"/>
      <c r="C2978" s="4"/>
      <c r="D2978" s="4"/>
      <c r="E2978" s="12"/>
      <c r="F2978" s="12"/>
      <c r="G2978" s="16"/>
      <c r="H2978" s="14"/>
      <c r="I2978" s="14"/>
      <c r="J2978" s="14"/>
      <c r="K2978" s="14"/>
      <c r="L2978" s="14"/>
      <c r="M2978" s="14"/>
      <c r="N2978" s="14"/>
      <c r="O2978" s="4"/>
      <c r="P2978" s="14"/>
      <c r="Q2978" s="14"/>
    </row>
    <row r="2979" spans="1:17" x14ac:dyDescent="0.25">
      <c r="A2979" s="5"/>
      <c r="B2979" s="6"/>
      <c r="C2979" s="4"/>
      <c r="D2979" s="4"/>
      <c r="E2979" s="12"/>
      <c r="F2979" s="12"/>
      <c r="G2979" s="16"/>
      <c r="H2979" s="14"/>
      <c r="I2979" s="14"/>
      <c r="J2979" s="14"/>
      <c r="K2979" s="14"/>
      <c r="L2979" s="14"/>
      <c r="M2979" s="14"/>
      <c r="N2979" s="14"/>
      <c r="O2979" s="4"/>
      <c r="P2979" s="14"/>
      <c r="Q2979" s="14"/>
    </row>
    <row r="2980" spans="1:17" x14ac:dyDescent="0.25">
      <c r="A2980" s="5"/>
      <c r="B2980" s="6"/>
      <c r="C2980" s="4"/>
      <c r="D2980" s="4"/>
      <c r="E2980" s="12"/>
      <c r="F2980" s="12"/>
      <c r="G2980" s="16"/>
      <c r="H2980" s="14"/>
      <c r="I2980" s="14"/>
      <c r="J2980" s="14"/>
      <c r="K2980" s="14"/>
      <c r="L2980" s="14"/>
      <c r="M2980" s="14"/>
      <c r="N2980" s="14"/>
      <c r="O2980" s="4"/>
      <c r="P2980" s="14"/>
      <c r="Q2980" s="14"/>
    </row>
    <row r="2981" spans="1:17" x14ac:dyDescent="0.25">
      <c r="A2981" s="5"/>
      <c r="B2981" s="6"/>
      <c r="C2981" s="4"/>
      <c r="D2981" s="4"/>
      <c r="E2981" s="12"/>
      <c r="F2981" s="12"/>
      <c r="G2981" s="16"/>
      <c r="H2981" s="14"/>
      <c r="I2981" s="14"/>
      <c r="J2981" s="14"/>
      <c r="K2981" s="14"/>
      <c r="L2981" s="14"/>
      <c r="M2981" s="14"/>
      <c r="N2981" s="14"/>
      <c r="O2981" s="4"/>
      <c r="P2981" s="14"/>
      <c r="Q2981" s="14"/>
    </row>
    <row r="2982" spans="1:17" x14ac:dyDescent="0.25">
      <c r="A2982" s="5"/>
      <c r="B2982" s="6"/>
      <c r="C2982" s="4"/>
      <c r="D2982" s="4"/>
      <c r="E2982" s="12"/>
      <c r="F2982" s="12"/>
      <c r="G2982" s="16"/>
      <c r="H2982" s="14"/>
      <c r="I2982" s="14"/>
      <c r="J2982" s="14"/>
      <c r="K2982" s="14"/>
      <c r="L2982" s="14"/>
      <c r="M2982" s="14"/>
      <c r="N2982" s="14"/>
      <c r="O2982" s="4"/>
      <c r="P2982" s="14"/>
      <c r="Q2982" s="14"/>
    </row>
    <row r="2983" spans="1:17" x14ac:dyDescent="0.25">
      <c r="A2983" s="5"/>
      <c r="B2983" s="6"/>
      <c r="C2983" s="4"/>
      <c r="D2983" s="4"/>
      <c r="E2983" s="12"/>
      <c r="F2983" s="12"/>
      <c r="G2983" s="16"/>
      <c r="H2983" s="14"/>
      <c r="I2983" s="14"/>
      <c r="J2983" s="14"/>
      <c r="K2983" s="14"/>
      <c r="L2983" s="14"/>
      <c r="M2983" s="14"/>
      <c r="N2983" s="14"/>
      <c r="O2983" s="4"/>
      <c r="P2983" s="14"/>
      <c r="Q2983" s="14"/>
    </row>
    <row r="2984" spans="1:17" x14ac:dyDescent="0.25">
      <c r="A2984" s="5"/>
      <c r="B2984" s="6"/>
      <c r="C2984" s="4"/>
      <c r="D2984" s="4"/>
      <c r="E2984" s="12"/>
      <c r="F2984" s="12"/>
      <c r="G2984" s="16"/>
      <c r="H2984" s="14"/>
      <c r="I2984" s="14"/>
      <c r="J2984" s="14"/>
      <c r="K2984" s="14"/>
      <c r="L2984" s="14"/>
      <c r="M2984" s="14"/>
      <c r="N2984" s="14"/>
      <c r="O2984" s="4"/>
      <c r="P2984" s="14"/>
      <c r="Q2984" s="14"/>
    </row>
    <row r="2985" spans="1:17" x14ac:dyDescent="0.25">
      <c r="A2985" s="5"/>
      <c r="B2985" s="6"/>
      <c r="C2985" s="4"/>
      <c r="D2985" s="4"/>
      <c r="E2985" s="12"/>
      <c r="F2985" s="12"/>
      <c r="G2985" s="16"/>
      <c r="H2985" s="14"/>
      <c r="I2985" s="14"/>
      <c r="J2985" s="14"/>
      <c r="K2985" s="14"/>
      <c r="L2985" s="14"/>
      <c r="M2985" s="14"/>
      <c r="N2985" s="14"/>
      <c r="O2985" s="4"/>
      <c r="P2985" s="14"/>
      <c r="Q2985" s="14"/>
    </row>
    <row r="2986" spans="1:17" x14ac:dyDescent="0.25">
      <c r="A2986" s="5"/>
      <c r="B2986" s="6"/>
      <c r="C2986" s="4"/>
      <c r="D2986" s="4"/>
      <c r="E2986" s="12"/>
      <c r="F2986" s="12"/>
      <c r="G2986" s="16"/>
      <c r="H2986" s="14"/>
      <c r="I2986" s="14"/>
      <c r="J2986" s="14"/>
      <c r="K2986" s="14"/>
      <c r="L2986" s="14"/>
      <c r="M2986" s="14"/>
      <c r="N2986" s="14"/>
      <c r="O2986" s="4"/>
      <c r="P2986" s="14"/>
      <c r="Q2986" s="14"/>
    </row>
    <row r="2987" spans="1:17" x14ac:dyDescent="0.25">
      <c r="A2987" s="5"/>
      <c r="B2987" s="6"/>
      <c r="C2987" s="4"/>
      <c r="D2987" s="4"/>
      <c r="E2987" s="12"/>
      <c r="F2987" s="12"/>
      <c r="G2987" s="16"/>
      <c r="H2987" s="14"/>
      <c r="I2987" s="14"/>
      <c r="J2987" s="14"/>
      <c r="K2987" s="14"/>
      <c r="L2987" s="14"/>
      <c r="M2987" s="14"/>
      <c r="N2987" s="14"/>
      <c r="O2987" s="4"/>
      <c r="P2987" s="14"/>
      <c r="Q2987" s="14"/>
    </row>
    <row r="2988" spans="1:17" x14ac:dyDescent="0.25">
      <c r="A2988" s="5"/>
      <c r="B2988" s="6"/>
      <c r="C2988" s="4"/>
      <c r="D2988" s="4"/>
      <c r="E2988" s="12"/>
      <c r="F2988" s="12"/>
      <c r="G2988" s="16"/>
      <c r="H2988" s="14"/>
      <c r="I2988" s="14"/>
      <c r="J2988" s="14"/>
      <c r="K2988" s="14"/>
      <c r="L2988" s="14"/>
      <c r="M2988" s="14"/>
      <c r="N2988" s="14"/>
      <c r="O2988" s="4"/>
      <c r="P2988" s="14"/>
      <c r="Q2988" s="14"/>
    </row>
    <row r="2989" spans="1:17" x14ac:dyDescent="0.25">
      <c r="A2989" s="5"/>
      <c r="B2989" s="6"/>
      <c r="C2989" s="4"/>
      <c r="D2989" s="4"/>
      <c r="E2989" s="12"/>
      <c r="F2989" s="12"/>
      <c r="G2989" s="16"/>
      <c r="H2989" s="14"/>
      <c r="I2989" s="14"/>
      <c r="J2989" s="14"/>
      <c r="K2989" s="14"/>
      <c r="L2989" s="14"/>
      <c r="M2989" s="14"/>
      <c r="N2989" s="14"/>
      <c r="O2989" s="4"/>
      <c r="P2989" s="14"/>
      <c r="Q2989" s="14"/>
    </row>
    <row r="2990" spans="1:17" x14ac:dyDescent="0.25">
      <c r="A2990" s="5"/>
      <c r="B2990" s="6"/>
      <c r="C2990" s="4"/>
      <c r="D2990" s="4"/>
      <c r="E2990" s="12"/>
      <c r="F2990" s="12"/>
      <c r="G2990" s="16"/>
      <c r="H2990" s="14"/>
      <c r="I2990" s="14"/>
      <c r="J2990" s="14"/>
      <c r="K2990" s="14"/>
      <c r="L2990" s="14"/>
      <c r="M2990" s="14"/>
      <c r="N2990" s="14"/>
      <c r="O2990" s="4"/>
      <c r="P2990" s="14"/>
      <c r="Q2990" s="14"/>
    </row>
    <row r="2991" spans="1:17" x14ac:dyDescent="0.25">
      <c r="A2991" s="5"/>
      <c r="B2991" s="6"/>
      <c r="C2991" s="4"/>
      <c r="D2991" s="4"/>
      <c r="E2991" s="12"/>
      <c r="F2991" s="12"/>
      <c r="G2991" s="16"/>
      <c r="H2991" s="14"/>
      <c r="I2991" s="14"/>
      <c r="J2991" s="14"/>
      <c r="K2991" s="14"/>
      <c r="L2991" s="14"/>
      <c r="M2991" s="14"/>
      <c r="N2991" s="14"/>
      <c r="O2991" s="4"/>
      <c r="P2991" s="14"/>
      <c r="Q2991" s="14"/>
    </row>
    <row r="2992" spans="1:17" x14ac:dyDescent="0.25">
      <c r="A2992" s="5"/>
      <c r="B2992" s="6"/>
      <c r="C2992" s="4"/>
      <c r="D2992" s="4"/>
      <c r="E2992" s="12"/>
      <c r="F2992" s="12"/>
      <c r="G2992" s="16"/>
      <c r="H2992" s="14"/>
      <c r="I2992" s="14"/>
      <c r="J2992" s="14"/>
      <c r="K2992" s="14"/>
      <c r="L2992" s="14"/>
      <c r="M2992" s="14"/>
      <c r="N2992" s="14"/>
      <c r="O2992" s="4"/>
      <c r="P2992" s="14"/>
      <c r="Q2992" s="14"/>
    </row>
    <row r="2993" spans="1:17" x14ac:dyDescent="0.25">
      <c r="A2993" s="5"/>
      <c r="B2993" s="6"/>
      <c r="C2993" s="4"/>
      <c r="D2993" s="4"/>
      <c r="E2993" s="12"/>
      <c r="F2993" s="12"/>
      <c r="G2993" s="16"/>
      <c r="H2993" s="14"/>
      <c r="I2993" s="14"/>
      <c r="J2993" s="14"/>
      <c r="K2993" s="14"/>
      <c r="L2993" s="14"/>
      <c r="M2993" s="14"/>
      <c r="N2993" s="14"/>
      <c r="O2993" s="4"/>
      <c r="P2993" s="14"/>
      <c r="Q2993" s="14"/>
    </row>
    <row r="2994" spans="1:17" x14ac:dyDescent="0.25">
      <c r="A2994" s="5"/>
      <c r="B2994" s="6"/>
      <c r="C2994" s="4"/>
      <c r="D2994" s="4"/>
      <c r="E2994" s="12"/>
      <c r="F2994" s="12"/>
      <c r="G2994" s="16"/>
      <c r="H2994" s="14"/>
      <c r="I2994" s="14"/>
      <c r="J2994" s="14"/>
      <c r="K2994" s="14"/>
      <c r="L2994" s="14"/>
      <c r="M2994" s="14"/>
      <c r="N2994" s="14"/>
      <c r="O2994" s="4"/>
      <c r="P2994" s="14"/>
      <c r="Q2994" s="14"/>
    </row>
    <row r="2995" spans="1:17" x14ac:dyDescent="0.25">
      <c r="A2995" s="5"/>
      <c r="B2995" s="6"/>
      <c r="C2995" s="4"/>
      <c r="D2995" s="4"/>
      <c r="E2995" s="12"/>
      <c r="F2995" s="12"/>
      <c r="G2995" s="16"/>
      <c r="H2995" s="14"/>
      <c r="I2995" s="14"/>
      <c r="J2995" s="14"/>
      <c r="K2995" s="14"/>
      <c r="L2995" s="14"/>
      <c r="M2995" s="14"/>
      <c r="N2995" s="14"/>
      <c r="O2995" s="4"/>
      <c r="P2995" s="14"/>
      <c r="Q2995" s="14"/>
    </row>
    <row r="2996" spans="1:17" x14ac:dyDescent="0.25">
      <c r="A2996" s="5"/>
      <c r="B2996" s="6"/>
      <c r="C2996" s="4"/>
      <c r="D2996" s="4"/>
      <c r="E2996" s="12"/>
      <c r="F2996" s="12"/>
      <c r="G2996" s="16"/>
      <c r="H2996" s="14"/>
      <c r="I2996" s="14"/>
      <c r="J2996" s="14"/>
      <c r="K2996" s="14"/>
      <c r="L2996" s="14"/>
      <c r="M2996" s="14"/>
      <c r="N2996" s="14"/>
      <c r="O2996" s="4"/>
      <c r="P2996" s="14"/>
      <c r="Q2996" s="14"/>
    </row>
    <row r="2997" spans="1:17" x14ac:dyDescent="0.25">
      <c r="A2997" s="5"/>
      <c r="B2997" s="6"/>
      <c r="C2997" s="4"/>
      <c r="D2997" s="4"/>
      <c r="E2997" s="12"/>
      <c r="F2997" s="12"/>
      <c r="G2997" s="16"/>
      <c r="H2997" s="14"/>
      <c r="I2997" s="14"/>
      <c r="J2997" s="14"/>
      <c r="K2997" s="14"/>
      <c r="L2997" s="14"/>
      <c r="M2997" s="14"/>
      <c r="N2997" s="14"/>
      <c r="O2997" s="4"/>
      <c r="P2997" s="14"/>
      <c r="Q2997" s="14"/>
    </row>
    <row r="2998" spans="1:17" x14ac:dyDescent="0.25">
      <c r="A2998" s="5"/>
      <c r="B2998" s="6"/>
      <c r="C2998" s="4"/>
      <c r="D2998" s="4"/>
      <c r="E2998" s="12"/>
      <c r="F2998" s="12"/>
      <c r="G2998" s="16"/>
      <c r="H2998" s="14"/>
      <c r="I2998" s="14"/>
      <c r="J2998" s="14"/>
      <c r="K2998" s="14"/>
      <c r="L2998" s="14"/>
      <c r="M2998" s="14"/>
      <c r="N2998" s="14"/>
      <c r="O2998" s="4"/>
      <c r="P2998" s="14"/>
      <c r="Q2998" s="14"/>
    </row>
    <row r="2999" spans="1:17" x14ac:dyDescent="0.25">
      <c r="A2999" s="5"/>
      <c r="B2999" s="6"/>
      <c r="C2999" s="4"/>
      <c r="D2999" s="4"/>
      <c r="E2999" s="12"/>
      <c r="F2999" s="12"/>
      <c r="G2999" s="16"/>
      <c r="H2999" s="14"/>
      <c r="I2999" s="14"/>
      <c r="J2999" s="14"/>
      <c r="K2999" s="14"/>
      <c r="L2999" s="14"/>
      <c r="M2999" s="14"/>
      <c r="N2999" s="14"/>
      <c r="O2999" s="4"/>
      <c r="P2999" s="14"/>
      <c r="Q2999" s="14"/>
    </row>
    <row r="3000" spans="1:17" x14ac:dyDescent="0.25">
      <c r="A3000" s="5"/>
      <c r="B3000" s="6"/>
      <c r="C3000" s="4"/>
      <c r="D3000" s="4"/>
      <c r="E3000" s="12"/>
      <c r="F3000" s="12"/>
      <c r="G3000" s="16"/>
      <c r="H3000" s="14"/>
      <c r="I3000" s="14"/>
      <c r="J3000" s="14"/>
      <c r="K3000" s="14"/>
      <c r="L3000" s="14"/>
      <c r="M3000" s="14"/>
      <c r="N3000" s="14"/>
      <c r="O3000" s="4"/>
      <c r="P3000" s="14"/>
      <c r="Q3000" s="14"/>
    </row>
    <row r="3001" spans="1:17" x14ac:dyDescent="0.25">
      <c r="A3001" s="5"/>
      <c r="B3001" s="6"/>
      <c r="C3001" s="4"/>
      <c r="D3001" s="4"/>
      <c r="E3001" s="12"/>
      <c r="F3001" s="12"/>
      <c r="G3001" s="16"/>
      <c r="H3001" s="14"/>
      <c r="I3001" s="14"/>
      <c r="J3001" s="14"/>
      <c r="K3001" s="14"/>
      <c r="L3001" s="14"/>
      <c r="M3001" s="14"/>
      <c r="N3001" s="14"/>
      <c r="O3001" s="4"/>
      <c r="P3001" s="14"/>
      <c r="Q3001" s="14"/>
    </row>
    <row r="3002" spans="1:17" x14ac:dyDescent="0.25">
      <c r="A3002" s="5"/>
      <c r="B3002" s="6"/>
      <c r="C3002" s="4"/>
      <c r="D3002" s="4"/>
      <c r="E3002" s="12"/>
      <c r="F3002" s="12"/>
      <c r="G3002" s="16"/>
      <c r="H3002" s="14"/>
      <c r="I3002" s="14"/>
      <c r="J3002" s="14"/>
      <c r="K3002" s="14"/>
      <c r="L3002" s="14"/>
      <c r="M3002" s="14"/>
      <c r="N3002" s="14"/>
      <c r="O3002" s="4"/>
      <c r="P3002" s="14"/>
      <c r="Q3002" s="14"/>
    </row>
    <row r="3003" spans="1:17" x14ac:dyDescent="0.25">
      <c r="A3003" s="5"/>
      <c r="B3003" s="6"/>
      <c r="C3003" s="4"/>
      <c r="D3003" s="4"/>
      <c r="E3003" s="12"/>
      <c r="F3003" s="12"/>
      <c r="G3003" s="16"/>
      <c r="H3003" s="14"/>
      <c r="I3003" s="14"/>
      <c r="J3003" s="14"/>
      <c r="K3003" s="14"/>
      <c r="L3003" s="14"/>
      <c r="M3003" s="14"/>
      <c r="N3003" s="14"/>
      <c r="O3003" s="4"/>
      <c r="P3003" s="14"/>
      <c r="Q3003" s="14"/>
    </row>
    <row r="3004" spans="1:17" x14ac:dyDescent="0.25">
      <c r="A3004" s="5"/>
      <c r="B3004" s="6"/>
      <c r="C3004" s="4"/>
      <c r="D3004" s="4"/>
      <c r="E3004" s="12"/>
      <c r="F3004" s="12"/>
      <c r="G3004" s="16"/>
      <c r="H3004" s="14"/>
      <c r="I3004" s="14"/>
      <c r="J3004" s="14"/>
      <c r="K3004" s="14"/>
      <c r="L3004" s="14"/>
      <c r="M3004" s="14"/>
      <c r="N3004" s="14"/>
      <c r="O3004" s="4"/>
      <c r="P3004" s="14"/>
      <c r="Q3004" s="14"/>
    </row>
    <row r="3005" spans="1:17" x14ac:dyDescent="0.25">
      <c r="A3005" s="5"/>
      <c r="B3005" s="6"/>
      <c r="C3005" s="4"/>
      <c r="D3005" s="4"/>
      <c r="E3005" s="12"/>
      <c r="F3005" s="12"/>
      <c r="G3005" s="16"/>
      <c r="H3005" s="14"/>
      <c r="I3005" s="14"/>
      <c r="J3005" s="14"/>
      <c r="K3005" s="14"/>
      <c r="L3005" s="14"/>
      <c r="M3005" s="14"/>
      <c r="N3005" s="14"/>
      <c r="O3005" s="4"/>
      <c r="P3005" s="14"/>
      <c r="Q3005" s="14"/>
    </row>
    <row r="3006" spans="1:17" x14ac:dyDescent="0.25">
      <c r="A3006" s="5"/>
      <c r="B3006" s="6"/>
      <c r="C3006" s="4"/>
      <c r="D3006" s="4"/>
      <c r="E3006" s="12"/>
      <c r="F3006" s="12"/>
      <c r="G3006" s="16"/>
      <c r="H3006" s="14"/>
      <c r="I3006" s="14"/>
      <c r="J3006" s="14"/>
      <c r="K3006" s="14"/>
      <c r="L3006" s="14"/>
      <c r="M3006" s="14"/>
      <c r="N3006" s="14"/>
      <c r="O3006" s="4"/>
      <c r="P3006" s="14"/>
      <c r="Q3006" s="14"/>
    </row>
    <row r="3007" spans="1:17" x14ac:dyDescent="0.25">
      <c r="A3007" s="5"/>
      <c r="B3007" s="6"/>
      <c r="C3007" s="4"/>
      <c r="D3007" s="4"/>
      <c r="E3007" s="12"/>
      <c r="F3007" s="12"/>
      <c r="G3007" s="16"/>
      <c r="H3007" s="14"/>
      <c r="I3007" s="14"/>
      <c r="J3007" s="14"/>
      <c r="K3007" s="14"/>
      <c r="L3007" s="14"/>
      <c r="M3007" s="14"/>
      <c r="N3007" s="14"/>
      <c r="O3007" s="4"/>
      <c r="P3007" s="14"/>
      <c r="Q3007" s="14"/>
    </row>
    <row r="3008" spans="1:17" x14ac:dyDescent="0.25">
      <c r="A3008" s="5"/>
      <c r="B3008" s="6"/>
      <c r="C3008" s="4"/>
      <c r="D3008" s="4"/>
      <c r="E3008" s="12"/>
      <c r="F3008" s="12"/>
      <c r="G3008" s="16"/>
      <c r="H3008" s="14"/>
      <c r="I3008" s="14"/>
      <c r="J3008" s="14"/>
      <c r="K3008" s="14"/>
      <c r="L3008" s="14"/>
      <c r="M3008" s="14"/>
      <c r="N3008" s="14"/>
      <c r="O3008" s="4"/>
      <c r="P3008" s="14"/>
      <c r="Q3008" s="14"/>
    </row>
    <row r="3009" spans="1:17" x14ac:dyDescent="0.25">
      <c r="A3009" s="5"/>
      <c r="B3009" s="6"/>
      <c r="C3009" s="4"/>
      <c r="D3009" s="4"/>
      <c r="E3009" s="12"/>
      <c r="F3009" s="12"/>
      <c r="G3009" s="16"/>
      <c r="H3009" s="14"/>
      <c r="I3009" s="14"/>
      <c r="J3009" s="14"/>
      <c r="K3009" s="14"/>
      <c r="L3009" s="14"/>
      <c r="M3009" s="14"/>
      <c r="N3009" s="14"/>
      <c r="O3009" s="4"/>
      <c r="P3009" s="14"/>
      <c r="Q3009" s="14"/>
    </row>
    <row r="3010" spans="1:17" x14ac:dyDescent="0.25">
      <c r="A3010" s="5"/>
      <c r="B3010" s="6"/>
      <c r="C3010" s="4"/>
      <c r="D3010" s="4"/>
      <c r="E3010" s="12"/>
      <c r="F3010" s="12"/>
      <c r="G3010" s="16"/>
      <c r="H3010" s="14"/>
      <c r="I3010" s="14"/>
      <c r="J3010" s="14"/>
      <c r="K3010" s="14"/>
      <c r="L3010" s="14"/>
      <c r="M3010" s="14"/>
      <c r="N3010" s="14"/>
      <c r="O3010" s="4"/>
      <c r="P3010" s="14"/>
      <c r="Q3010" s="14"/>
    </row>
    <row r="3011" spans="1:17" x14ac:dyDescent="0.25">
      <c r="A3011" s="5"/>
      <c r="B3011" s="6"/>
      <c r="C3011" s="4"/>
      <c r="D3011" s="4"/>
      <c r="E3011" s="12"/>
      <c r="F3011" s="12"/>
      <c r="G3011" s="16"/>
      <c r="H3011" s="14"/>
      <c r="I3011" s="14"/>
      <c r="J3011" s="14"/>
      <c r="K3011" s="14"/>
      <c r="L3011" s="14"/>
      <c r="M3011" s="14"/>
      <c r="N3011" s="14"/>
      <c r="O3011" s="4"/>
      <c r="P3011" s="14"/>
      <c r="Q3011" s="14"/>
    </row>
    <row r="3012" spans="1:17" x14ac:dyDescent="0.25">
      <c r="A3012" s="5"/>
      <c r="B3012" s="6"/>
      <c r="C3012" s="4"/>
      <c r="D3012" s="4"/>
      <c r="E3012" s="12"/>
      <c r="F3012" s="12"/>
      <c r="G3012" s="16"/>
      <c r="H3012" s="14"/>
      <c r="I3012" s="14"/>
      <c r="J3012" s="14"/>
      <c r="K3012" s="14"/>
      <c r="L3012" s="14"/>
      <c r="M3012" s="14"/>
      <c r="N3012" s="14"/>
      <c r="O3012" s="4"/>
      <c r="P3012" s="14"/>
      <c r="Q3012" s="14"/>
    </row>
    <row r="3013" spans="1:17" x14ac:dyDescent="0.25">
      <c r="A3013" s="5"/>
      <c r="B3013" s="6"/>
      <c r="C3013" s="4"/>
      <c r="D3013" s="4"/>
      <c r="E3013" s="12"/>
      <c r="F3013" s="12"/>
      <c r="G3013" s="16"/>
      <c r="H3013" s="14"/>
      <c r="I3013" s="14"/>
      <c r="J3013" s="14"/>
      <c r="K3013" s="14"/>
      <c r="L3013" s="14"/>
      <c r="M3013" s="14"/>
      <c r="N3013" s="14"/>
      <c r="O3013" s="4"/>
      <c r="P3013" s="14"/>
      <c r="Q3013" s="14"/>
    </row>
    <row r="3014" spans="1:17" x14ac:dyDescent="0.25">
      <c r="A3014" s="5"/>
      <c r="B3014" s="6"/>
      <c r="C3014" s="4"/>
      <c r="D3014" s="4"/>
      <c r="E3014" s="12"/>
      <c r="F3014" s="12"/>
      <c r="G3014" s="16"/>
      <c r="H3014" s="14"/>
      <c r="I3014" s="14"/>
      <c r="J3014" s="14"/>
      <c r="K3014" s="14"/>
      <c r="L3014" s="14"/>
      <c r="M3014" s="14"/>
      <c r="N3014" s="14"/>
      <c r="O3014" s="4"/>
      <c r="P3014" s="14"/>
      <c r="Q3014" s="14"/>
    </row>
    <row r="3015" spans="1:17" x14ac:dyDescent="0.25">
      <c r="A3015" s="5"/>
      <c r="B3015" s="6"/>
      <c r="C3015" s="4"/>
      <c r="D3015" s="4"/>
      <c r="E3015" s="12"/>
      <c r="F3015" s="12"/>
      <c r="G3015" s="16"/>
      <c r="H3015" s="14"/>
      <c r="I3015" s="14"/>
      <c r="J3015" s="14"/>
      <c r="K3015" s="14"/>
      <c r="L3015" s="14"/>
      <c r="M3015" s="14"/>
      <c r="N3015" s="14"/>
      <c r="O3015" s="4"/>
      <c r="P3015" s="14"/>
      <c r="Q3015" s="14"/>
    </row>
    <row r="3016" spans="1:17" x14ac:dyDescent="0.25">
      <c r="A3016" s="5"/>
      <c r="B3016" s="6"/>
      <c r="C3016" s="4"/>
      <c r="D3016" s="4"/>
      <c r="E3016" s="12"/>
      <c r="F3016" s="12"/>
      <c r="G3016" s="16"/>
      <c r="H3016" s="14"/>
      <c r="I3016" s="14"/>
      <c r="J3016" s="14"/>
      <c r="K3016" s="14"/>
      <c r="L3016" s="14"/>
      <c r="M3016" s="14"/>
      <c r="N3016" s="14"/>
      <c r="O3016" s="4"/>
      <c r="P3016" s="14"/>
      <c r="Q3016" s="14"/>
    </row>
    <row r="3017" spans="1:17" x14ac:dyDescent="0.25">
      <c r="A3017" s="5"/>
      <c r="B3017" s="6"/>
      <c r="C3017" s="4"/>
      <c r="D3017" s="4"/>
      <c r="E3017" s="12"/>
      <c r="F3017" s="12"/>
      <c r="G3017" s="16"/>
      <c r="H3017" s="14"/>
      <c r="I3017" s="14"/>
      <c r="J3017" s="14"/>
      <c r="K3017" s="14"/>
      <c r="L3017" s="14"/>
      <c r="M3017" s="14"/>
      <c r="N3017" s="14"/>
      <c r="O3017" s="4"/>
      <c r="P3017" s="14"/>
      <c r="Q3017" s="14"/>
    </row>
    <row r="3018" spans="1:17" x14ac:dyDescent="0.25">
      <c r="A3018" s="5"/>
      <c r="B3018" s="6"/>
      <c r="C3018" s="4"/>
      <c r="D3018" s="4"/>
      <c r="E3018" s="12"/>
      <c r="F3018" s="12"/>
      <c r="G3018" s="16"/>
      <c r="H3018" s="14"/>
      <c r="I3018" s="14"/>
      <c r="J3018" s="14"/>
      <c r="K3018" s="14"/>
      <c r="L3018" s="14"/>
      <c r="M3018" s="14"/>
      <c r="N3018" s="14"/>
      <c r="O3018" s="4"/>
      <c r="P3018" s="14"/>
      <c r="Q3018" s="14"/>
    </row>
    <row r="3019" spans="1:17" x14ac:dyDescent="0.25">
      <c r="A3019" s="5"/>
      <c r="B3019" s="6"/>
      <c r="C3019" s="4"/>
      <c r="D3019" s="4"/>
      <c r="E3019" s="12"/>
      <c r="F3019" s="12"/>
      <c r="G3019" s="16"/>
      <c r="H3019" s="14"/>
      <c r="I3019" s="14"/>
      <c r="J3019" s="14"/>
      <c r="K3019" s="14"/>
      <c r="L3019" s="14"/>
      <c r="M3019" s="14"/>
      <c r="N3019" s="14"/>
      <c r="O3019" s="4"/>
      <c r="P3019" s="14"/>
      <c r="Q3019" s="14"/>
    </row>
    <row r="3020" spans="1:17" x14ac:dyDescent="0.25">
      <c r="A3020" s="5"/>
      <c r="B3020" s="6"/>
      <c r="C3020" s="4"/>
      <c r="D3020" s="4"/>
      <c r="E3020" s="12"/>
      <c r="F3020" s="12"/>
      <c r="G3020" s="16"/>
      <c r="H3020" s="14"/>
      <c r="I3020" s="14"/>
      <c r="J3020" s="14"/>
      <c r="K3020" s="14"/>
      <c r="L3020" s="14"/>
      <c r="M3020" s="14"/>
      <c r="N3020" s="14"/>
      <c r="O3020" s="4"/>
      <c r="P3020" s="14"/>
      <c r="Q3020" s="14"/>
    </row>
    <row r="3021" spans="1:17" x14ac:dyDescent="0.25">
      <c r="A3021" s="5"/>
      <c r="B3021" s="6"/>
      <c r="C3021" s="4"/>
      <c r="D3021" s="4"/>
      <c r="E3021" s="12"/>
      <c r="F3021" s="12"/>
      <c r="G3021" s="16"/>
      <c r="H3021" s="14"/>
      <c r="I3021" s="14"/>
      <c r="J3021" s="14"/>
      <c r="K3021" s="14"/>
      <c r="L3021" s="14"/>
      <c r="M3021" s="14"/>
      <c r="N3021" s="14"/>
      <c r="O3021" s="4"/>
      <c r="P3021" s="14"/>
      <c r="Q3021" s="14"/>
    </row>
    <row r="3022" spans="1:17" x14ac:dyDescent="0.25">
      <c r="A3022" s="5"/>
      <c r="B3022" s="6"/>
      <c r="C3022" s="4"/>
      <c r="D3022" s="4"/>
      <c r="E3022" s="12"/>
      <c r="F3022" s="12"/>
      <c r="G3022" s="16"/>
      <c r="H3022" s="14"/>
      <c r="I3022" s="14"/>
      <c r="J3022" s="14"/>
      <c r="K3022" s="14"/>
      <c r="L3022" s="14"/>
      <c r="M3022" s="14"/>
      <c r="N3022" s="14"/>
      <c r="O3022" s="4"/>
      <c r="P3022" s="14"/>
      <c r="Q3022" s="14"/>
    </row>
    <row r="3023" spans="1:17" x14ac:dyDescent="0.25">
      <c r="A3023" s="5"/>
      <c r="B3023" s="6"/>
      <c r="C3023" s="4"/>
      <c r="D3023" s="4"/>
      <c r="E3023" s="12"/>
      <c r="F3023" s="12"/>
      <c r="G3023" s="16"/>
      <c r="H3023" s="14"/>
      <c r="I3023" s="14"/>
      <c r="J3023" s="14"/>
      <c r="K3023" s="14"/>
      <c r="L3023" s="14"/>
      <c r="M3023" s="14"/>
      <c r="N3023" s="14"/>
      <c r="O3023" s="4"/>
      <c r="P3023" s="14"/>
      <c r="Q3023" s="14"/>
    </row>
    <row r="3024" spans="1:17" x14ac:dyDescent="0.25">
      <c r="A3024" s="5"/>
      <c r="B3024" s="6"/>
      <c r="C3024" s="4"/>
      <c r="D3024" s="4"/>
      <c r="E3024" s="12"/>
      <c r="F3024" s="12"/>
      <c r="G3024" s="16"/>
      <c r="H3024" s="14"/>
      <c r="I3024" s="14"/>
      <c r="J3024" s="14"/>
      <c r="K3024" s="14"/>
      <c r="L3024" s="14"/>
      <c r="M3024" s="14"/>
      <c r="N3024" s="14"/>
      <c r="O3024" s="4"/>
      <c r="P3024" s="14"/>
      <c r="Q3024" s="14"/>
    </row>
    <row r="3025" spans="1:17" x14ac:dyDescent="0.25">
      <c r="A3025" s="5"/>
      <c r="B3025" s="6"/>
      <c r="C3025" s="4"/>
      <c r="D3025" s="4"/>
      <c r="E3025" s="12"/>
      <c r="F3025" s="12"/>
      <c r="G3025" s="16"/>
      <c r="H3025" s="14"/>
      <c r="I3025" s="14"/>
      <c r="J3025" s="14"/>
      <c r="K3025" s="14"/>
      <c r="L3025" s="14"/>
      <c r="M3025" s="14"/>
      <c r="N3025" s="14"/>
      <c r="O3025" s="4"/>
      <c r="P3025" s="14"/>
      <c r="Q3025" s="14"/>
    </row>
    <row r="3026" spans="1:17" x14ac:dyDescent="0.25">
      <c r="A3026" s="5"/>
      <c r="B3026" s="6"/>
      <c r="C3026" s="4"/>
      <c r="D3026" s="4"/>
      <c r="E3026" s="12"/>
      <c r="F3026" s="12"/>
      <c r="G3026" s="16"/>
      <c r="H3026" s="14"/>
      <c r="I3026" s="14"/>
      <c r="J3026" s="14"/>
      <c r="K3026" s="14"/>
      <c r="L3026" s="14"/>
      <c r="M3026" s="14"/>
      <c r="N3026" s="14"/>
      <c r="O3026" s="4"/>
      <c r="P3026" s="14"/>
      <c r="Q3026" s="14"/>
    </row>
    <row r="3027" spans="1:17" x14ac:dyDescent="0.25">
      <c r="A3027" s="5"/>
      <c r="B3027" s="6"/>
      <c r="C3027" s="4"/>
      <c r="D3027" s="4"/>
      <c r="E3027" s="12"/>
      <c r="F3027" s="12"/>
      <c r="G3027" s="16"/>
      <c r="H3027" s="14"/>
      <c r="I3027" s="14"/>
      <c r="J3027" s="14"/>
      <c r="K3027" s="14"/>
      <c r="L3027" s="14"/>
      <c r="M3027" s="14"/>
      <c r="N3027" s="14"/>
      <c r="O3027" s="4"/>
      <c r="P3027" s="14"/>
      <c r="Q3027" s="14"/>
    </row>
    <row r="3028" spans="1:17" x14ac:dyDescent="0.25">
      <c r="A3028" s="5"/>
      <c r="B3028" s="6"/>
      <c r="C3028" s="4"/>
      <c r="D3028" s="4"/>
      <c r="E3028" s="12"/>
      <c r="F3028" s="12"/>
      <c r="G3028" s="16"/>
      <c r="H3028" s="14"/>
      <c r="I3028" s="14"/>
      <c r="J3028" s="14"/>
      <c r="K3028" s="14"/>
      <c r="L3028" s="14"/>
      <c r="M3028" s="14"/>
      <c r="N3028" s="14"/>
      <c r="O3028" s="4"/>
      <c r="P3028" s="14"/>
      <c r="Q3028" s="14"/>
    </row>
    <row r="3029" spans="1:17" x14ac:dyDescent="0.25">
      <c r="A3029" s="5"/>
      <c r="B3029" s="6"/>
      <c r="C3029" s="4"/>
      <c r="D3029" s="4"/>
      <c r="E3029" s="12"/>
      <c r="F3029" s="12"/>
      <c r="G3029" s="16"/>
      <c r="H3029" s="14"/>
      <c r="I3029" s="14"/>
      <c r="J3029" s="14"/>
      <c r="K3029" s="14"/>
      <c r="L3029" s="14"/>
      <c r="M3029" s="14"/>
      <c r="N3029" s="14"/>
      <c r="O3029" s="4"/>
      <c r="P3029" s="14"/>
      <c r="Q3029" s="14"/>
    </row>
    <row r="3030" spans="1:17" x14ac:dyDescent="0.25">
      <c r="A3030" s="5"/>
      <c r="B3030" s="6"/>
      <c r="C3030" s="4"/>
      <c r="D3030" s="4"/>
      <c r="E3030" s="12"/>
      <c r="F3030" s="12"/>
      <c r="G3030" s="16"/>
      <c r="H3030" s="14"/>
      <c r="I3030" s="14"/>
      <c r="J3030" s="14"/>
      <c r="K3030" s="14"/>
      <c r="L3030" s="14"/>
      <c r="M3030" s="14"/>
      <c r="N3030" s="14"/>
      <c r="O3030" s="4"/>
      <c r="P3030" s="14"/>
      <c r="Q3030" s="14"/>
    </row>
    <row r="3031" spans="1:17" x14ac:dyDescent="0.25">
      <c r="A3031" s="5"/>
      <c r="B3031" s="6"/>
      <c r="C3031" s="4"/>
      <c r="D3031" s="4"/>
      <c r="E3031" s="12"/>
      <c r="F3031" s="12"/>
      <c r="G3031" s="16"/>
      <c r="H3031" s="14"/>
      <c r="I3031" s="14"/>
      <c r="J3031" s="14"/>
      <c r="K3031" s="14"/>
      <c r="L3031" s="14"/>
      <c r="M3031" s="14"/>
      <c r="N3031" s="14"/>
      <c r="O3031" s="4"/>
      <c r="P3031" s="14"/>
      <c r="Q3031" s="14"/>
    </row>
    <row r="3032" spans="1:17" x14ac:dyDescent="0.25">
      <c r="A3032" s="5"/>
      <c r="B3032" s="6"/>
      <c r="C3032" s="4"/>
      <c r="D3032" s="4"/>
      <c r="E3032" s="12"/>
      <c r="F3032" s="12"/>
      <c r="G3032" s="16"/>
      <c r="H3032" s="14"/>
      <c r="I3032" s="14"/>
      <c r="J3032" s="14"/>
      <c r="K3032" s="14"/>
      <c r="L3032" s="14"/>
      <c r="M3032" s="14"/>
      <c r="N3032" s="14"/>
      <c r="O3032" s="4"/>
      <c r="P3032" s="14"/>
      <c r="Q3032" s="14"/>
    </row>
    <row r="3033" spans="1:17" x14ac:dyDescent="0.25">
      <c r="A3033" s="5"/>
      <c r="B3033" s="6"/>
      <c r="C3033" s="4"/>
      <c r="D3033" s="4"/>
      <c r="E3033" s="12"/>
      <c r="F3033" s="12"/>
      <c r="G3033" s="16"/>
      <c r="H3033" s="14"/>
      <c r="I3033" s="14"/>
      <c r="J3033" s="14"/>
      <c r="K3033" s="14"/>
      <c r="L3033" s="14"/>
      <c r="M3033" s="14"/>
      <c r="N3033" s="14"/>
      <c r="O3033" s="4"/>
      <c r="P3033" s="14"/>
      <c r="Q3033" s="14"/>
    </row>
    <row r="3034" spans="1:17" x14ac:dyDescent="0.25">
      <c r="A3034" s="5"/>
      <c r="B3034" s="6"/>
      <c r="C3034" s="4"/>
      <c r="D3034" s="4"/>
      <c r="E3034" s="12"/>
      <c r="F3034" s="12"/>
      <c r="G3034" s="16"/>
      <c r="H3034" s="14"/>
      <c r="I3034" s="14"/>
      <c r="J3034" s="14"/>
      <c r="K3034" s="14"/>
      <c r="L3034" s="14"/>
      <c r="M3034" s="14"/>
      <c r="N3034" s="14"/>
      <c r="O3034" s="4"/>
      <c r="P3034" s="14"/>
      <c r="Q3034" s="14"/>
    </row>
    <row r="3035" spans="1:17" x14ac:dyDescent="0.25">
      <c r="A3035" s="5"/>
      <c r="B3035" s="6"/>
      <c r="C3035" s="4"/>
      <c r="D3035" s="4"/>
      <c r="E3035" s="12"/>
      <c r="F3035" s="12"/>
      <c r="G3035" s="16"/>
      <c r="H3035" s="14"/>
      <c r="I3035" s="14"/>
      <c r="J3035" s="14"/>
      <c r="K3035" s="14"/>
      <c r="L3035" s="14"/>
      <c r="M3035" s="14"/>
      <c r="N3035" s="14"/>
      <c r="O3035" s="4"/>
      <c r="P3035" s="14"/>
      <c r="Q3035" s="14"/>
    </row>
    <row r="3036" spans="1:17" x14ac:dyDescent="0.25">
      <c r="A3036" s="5"/>
      <c r="B3036" s="6"/>
      <c r="C3036" s="4"/>
      <c r="D3036" s="4"/>
      <c r="E3036" s="12"/>
      <c r="F3036" s="12"/>
      <c r="G3036" s="16"/>
      <c r="H3036" s="14"/>
      <c r="I3036" s="14"/>
      <c r="J3036" s="14"/>
      <c r="K3036" s="14"/>
      <c r="L3036" s="14"/>
      <c r="M3036" s="14"/>
      <c r="N3036" s="14"/>
      <c r="O3036" s="4"/>
      <c r="P3036" s="14"/>
      <c r="Q3036" s="14"/>
    </row>
    <row r="3037" spans="1:17" x14ac:dyDescent="0.25">
      <c r="A3037" s="5"/>
      <c r="B3037" s="6"/>
      <c r="C3037" s="4"/>
      <c r="D3037" s="4"/>
      <c r="E3037" s="12"/>
      <c r="F3037" s="12"/>
      <c r="G3037" s="16"/>
      <c r="H3037" s="14"/>
      <c r="I3037" s="14"/>
      <c r="J3037" s="14"/>
      <c r="K3037" s="14"/>
      <c r="L3037" s="14"/>
      <c r="M3037" s="14"/>
      <c r="N3037" s="14"/>
      <c r="O3037" s="4"/>
      <c r="P3037" s="14"/>
      <c r="Q3037" s="14"/>
    </row>
    <row r="3038" spans="1:17" x14ac:dyDescent="0.25">
      <c r="A3038" s="5"/>
      <c r="B3038" s="6"/>
      <c r="C3038" s="4"/>
      <c r="D3038" s="4"/>
      <c r="E3038" s="12"/>
      <c r="F3038" s="12"/>
      <c r="G3038" s="16"/>
      <c r="H3038" s="14"/>
      <c r="I3038" s="14"/>
      <c r="J3038" s="14"/>
      <c r="K3038" s="14"/>
      <c r="L3038" s="14"/>
      <c r="M3038" s="14"/>
      <c r="N3038" s="14"/>
      <c r="O3038" s="4"/>
      <c r="P3038" s="14"/>
      <c r="Q3038" s="14"/>
    </row>
    <row r="3039" spans="1:17" x14ac:dyDescent="0.25">
      <c r="A3039" s="5"/>
      <c r="B3039" s="6"/>
      <c r="C3039" s="4"/>
      <c r="D3039" s="4"/>
      <c r="E3039" s="12"/>
      <c r="F3039" s="12"/>
      <c r="G3039" s="16"/>
      <c r="H3039" s="14"/>
      <c r="I3039" s="14"/>
      <c r="J3039" s="14"/>
      <c r="K3039" s="14"/>
      <c r="L3039" s="14"/>
      <c r="M3039" s="14"/>
      <c r="N3039" s="14"/>
      <c r="O3039" s="4"/>
      <c r="P3039" s="14"/>
      <c r="Q3039" s="14"/>
    </row>
    <row r="3040" spans="1:17" x14ac:dyDescent="0.25">
      <c r="A3040" s="5"/>
      <c r="B3040" s="6"/>
      <c r="C3040" s="4"/>
      <c r="D3040" s="4"/>
      <c r="E3040" s="12"/>
      <c r="F3040" s="12"/>
      <c r="G3040" s="16"/>
      <c r="H3040" s="14"/>
      <c r="I3040" s="14"/>
      <c r="J3040" s="14"/>
      <c r="K3040" s="14"/>
      <c r="L3040" s="14"/>
      <c r="M3040" s="14"/>
      <c r="N3040" s="14"/>
      <c r="O3040" s="4"/>
      <c r="P3040" s="14"/>
      <c r="Q3040" s="14"/>
    </row>
    <row r="3041" spans="1:17" x14ac:dyDescent="0.25">
      <c r="A3041" s="5"/>
      <c r="B3041" s="6"/>
      <c r="C3041" s="4"/>
      <c r="D3041" s="4"/>
      <c r="E3041" s="12"/>
      <c r="F3041" s="12"/>
      <c r="G3041" s="16"/>
      <c r="H3041" s="14"/>
      <c r="I3041" s="14"/>
      <c r="J3041" s="14"/>
      <c r="K3041" s="14"/>
      <c r="L3041" s="14"/>
      <c r="M3041" s="14"/>
      <c r="N3041" s="14"/>
      <c r="O3041" s="4"/>
      <c r="P3041" s="14"/>
      <c r="Q3041" s="14"/>
    </row>
    <row r="3042" spans="1:17" x14ac:dyDescent="0.25">
      <c r="A3042" s="5"/>
      <c r="B3042" s="6"/>
      <c r="C3042" s="4"/>
      <c r="D3042" s="4"/>
      <c r="E3042" s="12"/>
      <c r="F3042" s="12"/>
      <c r="G3042" s="16"/>
      <c r="H3042" s="14"/>
      <c r="I3042" s="14"/>
      <c r="J3042" s="14"/>
      <c r="K3042" s="14"/>
      <c r="L3042" s="14"/>
      <c r="M3042" s="14"/>
      <c r="N3042" s="14"/>
      <c r="O3042" s="4"/>
      <c r="P3042" s="14"/>
      <c r="Q3042" s="14"/>
    </row>
    <row r="3043" spans="1:17" x14ac:dyDescent="0.25">
      <c r="A3043" s="5"/>
      <c r="B3043" s="6"/>
      <c r="C3043" s="4"/>
      <c r="D3043" s="4"/>
      <c r="E3043" s="12"/>
      <c r="F3043" s="12"/>
      <c r="G3043" s="16"/>
      <c r="H3043" s="14"/>
      <c r="I3043" s="14"/>
      <c r="J3043" s="14"/>
      <c r="K3043" s="14"/>
      <c r="L3043" s="14"/>
      <c r="M3043" s="14"/>
      <c r="N3043" s="14"/>
      <c r="O3043" s="4"/>
      <c r="P3043" s="14"/>
      <c r="Q3043" s="14"/>
    </row>
    <row r="3044" spans="1:17" x14ac:dyDescent="0.25">
      <c r="A3044" s="5"/>
      <c r="B3044" s="6"/>
      <c r="C3044" s="4"/>
      <c r="D3044" s="4"/>
      <c r="E3044" s="12"/>
      <c r="F3044" s="12"/>
      <c r="G3044" s="16"/>
      <c r="H3044" s="14"/>
      <c r="I3044" s="14"/>
      <c r="J3044" s="14"/>
      <c r="K3044" s="14"/>
      <c r="L3044" s="14"/>
      <c r="M3044" s="14"/>
      <c r="N3044" s="14"/>
      <c r="O3044" s="4"/>
      <c r="P3044" s="14"/>
      <c r="Q3044" s="14"/>
    </row>
    <row r="3045" spans="1:17" x14ac:dyDescent="0.25">
      <c r="A3045" s="5"/>
      <c r="B3045" s="6"/>
      <c r="C3045" s="4"/>
      <c r="D3045" s="4"/>
      <c r="E3045" s="12"/>
      <c r="F3045" s="12"/>
      <c r="G3045" s="16"/>
      <c r="H3045" s="14"/>
      <c r="I3045" s="14"/>
      <c r="J3045" s="14"/>
      <c r="K3045" s="14"/>
      <c r="L3045" s="14"/>
      <c r="M3045" s="14"/>
      <c r="N3045" s="14"/>
      <c r="O3045" s="4"/>
      <c r="P3045" s="14"/>
      <c r="Q3045" s="14"/>
    </row>
    <row r="3046" spans="1:17" x14ac:dyDescent="0.25">
      <c r="A3046" s="5"/>
      <c r="B3046" s="6"/>
      <c r="C3046" s="4"/>
      <c r="D3046" s="4"/>
      <c r="E3046" s="12"/>
      <c r="F3046" s="12"/>
      <c r="G3046" s="16"/>
      <c r="H3046" s="14"/>
      <c r="I3046" s="14"/>
      <c r="J3046" s="14"/>
      <c r="K3046" s="14"/>
      <c r="L3046" s="14"/>
      <c r="M3046" s="14"/>
      <c r="N3046" s="14"/>
      <c r="O3046" s="4"/>
      <c r="P3046" s="14"/>
      <c r="Q3046" s="14"/>
    </row>
    <row r="3047" spans="1:17" x14ac:dyDescent="0.25">
      <c r="A3047" s="5"/>
      <c r="B3047" s="6"/>
      <c r="C3047" s="4"/>
      <c r="D3047" s="4"/>
      <c r="E3047" s="12"/>
      <c r="F3047" s="12"/>
      <c r="G3047" s="16"/>
      <c r="H3047" s="14"/>
      <c r="I3047" s="14"/>
      <c r="J3047" s="14"/>
      <c r="K3047" s="14"/>
      <c r="L3047" s="14"/>
      <c r="M3047" s="14"/>
      <c r="N3047" s="14"/>
      <c r="O3047" s="4"/>
      <c r="P3047" s="14"/>
      <c r="Q3047" s="14"/>
    </row>
    <row r="3048" spans="1:17" x14ac:dyDescent="0.25">
      <c r="A3048" s="5"/>
      <c r="B3048" s="6"/>
      <c r="C3048" s="4"/>
      <c r="D3048" s="4"/>
      <c r="E3048" s="12"/>
      <c r="F3048" s="12"/>
      <c r="G3048" s="16"/>
      <c r="H3048" s="14"/>
      <c r="I3048" s="14"/>
      <c r="J3048" s="14"/>
      <c r="K3048" s="14"/>
      <c r="L3048" s="14"/>
      <c r="M3048" s="14"/>
      <c r="N3048" s="14"/>
      <c r="O3048" s="4"/>
      <c r="P3048" s="14"/>
      <c r="Q3048" s="14"/>
    </row>
    <row r="3049" spans="1:17" x14ac:dyDescent="0.25">
      <c r="A3049" s="5"/>
      <c r="B3049" s="6"/>
      <c r="C3049" s="4"/>
      <c r="D3049" s="4"/>
      <c r="E3049" s="12"/>
      <c r="F3049" s="12"/>
      <c r="G3049" s="16"/>
      <c r="H3049" s="14"/>
      <c r="I3049" s="14"/>
      <c r="J3049" s="14"/>
      <c r="K3049" s="14"/>
      <c r="L3049" s="14"/>
      <c r="M3049" s="14"/>
      <c r="N3049" s="14"/>
      <c r="O3049" s="4"/>
      <c r="P3049" s="14"/>
      <c r="Q3049" s="14"/>
    </row>
    <row r="3050" spans="1:17" x14ac:dyDescent="0.25">
      <c r="A3050" s="5"/>
      <c r="B3050" s="6"/>
      <c r="C3050" s="4"/>
      <c r="D3050" s="4"/>
      <c r="E3050" s="12"/>
      <c r="F3050" s="12"/>
      <c r="G3050" s="16"/>
      <c r="H3050" s="14"/>
      <c r="I3050" s="14"/>
      <c r="J3050" s="14"/>
      <c r="K3050" s="14"/>
      <c r="L3050" s="14"/>
      <c r="M3050" s="14"/>
      <c r="N3050" s="14"/>
      <c r="O3050" s="4"/>
      <c r="P3050" s="14"/>
      <c r="Q3050" s="14"/>
    </row>
    <row r="3051" spans="1:17" x14ac:dyDescent="0.25">
      <c r="A3051" s="5"/>
      <c r="B3051" s="6"/>
      <c r="C3051" s="4"/>
      <c r="D3051" s="4"/>
      <c r="E3051" s="12"/>
      <c r="F3051" s="12"/>
      <c r="G3051" s="16"/>
      <c r="H3051" s="14"/>
      <c r="I3051" s="14"/>
      <c r="J3051" s="14"/>
      <c r="K3051" s="14"/>
      <c r="L3051" s="14"/>
      <c r="M3051" s="14"/>
      <c r="N3051" s="14"/>
      <c r="O3051" s="4"/>
      <c r="P3051" s="14"/>
      <c r="Q3051" s="14"/>
    </row>
    <row r="3052" spans="1:17" x14ac:dyDescent="0.25">
      <c r="A3052" s="5"/>
      <c r="B3052" s="6"/>
      <c r="C3052" s="4"/>
      <c r="D3052" s="4"/>
      <c r="E3052" s="12"/>
      <c r="F3052" s="12"/>
      <c r="G3052" s="16"/>
      <c r="H3052" s="14"/>
      <c r="I3052" s="14"/>
      <c r="J3052" s="14"/>
      <c r="K3052" s="14"/>
      <c r="L3052" s="14"/>
      <c r="M3052" s="14"/>
      <c r="N3052" s="14"/>
      <c r="O3052" s="4"/>
      <c r="P3052" s="14"/>
      <c r="Q3052" s="14"/>
    </row>
    <row r="3053" spans="1:17" x14ac:dyDescent="0.25">
      <c r="A3053" s="5"/>
      <c r="B3053" s="6"/>
      <c r="C3053" s="4"/>
      <c r="D3053" s="4"/>
      <c r="E3053" s="12"/>
      <c r="F3053" s="12"/>
      <c r="G3053" s="16"/>
      <c r="H3053" s="14"/>
      <c r="I3053" s="14"/>
      <c r="J3053" s="14"/>
      <c r="K3053" s="14"/>
      <c r="L3053" s="14"/>
      <c r="M3053" s="14"/>
      <c r="N3053" s="14"/>
      <c r="O3053" s="4"/>
      <c r="P3053" s="14"/>
      <c r="Q3053" s="14"/>
    </row>
    <row r="3054" spans="1:17" x14ac:dyDescent="0.25">
      <c r="A3054" s="5"/>
      <c r="B3054" s="6"/>
      <c r="C3054" s="4"/>
      <c r="D3054" s="4"/>
      <c r="E3054" s="12"/>
      <c r="F3054" s="12"/>
      <c r="G3054" s="16"/>
      <c r="H3054" s="14"/>
      <c r="I3054" s="14"/>
      <c r="J3054" s="14"/>
      <c r="K3054" s="14"/>
      <c r="L3054" s="14"/>
      <c r="M3054" s="14"/>
      <c r="N3054" s="14"/>
      <c r="O3054" s="4"/>
      <c r="P3054" s="14"/>
      <c r="Q3054" s="14"/>
    </row>
    <row r="3055" spans="1:17" x14ac:dyDescent="0.25">
      <c r="A3055" s="5"/>
      <c r="B3055" s="6"/>
      <c r="C3055" s="4"/>
      <c r="D3055" s="4"/>
      <c r="E3055" s="12"/>
      <c r="F3055" s="12"/>
      <c r="G3055" s="16"/>
      <c r="H3055" s="14"/>
      <c r="I3055" s="14"/>
      <c r="J3055" s="14"/>
      <c r="K3055" s="14"/>
      <c r="L3055" s="14"/>
      <c r="M3055" s="14"/>
      <c r="N3055" s="14"/>
      <c r="O3055" s="4"/>
      <c r="P3055" s="14"/>
      <c r="Q3055" s="14"/>
    </row>
    <row r="3056" spans="1:17" x14ac:dyDescent="0.25">
      <c r="A3056" s="5"/>
      <c r="B3056" s="6"/>
      <c r="C3056" s="4"/>
      <c r="D3056" s="4"/>
      <c r="E3056" s="12"/>
      <c r="F3056" s="12"/>
      <c r="G3056" s="16"/>
      <c r="H3056" s="14"/>
      <c r="I3056" s="14"/>
      <c r="J3056" s="14"/>
      <c r="K3056" s="14"/>
      <c r="L3056" s="14"/>
      <c r="M3056" s="14"/>
      <c r="N3056" s="14"/>
      <c r="O3056" s="4"/>
      <c r="P3056" s="14"/>
      <c r="Q3056" s="14"/>
    </row>
    <row r="3057" spans="1:17" x14ac:dyDescent="0.25">
      <c r="A3057" s="5"/>
      <c r="B3057" s="6"/>
      <c r="C3057" s="4"/>
      <c r="D3057" s="4"/>
      <c r="E3057" s="12"/>
      <c r="F3057" s="12"/>
      <c r="G3057" s="16"/>
      <c r="H3057" s="14"/>
      <c r="I3057" s="14"/>
      <c r="J3057" s="14"/>
      <c r="K3057" s="14"/>
      <c r="L3057" s="14"/>
      <c r="M3057" s="14"/>
      <c r="N3057" s="14"/>
      <c r="O3057" s="4"/>
      <c r="P3057" s="14"/>
      <c r="Q3057" s="14"/>
    </row>
    <row r="3058" spans="1:17" x14ac:dyDescent="0.25">
      <c r="A3058" s="5"/>
      <c r="B3058" s="6"/>
      <c r="C3058" s="4"/>
      <c r="D3058" s="4"/>
      <c r="E3058" s="12"/>
      <c r="F3058" s="12"/>
      <c r="G3058" s="16"/>
      <c r="H3058" s="14"/>
      <c r="I3058" s="14"/>
      <c r="J3058" s="14"/>
      <c r="K3058" s="14"/>
      <c r="L3058" s="14"/>
      <c r="M3058" s="14"/>
      <c r="N3058" s="14"/>
      <c r="O3058" s="4"/>
      <c r="P3058" s="14"/>
      <c r="Q3058" s="14"/>
    </row>
    <row r="3059" spans="1:17" x14ac:dyDescent="0.25">
      <c r="A3059" s="5"/>
      <c r="B3059" s="6"/>
      <c r="C3059" s="4"/>
      <c r="D3059" s="4"/>
      <c r="E3059" s="12"/>
      <c r="F3059" s="12"/>
      <c r="G3059" s="16"/>
      <c r="H3059" s="14"/>
      <c r="I3059" s="14"/>
      <c r="J3059" s="14"/>
      <c r="K3059" s="14"/>
      <c r="L3059" s="14"/>
      <c r="M3059" s="14"/>
      <c r="N3059" s="14"/>
      <c r="O3059" s="4"/>
      <c r="P3059" s="14"/>
      <c r="Q3059" s="14"/>
    </row>
    <row r="3060" spans="1:17" x14ac:dyDescent="0.25">
      <c r="A3060" s="5"/>
      <c r="B3060" s="6"/>
      <c r="C3060" s="4"/>
      <c r="D3060" s="4"/>
      <c r="E3060" s="12"/>
      <c r="F3060" s="12"/>
      <c r="G3060" s="16"/>
      <c r="H3060" s="14"/>
      <c r="I3060" s="14"/>
      <c r="J3060" s="14"/>
      <c r="K3060" s="14"/>
      <c r="L3060" s="14"/>
      <c r="M3060" s="14"/>
      <c r="N3060" s="14"/>
      <c r="O3060" s="4"/>
      <c r="P3060" s="14"/>
      <c r="Q3060" s="14"/>
    </row>
    <row r="3061" spans="1:17" x14ac:dyDescent="0.25">
      <c r="A3061" s="5"/>
      <c r="B3061" s="6"/>
      <c r="C3061" s="4"/>
      <c r="D3061" s="4"/>
      <c r="E3061" s="12"/>
      <c r="F3061" s="12"/>
      <c r="G3061" s="16"/>
      <c r="H3061" s="14"/>
      <c r="I3061" s="14"/>
      <c r="J3061" s="14"/>
      <c r="K3061" s="14"/>
      <c r="L3061" s="14"/>
      <c r="M3061" s="14"/>
      <c r="N3061" s="14"/>
      <c r="O3061" s="4"/>
      <c r="P3061" s="14"/>
      <c r="Q3061" s="14"/>
    </row>
    <row r="3062" spans="1:17" x14ac:dyDescent="0.25">
      <c r="A3062" s="5"/>
      <c r="B3062" s="6"/>
      <c r="C3062" s="4"/>
      <c r="D3062" s="4"/>
      <c r="E3062" s="12"/>
      <c r="F3062" s="12"/>
      <c r="G3062" s="16"/>
      <c r="H3062" s="14"/>
      <c r="I3062" s="14"/>
      <c r="J3062" s="14"/>
      <c r="K3062" s="14"/>
      <c r="L3062" s="14"/>
      <c r="M3062" s="14"/>
      <c r="N3062" s="14"/>
      <c r="O3062" s="4"/>
      <c r="P3062" s="14"/>
      <c r="Q3062" s="14"/>
    </row>
    <row r="3063" spans="1:17" x14ac:dyDescent="0.25">
      <c r="A3063" s="5"/>
      <c r="B3063" s="6"/>
      <c r="C3063" s="4"/>
      <c r="D3063" s="4"/>
      <c r="E3063" s="12"/>
      <c r="F3063" s="12"/>
      <c r="G3063" s="16"/>
      <c r="H3063" s="14"/>
      <c r="I3063" s="14"/>
      <c r="J3063" s="14"/>
      <c r="K3063" s="14"/>
      <c r="L3063" s="14"/>
      <c r="M3063" s="14"/>
      <c r="N3063" s="14"/>
      <c r="O3063" s="4"/>
      <c r="P3063" s="14"/>
      <c r="Q3063" s="14"/>
    </row>
    <row r="3064" spans="1:17" x14ac:dyDescent="0.25">
      <c r="A3064" s="5"/>
      <c r="B3064" s="6"/>
      <c r="C3064" s="4"/>
      <c r="D3064" s="4"/>
      <c r="E3064" s="12"/>
      <c r="F3064" s="12"/>
      <c r="G3064" s="16"/>
      <c r="H3064" s="14"/>
      <c r="I3064" s="14"/>
      <c r="J3064" s="14"/>
      <c r="K3064" s="14"/>
      <c r="L3064" s="14"/>
      <c r="M3064" s="14"/>
      <c r="N3064" s="14"/>
      <c r="O3064" s="4"/>
      <c r="P3064" s="14"/>
      <c r="Q3064" s="14"/>
    </row>
    <row r="3065" spans="1:17" x14ac:dyDescent="0.25">
      <c r="A3065" s="5"/>
      <c r="B3065" s="6"/>
      <c r="C3065" s="4"/>
      <c r="D3065" s="4"/>
      <c r="E3065" s="12"/>
      <c r="F3065" s="12"/>
      <c r="G3065" s="16"/>
      <c r="H3065" s="14"/>
      <c r="I3065" s="14"/>
      <c r="J3065" s="14"/>
      <c r="K3065" s="14"/>
      <c r="L3065" s="14"/>
      <c r="M3065" s="14"/>
      <c r="N3065" s="14"/>
      <c r="O3065" s="4"/>
      <c r="P3065" s="14"/>
      <c r="Q3065" s="14"/>
    </row>
    <row r="3066" spans="1:17" x14ac:dyDescent="0.25">
      <c r="A3066" s="5"/>
      <c r="B3066" s="6"/>
      <c r="C3066" s="4"/>
      <c r="D3066" s="4"/>
      <c r="E3066" s="12"/>
      <c r="F3066" s="12"/>
      <c r="G3066" s="16"/>
      <c r="H3066" s="14"/>
      <c r="I3066" s="14"/>
      <c r="J3066" s="14"/>
      <c r="K3066" s="14"/>
      <c r="L3066" s="14"/>
      <c r="M3066" s="14"/>
      <c r="N3066" s="14"/>
      <c r="O3066" s="4"/>
      <c r="P3066" s="14"/>
      <c r="Q3066" s="14"/>
    </row>
    <row r="3067" spans="1:17" x14ac:dyDescent="0.25">
      <c r="A3067" s="5"/>
      <c r="B3067" s="6"/>
      <c r="C3067" s="4"/>
      <c r="D3067" s="4"/>
      <c r="E3067" s="12"/>
      <c r="F3067" s="12"/>
      <c r="G3067" s="16"/>
      <c r="H3067" s="14"/>
      <c r="I3067" s="14"/>
      <c r="J3067" s="14"/>
      <c r="K3067" s="14"/>
      <c r="L3067" s="14"/>
      <c r="M3067" s="14"/>
      <c r="N3067" s="14"/>
      <c r="O3067" s="4"/>
      <c r="P3067" s="14"/>
      <c r="Q3067" s="14"/>
    </row>
    <row r="3068" spans="1:17" x14ac:dyDescent="0.25">
      <c r="A3068" s="5"/>
      <c r="B3068" s="6"/>
      <c r="C3068" s="4"/>
      <c r="D3068" s="4"/>
      <c r="E3068" s="12"/>
      <c r="F3068" s="12"/>
      <c r="G3068" s="16"/>
      <c r="H3068" s="14"/>
      <c r="I3068" s="14"/>
      <c r="J3068" s="14"/>
      <c r="K3068" s="14"/>
      <c r="L3068" s="14"/>
      <c r="M3068" s="14"/>
      <c r="N3068" s="14"/>
      <c r="O3068" s="4"/>
      <c r="P3068" s="14"/>
      <c r="Q3068" s="14"/>
    </row>
    <row r="3069" spans="1:17" x14ac:dyDescent="0.25">
      <c r="A3069" s="5"/>
      <c r="B3069" s="6"/>
      <c r="C3069" s="4"/>
      <c r="D3069" s="4"/>
      <c r="E3069" s="12"/>
      <c r="F3069" s="12"/>
      <c r="G3069" s="16"/>
      <c r="H3069" s="14"/>
      <c r="I3069" s="14"/>
      <c r="J3069" s="14"/>
      <c r="K3069" s="14"/>
      <c r="L3069" s="14"/>
      <c r="M3069" s="14"/>
      <c r="N3069" s="14"/>
      <c r="O3069" s="4"/>
      <c r="P3069" s="14"/>
      <c r="Q3069" s="14"/>
    </row>
    <row r="3070" spans="1:17" x14ac:dyDescent="0.25">
      <c r="A3070" s="5"/>
      <c r="B3070" s="6"/>
      <c r="C3070" s="4"/>
      <c r="D3070" s="4"/>
      <c r="E3070" s="12"/>
      <c r="F3070" s="12"/>
      <c r="G3070" s="16"/>
      <c r="H3070" s="14"/>
      <c r="I3070" s="14"/>
      <c r="J3070" s="14"/>
      <c r="K3070" s="14"/>
      <c r="L3070" s="14"/>
      <c r="M3070" s="14"/>
      <c r="N3070" s="14"/>
      <c r="O3070" s="4"/>
      <c r="P3070" s="14"/>
      <c r="Q3070" s="14"/>
    </row>
    <row r="3071" spans="1:17" x14ac:dyDescent="0.25">
      <c r="A3071" s="5"/>
      <c r="B3071" s="6"/>
      <c r="C3071" s="4"/>
      <c r="D3071" s="4"/>
      <c r="E3071" s="12"/>
      <c r="F3071" s="12"/>
      <c r="G3071" s="16"/>
      <c r="H3071" s="14"/>
      <c r="I3071" s="14"/>
      <c r="J3071" s="14"/>
      <c r="K3071" s="14"/>
      <c r="L3071" s="14"/>
      <c r="M3071" s="14"/>
      <c r="N3071" s="14"/>
      <c r="O3071" s="4"/>
      <c r="P3071" s="14"/>
      <c r="Q3071" s="14"/>
    </row>
    <row r="3072" spans="1:17" x14ac:dyDescent="0.25">
      <c r="A3072" s="5"/>
      <c r="B3072" s="6"/>
      <c r="C3072" s="4"/>
      <c r="D3072" s="4"/>
      <c r="E3072" s="12"/>
      <c r="F3072" s="12"/>
      <c r="G3072" s="16"/>
      <c r="H3072" s="14"/>
      <c r="I3072" s="14"/>
      <c r="J3072" s="14"/>
      <c r="K3072" s="14"/>
      <c r="L3072" s="14"/>
      <c r="M3072" s="14"/>
      <c r="N3072" s="14"/>
      <c r="O3072" s="4"/>
      <c r="P3072" s="14"/>
      <c r="Q3072" s="14"/>
    </row>
    <row r="3073" spans="1:17" x14ac:dyDescent="0.25">
      <c r="A3073" s="5"/>
      <c r="B3073" s="6"/>
      <c r="C3073" s="4"/>
      <c r="D3073" s="4"/>
      <c r="E3073" s="12"/>
      <c r="F3073" s="12"/>
      <c r="G3073" s="16"/>
      <c r="H3073" s="14"/>
      <c r="I3073" s="14"/>
      <c r="J3073" s="14"/>
      <c r="K3073" s="14"/>
      <c r="L3073" s="14"/>
      <c r="M3073" s="14"/>
      <c r="N3073" s="14"/>
      <c r="O3073" s="4"/>
      <c r="P3073" s="14"/>
      <c r="Q3073" s="14"/>
    </row>
    <row r="3074" spans="1:17" x14ac:dyDescent="0.25">
      <c r="A3074" s="5"/>
      <c r="B3074" s="6"/>
      <c r="C3074" s="4"/>
      <c r="D3074" s="4"/>
      <c r="E3074" s="12"/>
      <c r="F3074" s="12"/>
      <c r="G3074" s="16"/>
      <c r="H3074" s="14"/>
      <c r="I3074" s="14"/>
      <c r="J3074" s="14"/>
      <c r="K3074" s="14"/>
      <c r="L3074" s="14"/>
      <c r="M3074" s="14"/>
      <c r="N3074" s="14"/>
      <c r="O3074" s="4"/>
      <c r="P3074" s="14"/>
      <c r="Q3074" s="14"/>
    </row>
    <row r="3075" spans="1:17" x14ac:dyDescent="0.25">
      <c r="A3075" s="5"/>
      <c r="B3075" s="6"/>
      <c r="C3075" s="4"/>
      <c r="D3075" s="4"/>
      <c r="E3075" s="12"/>
      <c r="F3075" s="12"/>
      <c r="G3075" s="16"/>
      <c r="H3075" s="14"/>
      <c r="I3075" s="14"/>
      <c r="J3075" s="14"/>
      <c r="K3075" s="14"/>
      <c r="L3075" s="14"/>
      <c r="M3075" s="14"/>
      <c r="N3075" s="14"/>
      <c r="O3075" s="4"/>
      <c r="P3075" s="14"/>
      <c r="Q3075" s="14"/>
    </row>
    <row r="3076" spans="1:17" x14ac:dyDescent="0.25">
      <c r="A3076" s="5"/>
      <c r="B3076" s="6"/>
      <c r="C3076" s="4"/>
      <c r="D3076" s="4"/>
      <c r="E3076" s="12"/>
      <c r="F3076" s="12"/>
      <c r="G3076" s="16"/>
      <c r="H3076" s="14"/>
      <c r="I3076" s="14"/>
      <c r="J3076" s="14"/>
      <c r="K3076" s="14"/>
      <c r="L3076" s="14"/>
      <c r="M3076" s="14"/>
      <c r="N3076" s="14"/>
      <c r="O3076" s="4"/>
      <c r="P3076" s="14"/>
      <c r="Q3076" s="14"/>
    </row>
    <row r="3077" spans="1:17" x14ac:dyDescent="0.25">
      <c r="A3077" s="5"/>
      <c r="B3077" s="6"/>
      <c r="C3077" s="4"/>
      <c r="D3077" s="4"/>
      <c r="E3077" s="12"/>
      <c r="F3077" s="12"/>
      <c r="G3077" s="16"/>
      <c r="H3077" s="14"/>
      <c r="I3077" s="14"/>
      <c r="J3077" s="14"/>
      <c r="K3077" s="14"/>
      <c r="L3077" s="14"/>
      <c r="M3077" s="14"/>
      <c r="N3077" s="14"/>
      <c r="O3077" s="4"/>
      <c r="P3077" s="14"/>
      <c r="Q3077" s="14"/>
    </row>
    <row r="3078" spans="1:17" x14ac:dyDescent="0.25">
      <c r="A3078" s="5"/>
      <c r="B3078" s="6"/>
      <c r="C3078" s="4"/>
      <c r="D3078" s="4"/>
      <c r="E3078" s="12"/>
      <c r="F3078" s="12"/>
      <c r="G3078" s="16"/>
      <c r="H3078" s="14"/>
      <c r="I3078" s="14"/>
      <c r="J3078" s="14"/>
      <c r="K3078" s="14"/>
      <c r="L3078" s="14"/>
      <c r="M3078" s="14"/>
      <c r="N3078" s="14"/>
      <c r="O3078" s="4"/>
      <c r="P3078" s="14"/>
      <c r="Q3078" s="14"/>
    </row>
    <row r="3079" spans="1:17" x14ac:dyDescent="0.25">
      <c r="A3079" s="5"/>
      <c r="B3079" s="6"/>
      <c r="C3079" s="4"/>
      <c r="D3079" s="4"/>
      <c r="E3079" s="12"/>
      <c r="F3079" s="12"/>
      <c r="G3079" s="16"/>
      <c r="H3079" s="14"/>
      <c r="I3079" s="14"/>
      <c r="J3079" s="14"/>
      <c r="K3079" s="14"/>
      <c r="L3079" s="14"/>
      <c r="M3079" s="14"/>
      <c r="N3079" s="14"/>
      <c r="O3079" s="4"/>
      <c r="P3079" s="14"/>
      <c r="Q3079" s="14"/>
    </row>
    <row r="3080" spans="1:17" x14ac:dyDescent="0.25">
      <c r="A3080" s="5"/>
      <c r="B3080" s="6"/>
      <c r="C3080" s="4"/>
      <c r="D3080" s="4"/>
      <c r="E3080" s="12"/>
      <c r="F3080" s="12"/>
      <c r="G3080" s="16"/>
      <c r="H3080" s="14"/>
      <c r="I3080" s="14"/>
      <c r="J3080" s="14"/>
      <c r="K3080" s="14"/>
      <c r="L3080" s="14"/>
      <c r="M3080" s="14"/>
      <c r="N3080" s="14"/>
      <c r="O3080" s="4"/>
      <c r="P3080" s="14"/>
      <c r="Q3080" s="14"/>
    </row>
    <row r="3081" spans="1:17" x14ac:dyDescent="0.25">
      <c r="A3081" s="5"/>
      <c r="B3081" s="6"/>
      <c r="C3081" s="4"/>
      <c r="D3081" s="4"/>
      <c r="E3081" s="12"/>
      <c r="F3081" s="12"/>
      <c r="G3081" s="16"/>
      <c r="H3081" s="14"/>
      <c r="I3081" s="14"/>
      <c r="J3081" s="14"/>
      <c r="K3081" s="14"/>
      <c r="L3081" s="14"/>
      <c r="M3081" s="14"/>
      <c r="N3081" s="14"/>
      <c r="O3081" s="4"/>
      <c r="P3081" s="14"/>
      <c r="Q3081" s="14"/>
    </row>
    <row r="3082" spans="1:17" x14ac:dyDescent="0.25">
      <c r="A3082" s="5"/>
      <c r="B3082" s="6"/>
      <c r="C3082" s="4"/>
      <c r="D3082" s="4"/>
      <c r="E3082" s="12"/>
      <c r="F3082" s="12"/>
      <c r="G3082" s="16"/>
      <c r="H3082" s="14"/>
      <c r="I3082" s="14"/>
      <c r="J3082" s="14"/>
      <c r="K3082" s="14"/>
      <c r="L3082" s="14"/>
      <c r="M3082" s="14"/>
      <c r="N3082" s="14"/>
      <c r="O3082" s="4"/>
      <c r="P3082" s="14"/>
      <c r="Q3082" s="14"/>
    </row>
    <row r="3083" spans="1:17" x14ac:dyDescent="0.25">
      <c r="A3083" s="5"/>
      <c r="B3083" s="6"/>
      <c r="C3083" s="4"/>
      <c r="D3083" s="4"/>
      <c r="E3083" s="12"/>
      <c r="F3083" s="12"/>
      <c r="G3083" s="16"/>
      <c r="H3083" s="14"/>
      <c r="I3083" s="14"/>
      <c r="J3083" s="14"/>
      <c r="K3083" s="14"/>
      <c r="L3083" s="14"/>
      <c r="M3083" s="14"/>
      <c r="N3083" s="14"/>
      <c r="O3083" s="4"/>
      <c r="P3083" s="14"/>
      <c r="Q3083" s="14"/>
    </row>
    <row r="3084" spans="1:17" x14ac:dyDescent="0.25">
      <c r="A3084" s="5"/>
      <c r="B3084" s="6"/>
      <c r="C3084" s="4"/>
      <c r="D3084" s="4"/>
      <c r="E3084" s="12"/>
      <c r="F3084" s="12"/>
      <c r="G3084" s="16"/>
      <c r="H3084" s="14"/>
      <c r="I3084" s="14"/>
      <c r="J3084" s="14"/>
      <c r="K3084" s="14"/>
      <c r="L3084" s="14"/>
      <c r="M3084" s="14"/>
      <c r="N3084" s="14"/>
      <c r="O3084" s="4"/>
      <c r="P3084" s="14"/>
      <c r="Q3084" s="14"/>
    </row>
    <row r="3085" spans="1:17" x14ac:dyDescent="0.25">
      <c r="A3085" s="5"/>
      <c r="B3085" s="6"/>
      <c r="C3085" s="4"/>
      <c r="D3085" s="4"/>
      <c r="E3085" s="12"/>
      <c r="F3085" s="12"/>
      <c r="G3085" s="16"/>
      <c r="H3085" s="14"/>
      <c r="I3085" s="14"/>
      <c r="J3085" s="14"/>
      <c r="K3085" s="14"/>
      <c r="L3085" s="14"/>
      <c r="M3085" s="14"/>
      <c r="N3085" s="14"/>
      <c r="O3085" s="4"/>
      <c r="P3085" s="14"/>
      <c r="Q3085" s="14"/>
    </row>
    <row r="3086" spans="1:17" x14ac:dyDescent="0.25">
      <c r="A3086" s="5"/>
      <c r="B3086" s="6"/>
      <c r="C3086" s="4"/>
      <c r="D3086" s="4"/>
      <c r="E3086" s="12"/>
      <c r="F3086" s="12"/>
      <c r="G3086" s="16"/>
      <c r="H3086" s="14"/>
      <c r="I3086" s="14"/>
      <c r="J3086" s="14"/>
      <c r="K3086" s="14"/>
      <c r="L3086" s="14"/>
      <c r="M3086" s="14"/>
      <c r="N3086" s="14"/>
      <c r="O3086" s="4"/>
      <c r="P3086" s="14"/>
      <c r="Q3086" s="14"/>
    </row>
    <row r="3087" spans="1:17" x14ac:dyDescent="0.25">
      <c r="A3087" s="5"/>
      <c r="B3087" s="6"/>
      <c r="C3087" s="4"/>
      <c r="D3087" s="4"/>
      <c r="E3087" s="12"/>
      <c r="F3087" s="12"/>
      <c r="G3087" s="16"/>
      <c r="H3087" s="14"/>
      <c r="I3087" s="14"/>
      <c r="J3087" s="14"/>
      <c r="K3087" s="14"/>
      <c r="L3087" s="14"/>
      <c r="M3087" s="14"/>
      <c r="N3087" s="14"/>
      <c r="O3087" s="4"/>
      <c r="P3087" s="14"/>
      <c r="Q3087" s="14"/>
    </row>
    <row r="3088" spans="1:17" x14ac:dyDescent="0.25">
      <c r="A3088" s="5"/>
      <c r="B3088" s="6"/>
      <c r="C3088" s="4"/>
      <c r="D3088" s="4"/>
      <c r="E3088" s="12"/>
      <c r="F3088" s="12"/>
      <c r="G3088" s="16"/>
      <c r="H3088" s="14"/>
      <c r="I3088" s="14"/>
      <c r="J3088" s="14"/>
      <c r="K3088" s="14"/>
      <c r="L3088" s="14"/>
      <c r="M3088" s="14"/>
      <c r="N3088" s="14"/>
      <c r="O3088" s="4"/>
      <c r="P3088" s="14"/>
      <c r="Q3088" s="14"/>
    </row>
    <row r="3089" spans="1:17" x14ac:dyDescent="0.25">
      <c r="A3089" s="5"/>
      <c r="B3089" s="6"/>
      <c r="C3089" s="4"/>
      <c r="D3089" s="4"/>
      <c r="E3089" s="12"/>
      <c r="F3089" s="12"/>
      <c r="G3089" s="16"/>
      <c r="H3089" s="14"/>
      <c r="I3089" s="14"/>
      <c r="J3089" s="14"/>
      <c r="K3089" s="14"/>
      <c r="L3089" s="14"/>
      <c r="M3089" s="14"/>
      <c r="N3089" s="14"/>
      <c r="O3089" s="4"/>
      <c r="P3089" s="14"/>
      <c r="Q3089" s="14"/>
    </row>
    <row r="3090" spans="1:17" x14ac:dyDescent="0.25">
      <c r="A3090" s="5"/>
      <c r="B3090" s="6"/>
      <c r="C3090" s="4"/>
      <c r="D3090" s="4"/>
      <c r="E3090" s="12"/>
      <c r="F3090" s="12"/>
      <c r="G3090" s="16"/>
      <c r="H3090" s="14"/>
      <c r="I3090" s="14"/>
      <c r="J3090" s="14"/>
      <c r="K3090" s="14"/>
      <c r="L3090" s="14"/>
      <c r="M3090" s="14"/>
      <c r="N3090" s="14"/>
      <c r="O3090" s="4"/>
      <c r="P3090" s="14"/>
      <c r="Q3090" s="14"/>
    </row>
    <row r="3091" spans="1:17" x14ac:dyDescent="0.25">
      <c r="A3091" s="5"/>
      <c r="B3091" s="6"/>
      <c r="C3091" s="4"/>
      <c r="D3091" s="4"/>
      <c r="E3091" s="12"/>
      <c r="F3091" s="12"/>
      <c r="G3091" s="16"/>
      <c r="H3091" s="14"/>
      <c r="I3091" s="14"/>
      <c r="J3091" s="14"/>
      <c r="K3091" s="14"/>
      <c r="L3091" s="14"/>
      <c r="M3091" s="14"/>
      <c r="N3091" s="14"/>
      <c r="O3091" s="4"/>
      <c r="P3091" s="14"/>
      <c r="Q3091" s="14"/>
    </row>
    <row r="3092" spans="1:17" x14ac:dyDescent="0.25">
      <c r="A3092" s="5"/>
      <c r="B3092" s="6"/>
      <c r="C3092" s="4"/>
      <c r="D3092" s="4"/>
      <c r="E3092" s="12"/>
      <c r="F3092" s="12"/>
      <c r="G3092" s="16"/>
      <c r="H3092" s="14"/>
      <c r="I3092" s="14"/>
      <c r="J3092" s="14"/>
      <c r="K3092" s="14"/>
      <c r="L3092" s="14"/>
      <c r="M3092" s="14"/>
      <c r="N3092" s="14"/>
      <c r="O3092" s="4"/>
      <c r="P3092" s="14"/>
      <c r="Q3092" s="14"/>
    </row>
    <row r="3093" spans="1:17" x14ac:dyDescent="0.25">
      <c r="A3093" s="5"/>
      <c r="B3093" s="6"/>
      <c r="C3093" s="4"/>
      <c r="D3093" s="4"/>
      <c r="E3093" s="12"/>
      <c r="F3093" s="12"/>
      <c r="G3093" s="16"/>
      <c r="H3093" s="14"/>
      <c r="I3093" s="14"/>
      <c r="J3093" s="14"/>
      <c r="K3093" s="14"/>
      <c r="L3093" s="14"/>
      <c r="M3093" s="14"/>
      <c r="N3093" s="14"/>
      <c r="O3093" s="4"/>
      <c r="P3093" s="14"/>
      <c r="Q3093" s="14"/>
    </row>
    <row r="3094" spans="1:17" x14ac:dyDescent="0.25">
      <c r="A3094" s="5"/>
      <c r="B3094" s="6"/>
      <c r="C3094" s="4"/>
      <c r="D3094" s="4"/>
      <c r="E3094" s="12"/>
      <c r="F3094" s="12"/>
      <c r="G3094" s="16"/>
      <c r="H3094" s="14"/>
      <c r="I3094" s="14"/>
      <c r="J3094" s="14"/>
      <c r="K3094" s="14"/>
      <c r="L3094" s="14"/>
      <c r="M3094" s="14"/>
      <c r="N3094" s="14"/>
      <c r="O3094" s="4"/>
      <c r="P3094" s="14"/>
      <c r="Q3094" s="14"/>
    </row>
    <row r="3095" spans="1:17" x14ac:dyDescent="0.25">
      <c r="A3095" s="5"/>
      <c r="B3095" s="6"/>
      <c r="C3095" s="4"/>
      <c r="D3095" s="4"/>
      <c r="E3095" s="12"/>
      <c r="F3095" s="12"/>
      <c r="G3095" s="16"/>
      <c r="H3095" s="14"/>
      <c r="I3095" s="14"/>
      <c r="J3095" s="14"/>
      <c r="K3095" s="14"/>
      <c r="L3095" s="14"/>
      <c r="M3095" s="14"/>
      <c r="N3095" s="14"/>
      <c r="O3095" s="4"/>
      <c r="P3095" s="14"/>
      <c r="Q3095" s="14"/>
    </row>
    <row r="3096" spans="1:17" x14ac:dyDescent="0.25">
      <c r="A3096" s="5"/>
      <c r="B3096" s="6"/>
      <c r="C3096" s="4"/>
      <c r="D3096" s="4"/>
      <c r="E3096" s="12"/>
      <c r="F3096" s="12"/>
      <c r="G3096" s="16"/>
      <c r="H3096" s="14"/>
      <c r="I3096" s="14"/>
      <c r="J3096" s="14"/>
      <c r="K3096" s="14"/>
      <c r="L3096" s="14"/>
      <c r="M3096" s="14"/>
      <c r="N3096" s="14"/>
      <c r="O3096" s="4"/>
      <c r="P3096" s="14"/>
      <c r="Q3096" s="14"/>
    </row>
    <row r="3097" spans="1:17" x14ac:dyDescent="0.25">
      <c r="A3097" s="5"/>
      <c r="B3097" s="6"/>
      <c r="C3097" s="4"/>
      <c r="D3097" s="4"/>
      <c r="E3097" s="12"/>
      <c r="F3097" s="12"/>
      <c r="G3097" s="16"/>
      <c r="H3097" s="14"/>
      <c r="I3097" s="14"/>
      <c r="J3097" s="14"/>
      <c r="K3097" s="14"/>
      <c r="L3097" s="14"/>
      <c r="M3097" s="14"/>
      <c r="N3097" s="14"/>
      <c r="O3097" s="4"/>
      <c r="P3097" s="14"/>
      <c r="Q3097" s="14"/>
    </row>
    <row r="3098" spans="1:17" x14ac:dyDescent="0.25">
      <c r="A3098" s="5"/>
      <c r="B3098" s="6"/>
      <c r="C3098" s="4"/>
      <c r="D3098" s="4"/>
      <c r="E3098" s="12"/>
      <c r="F3098" s="12"/>
      <c r="G3098" s="16"/>
      <c r="H3098" s="14"/>
      <c r="I3098" s="14"/>
      <c r="J3098" s="14"/>
      <c r="K3098" s="14"/>
      <c r="L3098" s="14"/>
      <c r="M3098" s="14"/>
      <c r="N3098" s="14"/>
      <c r="O3098" s="4"/>
      <c r="P3098" s="14"/>
      <c r="Q3098" s="14"/>
    </row>
    <row r="3099" spans="1:17" x14ac:dyDescent="0.25">
      <c r="A3099" s="5"/>
      <c r="B3099" s="6"/>
      <c r="C3099" s="4"/>
      <c r="D3099" s="4"/>
      <c r="E3099" s="12"/>
      <c r="F3099" s="12"/>
      <c r="G3099" s="16"/>
      <c r="H3099" s="14"/>
      <c r="I3099" s="14"/>
      <c r="J3099" s="14"/>
      <c r="K3099" s="14"/>
      <c r="L3099" s="14"/>
      <c r="M3099" s="14"/>
      <c r="N3099" s="14"/>
      <c r="O3099" s="4"/>
      <c r="P3099" s="14"/>
      <c r="Q3099" s="14"/>
    </row>
    <row r="3100" spans="1:17" x14ac:dyDescent="0.25">
      <c r="A3100" s="5"/>
      <c r="B3100" s="6"/>
      <c r="C3100" s="4"/>
      <c r="D3100" s="4"/>
      <c r="E3100" s="12"/>
      <c r="F3100" s="12"/>
      <c r="G3100" s="16"/>
      <c r="H3100" s="14"/>
      <c r="I3100" s="14"/>
      <c r="J3100" s="14"/>
      <c r="K3100" s="14"/>
      <c r="L3100" s="14"/>
      <c r="M3100" s="14"/>
      <c r="N3100" s="14"/>
      <c r="O3100" s="4"/>
      <c r="P3100" s="14"/>
      <c r="Q3100" s="14"/>
    </row>
    <row r="3101" spans="1:17" x14ac:dyDescent="0.25">
      <c r="A3101" s="5"/>
      <c r="B3101" s="6"/>
      <c r="C3101" s="4"/>
      <c r="D3101" s="4"/>
      <c r="E3101" s="12"/>
      <c r="F3101" s="12"/>
      <c r="G3101" s="16"/>
      <c r="H3101" s="14"/>
      <c r="I3101" s="14"/>
      <c r="J3101" s="14"/>
      <c r="K3101" s="14"/>
      <c r="L3101" s="14"/>
      <c r="M3101" s="14"/>
      <c r="N3101" s="14"/>
      <c r="O3101" s="4"/>
      <c r="P3101" s="14"/>
      <c r="Q3101" s="14"/>
    </row>
    <row r="3102" spans="1:17" x14ac:dyDescent="0.25">
      <c r="A3102" s="5"/>
      <c r="B3102" s="6"/>
      <c r="C3102" s="4"/>
      <c r="D3102" s="4"/>
      <c r="E3102" s="12"/>
      <c r="F3102" s="12"/>
      <c r="G3102" s="16"/>
      <c r="H3102" s="14"/>
      <c r="I3102" s="14"/>
      <c r="J3102" s="14"/>
      <c r="K3102" s="14"/>
      <c r="L3102" s="14"/>
      <c r="M3102" s="14"/>
      <c r="N3102" s="14"/>
      <c r="O3102" s="4"/>
      <c r="P3102" s="14"/>
      <c r="Q3102" s="14"/>
    </row>
    <row r="3103" spans="1:17" x14ac:dyDescent="0.25">
      <c r="A3103" s="5"/>
      <c r="B3103" s="6"/>
      <c r="C3103" s="4"/>
      <c r="D3103" s="4"/>
      <c r="E3103" s="12"/>
      <c r="F3103" s="12"/>
      <c r="G3103" s="16"/>
      <c r="H3103" s="14"/>
      <c r="I3103" s="14"/>
      <c r="J3103" s="14"/>
      <c r="K3103" s="14"/>
      <c r="L3103" s="14"/>
      <c r="M3103" s="14"/>
      <c r="N3103" s="14"/>
      <c r="O3103" s="4"/>
      <c r="P3103" s="14"/>
      <c r="Q3103" s="14"/>
    </row>
    <row r="3104" spans="1:17" x14ac:dyDescent="0.25">
      <c r="A3104" s="5"/>
      <c r="B3104" s="6"/>
      <c r="C3104" s="4"/>
      <c r="D3104" s="4"/>
      <c r="E3104" s="12"/>
      <c r="F3104" s="12"/>
      <c r="G3104" s="16"/>
      <c r="H3104" s="14"/>
      <c r="I3104" s="14"/>
      <c r="J3104" s="14"/>
      <c r="K3104" s="14"/>
      <c r="L3104" s="14"/>
      <c r="M3104" s="14"/>
      <c r="N3104" s="14"/>
      <c r="O3104" s="4"/>
      <c r="P3104" s="14"/>
      <c r="Q3104" s="14"/>
    </row>
    <row r="3105" spans="1:17" x14ac:dyDescent="0.25">
      <c r="A3105" s="5"/>
      <c r="B3105" s="6"/>
      <c r="C3105" s="4"/>
      <c r="D3105" s="4"/>
      <c r="E3105" s="12"/>
      <c r="F3105" s="12"/>
      <c r="G3105" s="16"/>
      <c r="H3105" s="14"/>
      <c r="I3105" s="14"/>
      <c r="J3105" s="14"/>
      <c r="K3105" s="14"/>
      <c r="L3105" s="14"/>
      <c r="M3105" s="14"/>
      <c r="N3105" s="14"/>
      <c r="O3105" s="4"/>
      <c r="P3105" s="14"/>
      <c r="Q3105" s="14"/>
    </row>
    <row r="3106" spans="1:17" x14ac:dyDescent="0.25">
      <c r="A3106" s="5"/>
      <c r="B3106" s="6"/>
      <c r="C3106" s="4"/>
      <c r="D3106" s="4"/>
      <c r="E3106" s="12"/>
      <c r="F3106" s="12"/>
      <c r="G3106" s="16"/>
      <c r="H3106" s="14"/>
      <c r="I3106" s="14"/>
      <c r="J3106" s="14"/>
      <c r="K3106" s="14"/>
      <c r="L3106" s="14"/>
      <c r="M3106" s="14"/>
      <c r="N3106" s="14"/>
      <c r="O3106" s="4"/>
      <c r="P3106" s="14"/>
      <c r="Q3106" s="14"/>
    </row>
    <row r="3107" spans="1:17" x14ac:dyDescent="0.25">
      <c r="A3107" s="5"/>
      <c r="B3107" s="6"/>
      <c r="C3107" s="4"/>
      <c r="D3107" s="4"/>
      <c r="E3107" s="12"/>
      <c r="F3107" s="12"/>
      <c r="G3107" s="16"/>
      <c r="H3107" s="14"/>
      <c r="I3107" s="14"/>
      <c r="J3107" s="14"/>
      <c r="K3107" s="14"/>
      <c r="L3107" s="14"/>
      <c r="M3107" s="14"/>
      <c r="N3107" s="14"/>
      <c r="O3107" s="4"/>
      <c r="P3107" s="14"/>
      <c r="Q3107" s="14"/>
    </row>
    <row r="3108" spans="1:17" x14ac:dyDescent="0.25">
      <c r="A3108" s="5"/>
      <c r="B3108" s="6"/>
      <c r="C3108" s="4"/>
      <c r="D3108" s="4"/>
      <c r="E3108" s="12"/>
      <c r="F3108" s="12"/>
      <c r="G3108" s="16"/>
      <c r="H3108" s="14"/>
      <c r="I3108" s="14"/>
      <c r="J3108" s="14"/>
      <c r="K3108" s="14"/>
      <c r="L3108" s="14"/>
      <c r="M3108" s="14"/>
      <c r="N3108" s="14"/>
      <c r="O3108" s="4"/>
      <c r="P3108" s="14"/>
      <c r="Q3108" s="14"/>
    </row>
    <row r="3109" spans="1:17" x14ac:dyDescent="0.25">
      <c r="A3109" s="5"/>
      <c r="B3109" s="6"/>
      <c r="C3109" s="4"/>
      <c r="D3109" s="4"/>
      <c r="E3109" s="12"/>
      <c r="F3109" s="12"/>
      <c r="G3109" s="16"/>
      <c r="H3109" s="14"/>
      <c r="I3109" s="14"/>
      <c r="J3109" s="14"/>
      <c r="K3109" s="14"/>
      <c r="L3109" s="14"/>
      <c r="M3109" s="14"/>
      <c r="N3109" s="14"/>
      <c r="O3109" s="4"/>
      <c r="P3109" s="14"/>
      <c r="Q3109" s="14"/>
    </row>
    <row r="3110" spans="1:17" x14ac:dyDescent="0.25">
      <c r="A3110" s="5"/>
      <c r="B3110" s="6"/>
      <c r="C3110" s="4"/>
      <c r="D3110" s="4"/>
      <c r="E3110" s="12"/>
      <c r="F3110" s="12"/>
      <c r="G3110" s="16"/>
      <c r="H3110" s="14"/>
      <c r="I3110" s="14"/>
      <c r="J3110" s="14"/>
      <c r="K3110" s="14"/>
      <c r="L3110" s="14"/>
      <c r="M3110" s="14"/>
      <c r="N3110" s="14"/>
      <c r="O3110" s="4"/>
      <c r="P3110" s="14"/>
      <c r="Q3110" s="14"/>
    </row>
    <row r="3111" spans="1:17" x14ac:dyDescent="0.25">
      <c r="A3111" s="5"/>
      <c r="B3111" s="6"/>
      <c r="C3111" s="4"/>
      <c r="D3111" s="4"/>
      <c r="E3111" s="12"/>
      <c r="F3111" s="12"/>
      <c r="G3111" s="16"/>
      <c r="H3111" s="14"/>
      <c r="I3111" s="14"/>
      <c r="J3111" s="14"/>
      <c r="K3111" s="14"/>
      <c r="L3111" s="14"/>
      <c r="M3111" s="14"/>
      <c r="N3111" s="14"/>
      <c r="O3111" s="4"/>
      <c r="P3111" s="14"/>
      <c r="Q3111" s="14"/>
    </row>
    <row r="3112" spans="1:17" x14ac:dyDescent="0.25">
      <c r="A3112" s="5"/>
      <c r="B3112" s="6"/>
      <c r="C3112" s="4"/>
      <c r="D3112" s="4"/>
      <c r="E3112" s="12"/>
      <c r="F3112" s="12"/>
      <c r="G3112" s="16"/>
      <c r="H3112" s="14"/>
      <c r="I3112" s="14"/>
      <c r="J3112" s="14"/>
      <c r="K3112" s="14"/>
      <c r="L3112" s="14"/>
      <c r="M3112" s="14"/>
      <c r="N3112" s="14"/>
      <c r="O3112" s="4"/>
      <c r="P3112" s="14"/>
      <c r="Q3112" s="14"/>
    </row>
    <row r="3113" spans="1:17" x14ac:dyDescent="0.25">
      <c r="A3113" s="5"/>
      <c r="B3113" s="6"/>
      <c r="C3113" s="4"/>
      <c r="D3113" s="4"/>
      <c r="E3113" s="12"/>
      <c r="F3113" s="12"/>
      <c r="G3113" s="16"/>
      <c r="H3113" s="14"/>
      <c r="I3113" s="14"/>
      <c r="J3113" s="14"/>
      <c r="K3113" s="14"/>
      <c r="L3113" s="14"/>
      <c r="M3113" s="14"/>
      <c r="N3113" s="14"/>
      <c r="O3113" s="4"/>
      <c r="P3113" s="14"/>
      <c r="Q3113" s="14"/>
    </row>
    <row r="3114" spans="1:17" x14ac:dyDescent="0.25">
      <c r="A3114" s="5"/>
      <c r="B3114" s="6"/>
      <c r="C3114" s="4"/>
      <c r="D3114" s="4"/>
      <c r="E3114" s="12"/>
      <c r="F3114" s="12"/>
      <c r="G3114" s="16"/>
      <c r="H3114" s="14"/>
      <c r="I3114" s="14"/>
      <c r="J3114" s="14"/>
      <c r="K3114" s="14"/>
      <c r="L3114" s="14"/>
      <c r="M3114" s="14"/>
      <c r="N3114" s="14"/>
      <c r="O3114" s="4"/>
      <c r="P3114" s="14"/>
      <c r="Q3114" s="14"/>
    </row>
    <row r="3115" spans="1:17" x14ac:dyDescent="0.25">
      <c r="A3115" s="5"/>
      <c r="B3115" s="6"/>
      <c r="C3115" s="4"/>
      <c r="D3115" s="4"/>
      <c r="E3115" s="12"/>
      <c r="F3115" s="12"/>
      <c r="G3115" s="16"/>
      <c r="H3115" s="14"/>
      <c r="I3115" s="14"/>
      <c r="J3115" s="14"/>
      <c r="K3115" s="14"/>
      <c r="L3115" s="14"/>
      <c r="M3115" s="14"/>
      <c r="N3115" s="14"/>
      <c r="O3115" s="4"/>
      <c r="P3115" s="14"/>
      <c r="Q3115" s="14"/>
    </row>
    <row r="3116" spans="1:17" x14ac:dyDescent="0.25">
      <c r="A3116" s="5"/>
      <c r="B3116" s="6"/>
      <c r="C3116" s="4"/>
      <c r="D3116" s="4"/>
      <c r="E3116" s="12"/>
      <c r="F3116" s="12"/>
      <c r="G3116" s="16"/>
      <c r="H3116" s="14"/>
      <c r="I3116" s="14"/>
      <c r="J3116" s="14"/>
      <c r="K3116" s="14"/>
      <c r="L3116" s="14"/>
      <c r="M3116" s="14"/>
      <c r="N3116" s="14"/>
      <c r="O3116" s="4"/>
      <c r="P3116" s="14"/>
      <c r="Q3116" s="14"/>
    </row>
    <row r="3117" spans="1:17" x14ac:dyDescent="0.25">
      <c r="A3117" s="5"/>
      <c r="B3117" s="6"/>
      <c r="C3117" s="4"/>
      <c r="D3117" s="4"/>
      <c r="E3117" s="12"/>
      <c r="F3117" s="12"/>
      <c r="G3117" s="16"/>
      <c r="H3117" s="14"/>
      <c r="I3117" s="14"/>
      <c r="J3117" s="14"/>
      <c r="K3117" s="14"/>
      <c r="L3117" s="14"/>
      <c r="M3117" s="14"/>
      <c r="N3117" s="14"/>
      <c r="O3117" s="4"/>
      <c r="P3117" s="14"/>
      <c r="Q3117" s="14"/>
    </row>
    <row r="3118" spans="1:17" x14ac:dyDescent="0.25">
      <c r="A3118" s="5"/>
      <c r="B3118" s="6"/>
      <c r="C3118" s="4"/>
      <c r="D3118" s="4"/>
      <c r="E3118" s="12"/>
      <c r="F3118" s="12"/>
      <c r="G3118" s="16"/>
      <c r="H3118" s="14"/>
      <c r="I3118" s="14"/>
      <c r="J3118" s="14"/>
      <c r="K3118" s="14"/>
      <c r="L3118" s="14"/>
      <c r="M3118" s="14"/>
      <c r="N3118" s="14"/>
      <c r="O3118" s="4"/>
      <c r="P3118" s="14"/>
      <c r="Q3118" s="14"/>
    </row>
    <row r="3119" spans="1:17" x14ac:dyDescent="0.25">
      <c r="A3119" s="5"/>
      <c r="B3119" s="6"/>
      <c r="C3119" s="4"/>
      <c r="D3119" s="4"/>
      <c r="E3119" s="12"/>
      <c r="F3119" s="12"/>
      <c r="G3119" s="16"/>
      <c r="H3119" s="14"/>
      <c r="I3119" s="14"/>
      <c r="J3119" s="14"/>
      <c r="K3119" s="14"/>
      <c r="L3119" s="14"/>
      <c r="M3119" s="14"/>
      <c r="N3119" s="14"/>
      <c r="O3119" s="4"/>
      <c r="P3119" s="14"/>
      <c r="Q3119" s="14"/>
    </row>
    <row r="3120" spans="1:17" x14ac:dyDescent="0.25">
      <c r="A3120" s="5"/>
      <c r="B3120" s="6"/>
      <c r="C3120" s="4"/>
      <c r="D3120" s="4"/>
      <c r="E3120" s="12"/>
      <c r="F3120" s="12"/>
      <c r="G3120" s="16"/>
      <c r="H3120" s="14"/>
      <c r="I3120" s="14"/>
      <c r="J3120" s="14"/>
      <c r="K3120" s="14"/>
      <c r="L3120" s="14"/>
      <c r="M3120" s="14"/>
      <c r="N3120" s="14"/>
      <c r="O3120" s="4"/>
      <c r="P3120" s="14"/>
      <c r="Q3120" s="14"/>
    </row>
    <row r="3121" spans="1:17" x14ac:dyDescent="0.25">
      <c r="A3121" s="5"/>
      <c r="B3121" s="6"/>
      <c r="C3121" s="4"/>
      <c r="D3121" s="4"/>
      <c r="E3121" s="12"/>
      <c r="F3121" s="12"/>
      <c r="G3121" s="16"/>
      <c r="H3121" s="14"/>
      <c r="I3121" s="14"/>
      <c r="J3121" s="14"/>
      <c r="K3121" s="14"/>
      <c r="L3121" s="14"/>
      <c r="M3121" s="14"/>
      <c r="N3121" s="14"/>
      <c r="O3121" s="4"/>
      <c r="P3121" s="14"/>
      <c r="Q3121" s="14"/>
    </row>
    <row r="3122" spans="1:17" x14ac:dyDescent="0.25">
      <c r="A3122" s="5"/>
      <c r="B3122" s="6"/>
      <c r="C3122" s="4"/>
      <c r="D3122" s="4"/>
      <c r="E3122" s="12"/>
      <c r="F3122" s="12"/>
      <c r="G3122" s="16"/>
      <c r="H3122" s="14"/>
      <c r="I3122" s="14"/>
      <c r="J3122" s="14"/>
      <c r="K3122" s="14"/>
      <c r="L3122" s="14"/>
      <c r="M3122" s="14"/>
      <c r="N3122" s="14"/>
      <c r="O3122" s="4"/>
      <c r="P3122" s="14"/>
      <c r="Q3122" s="14"/>
    </row>
    <row r="3123" spans="1:17" x14ac:dyDescent="0.25">
      <c r="A3123" s="5"/>
      <c r="B3123" s="6"/>
      <c r="C3123" s="4"/>
      <c r="D3123" s="4"/>
      <c r="E3123" s="12"/>
      <c r="F3123" s="12"/>
      <c r="G3123" s="16"/>
      <c r="H3123" s="14"/>
      <c r="I3123" s="14"/>
      <c r="J3123" s="14"/>
      <c r="K3123" s="14"/>
      <c r="L3123" s="14"/>
      <c r="M3123" s="14"/>
      <c r="N3123" s="14"/>
      <c r="O3123" s="4"/>
      <c r="P3123" s="14"/>
      <c r="Q3123" s="14"/>
    </row>
    <row r="3124" spans="1:17" x14ac:dyDescent="0.25">
      <c r="A3124" s="5"/>
      <c r="B3124" s="6"/>
      <c r="C3124" s="4"/>
      <c r="D3124" s="4"/>
      <c r="E3124" s="12"/>
      <c r="F3124" s="12"/>
      <c r="G3124" s="16"/>
      <c r="H3124" s="14"/>
      <c r="I3124" s="14"/>
      <c r="J3124" s="14"/>
      <c r="K3124" s="14"/>
      <c r="L3124" s="14"/>
      <c r="M3124" s="14"/>
      <c r="N3124" s="14"/>
      <c r="O3124" s="4"/>
      <c r="P3124" s="14"/>
      <c r="Q3124" s="14"/>
    </row>
    <row r="3125" spans="1:17" x14ac:dyDescent="0.25">
      <c r="A3125" s="5"/>
      <c r="B3125" s="6"/>
      <c r="C3125" s="4"/>
      <c r="D3125" s="4"/>
      <c r="E3125" s="12"/>
      <c r="F3125" s="12"/>
      <c r="G3125" s="16"/>
      <c r="H3125" s="14"/>
      <c r="I3125" s="14"/>
      <c r="J3125" s="14"/>
      <c r="K3125" s="14"/>
      <c r="L3125" s="14"/>
      <c r="M3125" s="14"/>
      <c r="N3125" s="14"/>
      <c r="O3125" s="4"/>
      <c r="P3125" s="14"/>
      <c r="Q3125" s="14"/>
    </row>
    <row r="3126" spans="1:17" x14ac:dyDescent="0.25">
      <c r="A3126" s="5"/>
      <c r="B3126" s="6"/>
      <c r="C3126" s="4"/>
      <c r="D3126" s="4"/>
      <c r="E3126" s="12"/>
      <c r="F3126" s="12"/>
      <c r="G3126" s="16"/>
      <c r="H3126" s="14"/>
      <c r="I3126" s="14"/>
      <c r="J3126" s="14"/>
      <c r="K3126" s="14"/>
      <c r="L3126" s="14"/>
      <c r="M3126" s="14"/>
      <c r="N3126" s="14"/>
      <c r="O3126" s="4"/>
      <c r="P3126" s="14"/>
      <c r="Q3126" s="14"/>
    </row>
    <row r="3127" spans="1:17" x14ac:dyDescent="0.25">
      <c r="A3127" s="5"/>
      <c r="B3127" s="6"/>
      <c r="C3127" s="4"/>
      <c r="D3127" s="4"/>
      <c r="E3127" s="12"/>
      <c r="F3127" s="12"/>
      <c r="G3127" s="16"/>
      <c r="H3127" s="14"/>
      <c r="I3127" s="14"/>
      <c r="J3127" s="14"/>
      <c r="K3127" s="14"/>
      <c r="L3127" s="14"/>
      <c r="M3127" s="14"/>
      <c r="N3127" s="14"/>
      <c r="O3127" s="4"/>
      <c r="P3127" s="14"/>
      <c r="Q3127" s="14"/>
    </row>
    <row r="3128" spans="1:17" x14ac:dyDescent="0.25">
      <c r="A3128" s="5"/>
      <c r="B3128" s="6"/>
      <c r="C3128" s="4"/>
      <c r="D3128" s="4"/>
      <c r="E3128" s="12"/>
      <c r="F3128" s="12"/>
      <c r="G3128" s="16"/>
      <c r="H3128" s="14"/>
      <c r="I3128" s="14"/>
      <c r="J3128" s="14"/>
      <c r="K3128" s="14"/>
      <c r="L3128" s="14"/>
      <c r="M3128" s="14"/>
      <c r="N3128" s="14"/>
      <c r="O3128" s="4"/>
      <c r="P3128" s="14"/>
      <c r="Q3128" s="14"/>
    </row>
    <row r="3129" spans="1:17" x14ac:dyDescent="0.25">
      <c r="A3129" s="5"/>
      <c r="B3129" s="6"/>
      <c r="C3129" s="4"/>
      <c r="D3129" s="4"/>
      <c r="E3129" s="12"/>
      <c r="F3129" s="12"/>
      <c r="G3129" s="16"/>
      <c r="H3129" s="14"/>
      <c r="I3129" s="14"/>
      <c r="J3129" s="14"/>
      <c r="K3129" s="14"/>
      <c r="L3129" s="14"/>
      <c r="M3129" s="14"/>
      <c r="N3129" s="14"/>
      <c r="O3129" s="4"/>
      <c r="P3129" s="14"/>
      <c r="Q3129" s="14"/>
    </row>
    <row r="3130" spans="1:17" x14ac:dyDescent="0.25">
      <c r="A3130" s="5"/>
      <c r="B3130" s="6"/>
      <c r="C3130" s="4"/>
      <c r="D3130" s="4"/>
      <c r="E3130" s="12"/>
      <c r="F3130" s="12"/>
      <c r="G3130" s="16"/>
      <c r="H3130" s="14"/>
      <c r="I3130" s="14"/>
      <c r="J3130" s="14"/>
      <c r="K3130" s="14"/>
      <c r="L3130" s="14"/>
      <c r="M3130" s="14"/>
      <c r="N3130" s="14"/>
      <c r="O3130" s="4"/>
      <c r="P3130" s="14"/>
      <c r="Q3130" s="14"/>
    </row>
    <row r="3131" spans="1:17" x14ac:dyDescent="0.25">
      <c r="A3131" s="5"/>
      <c r="B3131" s="6"/>
      <c r="C3131" s="4"/>
      <c r="D3131" s="4"/>
      <c r="E3131" s="12"/>
      <c r="F3131" s="12"/>
      <c r="G3131" s="16"/>
      <c r="H3131" s="14"/>
      <c r="I3131" s="14"/>
      <c r="J3131" s="14"/>
      <c r="K3131" s="14"/>
      <c r="L3131" s="14"/>
      <c r="M3131" s="14"/>
      <c r="N3131" s="14"/>
      <c r="O3131" s="4"/>
      <c r="P3131" s="14"/>
      <c r="Q3131" s="14"/>
    </row>
    <row r="3132" spans="1:17" x14ac:dyDescent="0.25">
      <c r="A3132" s="5"/>
      <c r="B3132" s="6"/>
      <c r="C3132" s="4"/>
      <c r="D3132" s="4"/>
      <c r="E3132" s="12"/>
      <c r="F3132" s="12"/>
      <c r="G3132" s="16"/>
      <c r="H3132" s="14"/>
      <c r="I3132" s="14"/>
      <c r="J3132" s="14"/>
      <c r="K3132" s="14"/>
      <c r="L3132" s="14"/>
      <c r="M3132" s="14"/>
      <c r="N3132" s="14"/>
      <c r="O3132" s="4"/>
      <c r="P3132" s="14"/>
      <c r="Q3132" s="14"/>
    </row>
    <row r="3133" spans="1:17" x14ac:dyDescent="0.25">
      <c r="A3133" s="5"/>
      <c r="B3133" s="6"/>
      <c r="C3133" s="4"/>
      <c r="D3133" s="4"/>
      <c r="E3133" s="12"/>
      <c r="F3133" s="12"/>
      <c r="G3133" s="16"/>
      <c r="H3133" s="14"/>
      <c r="I3133" s="14"/>
      <c r="J3133" s="14"/>
      <c r="K3133" s="14"/>
      <c r="L3133" s="14"/>
      <c r="M3133" s="14"/>
      <c r="N3133" s="14"/>
      <c r="O3133" s="4"/>
      <c r="P3133" s="14"/>
      <c r="Q3133" s="14"/>
    </row>
    <row r="3134" spans="1:17" x14ac:dyDescent="0.25">
      <c r="A3134" s="5"/>
      <c r="B3134" s="6"/>
      <c r="C3134" s="4"/>
      <c r="D3134" s="4"/>
      <c r="E3134" s="12"/>
      <c r="F3134" s="12"/>
      <c r="G3134" s="16"/>
      <c r="H3134" s="14"/>
      <c r="I3134" s="14"/>
      <c r="J3134" s="14"/>
      <c r="K3134" s="14"/>
      <c r="L3134" s="14"/>
      <c r="M3134" s="14"/>
      <c r="N3134" s="14"/>
      <c r="O3134" s="4"/>
      <c r="P3134" s="14"/>
      <c r="Q3134" s="14"/>
    </row>
    <row r="3135" spans="1:17" x14ac:dyDescent="0.25">
      <c r="A3135" s="5"/>
      <c r="B3135" s="6"/>
      <c r="C3135" s="4"/>
      <c r="D3135" s="4"/>
      <c r="E3135" s="12"/>
      <c r="F3135" s="12"/>
      <c r="G3135" s="16"/>
      <c r="H3135" s="14"/>
      <c r="I3135" s="14"/>
      <c r="J3135" s="14"/>
      <c r="K3135" s="14"/>
      <c r="L3135" s="14"/>
      <c r="M3135" s="14"/>
      <c r="N3135" s="14"/>
      <c r="O3135" s="4"/>
      <c r="P3135" s="14"/>
      <c r="Q3135" s="14"/>
    </row>
    <row r="3136" spans="1:17" x14ac:dyDescent="0.25">
      <c r="A3136" s="5"/>
      <c r="B3136" s="6"/>
      <c r="C3136" s="4"/>
      <c r="D3136" s="4"/>
      <c r="E3136" s="12"/>
      <c r="F3136" s="12"/>
      <c r="G3136" s="16"/>
      <c r="H3136" s="14"/>
      <c r="I3136" s="14"/>
      <c r="J3136" s="14"/>
      <c r="K3136" s="14"/>
      <c r="L3136" s="14"/>
      <c r="M3136" s="14"/>
      <c r="N3136" s="14"/>
      <c r="O3136" s="4"/>
      <c r="P3136" s="14"/>
      <c r="Q3136" s="14"/>
    </row>
    <row r="3137" spans="1:17" x14ac:dyDescent="0.25">
      <c r="A3137" s="5"/>
      <c r="B3137" s="6"/>
      <c r="C3137" s="4"/>
      <c r="D3137" s="4"/>
      <c r="E3137" s="12"/>
      <c r="F3137" s="12"/>
      <c r="G3137" s="16"/>
      <c r="H3137" s="14"/>
      <c r="I3137" s="14"/>
      <c r="J3137" s="14"/>
      <c r="K3137" s="14"/>
      <c r="L3137" s="14"/>
      <c r="M3137" s="14"/>
      <c r="N3137" s="14"/>
      <c r="O3137" s="4"/>
      <c r="P3137" s="14"/>
      <c r="Q3137" s="14"/>
    </row>
    <row r="3138" spans="1:17" x14ac:dyDescent="0.25">
      <c r="A3138" s="5"/>
      <c r="B3138" s="6"/>
      <c r="C3138" s="4"/>
      <c r="D3138" s="4"/>
      <c r="E3138" s="12"/>
      <c r="F3138" s="12"/>
      <c r="G3138" s="16"/>
      <c r="H3138" s="14"/>
      <c r="I3138" s="14"/>
      <c r="J3138" s="14"/>
      <c r="K3138" s="14"/>
      <c r="L3138" s="14"/>
      <c r="M3138" s="14"/>
      <c r="N3138" s="14"/>
      <c r="O3138" s="4"/>
      <c r="P3138" s="14"/>
      <c r="Q3138" s="14"/>
    </row>
    <row r="3139" spans="1:17" x14ac:dyDescent="0.25">
      <c r="A3139" s="5"/>
      <c r="B3139" s="6"/>
      <c r="C3139" s="4"/>
      <c r="D3139" s="4"/>
      <c r="E3139" s="12"/>
      <c r="F3139" s="12"/>
      <c r="G3139" s="16"/>
      <c r="H3139" s="14"/>
      <c r="I3139" s="14"/>
      <c r="J3139" s="14"/>
      <c r="K3139" s="14"/>
      <c r="L3139" s="14"/>
      <c r="M3139" s="14"/>
      <c r="N3139" s="14"/>
      <c r="O3139" s="4"/>
      <c r="P3139" s="14"/>
      <c r="Q3139" s="14"/>
    </row>
    <row r="3140" spans="1:17" x14ac:dyDescent="0.25">
      <c r="A3140" s="5"/>
      <c r="B3140" s="6"/>
      <c r="C3140" s="4"/>
      <c r="D3140" s="4"/>
      <c r="E3140" s="12"/>
      <c r="F3140" s="12"/>
      <c r="G3140" s="16"/>
      <c r="H3140" s="14"/>
      <c r="I3140" s="14"/>
      <c r="J3140" s="14"/>
      <c r="K3140" s="14"/>
      <c r="L3140" s="14"/>
      <c r="M3140" s="14"/>
      <c r="N3140" s="14"/>
      <c r="O3140" s="4"/>
      <c r="P3140" s="14"/>
      <c r="Q3140" s="14"/>
    </row>
    <row r="3141" spans="1:17" x14ac:dyDescent="0.25">
      <c r="A3141" s="5"/>
      <c r="B3141" s="6"/>
      <c r="C3141" s="4"/>
      <c r="D3141" s="4"/>
      <c r="E3141" s="12"/>
      <c r="F3141" s="12"/>
      <c r="G3141" s="16"/>
      <c r="H3141" s="14"/>
      <c r="I3141" s="14"/>
      <c r="J3141" s="14"/>
      <c r="K3141" s="14"/>
      <c r="L3141" s="14"/>
      <c r="M3141" s="14"/>
      <c r="N3141" s="14"/>
      <c r="O3141" s="4"/>
      <c r="P3141" s="14"/>
      <c r="Q3141" s="14"/>
    </row>
    <row r="3142" spans="1:17" x14ac:dyDescent="0.25">
      <c r="A3142" s="5"/>
      <c r="B3142" s="6"/>
      <c r="C3142" s="4"/>
      <c r="D3142" s="4"/>
      <c r="E3142" s="12"/>
      <c r="F3142" s="12"/>
      <c r="G3142" s="16"/>
      <c r="H3142" s="14"/>
      <c r="I3142" s="14"/>
      <c r="J3142" s="14"/>
      <c r="K3142" s="14"/>
      <c r="L3142" s="14"/>
      <c r="M3142" s="14"/>
      <c r="N3142" s="14"/>
      <c r="O3142" s="4"/>
      <c r="P3142" s="14"/>
      <c r="Q3142" s="14"/>
    </row>
    <row r="3143" spans="1:17" x14ac:dyDescent="0.25">
      <c r="A3143" s="5"/>
      <c r="B3143" s="6"/>
      <c r="C3143" s="4"/>
      <c r="D3143" s="4"/>
      <c r="E3143" s="12"/>
      <c r="F3143" s="12"/>
      <c r="G3143" s="16"/>
      <c r="H3143" s="14"/>
      <c r="I3143" s="14"/>
      <c r="J3143" s="14"/>
      <c r="K3143" s="14"/>
      <c r="L3143" s="14"/>
      <c r="M3143" s="14"/>
      <c r="N3143" s="14"/>
      <c r="O3143" s="4"/>
      <c r="P3143" s="14"/>
      <c r="Q3143" s="14"/>
    </row>
    <row r="3144" spans="1:17" x14ac:dyDescent="0.25">
      <c r="A3144" s="5"/>
      <c r="B3144" s="6"/>
      <c r="C3144" s="4"/>
      <c r="D3144" s="4"/>
      <c r="E3144" s="12"/>
      <c r="F3144" s="12"/>
      <c r="G3144" s="16"/>
      <c r="H3144" s="14"/>
      <c r="I3144" s="14"/>
      <c r="J3144" s="14"/>
      <c r="K3144" s="14"/>
      <c r="L3144" s="14"/>
      <c r="M3144" s="14"/>
      <c r="N3144" s="14"/>
      <c r="O3144" s="4"/>
      <c r="P3144" s="14"/>
      <c r="Q3144" s="14"/>
    </row>
    <row r="3145" spans="1:17" x14ac:dyDescent="0.25">
      <c r="A3145" s="5"/>
      <c r="B3145" s="6"/>
      <c r="C3145" s="4"/>
      <c r="D3145" s="4"/>
      <c r="E3145" s="12"/>
      <c r="F3145" s="12"/>
      <c r="G3145" s="16"/>
      <c r="H3145" s="14"/>
      <c r="I3145" s="14"/>
      <c r="J3145" s="14"/>
      <c r="K3145" s="14"/>
      <c r="L3145" s="14"/>
      <c r="M3145" s="14"/>
      <c r="N3145" s="14"/>
      <c r="O3145" s="4"/>
      <c r="P3145" s="14"/>
      <c r="Q3145" s="14"/>
    </row>
    <row r="3146" spans="1:17" x14ac:dyDescent="0.25">
      <c r="A3146" s="5"/>
      <c r="B3146" s="6"/>
      <c r="C3146" s="4"/>
      <c r="D3146" s="4"/>
      <c r="E3146" s="12"/>
      <c r="F3146" s="12"/>
      <c r="G3146" s="16"/>
      <c r="H3146" s="14"/>
      <c r="I3146" s="14"/>
      <c r="J3146" s="14"/>
      <c r="K3146" s="14"/>
      <c r="L3146" s="14"/>
      <c r="M3146" s="14"/>
      <c r="N3146" s="14"/>
      <c r="O3146" s="4"/>
      <c r="P3146" s="14"/>
      <c r="Q3146" s="14"/>
    </row>
    <row r="3147" spans="1:17" x14ac:dyDescent="0.25">
      <c r="A3147" s="5"/>
      <c r="B3147" s="6"/>
      <c r="C3147" s="4"/>
      <c r="D3147" s="4"/>
      <c r="E3147" s="12"/>
      <c r="F3147" s="12"/>
      <c r="G3147" s="16"/>
      <c r="H3147" s="14"/>
      <c r="I3147" s="14"/>
      <c r="J3147" s="14"/>
      <c r="K3147" s="14"/>
      <c r="L3147" s="14"/>
      <c r="M3147" s="14"/>
      <c r="N3147" s="14"/>
      <c r="O3147" s="4"/>
      <c r="P3147" s="14"/>
      <c r="Q3147" s="14"/>
    </row>
    <row r="3148" spans="1:17" x14ac:dyDescent="0.25">
      <c r="A3148" s="5"/>
      <c r="B3148" s="6"/>
      <c r="C3148" s="4"/>
      <c r="D3148" s="4"/>
      <c r="E3148" s="12"/>
      <c r="F3148" s="12"/>
      <c r="G3148" s="16"/>
      <c r="H3148" s="14"/>
      <c r="I3148" s="14"/>
      <c r="J3148" s="14"/>
      <c r="K3148" s="14"/>
      <c r="L3148" s="14"/>
      <c r="M3148" s="14"/>
      <c r="N3148" s="14"/>
      <c r="O3148" s="4"/>
      <c r="P3148" s="14"/>
      <c r="Q3148" s="14"/>
    </row>
    <row r="3149" spans="1:17" x14ac:dyDescent="0.25">
      <c r="A3149" s="5"/>
      <c r="B3149" s="6"/>
      <c r="C3149" s="4"/>
      <c r="D3149" s="4"/>
      <c r="E3149" s="12"/>
      <c r="F3149" s="12"/>
      <c r="G3149" s="16"/>
      <c r="H3149" s="14"/>
      <c r="I3149" s="14"/>
      <c r="J3149" s="14"/>
      <c r="K3149" s="14"/>
      <c r="L3149" s="14"/>
      <c r="M3149" s="14"/>
      <c r="N3149" s="14"/>
      <c r="O3149" s="4"/>
      <c r="P3149" s="14"/>
      <c r="Q3149" s="14"/>
    </row>
    <row r="3150" spans="1:17" x14ac:dyDescent="0.25">
      <c r="A3150" s="5"/>
      <c r="B3150" s="6"/>
      <c r="C3150" s="4"/>
      <c r="D3150" s="4"/>
      <c r="E3150" s="12"/>
      <c r="F3150" s="12"/>
      <c r="G3150" s="16"/>
      <c r="H3150" s="14"/>
      <c r="I3150" s="14"/>
      <c r="J3150" s="14"/>
      <c r="K3150" s="14"/>
      <c r="L3150" s="14"/>
      <c r="M3150" s="14"/>
      <c r="N3150" s="14"/>
      <c r="O3150" s="4"/>
      <c r="P3150" s="14"/>
      <c r="Q3150" s="14"/>
    </row>
    <row r="3151" spans="1:17" x14ac:dyDescent="0.25">
      <c r="A3151" s="5"/>
      <c r="B3151" s="6"/>
      <c r="C3151" s="4"/>
      <c r="D3151" s="4"/>
      <c r="E3151" s="12"/>
      <c r="F3151" s="12"/>
      <c r="G3151" s="16"/>
      <c r="H3151" s="14"/>
      <c r="I3151" s="14"/>
      <c r="J3151" s="14"/>
      <c r="K3151" s="14"/>
      <c r="L3151" s="14"/>
      <c r="M3151" s="14"/>
      <c r="N3151" s="14"/>
      <c r="O3151" s="4"/>
      <c r="P3151" s="14"/>
      <c r="Q3151" s="14"/>
    </row>
    <row r="3152" spans="1:17" x14ac:dyDescent="0.25">
      <c r="A3152" s="5"/>
      <c r="B3152" s="6"/>
      <c r="C3152" s="4"/>
      <c r="D3152" s="4"/>
      <c r="E3152" s="12"/>
      <c r="F3152" s="12"/>
      <c r="G3152" s="16"/>
      <c r="H3152" s="14"/>
      <c r="I3152" s="14"/>
      <c r="J3152" s="14"/>
      <c r="K3152" s="14"/>
      <c r="L3152" s="14"/>
      <c r="M3152" s="14"/>
      <c r="N3152" s="14"/>
      <c r="O3152" s="4"/>
      <c r="P3152" s="14"/>
      <c r="Q3152" s="14"/>
    </row>
    <row r="3153" spans="1:17" x14ac:dyDescent="0.25">
      <c r="A3153" s="5"/>
      <c r="B3153" s="6"/>
      <c r="C3153" s="4"/>
      <c r="D3153" s="4"/>
      <c r="E3153" s="12"/>
      <c r="F3153" s="12"/>
      <c r="G3153" s="16"/>
      <c r="H3153" s="14"/>
      <c r="I3153" s="14"/>
      <c r="J3153" s="14"/>
      <c r="K3153" s="14"/>
      <c r="L3153" s="14"/>
      <c r="M3153" s="14"/>
      <c r="N3153" s="14"/>
      <c r="O3153" s="4"/>
      <c r="P3153" s="14"/>
      <c r="Q3153" s="14"/>
    </row>
    <row r="3154" spans="1:17" x14ac:dyDescent="0.25">
      <c r="A3154" s="5"/>
      <c r="B3154" s="6"/>
      <c r="C3154" s="4"/>
      <c r="D3154" s="4"/>
      <c r="E3154" s="12"/>
      <c r="F3154" s="12"/>
      <c r="G3154" s="16"/>
      <c r="H3154" s="14"/>
      <c r="I3154" s="14"/>
      <c r="J3154" s="14"/>
      <c r="K3154" s="14"/>
      <c r="L3154" s="14"/>
      <c r="M3154" s="14"/>
      <c r="N3154" s="14"/>
      <c r="O3154" s="4"/>
      <c r="P3154" s="14"/>
      <c r="Q3154" s="14"/>
    </row>
    <row r="3155" spans="1:17" x14ac:dyDescent="0.25">
      <c r="A3155" s="5"/>
      <c r="B3155" s="6"/>
      <c r="C3155" s="4"/>
      <c r="D3155" s="4"/>
      <c r="E3155" s="12"/>
      <c r="F3155" s="12"/>
      <c r="G3155" s="16"/>
      <c r="H3155" s="14"/>
      <c r="I3155" s="14"/>
      <c r="J3155" s="14"/>
      <c r="K3155" s="14"/>
      <c r="L3155" s="14"/>
      <c r="M3155" s="14"/>
      <c r="N3155" s="14"/>
      <c r="O3155" s="4"/>
      <c r="P3155" s="14"/>
      <c r="Q3155" s="14"/>
    </row>
    <row r="3156" spans="1:17" x14ac:dyDescent="0.25">
      <c r="A3156" s="5"/>
      <c r="B3156" s="6"/>
      <c r="C3156" s="4"/>
      <c r="D3156" s="4"/>
      <c r="E3156" s="12"/>
      <c r="F3156" s="12"/>
      <c r="G3156" s="16"/>
      <c r="H3156" s="14"/>
      <c r="I3156" s="14"/>
      <c r="J3156" s="14"/>
      <c r="K3156" s="14"/>
      <c r="L3156" s="14"/>
      <c r="M3156" s="14"/>
      <c r="N3156" s="14"/>
      <c r="O3156" s="4"/>
      <c r="P3156" s="14"/>
      <c r="Q3156" s="14"/>
    </row>
    <row r="3157" spans="1:17" x14ac:dyDescent="0.25">
      <c r="A3157" s="5"/>
      <c r="B3157" s="6"/>
      <c r="C3157" s="4"/>
      <c r="D3157" s="4"/>
      <c r="E3157" s="12"/>
      <c r="F3157" s="12"/>
      <c r="G3157" s="16"/>
      <c r="H3157" s="14"/>
      <c r="I3157" s="14"/>
      <c r="J3157" s="14"/>
      <c r="K3157" s="14"/>
      <c r="L3157" s="14"/>
      <c r="M3157" s="14"/>
      <c r="N3157" s="14"/>
      <c r="O3157" s="4"/>
      <c r="P3157" s="14"/>
      <c r="Q3157" s="14"/>
    </row>
    <row r="3158" spans="1:17" x14ac:dyDescent="0.25">
      <c r="A3158" s="5"/>
      <c r="B3158" s="6"/>
      <c r="C3158" s="4"/>
      <c r="D3158" s="4"/>
      <c r="E3158" s="12"/>
      <c r="F3158" s="12"/>
      <c r="G3158" s="16"/>
      <c r="H3158" s="14"/>
      <c r="I3158" s="14"/>
      <c r="J3158" s="14"/>
      <c r="K3158" s="14"/>
      <c r="L3158" s="14"/>
      <c r="M3158" s="14"/>
      <c r="N3158" s="14"/>
      <c r="O3158" s="4"/>
      <c r="P3158" s="14"/>
      <c r="Q3158" s="14"/>
    </row>
    <row r="3159" spans="1:17" x14ac:dyDescent="0.25">
      <c r="A3159" s="5"/>
      <c r="B3159" s="6"/>
      <c r="C3159" s="4"/>
      <c r="D3159" s="4"/>
      <c r="E3159" s="12"/>
      <c r="F3159" s="12"/>
      <c r="G3159" s="16"/>
      <c r="H3159" s="14"/>
      <c r="I3159" s="14"/>
      <c r="J3159" s="14"/>
      <c r="K3159" s="14"/>
      <c r="L3159" s="14"/>
      <c r="M3159" s="14"/>
      <c r="N3159" s="14"/>
      <c r="O3159" s="4"/>
      <c r="P3159" s="14"/>
      <c r="Q3159" s="14"/>
    </row>
    <row r="3160" spans="1:17" x14ac:dyDescent="0.25">
      <c r="A3160" s="5"/>
      <c r="B3160" s="6"/>
      <c r="C3160" s="4"/>
      <c r="D3160" s="4"/>
      <c r="E3160" s="12"/>
      <c r="F3160" s="12"/>
      <c r="G3160" s="16"/>
      <c r="H3160" s="14"/>
      <c r="I3160" s="14"/>
      <c r="J3160" s="14"/>
      <c r="K3160" s="14"/>
      <c r="L3160" s="14"/>
      <c r="M3160" s="14"/>
      <c r="N3160" s="14"/>
      <c r="O3160" s="4"/>
      <c r="P3160" s="14"/>
      <c r="Q3160" s="14"/>
    </row>
    <row r="3161" spans="1:17" x14ac:dyDescent="0.25">
      <c r="A3161" s="5"/>
      <c r="B3161" s="6"/>
      <c r="C3161" s="4"/>
      <c r="D3161" s="4"/>
      <c r="E3161" s="12"/>
      <c r="F3161" s="12"/>
      <c r="G3161" s="16"/>
      <c r="H3161" s="14"/>
      <c r="I3161" s="14"/>
      <c r="J3161" s="14"/>
      <c r="K3161" s="14"/>
      <c r="L3161" s="14"/>
      <c r="M3161" s="14"/>
      <c r="N3161" s="14"/>
      <c r="O3161" s="4"/>
      <c r="P3161" s="14"/>
      <c r="Q3161" s="14"/>
    </row>
    <row r="3162" spans="1:17" x14ac:dyDescent="0.25">
      <c r="A3162" s="5"/>
      <c r="B3162" s="6"/>
      <c r="C3162" s="4"/>
      <c r="D3162" s="4"/>
      <c r="E3162" s="12"/>
      <c r="F3162" s="12"/>
      <c r="G3162" s="16"/>
      <c r="H3162" s="14"/>
      <c r="I3162" s="14"/>
      <c r="J3162" s="14"/>
      <c r="K3162" s="14"/>
      <c r="L3162" s="14"/>
      <c r="M3162" s="14"/>
      <c r="N3162" s="14"/>
      <c r="O3162" s="4"/>
      <c r="P3162" s="14"/>
      <c r="Q3162" s="14"/>
    </row>
    <row r="3163" spans="1:17" x14ac:dyDescent="0.25">
      <c r="A3163" s="5"/>
      <c r="B3163" s="6"/>
      <c r="C3163" s="4"/>
      <c r="D3163" s="4"/>
      <c r="E3163" s="12"/>
      <c r="F3163" s="12"/>
      <c r="G3163" s="16"/>
      <c r="H3163" s="14"/>
      <c r="I3163" s="14"/>
      <c r="J3163" s="14"/>
      <c r="K3163" s="14"/>
      <c r="L3163" s="14"/>
      <c r="M3163" s="14"/>
      <c r="N3163" s="14"/>
      <c r="O3163" s="4"/>
      <c r="P3163" s="14"/>
      <c r="Q3163" s="14"/>
    </row>
    <row r="3164" spans="1:17" x14ac:dyDescent="0.25">
      <c r="A3164" s="5"/>
      <c r="B3164" s="6"/>
      <c r="C3164" s="4"/>
      <c r="D3164" s="4"/>
      <c r="E3164" s="12"/>
      <c r="F3164" s="12"/>
      <c r="G3164" s="16"/>
      <c r="H3164" s="14"/>
      <c r="I3164" s="14"/>
      <c r="J3164" s="14"/>
      <c r="K3164" s="14"/>
      <c r="L3164" s="14"/>
      <c r="M3164" s="14"/>
      <c r="N3164" s="14"/>
      <c r="O3164" s="4"/>
      <c r="P3164" s="14"/>
      <c r="Q3164" s="14"/>
    </row>
    <row r="3165" spans="1:17" x14ac:dyDescent="0.25">
      <c r="A3165" s="5"/>
      <c r="B3165" s="6"/>
      <c r="C3165" s="4"/>
      <c r="D3165" s="4"/>
      <c r="E3165" s="12"/>
      <c r="F3165" s="12"/>
      <c r="G3165" s="16"/>
      <c r="H3165" s="14"/>
      <c r="I3165" s="14"/>
      <c r="J3165" s="14"/>
      <c r="K3165" s="14"/>
      <c r="L3165" s="14"/>
      <c r="M3165" s="14"/>
      <c r="N3165" s="14"/>
      <c r="O3165" s="4"/>
      <c r="P3165" s="14"/>
      <c r="Q3165" s="14"/>
    </row>
    <row r="3166" spans="1:17" x14ac:dyDescent="0.25">
      <c r="A3166" s="5"/>
      <c r="B3166" s="6"/>
      <c r="C3166" s="4"/>
      <c r="D3166" s="4"/>
      <c r="E3166" s="12"/>
      <c r="F3166" s="12"/>
      <c r="G3166" s="16"/>
      <c r="H3166" s="14"/>
      <c r="I3166" s="14"/>
      <c r="J3166" s="14"/>
      <c r="K3166" s="14"/>
      <c r="L3166" s="14"/>
      <c r="M3166" s="14"/>
      <c r="N3166" s="14"/>
      <c r="O3166" s="4"/>
      <c r="P3166" s="14"/>
      <c r="Q3166" s="14"/>
    </row>
    <row r="3167" spans="1:17" x14ac:dyDescent="0.25">
      <c r="A3167" s="5"/>
      <c r="B3167" s="6"/>
      <c r="C3167" s="4"/>
      <c r="D3167" s="4"/>
      <c r="E3167" s="12"/>
      <c r="F3167" s="12"/>
      <c r="G3167" s="16"/>
      <c r="H3167" s="14"/>
      <c r="I3167" s="14"/>
      <c r="J3167" s="14"/>
      <c r="K3167" s="14"/>
      <c r="L3167" s="14"/>
      <c r="M3167" s="14"/>
      <c r="N3167" s="14"/>
      <c r="O3167" s="4"/>
      <c r="P3167" s="14"/>
      <c r="Q3167" s="14"/>
    </row>
    <row r="3168" spans="1:17" x14ac:dyDescent="0.25">
      <c r="A3168" s="5"/>
      <c r="B3168" s="6"/>
      <c r="C3168" s="4"/>
      <c r="D3168" s="4"/>
      <c r="E3168" s="12"/>
      <c r="F3168" s="12"/>
      <c r="G3168" s="16"/>
      <c r="H3168" s="14"/>
      <c r="I3168" s="14"/>
      <c r="J3168" s="14"/>
      <c r="K3168" s="14"/>
      <c r="L3168" s="14"/>
      <c r="M3168" s="14"/>
      <c r="N3168" s="14"/>
      <c r="O3168" s="4"/>
      <c r="P3168" s="14"/>
      <c r="Q3168" s="14"/>
    </row>
    <row r="3169" spans="1:17" x14ac:dyDescent="0.25">
      <c r="A3169" s="5"/>
      <c r="B3169" s="6"/>
      <c r="C3169" s="4"/>
      <c r="D3169" s="4"/>
      <c r="E3169" s="12"/>
      <c r="F3169" s="12"/>
      <c r="G3169" s="16"/>
      <c r="H3169" s="14"/>
      <c r="I3169" s="14"/>
      <c r="J3169" s="14"/>
      <c r="K3169" s="14"/>
      <c r="L3169" s="14"/>
      <c r="M3169" s="14"/>
      <c r="N3169" s="14"/>
      <c r="O3169" s="4"/>
      <c r="P3169" s="14"/>
      <c r="Q3169" s="14"/>
    </row>
    <row r="3170" spans="1:17" x14ac:dyDescent="0.25">
      <c r="A3170" s="5"/>
      <c r="B3170" s="6"/>
      <c r="C3170" s="4"/>
      <c r="D3170" s="4"/>
      <c r="E3170" s="12"/>
      <c r="F3170" s="12"/>
      <c r="G3170" s="16"/>
      <c r="H3170" s="14"/>
      <c r="I3170" s="14"/>
      <c r="J3170" s="14"/>
      <c r="K3170" s="14"/>
      <c r="L3170" s="14"/>
      <c r="M3170" s="14"/>
      <c r="N3170" s="14"/>
      <c r="O3170" s="4"/>
      <c r="P3170" s="14"/>
      <c r="Q3170" s="14"/>
    </row>
    <row r="3171" spans="1:17" x14ac:dyDescent="0.25">
      <c r="A3171" s="5"/>
      <c r="B3171" s="6"/>
      <c r="C3171" s="4"/>
      <c r="D3171" s="4"/>
      <c r="E3171" s="12"/>
      <c r="F3171" s="12"/>
      <c r="G3171" s="16"/>
      <c r="H3171" s="14"/>
      <c r="I3171" s="14"/>
      <c r="J3171" s="14"/>
      <c r="K3171" s="14"/>
      <c r="L3171" s="14"/>
      <c r="M3171" s="14"/>
      <c r="N3171" s="14"/>
      <c r="O3171" s="4"/>
      <c r="P3171" s="14"/>
      <c r="Q3171" s="14"/>
    </row>
    <row r="3172" spans="1:17" x14ac:dyDescent="0.25">
      <c r="A3172" s="5"/>
      <c r="B3172" s="6"/>
      <c r="C3172" s="4"/>
      <c r="D3172" s="4"/>
      <c r="E3172" s="12"/>
      <c r="F3172" s="12"/>
      <c r="G3172" s="16"/>
      <c r="H3172" s="14"/>
      <c r="I3172" s="14"/>
      <c r="J3172" s="14"/>
      <c r="K3172" s="14"/>
      <c r="L3172" s="14"/>
      <c r="M3172" s="14"/>
      <c r="N3172" s="14"/>
      <c r="O3172" s="4"/>
      <c r="P3172" s="14"/>
      <c r="Q3172" s="14"/>
    </row>
    <row r="3173" spans="1:17" x14ac:dyDescent="0.25">
      <c r="A3173" s="5"/>
      <c r="B3173" s="6"/>
      <c r="C3173" s="4"/>
      <c r="D3173" s="4"/>
      <c r="E3173" s="12"/>
      <c r="F3173" s="12"/>
      <c r="G3173" s="16"/>
      <c r="H3173" s="14"/>
      <c r="I3173" s="14"/>
      <c r="J3173" s="14"/>
      <c r="K3173" s="14"/>
      <c r="L3173" s="14"/>
      <c r="M3173" s="14"/>
      <c r="N3173" s="14"/>
      <c r="O3173" s="4"/>
      <c r="P3173" s="14"/>
      <c r="Q3173" s="14"/>
    </row>
    <row r="3174" spans="1:17" x14ac:dyDescent="0.25">
      <c r="A3174" s="5"/>
      <c r="B3174" s="6"/>
      <c r="C3174" s="4"/>
      <c r="D3174" s="4"/>
      <c r="E3174" s="12"/>
      <c r="F3174" s="12"/>
      <c r="G3174" s="16"/>
      <c r="H3174" s="14"/>
      <c r="I3174" s="14"/>
      <c r="J3174" s="14"/>
      <c r="K3174" s="14"/>
      <c r="L3174" s="14"/>
      <c r="M3174" s="14"/>
      <c r="N3174" s="14"/>
      <c r="O3174" s="4"/>
      <c r="P3174" s="14"/>
      <c r="Q3174" s="14"/>
    </row>
    <row r="3175" spans="1:17" x14ac:dyDescent="0.25">
      <c r="A3175" s="5"/>
      <c r="B3175" s="6"/>
      <c r="C3175" s="4"/>
      <c r="D3175" s="4"/>
      <c r="E3175" s="12"/>
      <c r="F3175" s="12"/>
      <c r="G3175" s="16"/>
      <c r="H3175" s="14"/>
      <c r="I3175" s="14"/>
      <c r="J3175" s="14"/>
      <c r="K3175" s="14"/>
      <c r="L3175" s="14"/>
      <c r="M3175" s="14"/>
      <c r="N3175" s="14"/>
      <c r="O3175" s="4"/>
      <c r="P3175" s="14"/>
      <c r="Q3175" s="14"/>
    </row>
    <row r="3176" spans="1:17" x14ac:dyDescent="0.25">
      <c r="A3176" s="5"/>
      <c r="B3176" s="6"/>
      <c r="C3176" s="4"/>
      <c r="D3176" s="4"/>
      <c r="E3176" s="12"/>
      <c r="F3176" s="12"/>
      <c r="G3176" s="16"/>
      <c r="H3176" s="14"/>
      <c r="I3176" s="14"/>
      <c r="J3176" s="14"/>
      <c r="K3176" s="14"/>
      <c r="L3176" s="14"/>
      <c r="M3176" s="14"/>
      <c r="N3176" s="14"/>
      <c r="O3176" s="4"/>
      <c r="P3176" s="14"/>
      <c r="Q3176" s="14"/>
    </row>
    <row r="3177" spans="1:17" x14ac:dyDescent="0.25">
      <c r="A3177" s="5"/>
      <c r="B3177" s="6"/>
      <c r="C3177" s="4"/>
      <c r="D3177" s="4"/>
      <c r="E3177" s="12"/>
      <c r="F3177" s="12"/>
      <c r="G3177" s="16"/>
      <c r="H3177" s="14"/>
      <c r="I3177" s="14"/>
      <c r="J3177" s="14"/>
      <c r="K3177" s="14"/>
      <c r="L3177" s="14"/>
      <c r="M3177" s="14"/>
      <c r="N3177" s="14"/>
      <c r="O3177" s="4"/>
      <c r="P3177" s="14"/>
      <c r="Q3177" s="14"/>
    </row>
    <row r="3178" spans="1:17" x14ac:dyDescent="0.25">
      <c r="A3178" s="5"/>
      <c r="B3178" s="6"/>
      <c r="C3178" s="4"/>
      <c r="D3178" s="4"/>
      <c r="E3178" s="12"/>
      <c r="F3178" s="12"/>
      <c r="G3178" s="16"/>
      <c r="H3178" s="14"/>
      <c r="I3178" s="14"/>
      <c r="J3178" s="14"/>
      <c r="K3178" s="14"/>
      <c r="L3178" s="14"/>
      <c r="M3178" s="14"/>
      <c r="N3178" s="14"/>
      <c r="O3178" s="4"/>
      <c r="P3178" s="14"/>
      <c r="Q3178" s="14"/>
    </row>
    <row r="3179" spans="1:17" x14ac:dyDescent="0.25">
      <c r="A3179" s="5"/>
      <c r="B3179" s="6"/>
      <c r="C3179" s="4"/>
      <c r="D3179" s="4"/>
      <c r="E3179" s="12"/>
      <c r="F3179" s="12"/>
      <c r="G3179" s="16"/>
      <c r="H3179" s="14"/>
      <c r="I3179" s="14"/>
      <c r="J3179" s="14"/>
      <c r="K3179" s="14"/>
      <c r="L3179" s="14"/>
      <c r="M3179" s="14"/>
      <c r="N3179" s="14"/>
      <c r="O3179" s="4"/>
      <c r="P3179" s="14"/>
      <c r="Q3179" s="14"/>
    </row>
    <row r="3180" spans="1:17" x14ac:dyDescent="0.25">
      <c r="A3180" s="5"/>
      <c r="B3180" s="6"/>
      <c r="C3180" s="4"/>
      <c r="D3180" s="4"/>
      <c r="E3180" s="12"/>
      <c r="F3180" s="12"/>
      <c r="G3180" s="16"/>
      <c r="H3180" s="14"/>
      <c r="I3180" s="14"/>
      <c r="J3180" s="14"/>
      <c r="K3180" s="14"/>
      <c r="L3180" s="14"/>
      <c r="M3180" s="14"/>
      <c r="N3180" s="14"/>
      <c r="O3180" s="4"/>
      <c r="P3180" s="14"/>
      <c r="Q3180" s="14"/>
    </row>
    <row r="3181" spans="1:17" x14ac:dyDescent="0.25">
      <c r="A3181" s="5"/>
      <c r="B3181" s="6"/>
      <c r="C3181" s="4"/>
      <c r="D3181" s="4"/>
      <c r="E3181" s="12"/>
      <c r="F3181" s="12"/>
      <c r="G3181" s="16"/>
      <c r="H3181" s="14"/>
      <c r="I3181" s="14"/>
      <c r="J3181" s="14"/>
      <c r="K3181" s="14"/>
      <c r="L3181" s="14"/>
      <c r="M3181" s="14"/>
      <c r="N3181" s="14"/>
      <c r="O3181" s="4"/>
      <c r="P3181" s="14"/>
      <c r="Q3181" s="14"/>
    </row>
    <row r="3182" spans="1:17" x14ac:dyDescent="0.25">
      <c r="A3182" s="5"/>
      <c r="B3182" s="6"/>
      <c r="C3182" s="4"/>
      <c r="D3182" s="4"/>
      <c r="E3182" s="12"/>
      <c r="F3182" s="12"/>
      <c r="G3182" s="16"/>
      <c r="H3182" s="14"/>
      <c r="I3182" s="14"/>
      <c r="J3182" s="14"/>
      <c r="K3182" s="14"/>
      <c r="L3182" s="14"/>
      <c r="M3182" s="14"/>
      <c r="N3182" s="14"/>
      <c r="O3182" s="4"/>
      <c r="P3182" s="14"/>
      <c r="Q3182" s="14"/>
    </row>
    <row r="3183" spans="1:17" x14ac:dyDescent="0.25">
      <c r="A3183" s="5"/>
      <c r="B3183" s="6"/>
      <c r="C3183" s="4"/>
      <c r="D3183" s="4"/>
      <c r="E3183" s="12"/>
      <c r="F3183" s="12"/>
      <c r="G3183" s="16"/>
      <c r="H3183" s="14"/>
      <c r="I3183" s="14"/>
      <c r="J3183" s="14"/>
      <c r="K3183" s="14"/>
      <c r="L3183" s="14"/>
      <c r="M3183" s="14"/>
      <c r="N3183" s="14"/>
      <c r="O3183" s="4"/>
      <c r="P3183" s="14"/>
      <c r="Q3183" s="14"/>
    </row>
    <row r="3184" spans="1:17" x14ac:dyDescent="0.25">
      <c r="A3184" s="5"/>
      <c r="B3184" s="6"/>
      <c r="C3184" s="4"/>
      <c r="D3184" s="4"/>
      <c r="E3184" s="12"/>
      <c r="F3184" s="12"/>
      <c r="G3184" s="16"/>
      <c r="H3184" s="14"/>
      <c r="I3184" s="14"/>
      <c r="J3184" s="14"/>
      <c r="K3184" s="14"/>
      <c r="L3184" s="14"/>
      <c r="M3184" s="14"/>
      <c r="N3184" s="14"/>
      <c r="O3184" s="4"/>
      <c r="P3184" s="14"/>
      <c r="Q3184" s="14"/>
    </row>
    <row r="3185" spans="1:17" x14ac:dyDescent="0.25">
      <c r="A3185" s="5"/>
      <c r="B3185" s="6"/>
      <c r="C3185" s="4"/>
      <c r="D3185" s="4"/>
      <c r="E3185" s="12"/>
      <c r="F3185" s="12"/>
      <c r="G3185" s="16"/>
      <c r="H3185" s="14"/>
      <c r="I3185" s="14"/>
      <c r="J3185" s="14"/>
      <c r="K3185" s="14"/>
      <c r="L3185" s="14"/>
      <c r="M3185" s="14"/>
      <c r="N3185" s="14"/>
      <c r="O3185" s="4"/>
      <c r="P3185" s="14"/>
      <c r="Q3185" s="14"/>
    </row>
    <row r="3186" spans="1:17" x14ac:dyDescent="0.25">
      <c r="A3186" s="5"/>
      <c r="B3186" s="6"/>
      <c r="C3186" s="4"/>
      <c r="D3186" s="4"/>
      <c r="E3186" s="12"/>
      <c r="F3186" s="12"/>
      <c r="G3186" s="16"/>
      <c r="H3186" s="14"/>
      <c r="I3186" s="14"/>
      <c r="J3186" s="14"/>
      <c r="K3186" s="14"/>
      <c r="L3186" s="14"/>
      <c r="M3186" s="14"/>
      <c r="N3186" s="14"/>
      <c r="O3186" s="4"/>
      <c r="P3186" s="14"/>
      <c r="Q3186" s="14"/>
    </row>
    <row r="3187" spans="1:17" x14ac:dyDescent="0.25">
      <c r="A3187" s="5"/>
      <c r="B3187" s="6"/>
      <c r="C3187" s="4"/>
      <c r="D3187" s="4"/>
      <c r="E3187" s="12"/>
      <c r="F3187" s="12"/>
      <c r="G3187" s="16"/>
      <c r="H3187" s="14"/>
      <c r="I3187" s="14"/>
      <c r="J3187" s="14"/>
      <c r="K3187" s="14"/>
      <c r="L3187" s="14"/>
      <c r="M3187" s="14"/>
      <c r="N3187" s="14"/>
      <c r="O3187" s="4"/>
      <c r="P3187" s="14"/>
      <c r="Q3187" s="14"/>
    </row>
    <row r="3188" spans="1:17" x14ac:dyDescent="0.25">
      <c r="A3188" s="5"/>
      <c r="B3188" s="6"/>
      <c r="C3188" s="4"/>
      <c r="D3188" s="4"/>
      <c r="E3188" s="12"/>
      <c r="F3188" s="12"/>
      <c r="G3188" s="16"/>
      <c r="H3188" s="14"/>
      <c r="I3188" s="14"/>
      <c r="J3188" s="14"/>
      <c r="K3188" s="14"/>
      <c r="L3188" s="14"/>
      <c r="M3188" s="14"/>
      <c r="N3188" s="14"/>
      <c r="O3188" s="4"/>
      <c r="P3188" s="14"/>
      <c r="Q3188" s="14"/>
    </row>
    <row r="3189" spans="1:17" x14ac:dyDescent="0.25">
      <c r="A3189" s="5"/>
      <c r="B3189" s="6"/>
      <c r="C3189" s="4"/>
      <c r="D3189" s="4"/>
      <c r="E3189" s="12"/>
      <c r="F3189" s="12"/>
      <c r="G3189" s="16"/>
      <c r="H3189" s="14"/>
      <c r="I3189" s="14"/>
      <c r="J3189" s="14"/>
      <c r="K3189" s="14"/>
      <c r="L3189" s="14"/>
      <c r="M3189" s="14"/>
      <c r="N3189" s="14"/>
      <c r="O3189" s="4"/>
      <c r="P3189" s="14"/>
      <c r="Q3189" s="14"/>
    </row>
    <row r="3190" spans="1:17" x14ac:dyDescent="0.25">
      <c r="A3190" s="5"/>
      <c r="B3190" s="6"/>
      <c r="C3190" s="4"/>
      <c r="D3190" s="4"/>
      <c r="E3190" s="12"/>
      <c r="F3190" s="12"/>
      <c r="G3190" s="16"/>
      <c r="H3190" s="14"/>
      <c r="I3190" s="14"/>
      <c r="J3190" s="14"/>
      <c r="K3190" s="14"/>
      <c r="L3190" s="14"/>
      <c r="M3190" s="14"/>
      <c r="N3190" s="14"/>
      <c r="O3190" s="4"/>
      <c r="P3190" s="14"/>
      <c r="Q3190" s="14"/>
    </row>
    <row r="3191" spans="1:17" x14ac:dyDescent="0.25">
      <c r="A3191" s="5"/>
      <c r="B3191" s="6"/>
      <c r="C3191" s="4"/>
      <c r="D3191" s="4"/>
      <c r="E3191" s="12"/>
      <c r="F3191" s="12"/>
      <c r="G3191" s="16"/>
      <c r="H3191" s="14"/>
      <c r="I3191" s="14"/>
      <c r="J3191" s="14"/>
      <c r="K3191" s="14"/>
      <c r="L3191" s="14"/>
      <c r="M3191" s="14"/>
      <c r="N3191" s="14"/>
      <c r="O3191" s="4"/>
      <c r="P3191" s="14"/>
      <c r="Q3191" s="14"/>
    </row>
    <row r="3192" spans="1:17" x14ac:dyDescent="0.25">
      <c r="A3192" s="5"/>
      <c r="B3192" s="6"/>
      <c r="C3192" s="4"/>
      <c r="D3192" s="4"/>
      <c r="E3192" s="12"/>
      <c r="F3192" s="12"/>
      <c r="G3192" s="16"/>
      <c r="H3192" s="14"/>
      <c r="I3192" s="14"/>
      <c r="J3192" s="14"/>
      <c r="K3192" s="14"/>
      <c r="L3192" s="14"/>
      <c r="M3192" s="14"/>
      <c r="N3192" s="14"/>
      <c r="O3192" s="4"/>
      <c r="P3192" s="14"/>
      <c r="Q3192" s="14"/>
    </row>
    <row r="3193" spans="1:17" x14ac:dyDescent="0.25">
      <c r="A3193" s="5"/>
      <c r="B3193" s="6"/>
      <c r="C3193" s="4"/>
      <c r="D3193" s="4"/>
      <c r="E3193" s="12"/>
      <c r="F3193" s="12"/>
      <c r="G3193" s="16"/>
      <c r="H3193" s="14"/>
      <c r="I3193" s="14"/>
      <c r="J3193" s="14"/>
      <c r="K3193" s="14"/>
      <c r="L3193" s="14"/>
      <c r="M3193" s="14"/>
      <c r="N3193" s="14"/>
      <c r="O3193" s="4"/>
      <c r="P3193" s="14"/>
      <c r="Q3193" s="14"/>
    </row>
    <row r="3194" spans="1:17" x14ac:dyDescent="0.25">
      <c r="A3194" s="5"/>
      <c r="B3194" s="6"/>
      <c r="C3194" s="4"/>
      <c r="D3194" s="4"/>
      <c r="E3194" s="12"/>
      <c r="F3194" s="12"/>
      <c r="G3194" s="16"/>
      <c r="H3194" s="14"/>
      <c r="I3194" s="14"/>
      <c r="J3194" s="14"/>
      <c r="K3194" s="14"/>
      <c r="L3194" s="14"/>
      <c r="M3194" s="14"/>
      <c r="N3194" s="14"/>
      <c r="O3194" s="4"/>
      <c r="P3194" s="14"/>
      <c r="Q3194" s="14"/>
    </row>
    <row r="3195" spans="1:17" x14ac:dyDescent="0.25">
      <c r="A3195" s="5"/>
      <c r="B3195" s="6"/>
      <c r="C3195" s="4"/>
      <c r="D3195" s="4"/>
      <c r="E3195" s="12"/>
      <c r="F3195" s="12"/>
      <c r="G3195" s="16"/>
      <c r="H3195" s="14"/>
      <c r="I3195" s="14"/>
      <c r="J3195" s="14"/>
      <c r="K3195" s="14"/>
      <c r="L3195" s="14"/>
      <c r="M3195" s="14"/>
      <c r="N3195" s="14"/>
      <c r="O3195" s="4"/>
      <c r="P3195" s="14"/>
      <c r="Q3195" s="14"/>
    </row>
    <row r="3196" spans="1:17" x14ac:dyDescent="0.25">
      <c r="A3196" s="5"/>
      <c r="B3196" s="6"/>
      <c r="C3196" s="4"/>
      <c r="D3196" s="4"/>
      <c r="E3196" s="12"/>
      <c r="F3196" s="12"/>
      <c r="G3196" s="16"/>
      <c r="H3196" s="14"/>
      <c r="I3196" s="14"/>
      <c r="J3196" s="14"/>
      <c r="K3196" s="14"/>
      <c r="L3196" s="14"/>
      <c r="M3196" s="14"/>
      <c r="N3196" s="14"/>
      <c r="O3196" s="4"/>
      <c r="P3196" s="14"/>
      <c r="Q3196" s="14"/>
    </row>
    <row r="3197" spans="1:17" x14ac:dyDescent="0.25">
      <c r="A3197" s="5"/>
      <c r="B3197" s="6"/>
      <c r="C3197" s="4"/>
      <c r="D3197" s="4"/>
      <c r="E3197" s="12"/>
      <c r="F3197" s="12"/>
      <c r="G3197" s="16"/>
      <c r="H3197" s="14"/>
      <c r="I3197" s="14"/>
      <c r="J3197" s="14"/>
      <c r="K3197" s="14"/>
      <c r="L3197" s="14"/>
      <c r="M3197" s="14"/>
      <c r="N3197" s="14"/>
      <c r="O3197" s="4"/>
      <c r="P3197" s="14"/>
      <c r="Q3197" s="14"/>
    </row>
    <row r="3198" spans="1:17" x14ac:dyDescent="0.25">
      <c r="A3198" s="5"/>
      <c r="B3198" s="6"/>
      <c r="C3198" s="4"/>
      <c r="D3198" s="4"/>
      <c r="E3198" s="12"/>
      <c r="F3198" s="12"/>
      <c r="G3198" s="16"/>
      <c r="H3198" s="14"/>
      <c r="I3198" s="14"/>
      <c r="J3198" s="14"/>
      <c r="K3198" s="14"/>
      <c r="L3198" s="14"/>
      <c r="M3198" s="14"/>
      <c r="N3198" s="14"/>
      <c r="O3198" s="4"/>
      <c r="P3198" s="14"/>
      <c r="Q3198" s="14"/>
    </row>
    <row r="3199" spans="1:17" x14ac:dyDescent="0.25">
      <c r="A3199" s="5"/>
      <c r="B3199" s="6"/>
      <c r="C3199" s="4"/>
      <c r="D3199" s="4"/>
      <c r="E3199" s="12"/>
      <c r="F3199" s="12"/>
      <c r="G3199" s="16"/>
      <c r="H3199" s="14"/>
      <c r="I3199" s="14"/>
      <c r="J3199" s="14"/>
      <c r="K3199" s="14"/>
      <c r="L3199" s="14"/>
      <c r="M3199" s="14"/>
      <c r="N3199" s="14"/>
      <c r="O3199" s="4"/>
      <c r="P3199" s="14"/>
      <c r="Q3199" s="14"/>
    </row>
    <row r="3200" spans="1:17" x14ac:dyDescent="0.25">
      <c r="A3200" s="5"/>
      <c r="B3200" s="6"/>
      <c r="C3200" s="4"/>
      <c r="D3200" s="4"/>
      <c r="E3200" s="12"/>
      <c r="F3200" s="12"/>
      <c r="G3200" s="16"/>
      <c r="H3200" s="14"/>
      <c r="I3200" s="14"/>
      <c r="J3200" s="14"/>
      <c r="K3200" s="14"/>
      <c r="L3200" s="14"/>
      <c r="M3200" s="14"/>
      <c r="N3200" s="14"/>
      <c r="O3200" s="4"/>
      <c r="P3200" s="14"/>
      <c r="Q3200" s="14"/>
    </row>
    <row r="3201" spans="1:17" x14ac:dyDescent="0.25">
      <c r="A3201" s="5"/>
      <c r="B3201" s="6"/>
      <c r="C3201" s="4"/>
      <c r="D3201" s="4"/>
      <c r="E3201" s="12"/>
      <c r="F3201" s="12"/>
      <c r="G3201" s="16"/>
      <c r="H3201" s="14"/>
      <c r="I3201" s="14"/>
      <c r="J3201" s="14"/>
      <c r="K3201" s="14"/>
      <c r="L3201" s="14"/>
      <c r="M3201" s="14"/>
      <c r="N3201" s="14"/>
      <c r="O3201" s="4"/>
      <c r="P3201" s="14"/>
      <c r="Q3201" s="14"/>
    </row>
    <row r="3202" spans="1:17" x14ac:dyDescent="0.25">
      <c r="A3202" s="5"/>
      <c r="B3202" s="6"/>
      <c r="C3202" s="4"/>
      <c r="D3202" s="4"/>
      <c r="E3202" s="12"/>
      <c r="F3202" s="12"/>
      <c r="G3202" s="16"/>
      <c r="H3202" s="14"/>
      <c r="I3202" s="14"/>
      <c r="J3202" s="14"/>
      <c r="K3202" s="14"/>
      <c r="L3202" s="14"/>
      <c r="M3202" s="14"/>
      <c r="N3202" s="14"/>
      <c r="O3202" s="4"/>
      <c r="P3202" s="14"/>
      <c r="Q3202" s="14"/>
    </row>
    <row r="3203" spans="1:17" x14ac:dyDescent="0.25">
      <c r="A3203" s="5"/>
      <c r="B3203" s="6"/>
      <c r="C3203" s="4"/>
      <c r="D3203" s="4"/>
      <c r="E3203" s="12"/>
      <c r="F3203" s="12"/>
      <c r="G3203" s="16"/>
      <c r="H3203" s="14"/>
      <c r="I3203" s="14"/>
      <c r="J3203" s="14"/>
      <c r="K3203" s="14"/>
      <c r="L3203" s="14"/>
      <c r="M3203" s="14"/>
      <c r="N3203" s="14"/>
      <c r="O3203" s="4"/>
      <c r="P3203" s="14"/>
      <c r="Q3203" s="14"/>
    </row>
    <row r="3204" spans="1:17" x14ac:dyDescent="0.25">
      <c r="A3204" s="5"/>
      <c r="B3204" s="6"/>
      <c r="C3204" s="4"/>
      <c r="D3204" s="4"/>
      <c r="E3204" s="12"/>
      <c r="F3204" s="12"/>
      <c r="G3204" s="16"/>
      <c r="H3204" s="14"/>
      <c r="I3204" s="14"/>
      <c r="J3204" s="14"/>
      <c r="K3204" s="14"/>
      <c r="L3204" s="14"/>
      <c r="M3204" s="14"/>
      <c r="N3204" s="14"/>
      <c r="O3204" s="4"/>
      <c r="P3204" s="14"/>
      <c r="Q3204" s="14"/>
    </row>
    <row r="3205" spans="1:17" x14ac:dyDescent="0.25">
      <c r="A3205" s="5"/>
      <c r="B3205" s="6"/>
      <c r="C3205" s="4"/>
      <c r="D3205" s="4"/>
      <c r="E3205" s="12"/>
      <c r="F3205" s="12"/>
      <c r="G3205" s="16"/>
      <c r="H3205" s="14"/>
      <c r="I3205" s="14"/>
      <c r="J3205" s="14"/>
      <c r="K3205" s="14"/>
      <c r="L3205" s="14"/>
      <c r="M3205" s="14"/>
      <c r="N3205" s="14"/>
      <c r="O3205" s="4"/>
      <c r="P3205" s="14"/>
      <c r="Q3205" s="14"/>
    </row>
    <row r="3206" spans="1:17" x14ac:dyDescent="0.25">
      <c r="A3206" s="5"/>
      <c r="B3206" s="6"/>
      <c r="C3206" s="4"/>
      <c r="D3206" s="4"/>
      <c r="E3206" s="12"/>
      <c r="F3206" s="12"/>
      <c r="G3206" s="16"/>
      <c r="H3206" s="14"/>
      <c r="I3206" s="14"/>
      <c r="J3206" s="14"/>
      <c r="K3206" s="14"/>
      <c r="L3206" s="14"/>
      <c r="M3206" s="14"/>
      <c r="N3206" s="14"/>
      <c r="O3206" s="4"/>
      <c r="P3206" s="14"/>
      <c r="Q3206" s="14"/>
    </row>
    <row r="3207" spans="1:17" x14ac:dyDescent="0.25">
      <c r="A3207" s="5"/>
      <c r="B3207" s="6"/>
      <c r="C3207" s="4"/>
      <c r="D3207" s="4"/>
      <c r="E3207" s="12"/>
      <c r="F3207" s="12"/>
      <c r="G3207" s="16"/>
      <c r="H3207" s="14"/>
      <c r="I3207" s="14"/>
      <c r="J3207" s="14"/>
      <c r="K3207" s="14"/>
      <c r="L3207" s="14"/>
      <c r="M3207" s="14"/>
      <c r="N3207" s="14"/>
      <c r="O3207" s="4"/>
      <c r="P3207" s="14"/>
      <c r="Q3207" s="14"/>
    </row>
    <row r="3208" spans="1:17" x14ac:dyDescent="0.25">
      <c r="A3208" s="5"/>
      <c r="B3208" s="6"/>
      <c r="C3208" s="4"/>
      <c r="D3208" s="4"/>
      <c r="E3208" s="12"/>
      <c r="F3208" s="12"/>
      <c r="G3208" s="16"/>
      <c r="H3208" s="14"/>
      <c r="I3208" s="14"/>
      <c r="J3208" s="14"/>
      <c r="K3208" s="14"/>
      <c r="L3208" s="14"/>
      <c r="M3208" s="14"/>
      <c r="N3208" s="14"/>
      <c r="O3208" s="4"/>
      <c r="P3208" s="14"/>
      <c r="Q3208" s="14"/>
    </row>
    <row r="3209" spans="1:17" x14ac:dyDescent="0.25">
      <c r="A3209" s="5"/>
      <c r="B3209" s="6"/>
      <c r="C3209" s="4"/>
      <c r="D3209" s="4"/>
      <c r="E3209" s="12"/>
      <c r="F3209" s="12"/>
      <c r="G3209" s="16"/>
      <c r="H3209" s="14"/>
      <c r="I3209" s="14"/>
      <c r="J3209" s="14"/>
      <c r="K3209" s="14"/>
      <c r="L3209" s="14"/>
      <c r="M3209" s="14"/>
      <c r="N3209" s="14"/>
      <c r="O3209" s="4"/>
      <c r="P3209" s="14"/>
      <c r="Q3209" s="14"/>
    </row>
    <row r="3210" spans="1:17" x14ac:dyDescent="0.25">
      <c r="A3210" s="5"/>
      <c r="B3210" s="6"/>
      <c r="C3210" s="4"/>
      <c r="D3210" s="4"/>
      <c r="E3210" s="12"/>
      <c r="F3210" s="12"/>
      <c r="G3210" s="16"/>
      <c r="H3210" s="14"/>
      <c r="I3210" s="14"/>
      <c r="J3210" s="14"/>
      <c r="K3210" s="14"/>
      <c r="L3210" s="14"/>
      <c r="M3210" s="14"/>
      <c r="N3210" s="14"/>
      <c r="O3210" s="4"/>
      <c r="P3210" s="14"/>
      <c r="Q3210" s="14"/>
    </row>
    <row r="3211" spans="1:17" x14ac:dyDescent="0.25">
      <c r="A3211" s="5"/>
      <c r="B3211" s="6"/>
      <c r="C3211" s="4"/>
      <c r="D3211" s="4"/>
      <c r="E3211" s="12"/>
      <c r="F3211" s="12"/>
      <c r="G3211" s="16"/>
      <c r="H3211" s="14"/>
      <c r="I3211" s="14"/>
      <c r="J3211" s="14"/>
      <c r="K3211" s="14"/>
      <c r="L3211" s="14"/>
      <c r="M3211" s="14"/>
      <c r="N3211" s="14"/>
      <c r="O3211" s="4"/>
      <c r="P3211" s="14"/>
      <c r="Q3211" s="14"/>
    </row>
    <row r="3212" spans="1:17" x14ac:dyDescent="0.25">
      <c r="A3212" s="5"/>
      <c r="B3212" s="6"/>
      <c r="C3212" s="4"/>
      <c r="D3212" s="4"/>
      <c r="E3212" s="12"/>
      <c r="F3212" s="12"/>
      <c r="G3212" s="16"/>
      <c r="H3212" s="14"/>
      <c r="I3212" s="14"/>
      <c r="J3212" s="14"/>
      <c r="K3212" s="14"/>
      <c r="L3212" s="14"/>
      <c r="M3212" s="14"/>
      <c r="N3212" s="14"/>
      <c r="O3212" s="4"/>
      <c r="P3212" s="14"/>
      <c r="Q3212" s="14"/>
    </row>
    <row r="3213" spans="1:17" x14ac:dyDescent="0.25">
      <c r="A3213" s="5"/>
      <c r="B3213" s="6"/>
      <c r="C3213" s="4"/>
      <c r="D3213" s="4"/>
      <c r="E3213" s="12"/>
      <c r="F3213" s="12"/>
      <c r="G3213" s="16"/>
      <c r="H3213" s="14"/>
      <c r="I3213" s="14"/>
      <c r="J3213" s="14"/>
      <c r="K3213" s="14"/>
      <c r="L3213" s="14"/>
      <c r="M3213" s="14"/>
      <c r="N3213" s="14"/>
      <c r="O3213" s="4"/>
      <c r="P3213" s="14"/>
      <c r="Q3213" s="14"/>
    </row>
    <row r="3214" spans="1:17" x14ac:dyDescent="0.25">
      <c r="A3214" s="5"/>
      <c r="B3214" s="6"/>
      <c r="C3214" s="4"/>
      <c r="D3214" s="4"/>
      <c r="E3214" s="12"/>
      <c r="F3214" s="12"/>
      <c r="G3214" s="16"/>
      <c r="H3214" s="14"/>
      <c r="I3214" s="14"/>
      <c r="J3214" s="14"/>
      <c r="K3214" s="14"/>
      <c r="L3214" s="14"/>
      <c r="M3214" s="14"/>
      <c r="N3214" s="14"/>
      <c r="O3214" s="4"/>
      <c r="P3214" s="14"/>
      <c r="Q3214" s="14"/>
    </row>
    <row r="3215" spans="1:17" x14ac:dyDescent="0.25">
      <c r="A3215" s="5"/>
      <c r="B3215" s="6"/>
      <c r="C3215" s="4"/>
      <c r="D3215" s="4"/>
      <c r="E3215" s="12"/>
      <c r="F3215" s="12"/>
      <c r="G3215" s="16"/>
      <c r="H3215" s="14"/>
      <c r="I3215" s="14"/>
      <c r="J3215" s="14"/>
      <c r="K3215" s="14"/>
      <c r="L3215" s="14"/>
      <c r="M3215" s="14"/>
      <c r="N3215" s="14"/>
      <c r="O3215" s="4"/>
      <c r="P3215" s="14"/>
      <c r="Q3215" s="14"/>
    </row>
    <row r="3216" spans="1:17" x14ac:dyDescent="0.25">
      <c r="A3216" s="5"/>
      <c r="B3216" s="6"/>
      <c r="C3216" s="4"/>
      <c r="D3216" s="4"/>
      <c r="E3216" s="12"/>
      <c r="F3216" s="12"/>
      <c r="G3216" s="16"/>
      <c r="H3216" s="14"/>
      <c r="I3216" s="14"/>
      <c r="J3216" s="14"/>
      <c r="K3216" s="14"/>
      <c r="L3216" s="14"/>
      <c r="M3216" s="14"/>
      <c r="N3216" s="14"/>
      <c r="O3216" s="4"/>
      <c r="P3216" s="14"/>
      <c r="Q3216" s="14"/>
    </row>
    <row r="3217" spans="1:17" x14ac:dyDescent="0.25">
      <c r="A3217" s="5"/>
      <c r="B3217" s="6"/>
      <c r="C3217" s="4"/>
      <c r="D3217" s="4"/>
      <c r="E3217" s="12"/>
      <c r="F3217" s="12"/>
      <c r="G3217" s="16"/>
      <c r="H3217" s="14"/>
      <c r="I3217" s="14"/>
      <c r="J3217" s="14"/>
      <c r="K3217" s="14"/>
      <c r="L3217" s="14"/>
      <c r="M3217" s="14"/>
      <c r="N3217" s="14"/>
      <c r="O3217" s="4"/>
      <c r="P3217" s="14"/>
      <c r="Q3217" s="14"/>
    </row>
    <row r="3218" spans="1:17" x14ac:dyDescent="0.25">
      <c r="A3218" s="5"/>
      <c r="B3218" s="6"/>
      <c r="C3218" s="4"/>
      <c r="D3218" s="4"/>
      <c r="E3218" s="12"/>
      <c r="F3218" s="12"/>
      <c r="G3218" s="16"/>
      <c r="H3218" s="14"/>
      <c r="I3218" s="14"/>
      <c r="J3218" s="14"/>
      <c r="K3218" s="14"/>
      <c r="L3218" s="14"/>
      <c r="M3218" s="14"/>
      <c r="N3218" s="14"/>
      <c r="O3218" s="4"/>
      <c r="P3218" s="14"/>
      <c r="Q3218" s="14"/>
    </row>
    <row r="3219" spans="1:17" x14ac:dyDescent="0.25">
      <c r="A3219" s="5"/>
      <c r="B3219" s="6"/>
      <c r="C3219" s="4"/>
      <c r="D3219" s="4"/>
      <c r="E3219" s="12"/>
      <c r="F3219" s="12"/>
      <c r="G3219" s="16"/>
      <c r="H3219" s="14"/>
      <c r="I3219" s="14"/>
      <c r="J3219" s="14"/>
      <c r="K3219" s="14"/>
      <c r="L3219" s="14"/>
      <c r="M3219" s="14"/>
      <c r="N3219" s="14"/>
      <c r="O3219" s="4"/>
      <c r="P3219" s="14"/>
      <c r="Q3219" s="14"/>
    </row>
    <row r="3220" spans="1:17" x14ac:dyDescent="0.25">
      <c r="A3220" s="5"/>
      <c r="B3220" s="6"/>
      <c r="C3220" s="4"/>
      <c r="D3220" s="4"/>
      <c r="E3220" s="12"/>
      <c r="F3220" s="12"/>
      <c r="G3220" s="16"/>
      <c r="H3220" s="14"/>
      <c r="I3220" s="14"/>
      <c r="J3220" s="14"/>
      <c r="K3220" s="14"/>
      <c r="L3220" s="14"/>
      <c r="M3220" s="14"/>
      <c r="N3220" s="14"/>
      <c r="O3220" s="4"/>
      <c r="P3220" s="14"/>
      <c r="Q3220" s="14"/>
    </row>
    <row r="3221" spans="1:17" x14ac:dyDescent="0.25">
      <c r="A3221" s="5"/>
      <c r="B3221" s="6"/>
      <c r="C3221" s="4"/>
      <c r="D3221" s="4"/>
      <c r="E3221" s="12"/>
      <c r="F3221" s="12"/>
      <c r="G3221" s="16"/>
      <c r="H3221" s="14"/>
      <c r="I3221" s="14"/>
      <c r="J3221" s="14"/>
      <c r="K3221" s="14"/>
      <c r="L3221" s="14"/>
      <c r="M3221" s="14"/>
      <c r="N3221" s="14"/>
      <c r="O3221" s="4"/>
      <c r="P3221" s="14"/>
      <c r="Q3221" s="14"/>
    </row>
    <row r="3222" spans="1:17" x14ac:dyDescent="0.25">
      <c r="A3222" s="5"/>
      <c r="B3222" s="6"/>
      <c r="C3222" s="4"/>
      <c r="D3222" s="4"/>
      <c r="E3222" s="12"/>
      <c r="F3222" s="12"/>
      <c r="G3222" s="16"/>
      <c r="H3222" s="14"/>
      <c r="I3222" s="14"/>
      <c r="J3222" s="14"/>
      <c r="K3222" s="14"/>
      <c r="L3222" s="14"/>
      <c r="M3222" s="14"/>
      <c r="N3222" s="14"/>
      <c r="O3222" s="4"/>
      <c r="P3222" s="14"/>
      <c r="Q3222" s="14"/>
    </row>
    <row r="3223" spans="1:17" x14ac:dyDescent="0.25">
      <c r="A3223" s="5"/>
      <c r="B3223" s="6"/>
      <c r="C3223" s="4"/>
      <c r="D3223" s="4"/>
      <c r="E3223" s="12"/>
      <c r="F3223" s="12"/>
      <c r="G3223" s="16"/>
      <c r="H3223" s="14"/>
      <c r="I3223" s="14"/>
      <c r="J3223" s="14"/>
      <c r="K3223" s="14"/>
      <c r="L3223" s="14"/>
      <c r="M3223" s="14"/>
      <c r="N3223" s="14"/>
      <c r="O3223" s="4"/>
      <c r="P3223" s="14"/>
      <c r="Q3223" s="14"/>
    </row>
    <row r="3224" spans="1:17" x14ac:dyDescent="0.25">
      <c r="A3224" s="5"/>
      <c r="B3224" s="6"/>
      <c r="C3224" s="4"/>
      <c r="D3224" s="4"/>
      <c r="E3224" s="12"/>
      <c r="F3224" s="12"/>
      <c r="G3224" s="16"/>
      <c r="H3224" s="14"/>
      <c r="I3224" s="14"/>
      <c r="J3224" s="14"/>
      <c r="K3224" s="14"/>
      <c r="L3224" s="14"/>
      <c r="M3224" s="14"/>
      <c r="N3224" s="14"/>
      <c r="O3224" s="4"/>
      <c r="P3224" s="14"/>
      <c r="Q3224" s="14"/>
    </row>
    <row r="3225" spans="1:17" x14ac:dyDescent="0.25">
      <c r="A3225" s="5"/>
      <c r="B3225" s="6"/>
      <c r="C3225" s="4"/>
      <c r="D3225" s="4"/>
      <c r="E3225" s="12"/>
      <c r="F3225" s="12"/>
      <c r="G3225" s="16"/>
      <c r="H3225" s="14"/>
      <c r="I3225" s="14"/>
      <c r="J3225" s="14"/>
      <c r="K3225" s="14"/>
      <c r="L3225" s="14"/>
      <c r="M3225" s="14"/>
      <c r="N3225" s="14"/>
      <c r="O3225" s="4"/>
      <c r="P3225" s="14"/>
      <c r="Q3225" s="14"/>
    </row>
    <row r="3226" spans="1:17" x14ac:dyDescent="0.25">
      <c r="A3226" s="5"/>
      <c r="B3226" s="6"/>
      <c r="C3226" s="4"/>
      <c r="D3226" s="4"/>
      <c r="E3226" s="12"/>
      <c r="F3226" s="12"/>
      <c r="G3226" s="16"/>
      <c r="H3226" s="14"/>
      <c r="I3226" s="14"/>
      <c r="J3226" s="14"/>
      <c r="K3226" s="14"/>
      <c r="L3226" s="14"/>
      <c r="M3226" s="14"/>
      <c r="N3226" s="14"/>
      <c r="O3226" s="4"/>
      <c r="P3226" s="14"/>
      <c r="Q3226" s="14"/>
    </row>
    <row r="3227" spans="1:17" x14ac:dyDescent="0.25">
      <c r="A3227" s="5"/>
      <c r="B3227" s="6"/>
      <c r="C3227" s="4"/>
      <c r="D3227" s="4"/>
      <c r="E3227" s="12"/>
      <c r="F3227" s="12"/>
      <c r="G3227" s="16"/>
      <c r="H3227" s="14"/>
      <c r="I3227" s="14"/>
      <c r="J3227" s="14"/>
      <c r="K3227" s="14"/>
      <c r="L3227" s="14"/>
      <c r="M3227" s="14"/>
      <c r="N3227" s="14"/>
      <c r="O3227" s="4"/>
      <c r="P3227" s="14"/>
      <c r="Q3227" s="14"/>
    </row>
    <row r="3228" spans="1:17" x14ac:dyDescent="0.25">
      <c r="A3228" s="5"/>
      <c r="B3228" s="6"/>
      <c r="C3228" s="4"/>
      <c r="D3228" s="4"/>
      <c r="E3228" s="12"/>
      <c r="F3228" s="12"/>
      <c r="G3228" s="16"/>
      <c r="H3228" s="14"/>
      <c r="I3228" s="14"/>
      <c r="J3228" s="14"/>
      <c r="K3228" s="14"/>
      <c r="L3228" s="14"/>
      <c r="M3228" s="14"/>
      <c r="N3228" s="14"/>
      <c r="O3228" s="4"/>
      <c r="P3228" s="14"/>
      <c r="Q3228" s="14"/>
    </row>
    <row r="3229" spans="1:17" x14ac:dyDescent="0.25">
      <c r="A3229" s="5"/>
      <c r="B3229" s="6"/>
      <c r="C3229" s="4"/>
      <c r="D3229" s="4"/>
      <c r="E3229" s="12"/>
      <c r="F3229" s="12"/>
      <c r="G3229" s="16"/>
      <c r="H3229" s="14"/>
      <c r="I3229" s="14"/>
      <c r="J3229" s="14"/>
      <c r="K3229" s="14"/>
      <c r="L3229" s="14"/>
      <c r="M3229" s="14"/>
      <c r="N3229" s="14"/>
      <c r="O3229" s="4"/>
      <c r="P3229" s="14"/>
      <c r="Q3229" s="14"/>
    </row>
    <row r="3230" spans="1:17" x14ac:dyDescent="0.25">
      <c r="A3230" s="5"/>
      <c r="B3230" s="6"/>
      <c r="C3230" s="4"/>
      <c r="D3230" s="4"/>
      <c r="E3230" s="12"/>
      <c r="F3230" s="12"/>
      <c r="G3230" s="16"/>
      <c r="H3230" s="14"/>
      <c r="I3230" s="14"/>
      <c r="J3230" s="14"/>
      <c r="K3230" s="14"/>
      <c r="L3230" s="14"/>
      <c r="M3230" s="14"/>
      <c r="N3230" s="14"/>
      <c r="O3230" s="4"/>
      <c r="P3230" s="14"/>
      <c r="Q3230" s="14"/>
    </row>
    <row r="3231" spans="1:17" x14ac:dyDescent="0.25">
      <c r="A3231" s="5"/>
      <c r="B3231" s="6"/>
      <c r="C3231" s="4"/>
      <c r="D3231" s="4"/>
      <c r="E3231" s="12"/>
      <c r="F3231" s="12"/>
      <c r="G3231" s="16"/>
      <c r="H3231" s="14"/>
      <c r="I3231" s="14"/>
      <c r="J3231" s="14"/>
      <c r="K3231" s="14"/>
      <c r="L3231" s="14"/>
      <c r="M3231" s="14"/>
      <c r="N3231" s="14"/>
      <c r="O3231" s="4"/>
      <c r="P3231" s="14"/>
      <c r="Q3231" s="14"/>
    </row>
    <row r="3232" spans="1:17" x14ac:dyDescent="0.25">
      <c r="A3232" s="5"/>
      <c r="B3232" s="6"/>
      <c r="C3232" s="4"/>
      <c r="D3232" s="4"/>
      <c r="E3232" s="12"/>
      <c r="F3232" s="12"/>
      <c r="G3232" s="16"/>
      <c r="H3232" s="14"/>
      <c r="I3232" s="14"/>
      <c r="J3232" s="14"/>
      <c r="K3232" s="14"/>
      <c r="L3232" s="14"/>
      <c r="M3232" s="14"/>
      <c r="N3232" s="14"/>
      <c r="O3232" s="4"/>
      <c r="P3232" s="14"/>
      <c r="Q3232" s="14"/>
    </row>
    <row r="3233" spans="1:17" x14ac:dyDescent="0.25">
      <c r="A3233" s="5"/>
      <c r="B3233" s="6"/>
      <c r="C3233" s="4"/>
      <c r="D3233" s="4"/>
      <c r="E3233" s="12"/>
      <c r="F3233" s="12"/>
      <c r="G3233" s="16"/>
      <c r="H3233" s="14"/>
      <c r="I3233" s="14"/>
      <c r="J3233" s="14"/>
      <c r="K3233" s="14"/>
      <c r="L3233" s="14"/>
      <c r="M3233" s="14"/>
      <c r="N3233" s="14"/>
      <c r="O3233" s="4"/>
      <c r="P3233" s="14"/>
      <c r="Q3233" s="14"/>
    </row>
    <row r="3234" spans="1:17" x14ac:dyDescent="0.25">
      <c r="A3234" s="5"/>
      <c r="B3234" s="6"/>
      <c r="C3234" s="4"/>
      <c r="D3234" s="4"/>
      <c r="E3234" s="12"/>
      <c r="F3234" s="12"/>
      <c r="G3234" s="16"/>
      <c r="H3234" s="14"/>
      <c r="I3234" s="14"/>
      <c r="J3234" s="14"/>
      <c r="K3234" s="14"/>
      <c r="L3234" s="14"/>
      <c r="M3234" s="14"/>
      <c r="N3234" s="14"/>
      <c r="O3234" s="4"/>
      <c r="P3234" s="14"/>
      <c r="Q3234" s="14"/>
    </row>
    <row r="3235" spans="1:17" x14ac:dyDescent="0.25">
      <c r="A3235" s="5"/>
      <c r="B3235" s="6"/>
      <c r="C3235" s="4"/>
      <c r="D3235" s="4"/>
      <c r="E3235" s="12"/>
      <c r="F3235" s="12"/>
      <c r="G3235" s="16"/>
      <c r="H3235" s="14"/>
      <c r="I3235" s="14"/>
      <c r="J3235" s="14"/>
      <c r="K3235" s="14"/>
      <c r="L3235" s="14"/>
      <c r="M3235" s="14"/>
      <c r="N3235" s="14"/>
      <c r="O3235" s="4"/>
      <c r="P3235" s="14"/>
      <c r="Q3235" s="14"/>
    </row>
    <row r="3236" spans="1:17" x14ac:dyDescent="0.25">
      <c r="A3236" s="5"/>
      <c r="B3236" s="6"/>
      <c r="C3236" s="4"/>
      <c r="D3236" s="4"/>
      <c r="E3236" s="12"/>
      <c r="F3236" s="12"/>
      <c r="G3236" s="16"/>
      <c r="H3236" s="14"/>
      <c r="I3236" s="14"/>
      <c r="J3236" s="14"/>
      <c r="K3236" s="14"/>
      <c r="L3236" s="14"/>
      <c r="M3236" s="14"/>
      <c r="N3236" s="14"/>
      <c r="O3236" s="4"/>
      <c r="P3236" s="14"/>
      <c r="Q3236" s="14"/>
    </row>
    <row r="3237" spans="1:17" x14ac:dyDescent="0.25">
      <c r="A3237" s="5"/>
      <c r="B3237" s="6"/>
      <c r="C3237" s="4"/>
      <c r="D3237" s="4"/>
      <c r="E3237" s="12"/>
      <c r="F3237" s="12"/>
      <c r="G3237" s="16"/>
      <c r="H3237" s="14"/>
      <c r="I3237" s="14"/>
      <c r="J3237" s="14"/>
      <c r="K3237" s="14"/>
      <c r="L3237" s="14"/>
      <c r="M3237" s="14"/>
      <c r="N3237" s="14"/>
      <c r="O3237" s="4"/>
      <c r="P3237" s="14"/>
      <c r="Q3237" s="14"/>
    </row>
    <row r="3238" spans="1:17" x14ac:dyDescent="0.25">
      <c r="A3238" s="5"/>
      <c r="B3238" s="6"/>
      <c r="C3238" s="4"/>
      <c r="D3238" s="4"/>
      <c r="E3238" s="12"/>
      <c r="F3238" s="12"/>
      <c r="G3238" s="16"/>
      <c r="H3238" s="14"/>
      <c r="I3238" s="14"/>
      <c r="J3238" s="14"/>
      <c r="K3238" s="14"/>
      <c r="L3238" s="14"/>
      <c r="M3238" s="14"/>
      <c r="N3238" s="14"/>
      <c r="O3238" s="4"/>
      <c r="P3238" s="14"/>
      <c r="Q3238" s="14"/>
    </row>
    <row r="3239" spans="1:17" x14ac:dyDescent="0.25">
      <c r="A3239" s="5"/>
      <c r="B3239" s="6"/>
      <c r="C3239" s="4"/>
      <c r="D3239" s="4"/>
      <c r="E3239" s="12"/>
      <c r="F3239" s="12"/>
      <c r="G3239" s="16"/>
      <c r="H3239" s="14"/>
      <c r="I3239" s="14"/>
      <c r="J3239" s="14"/>
      <c r="K3239" s="14"/>
      <c r="L3239" s="14"/>
      <c r="M3239" s="14"/>
      <c r="N3239" s="14"/>
      <c r="O3239" s="4"/>
      <c r="P3239" s="14"/>
      <c r="Q3239" s="14"/>
    </row>
    <row r="3240" spans="1:17" x14ac:dyDescent="0.25">
      <c r="A3240" s="5"/>
      <c r="B3240" s="6"/>
      <c r="C3240" s="4"/>
      <c r="D3240" s="4"/>
      <c r="E3240" s="12"/>
      <c r="F3240" s="12"/>
      <c r="G3240" s="16"/>
      <c r="H3240" s="14"/>
      <c r="I3240" s="14"/>
      <c r="J3240" s="14"/>
      <c r="K3240" s="14"/>
      <c r="L3240" s="14"/>
      <c r="M3240" s="14"/>
      <c r="N3240" s="14"/>
      <c r="O3240" s="4"/>
      <c r="P3240" s="14"/>
      <c r="Q3240" s="14"/>
    </row>
    <row r="3241" spans="1:17" x14ac:dyDescent="0.25">
      <c r="A3241" s="5"/>
      <c r="B3241" s="6"/>
      <c r="C3241" s="4"/>
      <c r="D3241" s="4"/>
      <c r="E3241" s="12"/>
      <c r="F3241" s="12"/>
      <c r="G3241" s="16"/>
      <c r="H3241" s="14"/>
      <c r="I3241" s="14"/>
      <c r="J3241" s="14"/>
      <c r="K3241" s="14"/>
      <c r="L3241" s="14"/>
      <c r="M3241" s="14"/>
      <c r="N3241" s="14"/>
      <c r="O3241" s="4"/>
      <c r="P3241" s="14"/>
      <c r="Q3241" s="14"/>
    </row>
    <row r="3242" spans="1:17" x14ac:dyDescent="0.25">
      <c r="A3242" s="5"/>
      <c r="B3242" s="6"/>
      <c r="C3242" s="4"/>
      <c r="D3242" s="4"/>
      <c r="E3242" s="12"/>
      <c r="F3242" s="12"/>
      <c r="G3242" s="16"/>
      <c r="H3242" s="14"/>
      <c r="I3242" s="14"/>
      <c r="J3242" s="14"/>
      <c r="K3242" s="14"/>
      <c r="L3242" s="14"/>
      <c r="M3242" s="14"/>
      <c r="N3242" s="14"/>
      <c r="O3242" s="4"/>
      <c r="P3242" s="14"/>
      <c r="Q3242" s="14"/>
    </row>
    <row r="3243" spans="1:17" x14ac:dyDescent="0.25">
      <c r="A3243" s="5"/>
      <c r="B3243" s="6"/>
      <c r="C3243" s="4"/>
      <c r="D3243" s="4"/>
      <c r="E3243" s="12"/>
      <c r="F3243" s="12"/>
      <c r="G3243" s="16"/>
      <c r="H3243" s="14"/>
      <c r="I3243" s="14"/>
      <c r="J3243" s="14"/>
      <c r="K3243" s="14"/>
      <c r="L3243" s="14"/>
      <c r="M3243" s="14"/>
      <c r="N3243" s="14"/>
      <c r="O3243" s="4"/>
      <c r="P3243" s="14"/>
      <c r="Q3243" s="14"/>
    </row>
    <row r="3244" spans="1:17" x14ac:dyDescent="0.25">
      <c r="A3244" s="5"/>
      <c r="B3244" s="6"/>
      <c r="C3244" s="4"/>
      <c r="D3244" s="4"/>
      <c r="E3244" s="12"/>
      <c r="F3244" s="12"/>
      <c r="G3244" s="16"/>
      <c r="H3244" s="14"/>
      <c r="I3244" s="14"/>
      <c r="J3244" s="14"/>
      <c r="K3244" s="14"/>
      <c r="L3244" s="14"/>
      <c r="M3244" s="14"/>
      <c r="N3244" s="14"/>
      <c r="O3244" s="4"/>
      <c r="P3244" s="14"/>
      <c r="Q3244" s="14"/>
    </row>
    <row r="3245" spans="1:17" x14ac:dyDescent="0.25">
      <c r="A3245" s="5"/>
      <c r="B3245" s="6"/>
      <c r="C3245" s="4"/>
      <c r="D3245" s="4"/>
      <c r="E3245" s="12"/>
      <c r="F3245" s="12"/>
      <c r="G3245" s="16"/>
      <c r="H3245" s="14"/>
      <c r="I3245" s="14"/>
      <c r="J3245" s="14"/>
      <c r="K3245" s="14"/>
      <c r="L3245" s="14"/>
      <c r="M3245" s="14"/>
      <c r="N3245" s="14"/>
      <c r="O3245" s="4"/>
      <c r="P3245" s="14"/>
      <c r="Q3245" s="14"/>
    </row>
    <row r="3246" spans="1:17" x14ac:dyDescent="0.25">
      <c r="A3246" s="5"/>
      <c r="B3246" s="6"/>
      <c r="C3246" s="4"/>
      <c r="D3246" s="4"/>
      <c r="E3246" s="12"/>
      <c r="F3246" s="12"/>
      <c r="G3246" s="16"/>
      <c r="H3246" s="14"/>
      <c r="I3246" s="14"/>
      <c r="J3246" s="14"/>
      <c r="K3246" s="14"/>
      <c r="L3246" s="14"/>
      <c r="M3246" s="14"/>
      <c r="N3246" s="14"/>
      <c r="O3246" s="4"/>
      <c r="P3246" s="14"/>
      <c r="Q3246" s="14"/>
    </row>
    <row r="3247" spans="1:17" x14ac:dyDescent="0.25">
      <c r="A3247" s="5"/>
      <c r="B3247" s="6"/>
      <c r="C3247" s="4"/>
      <c r="D3247" s="4"/>
      <c r="E3247" s="12"/>
      <c r="F3247" s="12"/>
      <c r="G3247" s="16"/>
      <c r="H3247" s="14"/>
      <c r="I3247" s="14"/>
      <c r="J3247" s="14"/>
      <c r="K3247" s="14"/>
      <c r="L3247" s="14"/>
      <c r="M3247" s="14"/>
      <c r="N3247" s="14"/>
      <c r="O3247" s="4"/>
      <c r="P3247" s="14"/>
      <c r="Q3247" s="14"/>
    </row>
    <row r="3248" spans="1:17" x14ac:dyDescent="0.25">
      <c r="A3248" s="5"/>
      <c r="B3248" s="6"/>
      <c r="C3248" s="4"/>
      <c r="D3248" s="4"/>
      <c r="E3248" s="12"/>
      <c r="F3248" s="12"/>
      <c r="G3248" s="16"/>
      <c r="H3248" s="14"/>
      <c r="I3248" s="14"/>
      <c r="J3248" s="14"/>
      <c r="K3248" s="14"/>
      <c r="L3248" s="14"/>
      <c r="M3248" s="14"/>
      <c r="N3248" s="14"/>
      <c r="O3248" s="4"/>
      <c r="P3248" s="14"/>
      <c r="Q3248" s="14"/>
    </row>
    <row r="3249" spans="1:17" x14ac:dyDescent="0.25">
      <c r="A3249" s="5"/>
      <c r="B3249" s="6"/>
      <c r="C3249" s="4"/>
      <c r="D3249" s="4"/>
      <c r="E3249" s="12"/>
      <c r="F3249" s="12"/>
      <c r="G3249" s="16"/>
      <c r="H3249" s="14"/>
      <c r="I3249" s="14"/>
      <c r="J3249" s="14"/>
      <c r="K3249" s="14"/>
      <c r="L3249" s="14"/>
      <c r="M3249" s="14"/>
      <c r="N3249" s="14"/>
      <c r="O3249" s="4"/>
      <c r="P3249" s="14"/>
      <c r="Q3249" s="14"/>
    </row>
    <row r="3250" spans="1:17" x14ac:dyDescent="0.25">
      <c r="A3250" s="5"/>
      <c r="B3250" s="6"/>
      <c r="C3250" s="4"/>
      <c r="D3250" s="4"/>
      <c r="E3250" s="12"/>
      <c r="F3250" s="12"/>
      <c r="G3250" s="16"/>
      <c r="H3250" s="14"/>
      <c r="I3250" s="14"/>
      <c r="J3250" s="14"/>
      <c r="K3250" s="14"/>
      <c r="L3250" s="14"/>
      <c r="M3250" s="14"/>
      <c r="N3250" s="14"/>
      <c r="O3250" s="4"/>
      <c r="P3250" s="14"/>
      <c r="Q3250" s="14"/>
    </row>
    <row r="3251" spans="1:17" x14ac:dyDescent="0.25">
      <c r="A3251" s="5"/>
      <c r="B3251" s="6"/>
      <c r="C3251" s="4"/>
      <c r="D3251" s="4"/>
      <c r="E3251" s="12"/>
      <c r="F3251" s="12"/>
      <c r="G3251" s="16"/>
      <c r="H3251" s="14"/>
      <c r="I3251" s="14"/>
      <c r="J3251" s="14"/>
      <c r="K3251" s="14"/>
      <c r="L3251" s="14"/>
      <c r="M3251" s="14"/>
      <c r="N3251" s="14"/>
      <c r="O3251" s="4"/>
      <c r="P3251" s="14"/>
      <c r="Q3251" s="14"/>
    </row>
    <row r="3252" spans="1:17" x14ac:dyDescent="0.25">
      <c r="A3252" s="5"/>
      <c r="B3252" s="6"/>
      <c r="C3252" s="4"/>
      <c r="D3252" s="4"/>
      <c r="E3252" s="12"/>
      <c r="F3252" s="12"/>
      <c r="G3252" s="16"/>
      <c r="H3252" s="14"/>
      <c r="I3252" s="14"/>
      <c r="J3252" s="14"/>
      <c r="K3252" s="14"/>
      <c r="L3252" s="14"/>
      <c r="M3252" s="14"/>
      <c r="N3252" s="14"/>
      <c r="O3252" s="4"/>
      <c r="P3252" s="14"/>
      <c r="Q3252" s="14"/>
    </row>
    <row r="3253" spans="1:17" x14ac:dyDescent="0.25">
      <c r="A3253" s="5"/>
      <c r="B3253" s="6"/>
      <c r="C3253" s="4"/>
      <c r="D3253" s="4"/>
      <c r="E3253" s="12"/>
      <c r="F3253" s="12"/>
      <c r="G3253" s="16"/>
      <c r="H3253" s="14"/>
      <c r="I3253" s="14"/>
      <c r="J3253" s="14"/>
      <c r="K3253" s="14"/>
      <c r="L3253" s="14"/>
      <c r="M3253" s="14"/>
      <c r="N3253" s="14"/>
      <c r="O3253" s="4"/>
      <c r="P3253" s="14"/>
      <c r="Q3253" s="14"/>
    </row>
    <row r="3254" spans="1:17" x14ac:dyDescent="0.25">
      <c r="A3254" s="5"/>
      <c r="B3254" s="6"/>
      <c r="C3254" s="4"/>
      <c r="D3254" s="4"/>
      <c r="E3254" s="12"/>
      <c r="F3254" s="12"/>
      <c r="G3254" s="16"/>
      <c r="H3254" s="14"/>
      <c r="I3254" s="14"/>
      <c r="J3254" s="14"/>
      <c r="K3254" s="14"/>
      <c r="L3254" s="14"/>
      <c r="M3254" s="14"/>
      <c r="N3254" s="14"/>
      <c r="O3254" s="4"/>
      <c r="P3254" s="14"/>
      <c r="Q3254" s="14"/>
    </row>
    <row r="3255" spans="1:17" x14ac:dyDescent="0.25">
      <c r="A3255" s="5"/>
      <c r="B3255" s="6"/>
      <c r="C3255" s="4"/>
      <c r="D3255" s="4"/>
      <c r="E3255" s="12"/>
      <c r="F3255" s="12"/>
      <c r="G3255" s="16"/>
      <c r="H3255" s="14"/>
      <c r="I3255" s="14"/>
      <c r="J3255" s="14"/>
      <c r="K3255" s="14"/>
      <c r="L3255" s="14"/>
      <c r="M3255" s="14"/>
      <c r="N3255" s="14"/>
      <c r="O3255" s="4"/>
      <c r="P3255" s="14"/>
      <c r="Q3255" s="14"/>
    </row>
    <row r="3256" spans="1:17" x14ac:dyDescent="0.25">
      <c r="A3256" s="5"/>
      <c r="B3256" s="6"/>
      <c r="C3256" s="4"/>
      <c r="D3256" s="4"/>
      <c r="E3256" s="12"/>
      <c r="F3256" s="12"/>
      <c r="G3256" s="16"/>
      <c r="H3256" s="14"/>
      <c r="I3256" s="14"/>
      <c r="J3256" s="14"/>
      <c r="K3256" s="14"/>
      <c r="L3256" s="14"/>
      <c r="M3256" s="14"/>
      <c r="N3256" s="14"/>
      <c r="O3256" s="4"/>
      <c r="P3256" s="14"/>
      <c r="Q3256" s="14"/>
    </row>
    <row r="3257" spans="1:17" x14ac:dyDescent="0.25">
      <c r="A3257" s="5"/>
      <c r="B3257" s="6"/>
      <c r="C3257" s="4"/>
      <c r="D3257" s="4"/>
      <c r="E3257" s="12"/>
      <c r="F3257" s="12"/>
      <c r="G3257" s="16"/>
      <c r="H3257" s="14"/>
      <c r="I3257" s="14"/>
      <c r="J3257" s="14"/>
      <c r="K3257" s="14"/>
      <c r="L3257" s="14"/>
      <c r="M3257" s="14"/>
      <c r="N3257" s="14"/>
      <c r="O3257" s="4"/>
      <c r="P3257" s="14"/>
      <c r="Q3257" s="14"/>
    </row>
    <row r="3258" spans="1:17" x14ac:dyDescent="0.25">
      <c r="A3258" s="5"/>
      <c r="B3258" s="6"/>
      <c r="C3258" s="4"/>
      <c r="D3258" s="4"/>
      <c r="E3258" s="12"/>
      <c r="F3258" s="12"/>
      <c r="G3258" s="16"/>
      <c r="H3258" s="14"/>
      <c r="I3258" s="14"/>
      <c r="J3258" s="14"/>
      <c r="K3258" s="14"/>
      <c r="L3258" s="14"/>
      <c r="M3258" s="14"/>
      <c r="N3258" s="14"/>
      <c r="O3258" s="4"/>
      <c r="P3258" s="14"/>
      <c r="Q3258" s="14"/>
    </row>
    <row r="3259" spans="1:17" x14ac:dyDescent="0.25">
      <c r="A3259" s="5"/>
      <c r="B3259" s="6"/>
      <c r="C3259" s="4"/>
      <c r="D3259" s="4"/>
      <c r="E3259" s="12"/>
      <c r="F3259" s="12"/>
      <c r="G3259" s="16"/>
      <c r="H3259" s="14"/>
      <c r="I3259" s="14"/>
      <c r="J3259" s="14"/>
      <c r="K3259" s="14"/>
      <c r="L3259" s="14"/>
      <c r="M3259" s="14"/>
      <c r="N3259" s="14"/>
      <c r="O3259" s="4"/>
      <c r="P3259" s="14"/>
      <c r="Q3259" s="14"/>
    </row>
    <row r="3260" spans="1:17" x14ac:dyDescent="0.25">
      <c r="A3260" s="5"/>
      <c r="B3260" s="6"/>
      <c r="C3260" s="4"/>
      <c r="D3260" s="4"/>
      <c r="E3260" s="12"/>
      <c r="F3260" s="12"/>
      <c r="G3260" s="16"/>
      <c r="H3260" s="14"/>
      <c r="I3260" s="14"/>
      <c r="J3260" s="14"/>
      <c r="K3260" s="14"/>
      <c r="L3260" s="14"/>
      <c r="M3260" s="14"/>
      <c r="N3260" s="14"/>
      <c r="O3260" s="4"/>
      <c r="P3260" s="14"/>
      <c r="Q3260" s="14"/>
    </row>
    <row r="3261" spans="1:17" x14ac:dyDescent="0.25">
      <c r="A3261" s="5"/>
      <c r="B3261" s="6"/>
      <c r="C3261" s="4"/>
      <c r="D3261" s="4"/>
      <c r="E3261" s="12"/>
      <c r="F3261" s="12"/>
      <c r="G3261" s="16"/>
      <c r="H3261" s="14"/>
      <c r="I3261" s="14"/>
      <c r="J3261" s="14"/>
      <c r="K3261" s="14"/>
      <c r="L3261" s="14"/>
      <c r="M3261" s="14"/>
      <c r="N3261" s="14"/>
      <c r="O3261" s="4"/>
      <c r="P3261" s="14"/>
      <c r="Q3261" s="14"/>
    </row>
    <row r="3262" spans="1:17" x14ac:dyDescent="0.25">
      <c r="A3262" s="5"/>
      <c r="B3262" s="6"/>
      <c r="C3262" s="4"/>
      <c r="D3262" s="4"/>
      <c r="E3262" s="12"/>
      <c r="F3262" s="12"/>
      <c r="G3262" s="16"/>
      <c r="H3262" s="14"/>
      <c r="I3262" s="14"/>
      <c r="J3262" s="14"/>
      <c r="K3262" s="14"/>
      <c r="L3262" s="14"/>
      <c r="M3262" s="14"/>
      <c r="N3262" s="14"/>
      <c r="O3262" s="4"/>
      <c r="P3262" s="14"/>
      <c r="Q3262" s="14"/>
    </row>
    <row r="3263" spans="1:17" x14ac:dyDescent="0.25">
      <c r="A3263" s="5"/>
      <c r="B3263" s="6"/>
      <c r="C3263" s="4"/>
      <c r="D3263" s="4"/>
      <c r="E3263" s="12"/>
      <c r="F3263" s="12"/>
      <c r="G3263" s="16"/>
      <c r="H3263" s="14"/>
      <c r="I3263" s="14"/>
      <c r="J3263" s="14"/>
      <c r="K3263" s="14"/>
      <c r="L3263" s="14"/>
      <c r="M3263" s="14"/>
      <c r="N3263" s="14"/>
      <c r="O3263" s="4"/>
      <c r="P3263" s="14"/>
      <c r="Q3263" s="14"/>
    </row>
    <row r="3264" spans="1:17" x14ac:dyDescent="0.25">
      <c r="A3264" s="5"/>
      <c r="B3264" s="6"/>
      <c r="C3264" s="4"/>
      <c r="D3264" s="4"/>
      <c r="E3264" s="12"/>
      <c r="F3264" s="12"/>
      <c r="G3264" s="16"/>
      <c r="H3264" s="14"/>
      <c r="I3264" s="14"/>
      <c r="J3264" s="14"/>
      <c r="K3264" s="14"/>
      <c r="L3264" s="14"/>
      <c r="M3264" s="14"/>
      <c r="N3264" s="14"/>
      <c r="O3264" s="4"/>
      <c r="P3264" s="14"/>
      <c r="Q3264" s="14"/>
    </row>
    <row r="3265" spans="1:17" x14ac:dyDescent="0.25">
      <c r="A3265" s="5"/>
      <c r="B3265" s="6"/>
      <c r="C3265" s="4"/>
      <c r="D3265" s="4"/>
      <c r="E3265" s="12"/>
      <c r="F3265" s="12"/>
      <c r="G3265" s="16"/>
      <c r="H3265" s="14"/>
      <c r="I3265" s="14"/>
      <c r="J3265" s="14"/>
      <c r="K3265" s="14"/>
      <c r="L3265" s="14"/>
      <c r="M3265" s="14"/>
      <c r="N3265" s="14"/>
      <c r="O3265" s="4"/>
      <c r="P3265" s="14"/>
      <c r="Q3265" s="14"/>
    </row>
    <row r="3266" spans="1:17" x14ac:dyDescent="0.25">
      <c r="A3266" s="5"/>
      <c r="B3266" s="6"/>
      <c r="C3266" s="4"/>
      <c r="D3266" s="4"/>
      <c r="E3266" s="12"/>
      <c r="F3266" s="12"/>
      <c r="G3266" s="16"/>
      <c r="H3266" s="14"/>
      <c r="I3266" s="14"/>
      <c r="J3266" s="14"/>
      <c r="K3266" s="14"/>
      <c r="L3266" s="14"/>
      <c r="M3266" s="14"/>
      <c r="N3266" s="14"/>
      <c r="O3266" s="4"/>
      <c r="P3266" s="14"/>
      <c r="Q3266" s="14"/>
    </row>
    <row r="3267" spans="1:17" x14ac:dyDescent="0.25">
      <c r="A3267" s="5"/>
      <c r="B3267" s="6"/>
      <c r="C3267" s="4"/>
      <c r="D3267" s="4"/>
      <c r="E3267" s="12"/>
      <c r="F3267" s="12"/>
      <c r="G3267" s="16"/>
      <c r="H3267" s="14"/>
      <c r="I3267" s="14"/>
      <c r="J3267" s="14"/>
      <c r="K3267" s="14"/>
      <c r="L3267" s="14"/>
      <c r="M3267" s="14"/>
      <c r="N3267" s="14"/>
      <c r="O3267" s="4"/>
      <c r="P3267" s="14"/>
      <c r="Q3267" s="14"/>
    </row>
    <row r="3268" spans="1:17" x14ac:dyDescent="0.25">
      <c r="A3268" s="5"/>
      <c r="B3268" s="6"/>
      <c r="C3268" s="4"/>
      <c r="D3268" s="4"/>
      <c r="E3268" s="12"/>
      <c r="F3268" s="12"/>
      <c r="G3268" s="16"/>
      <c r="H3268" s="14"/>
      <c r="I3268" s="14"/>
      <c r="J3268" s="14"/>
      <c r="K3268" s="14"/>
      <c r="L3268" s="14"/>
      <c r="M3268" s="14"/>
      <c r="N3268" s="14"/>
      <c r="O3268" s="4"/>
      <c r="P3268" s="14"/>
      <c r="Q3268" s="14"/>
    </row>
    <row r="3269" spans="1:17" x14ac:dyDescent="0.25">
      <c r="A3269" s="5"/>
      <c r="B3269" s="6"/>
      <c r="C3269" s="4"/>
      <c r="D3269" s="4"/>
      <c r="E3269" s="12"/>
      <c r="F3269" s="12"/>
      <c r="G3269" s="16"/>
      <c r="H3269" s="14"/>
      <c r="I3269" s="14"/>
      <c r="J3269" s="14"/>
      <c r="K3269" s="14"/>
      <c r="L3269" s="14"/>
      <c r="M3269" s="14"/>
      <c r="N3269" s="14"/>
      <c r="O3269" s="4"/>
      <c r="P3269" s="14"/>
      <c r="Q3269" s="14"/>
    </row>
    <row r="3270" spans="1:17" x14ac:dyDescent="0.25">
      <c r="A3270" s="5"/>
      <c r="B3270" s="6"/>
      <c r="C3270" s="4"/>
      <c r="D3270" s="4"/>
      <c r="E3270" s="12"/>
      <c r="F3270" s="12"/>
      <c r="G3270" s="16"/>
      <c r="H3270" s="14"/>
      <c r="I3270" s="14"/>
      <c r="J3270" s="14"/>
      <c r="K3270" s="14"/>
      <c r="L3270" s="14"/>
      <c r="M3270" s="14"/>
      <c r="N3270" s="14"/>
      <c r="O3270" s="4"/>
      <c r="P3270" s="14"/>
      <c r="Q3270" s="14"/>
    </row>
    <row r="3271" spans="1:17" x14ac:dyDescent="0.25">
      <c r="A3271" s="5"/>
      <c r="B3271" s="6"/>
      <c r="C3271" s="4"/>
      <c r="D3271" s="4"/>
      <c r="E3271" s="12"/>
      <c r="F3271" s="12"/>
      <c r="G3271" s="16"/>
      <c r="H3271" s="14"/>
      <c r="I3271" s="14"/>
      <c r="J3271" s="14"/>
      <c r="K3271" s="14"/>
      <c r="L3271" s="14"/>
      <c r="M3271" s="14"/>
      <c r="N3271" s="14"/>
      <c r="O3271" s="4"/>
      <c r="P3271" s="14"/>
      <c r="Q3271" s="14"/>
    </row>
    <row r="3272" spans="1:17" x14ac:dyDescent="0.25">
      <c r="A3272" s="5"/>
      <c r="B3272" s="6"/>
      <c r="C3272" s="4"/>
      <c r="D3272" s="4"/>
      <c r="E3272" s="12"/>
      <c r="F3272" s="12"/>
      <c r="G3272" s="16"/>
      <c r="H3272" s="14"/>
      <c r="I3272" s="14"/>
      <c r="J3272" s="14"/>
      <c r="K3272" s="14"/>
      <c r="L3272" s="14"/>
      <c r="M3272" s="14"/>
      <c r="N3272" s="14"/>
      <c r="O3272" s="4"/>
      <c r="P3272" s="14"/>
      <c r="Q3272" s="14"/>
    </row>
    <row r="3273" spans="1:17" x14ac:dyDescent="0.25">
      <c r="A3273" s="5"/>
      <c r="B3273" s="6"/>
      <c r="C3273" s="4"/>
      <c r="D3273" s="4"/>
      <c r="E3273" s="12"/>
      <c r="F3273" s="12"/>
      <c r="G3273" s="16"/>
      <c r="H3273" s="14"/>
      <c r="I3273" s="14"/>
      <c r="J3273" s="14"/>
      <c r="K3273" s="14"/>
      <c r="L3273" s="14"/>
      <c r="M3273" s="14"/>
      <c r="N3273" s="14"/>
      <c r="O3273" s="4"/>
      <c r="P3273" s="14"/>
      <c r="Q3273" s="14"/>
    </row>
    <row r="3274" spans="1:17" x14ac:dyDescent="0.25">
      <c r="A3274" s="5"/>
      <c r="B3274" s="6"/>
      <c r="C3274" s="4"/>
      <c r="D3274" s="4"/>
      <c r="E3274" s="12"/>
      <c r="F3274" s="12"/>
      <c r="G3274" s="16"/>
      <c r="H3274" s="14"/>
      <c r="I3274" s="14"/>
      <c r="J3274" s="14"/>
      <c r="K3274" s="14"/>
      <c r="L3274" s="14"/>
      <c r="M3274" s="14"/>
      <c r="N3274" s="14"/>
      <c r="O3274" s="4"/>
      <c r="P3274" s="14"/>
      <c r="Q3274" s="14"/>
    </row>
    <row r="3275" spans="1:17" x14ac:dyDescent="0.25">
      <c r="A3275" s="5"/>
      <c r="B3275" s="6"/>
      <c r="C3275" s="4"/>
      <c r="D3275" s="4"/>
      <c r="E3275" s="12"/>
      <c r="F3275" s="12"/>
      <c r="G3275" s="16"/>
      <c r="H3275" s="14"/>
      <c r="I3275" s="14"/>
      <c r="J3275" s="14"/>
      <c r="K3275" s="14"/>
      <c r="L3275" s="14"/>
      <c r="M3275" s="14"/>
      <c r="N3275" s="14"/>
      <c r="O3275" s="4"/>
      <c r="P3275" s="14"/>
      <c r="Q3275" s="14"/>
    </row>
    <row r="3276" spans="1:17" x14ac:dyDescent="0.25">
      <c r="A3276" s="5"/>
      <c r="B3276" s="6"/>
      <c r="C3276" s="4"/>
      <c r="D3276" s="4"/>
      <c r="E3276" s="12"/>
      <c r="F3276" s="12"/>
      <c r="G3276" s="16"/>
      <c r="H3276" s="14"/>
      <c r="I3276" s="14"/>
      <c r="J3276" s="14"/>
      <c r="K3276" s="14"/>
      <c r="L3276" s="14"/>
      <c r="M3276" s="14"/>
      <c r="N3276" s="14"/>
      <c r="O3276" s="4"/>
      <c r="P3276" s="14"/>
      <c r="Q3276" s="14"/>
    </row>
    <row r="3277" spans="1:17" x14ac:dyDescent="0.25">
      <c r="A3277" s="5"/>
      <c r="B3277" s="6"/>
      <c r="C3277" s="4"/>
      <c r="D3277" s="4"/>
      <c r="E3277" s="12"/>
      <c r="F3277" s="12"/>
      <c r="G3277" s="16"/>
      <c r="H3277" s="14"/>
      <c r="I3277" s="14"/>
      <c r="J3277" s="14"/>
      <c r="K3277" s="14"/>
      <c r="L3277" s="14"/>
      <c r="M3277" s="14"/>
      <c r="N3277" s="14"/>
      <c r="O3277" s="4"/>
      <c r="P3277" s="14"/>
      <c r="Q3277" s="14"/>
    </row>
    <row r="3278" spans="1:17" x14ac:dyDescent="0.25">
      <c r="A3278" s="5"/>
      <c r="B3278" s="6"/>
      <c r="C3278" s="4"/>
      <c r="D3278" s="4"/>
      <c r="E3278" s="12"/>
      <c r="F3278" s="12"/>
      <c r="G3278" s="16"/>
      <c r="H3278" s="14"/>
      <c r="I3278" s="14"/>
      <c r="J3278" s="14"/>
      <c r="K3278" s="14"/>
      <c r="L3278" s="14"/>
      <c r="M3278" s="14"/>
      <c r="N3278" s="14"/>
      <c r="O3278" s="4"/>
      <c r="P3278" s="14"/>
      <c r="Q3278" s="14"/>
    </row>
    <row r="3279" spans="1:17" x14ac:dyDescent="0.25">
      <c r="A3279" s="5"/>
      <c r="B3279" s="6"/>
      <c r="C3279" s="4"/>
      <c r="D3279" s="4"/>
      <c r="E3279" s="12"/>
      <c r="F3279" s="12"/>
      <c r="G3279" s="16"/>
      <c r="H3279" s="14"/>
      <c r="I3279" s="14"/>
      <c r="J3279" s="14"/>
      <c r="K3279" s="14"/>
      <c r="L3279" s="14"/>
      <c r="M3279" s="14"/>
      <c r="N3279" s="14"/>
      <c r="O3279" s="4"/>
      <c r="P3279" s="14"/>
      <c r="Q3279" s="14"/>
    </row>
    <row r="3280" spans="1:17" x14ac:dyDescent="0.25">
      <c r="A3280" s="5"/>
      <c r="B3280" s="6"/>
      <c r="C3280" s="4"/>
      <c r="D3280" s="4"/>
      <c r="E3280" s="12"/>
      <c r="F3280" s="12"/>
      <c r="G3280" s="16"/>
      <c r="H3280" s="14"/>
      <c r="I3280" s="14"/>
      <c r="J3280" s="14"/>
      <c r="K3280" s="14"/>
      <c r="L3280" s="14"/>
      <c r="M3280" s="14"/>
      <c r="N3280" s="14"/>
      <c r="O3280" s="4"/>
      <c r="P3280" s="14"/>
      <c r="Q3280" s="14"/>
    </row>
    <row r="3281" spans="1:17" x14ac:dyDescent="0.25">
      <c r="A3281" s="5"/>
      <c r="B3281" s="6"/>
      <c r="C3281" s="4"/>
      <c r="D3281" s="4"/>
      <c r="E3281" s="12"/>
      <c r="F3281" s="12"/>
      <c r="G3281" s="16"/>
      <c r="H3281" s="14"/>
      <c r="I3281" s="14"/>
      <c r="J3281" s="14"/>
      <c r="K3281" s="14"/>
      <c r="L3281" s="14"/>
      <c r="M3281" s="14"/>
      <c r="N3281" s="14"/>
      <c r="O3281" s="4"/>
      <c r="P3281" s="14"/>
      <c r="Q3281" s="14"/>
    </row>
    <row r="3282" spans="1:17" x14ac:dyDescent="0.25">
      <c r="A3282" s="5"/>
      <c r="B3282" s="6"/>
      <c r="C3282" s="4"/>
      <c r="D3282" s="4"/>
      <c r="E3282" s="12"/>
      <c r="F3282" s="12"/>
      <c r="G3282" s="16"/>
      <c r="H3282" s="14"/>
      <c r="I3282" s="14"/>
      <c r="J3282" s="14"/>
      <c r="K3282" s="14"/>
      <c r="L3282" s="14"/>
      <c r="M3282" s="14"/>
      <c r="N3282" s="14"/>
      <c r="O3282" s="4"/>
      <c r="P3282" s="14"/>
      <c r="Q3282" s="14"/>
    </row>
    <row r="3283" spans="1:17" x14ac:dyDescent="0.25">
      <c r="A3283" s="5"/>
      <c r="B3283" s="6"/>
      <c r="C3283" s="4"/>
      <c r="D3283" s="4"/>
      <c r="E3283" s="12"/>
      <c r="F3283" s="12"/>
      <c r="G3283" s="16"/>
      <c r="H3283" s="14"/>
      <c r="I3283" s="14"/>
      <c r="J3283" s="14"/>
      <c r="K3283" s="14"/>
      <c r="L3283" s="14"/>
      <c r="M3283" s="14"/>
      <c r="N3283" s="14"/>
      <c r="O3283" s="4"/>
      <c r="P3283" s="14"/>
      <c r="Q3283" s="14"/>
    </row>
    <row r="3284" spans="1:17" x14ac:dyDescent="0.25">
      <c r="A3284" s="5"/>
      <c r="B3284" s="6"/>
      <c r="C3284" s="4"/>
      <c r="D3284" s="4"/>
      <c r="E3284" s="12"/>
      <c r="F3284" s="12"/>
      <c r="G3284" s="16"/>
      <c r="H3284" s="14"/>
      <c r="I3284" s="14"/>
      <c r="J3284" s="14"/>
      <c r="K3284" s="14"/>
      <c r="L3284" s="14"/>
      <c r="M3284" s="14"/>
      <c r="N3284" s="14"/>
      <c r="O3284" s="4"/>
      <c r="P3284" s="14"/>
      <c r="Q3284" s="14"/>
    </row>
    <row r="3285" spans="1:17" x14ac:dyDescent="0.25">
      <c r="A3285" s="5"/>
      <c r="B3285" s="6"/>
      <c r="C3285" s="4"/>
      <c r="D3285" s="4"/>
      <c r="E3285" s="12"/>
      <c r="F3285" s="12"/>
      <c r="G3285" s="16"/>
      <c r="H3285" s="14"/>
      <c r="I3285" s="14"/>
      <c r="J3285" s="14"/>
      <c r="K3285" s="14"/>
      <c r="L3285" s="14"/>
      <c r="M3285" s="14"/>
      <c r="N3285" s="14"/>
      <c r="O3285" s="4"/>
      <c r="P3285" s="14"/>
      <c r="Q3285" s="14"/>
    </row>
    <row r="3286" spans="1:17" x14ac:dyDescent="0.25">
      <c r="A3286" s="5"/>
      <c r="B3286" s="6"/>
      <c r="C3286" s="4"/>
      <c r="D3286" s="4"/>
      <c r="E3286" s="12"/>
      <c r="F3286" s="12"/>
      <c r="G3286" s="16"/>
      <c r="H3286" s="14"/>
      <c r="I3286" s="14"/>
      <c r="J3286" s="14"/>
      <c r="K3286" s="14"/>
      <c r="L3286" s="14"/>
      <c r="M3286" s="14"/>
      <c r="N3286" s="14"/>
      <c r="O3286" s="4"/>
      <c r="P3286" s="14"/>
      <c r="Q3286" s="14"/>
    </row>
    <row r="3287" spans="1:17" x14ac:dyDescent="0.25">
      <c r="A3287" s="5"/>
      <c r="B3287" s="6"/>
      <c r="C3287" s="4"/>
      <c r="D3287" s="4"/>
      <c r="E3287" s="12"/>
      <c r="F3287" s="12"/>
      <c r="G3287" s="16"/>
      <c r="H3287" s="14"/>
      <c r="I3287" s="14"/>
      <c r="J3287" s="14"/>
      <c r="K3287" s="14"/>
      <c r="L3287" s="14"/>
      <c r="M3287" s="14"/>
      <c r="N3287" s="14"/>
      <c r="O3287" s="4"/>
      <c r="P3287" s="14"/>
      <c r="Q3287" s="14"/>
    </row>
    <row r="3288" spans="1:17" x14ac:dyDescent="0.25">
      <c r="A3288" s="5"/>
      <c r="B3288" s="6"/>
      <c r="C3288" s="4"/>
      <c r="D3288" s="4"/>
      <c r="E3288" s="12"/>
      <c r="F3288" s="12"/>
      <c r="G3288" s="16"/>
      <c r="H3288" s="14"/>
      <c r="I3288" s="14"/>
      <c r="J3288" s="14"/>
      <c r="K3288" s="14"/>
      <c r="L3288" s="14"/>
      <c r="M3288" s="14"/>
      <c r="N3288" s="14"/>
      <c r="O3288" s="4"/>
      <c r="P3288" s="14"/>
      <c r="Q3288" s="14"/>
    </row>
    <row r="3289" spans="1:17" x14ac:dyDescent="0.25">
      <c r="A3289" s="5"/>
      <c r="B3289" s="6"/>
      <c r="C3289" s="4"/>
      <c r="D3289" s="4"/>
      <c r="E3289" s="12"/>
      <c r="F3289" s="12"/>
      <c r="G3289" s="16"/>
      <c r="H3289" s="14"/>
      <c r="I3289" s="14"/>
      <c r="J3289" s="14"/>
      <c r="K3289" s="14"/>
      <c r="L3289" s="14"/>
      <c r="M3289" s="14"/>
      <c r="N3289" s="14"/>
      <c r="O3289" s="4"/>
      <c r="P3289" s="14"/>
      <c r="Q3289" s="14"/>
    </row>
    <row r="3290" spans="1:17" x14ac:dyDescent="0.25">
      <c r="A3290" s="5"/>
      <c r="B3290" s="6"/>
      <c r="C3290" s="4"/>
      <c r="D3290" s="4"/>
      <c r="E3290" s="12"/>
      <c r="F3290" s="12"/>
      <c r="G3290" s="16"/>
      <c r="H3290" s="14"/>
      <c r="I3290" s="14"/>
      <c r="J3290" s="14"/>
      <c r="K3290" s="14"/>
      <c r="L3290" s="14"/>
      <c r="M3290" s="14"/>
      <c r="N3290" s="14"/>
      <c r="O3290" s="4"/>
      <c r="P3290" s="14"/>
      <c r="Q3290" s="14"/>
    </row>
    <row r="3291" spans="1:17" x14ac:dyDescent="0.25">
      <c r="A3291" s="5"/>
      <c r="B3291" s="6"/>
      <c r="C3291" s="4"/>
      <c r="D3291" s="4"/>
      <c r="E3291" s="12"/>
      <c r="F3291" s="12"/>
      <c r="G3291" s="16"/>
      <c r="H3291" s="14"/>
      <c r="I3291" s="14"/>
      <c r="J3291" s="14"/>
      <c r="K3291" s="14"/>
      <c r="L3291" s="14"/>
      <c r="M3291" s="14"/>
      <c r="N3291" s="14"/>
      <c r="O3291" s="4"/>
      <c r="P3291" s="14"/>
      <c r="Q3291" s="14"/>
    </row>
    <row r="3292" spans="1:17" x14ac:dyDescent="0.25">
      <c r="A3292" s="5"/>
      <c r="B3292" s="6"/>
      <c r="C3292" s="4"/>
      <c r="D3292" s="4"/>
      <c r="E3292" s="12"/>
      <c r="F3292" s="12"/>
      <c r="G3292" s="16"/>
      <c r="H3292" s="14"/>
      <c r="I3292" s="14"/>
      <c r="J3292" s="14"/>
      <c r="K3292" s="14"/>
      <c r="L3292" s="14"/>
      <c r="M3292" s="14"/>
      <c r="N3292" s="14"/>
      <c r="O3292" s="4"/>
      <c r="P3292" s="14"/>
      <c r="Q3292" s="14"/>
    </row>
    <row r="3293" spans="1:17" x14ac:dyDescent="0.25">
      <c r="A3293" s="5"/>
      <c r="B3293" s="6"/>
      <c r="C3293" s="4"/>
      <c r="D3293" s="4"/>
      <c r="E3293" s="12"/>
      <c r="F3293" s="12"/>
      <c r="G3293" s="16"/>
      <c r="H3293" s="14"/>
      <c r="I3293" s="14"/>
      <c r="J3293" s="14"/>
      <c r="K3293" s="14"/>
      <c r="L3293" s="14"/>
      <c r="M3293" s="14"/>
      <c r="N3293" s="14"/>
      <c r="O3293" s="4"/>
      <c r="P3293" s="14"/>
      <c r="Q3293" s="14"/>
    </row>
    <row r="3294" spans="1:17" x14ac:dyDescent="0.25">
      <c r="A3294" s="5"/>
      <c r="B3294" s="6"/>
      <c r="C3294" s="4"/>
      <c r="D3294" s="4"/>
      <c r="E3294" s="12"/>
      <c r="F3294" s="12"/>
      <c r="G3294" s="16"/>
      <c r="H3294" s="14"/>
      <c r="I3294" s="14"/>
      <c r="J3294" s="14"/>
      <c r="K3294" s="14"/>
      <c r="L3294" s="14"/>
      <c r="M3294" s="14"/>
      <c r="N3294" s="14"/>
      <c r="O3294" s="4"/>
      <c r="P3294" s="14"/>
      <c r="Q3294" s="14"/>
    </row>
    <row r="3295" spans="1:17" x14ac:dyDescent="0.25">
      <c r="A3295" s="5"/>
      <c r="B3295" s="6"/>
      <c r="C3295" s="4"/>
      <c r="D3295" s="4"/>
      <c r="E3295" s="12"/>
      <c r="F3295" s="12"/>
      <c r="G3295" s="16"/>
      <c r="H3295" s="14"/>
      <c r="I3295" s="14"/>
      <c r="J3295" s="14"/>
      <c r="K3295" s="14"/>
      <c r="L3295" s="14"/>
      <c r="M3295" s="14"/>
      <c r="N3295" s="14"/>
      <c r="O3295" s="4"/>
      <c r="P3295" s="14"/>
      <c r="Q3295" s="14"/>
    </row>
    <row r="3296" spans="1:17" x14ac:dyDescent="0.25">
      <c r="A3296" s="5"/>
      <c r="B3296" s="6"/>
      <c r="C3296" s="4"/>
      <c r="D3296" s="4"/>
      <c r="E3296" s="12"/>
      <c r="F3296" s="12"/>
      <c r="G3296" s="16"/>
      <c r="H3296" s="14"/>
      <c r="I3296" s="14"/>
      <c r="J3296" s="14"/>
      <c r="K3296" s="14"/>
      <c r="L3296" s="14"/>
      <c r="M3296" s="14"/>
      <c r="N3296" s="14"/>
      <c r="O3296" s="4"/>
      <c r="P3296" s="14"/>
      <c r="Q3296" s="14"/>
    </row>
    <row r="3297" spans="1:17" x14ac:dyDescent="0.25">
      <c r="A3297" s="5"/>
      <c r="B3297" s="6"/>
      <c r="C3297" s="4"/>
      <c r="D3297" s="4"/>
      <c r="E3297" s="12"/>
      <c r="F3297" s="12"/>
      <c r="G3297" s="16"/>
      <c r="H3297" s="14"/>
      <c r="I3297" s="14"/>
      <c r="J3297" s="14"/>
      <c r="K3297" s="14"/>
      <c r="L3297" s="14"/>
      <c r="M3297" s="14"/>
      <c r="N3297" s="14"/>
      <c r="O3297" s="4"/>
      <c r="P3297" s="14"/>
      <c r="Q3297" s="14"/>
    </row>
    <row r="3298" spans="1:17" x14ac:dyDescent="0.25">
      <c r="A3298" s="5"/>
      <c r="B3298" s="6"/>
      <c r="C3298" s="4"/>
      <c r="D3298" s="4"/>
      <c r="E3298" s="12"/>
      <c r="F3298" s="12"/>
      <c r="G3298" s="16"/>
      <c r="H3298" s="14"/>
      <c r="I3298" s="14"/>
      <c r="J3298" s="14"/>
      <c r="K3298" s="14"/>
      <c r="L3298" s="14"/>
      <c r="M3298" s="14"/>
      <c r="N3298" s="14"/>
      <c r="O3298" s="4"/>
      <c r="P3298" s="14"/>
      <c r="Q3298" s="14"/>
    </row>
    <row r="3299" spans="1:17" x14ac:dyDescent="0.25">
      <c r="A3299" s="5"/>
      <c r="B3299" s="6"/>
      <c r="C3299" s="4"/>
      <c r="D3299" s="4"/>
      <c r="E3299" s="12"/>
      <c r="F3299" s="12"/>
      <c r="G3299" s="16"/>
      <c r="H3299" s="14"/>
      <c r="I3299" s="14"/>
      <c r="J3299" s="14"/>
      <c r="K3299" s="14"/>
      <c r="L3299" s="14"/>
      <c r="M3299" s="14"/>
      <c r="N3299" s="14"/>
      <c r="O3299" s="4"/>
      <c r="P3299" s="14"/>
      <c r="Q3299" s="14"/>
    </row>
    <row r="3300" spans="1:17" x14ac:dyDescent="0.25">
      <c r="A3300" s="5"/>
      <c r="B3300" s="6"/>
      <c r="C3300" s="4"/>
      <c r="D3300" s="4"/>
      <c r="E3300" s="12"/>
      <c r="F3300" s="12"/>
      <c r="G3300" s="16"/>
      <c r="H3300" s="14"/>
      <c r="I3300" s="14"/>
      <c r="J3300" s="14"/>
      <c r="K3300" s="14"/>
      <c r="L3300" s="14"/>
      <c r="M3300" s="14"/>
      <c r="N3300" s="14"/>
      <c r="O3300" s="4"/>
      <c r="P3300" s="14"/>
      <c r="Q3300" s="14"/>
    </row>
    <row r="3301" spans="1:17" x14ac:dyDescent="0.25">
      <c r="A3301" s="5"/>
      <c r="B3301" s="6"/>
      <c r="C3301" s="4"/>
      <c r="D3301" s="4"/>
      <c r="E3301" s="12"/>
      <c r="F3301" s="12"/>
      <c r="G3301" s="16"/>
      <c r="H3301" s="14"/>
      <c r="I3301" s="14"/>
      <c r="J3301" s="14"/>
      <c r="K3301" s="14"/>
      <c r="L3301" s="14"/>
      <c r="M3301" s="14"/>
      <c r="N3301" s="14"/>
      <c r="O3301" s="4"/>
      <c r="P3301" s="14"/>
      <c r="Q3301" s="14"/>
    </row>
    <row r="3302" spans="1:17" x14ac:dyDescent="0.25">
      <c r="A3302" s="5"/>
      <c r="B3302" s="6"/>
      <c r="C3302" s="4"/>
      <c r="D3302" s="4"/>
      <c r="E3302" s="12"/>
      <c r="F3302" s="12"/>
      <c r="G3302" s="16"/>
      <c r="H3302" s="14"/>
      <c r="I3302" s="14"/>
      <c r="J3302" s="14"/>
      <c r="K3302" s="14"/>
      <c r="L3302" s="14"/>
      <c r="M3302" s="14"/>
      <c r="N3302" s="14"/>
      <c r="O3302" s="4"/>
      <c r="P3302" s="14"/>
      <c r="Q3302" s="14"/>
    </row>
    <row r="3303" spans="1:17" x14ac:dyDescent="0.25">
      <c r="A3303" s="5"/>
      <c r="B3303" s="6"/>
      <c r="C3303" s="4"/>
      <c r="D3303" s="4"/>
      <c r="E3303" s="12"/>
      <c r="F3303" s="12"/>
      <c r="G3303" s="16"/>
      <c r="H3303" s="14"/>
      <c r="I3303" s="14"/>
      <c r="J3303" s="14"/>
      <c r="K3303" s="14"/>
      <c r="L3303" s="14"/>
      <c r="M3303" s="14"/>
      <c r="N3303" s="14"/>
      <c r="O3303" s="4"/>
      <c r="P3303" s="14"/>
      <c r="Q3303" s="14"/>
    </row>
    <row r="3304" spans="1:17" x14ac:dyDescent="0.25">
      <c r="A3304" s="5"/>
      <c r="B3304" s="6"/>
      <c r="C3304" s="4"/>
      <c r="D3304" s="4"/>
      <c r="E3304" s="12"/>
      <c r="F3304" s="12"/>
      <c r="G3304" s="16"/>
      <c r="H3304" s="14"/>
      <c r="I3304" s="14"/>
      <c r="J3304" s="14"/>
      <c r="K3304" s="14"/>
      <c r="L3304" s="14"/>
      <c r="M3304" s="14"/>
      <c r="N3304" s="14"/>
      <c r="O3304" s="4"/>
      <c r="P3304" s="14"/>
      <c r="Q3304" s="14"/>
    </row>
    <row r="3305" spans="1:17" x14ac:dyDescent="0.25">
      <c r="A3305" s="5"/>
      <c r="B3305" s="6"/>
      <c r="C3305" s="4"/>
      <c r="D3305" s="4"/>
      <c r="E3305" s="12"/>
      <c r="F3305" s="12"/>
      <c r="G3305" s="16"/>
      <c r="H3305" s="14"/>
      <c r="I3305" s="14"/>
      <c r="J3305" s="14"/>
      <c r="K3305" s="14"/>
      <c r="L3305" s="14"/>
      <c r="M3305" s="14"/>
      <c r="N3305" s="14"/>
      <c r="O3305" s="4"/>
      <c r="P3305" s="14"/>
      <c r="Q3305" s="14"/>
    </row>
    <row r="3306" spans="1:17" x14ac:dyDescent="0.25">
      <c r="A3306" s="5"/>
      <c r="B3306" s="6"/>
      <c r="C3306" s="4"/>
      <c r="D3306" s="4"/>
      <c r="E3306" s="12"/>
      <c r="F3306" s="12"/>
      <c r="G3306" s="16"/>
      <c r="H3306" s="14"/>
      <c r="I3306" s="14"/>
      <c r="J3306" s="14"/>
      <c r="K3306" s="14"/>
      <c r="L3306" s="14"/>
      <c r="M3306" s="14"/>
      <c r="N3306" s="14"/>
      <c r="O3306" s="4"/>
      <c r="P3306" s="14"/>
      <c r="Q3306" s="14"/>
    </row>
    <row r="3307" spans="1:17" x14ac:dyDescent="0.25">
      <c r="A3307" s="5"/>
      <c r="B3307" s="6"/>
      <c r="C3307" s="4"/>
      <c r="D3307" s="4"/>
      <c r="E3307" s="12"/>
      <c r="F3307" s="12"/>
      <c r="G3307" s="16"/>
      <c r="H3307" s="14"/>
      <c r="I3307" s="14"/>
      <c r="J3307" s="14"/>
      <c r="K3307" s="14"/>
      <c r="L3307" s="14"/>
      <c r="M3307" s="14"/>
      <c r="N3307" s="14"/>
      <c r="O3307" s="4"/>
      <c r="P3307" s="14"/>
      <c r="Q3307" s="14"/>
    </row>
    <row r="3308" spans="1:17" x14ac:dyDescent="0.25">
      <c r="A3308" s="5"/>
      <c r="B3308" s="6"/>
      <c r="C3308" s="4"/>
      <c r="D3308" s="4"/>
      <c r="E3308" s="12"/>
      <c r="F3308" s="12"/>
      <c r="G3308" s="16"/>
      <c r="H3308" s="14"/>
      <c r="I3308" s="14"/>
      <c r="J3308" s="14"/>
      <c r="K3308" s="14"/>
      <c r="L3308" s="14"/>
      <c r="M3308" s="14"/>
      <c r="N3308" s="14"/>
      <c r="O3308" s="4"/>
      <c r="P3308" s="14"/>
      <c r="Q3308" s="14"/>
    </row>
    <row r="3309" spans="1:17" x14ac:dyDescent="0.25">
      <c r="A3309" s="5"/>
      <c r="B3309" s="6"/>
      <c r="C3309" s="4"/>
      <c r="D3309" s="4"/>
      <c r="E3309" s="12"/>
      <c r="F3309" s="12"/>
      <c r="G3309" s="16"/>
      <c r="H3309" s="14"/>
      <c r="I3309" s="14"/>
      <c r="J3309" s="14"/>
      <c r="K3309" s="14"/>
      <c r="L3309" s="14"/>
      <c r="M3309" s="14"/>
      <c r="N3309" s="14"/>
      <c r="O3309" s="4"/>
      <c r="P3309" s="14"/>
      <c r="Q3309" s="14"/>
    </row>
    <row r="3310" spans="1:17" x14ac:dyDescent="0.25">
      <c r="A3310" s="5"/>
      <c r="B3310" s="6"/>
      <c r="C3310" s="4"/>
      <c r="D3310" s="4"/>
      <c r="E3310" s="12"/>
      <c r="F3310" s="12"/>
      <c r="G3310" s="16"/>
      <c r="H3310" s="14"/>
      <c r="I3310" s="14"/>
      <c r="J3310" s="14"/>
      <c r="K3310" s="14"/>
      <c r="L3310" s="14"/>
      <c r="M3310" s="14"/>
      <c r="N3310" s="14"/>
      <c r="O3310" s="4"/>
      <c r="P3310" s="14"/>
      <c r="Q3310" s="14"/>
    </row>
    <row r="3311" spans="1:17" x14ac:dyDescent="0.25">
      <c r="A3311" s="5"/>
      <c r="B3311" s="6"/>
      <c r="C3311" s="4"/>
      <c r="D3311" s="4"/>
      <c r="E3311" s="12"/>
      <c r="F3311" s="12"/>
      <c r="G3311" s="16"/>
      <c r="H3311" s="14"/>
      <c r="I3311" s="14"/>
      <c r="J3311" s="14"/>
      <c r="K3311" s="14"/>
      <c r="L3311" s="14"/>
      <c r="M3311" s="14"/>
      <c r="N3311" s="14"/>
      <c r="O3311" s="4"/>
      <c r="P3311" s="14"/>
      <c r="Q3311" s="14"/>
    </row>
    <row r="3312" spans="1:17" x14ac:dyDescent="0.25">
      <c r="A3312" s="5"/>
      <c r="B3312" s="6"/>
      <c r="C3312" s="4"/>
      <c r="D3312" s="4"/>
      <c r="E3312" s="12"/>
      <c r="F3312" s="12"/>
      <c r="G3312" s="16"/>
      <c r="H3312" s="14"/>
      <c r="I3312" s="14"/>
      <c r="J3312" s="14"/>
      <c r="K3312" s="14"/>
      <c r="L3312" s="14"/>
      <c r="M3312" s="14"/>
      <c r="N3312" s="14"/>
      <c r="O3312" s="4"/>
      <c r="P3312" s="14"/>
      <c r="Q3312" s="14"/>
    </row>
    <row r="3313" spans="1:17" x14ac:dyDescent="0.25">
      <c r="A3313" s="5"/>
      <c r="B3313" s="6"/>
      <c r="C3313" s="4"/>
      <c r="D3313" s="4"/>
      <c r="E3313" s="12"/>
      <c r="F3313" s="12"/>
      <c r="G3313" s="16"/>
      <c r="H3313" s="14"/>
      <c r="I3313" s="14"/>
      <c r="J3313" s="14"/>
      <c r="K3313" s="14"/>
      <c r="L3313" s="14"/>
      <c r="M3313" s="14"/>
      <c r="N3313" s="14"/>
      <c r="O3313" s="4"/>
      <c r="P3313" s="14"/>
      <c r="Q3313" s="14"/>
    </row>
    <row r="3314" spans="1:17" x14ac:dyDescent="0.25">
      <c r="A3314" s="5"/>
      <c r="B3314" s="6"/>
      <c r="C3314" s="4"/>
      <c r="D3314" s="4"/>
      <c r="E3314" s="12"/>
      <c r="F3314" s="12"/>
      <c r="G3314" s="16"/>
      <c r="H3314" s="14"/>
      <c r="I3314" s="14"/>
      <c r="J3314" s="14"/>
      <c r="K3314" s="14"/>
      <c r="L3314" s="14"/>
      <c r="M3314" s="14"/>
      <c r="N3314" s="14"/>
      <c r="O3314" s="4"/>
      <c r="P3314" s="14"/>
      <c r="Q3314" s="14"/>
    </row>
    <row r="3315" spans="1:17" x14ac:dyDescent="0.25">
      <c r="A3315" s="5"/>
      <c r="B3315" s="6"/>
      <c r="C3315" s="4"/>
      <c r="D3315" s="4"/>
      <c r="E3315" s="12"/>
      <c r="F3315" s="12"/>
      <c r="G3315" s="16"/>
      <c r="H3315" s="14"/>
      <c r="I3315" s="14"/>
      <c r="J3315" s="14"/>
      <c r="K3315" s="14"/>
      <c r="L3315" s="14"/>
      <c r="M3315" s="14"/>
      <c r="N3315" s="14"/>
      <c r="O3315" s="4"/>
      <c r="P3315" s="14"/>
      <c r="Q3315" s="14"/>
    </row>
    <row r="3316" spans="1:17" x14ac:dyDescent="0.25">
      <c r="A3316" s="5"/>
      <c r="B3316" s="6"/>
      <c r="C3316" s="4"/>
      <c r="D3316" s="4"/>
      <c r="E3316" s="12"/>
      <c r="F3316" s="12"/>
      <c r="G3316" s="16"/>
      <c r="H3316" s="14"/>
      <c r="I3316" s="14"/>
      <c r="J3316" s="14"/>
      <c r="K3316" s="14"/>
      <c r="L3316" s="14"/>
      <c r="M3316" s="14"/>
      <c r="N3316" s="14"/>
      <c r="O3316" s="4"/>
      <c r="P3316" s="14"/>
      <c r="Q3316" s="14"/>
    </row>
    <row r="3317" spans="1:17" x14ac:dyDescent="0.25">
      <c r="A3317" s="5"/>
      <c r="B3317" s="6"/>
      <c r="C3317" s="4"/>
      <c r="D3317" s="4"/>
      <c r="E3317" s="12"/>
      <c r="F3317" s="12"/>
      <c r="G3317" s="16"/>
      <c r="H3317" s="14"/>
      <c r="I3317" s="14"/>
      <c r="J3317" s="14"/>
      <c r="K3317" s="14"/>
      <c r="L3317" s="14"/>
      <c r="M3317" s="14"/>
      <c r="N3317" s="14"/>
      <c r="O3317" s="4"/>
      <c r="P3317" s="14"/>
      <c r="Q3317" s="14"/>
    </row>
    <row r="3318" spans="1:17" x14ac:dyDescent="0.25">
      <c r="A3318" s="5"/>
      <c r="B3318" s="6"/>
      <c r="C3318" s="4"/>
      <c r="D3318" s="4"/>
      <c r="E3318" s="12"/>
      <c r="F3318" s="12"/>
      <c r="G3318" s="16"/>
      <c r="H3318" s="14"/>
      <c r="I3318" s="14"/>
      <c r="J3318" s="14"/>
      <c r="K3318" s="14"/>
      <c r="L3318" s="14"/>
      <c r="M3318" s="14"/>
      <c r="N3318" s="14"/>
      <c r="O3318" s="4"/>
      <c r="P3318" s="14"/>
      <c r="Q3318" s="14"/>
    </row>
    <row r="3319" spans="1:17" x14ac:dyDescent="0.25">
      <c r="A3319" s="5"/>
      <c r="B3319" s="6"/>
      <c r="C3319" s="4"/>
      <c r="D3319" s="4"/>
      <c r="E3319" s="12"/>
      <c r="F3319" s="12"/>
      <c r="G3319" s="16"/>
      <c r="H3319" s="14"/>
      <c r="I3319" s="14"/>
      <c r="J3319" s="14"/>
      <c r="K3319" s="14"/>
      <c r="L3319" s="14"/>
      <c r="M3319" s="14"/>
      <c r="N3319" s="14"/>
      <c r="O3319" s="4"/>
      <c r="P3319" s="14"/>
      <c r="Q3319" s="14"/>
    </row>
    <row r="3320" spans="1:17" x14ac:dyDescent="0.25">
      <c r="A3320" s="5"/>
      <c r="B3320" s="6"/>
      <c r="C3320" s="4"/>
      <c r="D3320" s="4"/>
      <c r="E3320" s="12"/>
      <c r="F3320" s="12"/>
      <c r="G3320" s="16"/>
      <c r="H3320" s="14"/>
      <c r="I3320" s="14"/>
      <c r="J3320" s="14"/>
      <c r="K3320" s="14"/>
      <c r="L3320" s="14"/>
      <c r="M3320" s="14"/>
      <c r="N3320" s="14"/>
      <c r="O3320" s="4"/>
      <c r="P3320" s="14"/>
      <c r="Q3320" s="14"/>
    </row>
    <row r="3321" spans="1:17" x14ac:dyDescent="0.25">
      <c r="A3321" s="5"/>
      <c r="B3321" s="6"/>
      <c r="C3321" s="4"/>
      <c r="D3321" s="4"/>
      <c r="E3321" s="12"/>
      <c r="F3321" s="12"/>
      <c r="G3321" s="16"/>
      <c r="H3321" s="14"/>
      <c r="I3321" s="14"/>
      <c r="J3321" s="14"/>
      <c r="K3321" s="14"/>
      <c r="L3321" s="14"/>
      <c r="M3321" s="14"/>
      <c r="N3321" s="14"/>
      <c r="O3321" s="4"/>
      <c r="P3321" s="14"/>
      <c r="Q3321" s="14"/>
    </row>
    <row r="3322" spans="1:17" x14ac:dyDescent="0.25">
      <c r="A3322" s="5"/>
      <c r="B3322" s="6"/>
      <c r="C3322" s="4"/>
      <c r="D3322" s="4"/>
      <c r="E3322" s="12"/>
      <c r="F3322" s="12"/>
      <c r="G3322" s="16"/>
      <c r="H3322" s="14"/>
      <c r="I3322" s="14"/>
      <c r="J3322" s="14"/>
      <c r="K3322" s="14"/>
      <c r="L3322" s="14"/>
      <c r="M3322" s="14"/>
      <c r="N3322" s="14"/>
      <c r="O3322" s="4"/>
      <c r="P3322" s="14"/>
      <c r="Q3322" s="14"/>
    </row>
    <row r="3323" spans="1:17" x14ac:dyDescent="0.25">
      <c r="A3323" s="5"/>
      <c r="B3323" s="6"/>
      <c r="C3323" s="4"/>
      <c r="D3323" s="4"/>
      <c r="E3323" s="12"/>
      <c r="F3323" s="12"/>
      <c r="G3323" s="16"/>
      <c r="H3323" s="14"/>
      <c r="I3323" s="14"/>
      <c r="J3323" s="14"/>
      <c r="K3323" s="14"/>
      <c r="L3323" s="14"/>
      <c r="M3323" s="14"/>
      <c r="N3323" s="14"/>
      <c r="O3323" s="4"/>
      <c r="P3323" s="14"/>
      <c r="Q3323" s="14"/>
    </row>
    <row r="3324" spans="1:17" x14ac:dyDescent="0.25">
      <c r="A3324" s="5"/>
      <c r="B3324" s="6"/>
      <c r="C3324" s="4"/>
      <c r="D3324" s="4"/>
      <c r="E3324" s="12"/>
      <c r="F3324" s="12"/>
      <c r="G3324" s="16"/>
      <c r="H3324" s="14"/>
      <c r="I3324" s="14"/>
      <c r="J3324" s="14"/>
      <c r="K3324" s="14"/>
      <c r="L3324" s="14"/>
      <c r="M3324" s="14"/>
      <c r="N3324" s="14"/>
      <c r="O3324" s="4"/>
      <c r="P3324" s="14"/>
      <c r="Q3324" s="14"/>
    </row>
    <row r="3325" spans="1:17" x14ac:dyDescent="0.25">
      <c r="A3325" s="5"/>
      <c r="B3325" s="6"/>
      <c r="C3325" s="4"/>
      <c r="D3325" s="4"/>
      <c r="E3325" s="12"/>
      <c r="F3325" s="12"/>
      <c r="G3325" s="16"/>
      <c r="H3325" s="14"/>
      <c r="I3325" s="14"/>
      <c r="J3325" s="14"/>
      <c r="K3325" s="14"/>
      <c r="L3325" s="14"/>
      <c r="M3325" s="14"/>
      <c r="N3325" s="14"/>
      <c r="O3325" s="4"/>
      <c r="P3325" s="14"/>
      <c r="Q3325" s="14"/>
    </row>
    <row r="3326" spans="1:17" x14ac:dyDescent="0.25">
      <c r="A3326" s="5"/>
      <c r="B3326" s="6"/>
      <c r="C3326" s="4"/>
      <c r="D3326" s="4"/>
      <c r="E3326" s="12"/>
      <c r="F3326" s="12"/>
      <c r="G3326" s="16"/>
      <c r="H3326" s="14"/>
      <c r="I3326" s="14"/>
      <c r="J3326" s="14"/>
      <c r="K3326" s="14"/>
      <c r="L3326" s="14"/>
      <c r="M3326" s="14"/>
      <c r="N3326" s="14"/>
      <c r="O3326" s="4"/>
      <c r="P3326" s="14"/>
      <c r="Q3326" s="14"/>
    </row>
    <row r="3327" spans="1:17" x14ac:dyDescent="0.25">
      <c r="A3327" s="5"/>
      <c r="B3327" s="6"/>
      <c r="C3327" s="4"/>
      <c r="D3327" s="4"/>
      <c r="E3327" s="12"/>
      <c r="F3327" s="12"/>
      <c r="G3327" s="16"/>
      <c r="H3327" s="14"/>
      <c r="I3327" s="14"/>
      <c r="J3327" s="14"/>
      <c r="K3327" s="14"/>
      <c r="L3327" s="14"/>
      <c r="M3327" s="14"/>
      <c r="N3327" s="14"/>
      <c r="O3327" s="4"/>
      <c r="P3327" s="14"/>
      <c r="Q3327" s="14"/>
    </row>
    <row r="3328" spans="1:17" x14ac:dyDescent="0.25">
      <c r="A3328" s="5"/>
      <c r="B3328" s="6"/>
      <c r="C3328" s="4"/>
      <c r="D3328" s="4"/>
      <c r="E3328" s="12"/>
      <c r="F3328" s="12"/>
      <c r="G3328" s="16"/>
      <c r="H3328" s="14"/>
      <c r="I3328" s="14"/>
      <c r="J3328" s="14"/>
      <c r="K3328" s="14"/>
      <c r="L3328" s="14"/>
      <c r="M3328" s="14"/>
      <c r="N3328" s="14"/>
      <c r="O3328" s="4"/>
      <c r="P3328" s="14"/>
      <c r="Q3328" s="14"/>
    </row>
    <row r="3329" spans="1:17" x14ac:dyDescent="0.25">
      <c r="A3329" s="5"/>
      <c r="B3329" s="6"/>
      <c r="C3329" s="4"/>
      <c r="D3329" s="4"/>
      <c r="E3329" s="12"/>
      <c r="F3329" s="12"/>
      <c r="G3329" s="16"/>
      <c r="H3329" s="14"/>
      <c r="I3329" s="14"/>
      <c r="J3329" s="14"/>
      <c r="K3329" s="14"/>
      <c r="L3329" s="14"/>
      <c r="M3329" s="14"/>
      <c r="N3329" s="14"/>
      <c r="O3329" s="4"/>
      <c r="P3329" s="14"/>
      <c r="Q3329" s="14"/>
    </row>
    <row r="3330" spans="1:17" x14ac:dyDescent="0.25">
      <c r="A3330" s="5"/>
      <c r="B3330" s="6"/>
      <c r="C3330" s="4"/>
      <c r="D3330" s="4"/>
      <c r="E3330" s="12"/>
      <c r="F3330" s="12"/>
      <c r="G3330" s="16"/>
      <c r="H3330" s="14"/>
      <c r="I3330" s="14"/>
      <c r="J3330" s="14"/>
      <c r="K3330" s="14"/>
      <c r="L3330" s="14"/>
      <c r="M3330" s="14"/>
      <c r="N3330" s="14"/>
      <c r="O3330" s="4"/>
      <c r="P3330" s="14"/>
      <c r="Q3330" s="14"/>
    </row>
    <row r="3331" spans="1:17" x14ac:dyDescent="0.25">
      <c r="A3331" s="5"/>
      <c r="B3331" s="6"/>
      <c r="C3331" s="4"/>
      <c r="D3331" s="4"/>
      <c r="E3331" s="12"/>
      <c r="F3331" s="12"/>
      <c r="G3331" s="16"/>
      <c r="H3331" s="14"/>
      <c r="I3331" s="14"/>
      <c r="J3331" s="14"/>
      <c r="K3331" s="14"/>
      <c r="L3331" s="14"/>
      <c r="M3331" s="14"/>
      <c r="N3331" s="14"/>
      <c r="O3331" s="4"/>
      <c r="P3331" s="14"/>
      <c r="Q3331" s="14"/>
    </row>
    <row r="3332" spans="1:17" x14ac:dyDescent="0.25">
      <c r="A3332" s="5"/>
      <c r="B3332" s="6"/>
      <c r="C3332" s="4"/>
      <c r="D3332" s="4"/>
      <c r="E3332" s="12"/>
      <c r="F3332" s="12"/>
      <c r="G3332" s="16"/>
      <c r="H3332" s="14"/>
      <c r="I3332" s="14"/>
      <c r="J3332" s="14"/>
      <c r="K3332" s="14"/>
      <c r="L3332" s="14"/>
      <c r="M3332" s="14"/>
      <c r="N3332" s="14"/>
      <c r="O3332" s="4"/>
      <c r="P3332" s="14"/>
      <c r="Q3332" s="14"/>
    </row>
    <row r="3333" spans="1:17" x14ac:dyDescent="0.25">
      <c r="A3333" s="5"/>
      <c r="B3333" s="6"/>
      <c r="C3333" s="4"/>
      <c r="D3333" s="4"/>
      <c r="E3333" s="12"/>
      <c r="F3333" s="12"/>
      <c r="G3333" s="16"/>
      <c r="H3333" s="14"/>
      <c r="I3333" s="14"/>
      <c r="J3333" s="14"/>
      <c r="K3333" s="14"/>
      <c r="L3333" s="14"/>
      <c r="M3333" s="14"/>
      <c r="N3333" s="14"/>
      <c r="O3333" s="4"/>
      <c r="P3333" s="14"/>
      <c r="Q3333" s="14"/>
    </row>
    <row r="3334" spans="1:17" x14ac:dyDescent="0.25">
      <c r="A3334" s="5"/>
      <c r="B3334" s="6"/>
      <c r="C3334" s="4"/>
      <c r="D3334" s="4"/>
      <c r="E3334" s="12"/>
      <c r="F3334" s="12"/>
      <c r="G3334" s="16"/>
      <c r="H3334" s="14"/>
      <c r="I3334" s="14"/>
      <c r="J3334" s="14"/>
      <c r="K3334" s="14"/>
      <c r="L3334" s="14"/>
      <c r="M3334" s="14"/>
      <c r="N3334" s="14"/>
      <c r="O3334" s="4"/>
      <c r="P3334" s="14"/>
      <c r="Q3334" s="14"/>
    </row>
    <row r="3335" spans="1:17" x14ac:dyDescent="0.25">
      <c r="A3335" s="5"/>
      <c r="B3335" s="6"/>
      <c r="C3335" s="4"/>
      <c r="D3335" s="4"/>
      <c r="E3335" s="12"/>
      <c r="F3335" s="12"/>
      <c r="G3335" s="16"/>
      <c r="H3335" s="14"/>
      <c r="I3335" s="14"/>
      <c r="J3335" s="14"/>
      <c r="K3335" s="14"/>
      <c r="L3335" s="14"/>
      <c r="M3335" s="14"/>
      <c r="N3335" s="14"/>
      <c r="O3335" s="4"/>
      <c r="P3335" s="14"/>
      <c r="Q3335" s="14"/>
    </row>
    <row r="3336" spans="1:17" x14ac:dyDescent="0.25">
      <c r="A3336" s="5"/>
      <c r="B3336" s="6"/>
      <c r="C3336" s="4"/>
      <c r="D3336" s="4"/>
      <c r="E3336" s="12"/>
      <c r="F3336" s="12"/>
      <c r="G3336" s="16"/>
      <c r="H3336" s="14"/>
      <c r="I3336" s="14"/>
      <c r="J3336" s="14"/>
      <c r="K3336" s="14"/>
      <c r="L3336" s="14"/>
      <c r="M3336" s="14"/>
      <c r="N3336" s="14"/>
      <c r="O3336" s="4"/>
      <c r="P3336" s="14"/>
      <c r="Q3336" s="14"/>
    </row>
    <row r="3337" spans="1:17" x14ac:dyDescent="0.25">
      <c r="A3337" s="5"/>
      <c r="B3337" s="6"/>
      <c r="C3337" s="4"/>
      <c r="D3337" s="4"/>
      <c r="E3337" s="12"/>
      <c r="F3337" s="12"/>
      <c r="G3337" s="16"/>
      <c r="H3337" s="14"/>
      <c r="I3337" s="14"/>
      <c r="J3337" s="14"/>
      <c r="K3337" s="14"/>
      <c r="L3337" s="14"/>
      <c r="M3337" s="14"/>
      <c r="N3337" s="14"/>
      <c r="O3337" s="4"/>
      <c r="P3337" s="14"/>
      <c r="Q3337" s="14"/>
    </row>
    <row r="3338" spans="1:17" x14ac:dyDescent="0.25">
      <c r="A3338" s="5"/>
      <c r="B3338" s="6"/>
      <c r="C3338" s="4"/>
      <c r="D3338" s="4"/>
      <c r="E3338" s="12"/>
      <c r="F3338" s="12"/>
      <c r="G3338" s="16"/>
      <c r="H3338" s="14"/>
      <c r="I3338" s="14"/>
      <c r="J3338" s="14"/>
      <c r="K3338" s="14"/>
      <c r="L3338" s="14"/>
      <c r="M3338" s="14"/>
      <c r="N3338" s="14"/>
      <c r="O3338" s="4"/>
      <c r="P3338" s="14"/>
      <c r="Q3338" s="14"/>
    </row>
    <row r="3339" spans="1:17" x14ac:dyDescent="0.25">
      <c r="A3339" s="5"/>
      <c r="B3339" s="6"/>
      <c r="C3339" s="4"/>
      <c r="D3339" s="4"/>
      <c r="E3339" s="12"/>
      <c r="F3339" s="12"/>
      <c r="G3339" s="16"/>
      <c r="H3339" s="14"/>
      <c r="I3339" s="14"/>
      <c r="J3339" s="14"/>
      <c r="K3339" s="14"/>
      <c r="L3339" s="14"/>
      <c r="M3339" s="14"/>
      <c r="N3339" s="14"/>
      <c r="O3339" s="4"/>
      <c r="P3339" s="14"/>
      <c r="Q3339" s="14"/>
    </row>
    <row r="3340" spans="1:17" x14ac:dyDescent="0.25">
      <c r="A3340" s="5"/>
      <c r="B3340" s="6"/>
      <c r="C3340" s="4"/>
      <c r="D3340" s="4"/>
      <c r="E3340" s="12"/>
      <c r="F3340" s="12"/>
      <c r="G3340" s="16"/>
      <c r="H3340" s="14"/>
      <c r="I3340" s="14"/>
      <c r="J3340" s="14"/>
      <c r="K3340" s="14"/>
      <c r="L3340" s="14"/>
      <c r="M3340" s="14"/>
      <c r="N3340" s="14"/>
      <c r="O3340" s="4"/>
      <c r="P3340" s="14"/>
      <c r="Q3340" s="14"/>
    </row>
    <row r="3341" spans="1:17" x14ac:dyDescent="0.25">
      <c r="A3341" s="5"/>
      <c r="B3341" s="6"/>
      <c r="C3341" s="4"/>
      <c r="D3341" s="4"/>
      <c r="E3341" s="12"/>
      <c r="F3341" s="12"/>
      <c r="G3341" s="16"/>
      <c r="H3341" s="14"/>
      <c r="I3341" s="14"/>
      <c r="J3341" s="14"/>
      <c r="K3341" s="14"/>
      <c r="L3341" s="14"/>
      <c r="M3341" s="14"/>
      <c r="N3341" s="14"/>
      <c r="O3341" s="4"/>
      <c r="P3341" s="14"/>
      <c r="Q3341" s="14"/>
    </row>
    <row r="3342" spans="1:17" x14ac:dyDescent="0.25">
      <c r="A3342" s="5"/>
      <c r="B3342" s="6"/>
      <c r="C3342" s="4"/>
      <c r="D3342" s="4"/>
      <c r="E3342" s="12"/>
      <c r="F3342" s="12"/>
      <c r="G3342" s="16"/>
      <c r="H3342" s="14"/>
      <c r="I3342" s="14"/>
      <c r="J3342" s="14"/>
      <c r="K3342" s="14"/>
      <c r="L3342" s="14"/>
      <c r="M3342" s="14"/>
      <c r="N3342" s="14"/>
      <c r="O3342" s="4"/>
      <c r="P3342" s="14"/>
      <c r="Q3342" s="14"/>
    </row>
    <row r="3343" spans="1:17" x14ac:dyDescent="0.25">
      <c r="A3343" s="5"/>
      <c r="B3343" s="6"/>
      <c r="C3343" s="4"/>
      <c r="D3343" s="4"/>
      <c r="E3343" s="12"/>
      <c r="F3343" s="12"/>
      <c r="G3343" s="16"/>
      <c r="H3343" s="14"/>
      <c r="I3343" s="14"/>
      <c r="J3343" s="14"/>
      <c r="K3343" s="14"/>
      <c r="L3343" s="14"/>
      <c r="M3343" s="14"/>
      <c r="N3343" s="14"/>
      <c r="O3343" s="4"/>
      <c r="P3343" s="14"/>
      <c r="Q3343" s="14"/>
    </row>
    <row r="3344" spans="1:17" x14ac:dyDescent="0.25">
      <c r="A3344" s="5"/>
      <c r="B3344" s="6"/>
      <c r="C3344" s="4"/>
      <c r="D3344" s="4"/>
      <c r="E3344" s="12"/>
      <c r="F3344" s="12"/>
      <c r="G3344" s="16"/>
      <c r="H3344" s="14"/>
      <c r="I3344" s="14"/>
      <c r="J3344" s="14"/>
      <c r="K3344" s="14"/>
      <c r="L3344" s="14"/>
      <c r="M3344" s="14"/>
      <c r="N3344" s="14"/>
      <c r="O3344" s="4"/>
      <c r="P3344" s="14"/>
      <c r="Q3344" s="14"/>
    </row>
    <row r="3345" spans="1:17" x14ac:dyDescent="0.25">
      <c r="A3345" s="5"/>
      <c r="B3345" s="6"/>
      <c r="C3345" s="4"/>
      <c r="D3345" s="4"/>
      <c r="E3345" s="12"/>
      <c r="F3345" s="12"/>
      <c r="G3345" s="16"/>
      <c r="H3345" s="14"/>
      <c r="I3345" s="14"/>
      <c r="J3345" s="14"/>
      <c r="K3345" s="14"/>
      <c r="L3345" s="14"/>
      <c r="M3345" s="14"/>
      <c r="N3345" s="14"/>
      <c r="O3345" s="4"/>
      <c r="P3345" s="14"/>
      <c r="Q3345" s="14"/>
    </row>
    <row r="3346" spans="1:17" x14ac:dyDescent="0.25">
      <c r="A3346" s="5"/>
      <c r="B3346" s="6"/>
      <c r="C3346" s="4"/>
      <c r="D3346" s="4"/>
      <c r="E3346" s="12"/>
      <c r="F3346" s="12"/>
      <c r="G3346" s="16"/>
      <c r="H3346" s="14"/>
      <c r="I3346" s="14"/>
      <c r="J3346" s="14"/>
      <c r="K3346" s="14"/>
      <c r="L3346" s="14"/>
      <c r="M3346" s="14"/>
      <c r="N3346" s="14"/>
      <c r="O3346" s="4"/>
      <c r="P3346" s="14"/>
      <c r="Q3346" s="14"/>
    </row>
    <row r="3347" spans="1:17" x14ac:dyDescent="0.25">
      <c r="A3347" s="5"/>
      <c r="B3347" s="6"/>
      <c r="C3347" s="4"/>
      <c r="D3347" s="4"/>
      <c r="E3347" s="12"/>
      <c r="F3347" s="12"/>
      <c r="G3347" s="16"/>
      <c r="H3347" s="14"/>
      <c r="I3347" s="14"/>
      <c r="J3347" s="14"/>
      <c r="K3347" s="14"/>
      <c r="L3347" s="14"/>
      <c r="M3347" s="14"/>
      <c r="N3347" s="14"/>
      <c r="O3347" s="4"/>
      <c r="P3347" s="14"/>
      <c r="Q3347" s="14"/>
    </row>
    <row r="3348" spans="1:17" x14ac:dyDescent="0.25">
      <c r="A3348" s="5"/>
      <c r="B3348" s="6"/>
      <c r="C3348" s="4"/>
      <c r="D3348" s="4"/>
      <c r="E3348" s="12"/>
      <c r="F3348" s="12"/>
      <c r="G3348" s="16"/>
      <c r="H3348" s="14"/>
      <c r="I3348" s="14"/>
      <c r="J3348" s="14"/>
      <c r="K3348" s="14"/>
      <c r="L3348" s="14"/>
      <c r="M3348" s="14"/>
      <c r="N3348" s="14"/>
      <c r="O3348" s="4"/>
      <c r="P3348" s="14"/>
      <c r="Q3348" s="14"/>
    </row>
    <row r="3349" spans="1:17" x14ac:dyDescent="0.25">
      <c r="A3349" s="5"/>
      <c r="B3349" s="6"/>
      <c r="C3349" s="4"/>
      <c r="D3349" s="4"/>
      <c r="E3349" s="12"/>
      <c r="F3349" s="12"/>
      <c r="G3349" s="16"/>
      <c r="H3349" s="14"/>
      <c r="I3349" s="14"/>
      <c r="J3349" s="14"/>
      <c r="K3349" s="14"/>
      <c r="L3349" s="14"/>
      <c r="M3349" s="14"/>
      <c r="N3349" s="14"/>
      <c r="O3349" s="4"/>
      <c r="P3349" s="14"/>
      <c r="Q3349" s="14"/>
    </row>
    <row r="3350" spans="1:17" x14ac:dyDescent="0.25">
      <c r="A3350" s="5"/>
      <c r="B3350" s="6"/>
      <c r="C3350" s="4"/>
      <c r="D3350" s="4"/>
      <c r="E3350" s="12"/>
      <c r="F3350" s="12"/>
      <c r="G3350" s="16"/>
      <c r="H3350" s="14"/>
      <c r="I3350" s="14"/>
      <c r="J3350" s="14"/>
      <c r="K3350" s="14"/>
      <c r="L3350" s="14"/>
      <c r="M3350" s="14"/>
      <c r="N3350" s="14"/>
      <c r="O3350" s="4"/>
      <c r="P3350" s="14"/>
      <c r="Q3350" s="14"/>
    </row>
    <row r="3351" spans="1:17" x14ac:dyDescent="0.25">
      <c r="A3351" s="5"/>
      <c r="B3351" s="6"/>
      <c r="C3351" s="4"/>
      <c r="D3351" s="4"/>
      <c r="E3351" s="12"/>
      <c r="F3351" s="12"/>
      <c r="G3351" s="16"/>
      <c r="H3351" s="14"/>
      <c r="I3351" s="14"/>
      <c r="J3351" s="14"/>
      <c r="K3351" s="14"/>
      <c r="L3351" s="14"/>
      <c r="M3351" s="14"/>
      <c r="N3351" s="14"/>
      <c r="O3351" s="4"/>
      <c r="P3351" s="14"/>
      <c r="Q3351" s="14"/>
    </row>
    <row r="3352" spans="1:17" x14ac:dyDescent="0.25">
      <c r="A3352" s="5"/>
      <c r="B3352" s="6"/>
      <c r="C3352" s="4"/>
      <c r="D3352" s="4"/>
      <c r="E3352" s="12"/>
      <c r="F3352" s="12"/>
      <c r="G3352" s="16"/>
      <c r="H3352" s="14"/>
      <c r="I3352" s="14"/>
      <c r="J3352" s="14"/>
      <c r="K3352" s="14"/>
      <c r="L3352" s="14"/>
      <c r="M3352" s="14"/>
      <c r="N3352" s="14"/>
      <c r="O3352" s="4"/>
      <c r="P3352" s="14"/>
      <c r="Q3352" s="14"/>
    </row>
    <row r="3353" spans="1:17" x14ac:dyDescent="0.25">
      <c r="A3353" s="5"/>
      <c r="B3353" s="6"/>
      <c r="C3353" s="4"/>
      <c r="D3353" s="4"/>
      <c r="E3353" s="12"/>
      <c r="F3353" s="12"/>
      <c r="G3353" s="16"/>
      <c r="H3353" s="14"/>
      <c r="I3353" s="14"/>
      <c r="J3353" s="14"/>
      <c r="K3353" s="14"/>
      <c r="L3353" s="14"/>
      <c r="M3353" s="14"/>
      <c r="N3353" s="14"/>
      <c r="O3353" s="4"/>
      <c r="P3353" s="14"/>
      <c r="Q3353" s="14"/>
    </row>
    <row r="3354" spans="1:17" x14ac:dyDescent="0.25">
      <c r="A3354" s="5"/>
      <c r="B3354" s="6"/>
      <c r="C3354" s="4"/>
      <c r="D3354" s="4"/>
      <c r="E3354" s="12"/>
      <c r="F3354" s="12"/>
      <c r="G3354" s="16"/>
      <c r="H3354" s="14"/>
      <c r="I3354" s="14"/>
      <c r="J3354" s="14"/>
      <c r="K3354" s="14"/>
      <c r="L3354" s="14"/>
      <c r="M3354" s="14"/>
      <c r="N3354" s="14"/>
      <c r="O3354" s="4"/>
      <c r="P3354" s="14"/>
      <c r="Q3354" s="14"/>
    </row>
    <row r="3355" spans="1:17" x14ac:dyDescent="0.25">
      <c r="A3355" s="5"/>
      <c r="B3355" s="6"/>
      <c r="C3355" s="4"/>
      <c r="D3355" s="4"/>
      <c r="E3355" s="12"/>
      <c r="F3355" s="12"/>
      <c r="G3355" s="16"/>
      <c r="H3355" s="14"/>
      <c r="I3355" s="14"/>
      <c r="J3355" s="14"/>
      <c r="K3355" s="14"/>
      <c r="L3355" s="14"/>
      <c r="M3355" s="14"/>
      <c r="N3355" s="14"/>
      <c r="O3355" s="4"/>
      <c r="P3355" s="14"/>
      <c r="Q3355" s="14"/>
    </row>
    <row r="3356" spans="1:17" x14ac:dyDescent="0.25">
      <c r="A3356" s="5"/>
      <c r="B3356" s="6"/>
      <c r="C3356" s="4"/>
      <c r="D3356" s="4"/>
      <c r="E3356" s="12"/>
      <c r="F3356" s="12"/>
      <c r="G3356" s="16"/>
      <c r="H3356" s="14"/>
      <c r="I3356" s="14"/>
      <c r="J3356" s="14"/>
      <c r="K3356" s="14"/>
      <c r="L3356" s="14"/>
      <c r="M3356" s="14"/>
      <c r="N3356" s="14"/>
      <c r="O3356" s="4"/>
      <c r="P3356" s="14"/>
      <c r="Q3356" s="14"/>
    </row>
    <row r="3357" spans="1:17" x14ac:dyDescent="0.25">
      <c r="A3357" s="5"/>
      <c r="B3357" s="6"/>
      <c r="C3357" s="4"/>
      <c r="D3357" s="4"/>
      <c r="E3357" s="12"/>
      <c r="F3357" s="12"/>
      <c r="G3357" s="16"/>
      <c r="H3357" s="14"/>
      <c r="I3357" s="14"/>
      <c r="J3357" s="14"/>
      <c r="K3357" s="14"/>
      <c r="L3357" s="14"/>
      <c r="M3357" s="14"/>
      <c r="N3357" s="14"/>
      <c r="O3357" s="4"/>
      <c r="P3357" s="14"/>
      <c r="Q3357" s="14"/>
    </row>
    <row r="3358" spans="1:17" x14ac:dyDescent="0.25">
      <c r="A3358" s="5"/>
      <c r="B3358" s="6"/>
      <c r="C3358" s="4"/>
      <c r="D3358" s="4"/>
      <c r="E3358" s="12"/>
      <c r="F3358" s="12"/>
      <c r="G3358" s="16"/>
      <c r="H3358" s="14"/>
      <c r="I3358" s="14"/>
      <c r="J3358" s="14"/>
      <c r="K3358" s="14"/>
      <c r="L3358" s="14"/>
      <c r="M3358" s="14"/>
      <c r="N3358" s="14"/>
      <c r="O3358" s="4"/>
      <c r="P3358" s="14"/>
      <c r="Q3358" s="14"/>
    </row>
    <row r="3359" spans="1:17" x14ac:dyDescent="0.25">
      <c r="A3359" s="5"/>
      <c r="B3359" s="6"/>
      <c r="C3359" s="4"/>
      <c r="D3359" s="4"/>
      <c r="E3359" s="12"/>
      <c r="F3359" s="12"/>
      <c r="G3359" s="16"/>
      <c r="H3359" s="14"/>
      <c r="I3359" s="14"/>
      <c r="J3359" s="14"/>
      <c r="K3359" s="14"/>
      <c r="L3359" s="14"/>
      <c r="M3359" s="14"/>
      <c r="N3359" s="14"/>
      <c r="O3359" s="4"/>
      <c r="P3359" s="14"/>
      <c r="Q3359" s="14"/>
    </row>
    <row r="3360" spans="1:17" x14ac:dyDescent="0.25">
      <c r="A3360" s="5"/>
      <c r="B3360" s="6"/>
      <c r="C3360" s="4"/>
      <c r="D3360" s="4"/>
      <c r="E3360" s="12"/>
      <c r="F3360" s="12"/>
      <c r="G3360" s="16"/>
      <c r="H3360" s="14"/>
      <c r="I3360" s="14"/>
      <c r="J3360" s="14"/>
      <c r="K3360" s="14"/>
      <c r="L3360" s="14"/>
      <c r="M3360" s="14"/>
      <c r="N3360" s="14"/>
      <c r="O3360" s="4"/>
      <c r="P3360" s="14"/>
      <c r="Q3360" s="14"/>
    </row>
    <row r="3361" spans="1:17" x14ac:dyDescent="0.25">
      <c r="A3361" s="5"/>
      <c r="B3361" s="6"/>
      <c r="C3361" s="4"/>
      <c r="D3361" s="4"/>
      <c r="E3361" s="12"/>
      <c r="F3361" s="12"/>
      <c r="G3361" s="16"/>
      <c r="H3361" s="14"/>
      <c r="I3361" s="14"/>
      <c r="J3361" s="14"/>
      <c r="K3361" s="14"/>
      <c r="L3361" s="14"/>
      <c r="M3361" s="14"/>
      <c r="N3361" s="14"/>
      <c r="O3361" s="4"/>
      <c r="P3361" s="14"/>
      <c r="Q3361" s="14"/>
    </row>
    <row r="3362" spans="1:17" x14ac:dyDescent="0.25">
      <c r="A3362" s="5"/>
      <c r="B3362" s="6"/>
      <c r="C3362" s="4"/>
      <c r="D3362" s="4"/>
      <c r="E3362" s="12"/>
      <c r="F3362" s="12"/>
      <c r="G3362" s="16"/>
      <c r="H3362" s="14"/>
      <c r="I3362" s="14"/>
      <c r="J3362" s="14"/>
      <c r="K3362" s="14"/>
      <c r="L3362" s="14"/>
      <c r="M3362" s="14"/>
      <c r="N3362" s="14"/>
      <c r="O3362" s="4"/>
      <c r="P3362" s="14"/>
      <c r="Q3362" s="14"/>
    </row>
    <row r="3363" spans="1:17" x14ac:dyDescent="0.25">
      <c r="A3363" s="5"/>
      <c r="B3363" s="6"/>
      <c r="C3363" s="4"/>
      <c r="D3363" s="4"/>
      <c r="E3363" s="12"/>
      <c r="F3363" s="12"/>
      <c r="G3363" s="16"/>
      <c r="H3363" s="14"/>
      <c r="I3363" s="14"/>
      <c r="J3363" s="14"/>
      <c r="K3363" s="14"/>
      <c r="L3363" s="14"/>
      <c r="M3363" s="14"/>
      <c r="N3363" s="14"/>
      <c r="O3363" s="4"/>
      <c r="P3363" s="14"/>
      <c r="Q3363" s="14"/>
    </row>
    <row r="3364" spans="1:17" x14ac:dyDescent="0.25">
      <c r="A3364" s="5"/>
      <c r="B3364" s="6"/>
      <c r="C3364" s="4"/>
      <c r="D3364" s="4"/>
      <c r="E3364" s="12"/>
      <c r="F3364" s="12"/>
      <c r="G3364" s="16"/>
      <c r="H3364" s="14"/>
      <c r="I3364" s="14"/>
      <c r="J3364" s="14"/>
      <c r="K3364" s="14"/>
      <c r="L3364" s="14"/>
      <c r="M3364" s="14"/>
      <c r="N3364" s="14"/>
      <c r="O3364" s="4"/>
      <c r="P3364" s="14"/>
      <c r="Q3364" s="14"/>
    </row>
    <row r="3365" spans="1:17" x14ac:dyDescent="0.25">
      <c r="A3365" s="5"/>
      <c r="B3365" s="6"/>
      <c r="C3365" s="4"/>
      <c r="D3365" s="4"/>
      <c r="E3365" s="12"/>
      <c r="F3365" s="12"/>
      <c r="G3365" s="16"/>
      <c r="H3365" s="14"/>
      <c r="I3365" s="14"/>
      <c r="J3365" s="14"/>
      <c r="K3365" s="14"/>
      <c r="L3365" s="14"/>
      <c r="M3365" s="14"/>
      <c r="N3365" s="14"/>
      <c r="O3365" s="4"/>
      <c r="P3365" s="14"/>
      <c r="Q3365" s="14"/>
    </row>
    <row r="3366" spans="1:17" x14ac:dyDescent="0.25">
      <c r="A3366" s="5"/>
      <c r="B3366" s="6"/>
      <c r="C3366" s="4"/>
      <c r="D3366" s="4"/>
      <c r="E3366" s="12"/>
      <c r="F3366" s="12"/>
      <c r="G3366" s="16"/>
      <c r="H3366" s="14"/>
      <c r="I3366" s="14"/>
      <c r="J3366" s="14"/>
      <c r="K3366" s="14"/>
      <c r="L3366" s="14"/>
      <c r="M3366" s="14"/>
      <c r="N3366" s="14"/>
      <c r="O3366" s="4"/>
      <c r="P3366" s="14"/>
      <c r="Q3366" s="14"/>
    </row>
    <row r="3367" spans="1:17" x14ac:dyDescent="0.25">
      <c r="A3367" s="5"/>
      <c r="B3367" s="6"/>
      <c r="C3367" s="4"/>
      <c r="D3367" s="4"/>
      <c r="E3367" s="12"/>
      <c r="F3367" s="12"/>
      <c r="G3367" s="16"/>
      <c r="H3367" s="14"/>
      <c r="I3367" s="14"/>
      <c r="J3367" s="14"/>
      <c r="K3367" s="14"/>
      <c r="L3367" s="14"/>
      <c r="M3367" s="14"/>
      <c r="N3367" s="14"/>
      <c r="O3367" s="4"/>
      <c r="P3367" s="14"/>
      <c r="Q3367" s="14"/>
    </row>
    <row r="3368" spans="1:17" x14ac:dyDescent="0.25">
      <c r="A3368" s="5"/>
      <c r="B3368" s="6"/>
      <c r="C3368" s="4"/>
      <c r="D3368" s="4"/>
      <c r="E3368" s="12"/>
      <c r="F3368" s="12"/>
      <c r="G3368" s="16"/>
      <c r="H3368" s="14"/>
      <c r="I3368" s="14"/>
      <c r="J3368" s="14"/>
      <c r="K3368" s="14"/>
      <c r="L3368" s="14"/>
      <c r="M3368" s="14"/>
      <c r="N3368" s="14"/>
      <c r="O3368" s="4"/>
      <c r="P3368" s="14"/>
      <c r="Q3368" s="14"/>
    </row>
    <row r="3369" spans="1:17" x14ac:dyDescent="0.25">
      <c r="A3369" s="5"/>
      <c r="B3369" s="6"/>
      <c r="C3369" s="4"/>
      <c r="D3369" s="4"/>
      <c r="E3369" s="12"/>
      <c r="F3369" s="12"/>
      <c r="G3369" s="16"/>
      <c r="H3369" s="14"/>
      <c r="I3369" s="14"/>
      <c r="J3369" s="14"/>
      <c r="K3369" s="14"/>
      <c r="L3369" s="14"/>
      <c r="M3369" s="14"/>
      <c r="N3369" s="14"/>
      <c r="O3369" s="4"/>
      <c r="P3369" s="14"/>
      <c r="Q3369" s="14"/>
    </row>
    <row r="3370" spans="1:17" x14ac:dyDescent="0.25">
      <c r="A3370" s="5"/>
      <c r="B3370" s="6"/>
      <c r="C3370" s="4"/>
      <c r="D3370" s="4"/>
      <c r="E3370" s="12"/>
      <c r="F3370" s="12"/>
      <c r="G3370" s="16"/>
      <c r="H3370" s="14"/>
      <c r="I3370" s="14"/>
      <c r="J3370" s="14"/>
      <c r="K3370" s="14"/>
      <c r="L3370" s="14"/>
      <c r="M3370" s="14"/>
      <c r="N3370" s="14"/>
      <c r="O3370" s="4"/>
      <c r="P3370" s="14"/>
      <c r="Q3370" s="14"/>
    </row>
    <row r="3371" spans="1:17" x14ac:dyDescent="0.25">
      <c r="A3371" s="5"/>
      <c r="B3371" s="6"/>
      <c r="C3371" s="4"/>
      <c r="D3371" s="4"/>
      <c r="E3371" s="12"/>
      <c r="F3371" s="12"/>
      <c r="G3371" s="16"/>
      <c r="H3371" s="14"/>
      <c r="I3371" s="14"/>
      <c r="J3371" s="14"/>
      <c r="K3371" s="14"/>
      <c r="L3371" s="14"/>
      <c r="M3371" s="14"/>
      <c r="N3371" s="14"/>
      <c r="O3371" s="4"/>
      <c r="P3371" s="14"/>
      <c r="Q3371" s="14"/>
    </row>
    <row r="3372" spans="1:17" x14ac:dyDescent="0.25">
      <c r="A3372" s="5"/>
      <c r="B3372" s="6"/>
      <c r="C3372" s="4"/>
      <c r="D3372" s="4"/>
      <c r="E3372" s="12"/>
      <c r="F3372" s="12"/>
      <c r="G3372" s="16"/>
      <c r="H3372" s="14"/>
      <c r="I3372" s="14"/>
      <c r="J3372" s="14"/>
      <c r="K3372" s="14"/>
      <c r="L3372" s="14"/>
      <c r="M3372" s="14"/>
      <c r="N3372" s="14"/>
      <c r="O3372" s="4"/>
      <c r="P3372" s="14"/>
      <c r="Q3372" s="14"/>
    </row>
    <row r="3373" spans="1:17" x14ac:dyDescent="0.25">
      <c r="A3373" s="5"/>
      <c r="B3373" s="6"/>
      <c r="C3373" s="4"/>
      <c r="D3373" s="4"/>
      <c r="E3373" s="12"/>
      <c r="F3373" s="12"/>
      <c r="G3373" s="16"/>
      <c r="H3373" s="14"/>
      <c r="I3373" s="14"/>
      <c r="J3373" s="14"/>
      <c r="K3373" s="14"/>
      <c r="L3373" s="14"/>
      <c r="M3373" s="14"/>
      <c r="N3373" s="14"/>
      <c r="O3373" s="4"/>
      <c r="P3373" s="14"/>
      <c r="Q3373" s="14"/>
    </row>
    <row r="3374" spans="1:17" x14ac:dyDescent="0.25">
      <c r="A3374" s="5"/>
      <c r="B3374" s="6"/>
      <c r="C3374" s="4"/>
      <c r="D3374" s="4"/>
      <c r="E3374" s="12"/>
      <c r="F3374" s="12"/>
      <c r="G3374" s="16"/>
      <c r="H3374" s="14"/>
      <c r="I3374" s="14"/>
      <c r="J3374" s="14"/>
      <c r="K3374" s="14"/>
      <c r="L3374" s="14"/>
      <c r="M3374" s="14"/>
      <c r="N3374" s="14"/>
      <c r="O3374" s="4"/>
      <c r="P3374" s="14"/>
      <c r="Q3374" s="14"/>
    </row>
    <row r="3375" spans="1:17" x14ac:dyDescent="0.25">
      <c r="A3375" s="5"/>
      <c r="B3375" s="6"/>
      <c r="C3375" s="4"/>
      <c r="D3375" s="4"/>
      <c r="E3375" s="12"/>
      <c r="F3375" s="12"/>
      <c r="G3375" s="16"/>
      <c r="H3375" s="14"/>
      <c r="I3375" s="14"/>
      <c r="J3375" s="14"/>
      <c r="K3375" s="14"/>
      <c r="L3375" s="14"/>
      <c r="M3375" s="14"/>
      <c r="N3375" s="14"/>
      <c r="O3375" s="4"/>
      <c r="P3375" s="14"/>
      <c r="Q3375" s="14"/>
    </row>
    <row r="3376" spans="1:17" x14ac:dyDescent="0.25">
      <c r="A3376" s="5"/>
      <c r="B3376" s="6"/>
      <c r="C3376" s="4"/>
      <c r="D3376" s="4"/>
      <c r="E3376" s="12"/>
      <c r="F3376" s="12"/>
      <c r="G3376" s="16"/>
      <c r="H3376" s="14"/>
      <c r="I3376" s="14"/>
      <c r="J3376" s="14"/>
      <c r="K3376" s="14"/>
      <c r="L3376" s="14"/>
      <c r="M3376" s="14"/>
      <c r="N3376" s="14"/>
      <c r="O3376" s="4"/>
      <c r="P3376" s="14"/>
      <c r="Q3376" s="14"/>
    </row>
    <row r="3377" spans="1:17" x14ac:dyDescent="0.25">
      <c r="A3377" s="5"/>
      <c r="B3377" s="6"/>
      <c r="C3377" s="4"/>
      <c r="D3377" s="4"/>
      <c r="E3377" s="12"/>
      <c r="F3377" s="12"/>
      <c r="G3377" s="16"/>
      <c r="H3377" s="14"/>
      <c r="I3377" s="14"/>
      <c r="J3377" s="14"/>
      <c r="K3377" s="14"/>
      <c r="L3377" s="14"/>
      <c r="M3377" s="14"/>
      <c r="N3377" s="14"/>
      <c r="O3377" s="4"/>
      <c r="P3377" s="14"/>
      <c r="Q3377" s="14"/>
    </row>
    <row r="3378" spans="1:17" x14ac:dyDescent="0.25">
      <c r="A3378" s="5"/>
      <c r="B3378" s="6"/>
      <c r="C3378" s="4"/>
      <c r="D3378" s="4"/>
      <c r="E3378" s="12"/>
      <c r="F3378" s="12"/>
      <c r="G3378" s="16"/>
      <c r="H3378" s="14"/>
      <c r="I3378" s="14"/>
      <c r="J3378" s="14"/>
      <c r="K3378" s="14"/>
      <c r="L3378" s="14"/>
      <c r="M3378" s="14"/>
      <c r="N3378" s="14"/>
      <c r="O3378" s="4"/>
      <c r="P3378" s="14"/>
      <c r="Q3378" s="14"/>
    </row>
    <row r="3379" spans="1:17" x14ac:dyDescent="0.25">
      <c r="A3379" s="5"/>
      <c r="B3379" s="6"/>
      <c r="C3379" s="4"/>
      <c r="D3379" s="4"/>
      <c r="E3379" s="12"/>
      <c r="F3379" s="12"/>
      <c r="G3379" s="16"/>
      <c r="H3379" s="14"/>
      <c r="I3379" s="14"/>
      <c r="J3379" s="14"/>
      <c r="K3379" s="14"/>
      <c r="L3379" s="14"/>
      <c r="M3379" s="14"/>
      <c r="N3379" s="14"/>
      <c r="O3379" s="4"/>
      <c r="P3379" s="14"/>
      <c r="Q3379" s="14"/>
    </row>
    <row r="3380" spans="1:17" x14ac:dyDescent="0.25">
      <c r="A3380" s="5"/>
      <c r="B3380" s="6"/>
      <c r="C3380" s="4"/>
      <c r="D3380" s="4"/>
      <c r="E3380" s="12"/>
      <c r="F3380" s="12"/>
      <c r="G3380" s="16"/>
      <c r="H3380" s="14"/>
      <c r="I3380" s="14"/>
      <c r="J3380" s="14"/>
      <c r="K3380" s="14"/>
      <c r="L3380" s="14"/>
      <c r="M3380" s="14"/>
      <c r="N3380" s="14"/>
      <c r="O3380" s="4"/>
      <c r="P3380" s="14"/>
      <c r="Q3380" s="14"/>
    </row>
    <row r="3381" spans="1:17" x14ac:dyDescent="0.25">
      <c r="A3381" s="5"/>
      <c r="B3381" s="6"/>
      <c r="C3381" s="4"/>
      <c r="D3381" s="4"/>
      <c r="E3381" s="12"/>
      <c r="F3381" s="12"/>
      <c r="G3381" s="16"/>
      <c r="H3381" s="14"/>
      <c r="I3381" s="14"/>
      <c r="J3381" s="14"/>
      <c r="K3381" s="14"/>
      <c r="L3381" s="14"/>
      <c r="M3381" s="14"/>
      <c r="N3381" s="14"/>
      <c r="O3381" s="4"/>
      <c r="P3381" s="14"/>
      <c r="Q3381" s="14"/>
    </row>
    <row r="3382" spans="1:17" x14ac:dyDescent="0.25">
      <c r="A3382" s="5"/>
      <c r="B3382" s="6"/>
      <c r="C3382" s="4"/>
      <c r="D3382" s="4"/>
      <c r="E3382" s="12"/>
      <c r="F3382" s="12"/>
      <c r="G3382" s="16"/>
      <c r="H3382" s="14"/>
      <c r="I3382" s="14"/>
      <c r="J3382" s="14"/>
      <c r="K3382" s="14"/>
      <c r="L3382" s="14"/>
      <c r="M3382" s="14"/>
      <c r="N3382" s="14"/>
      <c r="O3382" s="4"/>
      <c r="P3382" s="14"/>
      <c r="Q3382" s="14"/>
    </row>
    <row r="3383" spans="1:17" x14ac:dyDescent="0.25">
      <c r="A3383" s="5"/>
      <c r="B3383" s="6"/>
      <c r="C3383" s="4"/>
      <c r="D3383" s="4"/>
      <c r="E3383" s="12"/>
      <c r="F3383" s="12"/>
      <c r="G3383" s="16"/>
      <c r="H3383" s="14"/>
      <c r="I3383" s="14"/>
      <c r="J3383" s="14"/>
      <c r="K3383" s="14"/>
      <c r="L3383" s="14"/>
      <c r="M3383" s="14"/>
      <c r="N3383" s="14"/>
      <c r="O3383" s="4"/>
      <c r="P3383" s="14"/>
      <c r="Q3383" s="14"/>
    </row>
    <row r="3384" spans="1:17" x14ac:dyDescent="0.25">
      <c r="A3384" s="5"/>
      <c r="B3384" s="6"/>
      <c r="C3384" s="4"/>
      <c r="D3384" s="4"/>
      <c r="E3384" s="12"/>
      <c r="F3384" s="12"/>
      <c r="G3384" s="16"/>
      <c r="H3384" s="14"/>
      <c r="I3384" s="14"/>
      <c r="J3384" s="14"/>
      <c r="K3384" s="14"/>
      <c r="L3384" s="14"/>
      <c r="M3384" s="14"/>
      <c r="N3384" s="14"/>
      <c r="O3384" s="4"/>
      <c r="P3384" s="14"/>
      <c r="Q3384" s="14"/>
    </row>
    <row r="3385" spans="1:17" x14ac:dyDescent="0.25">
      <c r="A3385" s="5"/>
      <c r="B3385" s="6"/>
      <c r="C3385" s="4"/>
      <c r="D3385" s="4"/>
      <c r="E3385" s="12"/>
      <c r="F3385" s="12"/>
      <c r="G3385" s="16"/>
      <c r="H3385" s="14"/>
      <c r="I3385" s="14"/>
      <c r="J3385" s="14"/>
      <c r="K3385" s="14"/>
      <c r="L3385" s="14"/>
      <c r="M3385" s="14"/>
      <c r="N3385" s="14"/>
      <c r="O3385" s="4"/>
      <c r="P3385" s="14"/>
      <c r="Q3385" s="14"/>
    </row>
    <row r="3386" spans="1:17" x14ac:dyDescent="0.25">
      <c r="A3386" s="5"/>
      <c r="B3386" s="6"/>
      <c r="C3386" s="4"/>
      <c r="D3386" s="4"/>
      <c r="E3386" s="12"/>
      <c r="F3386" s="12"/>
      <c r="G3386" s="16"/>
      <c r="H3386" s="14"/>
      <c r="I3386" s="14"/>
      <c r="J3386" s="14"/>
      <c r="K3386" s="14"/>
      <c r="L3386" s="14"/>
      <c r="M3386" s="14"/>
      <c r="N3386" s="14"/>
      <c r="O3386" s="4"/>
      <c r="P3386" s="14"/>
      <c r="Q3386" s="14"/>
    </row>
    <row r="3387" spans="1:17" x14ac:dyDescent="0.25">
      <c r="A3387" s="5"/>
      <c r="B3387" s="6"/>
      <c r="C3387" s="4"/>
      <c r="D3387" s="4"/>
      <c r="E3387" s="12"/>
      <c r="F3387" s="12"/>
      <c r="G3387" s="16"/>
      <c r="H3387" s="14"/>
      <c r="I3387" s="14"/>
      <c r="J3387" s="14"/>
      <c r="K3387" s="14"/>
      <c r="L3387" s="14"/>
      <c r="M3387" s="14"/>
      <c r="N3387" s="14"/>
      <c r="O3387" s="4"/>
      <c r="P3387" s="14"/>
      <c r="Q3387" s="14"/>
    </row>
    <row r="3388" spans="1:17" x14ac:dyDescent="0.25">
      <c r="A3388" s="5"/>
      <c r="B3388" s="6"/>
      <c r="C3388" s="4"/>
      <c r="D3388" s="4"/>
      <c r="E3388" s="12"/>
      <c r="F3388" s="12"/>
      <c r="G3388" s="16"/>
      <c r="H3388" s="14"/>
      <c r="I3388" s="14"/>
      <c r="J3388" s="14"/>
      <c r="K3388" s="14"/>
      <c r="L3388" s="14"/>
      <c r="M3388" s="14"/>
      <c r="N3388" s="14"/>
      <c r="O3388" s="4"/>
      <c r="P3388" s="14"/>
      <c r="Q3388" s="14"/>
    </row>
    <row r="3389" spans="1:17" x14ac:dyDescent="0.25">
      <c r="A3389" s="5"/>
      <c r="B3389" s="6"/>
      <c r="C3389" s="4"/>
      <c r="D3389" s="4"/>
      <c r="E3389" s="12"/>
      <c r="F3389" s="12"/>
      <c r="G3389" s="16"/>
      <c r="H3389" s="14"/>
      <c r="I3389" s="14"/>
      <c r="J3389" s="14"/>
      <c r="K3389" s="14"/>
      <c r="L3389" s="14"/>
      <c r="M3389" s="14"/>
      <c r="N3389" s="14"/>
      <c r="O3389" s="4"/>
      <c r="P3389" s="14"/>
      <c r="Q3389" s="14"/>
    </row>
    <row r="3390" spans="1:17" x14ac:dyDescent="0.25">
      <c r="A3390" s="5"/>
      <c r="B3390" s="6"/>
      <c r="C3390" s="4"/>
      <c r="D3390" s="4"/>
      <c r="E3390" s="12"/>
      <c r="F3390" s="12"/>
      <c r="G3390" s="16"/>
      <c r="H3390" s="14"/>
      <c r="I3390" s="14"/>
      <c r="J3390" s="14"/>
      <c r="K3390" s="14"/>
      <c r="L3390" s="14"/>
      <c r="M3390" s="14"/>
      <c r="N3390" s="14"/>
      <c r="O3390" s="4"/>
      <c r="P3390" s="14"/>
      <c r="Q3390" s="14"/>
    </row>
    <row r="3391" spans="1:17" x14ac:dyDescent="0.25">
      <c r="A3391" s="5"/>
      <c r="B3391" s="6"/>
      <c r="C3391" s="4"/>
      <c r="D3391" s="4"/>
      <c r="E3391" s="12"/>
      <c r="F3391" s="12"/>
      <c r="G3391" s="16"/>
      <c r="H3391" s="14"/>
      <c r="I3391" s="14"/>
      <c r="J3391" s="14"/>
      <c r="K3391" s="14"/>
      <c r="L3391" s="14"/>
      <c r="M3391" s="14"/>
      <c r="N3391" s="14"/>
      <c r="O3391" s="4"/>
      <c r="P3391" s="14"/>
      <c r="Q3391" s="14"/>
    </row>
    <row r="3392" spans="1:17" x14ac:dyDescent="0.25">
      <c r="A3392" s="5"/>
      <c r="B3392" s="6"/>
      <c r="C3392" s="4"/>
      <c r="D3392" s="4"/>
      <c r="E3392" s="12"/>
      <c r="F3392" s="12"/>
      <c r="G3392" s="16"/>
      <c r="H3392" s="14"/>
      <c r="I3392" s="14"/>
      <c r="J3392" s="14"/>
      <c r="K3392" s="14"/>
      <c r="L3392" s="14"/>
      <c r="M3392" s="14"/>
      <c r="N3392" s="14"/>
      <c r="O3392" s="4"/>
      <c r="P3392" s="14"/>
      <c r="Q3392" s="14"/>
    </row>
    <row r="3393" spans="1:17" x14ac:dyDescent="0.25">
      <c r="A3393" s="5"/>
      <c r="B3393" s="6"/>
      <c r="C3393" s="4"/>
      <c r="D3393" s="4"/>
      <c r="E3393" s="12"/>
      <c r="F3393" s="12"/>
      <c r="G3393" s="16"/>
      <c r="H3393" s="14"/>
      <c r="I3393" s="14"/>
      <c r="J3393" s="14"/>
      <c r="K3393" s="14"/>
      <c r="L3393" s="14"/>
      <c r="M3393" s="14"/>
      <c r="N3393" s="14"/>
      <c r="O3393" s="4"/>
      <c r="P3393" s="14"/>
      <c r="Q3393" s="14"/>
    </row>
    <row r="3394" spans="1:17" x14ac:dyDescent="0.25">
      <c r="A3394" s="5"/>
      <c r="B3394" s="6"/>
      <c r="C3394" s="4"/>
      <c r="D3394" s="4"/>
      <c r="E3394" s="12"/>
      <c r="F3394" s="12"/>
      <c r="G3394" s="16"/>
      <c r="H3394" s="14"/>
      <c r="I3394" s="14"/>
      <c r="J3394" s="14"/>
      <c r="K3394" s="14"/>
      <c r="L3394" s="14"/>
      <c r="M3394" s="14"/>
      <c r="N3394" s="14"/>
      <c r="O3394" s="4"/>
      <c r="P3394" s="14"/>
      <c r="Q3394" s="14"/>
    </row>
    <row r="3395" spans="1:17" x14ac:dyDescent="0.25">
      <c r="A3395" s="5"/>
      <c r="B3395" s="6"/>
      <c r="C3395" s="4"/>
      <c r="D3395" s="4"/>
      <c r="E3395" s="12"/>
      <c r="F3395" s="12"/>
      <c r="G3395" s="16"/>
      <c r="H3395" s="14"/>
      <c r="I3395" s="14"/>
      <c r="J3395" s="14"/>
      <c r="K3395" s="14"/>
      <c r="L3395" s="14"/>
      <c r="M3395" s="14"/>
      <c r="N3395" s="14"/>
      <c r="O3395" s="4"/>
      <c r="P3395" s="14"/>
      <c r="Q3395" s="14"/>
    </row>
    <row r="3396" spans="1:17" x14ac:dyDescent="0.25">
      <c r="A3396" s="5"/>
      <c r="B3396" s="6"/>
      <c r="C3396" s="4"/>
      <c r="D3396" s="4"/>
      <c r="E3396" s="12"/>
      <c r="F3396" s="12"/>
      <c r="G3396" s="16"/>
      <c r="H3396" s="14"/>
      <c r="I3396" s="14"/>
      <c r="J3396" s="14"/>
      <c r="K3396" s="14"/>
      <c r="L3396" s="14"/>
      <c r="M3396" s="14"/>
      <c r="N3396" s="14"/>
      <c r="O3396" s="4"/>
      <c r="P3396" s="14"/>
      <c r="Q3396" s="14"/>
    </row>
    <row r="3397" spans="1:17" x14ac:dyDescent="0.25">
      <c r="A3397" s="5"/>
      <c r="B3397" s="6"/>
      <c r="C3397" s="4"/>
      <c r="D3397" s="4"/>
      <c r="E3397" s="12"/>
      <c r="F3397" s="12"/>
      <c r="G3397" s="16"/>
      <c r="H3397" s="14"/>
      <c r="I3397" s="14"/>
      <c r="J3397" s="14"/>
      <c r="K3397" s="14"/>
      <c r="L3397" s="14"/>
      <c r="M3397" s="14"/>
      <c r="N3397" s="14"/>
      <c r="O3397" s="4"/>
      <c r="P3397" s="14"/>
      <c r="Q3397" s="14"/>
    </row>
    <row r="3398" spans="1:17" x14ac:dyDescent="0.25">
      <c r="A3398" s="5"/>
      <c r="B3398" s="6"/>
      <c r="C3398" s="4"/>
      <c r="D3398" s="4"/>
      <c r="E3398" s="12"/>
      <c r="F3398" s="12"/>
      <c r="G3398" s="16"/>
      <c r="H3398" s="14"/>
      <c r="I3398" s="14"/>
      <c r="J3398" s="14"/>
      <c r="K3398" s="14"/>
      <c r="L3398" s="14"/>
      <c r="M3398" s="14"/>
      <c r="N3398" s="14"/>
      <c r="O3398" s="4"/>
      <c r="P3398" s="14"/>
      <c r="Q3398" s="14"/>
    </row>
    <row r="3399" spans="1:17" x14ac:dyDescent="0.25">
      <c r="A3399" s="5"/>
      <c r="B3399" s="6"/>
      <c r="C3399" s="4"/>
      <c r="D3399" s="4"/>
      <c r="E3399" s="12"/>
      <c r="F3399" s="12"/>
      <c r="G3399" s="16"/>
      <c r="H3399" s="14"/>
      <c r="I3399" s="14"/>
      <c r="J3399" s="14"/>
      <c r="K3399" s="14"/>
      <c r="L3399" s="14"/>
      <c r="M3399" s="14"/>
      <c r="N3399" s="14"/>
      <c r="O3399" s="4"/>
      <c r="P3399" s="14"/>
      <c r="Q3399" s="14"/>
    </row>
    <row r="3400" spans="1:17" x14ac:dyDescent="0.25">
      <c r="A3400" s="5"/>
      <c r="B3400" s="6"/>
      <c r="C3400" s="4"/>
      <c r="D3400" s="4"/>
      <c r="E3400" s="12"/>
      <c r="F3400" s="12"/>
      <c r="G3400" s="16"/>
      <c r="H3400" s="14"/>
      <c r="I3400" s="14"/>
      <c r="J3400" s="14"/>
      <c r="K3400" s="14"/>
      <c r="L3400" s="14"/>
      <c r="M3400" s="14"/>
      <c r="N3400" s="14"/>
      <c r="O3400" s="4"/>
      <c r="P3400" s="14"/>
      <c r="Q3400" s="14"/>
    </row>
    <row r="3401" spans="1:17" x14ac:dyDescent="0.25">
      <c r="A3401" s="5"/>
      <c r="B3401" s="6"/>
      <c r="C3401" s="4"/>
      <c r="D3401" s="4"/>
      <c r="E3401" s="12"/>
      <c r="F3401" s="12"/>
      <c r="G3401" s="16"/>
      <c r="H3401" s="14"/>
      <c r="I3401" s="14"/>
      <c r="J3401" s="14"/>
      <c r="K3401" s="14"/>
      <c r="L3401" s="14"/>
      <c r="M3401" s="14"/>
      <c r="N3401" s="14"/>
      <c r="O3401" s="4"/>
      <c r="P3401" s="14"/>
      <c r="Q3401" s="14"/>
    </row>
    <row r="3402" spans="1:17" x14ac:dyDescent="0.25">
      <c r="A3402" s="5"/>
      <c r="B3402" s="6"/>
      <c r="C3402" s="4"/>
      <c r="D3402" s="4"/>
      <c r="E3402" s="12"/>
      <c r="F3402" s="12"/>
      <c r="G3402" s="16"/>
      <c r="H3402" s="14"/>
      <c r="I3402" s="14"/>
      <c r="J3402" s="14"/>
      <c r="K3402" s="14"/>
      <c r="L3402" s="14"/>
      <c r="M3402" s="14"/>
      <c r="N3402" s="14"/>
      <c r="O3402" s="4"/>
      <c r="P3402" s="14"/>
      <c r="Q3402" s="14"/>
    </row>
    <row r="3403" spans="1:17" x14ac:dyDescent="0.25">
      <c r="A3403" s="5"/>
      <c r="B3403" s="6"/>
      <c r="C3403" s="4"/>
      <c r="D3403" s="4"/>
      <c r="E3403" s="12"/>
      <c r="F3403" s="12"/>
      <c r="G3403" s="16"/>
      <c r="H3403" s="14"/>
      <c r="I3403" s="14"/>
      <c r="J3403" s="14"/>
      <c r="K3403" s="14"/>
      <c r="L3403" s="14"/>
      <c r="M3403" s="14"/>
      <c r="N3403" s="14"/>
      <c r="O3403" s="4"/>
      <c r="P3403" s="14"/>
      <c r="Q3403" s="14"/>
    </row>
    <row r="3404" spans="1:17" x14ac:dyDescent="0.25">
      <c r="A3404" s="5"/>
      <c r="B3404" s="6"/>
      <c r="C3404" s="4"/>
      <c r="D3404" s="4"/>
      <c r="E3404" s="12"/>
      <c r="F3404" s="12"/>
      <c r="G3404" s="16"/>
      <c r="H3404" s="14"/>
      <c r="I3404" s="14"/>
      <c r="J3404" s="14"/>
      <c r="K3404" s="14"/>
      <c r="L3404" s="14"/>
      <c r="M3404" s="14"/>
      <c r="N3404" s="14"/>
      <c r="O3404" s="4"/>
      <c r="P3404" s="14"/>
      <c r="Q3404" s="14"/>
    </row>
    <row r="3405" spans="1:17" x14ac:dyDescent="0.25">
      <c r="A3405" s="5"/>
      <c r="B3405" s="6"/>
      <c r="C3405" s="4"/>
      <c r="D3405" s="4"/>
      <c r="E3405" s="12"/>
      <c r="F3405" s="12"/>
      <c r="G3405" s="16"/>
      <c r="H3405" s="14"/>
      <c r="I3405" s="14"/>
      <c r="J3405" s="14"/>
      <c r="K3405" s="14"/>
      <c r="L3405" s="14"/>
      <c r="M3405" s="14"/>
      <c r="N3405" s="14"/>
      <c r="O3405" s="4"/>
      <c r="P3405" s="14"/>
      <c r="Q3405" s="14"/>
    </row>
    <row r="3406" spans="1:17" x14ac:dyDescent="0.25">
      <c r="A3406" s="5"/>
      <c r="B3406" s="6"/>
      <c r="C3406" s="4"/>
      <c r="D3406" s="4"/>
      <c r="E3406" s="12"/>
      <c r="F3406" s="12"/>
      <c r="G3406" s="16"/>
      <c r="H3406" s="14"/>
      <c r="I3406" s="14"/>
      <c r="J3406" s="14"/>
      <c r="K3406" s="14"/>
      <c r="L3406" s="14"/>
      <c r="M3406" s="14"/>
      <c r="N3406" s="14"/>
      <c r="O3406" s="4"/>
      <c r="P3406" s="14"/>
      <c r="Q3406" s="14"/>
    </row>
    <row r="3407" spans="1:17" x14ac:dyDescent="0.25">
      <c r="A3407" s="5"/>
      <c r="B3407" s="6"/>
      <c r="C3407" s="4"/>
      <c r="D3407" s="4"/>
      <c r="E3407" s="12"/>
      <c r="F3407" s="12"/>
      <c r="G3407" s="16"/>
      <c r="H3407" s="14"/>
      <c r="I3407" s="14"/>
      <c r="J3407" s="14"/>
      <c r="K3407" s="14"/>
      <c r="L3407" s="14"/>
      <c r="M3407" s="14"/>
      <c r="N3407" s="14"/>
      <c r="O3407" s="4"/>
      <c r="P3407" s="14"/>
      <c r="Q3407" s="14"/>
    </row>
    <row r="3408" spans="1:17" x14ac:dyDescent="0.25">
      <c r="A3408" s="5"/>
      <c r="B3408" s="6"/>
      <c r="C3408" s="4"/>
      <c r="D3408" s="4"/>
      <c r="E3408" s="12"/>
      <c r="F3408" s="12"/>
      <c r="G3408" s="16"/>
      <c r="H3408" s="14"/>
      <c r="I3408" s="14"/>
      <c r="J3408" s="14"/>
      <c r="K3408" s="14"/>
      <c r="L3408" s="14"/>
      <c r="M3408" s="14"/>
      <c r="N3408" s="14"/>
      <c r="O3408" s="4"/>
      <c r="P3408" s="14"/>
      <c r="Q3408" s="14"/>
    </row>
    <row r="3409" spans="1:17" x14ac:dyDescent="0.25">
      <c r="A3409" s="5"/>
      <c r="B3409" s="6"/>
      <c r="C3409" s="4"/>
      <c r="D3409" s="4"/>
      <c r="E3409" s="12"/>
      <c r="F3409" s="12"/>
      <c r="G3409" s="16"/>
      <c r="H3409" s="14"/>
      <c r="I3409" s="14"/>
      <c r="J3409" s="14"/>
      <c r="K3409" s="14"/>
      <c r="L3409" s="14"/>
      <c r="M3409" s="14"/>
      <c r="N3409" s="14"/>
      <c r="O3409" s="4"/>
      <c r="P3409" s="14"/>
      <c r="Q3409" s="14"/>
    </row>
    <row r="3410" spans="1:17" x14ac:dyDescent="0.25">
      <c r="A3410" s="5"/>
      <c r="B3410" s="6"/>
      <c r="C3410" s="4"/>
      <c r="D3410" s="4"/>
      <c r="E3410" s="12"/>
      <c r="F3410" s="12"/>
      <c r="G3410" s="16"/>
      <c r="H3410" s="14"/>
      <c r="I3410" s="14"/>
      <c r="J3410" s="14"/>
      <c r="K3410" s="14"/>
      <c r="L3410" s="14"/>
      <c r="M3410" s="14"/>
      <c r="N3410" s="14"/>
      <c r="O3410" s="4"/>
      <c r="P3410" s="14"/>
      <c r="Q3410" s="14"/>
    </row>
    <row r="3411" spans="1:17" x14ac:dyDescent="0.25">
      <c r="A3411" s="5"/>
      <c r="B3411" s="6"/>
      <c r="C3411" s="4"/>
      <c r="D3411" s="4"/>
      <c r="E3411" s="12"/>
      <c r="F3411" s="12"/>
      <c r="G3411" s="16"/>
      <c r="H3411" s="14"/>
      <c r="I3411" s="14"/>
      <c r="J3411" s="14"/>
      <c r="K3411" s="14"/>
      <c r="L3411" s="14"/>
      <c r="M3411" s="14"/>
      <c r="N3411" s="14"/>
      <c r="O3411" s="4"/>
      <c r="P3411" s="14"/>
      <c r="Q3411" s="14"/>
    </row>
    <row r="3412" spans="1:17" x14ac:dyDescent="0.25">
      <c r="A3412" s="5"/>
      <c r="B3412" s="6"/>
      <c r="C3412" s="4"/>
      <c r="D3412" s="4"/>
      <c r="E3412" s="12"/>
      <c r="F3412" s="12"/>
      <c r="G3412" s="16"/>
      <c r="H3412" s="14"/>
      <c r="I3412" s="14"/>
      <c r="J3412" s="14"/>
      <c r="K3412" s="14"/>
      <c r="L3412" s="14"/>
      <c r="M3412" s="14"/>
      <c r="N3412" s="14"/>
      <c r="O3412" s="4"/>
      <c r="P3412" s="14"/>
      <c r="Q3412" s="14"/>
    </row>
    <row r="3413" spans="1:17" x14ac:dyDescent="0.25">
      <c r="A3413" s="5"/>
      <c r="B3413" s="6"/>
      <c r="C3413" s="4"/>
      <c r="D3413" s="4"/>
      <c r="E3413" s="12"/>
      <c r="F3413" s="12"/>
      <c r="G3413" s="16"/>
      <c r="H3413" s="14"/>
      <c r="I3413" s="14"/>
      <c r="J3413" s="14"/>
      <c r="K3413" s="14"/>
      <c r="L3413" s="14"/>
      <c r="M3413" s="14"/>
      <c r="N3413" s="14"/>
      <c r="O3413" s="4"/>
      <c r="P3413" s="14"/>
      <c r="Q3413" s="14"/>
    </row>
    <row r="3414" spans="1:17" x14ac:dyDescent="0.25">
      <c r="A3414" s="5"/>
      <c r="B3414" s="6"/>
      <c r="C3414" s="4"/>
      <c r="D3414" s="4"/>
      <c r="E3414" s="12"/>
      <c r="F3414" s="12"/>
      <c r="G3414" s="16"/>
      <c r="H3414" s="14"/>
      <c r="I3414" s="14"/>
      <c r="J3414" s="14"/>
      <c r="K3414" s="14"/>
      <c r="L3414" s="14"/>
      <c r="M3414" s="14"/>
      <c r="N3414" s="14"/>
      <c r="O3414" s="4"/>
      <c r="P3414" s="14"/>
      <c r="Q3414" s="14"/>
    </row>
    <row r="3415" spans="1:17" x14ac:dyDescent="0.25">
      <c r="A3415" s="5"/>
      <c r="B3415" s="6"/>
      <c r="C3415" s="4"/>
      <c r="D3415" s="4"/>
      <c r="E3415" s="12"/>
      <c r="F3415" s="12"/>
      <c r="G3415" s="16"/>
      <c r="H3415" s="14"/>
      <c r="I3415" s="14"/>
      <c r="J3415" s="14"/>
      <c r="K3415" s="14"/>
      <c r="L3415" s="14"/>
      <c r="M3415" s="14"/>
      <c r="N3415" s="14"/>
      <c r="O3415" s="4"/>
      <c r="P3415" s="14"/>
      <c r="Q3415" s="14"/>
    </row>
    <row r="3416" spans="1:17" x14ac:dyDescent="0.25">
      <c r="A3416" s="5"/>
      <c r="B3416" s="6"/>
      <c r="C3416" s="4"/>
      <c r="D3416" s="4"/>
      <c r="E3416" s="12"/>
      <c r="F3416" s="12"/>
      <c r="G3416" s="16"/>
      <c r="H3416" s="14"/>
      <c r="I3416" s="14"/>
      <c r="J3416" s="14"/>
      <c r="K3416" s="14"/>
      <c r="L3416" s="14"/>
      <c r="M3416" s="14"/>
      <c r="N3416" s="14"/>
      <c r="O3416" s="4"/>
      <c r="P3416" s="14"/>
      <c r="Q3416" s="14"/>
    </row>
    <row r="3417" spans="1:17" x14ac:dyDescent="0.25">
      <c r="A3417" s="5"/>
      <c r="B3417" s="6"/>
      <c r="C3417" s="4"/>
      <c r="D3417" s="4"/>
      <c r="E3417" s="12"/>
      <c r="F3417" s="12"/>
      <c r="G3417" s="16"/>
      <c r="H3417" s="14"/>
      <c r="I3417" s="14"/>
      <c r="J3417" s="14"/>
      <c r="K3417" s="14"/>
      <c r="L3417" s="14"/>
      <c r="M3417" s="14"/>
      <c r="N3417" s="14"/>
      <c r="O3417" s="4"/>
      <c r="P3417" s="14"/>
      <c r="Q3417" s="14"/>
    </row>
    <row r="3418" spans="1:17" x14ac:dyDescent="0.25">
      <c r="A3418" s="5"/>
      <c r="B3418" s="6"/>
      <c r="C3418" s="4"/>
      <c r="D3418" s="4"/>
      <c r="E3418" s="12"/>
      <c r="F3418" s="12"/>
      <c r="G3418" s="16"/>
      <c r="H3418" s="14"/>
      <c r="I3418" s="14"/>
      <c r="J3418" s="14"/>
      <c r="K3418" s="14"/>
      <c r="L3418" s="14"/>
      <c r="M3418" s="14"/>
      <c r="N3418" s="14"/>
      <c r="O3418" s="4"/>
      <c r="P3418" s="14"/>
      <c r="Q3418" s="14"/>
    </row>
    <row r="3419" spans="1:17" x14ac:dyDescent="0.25">
      <c r="A3419" s="5"/>
      <c r="B3419" s="6"/>
      <c r="C3419" s="4"/>
      <c r="D3419" s="4"/>
      <c r="E3419" s="12"/>
      <c r="F3419" s="12"/>
      <c r="G3419" s="16"/>
      <c r="H3419" s="14"/>
      <c r="I3419" s="14"/>
      <c r="J3419" s="14"/>
      <c r="K3419" s="14"/>
      <c r="L3419" s="14"/>
      <c r="M3419" s="14"/>
      <c r="N3419" s="14"/>
      <c r="O3419" s="4"/>
      <c r="P3419" s="14"/>
      <c r="Q3419" s="14"/>
    </row>
    <row r="3420" spans="1:17" x14ac:dyDescent="0.25">
      <c r="A3420" s="5"/>
      <c r="B3420" s="6"/>
      <c r="C3420" s="4"/>
      <c r="D3420" s="4"/>
      <c r="E3420" s="12"/>
      <c r="F3420" s="12"/>
      <c r="G3420" s="16"/>
      <c r="H3420" s="14"/>
      <c r="I3420" s="14"/>
      <c r="J3420" s="14"/>
      <c r="K3420" s="14"/>
      <c r="L3420" s="14"/>
      <c r="M3420" s="14"/>
      <c r="N3420" s="14"/>
      <c r="O3420" s="4"/>
      <c r="P3420" s="14"/>
      <c r="Q3420" s="14"/>
    </row>
    <row r="3421" spans="1:17" x14ac:dyDescent="0.25">
      <c r="A3421" s="5"/>
      <c r="B3421" s="6"/>
      <c r="C3421" s="4"/>
      <c r="D3421" s="4"/>
      <c r="E3421" s="12"/>
      <c r="F3421" s="12"/>
      <c r="G3421" s="16"/>
      <c r="H3421" s="14"/>
      <c r="I3421" s="14"/>
      <c r="J3421" s="14"/>
      <c r="K3421" s="14"/>
      <c r="L3421" s="14"/>
      <c r="M3421" s="14"/>
      <c r="N3421" s="14"/>
      <c r="O3421" s="4"/>
      <c r="P3421" s="14"/>
      <c r="Q3421" s="14"/>
    </row>
    <row r="3422" spans="1:17" x14ac:dyDescent="0.25">
      <c r="A3422" s="5"/>
      <c r="B3422" s="6"/>
      <c r="C3422" s="4"/>
      <c r="D3422" s="4"/>
      <c r="E3422" s="12"/>
      <c r="F3422" s="12"/>
      <c r="G3422" s="16"/>
      <c r="H3422" s="14"/>
      <c r="I3422" s="14"/>
      <c r="J3422" s="14"/>
      <c r="K3422" s="14"/>
      <c r="L3422" s="14"/>
      <c r="M3422" s="14"/>
      <c r="N3422" s="14"/>
      <c r="O3422" s="4"/>
      <c r="P3422" s="14"/>
      <c r="Q3422" s="14"/>
    </row>
    <row r="3423" spans="1:17" x14ac:dyDescent="0.25">
      <c r="A3423" s="5"/>
      <c r="B3423" s="6"/>
      <c r="C3423" s="4"/>
      <c r="D3423" s="4"/>
      <c r="E3423" s="12"/>
      <c r="F3423" s="12"/>
      <c r="G3423" s="16"/>
      <c r="H3423" s="14"/>
      <c r="I3423" s="14"/>
      <c r="J3423" s="14"/>
      <c r="K3423" s="14"/>
      <c r="L3423" s="14"/>
      <c r="M3423" s="14"/>
      <c r="N3423" s="14"/>
      <c r="O3423" s="4"/>
      <c r="P3423" s="14"/>
      <c r="Q3423" s="14"/>
    </row>
    <row r="3424" spans="1:17" x14ac:dyDescent="0.25">
      <c r="A3424" s="5"/>
      <c r="B3424" s="6"/>
      <c r="C3424" s="4"/>
      <c r="D3424" s="4"/>
      <c r="E3424" s="12"/>
      <c r="F3424" s="12"/>
      <c r="G3424" s="16"/>
      <c r="H3424" s="14"/>
      <c r="I3424" s="14"/>
      <c r="J3424" s="14"/>
      <c r="K3424" s="14"/>
      <c r="L3424" s="14"/>
      <c r="M3424" s="14"/>
      <c r="N3424" s="14"/>
      <c r="O3424" s="4"/>
      <c r="P3424" s="14"/>
      <c r="Q3424" s="14"/>
    </row>
    <row r="3425" spans="1:17" x14ac:dyDescent="0.25">
      <c r="A3425" s="5"/>
      <c r="B3425" s="6"/>
      <c r="C3425" s="4"/>
      <c r="D3425" s="4"/>
      <c r="E3425" s="12"/>
      <c r="F3425" s="12"/>
      <c r="G3425" s="16"/>
      <c r="H3425" s="14"/>
      <c r="I3425" s="14"/>
      <c r="J3425" s="14"/>
      <c r="K3425" s="14"/>
      <c r="L3425" s="14"/>
      <c r="M3425" s="14"/>
      <c r="N3425" s="14"/>
      <c r="O3425" s="4"/>
      <c r="P3425" s="14"/>
      <c r="Q3425" s="14"/>
    </row>
    <row r="3426" spans="1:17" x14ac:dyDescent="0.25">
      <c r="A3426" s="5"/>
      <c r="B3426" s="6"/>
      <c r="C3426" s="4"/>
      <c r="D3426" s="4"/>
      <c r="E3426" s="12"/>
      <c r="F3426" s="12"/>
      <c r="G3426" s="16"/>
      <c r="H3426" s="14"/>
      <c r="I3426" s="14"/>
      <c r="J3426" s="14"/>
      <c r="K3426" s="14"/>
      <c r="L3426" s="14"/>
      <c r="M3426" s="14"/>
      <c r="N3426" s="14"/>
      <c r="O3426" s="4"/>
      <c r="P3426" s="14"/>
      <c r="Q3426" s="14"/>
    </row>
    <row r="3427" spans="1:17" x14ac:dyDescent="0.25">
      <c r="A3427" s="5"/>
      <c r="B3427" s="6"/>
      <c r="C3427" s="4"/>
      <c r="D3427" s="4"/>
      <c r="E3427" s="12"/>
      <c r="F3427" s="12"/>
      <c r="G3427" s="16"/>
      <c r="H3427" s="14"/>
      <c r="I3427" s="14"/>
      <c r="J3427" s="14"/>
      <c r="K3427" s="14"/>
      <c r="L3427" s="14"/>
      <c r="M3427" s="14"/>
      <c r="N3427" s="14"/>
      <c r="O3427" s="4"/>
      <c r="P3427" s="14"/>
      <c r="Q3427" s="14"/>
    </row>
    <row r="3428" spans="1:17" x14ac:dyDescent="0.25">
      <c r="A3428" s="5"/>
      <c r="B3428" s="6"/>
      <c r="C3428" s="4"/>
      <c r="D3428" s="4"/>
      <c r="E3428" s="12"/>
      <c r="F3428" s="12"/>
      <c r="G3428" s="16"/>
      <c r="H3428" s="14"/>
      <c r="I3428" s="14"/>
      <c r="J3428" s="14"/>
      <c r="K3428" s="14"/>
      <c r="L3428" s="14"/>
      <c r="M3428" s="14"/>
      <c r="N3428" s="14"/>
      <c r="O3428" s="4"/>
      <c r="P3428" s="14"/>
      <c r="Q3428" s="14"/>
    </row>
    <row r="3429" spans="1:17" x14ac:dyDescent="0.25">
      <c r="A3429" s="5"/>
      <c r="B3429" s="6"/>
      <c r="C3429" s="4"/>
      <c r="D3429" s="4"/>
      <c r="E3429" s="12"/>
      <c r="F3429" s="12"/>
      <c r="G3429" s="16"/>
      <c r="H3429" s="14"/>
      <c r="I3429" s="14"/>
      <c r="J3429" s="14"/>
      <c r="K3429" s="14"/>
      <c r="L3429" s="14"/>
      <c r="M3429" s="14"/>
      <c r="N3429" s="14"/>
      <c r="O3429" s="4"/>
      <c r="P3429" s="14"/>
      <c r="Q3429" s="14"/>
    </row>
    <row r="3430" spans="1:17" x14ac:dyDescent="0.25">
      <c r="A3430" s="5"/>
      <c r="B3430" s="6"/>
      <c r="C3430" s="4"/>
      <c r="D3430" s="4"/>
      <c r="E3430" s="12"/>
      <c r="F3430" s="12"/>
      <c r="G3430" s="16"/>
      <c r="H3430" s="14"/>
      <c r="I3430" s="14"/>
      <c r="J3430" s="14"/>
      <c r="K3430" s="14"/>
      <c r="L3430" s="14"/>
      <c r="M3430" s="14"/>
      <c r="N3430" s="14"/>
      <c r="O3430" s="4"/>
      <c r="P3430" s="14"/>
      <c r="Q3430" s="14"/>
    </row>
    <row r="3431" spans="1:17" x14ac:dyDescent="0.25">
      <c r="A3431" s="5"/>
      <c r="B3431" s="6"/>
      <c r="C3431" s="4"/>
      <c r="D3431" s="4"/>
      <c r="E3431" s="12"/>
      <c r="F3431" s="12"/>
      <c r="G3431" s="16"/>
      <c r="H3431" s="14"/>
      <c r="I3431" s="14"/>
      <c r="J3431" s="14"/>
      <c r="K3431" s="14"/>
      <c r="L3431" s="14"/>
      <c r="M3431" s="14"/>
      <c r="N3431" s="14"/>
      <c r="O3431" s="4"/>
      <c r="P3431" s="14"/>
      <c r="Q3431" s="14"/>
    </row>
    <row r="3432" spans="1:17" x14ac:dyDescent="0.25">
      <c r="A3432" s="5"/>
      <c r="B3432" s="6"/>
      <c r="C3432" s="4"/>
      <c r="D3432" s="4"/>
      <c r="E3432" s="12"/>
      <c r="F3432" s="12"/>
      <c r="G3432" s="16"/>
      <c r="H3432" s="14"/>
      <c r="I3432" s="14"/>
      <c r="J3432" s="14"/>
      <c r="K3432" s="14"/>
      <c r="L3432" s="14"/>
      <c r="M3432" s="14"/>
      <c r="N3432" s="14"/>
      <c r="O3432" s="4"/>
      <c r="P3432" s="14"/>
      <c r="Q3432" s="14"/>
    </row>
    <row r="3433" spans="1:17" x14ac:dyDescent="0.25">
      <c r="A3433" s="5"/>
      <c r="B3433" s="6"/>
      <c r="C3433" s="4"/>
      <c r="D3433" s="4"/>
      <c r="E3433" s="12"/>
      <c r="F3433" s="12"/>
      <c r="G3433" s="16"/>
      <c r="H3433" s="14"/>
      <c r="I3433" s="14"/>
      <c r="J3433" s="14"/>
      <c r="K3433" s="14"/>
      <c r="L3433" s="14"/>
      <c r="M3433" s="14"/>
      <c r="N3433" s="14"/>
      <c r="O3433" s="4"/>
      <c r="P3433" s="14"/>
      <c r="Q3433" s="14"/>
    </row>
    <row r="3434" spans="1:17" x14ac:dyDescent="0.25">
      <c r="A3434" s="5"/>
      <c r="B3434" s="6"/>
      <c r="C3434" s="4"/>
      <c r="D3434" s="4"/>
      <c r="E3434" s="12"/>
      <c r="F3434" s="12"/>
      <c r="G3434" s="16"/>
      <c r="H3434" s="14"/>
      <c r="I3434" s="14"/>
      <c r="J3434" s="14"/>
      <c r="K3434" s="14"/>
      <c r="L3434" s="14"/>
      <c r="M3434" s="14"/>
      <c r="N3434" s="14"/>
      <c r="O3434" s="4"/>
      <c r="P3434" s="14"/>
      <c r="Q3434" s="14"/>
    </row>
    <row r="3435" spans="1:17" x14ac:dyDescent="0.25">
      <c r="A3435" s="5"/>
      <c r="B3435" s="6"/>
      <c r="C3435" s="4"/>
      <c r="D3435" s="4"/>
      <c r="E3435" s="12"/>
      <c r="F3435" s="12"/>
      <c r="G3435" s="16"/>
      <c r="H3435" s="14"/>
      <c r="I3435" s="14"/>
      <c r="J3435" s="14"/>
      <c r="K3435" s="14"/>
      <c r="L3435" s="14"/>
      <c r="M3435" s="14"/>
      <c r="N3435" s="14"/>
      <c r="O3435" s="4"/>
      <c r="P3435" s="14"/>
      <c r="Q3435" s="14"/>
    </row>
    <row r="3436" spans="1:17" x14ac:dyDescent="0.25">
      <c r="A3436" s="5"/>
      <c r="B3436" s="6"/>
      <c r="C3436" s="4"/>
      <c r="D3436" s="4"/>
      <c r="E3436" s="12"/>
      <c r="F3436" s="12"/>
      <c r="G3436" s="16"/>
      <c r="H3436" s="14"/>
      <c r="I3436" s="14"/>
      <c r="J3436" s="14"/>
      <c r="K3436" s="14"/>
      <c r="L3436" s="14"/>
      <c r="M3436" s="14"/>
      <c r="N3436" s="14"/>
      <c r="O3436" s="4"/>
      <c r="P3436" s="14"/>
      <c r="Q3436" s="14"/>
    </row>
    <row r="3437" spans="1:17" x14ac:dyDescent="0.25">
      <c r="A3437" s="5"/>
      <c r="B3437" s="6"/>
      <c r="C3437" s="4"/>
      <c r="D3437" s="4"/>
      <c r="E3437" s="12"/>
      <c r="F3437" s="12"/>
      <c r="G3437" s="16"/>
      <c r="H3437" s="14"/>
      <c r="I3437" s="14"/>
      <c r="J3437" s="14"/>
      <c r="K3437" s="14"/>
      <c r="L3437" s="14"/>
      <c r="M3437" s="14"/>
      <c r="N3437" s="14"/>
      <c r="O3437" s="4"/>
      <c r="P3437" s="14"/>
      <c r="Q3437" s="14"/>
    </row>
    <row r="3438" spans="1:17" x14ac:dyDescent="0.25">
      <c r="A3438" s="5"/>
      <c r="B3438" s="6"/>
      <c r="C3438" s="4"/>
      <c r="D3438" s="4"/>
      <c r="E3438" s="12"/>
      <c r="F3438" s="12"/>
      <c r="G3438" s="16"/>
      <c r="H3438" s="14"/>
      <c r="I3438" s="14"/>
      <c r="J3438" s="14"/>
      <c r="K3438" s="14"/>
      <c r="L3438" s="14"/>
      <c r="M3438" s="14"/>
      <c r="N3438" s="14"/>
      <c r="O3438" s="4"/>
      <c r="P3438" s="14"/>
      <c r="Q3438" s="14"/>
    </row>
    <row r="3439" spans="1:17" x14ac:dyDescent="0.25">
      <c r="A3439" s="5"/>
      <c r="B3439" s="6"/>
      <c r="C3439" s="4"/>
      <c r="D3439" s="4"/>
      <c r="E3439" s="12"/>
      <c r="F3439" s="12"/>
      <c r="G3439" s="16"/>
      <c r="H3439" s="14"/>
      <c r="I3439" s="14"/>
      <c r="J3439" s="14"/>
      <c r="K3439" s="14"/>
      <c r="L3439" s="14"/>
      <c r="M3439" s="14"/>
      <c r="N3439" s="14"/>
      <c r="O3439" s="4"/>
      <c r="P3439" s="14"/>
      <c r="Q3439" s="14"/>
    </row>
    <row r="3440" spans="1:17" x14ac:dyDescent="0.25">
      <c r="A3440" s="5"/>
      <c r="B3440" s="6"/>
      <c r="C3440" s="4"/>
      <c r="D3440" s="4"/>
      <c r="E3440" s="12"/>
      <c r="F3440" s="12"/>
      <c r="G3440" s="16"/>
      <c r="H3440" s="14"/>
      <c r="I3440" s="14"/>
      <c r="J3440" s="14"/>
      <c r="K3440" s="14"/>
      <c r="L3440" s="14"/>
      <c r="M3440" s="14"/>
      <c r="N3440" s="14"/>
      <c r="O3440" s="4"/>
      <c r="P3440" s="14"/>
      <c r="Q3440" s="14"/>
    </row>
    <row r="3441" spans="1:17" x14ac:dyDescent="0.25">
      <c r="A3441" s="5"/>
      <c r="B3441" s="6"/>
      <c r="C3441" s="4"/>
      <c r="D3441" s="4"/>
      <c r="E3441" s="12"/>
      <c r="F3441" s="12"/>
      <c r="G3441" s="16"/>
      <c r="H3441" s="14"/>
      <c r="I3441" s="14"/>
      <c r="J3441" s="14"/>
      <c r="K3441" s="14"/>
      <c r="L3441" s="14"/>
      <c r="M3441" s="14"/>
      <c r="N3441" s="14"/>
      <c r="O3441" s="4"/>
      <c r="P3441" s="14"/>
      <c r="Q3441" s="14"/>
    </row>
    <row r="3442" spans="1:17" x14ac:dyDescent="0.25">
      <c r="A3442" s="5"/>
      <c r="B3442" s="6"/>
      <c r="C3442" s="4"/>
      <c r="D3442" s="4"/>
      <c r="E3442" s="12"/>
      <c r="F3442" s="12"/>
      <c r="G3442" s="16"/>
      <c r="H3442" s="14"/>
      <c r="I3442" s="14"/>
      <c r="J3442" s="14"/>
      <c r="K3442" s="14"/>
      <c r="L3442" s="14"/>
      <c r="M3442" s="14"/>
      <c r="N3442" s="14"/>
      <c r="O3442" s="4"/>
      <c r="P3442" s="14"/>
      <c r="Q3442" s="14"/>
    </row>
    <row r="3443" spans="1:17" x14ac:dyDescent="0.25">
      <c r="A3443" s="5"/>
      <c r="B3443" s="6"/>
      <c r="C3443" s="4"/>
      <c r="D3443" s="4"/>
      <c r="E3443" s="12"/>
      <c r="F3443" s="12"/>
      <c r="G3443" s="16"/>
      <c r="H3443" s="14"/>
      <c r="I3443" s="14"/>
      <c r="J3443" s="14"/>
      <c r="K3443" s="14"/>
      <c r="L3443" s="14"/>
      <c r="M3443" s="14"/>
      <c r="N3443" s="14"/>
      <c r="O3443" s="4"/>
      <c r="P3443" s="14"/>
      <c r="Q3443" s="14"/>
    </row>
    <row r="3444" spans="1:17" x14ac:dyDescent="0.25">
      <c r="A3444" s="5"/>
      <c r="B3444" s="6"/>
      <c r="C3444" s="4"/>
      <c r="D3444" s="4"/>
      <c r="E3444" s="12"/>
      <c r="F3444" s="12"/>
      <c r="G3444" s="16"/>
      <c r="H3444" s="14"/>
      <c r="I3444" s="14"/>
      <c r="J3444" s="14"/>
      <c r="K3444" s="14"/>
      <c r="L3444" s="14"/>
      <c r="M3444" s="14"/>
      <c r="N3444" s="14"/>
      <c r="O3444" s="4"/>
      <c r="P3444" s="14"/>
      <c r="Q3444" s="14"/>
    </row>
    <row r="3445" spans="1:17" x14ac:dyDescent="0.25">
      <c r="A3445" s="5"/>
      <c r="B3445" s="6"/>
      <c r="C3445" s="4"/>
      <c r="D3445" s="4"/>
      <c r="E3445" s="12"/>
      <c r="F3445" s="12"/>
      <c r="G3445" s="16"/>
      <c r="H3445" s="14"/>
      <c r="I3445" s="14"/>
      <c r="J3445" s="14"/>
      <c r="K3445" s="14"/>
      <c r="L3445" s="14"/>
      <c r="M3445" s="14"/>
      <c r="N3445" s="14"/>
      <c r="O3445" s="4"/>
      <c r="P3445" s="14"/>
      <c r="Q3445" s="14"/>
    </row>
    <row r="3446" spans="1:17" x14ac:dyDescent="0.25">
      <c r="A3446" s="5"/>
      <c r="B3446" s="6"/>
      <c r="C3446" s="4"/>
      <c r="D3446" s="4"/>
      <c r="E3446" s="12"/>
      <c r="F3446" s="12"/>
      <c r="G3446" s="16"/>
      <c r="H3446" s="14"/>
      <c r="I3446" s="14"/>
      <c r="J3446" s="14"/>
      <c r="K3446" s="14"/>
      <c r="L3446" s="14"/>
      <c r="M3446" s="14"/>
      <c r="N3446" s="14"/>
      <c r="O3446" s="4"/>
      <c r="P3446" s="14"/>
      <c r="Q3446" s="14"/>
    </row>
    <row r="3447" spans="1:17" x14ac:dyDescent="0.25">
      <c r="A3447" s="5"/>
      <c r="B3447" s="6"/>
      <c r="C3447" s="4"/>
      <c r="D3447" s="4"/>
      <c r="E3447" s="12"/>
      <c r="F3447" s="12"/>
      <c r="G3447" s="16"/>
      <c r="H3447" s="14"/>
      <c r="I3447" s="14"/>
      <c r="J3447" s="14"/>
      <c r="K3447" s="14"/>
      <c r="L3447" s="14"/>
      <c r="M3447" s="14"/>
      <c r="N3447" s="14"/>
      <c r="O3447" s="4"/>
      <c r="P3447" s="14"/>
      <c r="Q3447" s="14"/>
    </row>
    <row r="3448" spans="1:17" x14ac:dyDescent="0.25">
      <c r="A3448" s="5"/>
      <c r="B3448" s="6"/>
      <c r="C3448" s="4"/>
      <c r="D3448" s="4"/>
      <c r="E3448" s="12"/>
      <c r="F3448" s="12"/>
      <c r="G3448" s="16"/>
      <c r="H3448" s="14"/>
      <c r="I3448" s="14"/>
      <c r="J3448" s="14"/>
      <c r="K3448" s="14"/>
      <c r="L3448" s="14"/>
      <c r="M3448" s="14"/>
      <c r="N3448" s="14"/>
      <c r="O3448" s="4"/>
      <c r="P3448" s="14"/>
      <c r="Q3448" s="14"/>
    </row>
    <row r="3449" spans="1:17" x14ac:dyDescent="0.25">
      <c r="A3449" s="5"/>
      <c r="B3449" s="6"/>
      <c r="C3449" s="4"/>
      <c r="D3449" s="4"/>
      <c r="E3449" s="12"/>
      <c r="F3449" s="12"/>
      <c r="G3449" s="16"/>
      <c r="H3449" s="14"/>
      <c r="I3449" s="14"/>
      <c r="J3449" s="14"/>
      <c r="K3449" s="14"/>
      <c r="L3449" s="14"/>
      <c r="M3449" s="14"/>
      <c r="N3449" s="14"/>
      <c r="O3449" s="4"/>
      <c r="P3449" s="14"/>
      <c r="Q3449" s="14"/>
    </row>
    <row r="3450" spans="1:17" x14ac:dyDescent="0.25">
      <c r="A3450" s="5"/>
      <c r="B3450" s="6"/>
      <c r="C3450" s="4"/>
      <c r="D3450" s="4"/>
      <c r="E3450" s="12"/>
      <c r="F3450" s="12"/>
      <c r="G3450" s="16"/>
      <c r="H3450" s="14"/>
      <c r="I3450" s="14"/>
      <c r="J3450" s="14"/>
      <c r="K3450" s="14"/>
      <c r="L3450" s="14"/>
      <c r="M3450" s="14"/>
      <c r="N3450" s="14"/>
      <c r="O3450" s="4"/>
      <c r="P3450" s="14"/>
      <c r="Q3450" s="14"/>
    </row>
    <row r="3451" spans="1:17" x14ac:dyDescent="0.25">
      <c r="A3451" s="5"/>
      <c r="B3451" s="6"/>
      <c r="C3451" s="4"/>
      <c r="D3451" s="4"/>
      <c r="E3451" s="12"/>
      <c r="F3451" s="12"/>
      <c r="G3451" s="16"/>
      <c r="H3451" s="14"/>
      <c r="I3451" s="14"/>
      <c r="J3451" s="14"/>
      <c r="K3451" s="14"/>
      <c r="L3451" s="14"/>
      <c r="M3451" s="14"/>
      <c r="N3451" s="14"/>
      <c r="O3451" s="4"/>
      <c r="P3451" s="14"/>
      <c r="Q3451" s="14"/>
    </row>
    <row r="3452" spans="1:17" x14ac:dyDescent="0.25">
      <c r="A3452" s="5"/>
      <c r="B3452" s="6"/>
      <c r="C3452" s="4"/>
      <c r="D3452" s="4"/>
      <c r="E3452" s="12"/>
      <c r="F3452" s="12"/>
      <c r="G3452" s="16"/>
      <c r="H3452" s="14"/>
      <c r="I3452" s="14"/>
      <c r="J3452" s="14"/>
      <c r="K3452" s="14"/>
      <c r="L3452" s="14"/>
      <c r="M3452" s="14"/>
      <c r="N3452" s="14"/>
      <c r="O3452" s="4"/>
      <c r="P3452" s="14"/>
      <c r="Q3452" s="14"/>
    </row>
    <row r="3453" spans="1:17" x14ac:dyDescent="0.25">
      <c r="A3453" s="5"/>
      <c r="B3453" s="6"/>
      <c r="C3453" s="4"/>
      <c r="D3453" s="4"/>
      <c r="E3453" s="12"/>
      <c r="F3453" s="12"/>
      <c r="G3453" s="16"/>
      <c r="H3453" s="14"/>
      <c r="I3453" s="14"/>
      <c r="J3453" s="14"/>
      <c r="K3453" s="14"/>
      <c r="L3453" s="14"/>
      <c r="M3453" s="14"/>
      <c r="N3453" s="14"/>
      <c r="O3453" s="4"/>
      <c r="P3453" s="14"/>
      <c r="Q3453" s="14"/>
    </row>
    <row r="3454" spans="1:17" x14ac:dyDescent="0.25">
      <c r="A3454" s="5"/>
      <c r="B3454" s="6"/>
      <c r="C3454" s="4"/>
      <c r="D3454" s="4"/>
      <c r="E3454" s="12"/>
      <c r="F3454" s="12"/>
      <c r="G3454" s="16"/>
      <c r="H3454" s="14"/>
      <c r="I3454" s="14"/>
      <c r="J3454" s="14"/>
      <c r="K3454" s="14"/>
      <c r="L3454" s="14"/>
      <c r="M3454" s="14"/>
      <c r="N3454" s="14"/>
      <c r="O3454" s="4"/>
      <c r="P3454" s="14"/>
      <c r="Q3454" s="14"/>
    </row>
    <row r="3455" spans="1:17" x14ac:dyDescent="0.25">
      <c r="A3455" s="5"/>
      <c r="B3455" s="6"/>
      <c r="C3455" s="4"/>
      <c r="D3455" s="4"/>
      <c r="E3455" s="12"/>
      <c r="F3455" s="12"/>
      <c r="G3455" s="16"/>
      <c r="H3455" s="14"/>
      <c r="I3455" s="14"/>
      <c r="J3455" s="14"/>
      <c r="K3455" s="14"/>
      <c r="L3455" s="14"/>
      <c r="M3455" s="14"/>
      <c r="N3455" s="14"/>
      <c r="O3455" s="4"/>
      <c r="P3455" s="14"/>
      <c r="Q3455" s="14"/>
    </row>
    <row r="3456" spans="1:17" x14ac:dyDescent="0.25">
      <c r="A3456" s="5"/>
      <c r="B3456" s="6"/>
      <c r="C3456" s="4"/>
      <c r="D3456" s="4"/>
      <c r="E3456" s="12"/>
      <c r="F3456" s="12"/>
      <c r="G3456" s="16"/>
      <c r="H3456" s="14"/>
      <c r="I3456" s="14"/>
      <c r="J3456" s="14"/>
      <c r="K3456" s="14"/>
      <c r="L3456" s="14"/>
      <c r="M3456" s="14"/>
      <c r="N3456" s="14"/>
      <c r="O3456" s="4"/>
      <c r="P3456" s="14"/>
      <c r="Q3456" s="14"/>
    </row>
    <row r="3457" spans="1:17" x14ac:dyDescent="0.25">
      <c r="A3457" s="5"/>
      <c r="B3457" s="6"/>
      <c r="C3457" s="4"/>
      <c r="D3457" s="4"/>
      <c r="E3457" s="12"/>
      <c r="F3457" s="12"/>
      <c r="G3457" s="16"/>
      <c r="H3457" s="14"/>
      <c r="I3457" s="14"/>
      <c r="J3457" s="14"/>
      <c r="K3457" s="14"/>
      <c r="L3457" s="14"/>
      <c r="M3457" s="14"/>
      <c r="N3457" s="14"/>
      <c r="O3457" s="4"/>
      <c r="P3457" s="14"/>
      <c r="Q3457" s="14"/>
    </row>
    <row r="3458" spans="1:17" x14ac:dyDescent="0.25">
      <c r="A3458" s="5"/>
      <c r="B3458" s="6"/>
      <c r="C3458" s="4"/>
      <c r="D3458" s="4"/>
      <c r="E3458" s="12"/>
      <c r="F3458" s="12"/>
      <c r="G3458" s="16"/>
      <c r="H3458" s="14"/>
      <c r="I3458" s="14"/>
      <c r="J3458" s="14"/>
      <c r="K3458" s="14"/>
      <c r="L3458" s="14"/>
      <c r="M3458" s="14"/>
      <c r="N3458" s="14"/>
      <c r="O3458" s="4"/>
      <c r="P3458" s="14"/>
      <c r="Q3458" s="14"/>
    </row>
    <row r="3459" spans="1:17" x14ac:dyDescent="0.25">
      <c r="A3459" s="5"/>
      <c r="B3459" s="6"/>
      <c r="C3459" s="4"/>
      <c r="D3459" s="4"/>
      <c r="E3459" s="12"/>
      <c r="F3459" s="12"/>
      <c r="G3459" s="16"/>
      <c r="H3459" s="14"/>
      <c r="I3459" s="14"/>
      <c r="J3459" s="14"/>
      <c r="K3459" s="14"/>
      <c r="L3459" s="14"/>
      <c r="M3459" s="14"/>
      <c r="N3459" s="14"/>
      <c r="O3459" s="4"/>
      <c r="P3459" s="14"/>
      <c r="Q3459" s="14"/>
    </row>
    <row r="3460" spans="1:17" x14ac:dyDescent="0.25">
      <c r="A3460" s="5"/>
      <c r="B3460" s="6"/>
      <c r="C3460" s="4"/>
      <c r="D3460" s="4"/>
      <c r="E3460" s="12"/>
      <c r="F3460" s="12"/>
      <c r="G3460" s="16"/>
      <c r="H3460" s="14"/>
      <c r="I3460" s="14"/>
      <c r="J3460" s="14"/>
      <c r="K3460" s="14"/>
      <c r="L3460" s="14"/>
      <c r="M3460" s="14"/>
      <c r="N3460" s="14"/>
      <c r="O3460" s="4"/>
      <c r="P3460" s="14"/>
      <c r="Q3460" s="14"/>
    </row>
    <row r="3461" spans="1:17" x14ac:dyDescent="0.25">
      <c r="A3461" s="5"/>
      <c r="B3461" s="6"/>
      <c r="C3461" s="4"/>
      <c r="D3461" s="4"/>
      <c r="E3461" s="12"/>
      <c r="F3461" s="12"/>
      <c r="G3461" s="16"/>
      <c r="H3461" s="14"/>
      <c r="I3461" s="14"/>
      <c r="J3461" s="14"/>
      <c r="K3461" s="14"/>
      <c r="L3461" s="14"/>
      <c r="M3461" s="14"/>
      <c r="N3461" s="14"/>
      <c r="O3461" s="4"/>
      <c r="P3461" s="14"/>
      <c r="Q3461" s="14"/>
    </row>
    <row r="3462" spans="1:17" x14ac:dyDescent="0.25">
      <c r="A3462" s="5"/>
      <c r="B3462" s="6"/>
      <c r="C3462" s="4"/>
      <c r="D3462" s="4"/>
      <c r="E3462" s="12"/>
      <c r="F3462" s="12"/>
      <c r="G3462" s="16"/>
      <c r="H3462" s="14"/>
      <c r="I3462" s="14"/>
      <c r="J3462" s="14"/>
      <c r="K3462" s="14"/>
      <c r="L3462" s="14"/>
      <c r="M3462" s="14"/>
      <c r="N3462" s="14"/>
      <c r="O3462" s="4"/>
      <c r="P3462" s="14"/>
      <c r="Q3462" s="14"/>
    </row>
    <row r="3463" spans="1:17" x14ac:dyDescent="0.25">
      <c r="A3463" s="5"/>
      <c r="B3463" s="6"/>
      <c r="C3463" s="4"/>
      <c r="D3463" s="4"/>
      <c r="E3463" s="12"/>
      <c r="F3463" s="12"/>
      <c r="G3463" s="16"/>
      <c r="H3463" s="14"/>
      <c r="I3463" s="14"/>
      <c r="J3463" s="14"/>
      <c r="K3463" s="14"/>
      <c r="L3463" s="14"/>
      <c r="M3463" s="14"/>
      <c r="N3463" s="14"/>
      <c r="O3463" s="4"/>
      <c r="P3463" s="14"/>
      <c r="Q3463" s="14"/>
    </row>
    <row r="3464" spans="1:17" x14ac:dyDescent="0.25">
      <c r="A3464" s="5"/>
      <c r="B3464" s="6"/>
      <c r="C3464" s="4"/>
      <c r="D3464" s="4"/>
      <c r="E3464" s="12"/>
      <c r="F3464" s="12"/>
      <c r="G3464" s="16"/>
      <c r="H3464" s="14"/>
      <c r="I3464" s="14"/>
      <c r="J3464" s="14"/>
      <c r="K3464" s="14"/>
      <c r="L3464" s="14"/>
      <c r="M3464" s="14"/>
      <c r="N3464" s="14"/>
      <c r="O3464" s="4"/>
      <c r="P3464" s="14"/>
      <c r="Q3464" s="14"/>
    </row>
    <row r="3465" spans="1:17" x14ac:dyDescent="0.25">
      <c r="A3465" s="5"/>
      <c r="B3465" s="6"/>
      <c r="C3465" s="4"/>
      <c r="D3465" s="4"/>
      <c r="E3465" s="12"/>
      <c r="F3465" s="12"/>
      <c r="G3465" s="16"/>
      <c r="H3465" s="14"/>
      <c r="I3465" s="14"/>
      <c r="J3465" s="14"/>
      <c r="K3465" s="14"/>
      <c r="L3465" s="14"/>
      <c r="M3465" s="14"/>
      <c r="N3465" s="14"/>
      <c r="O3465" s="4"/>
      <c r="P3465" s="14"/>
      <c r="Q3465" s="14"/>
    </row>
    <row r="3466" spans="1:17" x14ac:dyDescent="0.25">
      <c r="A3466" s="5"/>
      <c r="B3466" s="6"/>
      <c r="C3466" s="4"/>
      <c r="D3466" s="4"/>
      <c r="E3466" s="12"/>
      <c r="F3466" s="12"/>
      <c r="G3466" s="16"/>
      <c r="H3466" s="14"/>
      <c r="I3466" s="14"/>
      <c r="J3466" s="14"/>
      <c r="K3466" s="14"/>
      <c r="L3466" s="14"/>
      <c r="M3466" s="14"/>
      <c r="N3466" s="14"/>
      <c r="O3466" s="4"/>
      <c r="P3466" s="14"/>
      <c r="Q3466" s="14"/>
    </row>
    <row r="3467" spans="1:17" x14ac:dyDescent="0.25">
      <c r="A3467" s="5"/>
      <c r="B3467" s="6"/>
      <c r="C3467" s="4"/>
      <c r="D3467" s="4"/>
      <c r="E3467" s="12"/>
      <c r="F3467" s="12"/>
      <c r="G3467" s="16"/>
      <c r="H3467" s="14"/>
      <c r="I3467" s="14"/>
      <c r="J3467" s="14"/>
      <c r="K3467" s="14"/>
      <c r="L3467" s="14"/>
      <c r="M3467" s="14"/>
      <c r="N3467" s="14"/>
      <c r="O3467" s="4"/>
      <c r="P3467" s="14"/>
      <c r="Q3467" s="14"/>
    </row>
    <row r="3468" spans="1:17" x14ac:dyDescent="0.25">
      <c r="A3468" s="5"/>
      <c r="B3468" s="6"/>
      <c r="C3468" s="4"/>
      <c r="D3468" s="4"/>
      <c r="E3468" s="12"/>
      <c r="F3468" s="12"/>
      <c r="G3468" s="16"/>
      <c r="H3468" s="14"/>
      <c r="I3468" s="14"/>
      <c r="J3468" s="14"/>
      <c r="K3468" s="14"/>
      <c r="L3468" s="14"/>
      <c r="M3468" s="14"/>
      <c r="N3468" s="14"/>
      <c r="O3468" s="4"/>
      <c r="P3468" s="14"/>
      <c r="Q3468" s="14"/>
    </row>
    <row r="3469" spans="1:17" x14ac:dyDescent="0.25">
      <c r="A3469" s="5"/>
      <c r="B3469" s="6"/>
      <c r="C3469" s="4"/>
      <c r="D3469" s="4"/>
      <c r="E3469" s="12"/>
      <c r="F3469" s="12"/>
      <c r="G3469" s="16"/>
      <c r="H3469" s="14"/>
      <c r="I3469" s="14"/>
      <c r="J3469" s="14"/>
      <c r="K3469" s="14"/>
      <c r="L3469" s="14"/>
      <c r="M3469" s="14"/>
      <c r="N3469" s="14"/>
      <c r="O3469" s="4"/>
      <c r="P3469" s="14"/>
      <c r="Q3469" s="14"/>
    </row>
    <row r="3470" spans="1:17" x14ac:dyDescent="0.25">
      <c r="A3470" s="5"/>
      <c r="B3470" s="6"/>
      <c r="C3470" s="4"/>
      <c r="D3470" s="4"/>
      <c r="E3470" s="12"/>
      <c r="F3470" s="12"/>
      <c r="G3470" s="16"/>
      <c r="H3470" s="14"/>
      <c r="I3470" s="14"/>
      <c r="J3470" s="14"/>
      <c r="K3470" s="14"/>
      <c r="L3470" s="14"/>
      <c r="M3470" s="14"/>
      <c r="N3470" s="14"/>
      <c r="O3470" s="4"/>
      <c r="P3470" s="14"/>
      <c r="Q3470" s="14"/>
    </row>
    <row r="3471" spans="1:17" x14ac:dyDescent="0.25">
      <c r="A3471" s="5"/>
      <c r="B3471" s="6"/>
      <c r="C3471" s="4"/>
      <c r="D3471" s="4"/>
      <c r="E3471" s="12"/>
      <c r="F3471" s="12"/>
      <c r="G3471" s="16"/>
      <c r="H3471" s="14"/>
      <c r="I3471" s="14"/>
      <c r="J3471" s="14"/>
      <c r="K3471" s="14"/>
      <c r="L3471" s="14"/>
      <c r="M3471" s="14"/>
      <c r="N3471" s="14"/>
      <c r="O3471" s="4"/>
      <c r="P3471" s="14"/>
      <c r="Q3471" s="14"/>
    </row>
    <row r="3472" spans="1:17" x14ac:dyDescent="0.25">
      <c r="A3472" s="5"/>
      <c r="B3472" s="6"/>
      <c r="C3472" s="4"/>
      <c r="D3472" s="4"/>
      <c r="E3472" s="12"/>
      <c r="F3472" s="12"/>
      <c r="G3472" s="16"/>
      <c r="H3472" s="14"/>
      <c r="I3472" s="14"/>
      <c r="J3472" s="14"/>
      <c r="K3472" s="14"/>
      <c r="L3472" s="14"/>
      <c r="M3472" s="14"/>
      <c r="N3472" s="14"/>
      <c r="O3472" s="4"/>
      <c r="P3472" s="14"/>
      <c r="Q3472" s="14"/>
    </row>
    <row r="3473" spans="1:17" x14ac:dyDescent="0.25">
      <c r="A3473" s="5"/>
      <c r="B3473" s="6"/>
      <c r="C3473" s="4"/>
      <c r="D3473" s="4"/>
      <c r="E3473" s="12"/>
      <c r="F3473" s="12"/>
      <c r="G3473" s="16"/>
      <c r="H3473" s="14"/>
      <c r="I3473" s="14"/>
      <c r="J3473" s="14"/>
      <c r="K3473" s="14"/>
      <c r="L3473" s="14"/>
      <c r="M3473" s="14"/>
      <c r="N3473" s="14"/>
      <c r="O3473" s="4"/>
      <c r="P3473" s="14"/>
      <c r="Q3473" s="14"/>
    </row>
    <row r="3474" spans="1:17" x14ac:dyDescent="0.25">
      <c r="A3474" s="5"/>
      <c r="B3474" s="6"/>
      <c r="C3474" s="4"/>
      <c r="D3474" s="4"/>
      <c r="E3474" s="12"/>
      <c r="F3474" s="12"/>
      <c r="G3474" s="16"/>
      <c r="H3474" s="14"/>
      <c r="I3474" s="14"/>
      <c r="J3474" s="14"/>
      <c r="K3474" s="14"/>
      <c r="L3474" s="14"/>
      <c r="M3474" s="14"/>
      <c r="N3474" s="14"/>
      <c r="O3474" s="4"/>
      <c r="P3474" s="14"/>
      <c r="Q3474" s="14"/>
    </row>
    <row r="3475" spans="1:17" x14ac:dyDescent="0.25">
      <c r="A3475" s="5"/>
      <c r="B3475" s="6"/>
      <c r="C3475" s="4"/>
      <c r="D3475" s="4"/>
      <c r="E3475" s="12"/>
      <c r="F3475" s="12"/>
      <c r="G3475" s="16"/>
      <c r="H3475" s="14"/>
      <c r="I3475" s="14"/>
      <c r="J3475" s="14"/>
      <c r="K3475" s="14"/>
      <c r="L3475" s="14"/>
      <c r="M3475" s="14"/>
      <c r="N3475" s="14"/>
      <c r="O3475" s="4"/>
      <c r="P3475" s="14"/>
      <c r="Q3475" s="14"/>
    </row>
    <row r="3476" spans="1:17" x14ac:dyDescent="0.25">
      <c r="A3476" s="5"/>
      <c r="B3476" s="6"/>
      <c r="C3476" s="4"/>
      <c r="D3476" s="4"/>
      <c r="E3476" s="12"/>
      <c r="F3476" s="12"/>
      <c r="G3476" s="16"/>
      <c r="H3476" s="14"/>
      <c r="I3476" s="14"/>
      <c r="J3476" s="14"/>
      <c r="K3476" s="14"/>
      <c r="L3476" s="14"/>
      <c r="M3476" s="14"/>
      <c r="N3476" s="14"/>
      <c r="O3476" s="4"/>
      <c r="P3476" s="14"/>
      <c r="Q3476" s="14"/>
    </row>
    <row r="3477" spans="1:17" x14ac:dyDescent="0.25">
      <c r="A3477" s="5"/>
      <c r="B3477" s="6"/>
      <c r="C3477" s="4"/>
      <c r="D3477" s="4"/>
      <c r="E3477" s="12"/>
      <c r="F3477" s="12"/>
      <c r="G3477" s="16"/>
      <c r="H3477" s="14"/>
      <c r="I3477" s="14"/>
      <c r="J3477" s="14"/>
      <c r="K3477" s="14"/>
      <c r="L3477" s="14"/>
      <c r="M3477" s="14"/>
      <c r="N3477" s="14"/>
      <c r="O3477" s="4"/>
      <c r="P3477" s="14"/>
      <c r="Q3477" s="14"/>
    </row>
    <row r="3478" spans="1:17" x14ac:dyDescent="0.25">
      <c r="A3478" s="5"/>
      <c r="B3478" s="6"/>
      <c r="C3478" s="4"/>
      <c r="D3478" s="4"/>
      <c r="E3478" s="12"/>
      <c r="F3478" s="12"/>
      <c r="G3478" s="16"/>
      <c r="H3478" s="14"/>
      <c r="I3478" s="14"/>
      <c r="J3478" s="14"/>
      <c r="K3478" s="14"/>
      <c r="L3478" s="14"/>
      <c r="M3478" s="14"/>
      <c r="N3478" s="14"/>
      <c r="O3478" s="4"/>
      <c r="P3478" s="14"/>
      <c r="Q3478" s="14"/>
    </row>
    <row r="3479" spans="1:17" x14ac:dyDescent="0.25">
      <c r="A3479" s="5"/>
      <c r="B3479" s="6"/>
      <c r="C3479" s="4"/>
      <c r="D3479" s="4"/>
      <c r="E3479" s="12"/>
      <c r="F3479" s="12"/>
      <c r="G3479" s="16"/>
      <c r="H3479" s="14"/>
      <c r="I3479" s="14"/>
      <c r="J3479" s="14"/>
      <c r="K3479" s="14"/>
      <c r="L3479" s="14"/>
      <c r="M3479" s="14"/>
      <c r="N3479" s="14"/>
      <c r="O3479" s="4"/>
      <c r="P3479" s="14"/>
      <c r="Q3479" s="14"/>
    </row>
    <row r="3480" spans="1:17" x14ac:dyDescent="0.25">
      <c r="A3480" s="5"/>
      <c r="B3480" s="6"/>
      <c r="C3480" s="4"/>
      <c r="D3480" s="4"/>
      <c r="E3480" s="12"/>
      <c r="F3480" s="12"/>
      <c r="G3480" s="16"/>
      <c r="H3480" s="14"/>
      <c r="I3480" s="14"/>
      <c r="J3480" s="14"/>
      <c r="K3480" s="14"/>
      <c r="L3480" s="14"/>
      <c r="M3480" s="14"/>
      <c r="N3480" s="14"/>
      <c r="O3480" s="4"/>
      <c r="P3480" s="14"/>
      <c r="Q3480" s="14"/>
    </row>
    <row r="3481" spans="1:17" x14ac:dyDescent="0.25">
      <c r="A3481" s="5"/>
      <c r="B3481" s="6"/>
      <c r="C3481" s="4"/>
      <c r="D3481" s="4"/>
      <c r="E3481" s="12"/>
      <c r="F3481" s="12"/>
      <c r="G3481" s="16"/>
      <c r="H3481" s="14"/>
      <c r="I3481" s="14"/>
      <c r="J3481" s="14"/>
      <c r="K3481" s="14"/>
      <c r="L3481" s="14"/>
      <c r="M3481" s="14"/>
      <c r="N3481" s="14"/>
      <c r="O3481" s="4"/>
      <c r="P3481" s="14"/>
      <c r="Q3481" s="14"/>
    </row>
    <row r="3482" spans="1:17" x14ac:dyDescent="0.25">
      <c r="A3482" s="5"/>
      <c r="B3482" s="6"/>
      <c r="C3482" s="4"/>
      <c r="D3482" s="4"/>
      <c r="E3482" s="12"/>
      <c r="F3482" s="12"/>
      <c r="G3482" s="16"/>
      <c r="H3482" s="14"/>
      <c r="I3482" s="14"/>
      <c r="J3482" s="14"/>
      <c r="K3482" s="14"/>
      <c r="L3482" s="14"/>
      <c r="M3482" s="14"/>
      <c r="N3482" s="14"/>
      <c r="O3482" s="4"/>
      <c r="P3482" s="14"/>
      <c r="Q3482" s="14"/>
    </row>
    <row r="3483" spans="1:17" x14ac:dyDescent="0.25">
      <c r="A3483" s="5"/>
      <c r="B3483" s="6"/>
      <c r="C3483" s="4"/>
      <c r="D3483" s="4"/>
      <c r="E3483" s="12"/>
      <c r="F3483" s="12"/>
      <c r="G3483" s="16"/>
      <c r="H3483" s="14"/>
      <c r="I3483" s="14"/>
      <c r="J3483" s="14"/>
      <c r="K3483" s="14"/>
      <c r="L3483" s="14"/>
      <c r="M3483" s="14"/>
      <c r="N3483" s="14"/>
      <c r="O3483" s="4"/>
      <c r="P3483" s="14"/>
      <c r="Q3483" s="14"/>
    </row>
    <row r="3484" spans="1:17" x14ac:dyDescent="0.25">
      <c r="A3484" s="5"/>
      <c r="B3484" s="6"/>
      <c r="C3484" s="4"/>
      <c r="D3484" s="4"/>
      <c r="E3484" s="12"/>
      <c r="F3484" s="12"/>
      <c r="G3484" s="16"/>
      <c r="H3484" s="14"/>
      <c r="I3484" s="14"/>
      <c r="J3484" s="14"/>
      <c r="K3484" s="14"/>
      <c r="L3484" s="14"/>
      <c r="M3484" s="14"/>
      <c r="N3484" s="14"/>
      <c r="O3484" s="4"/>
      <c r="P3484" s="14"/>
      <c r="Q3484" s="14"/>
    </row>
    <row r="3485" spans="1:17" x14ac:dyDescent="0.25">
      <c r="A3485" s="5"/>
      <c r="B3485" s="6"/>
      <c r="C3485" s="4"/>
      <c r="D3485" s="4"/>
      <c r="E3485" s="12"/>
      <c r="F3485" s="12"/>
      <c r="G3485" s="16"/>
      <c r="H3485" s="14"/>
      <c r="I3485" s="14"/>
      <c r="J3485" s="14"/>
      <c r="K3485" s="14"/>
      <c r="L3485" s="14"/>
      <c r="M3485" s="14"/>
      <c r="N3485" s="14"/>
      <c r="O3485" s="4"/>
      <c r="P3485" s="14"/>
      <c r="Q3485" s="14"/>
    </row>
    <row r="3486" spans="1:17" x14ac:dyDescent="0.25">
      <c r="A3486" s="5"/>
      <c r="B3486" s="6"/>
      <c r="C3486" s="4"/>
      <c r="D3486" s="4"/>
      <c r="E3486" s="12"/>
      <c r="F3486" s="12"/>
      <c r="G3486" s="16"/>
      <c r="H3486" s="14"/>
      <c r="I3486" s="14"/>
      <c r="J3486" s="14"/>
      <c r="K3486" s="14"/>
      <c r="L3486" s="14"/>
      <c r="M3486" s="14"/>
      <c r="N3486" s="14"/>
      <c r="O3486" s="4"/>
      <c r="P3486" s="14"/>
      <c r="Q3486" s="14"/>
    </row>
    <row r="3487" spans="1:17" x14ac:dyDescent="0.25">
      <c r="A3487" s="5"/>
      <c r="B3487" s="6"/>
      <c r="C3487" s="4"/>
      <c r="D3487" s="4"/>
      <c r="E3487" s="12"/>
      <c r="F3487" s="12"/>
      <c r="G3487" s="16"/>
      <c r="H3487" s="14"/>
      <c r="I3487" s="14"/>
      <c r="J3487" s="14"/>
      <c r="K3487" s="14"/>
      <c r="L3487" s="14"/>
      <c r="M3487" s="14"/>
      <c r="N3487" s="14"/>
      <c r="O3487" s="4"/>
      <c r="P3487" s="14"/>
      <c r="Q3487" s="14"/>
    </row>
    <row r="3488" spans="1:17" x14ac:dyDescent="0.25">
      <c r="A3488" s="5"/>
      <c r="B3488" s="6"/>
      <c r="C3488" s="4"/>
      <c r="D3488" s="4"/>
      <c r="E3488" s="12"/>
      <c r="F3488" s="12"/>
      <c r="G3488" s="16"/>
      <c r="H3488" s="14"/>
      <c r="I3488" s="14"/>
      <c r="J3488" s="14"/>
      <c r="K3488" s="14"/>
      <c r="L3488" s="14"/>
      <c r="M3488" s="14"/>
      <c r="N3488" s="14"/>
      <c r="O3488" s="4"/>
      <c r="P3488" s="14"/>
      <c r="Q3488" s="14"/>
    </row>
    <row r="3489" spans="1:17" x14ac:dyDescent="0.25">
      <c r="A3489" s="5"/>
      <c r="B3489" s="6"/>
      <c r="C3489" s="4"/>
      <c r="D3489" s="4"/>
      <c r="E3489" s="12"/>
      <c r="F3489" s="12"/>
      <c r="G3489" s="16"/>
      <c r="H3489" s="14"/>
      <c r="I3489" s="14"/>
      <c r="J3489" s="14"/>
      <c r="K3489" s="14"/>
      <c r="L3489" s="14"/>
      <c r="M3489" s="14"/>
      <c r="N3489" s="14"/>
      <c r="O3489" s="4"/>
      <c r="P3489" s="14"/>
      <c r="Q3489" s="14"/>
    </row>
    <row r="3490" spans="1:17" x14ac:dyDescent="0.25">
      <c r="A3490" s="5"/>
      <c r="B3490" s="6"/>
      <c r="C3490" s="4"/>
      <c r="D3490" s="4"/>
      <c r="E3490" s="12"/>
      <c r="F3490" s="12"/>
      <c r="G3490" s="16"/>
      <c r="H3490" s="14"/>
      <c r="I3490" s="14"/>
      <c r="J3490" s="14"/>
      <c r="K3490" s="14"/>
      <c r="L3490" s="14"/>
      <c r="M3490" s="14"/>
      <c r="N3490" s="14"/>
      <c r="O3490" s="4"/>
      <c r="P3490" s="14"/>
      <c r="Q3490" s="14"/>
    </row>
    <row r="3491" spans="1:17" x14ac:dyDescent="0.25">
      <c r="A3491" s="5"/>
      <c r="B3491" s="6"/>
      <c r="C3491" s="4"/>
      <c r="D3491" s="4"/>
      <c r="E3491" s="12"/>
      <c r="F3491" s="12"/>
      <c r="G3491" s="16"/>
      <c r="H3491" s="14"/>
      <c r="I3491" s="14"/>
      <c r="J3491" s="14"/>
      <c r="K3491" s="14"/>
      <c r="L3491" s="14"/>
      <c r="M3491" s="14"/>
      <c r="N3491" s="14"/>
      <c r="O3491" s="4"/>
      <c r="P3491" s="14"/>
      <c r="Q3491" s="14"/>
    </row>
    <row r="3492" spans="1:17" x14ac:dyDescent="0.25">
      <c r="A3492" s="5"/>
      <c r="B3492" s="6"/>
      <c r="C3492" s="4"/>
      <c r="D3492" s="4"/>
      <c r="E3492" s="12"/>
      <c r="F3492" s="12"/>
      <c r="G3492" s="16"/>
      <c r="H3492" s="14"/>
      <c r="I3492" s="14"/>
      <c r="J3492" s="14"/>
      <c r="K3492" s="14"/>
      <c r="L3492" s="14"/>
      <c r="M3492" s="14"/>
      <c r="N3492" s="14"/>
      <c r="O3492" s="4"/>
      <c r="P3492" s="14"/>
      <c r="Q3492" s="14"/>
    </row>
    <row r="3493" spans="1:17" x14ac:dyDescent="0.25">
      <c r="A3493" s="5"/>
      <c r="B3493" s="6"/>
      <c r="C3493" s="4"/>
      <c r="D3493" s="4"/>
      <c r="E3493" s="12"/>
      <c r="F3493" s="12"/>
      <c r="G3493" s="16"/>
      <c r="H3493" s="14"/>
      <c r="I3493" s="14"/>
      <c r="J3493" s="14"/>
      <c r="K3493" s="14"/>
      <c r="L3493" s="14"/>
      <c r="M3493" s="14"/>
      <c r="N3493" s="14"/>
      <c r="O3493" s="4"/>
      <c r="P3493" s="14"/>
      <c r="Q3493" s="14"/>
    </row>
    <row r="3494" spans="1:17" x14ac:dyDescent="0.25">
      <c r="A3494" s="5"/>
      <c r="B3494" s="6"/>
      <c r="C3494" s="4"/>
      <c r="D3494" s="4"/>
      <c r="E3494" s="12"/>
      <c r="F3494" s="12"/>
      <c r="G3494" s="16"/>
      <c r="H3494" s="14"/>
      <c r="I3494" s="14"/>
      <c r="J3494" s="14"/>
      <c r="K3494" s="14"/>
      <c r="L3494" s="14"/>
      <c r="M3494" s="14"/>
      <c r="N3494" s="14"/>
      <c r="O3494" s="4"/>
      <c r="P3494" s="14"/>
      <c r="Q3494" s="14"/>
    </row>
    <row r="3495" spans="1:17" x14ac:dyDescent="0.25">
      <c r="A3495" s="5"/>
      <c r="B3495" s="6"/>
      <c r="C3495" s="4"/>
      <c r="D3495" s="4"/>
      <c r="E3495" s="12"/>
      <c r="F3495" s="12"/>
      <c r="G3495" s="16"/>
      <c r="H3495" s="14"/>
      <c r="I3495" s="14"/>
      <c r="J3495" s="14"/>
      <c r="K3495" s="14"/>
      <c r="L3495" s="14"/>
      <c r="M3495" s="14"/>
      <c r="N3495" s="14"/>
      <c r="O3495" s="4"/>
      <c r="P3495" s="14"/>
      <c r="Q3495" s="14"/>
    </row>
    <row r="3496" spans="1:17" x14ac:dyDescent="0.25">
      <c r="A3496" s="5"/>
      <c r="B3496" s="6"/>
      <c r="C3496" s="4"/>
      <c r="D3496" s="4"/>
      <c r="E3496" s="12"/>
      <c r="F3496" s="12"/>
      <c r="G3496" s="16"/>
      <c r="H3496" s="14"/>
      <c r="I3496" s="14"/>
      <c r="J3496" s="14"/>
      <c r="K3496" s="14"/>
      <c r="L3496" s="14"/>
      <c r="M3496" s="14"/>
      <c r="N3496" s="14"/>
      <c r="O3496" s="4"/>
      <c r="P3496" s="14"/>
      <c r="Q3496" s="14"/>
    </row>
    <row r="3497" spans="1:17" x14ac:dyDescent="0.25">
      <c r="A3497" s="5"/>
      <c r="B3497" s="6"/>
      <c r="C3497" s="4"/>
      <c r="D3497" s="4"/>
      <c r="E3497" s="12"/>
      <c r="F3497" s="12"/>
      <c r="G3497" s="16"/>
      <c r="H3497" s="14"/>
      <c r="I3497" s="14"/>
      <c r="J3497" s="14"/>
      <c r="K3497" s="14"/>
      <c r="L3497" s="14"/>
      <c r="M3497" s="14"/>
      <c r="N3497" s="14"/>
      <c r="O3497" s="4"/>
      <c r="P3497" s="14"/>
      <c r="Q3497" s="14"/>
    </row>
    <row r="3498" spans="1:17" x14ac:dyDescent="0.25">
      <c r="A3498" s="5"/>
      <c r="B3498" s="6"/>
      <c r="C3498" s="4"/>
      <c r="D3498" s="4"/>
      <c r="E3498" s="12"/>
      <c r="F3498" s="12"/>
      <c r="G3498" s="16"/>
      <c r="H3498" s="14"/>
      <c r="I3498" s="14"/>
      <c r="J3498" s="14"/>
      <c r="K3498" s="14"/>
      <c r="L3498" s="14"/>
      <c r="M3498" s="14"/>
      <c r="N3498" s="14"/>
      <c r="O3498" s="4"/>
      <c r="P3498" s="14"/>
      <c r="Q3498" s="14"/>
    </row>
    <row r="3499" spans="1:17" x14ac:dyDescent="0.25">
      <c r="A3499" s="5"/>
      <c r="B3499" s="6"/>
      <c r="C3499" s="4"/>
      <c r="D3499" s="4"/>
      <c r="E3499" s="12"/>
      <c r="F3499" s="12"/>
      <c r="G3499" s="16"/>
      <c r="H3499" s="14"/>
      <c r="I3499" s="14"/>
      <c r="J3499" s="14"/>
      <c r="K3499" s="14"/>
      <c r="L3499" s="14"/>
      <c r="M3499" s="14"/>
      <c r="N3499" s="14"/>
      <c r="O3499" s="4"/>
      <c r="P3499" s="14"/>
      <c r="Q3499" s="14"/>
    </row>
    <row r="3500" spans="1:17" x14ac:dyDescent="0.25">
      <c r="A3500" s="5"/>
      <c r="B3500" s="6"/>
      <c r="C3500" s="4"/>
      <c r="D3500" s="4"/>
      <c r="E3500" s="12"/>
      <c r="F3500" s="12"/>
      <c r="G3500" s="16"/>
      <c r="H3500" s="14"/>
      <c r="I3500" s="14"/>
      <c r="J3500" s="14"/>
      <c r="K3500" s="14"/>
      <c r="L3500" s="14"/>
      <c r="M3500" s="14"/>
      <c r="N3500" s="14"/>
      <c r="O3500" s="4"/>
      <c r="P3500" s="14"/>
      <c r="Q3500" s="14"/>
    </row>
    <row r="3501" spans="1:17" x14ac:dyDescent="0.25">
      <c r="A3501" s="5"/>
      <c r="B3501" s="6"/>
      <c r="C3501" s="4"/>
      <c r="D3501" s="4"/>
      <c r="E3501" s="12"/>
      <c r="F3501" s="12"/>
      <c r="G3501" s="16"/>
      <c r="H3501" s="14"/>
      <c r="I3501" s="14"/>
      <c r="J3501" s="14"/>
      <c r="K3501" s="14"/>
      <c r="L3501" s="14"/>
      <c r="M3501" s="14"/>
      <c r="N3501" s="14"/>
      <c r="O3501" s="4"/>
      <c r="P3501" s="14"/>
      <c r="Q3501" s="14"/>
    </row>
    <row r="3502" spans="1:17" x14ac:dyDescent="0.25">
      <c r="A3502" s="5"/>
      <c r="B3502" s="6"/>
      <c r="C3502" s="4"/>
      <c r="D3502" s="4"/>
      <c r="E3502" s="12"/>
      <c r="F3502" s="12"/>
      <c r="G3502" s="16"/>
      <c r="H3502" s="14"/>
      <c r="I3502" s="14"/>
      <c r="J3502" s="14"/>
      <c r="K3502" s="14"/>
      <c r="L3502" s="14"/>
      <c r="M3502" s="14"/>
      <c r="N3502" s="14"/>
      <c r="O3502" s="4"/>
      <c r="P3502" s="14"/>
      <c r="Q3502" s="14"/>
    </row>
    <row r="3503" spans="1:17" x14ac:dyDescent="0.25">
      <c r="A3503" s="5"/>
      <c r="B3503" s="6"/>
      <c r="C3503" s="4"/>
      <c r="D3503" s="4"/>
      <c r="E3503" s="12"/>
      <c r="F3503" s="12"/>
      <c r="G3503" s="16"/>
      <c r="H3503" s="14"/>
      <c r="I3503" s="14"/>
      <c r="J3503" s="14"/>
      <c r="K3503" s="14"/>
      <c r="L3503" s="14"/>
      <c r="M3503" s="14"/>
      <c r="N3503" s="14"/>
      <c r="O3503" s="4"/>
      <c r="P3503" s="14"/>
      <c r="Q3503" s="14"/>
    </row>
    <row r="3504" spans="1:17" x14ac:dyDescent="0.25">
      <c r="A3504" s="5"/>
      <c r="B3504" s="6"/>
      <c r="C3504" s="4"/>
      <c r="D3504" s="4"/>
      <c r="E3504" s="12"/>
      <c r="F3504" s="12"/>
      <c r="G3504" s="16"/>
      <c r="H3504" s="14"/>
      <c r="I3504" s="14"/>
      <c r="J3504" s="14"/>
      <c r="K3504" s="14"/>
      <c r="L3504" s="14"/>
      <c r="M3504" s="14"/>
      <c r="N3504" s="14"/>
      <c r="O3504" s="4"/>
      <c r="P3504" s="14"/>
      <c r="Q3504" s="14"/>
    </row>
    <row r="3505" spans="1:17" x14ac:dyDescent="0.25">
      <c r="A3505" s="5"/>
      <c r="B3505" s="6"/>
      <c r="C3505" s="4"/>
      <c r="D3505" s="4"/>
      <c r="E3505" s="12"/>
      <c r="F3505" s="12"/>
      <c r="G3505" s="16"/>
      <c r="H3505" s="14"/>
      <c r="I3505" s="14"/>
      <c r="J3505" s="14"/>
      <c r="K3505" s="14"/>
      <c r="L3505" s="14"/>
      <c r="M3505" s="14"/>
      <c r="N3505" s="14"/>
      <c r="O3505" s="4"/>
      <c r="P3505" s="14"/>
      <c r="Q3505" s="14"/>
    </row>
    <row r="3506" spans="1:17" x14ac:dyDescent="0.25">
      <c r="A3506" s="5"/>
      <c r="B3506" s="6"/>
      <c r="C3506" s="4"/>
      <c r="D3506" s="4"/>
      <c r="E3506" s="12"/>
      <c r="F3506" s="12"/>
      <c r="G3506" s="16"/>
      <c r="H3506" s="14"/>
      <c r="I3506" s="14"/>
      <c r="J3506" s="14"/>
      <c r="K3506" s="14"/>
      <c r="L3506" s="14"/>
      <c r="M3506" s="14"/>
      <c r="N3506" s="14"/>
      <c r="O3506" s="4"/>
      <c r="P3506" s="14"/>
      <c r="Q3506" s="14"/>
    </row>
    <row r="3507" spans="1:17" x14ac:dyDescent="0.25">
      <c r="A3507" s="5"/>
      <c r="B3507" s="6"/>
      <c r="C3507" s="4"/>
      <c r="D3507" s="4"/>
      <c r="E3507" s="12"/>
      <c r="F3507" s="12"/>
      <c r="G3507" s="16"/>
      <c r="H3507" s="14"/>
      <c r="I3507" s="14"/>
      <c r="J3507" s="14"/>
      <c r="K3507" s="14"/>
      <c r="L3507" s="14"/>
      <c r="M3507" s="14"/>
      <c r="N3507" s="14"/>
      <c r="O3507" s="4"/>
      <c r="P3507" s="14"/>
      <c r="Q3507" s="14"/>
    </row>
    <row r="3508" spans="1:17" x14ac:dyDescent="0.25">
      <c r="A3508" s="5"/>
      <c r="B3508" s="6"/>
      <c r="C3508" s="4"/>
      <c r="D3508" s="4"/>
      <c r="E3508" s="12"/>
      <c r="F3508" s="12"/>
      <c r="G3508" s="16"/>
      <c r="H3508" s="14"/>
      <c r="I3508" s="14"/>
      <c r="J3508" s="14"/>
      <c r="K3508" s="14"/>
      <c r="L3508" s="14"/>
      <c r="M3508" s="14"/>
      <c r="N3508" s="14"/>
      <c r="O3508" s="4"/>
      <c r="P3508" s="14"/>
      <c r="Q3508" s="14"/>
    </row>
    <row r="3509" spans="1:17" x14ac:dyDescent="0.25">
      <c r="A3509" s="5"/>
      <c r="B3509" s="6"/>
      <c r="C3509" s="4"/>
      <c r="D3509" s="4"/>
      <c r="E3509" s="12"/>
      <c r="F3509" s="12"/>
      <c r="G3509" s="16"/>
      <c r="H3509" s="14"/>
      <c r="I3509" s="14"/>
      <c r="J3509" s="14"/>
      <c r="K3509" s="14"/>
      <c r="L3509" s="14"/>
      <c r="M3509" s="14"/>
      <c r="N3509" s="14"/>
      <c r="O3509" s="4"/>
      <c r="P3509" s="14"/>
      <c r="Q3509" s="14"/>
    </row>
    <row r="3510" spans="1:17" x14ac:dyDescent="0.25">
      <c r="A3510" s="5"/>
      <c r="B3510" s="6"/>
      <c r="C3510" s="4"/>
      <c r="D3510" s="4"/>
      <c r="E3510" s="12"/>
      <c r="F3510" s="12"/>
      <c r="G3510" s="16"/>
      <c r="H3510" s="14"/>
      <c r="I3510" s="14"/>
      <c r="J3510" s="14"/>
      <c r="K3510" s="14"/>
      <c r="L3510" s="14"/>
      <c r="M3510" s="14"/>
      <c r="N3510" s="14"/>
      <c r="O3510" s="4"/>
      <c r="P3510" s="14"/>
      <c r="Q3510" s="14"/>
    </row>
    <row r="3511" spans="1:17" x14ac:dyDescent="0.25">
      <c r="A3511" s="5"/>
      <c r="B3511" s="6"/>
      <c r="C3511" s="4"/>
      <c r="D3511" s="4"/>
      <c r="E3511" s="12"/>
      <c r="F3511" s="12"/>
      <c r="G3511" s="16"/>
      <c r="H3511" s="14"/>
      <c r="I3511" s="14"/>
      <c r="J3511" s="14"/>
      <c r="K3511" s="14"/>
      <c r="L3511" s="14"/>
      <c r="M3511" s="14"/>
      <c r="N3511" s="14"/>
      <c r="O3511" s="4"/>
      <c r="P3511" s="14"/>
      <c r="Q3511" s="14"/>
    </row>
    <row r="3512" spans="1:17" x14ac:dyDescent="0.25">
      <c r="A3512" s="5"/>
      <c r="B3512" s="6"/>
      <c r="C3512" s="4"/>
      <c r="D3512" s="4"/>
      <c r="E3512" s="12"/>
      <c r="F3512" s="12"/>
      <c r="G3512" s="16"/>
      <c r="H3512" s="14"/>
      <c r="I3512" s="14"/>
      <c r="J3512" s="14"/>
      <c r="K3512" s="14"/>
      <c r="L3512" s="14"/>
      <c r="M3512" s="14"/>
      <c r="N3512" s="14"/>
      <c r="O3512" s="4"/>
      <c r="P3512" s="14"/>
      <c r="Q3512" s="14"/>
    </row>
    <row r="3513" spans="1:17" x14ac:dyDescent="0.25">
      <c r="A3513" s="5"/>
      <c r="B3513" s="6"/>
      <c r="C3513" s="4"/>
      <c r="D3513" s="4"/>
      <c r="E3513" s="12"/>
      <c r="F3513" s="12"/>
      <c r="G3513" s="16"/>
      <c r="H3513" s="14"/>
      <c r="I3513" s="14"/>
      <c r="J3513" s="14"/>
      <c r="K3513" s="14"/>
      <c r="L3513" s="14"/>
      <c r="M3513" s="14"/>
      <c r="N3513" s="14"/>
      <c r="O3513" s="4"/>
      <c r="P3513" s="14"/>
      <c r="Q3513" s="14"/>
    </row>
    <row r="3514" spans="1:17" x14ac:dyDescent="0.25">
      <c r="A3514" s="5"/>
      <c r="B3514" s="6"/>
      <c r="C3514" s="4"/>
      <c r="D3514" s="4"/>
      <c r="E3514" s="12"/>
      <c r="F3514" s="12"/>
      <c r="G3514" s="16"/>
      <c r="H3514" s="14"/>
      <c r="I3514" s="14"/>
      <c r="J3514" s="14"/>
      <c r="K3514" s="14"/>
      <c r="L3514" s="14"/>
      <c r="M3514" s="14"/>
      <c r="N3514" s="14"/>
      <c r="O3514" s="4"/>
      <c r="P3514" s="14"/>
      <c r="Q3514" s="14"/>
    </row>
    <row r="3515" spans="1:17" x14ac:dyDescent="0.25">
      <c r="A3515" s="5"/>
      <c r="B3515" s="6"/>
      <c r="C3515" s="4"/>
      <c r="D3515" s="4"/>
      <c r="E3515" s="12"/>
      <c r="F3515" s="12"/>
      <c r="G3515" s="16"/>
      <c r="H3515" s="14"/>
      <c r="I3515" s="14"/>
      <c r="J3515" s="14"/>
      <c r="K3515" s="14"/>
      <c r="L3515" s="14"/>
      <c r="M3515" s="14"/>
      <c r="N3515" s="14"/>
      <c r="O3515" s="4"/>
      <c r="P3515" s="14"/>
      <c r="Q3515" s="14"/>
    </row>
    <row r="3516" spans="1:17" x14ac:dyDescent="0.25">
      <c r="A3516" s="5"/>
      <c r="B3516" s="6"/>
      <c r="C3516" s="4"/>
      <c r="D3516" s="4"/>
      <c r="E3516" s="12"/>
      <c r="F3516" s="12"/>
      <c r="G3516" s="16"/>
      <c r="H3516" s="14"/>
      <c r="I3516" s="14"/>
      <c r="J3516" s="14"/>
      <c r="K3516" s="14"/>
      <c r="L3516" s="14"/>
      <c r="M3516" s="14"/>
      <c r="N3516" s="14"/>
      <c r="O3516" s="4"/>
      <c r="P3516" s="14"/>
      <c r="Q3516" s="14"/>
    </row>
    <row r="3517" spans="1:17" x14ac:dyDescent="0.25">
      <c r="A3517" s="5"/>
      <c r="B3517" s="6"/>
      <c r="C3517" s="4"/>
      <c r="D3517" s="4"/>
      <c r="E3517" s="12"/>
      <c r="F3517" s="12"/>
      <c r="G3517" s="16"/>
      <c r="H3517" s="14"/>
      <c r="I3517" s="14"/>
      <c r="J3517" s="14"/>
      <c r="K3517" s="14"/>
      <c r="L3517" s="14"/>
      <c r="M3517" s="14"/>
      <c r="N3517" s="14"/>
      <c r="O3517" s="4"/>
      <c r="P3517" s="14"/>
      <c r="Q3517" s="14"/>
    </row>
    <row r="3518" spans="1:17" x14ac:dyDescent="0.25">
      <c r="A3518" s="5"/>
      <c r="B3518" s="6"/>
      <c r="C3518" s="4"/>
      <c r="D3518" s="4"/>
      <c r="E3518" s="12"/>
      <c r="F3518" s="12"/>
      <c r="G3518" s="16"/>
      <c r="H3518" s="14"/>
      <c r="I3518" s="14"/>
      <c r="J3518" s="14"/>
      <c r="K3518" s="14"/>
      <c r="L3518" s="14"/>
      <c r="M3518" s="14"/>
      <c r="N3518" s="14"/>
      <c r="O3518" s="4"/>
      <c r="P3518" s="14"/>
      <c r="Q3518" s="14"/>
    </row>
    <row r="3519" spans="1:17" x14ac:dyDescent="0.25">
      <c r="A3519" s="5"/>
      <c r="B3519" s="6"/>
      <c r="C3519" s="4"/>
      <c r="D3519" s="4"/>
      <c r="E3519" s="12"/>
      <c r="F3519" s="12"/>
      <c r="G3519" s="16"/>
      <c r="H3519" s="14"/>
      <c r="I3519" s="14"/>
      <c r="J3519" s="14"/>
      <c r="K3519" s="14"/>
      <c r="L3519" s="14"/>
      <c r="M3519" s="14"/>
      <c r="N3519" s="14"/>
      <c r="O3519" s="4"/>
      <c r="P3519" s="14"/>
      <c r="Q3519" s="14"/>
    </row>
    <row r="3520" spans="1:17" x14ac:dyDescent="0.25">
      <c r="A3520" s="5"/>
      <c r="B3520" s="6"/>
      <c r="C3520" s="4"/>
      <c r="D3520" s="4"/>
      <c r="E3520" s="12"/>
      <c r="F3520" s="12"/>
      <c r="G3520" s="16"/>
      <c r="H3520" s="14"/>
      <c r="I3520" s="14"/>
      <c r="J3520" s="14"/>
      <c r="K3520" s="14"/>
      <c r="L3520" s="14"/>
      <c r="M3520" s="14"/>
      <c r="N3520" s="14"/>
      <c r="O3520" s="4"/>
      <c r="P3520" s="14"/>
      <c r="Q3520" s="14"/>
    </row>
    <row r="3521" spans="1:17" x14ac:dyDescent="0.25">
      <c r="A3521" s="5"/>
      <c r="B3521" s="6"/>
      <c r="C3521" s="4"/>
      <c r="D3521" s="4"/>
      <c r="E3521" s="12"/>
      <c r="F3521" s="12"/>
      <c r="G3521" s="16"/>
      <c r="H3521" s="14"/>
      <c r="I3521" s="14"/>
      <c r="J3521" s="14"/>
      <c r="K3521" s="14"/>
      <c r="L3521" s="14"/>
      <c r="M3521" s="14"/>
      <c r="N3521" s="14"/>
      <c r="O3521" s="4"/>
      <c r="P3521" s="14"/>
      <c r="Q3521" s="14"/>
    </row>
    <row r="3522" spans="1:17" x14ac:dyDescent="0.25">
      <c r="A3522" s="5"/>
      <c r="B3522" s="6"/>
      <c r="C3522" s="4"/>
      <c r="D3522" s="4"/>
      <c r="E3522" s="12"/>
      <c r="F3522" s="12"/>
      <c r="G3522" s="16"/>
      <c r="H3522" s="14"/>
      <c r="I3522" s="14"/>
      <c r="J3522" s="14"/>
      <c r="K3522" s="14"/>
      <c r="L3522" s="14"/>
      <c r="M3522" s="14"/>
      <c r="N3522" s="14"/>
      <c r="O3522" s="4"/>
      <c r="P3522" s="14"/>
      <c r="Q3522" s="14"/>
    </row>
    <row r="3523" spans="1:17" x14ac:dyDescent="0.25">
      <c r="A3523" s="5"/>
      <c r="B3523" s="6"/>
      <c r="C3523" s="4"/>
      <c r="D3523" s="4"/>
      <c r="E3523" s="12"/>
      <c r="F3523" s="12"/>
      <c r="G3523" s="16"/>
      <c r="H3523" s="14"/>
      <c r="I3523" s="14"/>
      <c r="J3523" s="14"/>
      <c r="K3523" s="14"/>
      <c r="L3523" s="14"/>
      <c r="M3523" s="14"/>
      <c r="N3523" s="14"/>
      <c r="O3523" s="4"/>
      <c r="P3523" s="14"/>
      <c r="Q3523" s="14"/>
    </row>
    <row r="3524" spans="1:17" x14ac:dyDescent="0.25">
      <c r="A3524" s="5"/>
      <c r="B3524" s="6"/>
      <c r="C3524" s="4"/>
      <c r="D3524" s="4"/>
      <c r="E3524" s="12"/>
      <c r="F3524" s="12"/>
      <c r="G3524" s="16"/>
      <c r="H3524" s="14"/>
      <c r="I3524" s="14"/>
      <c r="J3524" s="14"/>
      <c r="K3524" s="14"/>
      <c r="L3524" s="14"/>
      <c r="M3524" s="14"/>
      <c r="N3524" s="14"/>
      <c r="O3524" s="4"/>
      <c r="P3524" s="14"/>
      <c r="Q3524" s="14"/>
    </row>
    <row r="3525" spans="1:17" x14ac:dyDescent="0.25">
      <c r="A3525" s="5"/>
      <c r="B3525" s="6"/>
      <c r="C3525" s="4"/>
      <c r="D3525" s="4"/>
      <c r="E3525" s="12"/>
      <c r="F3525" s="12"/>
      <c r="G3525" s="16"/>
      <c r="H3525" s="14"/>
      <c r="I3525" s="14"/>
      <c r="J3525" s="14"/>
      <c r="K3525" s="14"/>
      <c r="L3525" s="14"/>
      <c r="M3525" s="14"/>
      <c r="N3525" s="14"/>
      <c r="O3525" s="4"/>
      <c r="P3525" s="14"/>
      <c r="Q3525" s="14"/>
    </row>
    <row r="3526" spans="1:17" x14ac:dyDescent="0.25">
      <c r="A3526" s="5"/>
      <c r="B3526" s="6"/>
      <c r="C3526" s="4"/>
      <c r="D3526" s="4"/>
      <c r="E3526" s="12"/>
      <c r="F3526" s="12"/>
      <c r="G3526" s="16"/>
      <c r="H3526" s="14"/>
      <c r="I3526" s="14"/>
      <c r="J3526" s="14"/>
      <c r="K3526" s="14"/>
      <c r="L3526" s="14"/>
      <c r="M3526" s="14"/>
      <c r="N3526" s="14"/>
      <c r="O3526" s="4"/>
      <c r="P3526" s="14"/>
      <c r="Q3526" s="14"/>
    </row>
    <row r="3527" spans="1:17" x14ac:dyDescent="0.25">
      <c r="A3527" s="5"/>
      <c r="B3527" s="6"/>
      <c r="C3527" s="4"/>
      <c r="D3527" s="4"/>
      <c r="E3527" s="12"/>
      <c r="F3527" s="12"/>
      <c r="G3527" s="16"/>
      <c r="H3527" s="14"/>
      <c r="I3527" s="14"/>
      <c r="J3527" s="14"/>
      <c r="K3527" s="14"/>
      <c r="L3527" s="14"/>
      <c r="M3527" s="14"/>
      <c r="N3527" s="14"/>
      <c r="O3527" s="4"/>
      <c r="P3527" s="14"/>
      <c r="Q3527" s="14"/>
    </row>
    <row r="3528" spans="1:17" x14ac:dyDescent="0.25">
      <c r="A3528" s="5"/>
      <c r="B3528" s="6"/>
      <c r="C3528" s="4"/>
      <c r="D3528" s="4"/>
      <c r="E3528" s="12"/>
      <c r="F3528" s="12"/>
      <c r="G3528" s="16"/>
      <c r="H3528" s="14"/>
      <c r="I3528" s="14"/>
      <c r="J3528" s="14"/>
      <c r="K3528" s="14"/>
      <c r="L3528" s="14"/>
      <c r="M3528" s="14"/>
      <c r="N3528" s="14"/>
      <c r="O3528" s="4"/>
      <c r="P3528" s="14"/>
      <c r="Q3528" s="14"/>
    </row>
    <row r="3529" spans="1:17" x14ac:dyDescent="0.25">
      <c r="A3529" s="5"/>
      <c r="B3529" s="6"/>
      <c r="C3529" s="4"/>
      <c r="D3529" s="4"/>
      <c r="E3529" s="12"/>
      <c r="F3529" s="12"/>
      <c r="G3529" s="16"/>
      <c r="H3529" s="14"/>
      <c r="I3529" s="14"/>
      <c r="J3529" s="14"/>
      <c r="K3529" s="14"/>
      <c r="L3529" s="14"/>
      <c r="M3529" s="14"/>
      <c r="N3529" s="14"/>
      <c r="O3529" s="4"/>
      <c r="P3529" s="14"/>
      <c r="Q3529" s="14"/>
    </row>
    <row r="3530" spans="1:17" x14ac:dyDescent="0.25">
      <c r="A3530" s="5"/>
      <c r="B3530" s="6"/>
      <c r="C3530" s="4"/>
      <c r="D3530" s="4"/>
      <c r="E3530" s="12"/>
      <c r="F3530" s="12"/>
      <c r="G3530" s="16"/>
      <c r="H3530" s="14"/>
      <c r="I3530" s="14"/>
      <c r="J3530" s="14"/>
      <c r="K3530" s="14"/>
      <c r="L3530" s="14"/>
      <c r="M3530" s="14"/>
      <c r="N3530" s="14"/>
      <c r="O3530" s="4"/>
      <c r="P3530" s="14"/>
      <c r="Q3530" s="14"/>
    </row>
    <row r="3531" spans="1:17" x14ac:dyDescent="0.25">
      <c r="A3531" s="5"/>
      <c r="B3531" s="6"/>
      <c r="C3531" s="4"/>
      <c r="D3531" s="4"/>
      <c r="E3531" s="12"/>
      <c r="F3531" s="12"/>
      <c r="G3531" s="16"/>
      <c r="H3531" s="14"/>
      <c r="I3531" s="14"/>
      <c r="J3531" s="14"/>
      <c r="K3531" s="14"/>
      <c r="L3531" s="14"/>
      <c r="M3531" s="14"/>
      <c r="N3531" s="14"/>
      <c r="O3531" s="4"/>
      <c r="P3531" s="14"/>
      <c r="Q3531" s="14"/>
    </row>
    <row r="3532" spans="1:17" x14ac:dyDescent="0.25">
      <c r="A3532" s="5"/>
      <c r="B3532" s="6"/>
      <c r="C3532" s="4"/>
      <c r="D3532" s="4"/>
      <c r="E3532" s="12"/>
      <c r="F3532" s="12"/>
      <c r="G3532" s="16"/>
      <c r="H3532" s="14"/>
      <c r="I3532" s="14"/>
      <c r="J3532" s="14"/>
      <c r="K3532" s="14"/>
      <c r="L3532" s="14"/>
      <c r="M3532" s="14"/>
      <c r="N3532" s="14"/>
      <c r="O3532" s="4"/>
      <c r="P3532" s="14"/>
      <c r="Q3532" s="14"/>
    </row>
    <row r="3533" spans="1:17" x14ac:dyDescent="0.25">
      <c r="A3533" s="5"/>
      <c r="B3533" s="6"/>
      <c r="C3533" s="4"/>
      <c r="D3533" s="4"/>
      <c r="E3533" s="12"/>
      <c r="F3533" s="12"/>
      <c r="G3533" s="16"/>
      <c r="H3533" s="14"/>
      <c r="I3533" s="14"/>
      <c r="J3533" s="14"/>
      <c r="K3533" s="14"/>
      <c r="L3533" s="14"/>
      <c r="M3533" s="14"/>
      <c r="N3533" s="14"/>
      <c r="O3533" s="4"/>
      <c r="P3533" s="14"/>
      <c r="Q3533" s="14"/>
    </row>
    <row r="3534" spans="1:17" x14ac:dyDescent="0.25">
      <c r="A3534" s="5"/>
      <c r="B3534" s="6"/>
      <c r="C3534" s="4"/>
      <c r="D3534" s="4"/>
      <c r="E3534" s="12"/>
      <c r="F3534" s="12"/>
      <c r="G3534" s="16"/>
      <c r="H3534" s="14"/>
      <c r="I3534" s="14"/>
      <c r="J3534" s="14"/>
      <c r="K3534" s="14"/>
      <c r="L3534" s="14"/>
      <c r="M3534" s="14"/>
      <c r="N3534" s="14"/>
      <c r="O3534" s="4"/>
      <c r="P3534" s="14"/>
      <c r="Q3534" s="14"/>
    </row>
    <row r="3535" spans="1:17" x14ac:dyDescent="0.25">
      <c r="A3535" s="5"/>
      <c r="B3535" s="6"/>
      <c r="C3535" s="4"/>
      <c r="D3535" s="4"/>
      <c r="E3535" s="12"/>
      <c r="F3535" s="12"/>
      <c r="G3535" s="16"/>
      <c r="H3535" s="14"/>
      <c r="I3535" s="14"/>
      <c r="J3535" s="14"/>
      <c r="K3535" s="14"/>
      <c r="L3535" s="14"/>
      <c r="M3535" s="14"/>
      <c r="N3535" s="14"/>
      <c r="O3535" s="4"/>
      <c r="P3535" s="14"/>
      <c r="Q3535" s="14"/>
    </row>
    <row r="3536" spans="1:17" x14ac:dyDescent="0.25">
      <c r="A3536" s="5"/>
      <c r="B3536" s="6"/>
      <c r="C3536" s="4"/>
      <c r="D3536" s="4"/>
      <c r="E3536" s="12"/>
      <c r="F3536" s="12"/>
      <c r="G3536" s="16"/>
      <c r="H3536" s="14"/>
      <c r="I3536" s="14"/>
      <c r="J3536" s="14"/>
      <c r="K3536" s="14"/>
      <c r="L3536" s="14"/>
      <c r="M3536" s="14"/>
      <c r="N3536" s="14"/>
      <c r="O3536" s="4"/>
      <c r="P3536" s="14"/>
      <c r="Q3536" s="14"/>
    </row>
    <row r="3537" spans="1:17" x14ac:dyDescent="0.25">
      <c r="A3537" s="5"/>
      <c r="B3537" s="6"/>
      <c r="C3537" s="4"/>
      <c r="D3537" s="4"/>
      <c r="E3537" s="12"/>
      <c r="F3537" s="12"/>
      <c r="G3537" s="16"/>
      <c r="H3537" s="14"/>
      <c r="I3537" s="14"/>
      <c r="J3537" s="14"/>
      <c r="K3537" s="14"/>
      <c r="L3537" s="14"/>
      <c r="M3537" s="14"/>
      <c r="N3537" s="14"/>
      <c r="O3537" s="4"/>
      <c r="P3537" s="14"/>
      <c r="Q3537" s="14"/>
    </row>
    <row r="3538" spans="1:17" x14ac:dyDescent="0.25">
      <c r="A3538" s="5"/>
      <c r="B3538" s="6"/>
      <c r="C3538" s="4"/>
      <c r="D3538" s="4"/>
      <c r="E3538" s="12"/>
      <c r="F3538" s="12"/>
      <c r="G3538" s="16"/>
      <c r="H3538" s="14"/>
      <c r="I3538" s="14"/>
      <c r="J3538" s="14"/>
      <c r="K3538" s="14"/>
      <c r="L3538" s="14"/>
      <c r="M3538" s="14"/>
      <c r="N3538" s="14"/>
      <c r="O3538" s="4"/>
      <c r="P3538" s="14"/>
      <c r="Q3538" s="14"/>
    </row>
    <row r="3539" spans="1:17" x14ac:dyDescent="0.25">
      <c r="A3539" s="5"/>
      <c r="B3539" s="6"/>
      <c r="C3539" s="4"/>
      <c r="D3539" s="4"/>
      <c r="E3539" s="12"/>
      <c r="F3539" s="12"/>
      <c r="G3539" s="16"/>
      <c r="H3539" s="14"/>
      <c r="I3539" s="14"/>
      <c r="J3539" s="14"/>
      <c r="K3539" s="14"/>
      <c r="L3539" s="14"/>
      <c r="M3539" s="14"/>
      <c r="N3539" s="14"/>
      <c r="O3539" s="4"/>
      <c r="P3539" s="14"/>
      <c r="Q3539" s="14"/>
    </row>
    <row r="3540" spans="1:17" x14ac:dyDescent="0.25">
      <c r="A3540" s="5"/>
      <c r="B3540" s="6"/>
      <c r="C3540" s="4"/>
      <c r="D3540" s="4"/>
      <c r="E3540" s="12"/>
      <c r="F3540" s="12"/>
      <c r="G3540" s="16"/>
      <c r="H3540" s="14"/>
      <c r="I3540" s="14"/>
      <c r="J3540" s="14"/>
      <c r="K3540" s="14"/>
      <c r="L3540" s="14"/>
      <c r="M3540" s="14"/>
      <c r="N3540" s="14"/>
      <c r="O3540" s="4"/>
      <c r="P3540" s="14"/>
      <c r="Q3540" s="14"/>
    </row>
    <row r="3541" spans="1:17" x14ac:dyDescent="0.25">
      <c r="A3541" s="5"/>
      <c r="B3541" s="6"/>
      <c r="C3541" s="4"/>
      <c r="D3541" s="4"/>
      <c r="E3541" s="12"/>
      <c r="F3541" s="12"/>
      <c r="G3541" s="16"/>
      <c r="H3541" s="14"/>
      <c r="I3541" s="14"/>
      <c r="J3541" s="14"/>
      <c r="K3541" s="14"/>
      <c r="L3541" s="14"/>
      <c r="M3541" s="14"/>
      <c r="N3541" s="14"/>
      <c r="O3541" s="4"/>
      <c r="P3541" s="14"/>
      <c r="Q3541" s="14"/>
    </row>
    <row r="3542" spans="1:17" x14ac:dyDescent="0.25">
      <c r="A3542" s="5"/>
      <c r="B3542" s="6"/>
      <c r="C3542" s="4"/>
      <c r="D3542" s="4"/>
      <c r="E3542" s="12"/>
      <c r="F3542" s="12"/>
      <c r="G3542" s="16"/>
      <c r="H3542" s="14"/>
      <c r="I3542" s="14"/>
      <c r="J3542" s="14"/>
      <c r="K3542" s="14"/>
      <c r="L3542" s="14"/>
      <c r="M3542" s="14"/>
      <c r="N3542" s="14"/>
      <c r="O3542" s="4"/>
      <c r="P3542" s="14"/>
      <c r="Q3542" s="14"/>
    </row>
    <row r="3543" spans="1:17" x14ac:dyDescent="0.25">
      <c r="A3543" s="5"/>
      <c r="B3543" s="6"/>
      <c r="C3543" s="4"/>
      <c r="D3543" s="4"/>
      <c r="E3543" s="12"/>
      <c r="F3543" s="12"/>
      <c r="G3543" s="16"/>
      <c r="H3543" s="14"/>
      <c r="I3543" s="14"/>
      <c r="J3543" s="14"/>
      <c r="K3543" s="14"/>
      <c r="L3543" s="14"/>
      <c r="M3543" s="14"/>
      <c r="N3543" s="14"/>
      <c r="O3543" s="4"/>
      <c r="P3543" s="14"/>
      <c r="Q3543" s="14"/>
    </row>
    <row r="3544" spans="1:17" x14ac:dyDescent="0.25">
      <c r="A3544" s="5"/>
      <c r="B3544" s="6"/>
      <c r="C3544" s="4"/>
      <c r="D3544" s="4"/>
      <c r="E3544" s="12"/>
      <c r="F3544" s="12"/>
      <c r="G3544" s="16"/>
      <c r="H3544" s="14"/>
      <c r="I3544" s="14"/>
      <c r="J3544" s="14"/>
      <c r="K3544" s="14"/>
      <c r="L3544" s="14"/>
      <c r="M3544" s="14"/>
      <c r="N3544" s="14"/>
      <c r="O3544" s="4"/>
      <c r="P3544" s="14"/>
      <c r="Q3544" s="14"/>
    </row>
    <row r="3545" spans="1:17" x14ac:dyDescent="0.25">
      <c r="A3545" s="5"/>
      <c r="B3545" s="6"/>
      <c r="C3545" s="4"/>
      <c r="D3545" s="4"/>
      <c r="E3545" s="12"/>
      <c r="F3545" s="12"/>
      <c r="G3545" s="16"/>
      <c r="H3545" s="14"/>
      <c r="I3545" s="14"/>
      <c r="J3545" s="14"/>
      <c r="K3545" s="14"/>
      <c r="L3545" s="14"/>
      <c r="M3545" s="14"/>
      <c r="N3545" s="14"/>
      <c r="O3545" s="4"/>
      <c r="P3545" s="14"/>
      <c r="Q3545" s="14"/>
    </row>
    <row r="3546" spans="1:17" x14ac:dyDescent="0.25">
      <c r="A3546" s="5"/>
      <c r="B3546" s="6"/>
      <c r="C3546" s="4"/>
      <c r="D3546" s="4"/>
      <c r="E3546" s="12"/>
      <c r="F3546" s="12"/>
      <c r="G3546" s="16"/>
      <c r="H3546" s="14"/>
      <c r="I3546" s="14"/>
      <c r="J3546" s="14"/>
      <c r="K3546" s="14"/>
      <c r="L3546" s="14"/>
      <c r="M3546" s="14"/>
      <c r="N3546" s="14"/>
      <c r="O3546" s="4"/>
      <c r="P3546" s="14"/>
      <c r="Q3546" s="14"/>
    </row>
    <row r="3547" spans="1:17" x14ac:dyDescent="0.25">
      <c r="A3547" s="5"/>
      <c r="B3547" s="6"/>
      <c r="C3547" s="4"/>
      <c r="D3547" s="4"/>
      <c r="E3547" s="12"/>
      <c r="F3547" s="12"/>
      <c r="G3547" s="16"/>
      <c r="H3547" s="14"/>
      <c r="I3547" s="14"/>
      <c r="J3547" s="14"/>
      <c r="K3547" s="14"/>
      <c r="L3547" s="14"/>
      <c r="M3547" s="14"/>
      <c r="N3547" s="14"/>
      <c r="O3547" s="4"/>
      <c r="P3547" s="14"/>
      <c r="Q3547" s="14"/>
    </row>
    <row r="3548" spans="1:17" x14ac:dyDescent="0.25">
      <c r="A3548" s="5"/>
      <c r="B3548" s="6"/>
      <c r="C3548" s="4"/>
      <c r="D3548" s="4"/>
      <c r="E3548" s="12"/>
      <c r="F3548" s="12"/>
      <c r="G3548" s="16"/>
      <c r="H3548" s="14"/>
      <c r="I3548" s="14"/>
      <c r="J3548" s="14"/>
      <c r="K3548" s="14"/>
      <c r="L3548" s="14"/>
      <c r="M3548" s="14"/>
      <c r="N3548" s="14"/>
      <c r="O3548" s="4"/>
      <c r="P3548" s="14"/>
      <c r="Q3548" s="14"/>
    </row>
    <row r="3549" spans="1:17" x14ac:dyDescent="0.25">
      <c r="A3549" s="5"/>
      <c r="B3549" s="6"/>
      <c r="C3549" s="4"/>
      <c r="D3549" s="4"/>
      <c r="E3549" s="12"/>
      <c r="F3549" s="12"/>
      <c r="G3549" s="16"/>
      <c r="H3549" s="14"/>
      <c r="I3549" s="14"/>
      <c r="J3549" s="14"/>
      <c r="K3549" s="14"/>
      <c r="L3549" s="14"/>
      <c r="M3549" s="14"/>
      <c r="N3549" s="14"/>
      <c r="O3549" s="4"/>
      <c r="P3549" s="14"/>
      <c r="Q3549" s="14"/>
    </row>
    <row r="3550" spans="1:17" x14ac:dyDescent="0.25">
      <c r="A3550" s="5"/>
      <c r="B3550" s="6"/>
      <c r="C3550" s="4"/>
      <c r="D3550" s="4"/>
      <c r="E3550" s="12"/>
      <c r="F3550" s="12"/>
      <c r="G3550" s="16"/>
      <c r="H3550" s="14"/>
      <c r="I3550" s="14"/>
      <c r="J3550" s="14"/>
      <c r="K3550" s="14"/>
      <c r="L3550" s="14"/>
      <c r="M3550" s="14"/>
      <c r="N3550" s="14"/>
      <c r="O3550" s="4"/>
      <c r="P3550" s="14"/>
      <c r="Q3550" s="14"/>
    </row>
    <row r="3551" spans="1:17" x14ac:dyDescent="0.25">
      <c r="A3551" s="5"/>
      <c r="B3551" s="6"/>
      <c r="C3551" s="4"/>
      <c r="D3551" s="4"/>
      <c r="E3551" s="12"/>
      <c r="F3551" s="12"/>
      <c r="G3551" s="16"/>
      <c r="H3551" s="14"/>
      <c r="I3551" s="14"/>
      <c r="J3551" s="14"/>
      <c r="K3551" s="14"/>
      <c r="L3551" s="14"/>
      <c r="M3551" s="14"/>
      <c r="N3551" s="14"/>
      <c r="O3551" s="4"/>
      <c r="P3551" s="14"/>
      <c r="Q3551" s="14"/>
    </row>
    <row r="3552" spans="1:17" x14ac:dyDescent="0.25">
      <c r="A3552" s="5"/>
      <c r="B3552" s="6"/>
      <c r="C3552" s="4"/>
      <c r="D3552" s="4"/>
      <c r="E3552" s="12"/>
      <c r="F3552" s="12"/>
      <c r="G3552" s="16"/>
      <c r="H3552" s="14"/>
      <c r="I3552" s="14"/>
      <c r="J3552" s="14"/>
      <c r="K3552" s="14"/>
      <c r="L3552" s="14"/>
      <c r="M3552" s="14"/>
      <c r="N3552" s="14"/>
      <c r="O3552" s="4"/>
      <c r="P3552" s="14"/>
      <c r="Q3552" s="14"/>
    </row>
    <row r="3553" spans="1:17" x14ac:dyDescent="0.25">
      <c r="A3553" s="5"/>
      <c r="B3553" s="6"/>
      <c r="C3553" s="4"/>
      <c r="D3553" s="4"/>
      <c r="E3553" s="12"/>
      <c r="F3553" s="12"/>
      <c r="G3553" s="16"/>
      <c r="H3553" s="14"/>
      <c r="I3553" s="14"/>
      <c r="J3553" s="14"/>
      <c r="K3553" s="14"/>
      <c r="L3553" s="14"/>
      <c r="M3553" s="14"/>
      <c r="N3553" s="14"/>
      <c r="O3553" s="4"/>
      <c r="P3553" s="14"/>
      <c r="Q3553" s="14"/>
    </row>
    <row r="3554" spans="1:17" x14ac:dyDescent="0.25">
      <c r="A3554" s="5"/>
      <c r="B3554" s="6"/>
      <c r="C3554" s="4"/>
      <c r="D3554" s="4"/>
      <c r="E3554" s="12"/>
      <c r="F3554" s="12"/>
      <c r="G3554" s="16"/>
      <c r="H3554" s="14"/>
      <c r="I3554" s="14"/>
      <c r="J3554" s="14"/>
      <c r="K3554" s="14"/>
      <c r="L3554" s="14"/>
      <c r="M3554" s="14"/>
      <c r="N3554" s="14"/>
      <c r="O3554" s="4"/>
      <c r="P3554" s="14"/>
      <c r="Q3554" s="14"/>
    </row>
    <row r="3555" spans="1:17" x14ac:dyDescent="0.25">
      <c r="A3555" s="5"/>
      <c r="B3555" s="6"/>
      <c r="C3555" s="4"/>
      <c r="D3555" s="4"/>
      <c r="E3555" s="12"/>
      <c r="F3555" s="12"/>
      <c r="G3555" s="16"/>
      <c r="H3555" s="14"/>
      <c r="I3555" s="14"/>
      <c r="J3555" s="14"/>
      <c r="K3555" s="14"/>
      <c r="L3555" s="14"/>
      <c r="M3555" s="14"/>
      <c r="N3555" s="14"/>
      <c r="O3555" s="4"/>
      <c r="P3555" s="14"/>
      <c r="Q3555" s="14"/>
    </row>
    <row r="3556" spans="1:17" x14ac:dyDescent="0.25">
      <c r="A3556" s="5"/>
      <c r="B3556" s="6"/>
      <c r="C3556" s="4"/>
      <c r="D3556" s="4"/>
      <c r="E3556" s="12"/>
      <c r="F3556" s="12"/>
      <c r="G3556" s="16"/>
      <c r="H3556" s="14"/>
      <c r="I3556" s="14"/>
      <c r="J3556" s="14"/>
      <c r="K3556" s="14"/>
      <c r="L3556" s="14"/>
      <c r="M3556" s="14"/>
      <c r="N3556" s="14"/>
      <c r="O3556" s="4"/>
      <c r="P3556" s="14"/>
      <c r="Q3556" s="14"/>
    </row>
    <row r="3557" spans="1:17" x14ac:dyDescent="0.25">
      <c r="A3557" s="5"/>
      <c r="B3557" s="6"/>
      <c r="C3557" s="4"/>
      <c r="D3557" s="4"/>
      <c r="E3557" s="12"/>
      <c r="F3557" s="12"/>
      <c r="G3557" s="16"/>
      <c r="H3557" s="14"/>
      <c r="I3557" s="14"/>
      <c r="J3557" s="14"/>
      <c r="K3557" s="14"/>
      <c r="L3557" s="14"/>
      <c r="M3557" s="14"/>
      <c r="N3557" s="14"/>
      <c r="O3557" s="4"/>
      <c r="P3557" s="14"/>
      <c r="Q3557" s="14"/>
    </row>
    <row r="3558" spans="1:17" x14ac:dyDescent="0.25">
      <c r="A3558" s="5"/>
      <c r="B3558" s="6"/>
      <c r="C3558" s="4"/>
      <c r="D3558" s="4"/>
      <c r="E3558" s="12"/>
      <c r="F3558" s="12"/>
      <c r="G3558" s="16"/>
      <c r="H3558" s="14"/>
      <c r="I3558" s="14"/>
      <c r="J3558" s="14"/>
      <c r="K3558" s="14"/>
      <c r="L3558" s="14"/>
      <c r="M3558" s="14"/>
      <c r="N3558" s="14"/>
      <c r="O3558" s="4"/>
      <c r="P3558" s="14"/>
      <c r="Q3558" s="14"/>
    </row>
    <row r="3559" spans="1:17" x14ac:dyDescent="0.25">
      <c r="A3559" s="5"/>
      <c r="B3559" s="6"/>
      <c r="C3559" s="4"/>
      <c r="D3559" s="4"/>
      <c r="E3559" s="12"/>
      <c r="F3559" s="12"/>
      <c r="G3559" s="16"/>
      <c r="H3559" s="14"/>
      <c r="I3559" s="14"/>
      <c r="J3559" s="14"/>
      <c r="K3559" s="14"/>
      <c r="L3559" s="14"/>
      <c r="M3559" s="14"/>
      <c r="N3559" s="14"/>
      <c r="O3559" s="4"/>
      <c r="P3559" s="14"/>
      <c r="Q3559" s="14"/>
    </row>
    <row r="3560" spans="1:17" x14ac:dyDescent="0.25">
      <c r="A3560" s="5"/>
      <c r="B3560" s="6"/>
      <c r="C3560" s="4"/>
      <c r="D3560" s="4"/>
      <c r="E3560" s="12"/>
      <c r="F3560" s="12"/>
      <c r="G3560" s="16"/>
      <c r="H3560" s="14"/>
      <c r="I3560" s="14"/>
      <c r="J3560" s="14"/>
      <c r="K3560" s="14"/>
      <c r="L3560" s="14"/>
      <c r="M3560" s="14"/>
      <c r="N3560" s="14"/>
      <c r="O3560" s="4"/>
      <c r="P3560" s="14"/>
      <c r="Q3560" s="14"/>
    </row>
    <row r="3561" spans="1:17" x14ac:dyDescent="0.25">
      <c r="A3561" s="5"/>
      <c r="B3561" s="6"/>
      <c r="C3561" s="4"/>
      <c r="D3561" s="4"/>
      <c r="E3561" s="12"/>
      <c r="F3561" s="12"/>
      <c r="G3561" s="16"/>
      <c r="H3561" s="14"/>
      <c r="I3561" s="14"/>
      <c r="J3561" s="14"/>
      <c r="K3561" s="14"/>
      <c r="L3561" s="14"/>
      <c r="M3561" s="14"/>
      <c r="N3561" s="14"/>
      <c r="O3561" s="4"/>
      <c r="P3561" s="14"/>
      <c r="Q3561" s="14"/>
    </row>
    <row r="3562" spans="1:17" x14ac:dyDescent="0.25">
      <c r="A3562" s="5"/>
      <c r="B3562" s="6"/>
      <c r="C3562" s="4"/>
      <c r="D3562" s="4"/>
      <c r="E3562" s="12"/>
      <c r="F3562" s="12"/>
      <c r="G3562" s="16"/>
      <c r="H3562" s="14"/>
      <c r="I3562" s="14"/>
      <c r="J3562" s="14"/>
      <c r="K3562" s="14"/>
      <c r="L3562" s="14"/>
      <c r="M3562" s="14"/>
      <c r="N3562" s="14"/>
      <c r="O3562" s="4"/>
      <c r="P3562" s="14"/>
      <c r="Q3562" s="14"/>
    </row>
    <row r="3563" spans="1:17" x14ac:dyDescent="0.25">
      <c r="A3563" s="5"/>
      <c r="B3563" s="6"/>
      <c r="C3563" s="4"/>
      <c r="D3563" s="4"/>
      <c r="E3563" s="12"/>
      <c r="F3563" s="12"/>
      <c r="G3563" s="16"/>
      <c r="H3563" s="14"/>
      <c r="I3563" s="14"/>
      <c r="J3563" s="14"/>
      <c r="K3563" s="14"/>
      <c r="L3563" s="14"/>
      <c r="M3563" s="14"/>
      <c r="N3563" s="14"/>
      <c r="O3563" s="4"/>
      <c r="P3563" s="14"/>
      <c r="Q3563" s="14"/>
    </row>
    <row r="3564" spans="1:17" x14ac:dyDescent="0.25">
      <c r="A3564" s="5"/>
      <c r="B3564" s="6"/>
      <c r="C3564" s="4"/>
      <c r="D3564" s="4"/>
      <c r="E3564" s="12"/>
      <c r="F3564" s="12"/>
      <c r="G3564" s="16"/>
      <c r="H3564" s="14"/>
      <c r="I3564" s="14"/>
      <c r="J3564" s="14"/>
      <c r="K3564" s="14"/>
      <c r="L3564" s="14"/>
      <c r="M3564" s="14"/>
      <c r="N3564" s="14"/>
      <c r="O3564" s="4"/>
      <c r="P3564" s="14"/>
      <c r="Q3564" s="14"/>
    </row>
    <row r="3565" spans="1:17" x14ac:dyDescent="0.25">
      <c r="A3565" s="5"/>
      <c r="B3565" s="6"/>
      <c r="C3565" s="4"/>
      <c r="D3565" s="4"/>
      <c r="E3565" s="12"/>
      <c r="F3565" s="12"/>
      <c r="G3565" s="16"/>
      <c r="H3565" s="14"/>
      <c r="I3565" s="14"/>
      <c r="J3565" s="14"/>
      <c r="K3565" s="14"/>
      <c r="L3565" s="14"/>
      <c r="M3565" s="14"/>
      <c r="N3565" s="14"/>
      <c r="O3565" s="4"/>
      <c r="P3565" s="14"/>
      <c r="Q3565" s="14"/>
    </row>
    <row r="3566" spans="1:17" x14ac:dyDescent="0.25">
      <c r="A3566" s="5"/>
      <c r="B3566" s="6"/>
      <c r="C3566" s="4"/>
      <c r="D3566" s="4"/>
      <c r="E3566" s="12"/>
      <c r="F3566" s="12"/>
      <c r="G3566" s="16"/>
      <c r="H3566" s="14"/>
      <c r="I3566" s="14"/>
      <c r="J3566" s="14"/>
      <c r="K3566" s="14"/>
      <c r="L3566" s="14"/>
      <c r="M3566" s="14"/>
      <c r="N3566" s="14"/>
      <c r="O3566" s="4"/>
      <c r="P3566" s="14"/>
      <c r="Q3566" s="14"/>
    </row>
    <row r="3567" spans="1:17" x14ac:dyDescent="0.25">
      <c r="A3567" s="5"/>
      <c r="B3567" s="6"/>
      <c r="C3567" s="4"/>
      <c r="D3567" s="4"/>
      <c r="E3567" s="12"/>
      <c r="F3567" s="12"/>
      <c r="G3567" s="16"/>
      <c r="H3567" s="14"/>
      <c r="I3567" s="14"/>
      <c r="J3567" s="14"/>
      <c r="K3567" s="14"/>
      <c r="L3567" s="14"/>
      <c r="M3567" s="14"/>
      <c r="N3567" s="14"/>
      <c r="O3567" s="4"/>
      <c r="P3567" s="14"/>
      <c r="Q3567" s="14"/>
    </row>
    <row r="3568" spans="1:17" x14ac:dyDescent="0.25">
      <c r="A3568" s="5"/>
      <c r="B3568" s="6"/>
      <c r="C3568" s="4"/>
      <c r="D3568" s="4"/>
      <c r="E3568" s="12"/>
      <c r="F3568" s="12"/>
      <c r="G3568" s="16"/>
      <c r="H3568" s="14"/>
      <c r="I3568" s="14"/>
      <c r="J3568" s="14"/>
      <c r="K3568" s="14"/>
      <c r="L3568" s="14"/>
      <c r="M3568" s="14"/>
      <c r="N3568" s="14"/>
      <c r="O3568" s="4"/>
      <c r="P3568" s="14"/>
      <c r="Q3568" s="14"/>
    </row>
    <row r="3569" spans="1:17" x14ac:dyDescent="0.25">
      <c r="A3569" s="5"/>
      <c r="B3569" s="6"/>
      <c r="C3569" s="4"/>
      <c r="D3569" s="4"/>
      <c r="E3569" s="12"/>
      <c r="F3569" s="12"/>
      <c r="G3569" s="16"/>
      <c r="H3569" s="14"/>
      <c r="I3569" s="14"/>
      <c r="J3569" s="14"/>
      <c r="K3569" s="14"/>
      <c r="L3569" s="14"/>
      <c r="M3569" s="14"/>
      <c r="N3569" s="14"/>
      <c r="O3569" s="4"/>
      <c r="P3569" s="14"/>
      <c r="Q3569" s="14"/>
    </row>
    <row r="3570" spans="1:17" x14ac:dyDescent="0.25">
      <c r="A3570" s="5"/>
      <c r="B3570" s="6"/>
      <c r="C3570" s="4"/>
      <c r="D3570" s="4"/>
      <c r="E3570" s="12"/>
      <c r="F3570" s="12"/>
      <c r="G3570" s="16"/>
      <c r="H3570" s="14"/>
      <c r="I3570" s="14"/>
      <c r="J3570" s="14"/>
      <c r="K3570" s="14"/>
      <c r="L3570" s="14"/>
      <c r="M3570" s="14"/>
      <c r="N3570" s="14"/>
      <c r="O3570" s="4"/>
      <c r="P3570" s="14"/>
      <c r="Q3570" s="14"/>
    </row>
    <row r="3571" spans="1:17" x14ac:dyDescent="0.25">
      <c r="A3571" s="5"/>
      <c r="B3571" s="6"/>
      <c r="C3571" s="4"/>
      <c r="D3571" s="4"/>
      <c r="E3571" s="12"/>
      <c r="F3571" s="12"/>
      <c r="G3571" s="16"/>
      <c r="H3571" s="14"/>
      <c r="I3571" s="14"/>
      <c r="J3571" s="14"/>
      <c r="K3571" s="14"/>
      <c r="L3571" s="14"/>
      <c r="M3571" s="14"/>
      <c r="N3571" s="14"/>
      <c r="O3571" s="4"/>
      <c r="P3571" s="14"/>
      <c r="Q3571" s="14"/>
    </row>
    <row r="3572" spans="1:17" x14ac:dyDescent="0.25">
      <c r="A3572" s="5"/>
      <c r="B3572" s="6"/>
      <c r="C3572" s="4"/>
      <c r="D3572" s="4"/>
      <c r="E3572" s="12"/>
      <c r="F3572" s="12"/>
      <c r="G3572" s="16"/>
      <c r="H3572" s="14"/>
      <c r="I3572" s="14"/>
      <c r="J3572" s="14"/>
      <c r="K3572" s="14"/>
      <c r="L3572" s="14"/>
      <c r="M3572" s="14"/>
      <c r="N3572" s="14"/>
      <c r="O3572" s="4"/>
      <c r="P3572" s="14"/>
      <c r="Q3572" s="14"/>
    </row>
    <row r="3573" spans="1:17" x14ac:dyDescent="0.25">
      <c r="A3573" s="5"/>
      <c r="B3573" s="6"/>
      <c r="C3573" s="4"/>
      <c r="D3573" s="4"/>
      <c r="E3573" s="12"/>
      <c r="F3573" s="12"/>
      <c r="G3573" s="16"/>
      <c r="H3573" s="14"/>
      <c r="I3573" s="14"/>
      <c r="J3573" s="14"/>
      <c r="K3573" s="14"/>
      <c r="L3573" s="14"/>
      <c r="M3573" s="14"/>
      <c r="N3573" s="14"/>
      <c r="O3573" s="4"/>
      <c r="P3573" s="14"/>
      <c r="Q3573" s="14"/>
    </row>
    <row r="3574" spans="1:17" x14ac:dyDescent="0.25">
      <c r="A3574" s="5"/>
      <c r="B3574" s="6"/>
      <c r="C3574" s="4"/>
      <c r="D3574" s="4"/>
      <c r="E3574" s="12"/>
      <c r="F3574" s="12"/>
      <c r="G3574" s="16"/>
      <c r="H3574" s="14"/>
      <c r="I3574" s="14"/>
      <c r="J3574" s="14"/>
      <c r="K3574" s="14"/>
      <c r="L3574" s="14"/>
      <c r="M3574" s="14"/>
      <c r="N3574" s="14"/>
      <c r="O3574" s="4"/>
      <c r="P3574" s="14"/>
      <c r="Q3574" s="14"/>
    </row>
    <row r="3575" spans="1:17" x14ac:dyDescent="0.25">
      <c r="A3575" s="5"/>
      <c r="B3575" s="6"/>
      <c r="C3575" s="4"/>
      <c r="D3575" s="4"/>
      <c r="E3575" s="12"/>
      <c r="F3575" s="12"/>
      <c r="G3575" s="16"/>
      <c r="H3575" s="14"/>
      <c r="I3575" s="14"/>
      <c r="J3575" s="14"/>
      <c r="K3575" s="14"/>
      <c r="L3575" s="14"/>
      <c r="M3575" s="14"/>
      <c r="N3575" s="14"/>
      <c r="O3575" s="4"/>
      <c r="P3575" s="14"/>
      <c r="Q3575" s="14"/>
    </row>
    <row r="3576" spans="1:17" x14ac:dyDescent="0.25">
      <c r="A3576" s="5"/>
      <c r="B3576" s="6"/>
      <c r="C3576" s="4"/>
      <c r="D3576" s="4"/>
      <c r="E3576" s="12"/>
      <c r="F3576" s="12"/>
      <c r="G3576" s="16"/>
      <c r="H3576" s="14"/>
      <c r="I3576" s="14"/>
      <c r="J3576" s="14"/>
      <c r="K3576" s="14"/>
      <c r="L3576" s="14"/>
      <c r="M3576" s="14"/>
      <c r="N3576" s="14"/>
      <c r="O3576" s="4"/>
      <c r="P3576" s="14"/>
      <c r="Q3576" s="14"/>
    </row>
    <row r="3577" spans="1:17" x14ac:dyDescent="0.25">
      <c r="A3577" s="5"/>
      <c r="B3577" s="6"/>
      <c r="C3577" s="4"/>
      <c r="D3577" s="4"/>
      <c r="E3577" s="12"/>
      <c r="F3577" s="12"/>
      <c r="G3577" s="16"/>
      <c r="H3577" s="14"/>
      <c r="I3577" s="14"/>
      <c r="J3577" s="14"/>
      <c r="K3577" s="14"/>
      <c r="L3577" s="14"/>
      <c r="M3577" s="14"/>
      <c r="N3577" s="14"/>
      <c r="O3577" s="4"/>
      <c r="P3577" s="14"/>
      <c r="Q3577" s="14"/>
    </row>
    <row r="3578" spans="1:17" x14ac:dyDescent="0.25">
      <c r="A3578" s="5"/>
      <c r="B3578" s="6"/>
      <c r="C3578" s="4"/>
      <c r="D3578" s="4"/>
      <c r="E3578" s="12"/>
      <c r="F3578" s="12"/>
      <c r="G3578" s="16"/>
      <c r="H3578" s="14"/>
      <c r="I3578" s="14"/>
      <c r="J3578" s="14"/>
      <c r="K3578" s="14"/>
      <c r="L3578" s="14"/>
      <c r="M3578" s="14"/>
      <c r="N3578" s="14"/>
      <c r="O3578" s="4"/>
      <c r="P3578" s="14"/>
      <c r="Q3578" s="14"/>
    </row>
    <row r="3579" spans="1:17" x14ac:dyDescent="0.25">
      <c r="A3579" s="5"/>
      <c r="B3579" s="6"/>
      <c r="C3579" s="4"/>
      <c r="D3579" s="4"/>
      <c r="E3579" s="12"/>
      <c r="F3579" s="12"/>
      <c r="G3579" s="16"/>
      <c r="H3579" s="14"/>
      <c r="I3579" s="14"/>
      <c r="J3579" s="14"/>
      <c r="K3579" s="14"/>
      <c r="L3579" s="14"/>
      <c r="M3579" s="14"/>
      <c r="N3579" s="14"/>
      <c r="O3579" s="4"/>
      <c r="P3579" s="14"/>
      <c r="Q3579" s="14"/>
    </row>
    <row r="3580" spans="1:17" x14ac:dyDescent="0.25">
      <c r="A3580" s="5"/>
      <c r="B3580" s="6"/>
      <c r="C3580" s="4"/>
      <c r="D3580" s="4"/>
      <c r="E3580" s="12"/>
      <c r="F3580" s="12"/>
      <c r="G3580" s="16"/>
      <c r="H3580" s="14"/>
      <c r="I3580" s="14"/>
      <c r="J3580" s="14"/>
      <c r="K3580" s="14"/>
      <c r="L3580" s="14"/>
      <c r="M3580" s="14"/>
      <c r="N3580" s="14"/>
      <c r="O3580" s="4"/>
      <c r="P3580" s="14"/>
      <c r="Q3580" s="14"/>
    </row>
    <row r="3581" spans="1:17" x14ac:dyDescent="0.25">
      <c r="A3581" s="5"/>
      <c r="B3581" s="6"/>
      <c r="C3581" s="4"/>
      <c r="D3581" s="4"/>
      <c r="E3581" s="12"/>
      <c r="F3581" s="12"/>
      <c r="G3581" s="16"/>
      <c r="H3581" s="14"/>
      <c r="I3581" s="14"/>
      <c r="J3581" s="14"/>
      <c r="K3581" s="14"/>
      <c r="L3581" s="14"/>
      <c r="M3581" s="14"/>
      <c r="N3581" s="14"/>
      <c r="O3581" s="4"/>
      <c r="P3581" s="14"/>
      <c r="Q3581" s="14"/>
    </row>
    <row r="3582" spans="1:17" x14ac:dyDescent="0.25">
      <c r="A3582" s="5"/>
      <c r="B3582" s="6"/>
      <c r="C3582" s="4"/>
      <c r="D3582" s="4"/>
      <c r="E3582" s="12"/>
      <c r="F3582" s="12"/>
      <c r="G3582" s="16"/>
      <c r="H3582" s="14"/>
      <c r="I3582" s="14"/>
      <c r="J3582" s="14"/>
      <c r="K3582" s="14"/>
      <c r="L3582" s="14"/>
      <c r="M3582" s="14"/>
      <c r="N3582" s="14"/>
      <c r="O3582" s="4"/>
      <c r="P3582" s="14"/>
      <c r="Q3582" s="14"/>
    </row>
    <row r="3583" spans="1:17" x14ac:dyDescent="0.25">
      <c r="A3583" s="5"/>
      <c r="B3583" s="6"/>
      <c r="C3583" s="4"/>
      <c r="D3583" s="4"/>
      <c r="E3583" s="12"/>
      <c r="F3583" s="12"/>
      <c r="G3583" s="16"/>
      <c r="H3583" s="14"/>
      <c r="I3583" s="14"/>
      <c r="J3583" s="14"/>
      <c r="K3583" s="14"/>
      <c r="L3583" s="14"/>
      <c r="M3583" s="14"/>
      <c r="N3583" s="14"/>
      <c r="O3583" s="4"/>
      <c r="P3583" s="14"/>
      <c r="Q3583" s="14"/>
    </row>
    <row r="3584" spans="1:17" x14ac:dyDescent="0.25">
      <c r="A3584" s="5"/>
      <c r="B3584" s="6"/>
      <c r="C3584" s="4"/>
      <c r="D3584" s="4"/>
      <c r="E3584" s="12"/>
      <c r="F3584" s="12"/>
      <c r="G3584" s="16"/>
      <c r="H3584" s="14"/>
      <c r="I3584" s="14"/>
      <c r="J3584" s="14"/>
      <c r="K3584" s="14"/>
      <c r="L3584" s="14"/>
      <c r="M3584" s="14"/>
      <c r="N3584" s="14"/>
      <c r="O3584" s="4"/>
      <c r="P3584" s="14"/>
      <c r="Q3584" s="14"/>
    </row>
    <row r="3585" spans="1:17" x14ac:dyDescent="0.25">
      <c r="A3585" s="5"/>
      <c r="B3585" s="6"/>
      <c r="C3585" s="4"/>
      <c r="D3585" s="4"/>
      <c r="E3585" s="12"/>
      <c r="F3585" s="12"/>
      <c r="G3585" s="16"/>
      <c r="H3585" s="14"/>
      <c r="I3585" s="14"/>
      <c r="J3585" s="14"/>
      <c r="K3585" s="14"/>
      <c r="L3585" s="14"/>
      <c r="M3585" s="14"/>
      <c r="N3585" s="14"/>
      <c r="O3585" s="4"/>
      <c r="P3585" s="14"/>
      <c r="Q3585" s="14"/>
    </row>
    <row r="3586" spans="1:17" x14ac:dyDescent="0.25">
      <c r="A3586" s="5"/>
      <c r="B3586" s="6"/>
      <c r="C3586" s="4"/>
      <c r="D3586" s="4"/>
      <c r="E3586" s="12"/>
      <c r="F3586" s="12"/>
      <c r="G3586" s="16"/>
      <c r="H3586" s="14"/>
      <c r="I3586" s="14"/>
      <c r="J3586" s="14"/>
      <c r="K3586" s="14"/>
      <c r="L3586" s="14"/>
      <c r="M3586" s="14"/>
      <c r="N3586" s="14"/>
      <c r="O3586" s="4"/>
      <c r="P3586" s="14"/>
      <c r="Q3586" s="14"/>
    </row>
    <row r="3587" spans="1:17" x14ac:dyDescent="0.25">
      <c r="A3587" s="5"/>
      <c r="B3587" s="6"/>
      <c r="C3587" s="4"/>
      <c r="D3587" s="4"/>
      <c r="E3587" s="12"/>
      <c r="F3587" s="12"/>
      <c r="G3587" s="16"/>
      <c r="H3587" s="14"/>
      <c r="I3587" s="14"/>
      <c r="J3587" s="14"/>
      <c r="K3587" s="14"/>
      <c r="L3587" s="14"/>
      <c r="M3587" s="14"/>
      <c r="N3587" s="14"/>
      <c r="O3587" s="4"/>
      <c r="P3587" s="14"/>
      <c r="Q3587" s="14"/>
    </row>
    <row r="3588" spans="1:17" x14ac:dyDescent="0.25">
      <c r="A3588" s="5"/>
      <c r="B3588" s="6"/>
      <c r="C3588" s="4"/>
      <c r="D3588" s="4"/>
      <c r="E3588" s="12"/>
      <c r="F3588" s="12"/>
      <c r="G3588" s="16"/>
      <c r="H3588" s="14"/>
      <c r="I3588" s="14"/>
      <c r="J3588" s="14"/>
      <c r="K3588" s="14"/>
      <c r="L3588" s="14"/>
      <c r="M3588" s="14"/>
      <c r="N3588" s="14"/>
      <c r="O3588" s="4"/>
      <c r="P3588" s="14"/>
      <c r="Q3588" s="14"/>
    </row>
    <row r="3589" spans="1:17" x14ac:dyDescent="0.25">
      <c r="A3589" s="5"/>
      <c r="B3589" s="6"/>
      <c r="C3589" s="4"/>
      <c r="D3589" s="4"/>
      <c r="E3589" s="12"/>
      <c r="F3589" s="12"/>
      <c r="G3589" s="16"/>
      <c r="H3589" s="14"/>
      <c r="I3589" s="14"/>
      <c r="J3589" s="14"/>
      <c r="K3589" s="14"/>
      <c r="L3589" s="14"/>
      <c r="M3589" s="14"/>
      <c r="N3589" s="14"/>
      <c r="O3589" s="4"/>
      <c r="P3589" s="14"/>
      <c r="Q3589" s="14"/>
    </row>
    <row r="3590" spans="1:17" x14ac:dyDescent="0.25">
      <c r="A3590" s="5"/>
      <c r="B3590" s="6"/>
      <c r="C3590" s="4"/>
      <c r="D3590" s="4"/>
      <c r="E3590" s="12"/>
      <c r="F3590" s="12"/>
      <c r="G3590" s="16"/>
      <c r="H3590" s="14"/>
      <c r="I3590" s="14"/>
      <c r="J3590" s="14"/>
      <c r="K3590" s="14"/>
      <c r="L3590" s="14"/>
      <c r="M3590" s="14"/>
      <c r="N3590" s="14"/>
      <c r="O3590" s="4"/>
      <c r="P3590" s="14"/>
      <c r="Q3590" s="14"/>
    </row>
    <row r="3591" spans="1:17" x14ac:dyDescent="0.25">
      <c r="A3591" s="5"/>
      <c r="B3591" s="6"/>
      <c r="C3591" s="4"/>
      <c r="D3591" s="4"/>
      <c r="E3591" s="12"/>
      <c r="F3591" s="12"/>
      <c r="G3591" s="16"/>
      <c r="H3591" s="14"/>
      <c r="I3591" s="14"/>
      <c r="J3591" s="14"/>
      <c r="K3591" s="14"/>
      <c r="L3591" s="14"/>
      <c r="M3591" s="14"/>
      <c r="N3591" s="14"/>
      <c r="O3591" s="4"/>
      <c r="P3591" s="14"/>
      <c r="Q3591" s="14"/>
    </row>
    <row r="3592" spans="1:17" x14ac:dyDescent="0.25">
      <c r="A3592" s="5"/>
      <c r="B3592" s="6"/>
      <c r="C3592" s="4"/>
      <c r="D3592" s="4"/>
      <c r="E3592" s="12"/>
      <c r="F3592" s="12"/>
      <c r="G3592" s="16"/>
      <c r="H3592" s="14"/>
      <c r="I3592" s="14"/>
      <c r="J3592" s="14"/>
      <c r="K3592" s="14"/>
      <c r="L3592" s="14"/>
      <c r="M3592" s="14"/>
      <c r="N3592" s="14"/>
      <c r="O3592" s="4"/>
      <c r="P3592" s="14"/>
      <c r="Q3592" s="14"/>
    </row>
    <row r="3593" spans="1:17" x14ac:dyDescent="0.25">
      <c r="A3593" s="5"/>
      <c r="B3593" s="6"/>
      <c r="C3593" s="4"/>
      <c r="D3593" s="4"/>
      <c r="E3593" s="12"/>
      <c r="F3593" s="12"/>
      <c r="G3593" s="16"/>
      <c r="H3593" s="14"/>
      <c r="I3593" s="14"/>
      <c r="J3593" s="14"/>
      <c r="K3593" s="14"/>
      <c r="L3593" s="14"/>
      <c r="M3593" s="14"/>
      <c r="N3593" s="14"/>
      <c r="O3593" s="4"/>
      <c r="P3593" s="14"/>
      <c r="Q3593" s="14"/>
    </row>
    <row r="3594" spans="1:17" x14ac:dyDescent="0.25">
      <c r="A3594" s="5"/>
      <c r="B3594" s="6"/>
      <c r="C3594" s="4"/>
      <c r="D3594" s="4"/>
      <c r="E3594" s="12"/>
      <c r="F3594" s="12"/>
      <c r="G3594" s="16"/>
      <c r="H3594" s="14"/>
      <c r="I3594" s="14"/>
      <c r="J3594" s="14"/>
      <c r="K3594" s="14"/>
      <c r="L3594" s="14"/>
      <c r="M3594" s="14"/>
      <c r="N3594" s="14"/>
      <c r="O3594" s="4"/>
      <c r="P3594" s="14"/>
      <c r="Q3594" s="14"/>
    </row>
    <row r="3595" spans="1:17" x14ac:dyDescent="0.25">
      <c r="A3595" s="5"/>
      <c r="B3595" s="6"/>
      <c r="C3595" s="4"/>
      <c r="D3595" s="4"/>
      <c r="E3595" s="12"/>
      <c r="F3595" s="12"/>
      <c r="G3595" s="16"/>
      <c r="H3595" s="14"/>
      <c r="I3595" s="14"/>
      <c r="J3595" s="14"/>
      <c r="K3595" s="14"/>
      <c r="L3595" s="14"/>
      <c r="M3595" s="14"/>
      <c r="N3595" s="14"/>
      <c r="O3595" s="4"/>
      <c r="P3595" s="14"/>
      <c r="Q3595" s="14"/>
    </row>
    <row r="3596" spans="1:17" x14ac:dyDescent="0.25">
      <c r="A3596" s="5"/>
      <c r="B3596" s="6"/>
      <c r="C3596" s="4"/>
      <c r="D3596" s="4"/>
      <c r="E3596" s="12"/>
      <c r="F3596" s="12"/>
      <c r="G3596" s="16"/>
      <c r="H3596" s="14"/>
      <c r="I3596" s="14"/>
      <c r="J3596" s="14"/>
      <c r="K3596" s="14"/>
      <c r="L3596" s="14"/>
      <c r="M3596" s="14"/>
      <c r="N3596" s="14"/>
      <c r="O3596" s="4"/>
      <c r="P3596" s="14"/>
      <c r="Q3596" s="14"/>
    </row>
    <row r="3597" spans="1:17" x14ac:dyDescent="0.25">
      <c r="A3597" s="5"/>
      <c r="B3597" s="6"/>
      <c r="C3597" s="4"/>
      <c r="D3597" s="4"/>
      <c r="E3597" s="12"/>
      <c r="F3597" s="12"/>
      <c r="G3597" s="16"/>
      <c r="H3597" s="14"/>
      <c r="I3597" s="14"/>
      <c r="J3597" s="14"/>
      <c r="K3597" s="14"/>
      <c r="L3597" s="14"/>
      <c r="M3597" s="14"/>
      <c r="N3597" s="14"/>
      <c r="O3597" s="4"/>
      <c r="P3597" s="14"/>
      <c r="Q3597" s="14"/>
    </row>
    <row r="3598" spans="1:17" x14ac:dyDescent="0.25">
      <c r="A3598" s="5"/>
      <c r="B3598" s="6"/>
      <c r="C3598" s="4"/>
      <c r="D3598" s="4"/>
      <c r="E3598" s="12"/>
      <c r="F3598" s="12"/>
      <c r="G3598" s="16"/>
      <c r="H3598" s="14"/>
      <c r="I3598" s="14"/>
      <c r="J3598" s="14"/>
      <c r="K3598" s="14"/>
      <c r="L3598" s="14"/>
      <c r="M3598" s="14"/>
      <c r="N3598" s="14"/>
      <c r="O3598" s="4"/>
      <c r="P3598" s="14"/>
      <c r="Q3598" s="14"/>
    </row>
    <row r="3599" spans="1:17" x14ac:dyDescent="0.25">
      <c r="A3599" s="5"/>
      <c r="B3599" s="6"/>
      <c r="C3599" s="4"/>
      <c r="D3599" s="4"/>
      <c r="E3599" s="12"/>
      <c r="F3599" s="12"/>
      <c r="G3599" s="16"/>
      <c r="H3599" s="14"/>
      <c r="I3599" s="14"/>
      <c r="J3599" s="14"/>
      <c r="K3599" s="14"/>
      <c r="L3599" s="14"/>
      <c r="M3599" s="14"/>
      <c r="N3599" s="14"/>
      <c r="O3599" s="4"/>
      <c r="P3599" s="14"/>
      <c r="Q3599" s="14"/>
    </row>
    <row r="3600" spans="1:17" x14ac:dyDescent="0.25">
      <c r="A3600" s="5"/>
      <c r="B3600" s="6"/>
      <c r="C3600" s="4"/>
      <c r="D3600" s="4"/>
      <c r="E3600" s="12"/>
      <c r="F3600" s="12"/>
      <c r="G3600" s="16"/>
      <c r="H3600" s="14"/>
      <c r="I3600" s="14"/>
      <c r="J3600" s="14"/>
      <c r="K3600" s="14"/>
      <c r="L3600" s="14"/>
      <c r="M3600" s="14"/>
      <c r="N3600" s="14"/>
      <c r="O3600" s="4"/>
      <c r="P3600" s="14"/>
      <c r="Q3600" s="14"/>
    </row>
    <row r="3601" spans="1:17" x14ac:dyDescent="0.25">
      <c r="A3601" s="5"/>
      <c r="B3601" s="6"/>
      <c r="C3601" s="4"/>
      <c r="D3601" s="4"/>
      <c r="E3601" s="12"/>
      <c r="F3601" s="12"/>
      <c r="G3601" s="16"/>
      <c r="H3601" s="14"/>
      <c r="I3601" s="14"/>
      <c r="J3601" s="14"/>
      <c r="K3601" s="14"/>
      <c r="L3601" s="14"/>
      <c r="M3601" s="14"/>
      <c r="N3601" s="14"/>
      <c r="O3601" s="4"/>
      <c r="P3601" s="14"/>
      <c r="Q3601" s="14"/>
    </row>
    <row r="3602" spans="1:17" x14ac:dyDescent="0.25">
      <c r="A3602" s="5"/>
      <c r="B3602" s="6"/>
      <c r="C3602" s="4"/>
      <c r="D3602" s="4"/>
      <c r="E3602" s="12"/>
      <c r="F3602" s="12"/>
      <c r="G3602" s="16"/>
      <c r="H3602" s="14"/>
      <c r="I3602" s="14"/>
      <c r="J3602" s="14"/>
      <c r="K3602" s="14"/>
      <c r="L3602" s="14"/>
      <c r="M3602" s="14"/>
      <c r="N3602" s="14"/>
      <c r="O3602" s="4"/>
      <c r="P3602" s="14"/>
      <c r="Q3602" s="14"/>
    </row>
    <row r="3603" spans="1:17" x14ac:dyDescent="0.25">
      <c r="A3603" s="5"/>
      <c r="B3603" s="6"/>
      <c r="C3603" s="4"/>
      <c r="D3603" s="4"/>
      <c r="E3603" s="12"/>
      <c r="F3603" s="12"/>
      <c r="G3603" s="16"/>
      <c r="H3603" s="14"/>
      <c r="I3603" s="14"/>
      <c r="J3603" s="14"/>
      <c r="K3603" s="14"/>
      <c r="L3603" s="14"/>
      <c r="M3603" s="14"/>
      <c r="N3603" s="14"/>
      <c r="O3603" s="4"/>
      <c r="P3603" s="14"/>
      <c r="Q3603" s="14"/>
    </row>
    <row r="3604" spans="1:17" x14ac:dyDescent="0.25">
      <c r="A3604" s="5"/>
      <c r="B3604" s="6"/>
      <c r="C3604" s="4"/>
      <c r="D3604" s="4"/>
      <c r="E3604" s="12"/>
      <c r="F3604" s="12"/>
      <c r="G3604" s="16"/>
      <c r="H3604" s="14"/>
      <c r="I3604" s="14"/>
      <c r="J3604" s="14"/>
      <c r="K3604" s="14"/>
      <c r="L3604" s="14"/>
      <c r="M3604" s="14"/>
      <c r="N3604" s="14"/>
      <c r="O3604" s="4"/>
      <c r="P3604" s="14"/>
      <c r="Q3604" s="14"/>
    </row>
    <row r="3605" spans="1:17" x14ac:dyDescent="0.25">
      <c r="A3605" s="5"/>
      <c r="B3605" s="6"/>
      <c r="C3605" s="4"/>
      <c r="D3605" s="4"/>
      <c r="E3605" s="12"/>
      <c r="F3605" s="12"/>
      <c r="G3605" s="16"/>
      <c r="H3605" s="14"/>
      <c r="I3605" s="14"/>
      <c r="J3605" s="14"/>
      <c r="K3605" s="14"/>
      <c r="L3605" s="14"/>
      <c r="M3605" s="14"/>
      <c r="N3605" s="14"/>
      <c r="O3605" s="4"/>
      <c r="P3605" s="14"/>
      <c r="Q3605" s="14"/>
    </row>
    <row r="3606" spans="1:17" x14ac:dyDescent="0.25">
      <c r="A3606" s="5"/>
      <c r="B3606" s="6"/>
      <c r="C3606" s="4"/>
      <c r="D3606" s="4"/>
      <c r="E3606" s="12"/>
      <c r="F3606" s="12"/>
      <c r="G3606" s="16"/>
      <c r="H3606" s="14"/>
      <c r="I3606" s="14"/>
      <c r="J3606" s="14"/>
      <c r="K3606" s="14"/>
      <c r="L3606" s="14"/>
      <c r="M3606" s="14"/>
      <c r="N3606" s="14"/>
      <c r="O3606" s="4"/>
      <c r="P3606" s="14"/>
      <c r="Q3606" s="14"/>
    </row>
    <row r="3607" spans="1:17" x14ac:dyDescent="0.25">
      <c r="A3607" s="5"/>
      <c r="B3607" s="6"/>
      <c r="C3607" s="4"/>
      <c r="D3607" s="4"/>
      <c r="E3607" s="12"/>
      <c r="F3607" s="12"/>
      <c r="G3607" s="16"/>
      <c r="H3607" s="14"/>
      <c r="I3607" s="14"/>
      <c r="J3607" s="14"/>
      <c r="K3607" s="14"/>
      <c r="L3607" s="14"/>
      <c r="M3607" s="14"/>
      <c r="N3607" s="14"/>
      <c r="O3607" s="4"/>
      <c r="P3607" s="14"/>
      <c r="Q3607" s="14"/>
    </row>
    <row r="3608" spans="1:17" x14ac:dyDescent="0.25">
      <c r="A3608" s="5"/>
      <c r="B3608" s="6"/>
      <c r="C3608" s="4"/>
      <c r="D3608" s="4"/>
      <c r="E3608" s="12"/>
      <c r="F3608" s="12"/>
      <c r="G3608" s="16"/>
      <c r="H3608" s="14"/>
      <c r="I3608" s="14"/>
      <c r="J3608" s="14"/>
      <c r="K3608" s="14"/>
      <c r="L3608" s="14"/>
      <c r="M3608" s="14"/>
      <c r="N3608" s="14"/>
      <c r="O3608" s="4"/>
      <c r="P3608" s="14"/>
      <c r="Q3608" s="14"/>
    </row>
    <row r="3609" spans="1:17" x14ac:dyDescent="0.25">
      <c r="A3609" s="5"/>
      <c r="B3609" s="6"/>
      <c r="C3609" s="4"/>
      <c r="D3609" s="4"/>
      <c r="E3609" s="12"/>
      <c r="F3609" s="12"/>
      <c r="G3609" s="16"/>
      <c r="H3609" s="14"/>
      <c r="I3609" s="14"/>
      <c r="J3609" s="14"/>
      <c r="K3609" s="14"/>
      <c r="L3609" s="14"/>
      <c r="M3609" s="14"/>
      <c r="N3609" s="14"/>
      <c r="O3609" s="4"/>
      <c r="P3609" s="14"/>
      <c r="Q3609" s="14"/>
    </row>
    <row r="3610" spans="1:17" x14ac:dyDescent="0.25">
      <c r="A3610" s="5"/>
      <c r="B3610" s="6"/>
      <c r="C3610" s="4"/>
      <c r="D3610" s="4"/>
      <c r="E3610" s="12"/>
      <c r="F3610" s="12"/>
      <c r="G3610" s="16"/>
      <c r="H3610" s="14"/>
      <c r="I3610" s="14"/>
      <c r="J3610" s="14"/>
      <c r="K3610" s="14"/>
      <c r="L3610" s="14"/>
      <c r="M3610" s="14"/>
      <c r="N3610" s="14"/>
      <c r="O3610" s="4"/>
      <c r="P3610" s="14"/>
      <c r="Q3610" s="14"/>
    </row>
    <row r="3611" spans="1:17" x14ac:dyDescent="0.25">
      <c r="A3611" s="5"/>
      <c r="B3611" s="6"/>
      <c r="C3611" s="4"/>
      <c r="D3611" s="4"/>
      <c r="E3611" s="12"/>
      <c r="F3611" s="12"/>
      <c r="G3611" s="16"/>
      <c r="H3611" s="14"/>
      <c r="I3611" s="14"/>
      <c r="J3611" s="14"/>
      <c r="K3611" s="14"/>
      <c r="L3611" s="14"/>
      <c r="M3611" s="14"/>
      <c r="N3611" s="14"/>
      <c r="O3611" s="4"/>
      <c r="P3611" s="14"/>
      <c r="Q3611" s="14"/>
    </row>
    <row r="3612" spans="1:17" x14ac:dyDescent="0.25">
      <c r="A3612" s="5"/>
      <c r="B3612" s="6"/>
      <c r="C3612" s="4"/>
      <c r="D3612" s="4"/>
      <c r="E3612" s="12"/>
      <c r="F3612" s="12"/>
      <c r="G3612" s="16"/>
      <c r="H3612" s="14"/>
      <c r="I3612" s="14"/>
      <c r="J3612" s="14"/>
      <c r="K3612" s="14"/>
      <c r="L3612" s="14"/>
      <c r="M3612" s="14"/>
      <c r="N3612" s="14"/>
      <c r="O3612" s="4"/>
      <c r="P3612" s="14"/>
      <c r="Q3612" s="14"/>
    </row>
    <row r="3613" spans="1:17" x14ac:dyDescent="0.25">
      <c r="A3613" s="5"/>
      <c r="B3613" s="6"/>
      <c r="C3613" s="4"/>
      <c r="D3613" s="4"/>
      <c r="E3613" s="12"/>
      <c r="F3613" s="12"/>
      <c r="G3613" s="16"/>
      <c r="H3613" s="14"/>
      <c r="I3613" s="14"/>
      <c r="J3613" s="14"/>
      <c r="K3613" s="14"/>
      <c r="L3613" s="14"/>
      <c r="M3613" s="14"/>
      <c r="N3613" s="14"/>
      <c r="O3613" s="4"/>
      <c r="P3613" s="14"/>
      <c r="Q3613" s="14"/>
    </row>
    <row r="3614" spans="1:17" x14ac:dyDescent="0.25">
      <c r="A3614" s="5"/>
      <c r="B3614" s="6"/>
      <c r="C3614" s="4"/>
      <c r="D3614" s="4"/>
      <c r="E3614" s="12"/>
      <c r="F3614" s="12"/>
      <c r="G3614" s="16"/>
      <c r="H3614" s="14"/>
      <c r="I3614" s="14"/>
      <c r="J3614" s="14"/>
      <c r="K3614" s="14"/>
      <c r="L3614" s="14"/>
      <c r="M3614" s="14"/>
      <c r="N3614" s="14"/>
      <c r="O3614" s="4"/>
      <c r="P3614" s="14"/>
      <c r="Q3614" s="14"/>
    </row>
    <row r="3615" spans="1:17" x14ac:dyDescent="0.25">
      <c r="A3615" s="5"/>
      <c r="B3615" s="6"/>
      <c r="C3615" s="4"/>
      <c r="D3615" s="4"/>
      <c r="E3615" s="12"/>
      <c r="F3615" s="12"/>
      <c r="G3615" s="16"/>
      <c r="H3615" s="14"/>
      <c r="I3615" s="14"/>
      <c r="J3615" s="14"/>
      <c r="K3615" s="14"/>
      <c r="L3615" s="14"/>
      <c r="M3615" s="14"/>
      <c r="N3615" s="14"/>
      <c r="O3615" s="4"/>
      <c r="P3615" s="14"/>
      <c r="Q3615" s="14"/>
    </row>
    <row r="3616" spans="1:17" x14ac:dyDescent="0.25">
      <c r="A3616" s="5"/>
      <c r="B3616" s="6"/>
      <c r="C3616" s="4"/>
      <c r="D3616" s="4"/>
      <c r="E3616" s="12"/>
      <c r="F3616" s="12"/>
      <c r="G3616" s="16"/>
      <c r="H3616" s="14"/>
      <c r="I3616" s="14"/>
      <c r="J3616" s="14"/>
      <c r="K3616" s="14"/>
      <c r="L3616" s="14"/>
      <c r="M3616" s="14"/>
      <c r="N3616" s="14"/>
      <c r="O3616" s="4"/>
      <c r="P3616" s="14"/>
      <c r="Q3616" s="14"/>
    </row>
    <row r="3617" spans="1:17" x14ac:dyDescent="0.25">
      <c r="A3617" s="5"/>
      <c r="B3617" s="6"/>
      <c r="C3617" s="4"/>
      <c r="D3617" s="4"/>
      <c r="E3617" s="12"/>
      <c r="F3617" s="12"/>
      <c r="G3617" s="16"/>
      <c r="H3617" s="14"/>
      <c r="I3617" s="14"/>
      <c r="J3617" s="14"/>
      <c r="K3617" s="14"/>
      <c r="L3617" s="14"/>
      <c r="M3617" s="14"/>
      <c r="N3617" s="14"/>
      <c r="O3617" s="4"/>
      <c r="P3617" s="14"/>
      <c r="Q3617" s="14"/>
    </row>
    <row r="3618" spans="1:17" x14ac:dyDescent="0.25">
      <c r="A3618" s="5"/>
      <c r="B3618" s="6"/>
      <c r="C3618" s="4"/>
      <c r="D3618" s="4"/>
      <c r="E3618" s="12"/>
      <c r="F3618" s="12"/>
      <c r="G3618" s="16"/>
      <c r="H3618" s="14"/>
      <c r="I3618" s="14"/>
      <c r="J3618" s="14"/>
      <c r="K3618" s="14"/>
      <c r="L3618" s="14"/>
      <c r="M3618" s="14"/>
      <c r="N3618" s="14"/>
      <c r="O3618" s="4"/>
      <c r="P3618" s="14"/>
      <c r="Q3618" s="14"/>
    </row>
    <row r="3619" spans="1:17" x14ac:dyDescent="0.25">
      <c r="A3619" s="5"/>
      <c r="B3619" s="6"/>
      <c r="C3619" s="4"/>
      <c r="D3619" s="4"/>
      <c r="E3619" s="12"/>
      <c r="F3619" s="12"/>
      <c r="G3619" s="16"/>
      <c r="H3619" s="14"/>
      <c r="I3619" s="14"/>
      <c r="J3619" s="14"/>
      <c r="K3619" s="14"/>
      <c r="L3619" s="14"/>
      <c r="M3619" s="14"/>
      <c r="N3619" s="14"/>
      <c r="O3619" s="4"/>
      <c r="P3619" s="14"/>
      <c r="Q3619" s="14"/>
    </row>
    <row r="3620" spans="1:17" x14ac:dyDescent="0.25">
      <c r="A3620" s="5"/>
      <c r="B3620" s="6"/>
      <c r="C3620" s="4"/>
      <c r="D3620" s="4"/>
      <c r="E3620" s="12"/>
      <c r="F3620" s="12"/>
      <c r="G3620" s="16"/>
      <c r="H3620" s="14"/>
      <c r="I3620" s="14"/>
      <c r="J3620" s="14"/>
      <c r="K3620" s="14"/>
      <c r="L3620" s="14"/>
      <c r="M3620" s="14"/>
      <c r="N3620" s="14"/>
      <c r="O3620" s="4"/>
      <c r="P3620" s="14"/>
      <c r="Q3620" s="14"/>
    </row>
    <row r="3621" spans="1:17" x14ac:dyDescent="0.25">
      <c r="A3621" s="5"/>
      <c r="B3621" s="6"/>
      <c r="C3621" s="4"/>
      <c r="D3621" s="4"/>
      <c r="E3621" s="12"/>
      <c r="F3621" s="12"/>
      <c r="G3621" s="16"/>
      <c r="H3621" s="14"/>
      <c r="I3621" s="14"/>
      <c r="J3621" s="14"/>
      <c r="K3621" s="14"/>
      <c r="L3621" s="14"/>
      <c r="M3621" s="14"/>
      <c r="N3621" s="14"/>
      <c r="O3621" s="4"/>
      <c r="P3621" s="14"/>
      <c r="Q3621" s="14"/>
    </row>
    <row r="3622" spans="1:17" x14ac:dyDescent="0.25">
      <c r="A3622" s="5"/>
      <c r="B3622" s="6"/>
      <c r="C3622" s="4"/>
      <c r="D3622" s="4"/>
      <c r="E3622" s="12"/>
      <c r="F3622" s="12"/>
      <c r="G3622" s="16"/>
      <c r="H3622" s="14"/>
      <c r="I3622" s="14"/>
      <c r="J3622" s="14"/>
      <c r="K3622" s="14"/>
      <c r="L3622" s="14"/>
      <c r="M3622" s="14"/>
      <c r="N3622" s="14"/>
      <c r="O3622" s="4"/>
      <c r="P3622" s="14"/>
      <c r="Q3622" s="14"/>
    </row>
    <row r="3623" spans="1:17" x14ac:dyDescent="0.25">
      <c r="A3623" s="5"/>
      <c r="B3623" s="6"/>
      <c r="C3623" s="4"/>
      <c r="D3623" s="4"/>
      <c r="E3623" s="12"/>
      <c r="F3623" s="12"/>
      <c r="G3623" s="16"/>
      <c r="H3623" s="14"/>
      <c r="I3623" s="14"/>
      <c r="J3623" s="14"/>
      <c r="K3623" s="14"/>
      <c r="L3623" s="14"/>
      <c r="M3623" s="14"/>
      <c r="N3623" s="14"/>
      <c r="O3623" s="4"/>
      <c r="P3623" s="14"/>
      <c r="Q3623" s="14"/>
    </row>
    <row r="3624" spans="1:17" x14ac:dyDescent="0.25">
      <c r="A3624" s="5"/>
      <c r="B3624" s="6"/>
      <c r="C3624" s="4"/>
      <c r="D3624" s="4"/>
      <c r="E3624" s="12"/>
      <c r="F3624" s="12"/>
      <c r="G3624" s="16"/>
      <c r="H3624" s="14"/>
      <c r="I3624" s="14"/>
      <c r="J3624" s="14"/>
      <c r="K3624" s="14"/>
      <c r="L3624" s="14"/>
      <c r="M3624" s="14"/>
      <c r="N3624" s="14"/>
      <c r="O3624" s="4"/>
      <c r="P3624" s="14"/>
      <c r="Q3624" s="14"/>
    </row>
    <row r="3625" spans="1:17" x14ac:dyDescent="0.25">
      <c r="A3625" s="5"/>
      <c r="B3625" s="6"/>
      <c r="C3625" s="4"/>
      <c r="D3625" s="4"/>
      <c r="E3625" s="12"/>
      <c r="F3625" s="12"/>
      <c r="G3625" s="16"/>
      <c r="H3625" s="14"/>
      <c r="I3625" s="14"/>
      <c r="J3625" s="14"/>
      <c r="K3625" s="14"/>
      <c r="L3625" s="14"/>
      <c r="M3625" s="14"/>
      <c r="N3625" s="14"/>
      <c r="O3625" s="4"/>
      <c r="P3625" s="14"/>
      <c r="Q3625" s="14"/>
    </row>
    <row r="3626" spans="1:17" x14ac:dyDescent="0.25">
      <c r="A3626" s="5"/>
      <c r="B3626" s="6"/>
      <c r="C3626" s="4"/>
      <c r="D3626" s="4"/>
      <c r="E3626" s="12"/>
      <c r="F3626" s="12"/>
      <c r="G3626" s="16"/>
      <c r="H3626" s="14"/>
      <c r="I3626" s="14"/>
      <c r="J3626" s="14"/>
      <c r="K3626" s="14"/>
      <c r="L3626" s="14"/>
      <c r="M3626" s="14"/>
      <c r="N3626" s="14"/>
      <c r="O3626" s="4"/>
      <c r="P3626" s="14"/>
      <c r="Q3626" s="14"/>
    </row>
    <row r="3627" spans="1:17" x14ac:dyDescent="0.25">
      <c r="A3627" s="5"/>
      <c r="B3627" s="6"/>
      <c r="C3627" s="4"/>
      <c r="D3627" s="4"/>
      <c r="E3627" s="12"/>
      <c r="F3627" s="12"/>
      <c r="G3627" s="16"/>
      <c r="H3627" s="14"/>
      <c r="I3627" s="14"/>
      <c r="J3627" s="14"/>
      <c r="K3627" s="14"/>
      <c r="L3627" s="14"/>
      <c r="M3627" s="14"/>
      <c r="N3627" s="14"/>
      <c r="O3627" s="4"/>
      <c r="P3627" s="14"/>
      <c r="Q3627" s="14"/>
    </row>
    <row r="3628" spans="1:17" x14ac:dyDescent="0.25">
      <c r="A3628" s="5"/>
      <c r="B3628" s="6"/>
      <c r="C3628" s="4"/>
      <c r="D3628" s="4"/>
      <c r="E3628" s="12"/>
      <c r="F3628" s="12"/>
      <c r="G3628" s="16"/>
      <c r="H3628" s="14"/>
      <c r="I3628" s="14"/>
      <c r="J3628" s="14"/>
      <c r="K3628" s="14"/>
      <c r="L3628" s="14"/>
      <c r="M3628" s="14"/>
      <c r="N3628" s="14"/>
      <c r="O3628" s="4"/>
      <c r="P3628" s="14"/>
      <c r="Q3628" s="14"/>
    </row>
    <row r="3629" spans="1:17" x14ac:dyDescent="0.25">
      <c r="A3629" s="5"/>
      <c r="B3629" s="6"/>
      <c r="C3629" s="4"/>
      <c r="D3629" s="4"/>
      <c r="E3629" s="12"/>
      <c r="F3629" s="12"/>
      <c r="G3629" s="16"/>
      <c r="H3629" s="14"/>
      <c r="I3629" s="14"/>
      <c r="J3629" s="14"/>
      <c r="K3629" s="14"/>
      <c r="L3629" s="14"/>
      <c r="M3629" s="14"/>
      <c r="N3629" s="14"/>
      <c r="O3629" s="4"/>
      <c r="P3629" s="14"/>
      <c r="Q3629" s="14"/>
    </row>
    <row r="3630" spans="1:17" x14ac:dyDescent="0.25">
      <c r="A3630" s="5"/>
      <c r="B3630" s="6"/>
      <c r="C3630" s="4"/>
      <c r="D3630" s="4"/>
      <c r="E3630" s="12"/>
      <c r="F3630" s="12"/>
      <c r="G3630" s="16"/>
      <c r="H3630" s="14"/>
      <c r="I3630" s="14"/>
      <c r="J3630" s="14"/>
      <c r="K3630" s="14"/>
      <c r="L3630" s="14"/>
      <c r="M3630" s="14"/>
      <c r="N3630" s="14"/>
      <c r="O3630" s="4"/>
      <c r="P3630" s="14"/>
      <c r="Q3630" s="14"/>
    </row>
    <row r="3631" spans="1:17" x14ac:dyDescent="0.25">
      <c r="A3631" s="5"/>
      <c r="B3631" s="6"/>
      <c r="C3631" s="4"/>
      <c r="D3631" s="4"/>
      <c r="E3631" s="12"/>
      <c r="F3631" s="12"/>
      <c r="G3631" s="16"/>
      <c r="H3631" s="14"/>
      <c r="I3631" s="14"/>
      <c r="J3631" s="14"/>
      <c r="K3631" s="14"/>
      <c r="L3631" s="14"/>
      <c r="M3631" s="14"/>
      <c r="N3631" s="14"/>
      <c r="O3631" s="4"/>
      <c r="P3631" s="14"/>
      <c r="Q3631" s="14"/>
    </row>
    <row r="3632" spans="1:17" x14ac:dyDescent="0.25">
      <c r="A3632" s="5"/>
      <c r="B3632" s="6"/>
      <c r="C3632" s="4"/>
      <c r="D3632" s="4"/>
      <c r="E3632" s="12"/>
      <c r="F3632" s="12"/>
      <c r="G3632" s="16"/>
      <c r="H3632" s="14"/>
      <c r="I3632" s="14"/>
      <c r="J3632" s="14"/>
      <c r="K3632" s="14"/>
      <c r="L3632" s="14"/>
      <c r="M3632" s="14"/>
      <c r="N3632" s="14"/>
      <c r="O3632" s="4"/>
      <c r="P3632" s="14"/>
      <c r="Q3632" s="14"/>
    </row>
    <row r="3633" spans="1:17" x14ac:dyDescent="0.25">
      <c r="A3633" s="5"/>
      <c r="B3633" s="6"/>
      <c r="C3633" s="4"/>
      <c r="D3633" s="4"/>
      <c r="E3633" s="12"/>
      <c r="F3633" s="12"/>
      <c r="G3633" s="16"/>
      <c r="H3633" s="14"/>
      <c r="I3633" s="14"/>
      <c r="J3633" s="14"/>
      <c r="K3633" s="14"/>
      <c r="L3633" s="14"/>
      <c r="M3633" s="14"/>
      <c r="N3633" s="14"/>
      <c r="O3633" s="4"/>
      <c r="P3633" s="14"/>
      <c r="Q3633" s="14"/>
    </row>
    <row r="3634" spans="1:17" x14ac:dyDescent="0.25">
      <c r="A3634" s="5"/>
      <c r="B3634" s="6"/>
      <c r="C3634" s="4"/>
      <c r="D3634" s="4"/>
      <c r="E3634" s="12"/>
      <c r="F3634" s="12"/>
      <c r="G3634" s="16"/>
      <c r="H3634" s="14"/>
      <c r="I3634" s="14"/>
      <c r="J3634" s="14"/>
      <c r="K3634" s="14"/>
      <c r="L3634" s="14"/>
      <c r="M3634" s="14"/>
      <c r="N3634" s="14"/>
      <c r="O3634" s="4"/>
      <c r="P3634" s="14"/>
      <c r="Q3634" s="14"/>
    </row>
    <row r="3635" spans="1:17" x14ac:dyDescent="0.25">
      <c r="A3635" s="5"/>
      <c r="B3635" s="6"/>
      <c r="C3635" s="4"/>
      <c r="D3635" s="4"/>
      <c r="E3635" s="12"/>
      <c r="F3635" s="12"/>
      <c r="G3635" s="16"/>
      <c r="H3635" s="14"/>
      <c r="I3635" s="14"/>
      <c r="J3635" s="14"/>
      <c r="K3635" s="14"/>
      <c r="L3635" s="14"/>
      <c r="M3635" s="14"/>
      <c r="N3635" s="14"/>
      <c r="O3635" s="4"/>
      <c r="P3635" s="14"/>
      <c r="Q3635" s="14"/>
    </row>
    <row r="3636" spans="1:17" x14ac:dyDescent="0.25">
      <c r="A3636" s="5"/>
      <c r="B3636" s="6"/>
      <c r="C3636" s="4"/>
      <c r="D3636" s="4"/>
      <c r="E3636" s="12"/>
      <c r="F3636" s="12"/>
      <c r="G3636" s="16"/>
      <c r="H3636" s="14"/>
      <c r="I3636" s="14"/>
      <c r="J3636" s="14"/>
      <c r="K3636" s="14"/>
      <c r="L3636" s="14"/>
      <c r="M3636" s="14"/>
      <c r="N3636" s="14"/>
      <c r="O3636" s="4"/>
      <c r="P3636" s="14"/>
      <c r="Q3636" s="14"/>
    </row>
    <row r="3637" spans="1:17" x14ac:dyDescent="0.25">
      <c r="A3637" s="5"/>
      <c r="B3637" s="6"/>
      <c r="C3637" s="4"/>
      <c r="D3637" s="4"/>
      <c r="E3637" s="12"/>
      <c r="F3637" s="12"/>
      <c r="G3637" s="16"/>
      <c r="H3637" s="14"/>
      <c r="I3637" s="14"/>
      <c r="J3637" s="14"/>
      <c r="K3637" s="14"/>
      <c r="L3637" s="14"/>
      <c r="M3637" s="14"/>
      <c r="N3637" s="14"/>
      <c r="O3637" s="4"/>
      <c r="P3637" s="14"/>
      <c r="Q3637" s="14"/>
    </row>
    <row r="3638" spans="1:17" x14ac:dyDescent="0.25">
      <c r="A3638" s="5"/>
      <c r="B3638" s="6"/>
      <c r="C3638" s="4"/>
      <c r="D3638" s="4"/>
      <c r="E3638" s="12"/>
      <c r="F3638" s="12"/>
      <c r="G3638" s="16"/>
      <c r="H3638" s="14"/>
      <c r="I3638" s="14"/>
      <c r="J3638" s="14"/>
      <c r="K3638" s="14"/>
      <c r="L3638" s="14"/>
      <c r="M3638" s="14"/>
      <c r="N3638" s="14"/>
      <c r="O3638" s="4"/>
      <c r="P3638" s="14"/>
      <c r="Q3638" s="14"/>
    </row>
    <row r="3639" spans="1:17" x14ac:dyDescent="0.25">
      <c r="A3639" s="5"/>
      <c r="B3639" s="6"/>
      <c r="C3639" s="4"/>
      <c r="D3639" s="4"/>
      <c r="E3639" s="12"/>
      <c r="F3639" s="12"/>
      <c r="G3639" s="16"/>
      <c r="H3639" s="14"/>
      <c r="I3639" s="14"/>
      <c r="J3639" s="14"/>
      <c r="K3639" s="14"/>
      <c r="L3639" s="14"/>
      <c r="M3639" s="14"/>
      <c r="N3639" s="14"/>
      <c r="O3639" s="4"/>
      <c r="P3639" s="14"/>
      <c r="Q3639" s="14"/>
    </row>
    <row r="3640" spans="1:17" x14ac:dyDescent="0.25">
      <c r="A3640" s="5"/>
      <c r="B3640" s="6"/>
      <c r="C3640" s="4"/>
      <c r="D3640" s="4"/>
      <c r="E3640" s="12"/>
      <c r="F3640" s="12"/>
      <c r="G3640" s="16"/>
      <c r="H3640" s="14"/>
      <c r="I3640" s="14"/>
      <c r="J3640" s="14"/>
      <c r="K3640" s="14"/>
      <c r="L3640" s="14"/>
      <c r="M3640" s="14"/>
      <c r="N3640" s="14"/>
      <c r="O3640" s="4"/>
      <c r="P3640" s="14"/>
      <c r="Q3640" s="14"/>
    </row>
    <row r="3641" spans="1:17" x14ac:dyDescent="0.25">
      <c r="A3641" s="5"/>
      <c r="B3641" s="6"/>
      <c r="C3641" s="4"/>
      <c r="D3641" s="4"/>
      <c r="E3641" s="12"/>
      <c r="F3641" s="12"/>
      <c r="G3641" s="16"/>
      <c r="H3641" s="14"/>
      <c r="I3641" s="14"/>
      <c r="J3641" s="14"/>
      <c r="K3641" s="14"/>
      <c r="L3641" s="14"/>
      <c r="M3641" s="14"/>
      <c r="N3641" s="14"/>
      <c r="O3641" s="4"/>
      <c r="P3641" s="14"/>
      <c r="Q3641" s="14"/>
    </row>
    <row r="3642" spans="1:17" x14ac:dyDescent="0.25">
      <c r="A3642" s="5"/>
      <c r="B3642" s="6"/>
      <c r="C3642" s="4"/>
      <c r="D3642" s="4"/>
      <c r="E3642" s="12"/>
      <c r="F3642" s="12"/>
      <c r="G3642" s="16"/>
      <c r="H3642" s="14"/>
      <c r="I3642" s="14"/>
      <c r="J3642" s="14"/>
      <c r="K3642" s="14"/>
      <c r="L3642" s="14"/>
      <c r="M3642" s="14"/>
      <c r="N3642" s="14"/>
      <c r="O3642" s="4"/>
      <c r="P3642" s="14"/>
      <c r="Q3642" s="14"/>
    </row>
    <row r="3643" spans="1:17" x14ac:dyDescent="0.25">
      <c r="A3643" s="5"/>
      <c r="B3643" s="6"/>
      <c r="C3643" s="4"/>
      <c r="D3643" s="4"/>
      <c r="E3643" s="12"/>
      <c r="F3643" s="12"/>
      <c r="G3643" s="16"/>
      <c r="H3643" s="14"/>
      <c r="I3643" s="14"/>
      <c r="J3643" s="14"/>
      <c r="K3643" s="14"/>
      <c r="L3643" s="14"/>
      <c r="M3643" s="14"/>
      <c r="N3643" s="14"/>
      <c r="O3643" s="4"/>
      <c r="P3643" s="14"/>
      <c r="Q3643" s="14"/>
    </row>
    <row r="3644" spans="1:17" x14ac:dyDescent="0.25">
      <c r="A3644" s="5"/>
      <c r="B3644" s="6"/>
      <c r="C3644" s="4"/>
      <c r="D3644" s="4"/>
      <c r="E3644" s="12"/>
      <c r="F3644" s="12"/>
      <c r="G3644" s="16"/>
      <c r="H3644" s="14"/>
      <c r="I3644" s="14"/>
      <c r="J3644" s="14"/>
      <c r="K3644" s="14"/>
      <c r="L3644" s="14"/>
      <c r="M3644" s="14"/>
      <c r="N3644" s="14"/>
      <c r="O3644" s="4"/>
      <c r="P3644" s="14"/>
      <c r="Q3644" s="14"/>
    </row>
    <row r="3645" spans="1:17" x14ac:dyDescent="0.25">
      <c r="A3645" s="5"/>
      <c r="B3645" s="6"/>
      <c r="C3645" s="4"/>
      <c r="D3645" s="4"/>
      <c r="E3645" s="12"/>
      <c r="F3645" s="12"/>
      <c r="G3645" s="16"/>
      <c r="H3645" s="14"/>
      <c r="I3645" s="14"/>
      <c r="J3645" s="14"/>
      <c r="K3645" s="14"/>
      <c r="L3645" s="14"/>
      <c r="M3645" s="14"/>
      <c r="N3645" s="14"/>
      <c r="O3645" s="4"/>
      <c r="P3645" s="14"/>
      <c r="Q3645" s="14"/>
    </row>
    <row r="3646" spans="1:17" x14ac:dyDescent="0.25">
      <c r="A3646" s="5"/>
      <c r="B3646" s="6"/>
      <c r="C3646" s="4"/>
      <c r="D3646" s="4"/>
      <c r="E3646" s="12"/>
      <c r="F3646" s="12"/>
      <c r="G3646" s="16"/>
      <c r="H3646" s="14"/>
      <c r="I3646" s="14"/>
      <c r="J3646" s="14"/>
      <c r="K3646" s="14"/>
      <c r="L3646" s="14"/>
      <c r="M3646" s="14"/>
      <c r="N3646" s="14"/>
      <c r="O3646" s="4"/>
      <c r="P3646" s="14"/>
      <c r="Q3646" s="14"/>
    </row>
    <row r="3647" spans="1:17" x14ac:dyDescent="0.25">
      <c r="A3647" s="5"/>
      <c r="B3647" s="6"/>
      <c r="C3647" s="4"/>
      <c r="D3647" s="4"/>
      <c r="E3647" s="12"/>
      <c r="F3647" s="12"/>
      <c r="G3647" s="16"/>
      <c r="H3647" s="14"/>
      <c r="I3647" s="14"/>
      <c r="J3647" s="14"/>
      <c r="K3647" s="14"/>
      <c r="L3647" s="14"/>
      <c r="M3647" s="14"/>
      <c r="N3647" s="14"/>
      <c r="O3647" s="4"/>
      <c r="P3647" s="14"/>
      <c r="Q3647" s="14"/>
    </row>
    <row r="3648" spans="1:17" x14ac:dyDescent="0.25">
      <c r="A3648" s="5"/>
      <c r="B3648" s="6"/>
      <c r="C3648" s="4"/>
      <c r="D3648" s="4"/>
      <c r="E3648" s="12"/>
      <c r="F3648" s="12"/>
      <c r="G3648" s="16"/>
      <c r="H3648" s="14"/>
      <c r="I3648" s="14"/>
      <c r="J3648" s="14"/>
      <c r="K3648" s="14"/>
      <c r="L3648" s="14"/>
      <c r="M3648" s="14"/>
      <c r="N3648" s="14"/>
      <c r="O3648" s="4"/>
      <c r="P3648" s="14"/>
      <c r="Q3648" s="14"/>
    </row>
    <row r="3649" spans="1:17" x14ac:dyDescent="0.25">
      <c r="A3649" s="5"/>
      <c r="B3649" s="6"/>
      <c r="C3649" s="4"/>
      <c r="D3649" s="4"/>
      <c r="E3649" s="12"/>
      <c r="F3649" s="12"/>
      <c r="G3649" s="16"/>
      <c r="H3649" s="14"/>
      <c r="I3649" s="14"/>
      <c r="J3649" s="14"/>
      <c r="K3649" s="14"/>
      <c r="L3649" s="14"/>
      <c r="M3649" s="14"/>
      <c r="N3649" s="14"/>
      <c r="O3649" s="4"/>
      <c r="P3649" s="14"/>
      <c r="Q3649" s="14"/>
    </row>
    <row r="3650" spans="1:17" x14ac:dyDescent="0.25">
      <c r="A3650" s="5"/>
      <c r="B3650" s="6"/>
      <c r="C3650" s="4"/>
      <c r="D3650" s="4"/>
      <c r="E3650" s="12"/>
      <c r="F3650" s="12"/>
      <c r="G3650" s="16"/>
      <c r="H3650" s="14"/>
      <c r="I3650" s="14"/>
      <c r="J3650" s="14"/>
      <c r="K3650" s="14"/>
      <c r="L3650" s="14"/>
      <c r="M3650" s="14"/>
      <c r="N3650" s="14"/>
      <c r="O3650" s="4"/>
      <c r="P3650" s="14"/>
      <c r="Q3650" s="14"/>
    </row>
    <row r="3651" spans="1:17" x14ac:dyDescent="0.25">
      <c r="A3651" s="5"/>
      <c r="B3651" s="6"/>
      <c r="C3651" s="4"/>
      <c r="D3651" s="4"/>
      <c r="E3651" s="12"/>
      <c r="F3651" s="12"/>
      <c r="G3651" s="16"/>
      <c r="H3651" s="14"/>
      <c r="I3651" s="14"/>
      <c r="J3651" s="14"/>
      <c r="K3651" s="14"/>
      <c r="L3651" s="14"/>
      <c r="M3651" s="14"/>
      <c r="N3651" s="14"/>
      <c r="O3651" s="4"/>
      <c r="P3651" s="14"/>
      <c r="Q3651" s="14"/>
    </row>
    <row r="3652" spans="1:17" x14ac:dyDescent="0.25">
      <c r="A3652" s="5"/>
      <c r="B3652" s="6"/>
      <c r="C3652" s="4"/>
      <c r="D3652" s="4"/>
      <c r="E3652" s="12"/>
      <c r="F3652" s="12"/>
      <c r="G3652" s="16"/>
      <c r="H3652" s="14"/>
      <c r="I3652" s="14"/>
      <c r="J3652" s="14"/>
      <c r="K3652" s="14"/>
      <c r="L3652" s="14"/>
      <c r="M3652" s="14"/>
      <c r="N3652" s="14"/>
      <c r="O3652" s="4"/>
      <c r="P3652" s="14"/>
      <c r="Q3652" s="14"/>
    </row>
    <row r="3653" spans="1:17" x14ac:dyDescent="0.25">
      <c r="A3653" s="5"/>
      <c r="B3653" s="6"/>
      <c r="C3653" s="4"/>
      <c r="D3653" s="4"/>
      <c r="E3653" s="12"/>
      <c r="F3653" s="12"/>
      <c r="G3653" s="16"/>
      <c r="H3653" s="14"/>
      <c r="I3653" s="14"/>
      <c r="J3653" s="14"/>
      <c r="K3653" s="14"/>
      <c r="L3653" s="14"/>
      <c r="M3653" s="14"/>
      <c r="N3653" s="14"/>
      <c r="O3653" s="4"/>
      <c r="P3653" s="14"/>
      <c r="Q3653" s="14"/>
    </row>
    <row r="3654" spans="1:17" x14ac:dyDescent="0.25">
      <c r="A3654" s="5"/>
      <c r="B3654" s="6"/>
      <c r="C3654" s="4"/>
      <c r="D3654" s="4"/>
      <c r="E3654" s="12"/>
      <c r="F3654" s="12"/>
      <c r="G3654" s="16"/>
      <c r="H3654" s="14"/>
      <c r="I3654" s="14"/>
      <c r="J3654" s="14"/>
      <c r="K3654" s="14"/>
      <c r="L3654" s="14"/>
      <c r="M3654" s="14"/>
      <c r="N3654" s="14"/>
      <c r="O3654" s="4"/>
      <c r="P3654" s="14"/>
      <c r="Q3654" s="14"/>
    </row>
    <row r="3655" spans="1:17" x14ac:dyDescent="0.25">
      <c r="A3655" s="5"/>
      <c r="B3655" s="6"/>
      <c r="C3655" s="4"/>
      <c r="D3655" s="4"/>
      <c r="E3655" s="12"/>
      <c r="F3655" s="12"/>
      <c r="G3655" s="16"/>
      <c r="H3655" s="14"/>
      <c r="I3655" s="14"/>
      <c r="J3655" s="14"/>
      <c r="K3655" s="14"/>
      <c r="L3655" s="14"/>
      <c r="M3655" s="14"/>
      <c r="N3655" s="14"/>
      <c r="O3655" s="4"/>
      <c r="P3655" s="14"/>
      <c r="Q3655" s="14"/>
    </row>
    <row r="3656" spans="1:17" x14ac:dyDescent="0.25">
      <c r="A3656" s="5"/>
      <c r="B3656" s="6"/>
      <c r="C3656" s="4"/>
      <c r="D3656" s="4"/>
      <c r="E3656" s="12"/>
      <c r="F3656" s="12"/>
      <c r="G3656" s="16"/>
      <c r="H3656" s="14"/>
      <c r="I3656" s="14"/>
      <c r="J3656" s="14"/>
      <c r="K3656" s="14"/>
      <c r="L3656" s="14"/>
      <c r="M3656" s="14"/>
      <c r="N3656" s="14"/>
      <c r="O3656" s="4"/>
      <c r="P3656" s="14"/>
      <c r="Q3656" s="14"/>
    </row>
    <row r="3657" spans="1:17" x14ac:dyDescent="0.25">
      <c r="A3657" s="5"/>
      <c r="B3657" s="6"/>
      <c r="C3657" s="4"/>
      <c r="D3657" s="4"/>
      <c r="E3657" s="12"/>
      <c r="F3657" s="12"/>
      <c r="G3657" s="16"/>
      <c r="H3657" s="14"/>
      <c r="I3657" s="14"/>
      <c r="J3657" s="14"/>
      <c r="K3657" s="14"/>
      <c r="L3657" s="14"/>
      <c r="M3657" s="14"/>
      <c r="N3657" s="14"/>
      <c r="O3657" s="4"/>
      <c r="P3657" s="14"/>
      <c r="Q3657" s="14"/>
    </row>
    <row r="3658" spans="1:17" x14ac:dyDescent="0.25">
      <c r="A3658" s="5"/>
      <c r="B3658" s="6"/>
      <c r="C3658" s="4"/>
      <c r="D3658" s="4"/>
      <c r="E3658" s="12"/>
      <c r="F3658" s="12"/>
      <c r="G3658" s="16"/>
      <c r="H3658" s="14"/>
      <c r="I3658" s="14"/>
      <c r="J3658" s="14"/>
      <c r="K3658" s="14"/>
      <c r="L3658" s="14"/>
      <c r="M3658" s="14"/>
      <c r="N3658" s="14"/>
      <c r="O3658" s="4"/>
      <c r="P3658" s="14"/>
      <c r="Q3658" s="14"/>
    </row>
    <row r="3659" spans="1:17" x14ac:dyDescent="0.25">
      <c r="A3659" s="5"/>
      <c r="B3659" s="6"/>
      <c r="C3659" s="4"/>
      <c r="D3659" s="4"/>
      <c r="E3659" s="12"/>
      <c r="F3659" s="12"/>
      <c r="G3659" s="16"/>
      <c r="H3659" s="14"/>
      <c r="I3659" s="14"/>
      <c r="J3659" s="14"/>
      <c r="K3659" s="14"/>
      <c r="L3659" s="14"/>
      <c r="M3659" s="14"/>
      <c r="N3659" s="14"/>
      <c r="O3659" s="4"/>
      <c r="P3659" s="14"/>
      <c r="Q3659" s="14"/>
    </row>
    <row r="3660" spans="1:17" x14ac:dyDescent="0.25">
      <c r="A3660" s="5"/>
      <c r="B3660" s="6"/>
      <c r="C3660" s="4"/>
      <c r="D3660" s="4"/>
      <c r="E3660" s="12"/>
      <c r="F3660" s="12"/>
      <c r="G3660" s="16"/>
      <c r="H3660" s="14"/>
      <c r="I3660" s="14"/>
      <c r="J3660" s="14"/>
      <c r="K3660" s="14"/>
      <c r="L3660" s="14"/>
      <c r="M3660" s="14"/>
      <c r="N3660" s="14"/>
      <c r="O3660" s="4"/>
      <c r="P3660" s="14"/>
      <c r="Q3660" s="14"/>
    </row>
    <row r="3661" spans="1:17" x14ac:dyDescent="0.25">
      <c r="A3661" s="5"/>
      <c r="B3661" s="6"/>
      <c r="C3661" s="4"/>
      <c r="D3661" s="4"/>
      <c r="E3661" s="12"/>
      <c r="F3661" s="12"/>
      <c r="G3661" s="16"/>
      <c r="H3661" s="14"/>
      <c r="I3661" s="14"/>
      <c r="J3661" s="14"/>
      <c r="K3661" s="14"/>
      <c r="L3661" s="14"/>
      <c r="M3661" s="14"/>
      <c r="N3661" s="14"/>
      <c r="O3661" s="4"/>
      <c r="P3661" s="14"/>
      <c r="Q3661" s="14"/>
    </row>
    <row r="3662" spans="1:17" x14ac:dyDescent="0.25">
      <c r="A3662" s="5"/>
      <c r="B3662" s="6"/>
      <c r="C3662" s="4"/>
      <c r="D3662" s="4"/>
      <c r="E3662" s="12"/>
      <c r="F3662" s="12"/>
      <c r="G3662" s="16"/>
      <c r="H3662" s="14"/>
      <c r="I3662" s="14"/>
      <c r="J3662" s="14"/>
      <c r="K3662" s="14"/>
      <c r="L3662" s="14"/>
      <c r="M3662" s="14"/>
      <c r="N3662" s="14"/>
      <c r="O3662" s="4"/>
      <c r="P3662" s="14"/>
      <c r="Q3662" s="14"/>
    </row>
    <row r="3663" spans="1:17" x14ac:dyDescent="0.25">
      <c r="A3663" s="5"/>
      <c r="B3663" s="6"/>
      <c r="C3663" s="4"/>
      <c r="D3663" s="4"/>
      <c r="E3663" s="12"/>
      <c r="F3663" s="12"/>
      <c r="G3663" s="16"/>
      <c r="H3663" s="14"/>
      <c r="I3663" s="14"/>
      <c r="J3663" s="14"/>
      <c r="K3663" s="14"/>
      <c r="L3663" s="14"/>
      <c r="M3663" s="14"/>
      <c r="N3663" s="14"/>
      <c r="O3663" s="4"/>
      <c r="P3663" s="14"/>
      <c r="Q3663" s="14"/>
    </row>
    <row r="3664" spans="1:17" x14ac:dyDescent="0.25">
      <c r="A3664" s="5"/>
      <c r="B3664" s="6"/>
      <c r="C3664" s="4"/>
      <c r="D3664" s="4"/>
      <c r="E3664" s="12"/>
      <c r="F3664" s="12"/>
      <c r="G3664" s="16"/>
      <c r="H3664" s="14"/>
      <c r="I3664" s="14"/>
      <c r="J3664" s="14"/>
      <c r="K3664" s="14"/>
      <c r="L3664" s="14"/>
      <c r="M3664" s="14"/>
      <c r="N3664" s="14"/>
      <c r="O3664" s="4"/>
      <c r="P3664" s="14"/>
      <c r="Q3664" s="14"/>
    </row>
    <row r="3665" spans="1:17" x14ac:dyDescent="0.25">
      <c r="A3665" s="5"/>
      <c r="B3665" s="6"/>
      <c r="C3665" s="4"/>
      <c r="D3665" s="4"/>
      <c r="E3665" s="12"/>
      <c r="F3665" s="12"/>
      <c r="G3665" s="16"/>
      <c r="H3665" s="14"/>
      <c r="I3665" s="14"/>
      <c r="J3665" s="14"/>
      <c r="K3665" s="14"/>
      <c r="L3665" s="14"/>
      <c r="M3665" s="14"/>
      <c r="N3665" s="14"/>
      <c r="O3665" s="4"/>
      <c r="P3665" s="14"/>
      <c r="Q3665" s="14"/>
    </row>
    <row r="3666" spans="1:17" x14ac:dyDescent="0.25">
      <c r="A3666" s="5"/>
      <c r="B3666" s="6"/>
      <c r="C3666" s="4"/>
      <c r="D3666" s="4"/>
      <c r="E3666" s="12"/>
      <c r="F3666" s="12"/>
      <c r="G3666" s="16"/>
      <c r="H3666" s="14"/>
      <c r="I3666" s="14"/>
      <c r="J3666" s="14"/>
      <c r="K3666" s="14"/>
      <c r="L3666" s="14"/>
      <c r="M3666" s="14"/>
      <c r="N3666" s="14"/>
      <c r="O3666" s="4"/>
      <c r="P3666" s="14"/>
      <c r="Q3666" s="14"/>
    </row>
    <row r="3667" spans="1:17" x14ac:dyDescent="0.25">
      <c r="A3667" s="5"/>
      <c r="B3667" s="6"/>
      <c r="C3667" s="4"/>
      <c r="D3667" s="4"/>
      <c r="E3667" s="12"/>
      <c r="F3667" s="12"/>
      <c r="G3667" s="16"/>
      <c r="H3667" s="14"/>
      <c r="I3667" s="14"/>
      <c r="J3667" s="14"/>
      <c r="K3667" s="14"/>
      <c r="L3667" s="14"/>
      <c r="M3667" s="14"/>
      <c r="N3667" s="14"/>
      <c r="O3667" s="4"/>
      <c r="P3667" s="14"/>
      <c r="Q3667" s="14"/>
    </row>
    <row r="3668" spans="1:17" x14ac:dyDescent="0.25">
      <c r="A3668" s="5"/>
      <c r="B3668" s="6"/>
      <c r="C3668" s="4"/>
      <c r="D3668" s="4"/>
      <c r="E3668" s="12"/>
      <c r="F3668" s="12"/>
      <c r="G3668" s="16"/>
      <c r="H3668" s="14"/>
      <c r="I3668" s="14"/>
      <c r="J3668" s="14"/>
      <c r="K3668" s="14"/>
      <c r="L3668" s="14"/>
      <c r="M3668" s="14"/>
      <c r="N3668" s="14"/>
      <c r="O3668" s="4"/>
      <c r="P3668" s="14"/>
      <c r="Q3668" s="14"/>
    </row>
    <row r="3669" spans="1:17" x14ac:dyDescent="0.25">
      <c r="A3669" s="5"/>
      <c r="B3669" s="6"/>
      <c r="C3669" s="4"/>
      <c r="D3669" s="4"/>
      <c r="E3669" s="12"/>
      <c r="F3669" s="12"/>
      <c r="G3669" s="16"/>
      <c r="H3669" s="14"/>
      <c r="I3669" s="14"/>
      <c r="J3669" s="14"/>
      <c r="K3669" s="14"/>
      <c r="L3669" s="14"/>
      <c r="M3669" s="14"/>
      <c r="N3669" s="14"/>
      <c r="O3669" s="4"/>
      <c r="P3669" s="14"/>
      <c r="Q3669" s="14"/>
    </row>
    <row r="3670" spans="1:17" x14ac:dyDescent="0.25">
      <c r="A3670" s="5"/>
      <c r="B3670" s="6"/>
      <c r="C3670" s="4"/>
      <c r="D3670" s="4"/>
      <c r="E3670" s="12"/>
      <c r="F3670" s="12"/>
      <c r="G3670" s="16"/>
      <c r="H3670" s="14"/>
      <c r="I3670" s="14"/>
      <c r="J3670" s="14"/>
      <c r="K3670" s="14"/>
      <c r="L3670" s="14"/>
      <c r="M3670" s="14"/>
      <c r="N3670" s="14"/>
      <c r="O3670" s="4"/>
      <c r="P3670" s="14"/>
      <c r="Q3670" s="14"/>
    </row>
    <row r="3671" spans="1:17" x14ac:dyDescent="0.25">
      <c r="A3671" s="5"/>
      <c r="B3671" s="6"/>
      <c r="C3671" s="4"/>
      <c r="D3671" s="4"/>
      <c r="E3671" s="12"/>
      <c r="F3671" s="12"/>
      <c r="G3671" s="16"/>
      <c r="H3671" s="14"/>
      <c r="I3671" s="14"/>
      <c r="J3671" s="14"/>
      <c r="K3671" s="14"/>
      <c r="L3671" s="14"/>
      <c r="M3671" s="14"/>
      <c r="N3671" s="14"/>
      <c r="O3671" s="4"/>
      <c r="P3671" s="14"/>
      <c r="Q3671" s="14"/>
    </row>
    <row r="3672" spans="1:17" x14ac:dyDescent="0.25">
      <c r="A3672" s="5"/>
      <c r="B3672" s="6"/>
      <c r="C3672" s="4"/>
      <c r="D3672" s="4"/>
      <c r="E3672" s="12"/>
      <c r="F3672" s="12"/>
      <c r="G3672" s="16"/>
      <c r="H3672" s="14"/>
      <c r="I3672" s="14"/>
      <c r="J3672" s="14"/>
      <c r="K3672" s="14"/>
      <c r="L3672" s="14"/>
      <c r="M3672" s="14"/>
      <c r="N3672" s="14"/>
      <c r="O3672" s="4"/>
      <c r="P3672" s="14"/>
      <c r="Q3672" s="14"/>
    </row>
    <row r="3673" spans="1:17" x14ac:dyDescent="0.25">
      <c r="A3673" s="5"/>
      <c r="B3673" s="6"/>
      <c r="C3673" s="4"/>
      <c r="D3673" s="4"/>
      <c r="E3673" s="12"/>
      <c r="F3673" s="12"/>
      <c r="G3673" s="16"/>
      <c r="H3673" s="14"/>
      <c r="I3673" s="14"/>
      <c r="J3673" s="14"/>
      <c r="K3673" s="14"/>
      <c r="L3673" s="14"/>
      <c r="M3673" s="14"/>
      <c r="N3673" s="14"/>
      <c r="O3673" s="4"/>
      <c r="P3673" s="14"/>
      <c r="Q3673" s="14"/>
    </row>
    <row r="3674" spans="1:17" x14ac:dyDescent="0.25">
      <c r="A3674" s="5"/>
      <c r="B3674" s="6"/>
      <c r="C3674" s="4"/>
      <c r="D3674" s="4"/>
      <c r="E3674" s="12"/>
      <c r="F3674" s="12"/>
      <c r="G3674" s="16"/>
      <c r="H3674" s="14"/>
      <c r="I3674" s="14"/>
      <c r="J3674" s="14"/>
      <c r="K3674" s="14"/>
      <c r="L3674" s="14"/>
      <c r="M3674" s="14"/>
      <c r="N3674" s="14"/>
      <c r="O3674" s="4"/>
      <c r="P3674" s="14"/>
      <c r="Q3674" s="14"/>
    </row>
    <row r="3675" spans="1:17" x14ac:dyDescent="0.25">
      <c r="A3675" s="5"/>
      <c r="B3675" s="6"/>
      <c r="C3675" s="4"/>
      <c r="D3675" s="4"/>
      <c r="E3675" s="12"/>
      <c r="F3675" s="12"/>
      <c r="G3675" s="16"/>
      <c r="H3675" s="14"/>
      <c r="I3675" s="14"/>
      <c r="J3675" s="14"/>
      <c r="K3675" s="14"/>
      <c r="L3675" s="14"/>
      <c r="M3675" s="14"/>
      <c r="N3675" s="14"/>
      <c r="O3675" s="4"/>
      <c r="P3675" s="14"/>
      <c r="Q3675" s="14"/>
    </row>
    <row r="3676" spans="1:17" x14ac:dyDescent="0.25">
      <c r="A3676" s="5"/>
      <c r="B3676" s="6"/>
      <c r="C3676" s="4"/>
      <c r="D3676" s="4"/>
      <c r="E3676" s="12"/>
      <c r="F3676" s="12"/>
      <c r="G3676" s="16"/>
      <c r="H3676" s="14"/>
      <c r="I3676" s="14"/>
      <c r="J3676" s="14"/>
      <c r="K3676" s="14"/>
      <c r="L3676" s="14"/>
      <c r="M3676" s="14"/>
      <c r="N3676" s="14"/>
      <c r="O3676" s="4"/>
      <c r="P3676" s="14"/>
      <c r="Q3676" s="14"/>
    </row>
    <row r="3677" spans="1:17" x14ac:dyDescent="0.25">
      <c r="A3677" s="5"/>
      <c r="B3677" s="6"/>
      <c r="C3677" s="4"/>
      <c r="D3677" s="4"/>
      <c r="E3677" s="12"/>
      <c r="F3677" s="12"/>
      <c r="G3677" s="16"/>
      <c r="H3677" s="14"/>
      <c r="I3677" s="14"/>
      <c r="J3677" s="14"/>
      <c r="K3677" s="14"/>
      <c r="L3677" s="14"/>
      <c r="M3677" s="14"/>
      <c r="N3677" s="14"/>
      <c r="O3677" s="4"/>
      <c r="P3677" s="14"/>
      <c r="Q3677" s="14"/>
    </row>
    <row r="3678" spans="1:17" x14ac:dyDescent="0.25">
      <c r="A3678" s="5"/>
      <c r="B3678" s="6"/>
      <c r="C3678" s="4"/>
      <c r="D3678" s="4"/>
      <c r="E3678" s="12"/>
      <c r="F3678" s="12"/>
      <c r="G3678" s="16"/>
      <c r="H3678" s="14"/>
      <c r="I3678" s="14"/>
      <c r="J3678" s="14"/>
      <c r="K3678" s="14"/>
      <c r="L3678" s="14"/>
      <c r="M3678" s="14"/>
      <c r="N3678" s="14"/>
      <c r="O3678" s="4"/>
      <c r="P3678" s="14"/>
      <c r="Q3678" s="14"/>
    </row>
    <row r="3679" spans="1:17" x14ac:dyDescent="0.25">
      <c r="A3679" s="5"/>
      <c r="B3679" s="6"/>
      <c r="C3679" s="4"/>
      <c r="D3679" s="4"/>
      <c r="E3679" s="12"/>
      <c r="F3679" s="12"/>
      <c r="G3679" s="16"/>
      <c r="H3679" s="14"/>
      <c r="I3679" s="14"/>
      <c r="J3679" s="14"/>
      <c r="K3679" s="14"/>
      <c r="L3679" s="14"/>
      <c r="M3679" s="14"/>
      <c r="N3679" s="14"/>
      <c r="O3679" s="4"/>
      <c r="P3679" s="14"/>
      <c r="Q3679" s="14"/>
    </row>
    <row r="3680" spans="1:17" x14ac:dyDescent="0.25">
      <c r="A3680" s="5"/>
      <c r="B3680" s="6"/>
      <c r="C3680" s="4"/>
      <c r="D3680" s="4"/>
      <c r="E3680" s="12"/>
      <c r="F3680" s="12"/>
      <c r="G3680" s="16"/>
      <c r="H3680" s="14"/>
      <c r="I3680" s="14"/>
      <c r="J3680" s="14"/>
      <c r="K3680" s="14"/>
      <c r="L3680" s="14"/>
      <c r="M3680" s="14"/>
      <c r="N3680" s="14"/>
      <c r="O3680" s="4"/>
      <c r="P3680" s="14"/>
      <c r="Q3680" s="14"/>
    </row>
    <row r="3681" spans="1:17" x14ac:dyDescent="0.25">
      <c r="A3681" s="5"/>
      <c r="B3681" s="6"/>
      <c r="C3681" s="4"/>
      <c r="D3681" s="4"/>
      <c r="E3681" s="12"/>
      <c r="F3681" s="12"/>
      <c r="G3681" s="16"/>
      <c r="H3681" s="14"/>
      <c r="I3681" s="14"/>
      <c r="J3681" s="14"/>
      <c r="K3681" s="14"/>
      <c r="L3681" s="14"/>
      <c r="M3681" s="14"/>
      <c r="N3681" s="14"/>
      <c r="O3681" s="4"/>
      <c r="P3681" s="14"/>
      <c r="Q3681" s="14"/>
    </row>
    <row r="3682" spans="1:17" x14ac:dyDescent="0.25">
      <c r="A3682" s="5"/>
      <c r="B3682" s="6"/>
      <c r="C3682" s="4"/>
      <c r="D3682" s="4"/>
      <c r="E3682" s="12"/>
      <c r="F3682" s="12"/>
      <c r="G3682" s="16"/>
      <c r="H3682" s="14"/>
      <c r="I3682" s="14"/>
      <c r="J3682" s="14"/>
      <c r="K3682" s="14"/>
      <c r="L3682" s="14"/>
      <c r="M3682" s="14"/>
      <c r="N3682" s="14"/>
      <c r="O3682" s="4"/>
      <c r="P3682" s="14"/>
      <c r="Q3682" s="14"/>
    </row>
    <row r="3683" spans="1:17" x14ac:dyDescent="0.25">
      <c r="A3683" s="5"/>
      <c r="B3683" s="7"/>
      <c r="C3683" s="8"/>
      <c r="D3683" s="8"/>
      <c r="E3683" s="13"/>
      <c r="F3683" s="13"/>
      <c r="G3683" s="17"/>
      <c r="H3683" s="15"/>
      <c r="I3683" s="15"/>
      <c r="J3683" s="15"/>
      <c r="K3683" s="15"/>
      <c r="L3683" s="15"/>
      <c r="M3683" s="15"/>
      <c r="N3683" s="15"/>
      <c r="O3683" s="8"/>
      <c r="P3683" s="13"/>
      <c r="Q3683" s="13"/>
    </row>
  </sheetData>
  <mergeCells count="25">
    <mergeCell ref="Q29:Q30"/>
    <mergeCell ref="M29:M30"/>
    <mergeCell ref="N29:N30"/>
    <mergeCell ref="O29:O30"/>
    <mergeCell ref="G1:H1"/>
    <mergeCell ref="G3:H3"/>
    <mergeCell ref="K29:K30"/>
    <mergeCell ref="L29:L30"/>
    <mergeCell ref="J29:J30"/>
    <mergeCell ref="G2:H2"/>
    <mergeCell ref="G4:H4"/>
    <mergeCell ref="I22:J22"/>
    <mergeCell ref="A1:E4"/>
    <mergeCell ref="P29:P30"/>
    <mergeCell ref="G29:G30"/>
    <mergeCell ref="H29:H30"/>
    <mergeCell ref="I29:I30"/>
    <mergeCell ref="A6:F6"/>
    <mergeCell ref="A29:A30"/>
    <mergeCell ref="F29:F30"/>
    <mergeCell ref="B29:B30"/>
    <mergeCell ref="C29:C30"/>
    <mergeCell ref="D29:D30"/>
    <mergeCell ref="E15:F15"/>
    <mergeCell ref="E29:E30"/>
  </mergeCells>
  <phoneticPr fontId="1" type="noConversion"/>
  <pageMargins left="0.75" right="0.75" top="1" bottom="1" header="0.4921259845" footer="0.4921259845"/>
  <headerFooter alignWithMargin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Informe de sensibilidad 1</vt:lpstr>
      <vt:lpstr>Informe de límites 1</vt:lpstr>
      <vt:lpstr>HBV Modelo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Juan Diego Carvajal Cruz</dc:creator>
  <cp:keywords/>
  <dc:description/>
  <cp:lastModifiedBy>Michael Andres</cp:lastModifiedBy>
  <cp:revision/>
  <dcterms:created xsi:type="dcterms:W3CDTF">2006-11-20T07:45:54Z</dcterms:created>
  <dcterms:modified xsi:type="dcterms:W3CDTF">2024-11-25T21:55:44Z</dcterms:modified>
  <cp:category/>
  <cp:contentStatus/>
</cp:coreProperties>
</file>