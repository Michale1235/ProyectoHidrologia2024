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4\PROYECTO_HIDROLOGIA2024\"/>
    </mc:Choice>
  </mc:AlternateContent>
  <xr:revisionPtr revIDLastSave="0" documentId="13_ncr:1_{C0749E2B-83B1-4494-8FAB-3A2CAB2E04BC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Informe de sensibilidad 1" sheetId="3" r:id="rId1"/>
    <sheet name="Informe de límites 1" sheetId="4" r:id="rId2"/>
    <sheet name="HBV Modelo" sheetId="2" r:id="rId3"/>
  </sheets>
  <definedNames>
    <definedName name="solver_adj" localSheetId="2" hidden="1">'HBV Modelo'!$C$11:$C$13,'HBV Modelo'!$F$8:$F$13,'HBV Modelo'!$G$31,'HBV Modelo'!$K$31,'HBV Modelo'!$L$31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100</definedName>
    <definedName name="solver_lhs1" localSheetId="2" hidden="1">'HBV Modelo'!$L$31</definedName>
    <definedName name="solver_lhs10" localSheetId="2" hidden="1">'HBV Modelo'!$F$13</definedName>
    <definedName name="solver_lhs11" localSheetId="2" hidden="1">'HBV Modelo'!$F$13</definedName>
    <definedName name="solver_lhs12" localSheetId="2" hidden="1">'HBV Modelo'!$F$12</definedName>
    <definedName name="solver_lhs13" localSheetId="2" hidden="1">'HBV Modelo'!$F$12</definedName>
    <definedName name="solver_lhs14" localSheetId="2" hidden="1">'HBV Modelo'!$F$10</definedName>
    <definedName name="solver_lhs15" localSheetId="2" hidden="1">'HBV Modelo'!$C$13</definedName>
    <definedName name="solver_lhs16" localSheetId="2" hidden="1">'HBV Modelo'!$F$11</definedName>
    <definedName name="solver_lhs17" localSheetId="2" hidden="1">'HBV Modelo'!$L$31</definedName>
    <definedName name="solver_lhs18" localSheetId="2" hidden="1">'HBV Modelo'!$L$31</definedName>
    <definedName name="solver_lhs2" localSheetId="2" hidden="1">'HBV Modelo'!$C$13</definedName>
    <definedName name="solver_lhs3" localSheetId="2" hidden="1">'HBV Modelo'!$C$12</definedName>
    <definedName name="solver_lhs4" localSheetId="2" hidden="1">'HBV Modelo'!$G$31</definedName>
    <definedName name="solver_lhs5" localSheetId="2" hidden="1">'HBV Modelo'!$K$31</definedName>
    <definedName name="solver_lhs6" localSheetId="2" hidden="1">'HBV Modelo'!$F$9</definedName>
    <definedName name="solver_lhs7" localSheetId="2" hidden="1">'HBV Modelo'!$F$9</definedName>
    <definedName name="solver_lhs8" localSheetId="2" hidden="1">'HBV Modelo'!$F$8</definedName>
    <definedName name="solver_lhs9" localSheetId="2" hidden="1">'HBV Modelo'!$F$8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16</definedName>
    <definedName name="solver_nwt" localSheetId="2" hidden="1">1</definedName>
    <definedName name="solver_opt" localSheetId="2" hidden="1">'HBV Modelo'!$F$27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10" localSheetId="2" hidden="1">1</definedName>
    <definedName name="solver_rel11" localSheetId="2" hidden="1">1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1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2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0</definedName>
    <definedName name="solver_rhs10" localSheetId="2" hidden="1">'HBV Modelo'!$C$11</definedName>
    <definedName name="solver_rhs11" localSheetId="2" hidden="1">'HBV Modelo'!$C$11</definedName>
    <definedName name="solver_rhs12" localSheetId="2" hidden="1">0</definedName>
    <definedName name="solver_rhs13" localSheetId="2" hidden="1">0</definedName>
    <definedName name="solver_rhs14" localSheetId="2" hidden="1">'HBV Modelo'!$F$11</definedName>
    <definedName name="solver_rhs15" localSheetId="2" hidden="1">1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2" localSheetId="2" hidden="1">0</definedName>
    <definedName name="solver_rhs3" localSheetId="2" hidden="1">0.1</definedName>
    <definedName name="solver_rhs4" localSheetId="2" hidden="1">0</definedName>
    <definedName name="solver_rhs5" localSheetId="2" hidden="1">0</definedName>
    <definedName name="solver_rhs6" localSheetId="2" hidden="1">2</definedName>
    <definedName name="solver_rhs7" localSheetId="2" hidden="1">0</definedName>
    <definedName name="solver_rhs8" localSheetId="2" hidden="1">'HBV Modelo'!$F$10</definedName>
    <definedName name="solver_rhs9" localSheetId="2" hidden="1">'HBV Modelo'!$F$10</definedName>
    <definedName name="solver_rlx" localSheetId="2" hidden="1">1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tim" localSheetId="2" hidden="1">100</definedName>
    <definedName name="solver_tol" localSheetId="2" hidden="1">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C16" i="2"/>
  <c r="M31" i="2" l="1"/>
  <c r="L32" i="2"/>
  <c r="F32" i="2"/>
  <c r="F17" i="2" l="1"/>
  <c r="H32" i="2"/>
  <c r="F20" i="2"/>
  <c r="B32" i="2"/>
  <c r="I32" i="2" s="1"/>
  <c r="J32" i="2" s="1"/>
  <c r="E32" i="2"/>
  <c r="E33" i="2" s="1"/>
  <c r="B33" i="2"/>
  <c r="B34" i="2"/>
  <c r="B35" i="2"/>
  <c r="B36" i="2"/>
  <c r="I36" i="2" s="1"/>
  <c r="B37" i="2"/>
  <c r="I37" i="2" s="1"/>
  <c r="B38" i="2"/>
  <c r="I38" i="2" s="1"/>
  <c r="B39" i="2"/>
  <c r="B40" i="2"/>
  <c r="I40" i="2" s="1"/>
  <c r="B41" i="2"/>
  <c r="B42" i="2"/>
  <c r="I42" i="2" s="1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I62" i="2" s="1"/>
  <c r="B63" i="2"/>
  <c r="B64" i="2"/>
  <c r="B65" i="2"/>
  <c r="B66" i="2"/>
  <c r="B67" i="2"/>
  <c r="B68" i="2"/>
  <c r="B69" i="2"/>
  <c r="B70" i="2"/>
  <c r="I70" i="2" s="1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C18" i="2"/>
  <c r="B92" i="2"/>
  <c r="I92" i="2" s="1"/>
  <c r="B93" i="2"/>
  <c r="B94" i="2"/>
  <c r="B95" i="2"/>
  <c r="B96" i="2"/>
  <c r="B97" i="2"/>
  <c r="B98" i="2"/>
  <c r="B99" i="2"/>
  <c r="B100" i="2"/>
  <c r="B101" i="2"/>
  <c r="I101" i="2" s="1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C19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C20" i="2"/>
  <c r="I527" i="2" s="1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C21" i="2"/>
  <c r="I560" i="2" s="1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C22" i="2"/>
  <c r="I1150" i="2" s="1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C23" i="2"/>
  <c r="I857" i="2" s="1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I275" i="2" s="1"/>
  <c r="C24" i="2"/>
  <c r="I153" i="2" s="1"/>
  <c r="B276" i="2"/>
  <c r="I276" i="2" s="1"/>
  <c r="B277" i="2"/>
  <c r="B278" i="2"/>
  <c r="I278" i="2" s="1"/>
  <c r="B279" i="2"/>
  <c r="I279" i="2" s="1"/>
  <c r="B280" i="2"/>
  <c r="B281" i="2"/>
  <c r="B282" i="2"/>
  <c r="B283" i="2"/>
  <c r="B284" i="2"/>
  <c r="I284" i="2" s="1"/>
  <c r="B285" i="2"/>
  <c r="B286" i="2"/>
  <c r="I286" i="2" s="1"/>
  <c r="B287" i="2"/>
  <c r="B288" i="2"/>
  <c r="B289" i="2"/>
  <c r="B290" i="2"/>
  <c r="B291" i="2"/>
  <c r="B292" i="2"/>
  <c r="B293" i="2"/>
  <c r="B294" i="2"/>
  <c r="B295" i="2"/>
  <c r="I295" i="2" s="1"/>
  <c r="B296" i="2"/>
  <c r="B297" i="2"/>
  <c r="B298" i="2"/>
  <c r="B299" i="2"/>
  <c r="B300" i="2"/>
  <c r="I300" i="2" s="1"/>
  <c r="B301" i="2"/>
  <c r="I301" i="2" s="1"/>
  <c r="B302" i="2"/>
  <c r="B303" i="2"/>
  <c r="B304" i="2"/>
  <c r="B305" i="2"/>
  <c r="C25" i="2"/>
  <c r="I915" i="2" s="1"/>
  <c r="B306" i="2"/>
  <c r="I306" i="2" s="1"/>
  <c r="B307" i="2"/>
  <c r="B308" i="2"/>
  <c r="B309" i="2"/>
  <c r="I309" i="2" s="1"/>
  <c r="B310" i="2"/>
  <c r="I310" i="2" s="1"/>
  <c r="B311" i="2"/>
  <c r="B312" i="2"/>
  <c r="B313" i="2"/>
  <c r="B314" i="2"/>
  <c r="B315" i="2"/>
  <c r="I315" i="2" s="1"/>
  <c r="B316" i="2"/>
  <c r="I316" i="2" s="1"/>
  <c r="B317" i="2"/>
  <c r="I317" i="2" s="1"/>
  <c r="B318" i="2"/>
  <c r="B319" i="2"/>
  <c r="I319" i="2" s="1"/>
  <c r="B320" i="2"/>
  <c r="B321" i="2"/>
  <c r="B322" i="2"/>
  <c r="B323" i="2"/>
  <c r="B324" i="2"/>
  <c r="B325" i="2"/>
  <c r="B326" i="2"/>
  <c r="I326" i="2" s="1"/>
  <c r="B327" i="2"/>
  <c r="B328" i="2"/>
  <c r="B329" i="2"/>
  <c r="B330" i="2"/>
  <c r="B331" i="2"/>
  <c r="I331" i="2" s="1"/>
  <c r="B332" i="2"/>
  <c r="I332" i="2" s="1"/>
  <c r="B333" i="2"/>
  <c r="I333" i="2" s="1"/>
  <c r="B334" i="2"/>
  <c r="I334" i="2" s="1"/>
  <c r="B335" i="2"/>
  <c r="B336" i="2"/>
  <c r="C26" i="2"/>
  <c r="I944" i="2" s="1"/>
  <c r="B337" i="2"/>
  <c r="B338" i="2"/>
  <c r="B339" i="2"/>
  <c r="B340" i="2"/>
  <c r="I340" i="2" s="1"/>
  <c r="B341" i="2"/>
  <c r="B342" i="2"/>
  <c r="B343" i="2"/>
  <c r="B344" i="2"/>
  <c r="B345" i="2"/>
  <c r="B346" i="2"/>
  <c r="I346" i="2" s="1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C27" i="2"/>
  <c r="I964" i="2" s="1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I382" i="2" s="1"/>
  <c r="B383" i="2"/>
  <c r="B384" i="2"/>
  <c r="B385" i="2"/>
  <c r="B386" i="2"/>
  <c r="B387" i="2"/>
  <c r="B388" i="2"/>
  <c r="B389" i="2"/>
  <c r="B390" i="2"/>
  <c r="B391" i="2"/>
  <c r="B392" i="2"/>
  <c r="B393" i="2"/>
  <c r="B394" i="2"/>
  <c r="I394" i="2" s="1"/>
  <c r="B395" i="2"/>
  <c r="B396" i="2"/>
  <c r="I396" i="2" s="1"/>
  <c r="B397" i="2"/>
  <c r="B398" i="2"/>
  <c r="B399" i="2"/>
  <c r="B400" i="2"/>
  <c r="B401" i="2"/>
  <c r="I401" i="2" s="1"/>
  <c r="B402" i="2"/>
  <c r="I402" i="2" s="1"/>
  <c r="B403" i="2"/>
  <c r="B404" i="2"/>
  <c r="B405" i="2"/>
  <c r="B406" i="2"/>
  <c r="B407" i="2"/>
  <c r="B408" i="2"/>
  <c r="I408" i="2" s="1"/>
  <c r="B409" i="2"/>
  <c r="I409" i="2" s="1"/>
  <c r="B410" i="2"/>
  <c r="I410" i="2" s="1"/>
  <c r="B411" i="2"/>
  <c r="B412" i="2"/>
  <c r="I412" i="2" s="1"/>
  <c r="B413" i="2"/>
  <c r="B414" i="2"/>
  <c r="I414" i="2" s="1"/>
  <c r="B415" i="2"/>
  <c r="B416" i="2"/>
  <c r="B417" i="2"/>
  <c r="I417" i="2" s="1"/>
  <c r="B418" i="2"/>
  <c r="B419" i="2"/>
  <c r="I419" i="2" s="1"/>
  <c r="B420" i="2"/>
  <c r="B421" i="2"/>
  <c r="B422" i="2"/>
  <c r="B423" i="2"/>
  <c r="B424" i="2"/>
  <c r="I424" i="2" s="1"/>
  <c r="B425" i="2"/>
  <c r="I425" i="2" s="1"/>
  <c r="B426" i="2"/>
  <c r="I426" i="2" s="1"/>
  <c r="B427" i="2"/>
  <c r="B428" i="2"/>
  <c r="I428" i="2" s="1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I449" i="2" s="1"/>
  <c r="B450" i="2"/>
  <c r="B451" i="2"/>
  <c r="B452" i="2"/>
  <c r="B453" i="2"/>
  <c r="B454" i="2"/>
  <c r="B455" i="2"/>
  <c r="B456" i="2"/>
  <c r="B457" i="2"/>
  <c r="I457" i="2" s="1"/>
  <c r="B458" i="2"/>
  <c r="I458" i="2" s="1"/>
  <c r="B459" i="2"/>
  <c r="B460" i="2"/>
  <c r="I460" i="2" s="1"/>
  <c r="B461" i="2"/>
  <c r="B462" i="2"/>
  <c r="B463" i="2"/>
  <c r="B464" i="2"/>
  <c r="B465" i="2"/>
  <c r="B466" i="2"/>
  <c r="I466" i="2" s="1"/>
  <c r="B467" i="2"/>
  <c r="I467" i="2" s="1"/>
  <c r="B468" i="2"/>
  <c r="B469" i="2"/>
  <c r="B470" i="2"/>
  <c r="B471" i="2"/>
  <c r="B472" i="2"/>
  <c r="B473" i="2"/>
  <c r="I473" i="2" s="1"/>
  <c r="B474" i="2"/>
  <c r="I474" i="2" s="1"/>
  <c r="B475" i="2"/>
  <c r="B476" i="2"/>
  <c r="I476" i="2" s="1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I489" i="2" s="1"/>
  <c r="B490" i="2"/>
  <c r="B491" i="2"/>
  <c r="B492" i="2"/>
  <c r="B493" i="2"/>
  <c r="B494" i="2"/>
  <c r="I494" i="2" s="1"/>
  <c r="B495" i="2"/>
  <c r="B496" i="2"/>
  <c r="B497" i="2"/>
  <c r="B498" i="2"/>
  <c r="B499" i="2"/>
  <c r="B500" i="2"/>
  <c r="B501" i="2"/>
  <c r="B502" i="2"/>
  <c r="B503" i="2"/>
  <c r="B504" i="2"/>
  <c r="B505" i="2"/>
  <c r="I505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I521" i="2" s="1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I537" i="2" s="1"/>
  <c r="B538" i="2"/>
  <c r="B539" i="2"/>
  <c r="B540" i="2"/>
  <c r="B541" i="2"/>
  <c r="B542" i="2"/>
  <c r="B543" i="2"/>
  <c r="B544" i="2"/>
  <c r="B545" i="2"/>
  <c r="I545" i="2" s="1"/>
  <c r="B546" i="2"/>
  <c r="B547" i="2"/>
  <c r="B548" i="2"/>
  <c r="B549" i="2"/>
  <c r="B550" i="2"/>
  <c r="B551" i="2"/>
  <c r="B552" i="2"/>
  <c r="B553" i="2"/>
  <c r="I553" i="2" s="1"/>
  <c r="B554" i="2"/>
  <c r="B555" i="2"/>
  <c r="B556" i="2"/>
  <c r="B557" i="2"/>
  <c r="B558" i="2"/>
  <c r="B559" i="2"/>
  <c r="B560" i="2"/>
  <c r="B561" i="2"/>
  <c r="I561" i="2" s="1"/>
  <c r="B562" i="2"/>
  <c r="B563" i="2"/>
  <c r="B564" i="2"/>
  <c r="B565" i="2"/>
  <c r="B566" i="2"/>
  <c r="B567" i="2"/>
  <c r="B568" i="2"/>
  <c r="I568" i="2" s="1"/>
  <c r="B569" i="2"/>
  <c r="I569" i="2" s="1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I585" i="2" s="1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I601" i="2" s="1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I640" i="2" s="1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I671" i="2" s="1"/>
  <c r="B672" i="2"/>
  <c r="B673" i="2"/>
  <c r="B674" i="2"/>
  <c r="B675" i="2"/>
  <c r="B676" i="2"/>
  <c r="B677" i="2"/>
  <c r="B678" i="2"/>
  <c r="B679" i="2"/>
  <c r="B680" i="2"/>
  <c r="B681" i="2"/>
  <c r="I681" i="2" s="1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I734" i="2" s="1"/>
  <c r="B735" i="2"/>
  <c r="B736" i="2"/>
  <c r="B737" i="2"/>
  <c r="B738" i="2"/>
  <c r="B739" i="2"/>
  <c r="B740" i="2"/>
  <c r="B741" i="2"/>
  <c r="B742" i="2"/>
  <c r="I742" i="2" s="1"/>
  <c r="B743" i="2"/>
  <c r="B744" i="2"/>
  <c r="B745" i="2"/>
  <c r="B746" i="2"/>
  <c r="I746" i="2" s="1"/>
  <c r="B747" i="2"/>
  <c r="B748" i="2"/>
  <c r="B749" i="2"/>
  <c r="I749" i="2" s="1"/>
  <c r="B750" i="2"/>
  <c r="I750" i="2" s="1"/>
  <c r="B751" i="2"/>
  <c r="B752" i="2"/>
  <c r="B753" i="2"/>
  <c r="B754" i="2"/>
  <c r="B755" i="2"/>
  <c r="B756" i="2"/>
  <c r="B757" i="2"/>
  <c r="B758" i="2"/>
  <c r="B759" i="2"/>
  <c r="B760" i="2"/>
  <c r="I760" i="2" s="1"/>
  <c r="B761" i="2"/>
  <c r="B762" i="2"/>
  <c r="I762" i="2" s="1"/>
  <c r="B763" i="2"/>
  <c r="B764" i="2"/>
  <c r="B765" i="2"/>
  <c r="B766" i="2"/>
  <c r="I766" i="2" s="1"/>
  <c r="B767" i="2"/>
  <c r="B768" i="2"/>
  <c r="B769" i="2"/>
  <c r="B770" i="2"/>
  <c r="B771" i="2"/>
  <c r="B772" i="2"/>
  <c r="I772" i="2" s="1"/>
  <c r="B773" i="2"/>
  <c r="B774" i="2"/>
  <c r="B775" i="2"/>
  <c r="B776" i="2"/>
  <c r="I776" i="2" s="1"/>
  <c r="B777" i="2"/>
  <c r="I777" i="2" s="1"/>
  <c r="B778" i="2"/>
  <c r="I778" i="2" s="1"/>
  <c r="B779" i="2"/>
  <c r="I779" i="2" s="1"/>
  <c r="B780" i="2"/>
  <c r="B781" i="2"/>
  <c r="I781" i="2" s="1"/>
  <c r="B782" i="2"/>
  <c r="I782" i="2" s="1"/>
  <c r="B783" i="2"/>
  <c r="I783" i="2" s="1"/>
  <c r="B784" i="2"/>
  <c r="B785" i="2"/>
  <c r="B786" i="2"/>
  <c r="B787" i="2"/>
  <c r="B788" i="2"/>
  <c r="I788" i="2" s="1"/>
  <c r="B789" i="2"/>
  <c r="B790" i="2"/>
  <c r="I790" i="2" s="1"/>
  <c r="B791" i="2"/>
  <c r="I791" i="2" s="1"/>
  <c r="B792" i="2"/>
  <c r="B793" i="2"/>
  <c r="B794" i="2"/>
  <c r="I794" i="2" s="1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I808" i="2" s="1"/>
  <c r="B809" i="2"/>
  <c r="B810" i="2"/>
  <c r="I810" i="2" s="1"/>
  <c r="B811" i="2"/>
  <c r="B812" i="2"/>
  <c r="B813" i="2"/>
  <c r="B814" i="2"/>
  <c r="B815" i="2"/>
  <c r="B816" i="2"/>
  <c r="B817" i="2"/>
  <c r="B818" i="2"/>
  <c r="B819" i="2"/>
  <c r="B820" i="2"/>
  <c r="I820" i="2" s="1"/>
  <c r="B821" i="2"/>
  <c r="B822" i="2"/>
  <c r="B823" i="2"/>
  <c r="B824" i="2"/>
  <c r="I824" i="2" s="1"/>
  <c r="B825" i="2"/>
  <c r="B826" i="2"/>
  <c r="I826" i="2" s="1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I856" i="2" s="1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I895" i="2" s="1"/>
  <c r="B896" i="2"/>
  <c r="B897" i="2"/>
  <c r="B898" i="2"/>
  <c r="B899" i="2"/>
  <c r="B900" i="2"/>
  <c r="B901" i="2"/>
  <c r="B902" i="2"/>
  <c r="B903" i="2"/>
  <c r="B904" i="2"/>
  <c r="B905" i="2"/>
  <c r="I905" i="2" s="1"/>
  <c r="B906" i="2"/>
  <c r="B907" i="2"/>
  <c r="B908" i="2"/>
  <c r="B909" i="2"/>
  <c r="B910" i="2"/>
  <c r="B911" i="2"/>
  <c r="I911" i="2" s="1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I936" i="2" s="1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I965" i="2" s="1"/>
  <c r="B966" i="2"/>
  <c r="B967" i="2"/>
  <c r="B968" i="2"/>
  <c r="I968" i="2" s="1"/>
  <c r="B969" i="2"/>
  <c r="B970" i="2"/>
  <c r="I970" i="2" s="1"/>
  <c r="B971" i="2"/>
  <c r="B972" i="2"/>
  <c r="B973" i="2"/>
  <c r="B974" i="2"/>
  <c r="B975" i="2"/>
  <c r="B976" i="2"/>
  <c r="I976" i="2" s="1"/>
  <c r="B977" i="2"/>
  <c r="B978" i="2"/>
  <c r="B979" i="2"/>
  <c r="B980" i="2"/>
  <c r="B981" i="2"/>
  <c r="I981" i="2" s="1"/>
  <c r="B982" i="2"/>
  <c r="B983" i="2"/>
  <c r="B984" i="2"/>
  <c r="I984" i="2" s="1"/>
  <c r="B985" i="2"/>
  <c r="B986" i="2"/>
  <c r="B987" i="2"/>
  <c r="B988" i="2"/>
  <c r="B989" i="2"/>
  <c r="B990" i="2"/>
  <c r="B991" i="2"/>
  <c r="I991" i="2" s="1"/>
  <c r="B992" i="2"/>
  <c r="I992" i="2" s="1"/>
  <c r="B993" i="2"/>
  <c r="B994" i="2"/>
  <c r="B995" i="2"/>
  <c r="B996" i="2"/>
  <c r="I996" i="2" s="1"/>
  <c r="B997" i="2"/>
  <c r="B998" i="2"/>
  <c r="B999" i="2"/>
  <c r="B1000" i="2"/>
  <c r="I1000" i="2" s="1"/>
  <c r="B1001" i="2"/>
  <c r="B1002" i="2"/>
  <c r="B1003" i="2"/>
  <c r="B1004" i="2"/>
  <c r="B1005" i="2"/>
  <c r="B1006" i="2"/>
  <c r="B1007" i="2"/>
  <c r="I1007" i="2" s="1"/>
  <c r="B1008" i="2"/>
  <c r="I1008" i="2" s="1"/>
  <c r="B1009" i="2"/>
  <c r="B1010" i="2"/>
  <c r="B1011" i="2"/>
  <c r="B1012" i="2"/>
  <c r="I1012" i="2" s="1"/>
  <c r="B1013" i="2"/>
  <c r="I1013" i="2" s="1"/>
  <c r="B1014" i="2"/>
  <c r="I1014" i="2" s="1"/>
  <c r="B1015" i="2"/>
  <c r="B1016" i="2"/>
  <c r="I1016" i="2" s="1"/>
  <c r="B1017" i="2"/>
  <c r="I1017" i="2" s="1"/>
  <c r="B1018" i="2"/>
  <c r="B1019" i="2"/>
  <c r="B1020" i="2"/>
  <c r="B1021" i="2"/>
  <c r="B1022" i="2"/>
  <c r="I1022" i="2" s="1"/>
  <c r="B1023" i="2"/>
  <c r="I1023" i="2" s="1"/>
  <c r="B1024" i="2"/>
  <c r="I1024" i="2" s="1"/>
  <c r="B1025" i="2"/>
  <c r="B1026" i="2"/>
  <c r="I1026" i="2" s="1"/>
  <c r="B1027" i="2"/>
  <c r="I1027" i="2" s="1"/>
  <c r="B1028" i="2"/>
  <c r="I1028" i="2" s="1"/>
  <c r="B1029" i="2"/>
  <c r="I1029" i="2" s="1"/>
  <c r="B1030" i="2"/>
  <c r="I1030" i="2" s="1"/>
  <c r="B1031" i="2"/>
  <c r="I1031" i="2" s="1"/>
  <c r="B1032" i="2"/>
  <c r="I1032" i="2" s="1"/>
  <c r="B1033" i="2"/>
  <c r="B1034" i="2"/>
  <c r="B1035" i="2"/>
  <c r="B1036" i="2"/>
  <c r="B1037" i="2"/>
  <c r="B1038" i="2"/>
  <c r="I1038" i="2" s="1"/>
  <c r="B1039" i="2"/>
  <c r="I1039" i="2" s="1"/>
  <c r="B1040" i="2"/>
  <c r="I1040" i="2" s="1"/>
  <c r="B1041" i="2"/>
  <c r="B1042" i="2"/>
  <c r="I1042" i="2" s="1"/>
  <c r="B1043" i="2"/>
  <c r="B1044" i="2"/>
  <c r="I1044" i="2" s="1"/>
  <c r="B1045" i="2"/>
  <c r="B1046" i="2"/>
  <c r="I1046" i="2" s="1"/>
  <c r="B1047" i="2"/>
  <c r="I1047" i="2" s="1"/>
  <c r="B1048" i="2"/>
  <c r="I1048" i="2" s="1"/>
  <c r="B1049" i="2"/>
  <c r="B1050" i="2"/>
  <c r="B1051" i="2"/>
  <c r="B1052" i="2"/>
  <c r="B1053" i="2"/>
  <c r="I1053" i="2" s="1"/>
  <c r="B1054" i="2"/>
  <c r="I1054" i="2" s="1"/>
  <c r="B1055" i="2"/>
  <c r="B1056" i="2"/>
  <c r="I1056" i="2" s="1"/>
  <c r="B1057" i="2"/>
  <c r="I1057" i="2" s="1"/>
  <c r="B1058" i="2"/>
  <c r="I1058" i="2" s="1"/>
  <c r="B1059" i="2"/>
  <c r="B1060" i="2"/>
  <c r="B1061" i="2"/>
  <c r="I1061" i="2" s="1"/>
  <c r="B1062" i="2"/>
  <c r="B1063" i="2"/>
  <c r="I1063" i="2" s="1"/>
  <c r="B1064" i="2"/>
  <c r="I1064" i="2" s="1"/>
  <c r="B1065" i="2"/>
  <c r="B1066" i="2"/>
  <c r="B1067" i="2"/>
  <c r="B1068" i="2"/>
  <c r="B1069" i="2"/>
  <c r="I1069" i="2" s="1"/>
  <c r="B1070" i="2"/>
  <c r="B1071" i="2"/>
  <c r="B1072" i="2"/>
  <c r="B1073" i="2"/>
  <c r="B1074" i="2"/>
  <c r="I1074" i="2" s="1"/>
  <c r="B1075" i="2"/>
  <c r="B1076" i="2"/>
  <c r="B1077" i="2"/>
  <c r="I1077" i="2" s="1"/>
  <c r="B1078" i="2"/>
  <c r="B1079" i="2"/>
  <c r="B1080" i="2"/>
  <c r="B1081" i="2"/>
  <c r="B1082" i="2"/>
  <c r="B1083" i="2"/>
  <c r="B1084" i="2"/>
  <c r="B1085" i="2"/>
  <c r="I1085" i="2" s="1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I1248" i="2" s="1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I1263" i="2" s="1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I1280" i="2" s="1"/>
  <c r="B1281" i="2"/>
  <c r="I1281" i="2" s="1"/>
  <c r="B1282" i="2"/>
  <c r="B1283" i="2"/>
  <c r="B1284" i="2"/>
  <c r="B1285" i="2"/>
  <c r="B1286" i="2"/>
  <c r="B1287" i="2"/>
  <c r="B1288" i="2"/>
  <c r="I1288" i="2" s="1"/>
  <c r="B1289" i="2"/>
  <c r="I1289" i="2" s="1"/>
  <c r="B1290" i="2"/>
  <c r="B1291" i="2"/>
  <c r="B1292" i="2"/>
  <c r="B1293" i="2"/>
  <c r="B1294" i="2"/>
  <c r="B1295" i="2"/>
  <c r="B1296" i="2"/>
  <c r="B1297" i="2"/>
  <c r="I1297" i="2" s="1"/>
  <c r="B1298" i="2"/>
  <c r="B1299" i="2"/>
  <c r="B1300" i="2"/>
  <c r="B1301" i="2"/>
  <c r="B1302" i="2"/>
  <c r="B1303" i="2"/>
  <c r="B1304" i="2"/>
  <c r="B1305" i="2"/>
  <c r="B1306" i="2"/>
  <c r="I1306" i="2" s="1"/>
  <c r="B1307" i="2"/>
  <c r="B1308" i="2"/>
  <c r="B1309" i="2"/>
  <c r="I1309" i="2" s="1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I1322" i="2" s="1"/>
  <c r="B1323" i="2"/>
  <c r="B1324" i="2"/>
  <c r="I1324" i="2" s="1"/>
  <c r="B1325" i="2"/>
  <c r="B1326" i="2"/>
  <c r="B1327" i="2"/>
  <c r="B1328" i="2"/>
  <c r="B1329" i="2"/>
  <c r="B1330" i="2"/>
  <c r="B1331" i="2"/>
  <c r="B1332" i="2"/>
  <c r="B1333" i="2"/>
  <c r="B1334" i="2"/>
  <c r="I1334" i="2" s="1"/>
  <c r="B1335" i="2"/>
  <c r="B1336" i="2"/>
  <c r="B1337" i="2"/>
  <c r="I1337" i="2" s="1"/>
  <c r="B1338" i="2"/>
  <c r="I1338" i="2" s="1"/>
  <c r="B1339" i="2"/>
  <c r="B1340" i="2"/>
  <c r="B1341" i="2"/>
  <c r="I1341" i="2" s="1"/>
  <c r="B1342" i="2"/>
  <c r="B1343" i="2"/>
  <c r="B1344" i="2"/>
  <c r="I1344" i="2" s="1"/>
  <c r="B1345" i="2"/>
  <c r="B1346" i="2"/>
  <c r="B1347" i="2"/>
  <c r="I1347" i="2" s="1"/>
  <c r="B1348" i="2"/>
  <c r="B1349" i="2"/>
  <c r="I1349" i="2" s="1"/>
  <c r="B1350" i="2"/>
  <c r="I1350" i="2" s="1"/>
  <c r="B1351" i="2"/>
  <c r="B1352" i="2"/>
  <c r="B1353" i="2"/>
  <c r="B1354" i="2"/>
  <c r="B1355" i="2"/>
  <c r="I1355" i="2" s="1"/>
  <c r="B1356" i="2"/>
  <c r="B1357" i="2"/>
  <c r="I1357" i="2" s="1"/>
  <c r="B1358" i="2"/>
  <c r="I1358" i="2" s="1"/>
  <c r="B1359" i="2"/>
  <c r="I1359" i="2" s="1"/>
  <c r="B1360" i="2"/>
  <c r="I1360" i="2" s="1"/>
  <c r="B1361" i="2"/>
  <c r="B1362" i="2"/>
  <c r="B1363" i="2"/>
  <c r="I1363" i="2" s="1"/>
  <c r="B1364" i="2"/>
  <c r="B1365" i="2"/>
  <c r="B1366" i="2"/>
  <c r="B1367" i="2"/>
  <c r="B1368" i="2"/>
  <c r="B1369" i="2"/>
  <c r="I1369" i="2" s="1"/>
  <c r="B1370" i="2"/>
  <c r="I1370" i="2"/>
  <c r="B1371" i="2"/>
  <c r="I1371" i="2" s="1"/>
  <c r="B1372" i="2"/>
  <c r="I1372" i="2" s="1"/>
  <c r="B1373" i="2"/>
  <c r="I1373" i="2" s="1"/>
  <c r="B1374" i="2"/>
  <c r="I1374" i="2" s="1"/>
  <c r="B1375" i="2"/>
  <c r="I1375" i="2" s="1"/>
  <c r="B1376" i="2"/>
  <c r="B1377" i="2"/>
  <c r="B1378" i="2"/>
  <c r="B1379" i="2"/>
  <c r="B1380" i="2"/>
  <c r="I1380" i="2" s="1"/>
  <c r="B1381" i="2"/>
  <c r="B1382" i="2"/>
  <c r="B1383" i="2"/>
  <c r="B1384" i="2"/>
  <c r="I1384" i="2" s="1"/>
  <c r="B1385" i="2"/>
  <c r="B1386" i="2"/>
  <c r="I1386" i="2" s="1"/>
  <c r="B1387" i="2"/>
  <c r="B1388" i="2"/>
  <c r="I1388" i="2" s="1"/>
  <c r="B1389" i="2"/>
  <c r="I1389" i="2" s="1"/>
  <c r="B1390" i="2"/>
  <c r="I1390" i="2" s="1"/>
  <c r="B1391" i="2"/>
  <c r="I1391" i="2" s="1"/>
  <c r="B1392" i="2"/>
  <c r="B1393" i="2"/>
  <c r="B1394" i="2"/>
  <c r="B1395" i="2"/>
  <c r="I1395" i="2" s="1"/>
  <c r="B1396" i="2"/>
  <c r="I1396" i="2" s="1"/>
  <c r="B1397" i="2"/>
  <c r="B1398" i="2"/>
  <c r="I1398" i="2" s="1"/>
  <c r="B1399" i="2"/>
  <c r="B1400" i="2"/>
  <c r="I1400" i="2" s="1"/>
  <c r="B1401" i="2"/>
  <c r="I1401" i="2"/>
  <c r="B1402" i="2"/>
  <c r="B1403" i="2"/>
  <c r="B1404" i="2"/>
  <c r="I1404" i="2" s="1"/>
  <c r="B1405" i="2"/>
  <c r="I1405" i="2" s="1"/>
  <c r="B1406" i="2"/>
  <c r="B1407" i="2"/>
  <c r="B1408" i="2"/>
  <c r="B1409" i="2"/>
  <c r="I1409" i="2" s="1"/>
  <c r="B1410" i="2"/>
  <c r="I1410" i="2" s="1"/>
  <c r="B1411" i="2"/>
  <c r="B1412" i="2"/>
  <c r="I1412" i="2" s="1"/>
  <c r="B1413" i="2"/>
  <c r="B1414" i="2"/>
  <c r="B1415" i="2"/>
  <c r="I1415" i="2" s="1"/>
  <c r="B1416" i="2"/>
  <c r="I1416" i="2" s="1"/>
  <c r="B1417" i="2"/>
  <c r="I1417" i="2" s="1"/>
  <c r="B1418" i="2"/>
  <c r="B1419" i="2"/>
  <c r="I1419" i="2" s="1"/>
  <c r="B1420" i="2"/>
  <c r="B1421" i="2"/>
  <c r="I1421" i="2" s="1"/>
  <c r="B1422" i="2"/>
  <c r="B1423" i="2"/>
  <c r="F23" i="2"/>
  <c r="Q833" i="2" s="1"/>
  <c r="I756" i="2"/>
  <c r="I732" i="2"/>
  <c r="I281" i="2"/>
  <c r="I49" i="2"/>
  <c r="I946" i="2"/>
  <c r="I183" i="2"/>
  <c r="I1296" i="2"/>
  <c r="I1060" i="2"/>
  <c r="I920" i="2"/>
  <c r="I695" i="2"/>
  <c r="I1385" i="2"/>
  <c r="I1006" i="2"/>
  <c r="I908" i="2"/>
  <c r="I420" i="2"/>
  <c r="I784" i="2"/>
  <c r="I761" i="2"/>
  <c r="I748" i="2"/>
  <c r="I758" i="2"/>
  <c r="I737" i="2"/>
  <c r="I395" i="2"/>
  <c r="I759" i="2"/>
  <c r="I751" i="2"/>
  <c r="I747" i="2"/>
  <c r="I753" i="2"/>
  <c r="I755" i="2"/>
  <c r="I368" i="2"/>
  <c r="I305" i="2"/>
  <c r="I1406" i="2"/>
  <c r="I700" i="2"/>
  <c r="I675" i="2"/>
  <c r="I1411" i="2"/>
  <c r="I1052" i="2"/>
  <c r="I1041" i="2"/>
  <c r="I1045" i="2"/>
  <c r="I680" i="2"/>
  <c r="I1420" i="2"/>
  <c r="I1051" i="2"/>
  <c r="I1414" i="2"/>
  <c r="I1403" i="2"/>
  <c r="I1408" i="2"/>
  <c r="I1066" i="2"/>
  <c r="I1037" i="2"/>
  <c r="I1397" i="2"/>
  <c r="I1377" i="2"/>
  <c r="I1011" i="2"/>
  <c r="I669" i="2"/>
  <c r="I663" i="2"/>
  <c r="I1010" i="2"/>
  <c r="I290" i="2"/>
  <c r="I285" i="2"/>
  <c r="I1383" i="2"/>
  <c r="I1382" i="2"/>
  <c r="I1025" i="2"/>
  <c r="I1009" i="2"/>
  <c r="I289" i="2"/>
  <c r="I1387" i="2"/>
  <c r="I1381" i="2"/>
  <c r="I294" i="2"/>
  <c r="I282" i="2"/>
  <c r="I1015" i="2"/>
  <c r="I1393" i="2"/>
  <c r="I1021" i="2"/>
  <c r="I1020" i="2"/>
  <c r="I277" i="2"/>
  <c r="I303" i="2"/>
  <c r="I1399" i="2"/>
  <c r="I1379" i="2"/>
  <c r="I1033" i="2"/>
  <c r="I1018" i="2"/>
  <c r="I659" i="2"/>
  <c r="I298" i="2"/>
  <c r="I292" i="2"/>
  <c r="I1314" i="2"/>
  <c r="I949" i="2"/>
  <c r="I1336" i="2"/>
  <c r="I969" i="2"/>
  <c r="I947" i="2"/>
  <c r="I1335" i="2"/>
  <c r="I962" i="2"/>
  <c r="I200" i="2"/>
  <c r="I931" i="2"/>
  <c r="I941" i="2"/>
  <c r="I935" i="2"/>
  <c r="I923" i="2"/>
  <c r="I184" i="2"/>
  <c r="I1287" i="2"/>
  <c r="I942" i="2"/>
  <c r="I1272" i="2"/>
  <c r="I1260" i="2"/>
  <c r="I912" i="2"/>
  <c r="I900" i="2"/>
  <c r="I1257" i="2"/>
  <c r="I899" i="2"/>
  <c r="I520" i="2"/>
  <c r="I910" i="2"/>
  <c r="I904" i="2"/>
  <c r="I519" i="2"/>
  <c r="I510" i="2"/>
  <c r="I495" i="2"/>
  <c r="I501" i="2"/>
  <c r="I487" i="2"/>
  <c r="I496" i="2"/>
  <c r="I497" i="2"/>
  <c r="I862" i="2"/>
  <c r="I491" i="2"/>
  <c r="I823" i="2"/>
  <c r="I121" i="2"/>
  <c r="I64" i="2"/>
  <c r="I811" i="2"/>
  <c r="I69" i="2"/>
  <c r="I60" i="2"/>
  <c r="I407" i="2"/>
  <c r="I48" i="2"/>
  <c r="I413" i="2"/>
  <c r="I46" i="2"/>
  <c r="I787" i="2"/>
  <c r="I768" i="2"/>
  <c r="I423" i="2"/>
  <c r="I418" i="2"/>
  <c r="I405" i="2"/>
  <c r="I399" i="2"/>
  <c r="I58" i="2"/>
  <c r="I34" i="2"/>
  <c r="I770" i="2"/>
  <c r="I53" i="2"/>
  <c r="I764" i="2"/>
  <c r="I406" i="2"/>
  <c r="I780" i="2"/>
  <c r="I774" i="2"/>
  <c r="I763" i="2"/>
  <c r="I411" i="2"/>
  <c r="I51" i="2"/>
  <c r="I44" i="2"/>
  <c r="I39" i="2"/>
  <c r="I33" i="2"/>
  <c r="I771" i="2"/>
  <c r="I789" i="2"/>
  <c r="I765" i="2"/>
  <c r="I59" i="2"/>
  <c r="I769" i="2"/>
  <c r="I400" i="2"/>
  <c r="I786" i="2"/>
  <c r="I767" i="2"/>
  <c r="I427" i="2"/>
  <c r="I422" i="2"/>
  <c r="I416" i="2"/>
  <c r="I404" i="2"/>
  <c r="I398" i="2"/>
  <c r="I57" i="2"/>
  <c r="I50" i="2"/>
  <c r="I43" i="2"/>
  <c r="I55" i="2"/>
  <c r="I41" i="2"/>
  <c r="I47" i="2"/>
  <c r="I775" i="2"/>
  <c r="I792" i="2"/>
  <c r="I785" i="2"/>
  <c r="I773" i="2"/>
  <c r="I421" i="2"/>
  <c r="I415" i="2"/>
  <c r="I403" i="2"/>
  <c r="I397" i="2"/>
  <c r="I61" i="2"/>
  <c r="I74" i="2"/>
  <c r="I96" i="2"/>
  <c r="I471" i="2"/>
  <c r="I477" i="2"/>
  <c r="I485" i="2"/>
  <c r="I828" i="2"/>
  <c r="I838" i="2"/>
  <c r="I104" i="2"/>
  <c r="I462" i="2"/>
  <c r="I478" i="2"/>
  <c r="I822" i="2"/>
  <c r="I825" i="2"/>
  <c r="I840" i="2"/>
  <c r="I836" i="2"/>
  <c r="I841" i="2"/>
  <c r="I845" i="2"/>
  <c r="I479" i="2"/>
  <c r="I834" i="2"/>
  <c r="I844" i="2"/>
  <c r="I454" i="2"/>
  <c r="I486" i="2"/>
  <c r="I432" i="2"/>
  <c r="I793" i="2"/>
  <c r="I815" i="2"/>
  <c r="I821" i="2"/>
  <c r="I67" i="2"/>
  <c r="I73" i="2"/>
  <c r="I87" i="2"/>
  <c r="I431" i="2"/>
  <c r="I816" i="2"/>
  <c r="I81" i="2"/>
  <c r="I798" i="2"/>
  <c r="I817" i="2"/>
  <c r="I433" i="2"/>
  <c r="I801" i="2"/>
  <c r="I448" i="2"/>
  <c r="I814" i="2"/>
  <c r="I809" i="2"/>
  <c r="I1166" i="2"/>
  <c r="I72" i="2"/>
  <c r="I66" i="2"/>
  <c r="I65" i="2"/>
  <c r="I833" i="2"/>
  <c r="I804" i="2"/>
  <c r="I1356" i="2"/>
  <c r="I800" i="2"/>
  <c r="I469" i="2"/>
  <c r="I978" i="2"/>
  <c r="I273" i="2"/>
  <c r="I1002" i="2"/>
  <c r="I267" i="2"/>
  <c r="I1004" i="2"/>
  <c r="I1005" i="2"/>
  <c r="I1342" i="2"/>
  <c r="I1340" i="2"/>
  <c r="I1346" i="2"/>
  <c r="I1352" i="2"/>
  <c r="I994" i="2"/>
  <c r="I989" i="2"/>
  <c r="I997" i="2"/>
  <c r="I1345" i="2"/>
  <c r="I1361" i="2"/>
  <c r="I1367" i="2"/>
  <c r="I977" i="2"/>
  <c r="I1364" i="2"/>
  <c r="I97" i="2"/>
  <c r="I831" i="2"/>
  <c r="I1210" i="2"/>
  <c r="I985" i="2"/>
  <c r="I799" i="2"/>
  <c r="I1351" i="2"/>
  <c r="I813" i="2"/>
  <c r="I1365" i="2"/>
  <c r="I483" i="2"/>
  <c r="I470" i="2"/>
  <c r="I435" i="2"/>
  <c r="I988" i="2"/>
  <c r="I807" i="2"/>
  <c r="I803" i="2"/>
  <c r="I827" i="2"/>
  <c r="I452" i="2"/>
  <c r="I1368" i="2"/>
  <c r="I1362" i="2"/>
  <c r="I1175" i="2"/>
  <c r="I1001" i="2"/>
  <c r="I995" i="2"/>
  <c r="I982" i="2"/>
  <c r="I832" i="2"/>
  <c r="I250" i="2"/>
  <c r="I83" i="2"/>
  <c r="I1343" i="2"/>
  <c r="I980" i="2"/>
  <c r="I805" i="2"/>
  <c r="I464" i="2"/>
  <c r="I459" i="2"/>
  <c r="I1353" i="2"/>
  <c r="I979" i="2"/>
  <c r="I255" i="2"/>
  <c r="I95" i="2"/>
  <c r="I1366" i="2"/>
  <c r="I975" i="2"/>
  <c r="I795" i="2"/>
  <c r="I484" i="2"/>
  <c r="I455" i="2"/>
  <c r="I439" i="2"/>
  <c r="I429" i="2"/>
  <c r="I103" i="2"/>
  <c r="I90" i="2"/>
  <c r="I1354" i="2"/>
  <c r="I993" i="2"/>
  <c r="I829" i="2"/>
  <c r="I806" i="2"/>
  <c r="I802" i="2"/>
  <c r="I447" i="2"/>
  <c r="I463" i="2"/>
  <c r="I100" i="2"/>
  <c r="I94" i="2"/>
  <c r="I1184" i="2"/>
  <c r="I990" i="2"/>
  <c r="I839" i="2"/>
  <c r="I797" i="2"/>
  <c r="I481" i="2"/>
  <c r="I453" i="2"/>
  <c r="I79" i="2"/>
  <c r="I999" i="2"/>
  <c r="I830" i="2"/>
  <c r="I482" i="2"/>
  <c r="I260" i="2"/>
  <c r="I93" i="2"/>
  <c r="I1003" i="2"/>
  <c r="I998" i="2"/>
  <c r="I983" i="2"/>
  <c r="I843" i="2"/>
  <c r="I835" i="2"/>
  <c r="I819" i="2"/>
  <c r="I472" i="2"/>
  <c r="I450" i="2"/>
  <c r="I318" i="2"/>
  <c r="I248" i="2"/>
  <c r="I987" i="2"/>
  <c r="I842" i="2"/>
  <c r="I818" i="2"/>
  <c r="I480" i="2"/>
  <c r="I461" i="2"/>
  <c r="I246" i="2"/>
  <c r="I91" i="2"/>
  <c r="I78" i="2"/>
  <c r="I71" i="2"/>
  <c r="I986" i="2"/>
  <c r="I851" i="2"/>
  <c r="I812" i="2"/>
  <c r="I796" i="2"/>
  <c r="I465" i="2"/>
  <c r="I456" i="2"/>
  <c r="I442" i="2"/>
  <c r="I322" i="2"/>
  <c r="I257" i="2"/>
  <c r="I193" i="2"/>
  <c r="I35" i="2"/>
  <c r="I336" i="2"/>
  <c r="I338" i="2"/>
  <c r="I342" i="2"/>
  <c r="I339" i="2"/>
  <c r="I343" i="2"/>
  <c r="I337" i="2"/>
  <c r="I724" i="2"/>
  <c r="I707" i="2"/>
  <c r="I348" i="2"/>
  <c r="I1073" i="2"/>
  <c r="I729" i="2"/>
  <c r="I717" i="2"/>
  <c r="I1084" i="2"/>
  <c r="I1072" i="2"/>
  <c r="I705" i="2"/>
  <c r="I730" i="2"/>
  <c r="I1080" i="2"/>
  <c r="I1068" i="2"/>
  <c r="I1081" i="2"/>
  <c r="I718" i="2"/>
  <c r="I1076" i="2"/>
  <c r="I1086" i="2"/>
  <c r="I1071" i="2"/>
  <c r="I1082" i="2"/>
  <c r="I1070" i="2"/>
  <c r="I1067" i="2"/>
  <c r="I1078" i="2"/>
  <c r="I711" i="2"/>
  <c r="I1075" i="2"/>
  <c r="I243" i="2"/>
  <c r="I216" i="2"/>
  <c r="I221" i="2"/>
  <c r="I237" i="2"/>
  <c r="I227" i="2"/>
  <c r="I232" i="2"/>
  <c r="I592" i="2"/>
  <c r="I1079" i="2"/>
  <c r="I344" i="2"/>
  <c r="I1083" i="2"/>
  <c r="I1087" i="2"/>
  <c r="I697" i="2"/>
  <c r="I444" i="2"/>
  <c r="I335" i="2"/>
  <c r="I283" i="2"/>
  <c r="I287" i="2"/>
  <c r="I291" i="2"/>
  <c r="I304" i="2"/>
  <c r="I293" i="2"/>
  <c r="I302" i="2"/>
  <c r="I664" i="2"/>
  <c r="I219" i="2"/>
  <c r="I710" i="2"/>
  <c r="I308" i="2"/>
  <c r="I312" i="2"/>
  <c r="I320" i="2"/>
  <c r="I324" i="2"/>
  <c r="I328" i="2"/>
  <c r="I307" i="2"/>
  <c r="I321" i="2"/>
  <c r="I330" i="2"/>
  <c r="I89" i="2"/>
  <c r="I437" i="2"/>
  <c r="I440" i="2"/>
  <c r="I443" i="2"/>
  <c r="I446" i="2"/>
  <c r="I75" i="2"/>
  <c r="I438" i="2"/>
  <c r="I441" i="2"/>
  <c r="I80" i="2"/>
  <c r="I709" i="2"/>
  <c r="I694" i="2"/>
  <c r="I679" i="2"/>
  <c r="I434" i="2"/>
  <c r="I288" i="2"/>
  <c r="I271" i="2"/>
  <c r="I251" i="2"/>
  <c r="I451" i="2"/>
  <c r="I436" i="2"/>
  <c r="I325" i="2"/>
  <c r="I314" i="2"/>
  <c r="I88" i="2"/>
  <c r="I82" i="2"/>
  <c r="I716" i="2"/>
  <c r="I618" i="2"/>
  <c r="I430" i="2"/>
  <c r="I345" i="2"/>
  <c r="I274" i="2"/>
  <c r="I606" i="2"/>
  <c r="I299" i="2"/>
  <c r="I178" i="2"/>
  <c r="I182" i="2"/>
  <c r="I341" i="2"/>
  <c r="I98" i="2"/>
  <c r="I102" i="2"/>
  <c r="I475" i="2"/>
  <c r="I1089" i="2" l="1"/>
  <c r="I522" i="2"/>
  <c r="I170" i="2"/>
  <c r="I354" i="2"/>
  <c r="I852" i="2"/>
  <c r="I1231" i="2"/>
  <c r="I166" i="2"/>
  <c r="I670" i="2"/>
  <c r="I682" i="2"/>
  <c r="I677" i="2"/>
  <c r="I623" i="2"/>
  <c r="I655" i="2"/>
  <c r="I1092" i="2"/>
  <c r="I595" i="2"/>
  <c r="I350" i="2"/>
  <c r="I1174" i="2"/>
  <c r="I1186" i="2"/>
  <c r="I847" i="2"/>
  <c r="I1201" i="2"/>
  <c r="I1167" i="2"/>
  <c r="I1241" i="2"/>
  <c r="I1256" i="2"/>
  <c r="I1264" i="2"/>
  <c r="I533" i="2"/>
  <c r="I922" i="2"/>
  <c r="I576" i="2"/>
  <c r="I1286" i="2"/>
  <c r="I932" i="2"/>
  <c r="I240" i="2"/>
  <c r="I665" i="2"/>
  <c r="I647" i="2"/>
  <c r="I668" i="2"/>
  <c r="I691" i="2"/>
  <c r="I686" i="2"/>
  <c r="I188" i="2"/>
  <c r="I1294" i="2"/>
  <c r="I1214" i="2"/>
  <c r="I1198" i="2"/>
  <c r="I934" i="2"/>
  <c r="I926" i="2"/>
  <c r="I638" i="2"/>
  <c r="I632" i="2"/>
  <c r="I572" i="2"/>
  <c r="I211" i="2"/>
  <c r="I162" i="2"/>
  <c r="I702" i="2"/>
  <c r="I687" i="2"/>
  <c r="I609" i="2"/>
  <c r="I222" i="2"/>
  <c r="I641" i="2"/>
  <c r="I353" i="2"/>
  <c r="I213" i="2"/>
  <c r="I238" i="2"/>
  <c r="I706" i="2"/>
  <c r="I610" i="2"/>
  <c r="I1196" i="2"/>
  <c r="I1208" i="2"/>
  <c r="I625" i="2"/>
  <c r="I1202" i="2"/>
  <c r="I611" i="2"/>
  <c r="I1157" i="2"/>
  <c r="I1269" i="2"/>
  <c r="I169" i="2"/>
  <c r="I889" i="2"/>
  <c r="I1279" i="2"/>
  <c r="I917" i="2"/>
  <c r="I1300" i="2"/>
  <c r="I583" i="2"/>
  <c r="I234" i="2"/>
  <c r="I652" i="2"/>
  <c r="I573" i="2"/>
  <c r="I1293" i="2"/>
  <c r="I1261" i="2"/>
  <c r="I1253" i="2"/>
  <c r="I1245" i="2"/>
  <c r="I356" i="2"/>
  <c r="I1206" i="2"/>
  <c r="I612" i="2"/>
  <c r="I1228" i="2"/>
  <c r="I883" i="2"/>
  <c r="I1151" i="2"/>
  <c r="I158" i="2"/>
  <c r="I206" i="2"/>
  <c r="I698" i="2"/>
  <c r="I673" i="2"/>
  <c r="I599" i="2"/>
  <c r="I351" i="2"/>
  <c r="I701" i="2"/>
  <c r="I708" i="2"/>
  <c r="I1091" i="2"/>
  <c r="I616" i="2"/>
  <c r="I1215" i="2"/>
  <c r="I846" i="2"/>
  <c r="I1152" i="2"/>
  <c r="I1244" i="2"/>
  <c r="I1277" i="2"/>
  <c r="I543" i="2"/>
  <c r="I887" i="2"/>
  <c r="I1285" i="2"/>
  <c r="I207" i="2"/>
  <c r="I577" i="2"/>
  <c r="I660" i="2"/>
  <c r="I579" i="2"/>
  <c r="I891" i="2"/>
  <c r="I1292" i="2"/>
  <c r="I860" i="2"/>
  <c r="I349" i="2"/>
  <c r="I650" i="2"/>
  <c r="I1161" i="2"/>
  <c r="I614" i="2"/>
  <c r="I154" i="2"/>
  <c r="I713" i="2"/>
  <c r="I587" i="2"/>
  <c r="I578" i="2"/>
  <c r="I589" i="2"/>
  <c r="I590" i="2"/>
  <c r="I1096" i="2"/>
  <c r="I703" i="2"/>
  <c r="I712" i="2"/>
  <c r="I189" i="2"/>
  <c r="I1177" i="2"/>
  <c r="I1207" i="2"/>
  <c r="I848" i="2"/>
  <c r="I1218" i="2"/>
  <c r="I896" i="2"/>
  <c r="I173" i="2"/>
  <c r="I901" i="2"/>
  <c r="I1298" i="2"/>
  <c r="I205" i="2"/>
  <c r="I1295" i="2"/>
  <c r="I666" i="2"/>
  <c r="I684" i="2"/>
  <c r="I676" i="2"/>
  <c r="I693" i="2"/>
  <c r="I948" i="2"/>
  <c r="I921" i="2"/>
  <c r="I1299" i="2"/>
  <c r="I1291" i="2"/>
  <c r="I1283" i="2"/>
  <c r="I1275" i="2"/>
  <c r="I875" i="2"/>
  <c r="I651" i="2"/>
  <c r="I603" i="2"/>
  <c r="I571" i="2"/>
  <c r="I637" i="2"/>
  <c r="I1213" i="2"/>
  <c r="I646" i="2"/>
  <c r="I228" i="2"/>
  <c r="I214" i="2"/>
  <c r="I580" i="2"/>
  <c r="I597" i="2"/>
  <c r="I600" i="2"/>
  <c r="I608" i="2"/>
  <c r="I586" i="2"/>
  <c r="I704" i="2"/>
  <c r="I203" i="2"/>
  <c r="I196" i="2"/>
  <c r="I849" i="2"/>
  <c r="I1181" i="2"/>
  <c r="I1205" i="2"/>
  <c r="I1217" i="2"/>
  <c r="I639" i="2"/>
  <c r="I1153" i="2"/>
  <c r="I1222" i="2"/>
  <c r="I138" i="2"/>
  <c r="I160" i="2"/>
  <c r="I180" i="2"/>
  <c r="I913" i="2"/>
  <c r="I918" i="2"/>
  <c r="I555" i="2"/>
  <c r="I199" i="2"/>
  <c r="I605" i="2"/>
  <c r="I231" i="2"/>
  <c r="I648" i="2"/>
  <c r="I643" i="2"/>
  <c r="I690" i="2"/>
  <c r="I692" i="2"/>
  <c r="I593" i="2"/>
  <c r="I1290" i="2"/>
  <c r="I1282" i="2"/>
  <c r="I1274" i="2"/>
  <c r="I1266" i="2"/>
  <c r="I1258" i="2"/>
  <c r="I1250" i="2"/>
  <c r="I1242" i="2"/>
  <c r="I1234" i="2"/>
  <c r="I1194" i="2"/>
  <c r="I1178" i="2"/>
  <c r="I1162" i="2"/>
  <c r="I1154" i="2"/>
  <c r="I1104" i="2"/>
  <c r="I1088" i="2"/>
  <c r="I1143" i="2"/>
  <c r="I1111" i="2"/>
  <c r="I523" i="2"/>
  <c r="I1098" i="2"/>
  <c r="I120" i="2"/>
  <c r="I108" i="2"/>
  <c r="I107" i="2"/>
  <c r="I1134" i="2"/>
  <c r="I127" i="2"/>
  <c r="I535" i="2"/>
  <c r="I1124" i="2"/>
  <c r="I1278" i="2"/>
  <c r="I1270" i="2"/>
  <c r="I1262" i="2"/>
  <c r="I1246" i="2"/>
  <c r="I1110" i="2"/>
  <c r="I919" i="2"/>
  <c r="I888" i="2"/>
  <c r="I688" i="2"/>
  <c r="I672" i="2"/>
  <c r="I656" i="2"/>
  <c r="I552" i="2"/>
  <c r="I544" i="2"/>
  <c r="I536" i="2"/>
  <c r="I528" i="2"/>
  <c r="I1095" i="2"/>
  <c r="I118" i="2"/>
  <c r="I109" i="2"/>
  <c r="I131" i="2"/>
  <c r="I126" i="2"/>
  <c r="I541" i="2"/>
  <c r="I542" i="2"/>
  <c r="I559" i="2"/>
  <c r="I549" i="2"/>
  <c r="I1141" i="2"/>
  <c r="I1109" i="2"/>
  <c r="I567" i="2"/>
  <c r="I1142" i="2"/>
  <c r="I116" i="2"/>
  <c r="I546" i="2"/>
  <c r="I525" i="2"/>
  <c r="I566" i="2"/>
  <c r="I1103" i="2"/>
  <c r="I529" i="2"/>
  <c r="I1284" i="2"/>
  <c r="I1268" i="2"/>
  <c r="I1252" i="2"/>
  <c r="I1140" i="2"/>
  <c r="I1116" i="2"/>
  <c r="I1108" i="2"/>
  <c r="I1101" i="2"/>
  <c r="I1093" i="2"/>
  <c r="I933" i="2"/>
  <c r="I925" i="2"/>
  <c r="I902" i="2"/>
  <c r="I894" i="2"/>
  <c r="I678" i="2"/>
  <c r="I662" i="2"/>
  <c r="I654" i="2"/>
  <c r="I558" i="2"/>
  <c r="I526" i="2"/>
  <c r="I113" i="2"/>
  <c r="I1144" i="2"/>
  <c r="I1135" i="2"/>
  <c r="I547" i="2"/>
  <c r="I1117" i="2"/>
  <c r="I534" i="2"/>
  <c r="I1267" i="2"/>
  <c r="I1259" i="2"/>
  <c r="I1251" i="2"/>
  <c r="I1243" i="2"/>
  <c r="I1147" i="2"/>
  <c r="I1139" i="2"/>
  <c r="I1131" i="2"/>
  <c r="I1123" i="2"/>
  <c r="I1115" i="2"/>
  <c r="I1107" i="2"/>
  <c r="I1100" i="2"/>
  <c r="I940" i="2"/>
  <c r="I924" i="2"/>
  <c r="I916" i="2"/>
  <c r="I909" i="2"/>
  <c r="I893" i="2"/>
  <c r="I661" i="2"/>
  <c r="I653" i="2"/>
  <c r="I557" i="2"/>
  <c r="I125" i="2"/>
  <c r="I106" i="2"/>
  <c r="I1094" i="2"/>
  <c r="I111" i="2"/>
  <c r="I119" i="2"/>
  <c r="I105" i="2"/>
  <c r="I1129" i="2"/>
  <c r="I1148" i="2"/>
  <c r="I129" i="2"/>
  <c r="I1119" i="2"/>
  <c r="I1146" i="2"/>
  <c r="I1138" i="2"/>
  <c r="I1130" i="2"/>
  <c r="I1122" i="2"/>
  <c r="I1114" i="2"/>
  <c r="I939" i="2"/>
  <c r="I892" i="2"/>
  <c r="I556" i="2"/>
  <c r="I540" i="2"/>
  <c r="I524" i="2"/>
  <c r="I241" i="2"/>
  <c r="I233" i="2"/>
  <c r="I225" i="2"/>
  <c r="I217" i="2"/>
  <c r="I210" i="2"/>
  <c r="I202" i="2"/>
  <c r="I194" i="2"/>
  <c r="I186" i="2"/>
  <c r="I171" i="2"/>
  <c r="I163" i="2"/>
  <c r="I155" i="2"/>
  <c r="I148" i="2"/>
  <c r="I117" i="2"/>
  <c r="I114" i="2"/>
  <c r="I112" i="2"/>
  <c r="I1128" i="2"/>
  <c r="I1132" i="2"/>
  <c r="I1133" i="2"/>
  <c r="I122" i="2"/>
  <c r="I516" i="2"/>
  <c r="I565" i="2"/>
  <c r="I550" i="2"/>
  <c r="I518" i="2"/>
  <c r="I1273" i="2"/>
  <c r="I1265" i="2"/>
  <c r="I1249" i="2"/>
  <c r="I1145" i="2"/>
  <c r="I1137" i="2"/>
  <c r="I1113" i="2"/>
  <c r="I1090" i="2"/>
  <c r="I938" i="2"/>
  <c r="I907" i="2"/>
  <c r="I699" i="2"/>
  <c r="I683" i="2"/>
  <c r="I667" i="2"/>
  <c r="I563" i="2"/>
  <c r="I531" i="2"/>
  <c r="I224" i="2"/>
  <c r="I209" i="2"/>
  <c r="I85" i="2"/>
  <c r="I1136" i="2"/>
  <c r="I1105" i="2"/>
  <c r="I945" i="2"/>
  <c r="I937" i="2"/>
  <c r="I929" i="2"/>
  <c r="I914" i="2"/>
  <c r="I906" i="2"/>
  <c r="I890" i="2"/>
  <c r="I562" i="2"/>
  <c r="I554" i="2"/>
  <c r="I538" i="2"/>
  <c r="I530" i="2"/>
  <c r="I239" i="2"/>
  <c r="I212" i="2"/>
  <c r="I140" i="2"/>
  <c r="I201" i="2"/>
  <c r="I185" i="2"/>
  <c r="I139" i="2"/>
  <c r="I223" i="2"/>
  <c r="I208" i="2"/>
  <c r="I192" i="2"/>
  <c r="I262" i="2"/>
  <c r="I723" i="2"/>
  <c r="I256" i="2"/>
  <c r="I714" i="2"/>
  <c r="I719" i="2"/>
  <c r="I721" i="2"/>
  <c r="I249" i="2"/>
  <c r="I252" i="2"/>
  <c r="I733" i="2"/>
  <c r="I383" i="2"/>
  <c r="I370" i="2"/>
  <c r="I1327" i="2"/>
  <c r="I1319" i="2"/>
  <c r="I1311" i="2"/>
  <c r="I960" i="2"/>
  <c r="I393" i="2"/>
  <c r="I377" i="2"/>
  <c r="I362" i="2"/>
  <c r="I269" i="2"/>
  <c r="I247" i="2"/>
  <c r="I720" i="2"/>
  <c r="I722" i="2"/>
  <c r="I259" i="2"/>
  <c r="I952" i="2"/>
  <c r="I1330" i="2"/>
  <c r="I389" i="2"/>
  <c r="I731" i="2"/>
  <c r="I954" i="2"/>
  <c r="I1326" i="2"/>
  <c r="I1318" i="2"/>
  <c r="I1302" i="2"/>
  <c r="I967" i="2"/>
  <c r="I959" i="2"/>
  <c r="I951" i="2"/>
  <c r="I744" i="2"/>
  <c r="I229" i="2"/>
  <c r="I1062" i="2"/>
  <c r="I181" i="2"/>
  <c r="I725" i="2"/>
  <c r="I258" i="2"/>
  <c r="I966" i="2"/>
  <c r="I375" i="2"/>
  <c r="I392" i="2"/>
  <c r="I1323" i="2"/>
  <c r="I1307" i="2"/>
  <c r="I110" i="2"/>
  <c r="I86" i="2"/>
  <c r="I963" i="2"/>
  <c r="I365" i="2"/>
  <c r="I264" i="2"/>
  <c r="I726" i="2"/>
  <c r="I364" i="2"/>
  <c r="I272" i="2"/>
  <c r="I266" i="2"/>
  <c r="I245" i="2"/>
  <c r="I1303" i="2"/>
  <c r="I374" i="2"/>
  <c r="I1304" i="2"/>
  <c r="I1329" i="2"/>
  <c r="I1321" i="2"/>
  <c r="I1313" i="2"/>
  <c r="I1305" i="2"/>
  <c r="I387" i="2"/>
  <c r="I371" i="2"/>
  <c r="I77" i="2"/>
  <c r="I955" i="2"/>
  <c r="I740" i="2"/>
  <c r="I380" i="2"/>
  <c r="I265" i="2"/>
  <c r="I727" i="2"/>
  <c r="I728" i="2"/>
  <c r="I715" i="2"/>
  <c r="I268" i="2"/>
  <c r="I263" i="2"/>
  <c r="I1308" i="2"/>
  <c r="I261" i="2"/>
  <c r="I384" i="2"/>
  <c r="I739" i="2"/>
  <c r="I1328" i="2"/>
  <c r="I1320" i="2"/>
  <c r="I1312" i="2"/>
  <c r="I961" i="2"/>
  <c r="I953" i="2"/>
  <c r="I378" i="2"/>
  <c r="I363" i="2"/>
  <c r="I270" i="2"/>
  <c r="I254" i="2"/>
  <c r="I115" i="2"/>
  <c r="F33" i="2"/>
  <c r="I253" i="2"/>
  <c r="I198" i="2"/>
  <c r="I174" i="2"/>
  <c r="I596" i="2"/>
  <c r="I582" i="2"/>
  <c r="I352" i="2"/>
  <c r="I357" i="2"/>
  <c r="I613" i="2"/>
  <c r="I1199" i="2"/>
  <c r="I621" i="2"/>
  <c r="I1183" i="2"/>
  <c r="I615" i="2"/>
  <c r="I1191" i="2"/>
  <c r="I1173" i="2"/>
  <c r="I1200" i="2"/>
  <c r="I1159" i="2"/>
  <c r="I628" i="2"/>
  <c r="I1164" i="2"/>
  <c r="I1212" i="2"/>
  <c r="I1158" i="2"/>
  <c r="I855" i="2"/>
  <c r="I1236" i="2"/>
  <c r="I156" i="2"/>
  <c r="I157" i="2"/>
  <c r="I604" i="2"/>
  <c r="I1229" i="2"/>
  <c r="I1221" i="2"/>
  <c r="I1197" i="2"/>
  <c r="I1165" i="2"/>
  <c r="I1149" i="2"/>
  <c r="I950" i="2"/>
  <c r="I879" i="2"/>
  <c r="I863" i="2"/>
  <c r="I735" i="2"/>
  <c r="I575" i="2"/>
  <c r="I244" i="2"/>
  <c r="I361" i="2"/>
  <c r="I631" i="2"/>
  <c r="I634" i="2"/>
  <c r="I1188" i="2"/>
  <c r="I622" i="2"/>
  <c r="I636" i="2"/>
  <c r="I1209" i="2"/>
  <c r="I1189" i="2"/>
  <c r="I1160" i="2"/>
  <c r="I1185" i="2"/>
  <c r="I619" i="2"/>
  <c r="I1170" i="2"/>
  <c r="I1239" i="2"/>
  <c r="I1230" i="2"/>
  <c r="I179" i="2"/>
  <c r="I175" i="2"/>
  <c r="I161" i="2"/>
  <c r="I607" i="2"/>
  <c r="I1172" i="2"/>
  <c r="I1156" i="2"/>
  <c r="I574" i="2"/>
  <c r="I165" i="2"/>
  <c r="I150" i="2"/>
  <c r="I56" i="2"/>
  <c r="I360" i="2"/>
  <c r="I359" i="2"/>
  <c r="I358" i="2"/>
  <c r="I626" i="2"/>
  <c r="I1192" i="2"/>
  <c r="I635" i="2"/>
  <c r="I1180" i="2"/>
  <c r="I633" i="2"/>
  <c r="I1204" i="2"/>
  <c r="I1195" i="2"/>
  <c r="I617" i="2"/>
  <c r="I1169" i="2"/>
  <c r="I1193" i="2"/>
  <c r="I1216" i="2"/>
  <c r="I152" i="2"/>
  <c r="I886" i="2"/>
  <c r="I168" i="2"/>
  <c r="I176" i="2"/>
  <c r="I598" i="2"/>
  <c r="I649" i="2"/>
  <c r="I871" i="2"/>
  <c r="I1211" i="2"/>
  <c r="I1203" i="2"/>
  <c r="I1187" i="2"/>
  <c r="I1179" i="2"/>
  <c r="I1171" i="2"/>
  <c r="I1163" i="2"/>
  <c r="I1155" i="2"/>
  <c r="I877" i="2"/>
  <c r="I861" i="2"/>
  <c r="I837" i="2"/>
  <c r="I645" i="2"/>
  <c r="I629" i="2"/>
  <c r="I581" i="2"/>
  <c r="I381" i="2"/>
  <c r="I366" i="2"/>
  <c r="I242" i="2"/>
  <c r="I218" i="2"/>
  <c r="I187" i="2"/>
  <c r="I172" i="2"/>
  <c r="I141" i="2"/>
  <c r="I54" i="2"/>
  <c r="I45" i="2"/>
  <c r="I355" i="2"/>
  <c r="I624" i="2"/>
  <c r="I630" i="2"/>
  <c r="I1168" i="2"/>
  <c r="I1190" i="2"/>
  <c r="I627" i="2"/>
  <c r="I620" i="2"/>
  <c r="I1182" i="2"/>
  <c r="I1176" i="2"/>
  <c r="I850" i="2"/>
  <c r="I859" i="2"/>
  <c r="I853" i="2"/>
  <c r="I167" i="2"/>
  <c r="I644" i="2"/>
  <c r="I602" i="2"/>
  <c r="I347" i="2"/>
  <c r="I177" i="2"/>
  <c r="I99" i="2"/>
  <c r="I84" i="2"/>
  <c r="I76" i="2"/>
  <c r="I68" i="2"/>
  <c r="I52" i="2"/>
  <c r="Q1013" i="2"/>
  <c r="Q1191" i="2"/>
  <c r="Q153" i="2"/>
  <c r="Q1318" i="2"/>
  <c r="Q474" i="2"/>
  <c r="Q51" i="2"/>
  <c r="Q32" i="2"/>
  <c r="Q536" i="2"/>
  <c r="Q71" i="2"/>
  <c r="Q979" i="2"/>
  <c r="Q1036" i="2"/>
  <c r="Q844" i="2"/>
  <c r="Q74" i="2"/>
  <c r="Q1405" i="2"/>
  <c r="Q346" i="2"/>
  <c r="Q758" i="2"/>
  <c r="Q1319" i="2"/>
  <c r="Q862" i="2"/>
  <c r="Q1370" i="2"/>
  <c r="Q826" i="2"/>
  <c r="Q532" i="2"/>
  <c r="Q1356" i="2"/>
  <c r="Q891" i="2"/>
  <c r="Q265" i="2"/>
  <c r="Q1419" i="2"/>
  <c r="Q806" i="2"/>
  <c r="Q150" i="2"/>
  <c r="Q1079" i="2"/>
  <c r="Q350" i="2"/>
  <c r="Q1406" i="2"/>
  <c r="Q1211" i="2"/>
  <c r="Q604" i="2"/>
  <c r="Q1164" i="2"/>
  <c r="Q754" i="2"/>
  <c r="Q701" i="2"/>
  <c r="Q1272" i="2"/>
  <c r="Q564" i="2"/>
  <c r="Q1037" i="2"/>
  <c r="Q269" i="2"/>
  <c r="Q879" i="2"/>
  <c r="Q1355" i="2"/>
  <c r="Q1235" i="2"/>
  <c r="Q694" i="2"/>
  <c r="Q88" i="2"/>
  <c r="Q56" i="2"/>
  <c r="Q1062" i="2"/>
  <c r="Q598" i="2"/>
  <c r="Q612" i="2"/>
  <c r="Q400" i="2"/>
  <c r="Q1298" i="2"/>
  <c r="Q393" i="2"/>
  <c r="Q241" i="2"/>
  <c r="Q712" i="2"/>
  <c r="Q919" i="2"/>
  <c r="Q222" i="2"/>
  <c r="Q1150" i="2"/>
  <c r="Q1389" i="2"/>
  <c r="Q1095" i="2"/>
  <c r="Q1329" i="2"/>
  <c r="Q128" i="2"/>
  <c r="Q720" i="2"/>
  <c r="Q36" i="2"/>
  <c r="Q1265" i="2"/>
  <c r="Q1197" i="2"/>
  <c r="Q141" i="2"/>
  <c r="Q320" i="2"/>
  <c r="Q347" i="2"/>
  <c r="Q275" i="2"/>
  <c r="Q497" i="2"/>
  <c r="Q1185" i="2"/>
  <c r="Q526" i="2"/>
  <c r="Q762" i="2"/>
  <c r="Q986" i="2"/>
  <c r="Q1341" i="2"/>
  <c r="Q137" i="2"/>
  <c r="Q123" i="2"/>
  <c r="Q675" i="2"/>
  <c r="Q256" i="2"/>
  <c r="Q926" i="2"/>
  <c r="Q1275" i="2"/>
  <c r="Q1375" i="2"/>
  <c r="Q1234" i="2"/>
  <c r="Q810" i="2"/>
  <c r="Q558" i="2"/>
  <c r="Q1082" i="2"/>
  <c r="Q209" i="2"/>
  <c r="Q577" i="2"/>
  <c r="Q1223" i="2"/>
  <c r="Q1146" i="2"/>
  <c r="Q340" i="2"/>
  <c r="Q790" i="2"/>
  <c r="Q1354" i="2"/>
  <c r="Q1259" i="2"/>
  <c r="Q838" i="2"/>
  <c r="Q268" i="2"/>
  <c r="Q990" i="2"/>
  <c r="Q593" i="2"/>
  <c r="Q638" i="2"/>
  <c r="Q216" i="2"/>
  <c r="Q664" i="2"/>
  <c r="Q333" i="2"/>
  <c r="Q138" i="2"/>
  <c r="Q253" i="2"/>
  <c r="Q1358" i="2"/>
  <c r="Q665" i="2"/>
  <c r="Q1090" i="2"/>
  <c r="Q711" i="2"/>
  <c r="Q1362" i="2"/>
  <c r="Q700" i="2"/>
  <c r="Q218" i="2"/>
  <c r="Q94" i="2"/>
  <c r="Q354" i="2"/>
  <c r="Q435" i="2"/>
  <c r="Q978" i="2"/>
  <c r="Q1034" i="2"/>
  <c r="Q90" i="2"/>
  <c r="Q139" i="2"/>
  <c r="Q723" i="2"/>
  <c r="Q124" i="2"/>
  <c r="Q412" i="2"/>
  <c r="Q1258" i="2"/>
  <c r="Q1285" i="2"/>
  <c r="Q1286" i="2"/>
  <c r="Q1228" i="2"/>
  <c r="Q1051" i="2"/>
  <c r="Q725" i="2"/>
  <c r="Q298" i="2"/>
  <c r="Q430" i="2"/>
  <c r="Q817" i="2"/>
  <c r="Q619" i="2"/>
  <c r="Q561" i="2"/>
  <c r="Q1402" i="2"/>
  <c r="Q98" i="2"/>
  <c r="Q305" i="2"/>
  <c r="Q842" i="2"/>
  <c r="Q230" i="2"/>
  <c r="Q837" i="2"/>
  <c r="Q64" i="2"/>
  <c r="Q500" i="2"/>
  <c r="Q901" i="2"/>
  <c r="Q146" i="2"/>
  <c r="Q192" i="2"/>
  <c r="Q391" i="2"/>
  <c r="Q569" i="2"/>
  <c r="Q573" i="2"/>
  <c r="Q381" i="2"/>
  <c r="Q932" i="2"/>
  <c r="Q590" i="2"/>
  <c r="Q763" i="2"/>
  <c r="Q119" i="2"/>
  <c r="Q529" i="2"/>
  <c r="Q1422" i="2"/>
  <c r="Q427" i="2"/>
  <c r="Q120" i="2"/>
  <c r="Q420" i="2"/>
  <c r="Q1282" i="2"/>
  <c r="Q781" i="2"/>
  <c r="Q724" i="2"/>
  <c r="Q1030" i="2"/>
  <c r="Q859" i="2"/>
  <c r="Q741" i="2"/>
  <c r="Q72" i="2"/>
  <c r="Q76" i="2"/>
  <c r="Q1074" i="2"/>
  <c r="Q1166" i="2"/>
  <c r="Q882" i="2"/>
  <c r="Q1054" i="2"/>
  <c r="Q514" i="2"/>
  <c r="Q546" i="2"/>
  <c r="Q1127" i="2"/>
  <c r="Q251" i="2"/>
  <c r="Q1046" i="2"/>
  <c r="Q1171" i="2"/>
  <c r="Q667" i="2"/>
  <c r="Q99" i="2"/>
  <c r="Q84" i="2"/>
  <c r="Q1059" i="2"/>
  <c r="Q1218" i="2"/>
  <c r="Q918" i="2"/>
  <c r="Q928" i="2"/>
  <c r="Q147" i="2"/>
  <c r="Q994" i="2"/>
  <c r="Q614" i="2"/>
  <c r="Q678" i="2"/>
  <c r="Q896" i="2"/>
  <c r="Q881" i="2"/>
  <c r="Q1357" i="2"/>
  <c r="Q894" i="2"/>
  <c r="Q380" i="2"/>
  <c r="Q1327" i="2"/>
  <c r="Q1057" i="2"/>
  <c r="Q992" i="2"/>
  <c r="Q446" i="2"/>
  <c r="Q1336" i="2"/>
  <c r="Q539" i="2"/>
  <c r="Q208" i="2"/>
  <c r="Q814" i="2"/>
  <c r="Q1209" i="2"/>
  <c r="Q597" i="2"/>
  <c r="Q135" i="2"/>
  <c r="Q482" i="2"/>
  <c r="Q917" i="2"/>
  <c r="Q709" i="2"/>
  <c r="Q1413" i="2"/>
  <c r="Q337" i="2"/>
  <c r="Q651" i="2"/>
  <c r="Q518" i="2"/>
  <c r="Q1157" i="2"/>
  <c r="Q177" i="2"/>
  <c r="Q1334" i="2"/>
  <c r="Q118" i="2"/>
  <c r="Q610" i="2"/>
  <c r="Q1383" i="2"/>
  <c r="Q200" i="2"/>
  <c r="Q133" i="2"/>
  <c r="Q130" i="2"/>
  <c r="Q179" i="2"/>
  <c r="Q1186" i="2"/>
  <c r="Q689" i="2"/>
  <c r="Q1302" i="2"/>
  <c r="Q1342" i="2"/>
  <c r="Q890" i="2"/>
  <c r="Q1099" i="2"/>
  <c r="Q523" i="2"/>
  <c r="Q967" i="2"/>
  <c r="Q925" i="2"/>
  <c r="Q1361" i="2"/>
  <c r="Q629" i="2"/>
  <c r="Q1221" i="2"/>
  <c r="Q716" i="2"/>
  <c r="Q1094" i="2"/>
  <c r="Q1022" i="2"/>
  <c r="Q467" i="2"/>
  <c r="Q1067" i="2"/>
  <c r="Q459" i="2"/>
  <c r="Q1123" i="2"/>
  <c r="Q605" i="2"/>
  <c r="Q260" i="2"/>
  <c r="Q42" i="2"/>
  <c r="Q1226" i="2"/>
  <c r="Q299" i="2"/>
  <c r="Q1326" i="2"/>
  <c r="Q1378" i="2"/>
  <c r="Q949" i="2"/>
  <c r="Q1321" i="2"/>
  <c r="Q780" i="2"/>
  <c r="Q964" i="2"/>
  <c r="Q708" i="2"/>
  <c r="Q1147" i="2"/>
  <c r="Q1010" i="2"/>
  <c r="Q574" i="2"/>
  <c r="Q272" i="2"/>
  <c r="Q1376" i="2"/>
  <c r="Q233" i="2"/>
  <c r="Q1130" i="2"/>
  <c r="Q1399" i="2"/>
  <c r="Q1324" i="2"/>
  <c r="Q1199" i="2"/>
  <c r="Q274" i="2"/>
  <c r="Q248" i="2"/>
  <c r="Q626" i="2"/>
  <c r="Q33" i="2"/>
  <c r="Q332" i="2"/>
  <c r="Q432" i="2"/>
  <c r="Q226" i="2"/>
  <c r="Q55" i="2"/>
  <c r="Q197" i="2"/>
  <c r="Q81" i="2"/>
  <c r="Q1055" i="2"/>
  <c r="Q437" i="2"/>
  <c r="Q620" i="2"/>
  <c r="Q1190" i="2"/>
  <c r="Q229" i="2"/>
  <c r="Q194" i="2"/>
  <c r="Q1387" i="2"/>
  <c r="Q1202" i="2"/>
  <c r="Q1255" i="2"/>
  <c r="Q456" i="2"/>
  <c r="Q1299" i="2"/>
  <c r="Q721" i="2"/>
  <c r="Q244" i="2"/>
  <c r="Q512" i="2"/>
  <c r="Q273" i="2"/>
  <c r="Q1142" i="2"/>
  <c r="Q1198" i="2"/>
  <c r="Q531" i="2"/>
  <c r="Q971" i="2"/>
  <c r="Q267" i="2"/>
  <c r="Q839" i="2"/>
  <c r="Q1053" i="2"/>
  <c r="Q576" i="2"/>
  <c r="Q934" i="2"/>
  <c r="Q878" i="2"/>
  <c r="Q211" i="2"/>
  <c r="Q939" i="2"/>
  <c r="Q203" i="2"/>
  <c r="Q867" i="2"/>
  <c r="Q733" i="2"/>
  <c r="Q962" i="2"/>
  <c r="Q89" i="2"/>
  <c r="Q170" i="2"/>
  <c r="Q540" i="2"/>
  <c r="Q755" i="2"/>
  <c r="Q1407" i="2"/>
  <c r="Q673" i="2"/>
  <c r="Q300" i="2"/>
  <c r="Q897" i="2"/>
  <c r="Q823" i="2"/>
  <c r="Q732" i="2"/>
  <c r="Q1373" i="2"/>
  <c r="Q499" i="2"/>
  <c r="Q995" i="2"/>
  <c r="Q223" i="2"/>
  <c r="Q1132" i="2"/>
  <c r="Q765" i="2"/>
  <c r="Q1252" i="2"/>
  <c r="Q490" i="2"/>
  <c r="Q736" i="2"/>
  <c r="Q1269" i="2"/>
  <c r="Q325" i="2"/>
  <c r="Q562" i="2"/>
  <c r="Q470" i="2"/>
  <c r="Q1177" i="2"/>
  <c r="Q657" i="2"/>
  <c r="Q338" i="2"/>
  <c r="Q198" i="2"/>
  <c r="Q654" i="2"/>
  <c r="Q1151" i="2"/>
  <c r="Q1254" i="2"/>
  <c r="Q1374" i="2"/>
  <c r="Q163" i="2"/>
  <c r="Q774" i="2"/>
  <c r="Q802" i="2"/>
  <c r="Q507" i="2"/>
  <c r="Q902" i="2"/>
  <c r="Q571" i="2"/>
  <c r="Q369" i="2"/>
  <c r="Q1350" i="2"/>
  <c r="Q1390" i="2"/>
  <c r="Q954" i="2"/>
  <c r="Q1131" i="2"/>
  <c r="Q587" i="2"/>
  <c r="Q999" i="2"/>
  <c r="Q893" i="2"/>
  <c r="Q384" i="2"/>
  <c r="Q276" i="2"/>
  <c r="Q757" i="2"/>
  <c r="Q1393" i="2"/>
  <c r="Q1279" i="2"/>
  <c r="Q795" i="2"/>
  <c r="Q910" i="2"/>
  <c r="Q970" i="2"/>
  <c r="Q1309" i="2"/>
  <c r="Q1313" i="2"/>
  <c r="Q677" i="2"/>
  <c r="Q738" i="2"/>
  <c r="Q231" i="2"/>
  <c r="Q252" i="2"/>
  <c r="Q46" i="2"/>
  <c r="Q345" i="2"/>
  <c r="Q426" i="2"/>
  <c r="Q1245" i="2"/>
  <c r="Q1031" i="2"/>
  <c r="Q771" i="2"/>
  <c r="Q908" i="2"/>
  <c r="Q66" i="2"/>
  <c r="Q43" i="2"/>
  <c r="Q813" i="2"/>
  <c r="Q405" i="2"/>
  <c r="Q365" i="2"/>
  <c r="Q117" i="2"/>
  <c r="Q1261" i="2"/>
  <c r="Q941" i="2"/>
  <c r="Q1106" i="2"/>
  <c r="Q553" i="2"/>
  <c r="Q555" i="2"/>
  <c r="Q353" i="2"/>
  <c r="Q735" i="2"/>
  <c r="Q510" i="2"/>
  <c r="Q625" i="2"/>
  <c r="Q1411" i="2"/>
  <c r="Q1117" i="2"/>
  <c r="Q1189" i="2"/>
  <c r="Q1333" i="2"/>
  <c r="Q390" i="2"/>
  <c r="Q370" i="2"/>
  <c r="Q376" i="2"/>
  <c r="Q773" i="2"/>
  <c r="Q1369" i="2"/>
  <c r="Q401" i="2"/>
  <c r="Q496" i="2"/>
  <c r="Q469" i="2"/>
  <c r="Q419" i="2"/>
  <c r="Q418" i="2"/>
  <c r="Q1126" i="2"/>
  <c r="Q1246" i="2"/>
  <c r="Q116" i="2"/>
  <c r="Q578" i="2"/>
  <c r="Q1292" i="2"/>
  <c r="Q699" i="2"/>
  <c r="Q344" i="2"/>
  <c r="Q212" i="2"/>
  <c r="Q1174" i="2"/>
  <c r="Q1230" i="2"/>
  <c r="Q595" i="2"/>
  <c r="Q1003" i="2"/>
  <c r="Q331" i="2"/>
  <c r="Q871" i="2"/>
  <c r="Q1025" i="2"/>
  <c r="Q1093" i="2"/>
  <c r="Q1215" i="2"/>
  <c r="Q883" i="2"/>
  <c r="Q1122" i="2"/>
  <c r="Q715" i="2"/>
  <c r="Q155" i="2"/>
  <c r="Q386" i="2"/>
  <c r="Q93" i="2"/>
  <c r="Q174" i="2"/>
  <c r="Q1391" i="2"/>
  <c r="Q473" i="2"/>
  <c r="Q554" i="2"/>
  <c r="Q1101" i="2"/>
  <c r="Q1207" i="2"/>
  <c r="Q772" i="2"/>
  <c r="Q1242" i="2"/>
  <c r="Q950" i="2"/>
  <c r="Q815" i="2"/>
  <c r="Q445" i="2"/>
  <c r="Q799" i="2"/>
  <c r="Q1154" i="2"/>
  <c r="Q931" i="2"/>
  <c r="Q291" i="2"/>
  <c r="Q794" i="2"/>
  <c r="Q394" i="2"/>
  <c r="Q1111" i="2"/>
  <c r="Q684" i="2"/>
  <c r="Q909" i="2"/>
  <c r="Q436" i="2"/>
  <c r="Q311" i="2"/>
  <c r="Q1386" i="2"/>
  <c r="Q603" i="2"/>
  <c r="Q889" i="2"/>
  <c r="Q495" i="2"/>
  <c r="Q444" i="2"/>
  <c r="Q466" i="2"/>
  <c r="Q641" i="2"/>
  <c r="Q961" i="2"/>
  <c r="Q693" i="2"/>
  <c r="Q1193" i="2"/>
  <c r="Q261" i="2"/>
  <c r="Q145" i="2"/>
  <c r="Q819" i="2"/>
  <c r="Q560" i="2"/>
  <c r="Q162" i="2"/>
  <c r="Q379" i="2"/>
  <c r="Q998" i="2"/>
  <c r="Q1118" i="2"/>
  <c r="Q993" i="2"/>
  <c r="Q165" i="2"/>
  <c r="Q258" i="2"/>
  <c r="Q981" i="2"/>
  <c r="Q1049" i="2"/>
  <c r="Q1087" i="2"/>
  <c r="Q1014" i="2"/>
  <c r="Q1086" i="2"/>
  <c r="Q339" i="2"/>
  <c r="Q875" i="2"/>
  <c r="Q668" i="2"/>
  <c r="Q789" i="2"/>
  <c r="Q1349" i="2"/>
  <c r="Q866" i="2"/>
  <c r="Q805" i="2"/>
  <c r="Q782" i="2"/>
  <c r="Q1394" i="2"/>
  <c r="Q1351" i="2"/>
  <c r="Q264" i="2"/>
  <c r="Q315" i="2"/>
  <c r="Q34" i="2"/>
  <c r="Q1338" i="2"/>
  <c r="Q1330" i="2"/>
  <c r="Q221" i="2"/>
  <c r="Q302" i="2"/>
  <c r="Q1135" i="2"/>
  <c r="Q601" i="2"/>
  <c r="Q682" i="2"/>
  <c r="Q957" i="2"/>
  <c r="Q1415" i="2"/>
  <c r="Q1019" i="2"/>
  <c r="Q1222" i="2"/>
  <c r="Q1182" i="2"/>
  <c r="Q296" i="2"/>
  <c r="Q777" i="2"/>
  <c r="Q653" i="2"/>
  <c r="Q322" i="2"/>
  <c r="Q1102" i="2"/>
  <c r="Q729" i="2"/>
  <c r="Q804" i="2"/>
  <c r="Q1181" i="2"/>
  <c r="Q870" i="2"/>
  <c r="Q1141" i="2"/>
  <c r="Q1168" i="2"/>
  <c r="Q282" i="2"/>
  <c r="Q481" i="2"/>
  <c r="Q1291" i="2"/>
  <c r="Q616" i="2"/>
  <c r="Q649" i="2"/>
  <c r="Q1039" i="2"/>
  <c r="Q525" i="2"/>
  <c r="Q1283" i="2"/>
  <c r="Q465" i="2"/>
  <c r="Q922" i="2"/>
  <c r="Q600" i="2"/>
  <c r="Q846" i="2"/>
  <c r="Q392" i="2"/>
  <c r="Q217" i="2"/>
  <c r="Q349" i="2"/>
  <c r="Q1195" i="2"/>
  <c r="Q731" i="2"/>
  <c r="Q776" i="2"/>
  <c r="Q843" i="2"/>
  <c r="Q930" i="2"/>
  <c r="Q779" i="2"/>
  <c r="Q753" i="2"/>
  <c r="Q1109" i="2"/>
  <c r="Q1382" i="2"/>
  <c r="Q1029" i="2"/>
  <c r="Q1023" i="2"/>
  <c r="Q798" i="2"/>
  <c r="Q53" i="2"/>
  <c r="Q1041" i="2"/>
  <c r="Q663" i="2"/>
  <c r="Q485" i="2"/>
  <c r="Q1212" i="2"/>
  <c r="Q326" i="2"/>
  <c r="Q395" i="2"/>
  <c r="Q857" i="2"/>
  <c r="Q607" i="2"/>
  <c r="Q831" i="2"/>
  <c r="Q748" i="2"/>
  <c r="Q1027" i="2"/>
  <c r="Q448" i="2"/>
  <c r="Q635" i="2"/>
  <c r="Q1306" i="2"/>
  <c r="Q855" i="2"/>
  <c r="Q477" i="2"/>
  <c r="Q1310" i="2"/>
  <c r="Q768" i="2"/>
  <c r="Q1138" i="2"/>
  <c r="Q1113" i="2"/>
  <c r="Q1210" i="2"/>
  <c r="Q1241" i="2"/>
  <c r="Q428" i="2"/>
  <c r="Q948" i="2"/>
  <c r="Q796" i="2"/>
  <c r="Q840" i="2"/>
  <c r="Q324" i="2"/>
  <c r="Q582" i="2"/>
  <c r="Q743" i="2"/>
  <c r="Q958" i="2"/>
  <c r="Q730" i="2"/>
  <c r="Q606" i="2"/>
  <c r="Q690" i="2"/>
  <c r="Q615" i="2"/>
  <c r="Q1083" i="2"/>
  <c r="Q1287" i="2"/>
  <c r="Q877" i="2"/>
  <c r="Q602" i="2"/>
  <c r="Q521" i="2"/>
  <c r="Q1295" i="2"/>
  <c r="Q478" i="2"/>
  <c r="Q397" i="2"/>
  <c r="Q550" i="2"/>
  <c r="Q895" i="2"/>
  <c r="Q403" i="2"/>
  <c r="Q307" i="2"/>
  <c r="Q744" i="2"/>
  <c r="Q516" i="2"/>
  <c r="Q508" i="2"/>
  <c r="Q1323" i="2"/>
  <c r="Q1270" i="2"/>
  <c r="Q710" i="2"/>
  <c r="Q520" i="2"/>
  <c r="Q1227" i="2"/>
  <c r="Q966" i="2"/>
  <c r="Q69" i="2"/>
  <c r="Q86" i="2"/>
  <c r="Q946" i="2"/>
  <c r="Q942" i="2"/>
  <c r="Q1343" i="2"/>
  <c r="Q1119" i="2"/>
  <c r="Q915" i="2"/>
  <c r="Q404" i="2"/>
  <c r="Q262" i="2"/>
  <c r="Q1089" i="2"/>
  <c r="Q622" i="2"/>
  <c r="Q824" i="2"/>
  <c r="Q1214" i="2"/>
  <c r="Q336" i="2"/>
  <c r="Q62" i="2"/>
  <c r="Q1229" i="2"/>
  <c r="Q659" i="2"/>
  <c r="Q793" i="2"/>
  <c r="Q642" i="2"/>
  <c r="Q235" i="2"/>
  <c r="Q154" i="2"/>
  <c r="Q963" i="2"/>
  <c r="Q1380" i="2"/>
  <c r="Q645" i="2"/>
  <c r="Q87" i="2"/>
  <c r="Q809" i="2"/>
  <c r="Q188" i="2"/>
  <c r="Q1170" i="2"/>
  <c r="Q761" i="2"/>
  <c r="Q461" i="2"/>
  <c r="Q1248" i="2"/>
  <c r="Q820" i="2"/>
  <c r="Q396" i="2"/>
  <c r="Q873" i="2"/>
  <c r="Q213" i="2"/>
  <c r="Q1347" i="2"/>
  <c r="Q811" i="2"/>
  <c r="Q237" i="2"/>
  <c r="Q169" i="2"/>
  <c r="Q1175" i="2"/>
  <c r="Q1421" i="2"/>
  <c r="Q160" i="2"/>
  <c r="Q234" i="2"/>
  <c r="Q983" i="2"/>
  <c r="Q1158" i="2"/>
  <c r="Q187" i="2"/>
  <c r="Q1088" i="2"/>
  <c r="Q1352" i="2"/>
  <c r="Q851" i="2"/>
  <c r="Q764" i="2"/>
  <c r="Q284" i="2"/>
  <c r="Q1072" i="2"/>
  <c r="Q1320" i="2"/>
  <c r="Q705" i="2"/>
  <c r="Q97" i="2"/>
  <c r="Q215" i="2"/>
  <c r="Q421" i="2"/>
  <c r="Q630" i="2"/>
  <c r="Q1263" i="2"/>
  <c r="Q1337" i="2"/>
  <c r="Q1340" i="2"/>
  <c r="Q830" i="2"/>
  <c r="Q1266" i="2"/>
  <c r="Q613" i="2"/>
  <c r="Q785" i="2"/>
  <c r="Q935" i="2"/>
  <c r="Q585" i="2"/>
  <c r="Q286" i="2"/>
  <c r="Q1040" i="2"/>
  <c r="Q1124" i="2"/>
  <c r="Q1208" i="2"/>
  <c r="Q1398" i="2"/>
  <c r="Q903" i="2"/>
  <c r="Q41" i="2"/>
  <c r="Q541" i="2"/>
  <c r="Q937" i="2"/>
  <c r="Q1271" i="2"/>
  <c r="Q196" i="2"/>
  <c r="Q628" i="2"/>
  <c r="Q295" i="2"/>
  <c r="Q864" i="2"/>
  <c r="Q1247" i="2"/>
  <c r="Q277" i="2"/>
  <c r="Q157" i="2"/>
  <c r="Q943" i="2"/>
  <c r="Q232" i="2"/>
  <c r="Q1305" i="2"/>
  <c r="Q749" i="2"/>
  <c r="Q152" i="2"/>
  <c r="Q1403" i="2"/>
  <c r="Q829" i="2"/>
  <c r="Q570" i="2"/>
  <c r="Q151" i="2"/>
  <c r="Q1137" i="2"/>
  <c r="Q1069" i="2"/>
  <c r="Q734" i="2"/>
  <c r="Q433" i="2"/>
  <c r="Q618" i="2"/>
  <c r="Q687" i="2"/>
  <c r="Q511" i="2"/>
  <c r="Q164" i="2"/>
  <c r="Q122" i="2"/>
  <c r="Q303" i="2"/>
  <c r="Q447" i="2"/>
  <c r="Q704" i="2"/>
  <c r="Q185" i="2"/>
  <c r="Q1064" i="2"/>
  <c r="Q580" i="2"/>
  <c r="Q1346" i="2"/>
  <c r="Q515" i="2"/>
  <c r="Q589" i="2"/>
  <c r="Q880" i="2"/>
  <c r="Q1400" i="2"/>
  <c r="Q329" i="2"/>
  <c r="Q78" i="2"/>
  <c r="Q1066" i="2"/>
  <c r="Q912" i="2"/>
  <c r="Q996" i="2"/>
  <c r="Q1080" i="2"/>
  <c r="Q1294" i="2"/>
  <c r="Q644" i="2"/>
  <c r="Q77" i="2"/>
  <c r="Q37" i="2"/>
  <c r="Q808" i="2"/>
  <c r="Q847" i="2"/>
  <c r="Q1155" i="2"/>
  <c r="Q1276" i="2"/>
  <c r="Q655" i="2"/>
  <c r="Q1288" i="2"/>
  <c r="Q454" i="2"/>
  <c r="Q358" i="2"/>
  <c r="Q178" i="2"/>
  <c r="Q317" i="2"/>
  <c r="Q249" i="2"/>
  <c r="Q547" i="2"/>
  <c r="Q318" i="2"/>
  <c r="Q186" i="2"/>
  <c r="Q1114" i="2"/>
  <c r="Q1359" i="2"/>
  <c r="Q850" i="2"/>
  <c r="Q293" i="2"/>
  <c r="Q563" i="2"/>
  <c r="Q1414" i="2"/>
  <c r="Q1009" i="2"/>
  <c r="Q697" i="2"/>
  <c r="Q1116" i="2"/>
  <c r="Q191" i="2"/>
  <c r="Q592" i="2"/>
  <c r="Q144" i="2"/>
  <c r="Q681" i="2"/>
  <c r="Q646" i="2"/>
  <c r="Q1045" i="2"/>
  <c r="Q483" i="2"/>
  <c r="Q975" i="2"/>
  <c r="Q1328" i="2"/>
  <c r="Q240" i="2"/>
  <c r="Q884" i="2"/>
  <c r="Q1308" i="2"/>
  <c r="Q422" i="2"/>
  <c r="Q1297" i="2"/>
  <c r="Q637" i="2"/>
  <c r="Q488" i="2"/>
  <c r="Q73" i="2"/>
  <c r="Q557" i="2"/>
  <c r="Q892" i="2"/>
  <c r="Q751" i="2"/>
  <c r="Q868" i="2"/>
  <c r="Q952" i="2"/>
  <c r="Q1149" i="2"/>
  <c r="Q1231" i="2"/>
  <c r="Q476" i="2"/>
  <c r="Q959" i="2"/>
  <c r="Q1277" i="2"/>
  <c r="Q1026" i="2"/>
  <c r="Q455" i="2"/>
  <c r="Q1160" i="2"/>
  <c r="Q408" i="2"/>
  <c r="Q1100" i="2"/>
  <c r="Q519" i="2"/>
  <c r="Q669" i="2"/>
  <c r="Q441" i="2"/>
  <c r="Q1002" i="2"/>
  <c r="Q494" i="2"/>
  <c r="Q1134" i="2"/>
  <c r="Q887" i="2"/>
  <c r="Q1070" i="2"/>
  <c r="Q596" i="2"/>
  <c r="Q1325" i="2"/>
  <c r="Q1339" i="2"/>
  <c r="Q85" i="2"/>
  <c r="Q739" i="2"/>
  <c r="Q1038" i="2"/>
  <c r="Q107" i="2"/>
  <c r="Q288" i="2"/>
  <c r="Q388" i="2"/>
  <c r="Q1388" i="2"/>
  <c r="Q1300" i="2"/>
  <c r="Q752" i="2"/>
  <c r="Q670" i="2"/>
  <c r="Q374" i="2"/>
  <c r="Q1260" i="2"/>
  <c r="Q1108" i="2"/>
  <c r="Q224" i="2"/>
  <c r="Q108" i="2"/>
  <c r="Q1104" i="2"/>
  <c r="Q933" i="2"/>
  <c r="Q1201" i="2"/>
  <c r="Q263" i="2"/>
  <c r="Q1220" i="2"/>
  <c r="Q1001" i="2"/>
  <c r="Q1392" i="2"/>
  <c r="Q166" i="2"/>
  <c r="Q167" i="2"/>
  <c r="Q778" i="2"/>
  <c r="Q109" i="2"/>
  <c r="Q1244" i="2"/>
  <c r="Q239" i="2"/>
  <c r="Q407" i="2"/>
  <c r="Q1115" i="2"/>
  <c r="Q714" i="2"/>
  <c r="Q259" i="2"/>
  <c r="Q1178" i="2"/>
  <c r="Q362" i="2"/>
  <c r="Q206" i="2"/>
  <c r="Q1332" i="2"/>
  <c r="Q479" i="2"/>
  <c r="Q972" i="2"/>
  <c r="Q398" i="2"/>
  <c r="Q314" i="2"/>
  <c r="Q1179" i="2"/>
  <c r="Q1187" i="2"/>
  <c r="Q1167" i="2"/>
  <c r="Q1085" i="2"/>
  <c r="Q450" i="2"/>
  <c r="Q491" i="2"/>
  <c r="Q1420" i="2"/>
  <c r="Q489" i="2"/>
  <c r="Q83" i="2"/>
  <c r="Q1050" i="2"/>
  <c r="Q458" i="2"/>
  <c r="Q214" i="2"/>
  <c r="Q371" i="2"/>
  <c r="Q542" i="2"/>
  <c r="Q439" i="2"/>
  <c r="Q1073" i="2"/>
  <c r="Q1353" i="2"/>
  <c r="Q462" i="2"/>
  <c r="Q801" i="2"/>
  <c r="Q858" i="2"/>
  <c r="Q1315" i="2"/>
  <c r="Q1412" i="2"/>
  <c r="Q227" i="2"/>
  <c r="Q672" i="2"/>
  <c r="Q49" i="2"/>
  <c r="Q1273" i="2"/>
  <c r="Q969" i="2"/>
  <c r="Q719" i="2"/>
  <c r="Q63" i="2"/>
  <c r="Q1316" i="2"/>
  <c r="Q1205" i="2"/>
  <c r="Q1303" i="2"/>
  <c r="Q980" i="2"/>
  <c r="Q869" i="2"/>
  <c r="Q965" i="2"/>
  <c r="Q254" i="2"/>
  <c r="Q572" i="2"/>
  <c r="Q47" i="2"/>
  <c r="Q442" i="2"/>
  <c r="Q301" i="2"/>
  <c r="Q955" i="2"/>
  <c r="Q666" i="2"/>
  <c r="Q1423" i="2"/>
  <c r="Q59" i="2"/>
  <c r="Q988" i="2"/>
  <c r="Q399" i="2"/>
  <c r="Q372" i="2"/>
  <c r="Q1267" i="2"/>
  <c r="Q581" i="2"/>
  <c r="Q50" i="2"/>
  <c r="Q583" i="2"/>
  <c r="Q1322" i="2"/>
  <c r="Q44" i="2"/>
  <c r="Q57" i="2"/>
  <c r="Q140" i="2"/>
  <c r="Q361" i="2"/>
  <c r="Q1418" i="2"/>
  <c r="Q360" i="2"/>
  <c r="Q1163" i="2"/>
  <c r="Q1238" i="2"/>
  <c r="Q228" i="2"/>
  <c r="Q1239" i="2"/>
  <c r="Q913" i="2"/>
  <c r="Q845" i="2"/>
  <c r="Q740" i="2"/>
  <c r="Q1206" i="2"/>
  <c r="Q290" i="2"/>
  <c r="Q674" i="2"/>
  <c r="Q328" i="2"/>
  <c r="Q158" i="2"/>
  <c r="Q423" i="2"/>
  <c r="Q1176" i="2"/>
  <c r="Q1017" i="2"/>
  <c r="Q1183" i="2"/>
  <c r="Q680" i="2"/>
  <c r="Q685" i="2"/>
  <c r="Q143" i="2"/>
  <c r="Q984" i="2"/>
  <c r="Q696" i="2"/>
  <c r="Q1169" i="2"/>
  <c r="Q841" i="2"/>
  <c r="Q874" i="2"/>
  <c r="Q463" i="2"/>
  <c r="Q856" i="2"/>
  <c r="Q1075" i="2"/>
  <c r="Q1020" i="2"/>
  <c r="Q409" i="2"/>
  <c r="Q1035" i="2"/>
  <c r="Q1363" i="2"/>
  <c r="Q183" i="2"/>
  <c r="Q1018" i="2"/>
  <c r="Q1071" i="2"/>
  <c r="Q706" i="2"/>
  <c r="Q702" i="2"/>
  <c r="Q1251" i="2"/>
  <c r="Q173" i="2"/>
  <c r="Q872" i="2"/>
  <c r="Q920" i="2"/>
  <c r="Q1165" i="2"/>
  <c r="Q513" i="2"/>
  <c r="Q1256" i="2"/>
  <c r="Q594" i="2"/>
  <c r="Q1008" i="2"/>
  <c r="Q973" i="2"/>
  <c r="Q285" i="2"/>
  <c r="Q1161" i="2"/>
  <c r="Q1125" i="2"/>
  <c r="Q640" i="2"/>
  <c r="Q848" i="2"/>
  <c r="Q775" i="2"/>
  <c r="Q283" i="2"/>
  <c r="Q787" i="2"/>
  <c r="Q242" i="2"/>
  <c r="Q524" i="2"/>
  <c r="Q737" i="2"/>
  <c r="Q1144" i="2"/>
  <c r="Q1284" i="2"/>
  <c r="Q1408" i="2"/>
  <c r="Q1052" i="2"/>
  <c r="Q126" i="2"/>
  <c r="Q586" i="2"/>
  <c r="Q1366" i="2"/>
  <c r="Q1409" i="2"/>
  <c r="Q792" i="2"/>
  <c r="Q453" i="2"/>
  <c r="Q52" i="2"/>
  <c r="Q335" i="2"/>
  <c r="Q828" i="2"/>
  <c r="Q951" i="2"/>
  <c r="Q1043" i="2"/>
  <c r="Q982" i="2"/>
  <c r="Q1063" i="2"/>
  <c r="Q853" i="2"/>
  <c r="Q1278" i="2"/>
  <c r="Q1162" i="2"/>
  <c r="Q746" i="2"/>
  <c r="Q313" i="2"/>
  <c r="Q827" i="2"/>
  <c r="Q611" i="2"/>
  <c r="Q1081" i="2"/>
  <c r="Q39" i="2"/>
  <c r="Q648" i="2"/>
  <c r="Q745" i="2"/>
  <c r="Q411" i="2"/>
  <c r="Q413" i="2"/>
  <c r="Q323" i="2"/>
  <c r="Q1015" i="2"/>
  <c r="Q522" i="2"/>
  <c r="Q452" i="2"/>
  <c r="Q238" i="2"/>
  <c r="Q588" i="2"/>
  <c r="Q1180" i="2"/>
  <c r="Q245" i="2"/>
  <c r="Q1395" i="2"/>
  <c r="Q210" i="2"/>
  <c r="Q688" i="2"/>
  <c r="Q1416" i="2"/>
  <c r="Q1204" i="2"/>
  <c r="Q1311" i="2"/>
  <c r="Q945" i="2"/>
  <c r="Q1028" i="2"/>
  <c r="Q204" i="2"/>
  <c r="Q834" i="2"/>
  <c r="Q812" i="2"/>
  <c r="Q247" i="2"/>
  <c r="Q1004" i="2"/>
  <c r="Q854" i="2"/>
  <c r="Q498" i="2"/>
  <c r="Q471" i="2"/>
  <c r="Q321" i="2"/>
  <c r="Q180" i="2"/>
  <c r="Q460" i="2"/>
  <c r="Q385" i="2"/>
  <c r="Q1084" i="2"/>
  <c r="Q193" i="2"/>
  <c r="Q960" i="2"/>
  <c r="Q1192" i="2"/>
  <c r="Q885" i="2"/>
  <c r="Q1360" i="2"/>
  <c r="Q692" i="2"/>
  <c r="Q608" i="2"/>
  <c r="Q1012" i="2"/>
  <c r="Q1281" i="2"/>
  <c r="Q438" i="2"/>
  <c r="Q255" i="2"/>
  <c r="Q703" i="2"/>
  <c r="Q115" i="2"/>
  <c r="Q429" i="2"/>
  <c r="Q181" i="2"/>
  <c r="Q207" i="2"/>
  <c r="Q472" i="2"/>
  <c r="Q517" i="2"/>
  <c r="Q968" i="2"/>
  <c r="Q914" i="2"/>
  <c r="Q632" i="2"/>
  <c r="Q1173" i="2"/>
  <c r="Q383" i="2"/>
  <c r="Q1188" i="2"/>
  <c r="Q316" i="2"/>
  <c r="Q378" i="2"/>
  <c r="Q389" i="2"/>
  <c r="Q182" i="2"/>
  <c r="Q100" i="2"/>
  <c r="Q127" i="2"/>
  <c r="Q375" i="2"/>
  <c r="Q623" i="2"/>
  <c r="Q1091" i="2"/>
  <c r="Q484" i="2"/>
  <c r="Q342" i="2"/>
  <c r="Q171" i="2"/>
  <c r="Q132" i="2"/>
  <c r="Q1000" i="2"/>
  <c r="Q1140" i="2"/>
  <c r="Q1264" i="2"/>
  <c r="Q717" i="2"/>
  <c r="Q202" i="2"/>
  <c r="Q1006" i="2"/>
  <c r="Q96" i="2"/>
  <c r="Q1042" i="2"/>
  <c r="Q424" i="2"/>
  <c r="Q634" i="2"/>
  <c r="Q113" i="2"/>
  <c r="Q243" i="2"/>
  <c r="Q1133" i="2"/>
  <c r="Q58" i="2"/>
  <c r="Q1007" i="2"/>
  <c r="Q643" i="2"/>
  <c r="Q1021" i="2"/>
  <c r="Q822" i="2"/>
  <c r="Q650" i="2"/>
  <c r="Q292" i="2"/>
  <c r="Q142" i="2"/>
  <c r="Q835" i="2"/>
  <c r="Q468" i="2"/>
  <c r="Q1213" i="2"/>
  <c r="Q633" i="2"/>
  <c r="Q898" i="2"/>
  <c r="Q493" i="2"/>
  <c r="Q579" i="2"/>
  <c r="Q940" i="2"/>
  <c r="Q417" i="2"/>
  <c r="Q863" i="2"/>
  <c r="Q101" i="2"/>
  <c r="Q48" i="2"/>
  <c r="Q904" i="2"/>
  <c r="Q567" i="2"/>
  <c r="Q95" i="2"/>
  <c r="Q1243" i="2"/>
  <c r="Q556" i="2"/>
  <c r="Q797" i="2"/>
  <c r="Q195" i="2"/>
  <c r="Q679" i="2"/>
  <c r="Q1296" i="2"/>
  <c r="Q111" i="2"/>
  <c r="Q575" i="2"/>
  <c r="Q103" i="2"/>
  <c r="Q552" i="2"/>
  <c r="Q297" i="2"/>
  <c r="Q270" i="2"/>
  <c r="Q1078" i="2"/>
  <c r="Q636" i="2"/>
  <c r="Q505" i="2"/>
  <c r="Q156" i="2"/>
  <c r="Q451" i="2"/>
  <c r="Q1120" i="2"/>
  <c r="Q1076" i="2"/>
  <c r="Q1032" i="2"/>
  <c r="Q1153" i="2"/>
  <c r="Q131" i="2"/>
  <c r="Q278" i="2"/>
  <c r="Q220" i="2"/>
  <c r="Q106" i="2"/>
  <c r="Q1110" i="2"/>
  <c r="Q61" i="2"/>
  <c r="Q410" i="2"/>
  <c r="Q923" i="2"/>
  <c r="Q1367" i="2"/>
  <c r="Q683" i="2"/>
  <c r="Q475" i="2"/>
  <c r="Q40" i="2"/>
  <c r="Q584" i="2"/>
  <c r="Q987" i="2"/>
  <c r="Q1335" i="2"/>
  <c r="Q1274" i="2"/>
  <c r="Q304" i="2"/>
  <c r="Q487" i="2"/>
  <c r="Q281" i="2"/>
  <c r="Q1194" i="2"/>
  <c r="Q759" i="2"/>
  <c r="Q368" i="2"/>
  <c r="Q341" i="2"/>
  <c r="Q974" i="2"/>
  <c r="Q201" i="2"/>
  <c r="Q1232" i="2"/>
  <c r="Q727" i="2"/>
  <c r="Q402" i="2"/>
  <c r="Q728" i="2"/>
  <c r="Q310" i="2"/>
  <c r="Q414" i="2"/>
  <c r="Q1148" i="2"/>
  <c r="Q631" i="2"/>
  <c r="Q905" i="2"/>
  <c r="Q617" i="2"/>
  <c r="Q537" i="2"/>
  <c r="Q91" i="2"/>
  <c r="Q686" i="2"/>
  <c r="Q199" i="2"/>
  <c r="Q989" i="2"/>
  <c r="Q308" i="2"/>
  <c r="Q921" i="2"/>
  <c r="Q67" i="2"/>
  <c r="Q266" i="2"/>
  <c r="Q548" i="2"/>
  <c r="Q1262" i="2"/>
  <c r="Q75" i="2"/>
  <c r="Q1216" i="2"/>
  <c r="Q503" i="2"/>
  <c r="Q660" i="2"/>
  <c r="Q568" i="2"/>
  <c r="Q161" i="2"/>
  <c r="Q766" i="2"/>
  <c r="Q501" i="2"/>
  <c r="Q1312" i="2"/>
  <c r="Q656" i="2"/>
  <c r="Q382" i="2"/>
  <c r="Q1344" i="2"/>
  <c r="Q1240" i="2"/>
  <c r="Q624" i="2"/>
  <c r="Q652" i="2"/>
  <c r="Q168" i="2"/>
  <c r="Q852" i="2"/>
  <c r="Q907" i="2"/>
  <c r="Q1219" i="2"/>
  <c r="Q159" i="2"/>
  <c r="Q319" i="2"/>
  <c r="Q114" i="2"/>
  <c r="Q225" i="2"/>
  <c r="Q627" i="2"/>
  <c r="Q1379" i="2"/>
  <c r="Q1065" i="2"/>
  <c r="Q1098" i="2"/>
  <c r="Q1396" i="2"/>
  <c r="Q294" i="2"/>
  <c r="Q102" i="2"/>
  <c r="Q1139" i="2"/>
  <c r="Q1268" i="2"/>
  <c r="Q707" i="2"/>
  <c r="Q538" i="2"/>
  <c r="Q1217" i="2"/>
  <c r="Q591" i="2"/>
  <c r="Q1077" i="2"/>
  <c r="Q997" i="2"/>
  <c r="Q1105" i="2"/>
  <c r="Q1016" i="2"/>
  <c r="Q363" i="2"/>
  <c r="Q786" i="2"/>
  <c r="Q1365" i="2"/>
  <c r="Q306" i="2"/>
  <c r="Q129" i="2"/>
  <c r="Q906" i="2"/>
  <c r="Q565" i="2"/>
  <c r="Q38" i="2"/>
  <c r="Q1290" i="2"/>
  <c r="Q1364" i="2"/>
  <c r="Q176" i="2"/>
  <c r="Q647" i="2"/>
  <c r="Q1060" i="2"/>
  <c r="Q82" i="2"/>
  <c r="Q1301" i="2"/>
  <c r="Q257" i="2"/>
  <c r="Q1304" i="2"/>
  <c r="Q1345" i="2"/>
  <c r="Q92" i="2"/>
  <c r="Q1289" i="2"/>
  <c r="Q599" i="2"/>
  <c r="Q434" i="2"/>
  <c r="Q1107" i="2"/>
  <c r="Q911" i="2"/>
  <c r="Q544" i="2"/>
  <c r="Q54" i="2"/>
  <c r="Q530" i="2"/>
  <c r="Q1317" i="2"/>
  <c r="Q70" i="2"/>
  <c r="Q105" i="2"/>
  <c r="Q1280" i="2"/>
  <c r="Q691" i="2"/>
  <c r="Q1410" i="2"/>
  <c r="Q79" i="2"/>
  <c r="Q783" i="2"/>
  <c r="Q991" i="2"/>
  <c r="Q750" i="2"/>
  <c r="Q929" i="2"/>
  <c r="Q886" i="2"/>
  <c r="Q621" i="2"/>
  <c r="Q976" i="2"/>
  <c r="Q936" i="2"/>
  <c r="Q364" i="2"/>
  <c r="Q1331" i="2"/>
  <c r="Q1293" i="2"/>
  <c r="Q1172" i="2"/>
  <c r="Q1307" i="2"/>
  <c r="Q788" i="2"/>
  <c r="Q431" i="2"/>
  <c r="Q415" i="2"/>
  <c r="Q985" i="2"/>
  <c r="Q528" i="2"/>
  <c r="Q509" i="2"/>
  <c r="Q888" i="2"/>
  <c r="Q860" i="2"/>
  <c r="Q1156" i="2"/>
  <c r="Q1417" i="2"/>
  <c r="Q1381" i="2"/>
  <c r="Q698" i="2"/>
  <c r="Q1044" i="2"/>
  <c r="Q486" i="2"/>
  <c r="Q104" i="2"/>
  <c r="Q807" i="2"/>
  <c r="Q791" i="2"/>
  <c r="Q464" i="2"/>
  <c r="Q1397" i="2"/>
  <c r="Q35" i="2"/>
  <c r="Q639" i="2"/>
  <c r="Q425" i="2"/>
  <c r="Q726" i="2"/>
  <c r="Q355" i="2"/>
  <c r="Q953" i="2"/>
  <c r="Q449" i="2"/>
  <c r="Q65" i="2"/>
  <c r="Q1103" i="2"/>
  <c r="Q1024" i="2"/>
  <c r="Q1047" i="2"/>
  <c r="Q334" i="2"/>
  <c r="Q1068" i="2"/>
  <c r="Q271" i="2"/>
  <c r="Q1224" i="2"/>
  <c r="Q800" i="2"/>
  <c r="Q312" i="2"/>
  <c r="Q1203" i="2"/>
  <c r="Q1371" i="2"/>
  <c r="Q348" i="2"/>
  <c r="Q527" i="2"/>
  <c r="Q543" i="2"/>
  <c r="Q1377" i="2"/>
  <c r="Q927" i="2"/>
  <c r="Q121" i="2"/>
  <c r="Q279" i="2"/>
  <c r="Q1159" i="2"/>
  <c r="Q803" i="2"/>
  <c r="Q1250" i="2"/>
  <c r="Q1097" i="2"/>
  <c r="Q406" i="2"/>
  <c r="Q938" i="2"/>
  <c r="Q760" i="2"/>
  <c r="Q136" i="2"/>
  <c r="Q876" i="2"/>
  <c r="Q836" i="2"/>
  <c r="Q1129" i="2"/>
  <c r="Q662" i="2"/>
  <c r="Q742" i="2"/>
  <c r="Q713" i="2"/>
  <c r="Q551" i="2"/>
  <c r="Q695" i="2"/>
  <c r="Q356" i="2"/>
  <c r="Q327" i="2"/>
  <c r="Q175" i="2"/>
  <c r="Q825" i="2"/>
  <c r="Q977" i="2"/>
  <c r="Q352" i="2"/>
  <c r="Q1136" i="2"/>
  <c r="Q309" i="2"/>
  <c r="Q502" i="2"/>
  <c r="Q45" i="2"/>
  <c r="Q816" i="2"/>
  <c r="Q534" i="2"/>
  <c r="Q506" i="2"/>
  <c r="Q533" i="2"/>
  <c r="Q1061" i="2"/>
  <c r="Q440" i="2"/>
  <c r="Q1143" i="2"/>
  <c r="Q366" i="2"/>
  <c r="Q1196" i="2"/>
  <c r="Q367" i="2"/>
  <c r="Q205" i="2"/>
  <c r="Q956" i="2"/>
  <c r="Q1348" i="2"/>
  <c r="Q671" i="2"/>
  <c r="Q784" i="2"/>
  <c r="Q504" i="2"/>
  <c r="Q1005" i="2"/>
  <c r="Q1372" i="2"/>
  <c r="Q1236" i="2"/>
  <c r="Q865" i="2"/>
  <c r="Q849" i="2"/>
  <c r="Q1145" i="2"/>
  <c r="Q899" i="2"/>
  <c r="Q351" i="2"/>
  <c r="Q184" i="2"/>
  <c r="Q900" i="2"/>
  <c r="Q609" i="2"/>
  <c r="Q416" i="2"/>
  <c r="Q219" i="2"/>
  <c r="Q373" i="2"/>
  <c r="Q1033" i="2"/>
  <c r="Q1384" i="2"/>
  <c r="Q357" i="2"/>
  <c r="Q110" i="2"/>
  <c r="Q1184" i="2"/>
  <c r="Q1112" i="2"/>
  <c r="Q1314" i="2"/>
  <c r="Q359" i="2"/>
  <c r="Q246" i="2"/>
  <c r="Q457" i="2"/>
  <c r="Q559" i="2"/>
  <c r="Q549" i="2"/>
  <c r="Q80" i="2"/>
  <c r="Q722" i="2"/>
  <c r="Q1233" i="2"/>
  <c r="Q1225" i="2"/>
  <c r="Q1011" i="2"/>
  <c r="Q861" i="2"/>
  <c r="Q60" i="2"/>
  <c r="Q770" i="2"/>
  <c r="Q250" i="2"/>
  <c r="Q676" i="2"/>
  <c r="Q1092" i="2"/>
  <c r="Q287" i="2"/>
  <c r="Q68" i="2"/>
  <c r="Q661" i="2"/>
  <c r="Q1257" i="2"/>
  <c r="Q330" i="2"/>
  <c r="Q916" i="2"/>
  <c r="Q236" i="2"/>
  <c r="Q821" i="2"/>
  <c r="Q1237" i="2"/>
  <c r="Q924" i="2"/>
  <c r="Q112" i="2"/>
  <c r="Q377" i="2"/>
  <c r="Q1404" i="2"/>
  <c r="Q343" i="2"/>
  <c r="Q769" i="2"/>
  <c r="Q944" i="2"/>
  <c r="Q947" i="2"/>
  <c r="Q190" i="2"/>
  <c r="Q1200" i="2"/>
  <c r="Q1128" i="2"/>
  <c r="Q818" i="2"/>
  <c r="Q718" i="2"/>
  <c r="Q172" i="2"/>
  <c r="Q1152" i="2"/>
  <c r="Q1096" i="2"/>
  <c r="Q747" i="2"/>
  <c r="Q189" i="2"/>
  <c r="Q832" i="2"/>
  <c r="Q767" i="2"/>
  <c r="Q1249" i="2"/>
  <c r="Q280" i="2"/>
  <c r="Q545" i="2"/>
  <c r="Q1385" i="2"/>
  <c r="Q125" i="2"/>
  <c r="Q492" i="2"/>
  <c r="Q535" i="2"/>
  <c r="Q1121" i="2"/>
  <c r="Q756" i="2"/>
  <c r="Q1056" i="2"/>
  <c r="Q134" i="2"/>
  <c r="Q1368" i="2"/>
  <c r="Q149" i="2"/>
  <c r="I503" i="2"/>
  <c r="I376" i="2"/>
  <c r="I757" i="2"/>
  <c r="I741" i="2"/>
  <c r="I386" i="2"/>
  <c r="I385" i="2"/>
  <c r="I369" i="2"/>
  <c r="I230" i="2"/>
  <c r="I1331" i="2"/>
  <c r="I226" i="2"/>
  <c r="I1316" i="2"/>
  <c r="I220" i="2"/>
  <c r="I584" i="2"/>
  <c r="I957" i="2"/>
  <c r="I215" i="2"/>
  <c r="I971" i="2"/>
  <c r="I1332" i="2"/>
  <c r="I1317" i="2"/>
  <c r="I956" i="2"/>
  <c r="I974" i="2"/>
  <c r="I236" i="2"/>
  <c r="I1339" i="2"/>
  <c r="I1310" i="2"/>
  <c r="I1315" i="2"/>
  <c r="I588" i="2"/>
  <c r="I958" i="2"/>
  <c r="I973" i="2"/>
  <c r="I591" i="2"/>
  <c r="I1423" i="2"/>
  <c r="I1407" i="2"/>
  <c r="I1422" i="2"/>
  <c r="I313" i="2"/>
  <c r="I329" i="2"/>
  <c r="I1050" i="2"/>
  <c r="I1413" i="2"/>
  <c r="I685" i="2"/>
  <c r="I696" i="2"/>
  <c r="I1402" i="2"/>
  <c r="I1418" i="2"/>
  <c r="I1049" i="2"/>
  <c r="I323" i="2"/>
  <c r="I1065" i="2"/>
  <c r="I1059" i="2"/>
  <c r="I1043" i="2"/>
  <c r="I390" i="2"/>
  <c r="I752" i="2"/>
  <c r="I1097" i="2"/>
  <c r="I1126" i="2"/>
  <c r="I1102" i="2"/>
  <c r="I754" i="2"/>
  <c r="I738" i="2"/>
  <c r="I736" i="2"/>
  <c r="I391" i="2"/>
  <c r="I379" i="2"/>
  <c r="I1120" i="2"/>
  <c r="I388" i="2"/>
  <c r="I1127" i="2"/>
  <c r="I1106" i="2"/>
  <c r="I367" i="2"/>
  <c r="I1121" i="2"/>
  <c r="I1325" i="2"/>
  <c r="I1118" i="2"/>
  <c r="I745" i="2"/>
  <c r="I570" i="2"/>
  <c r="I197" i="2"/>
  <c r="I1392" i="2"/>
  <c r="I1276" i="2"/>
  <c r="I1055" i="2"/>
  <c r="I903" i="2"/>
  <c r="I743" i="2"/>
  <c r="I539" i="2"/>
  <c r="I928" i="2"/>
  <c r="I195" i="2"/>
  <c r="I943" i="2"/>
  <c r="I1376" i="2"/>
  <c r="I1240" i="2"/>
  <c r="I1348" i="2"/>
  <c r="I1333" i="2"/>
  <c r="I1301" i="2"/>
  <c r="I1112" i="2"/>
  <c r="I1099" i="2"/>
  <c r="I930" i="2"/>
  <c r="I551" i="2"/>
  <c r="I1394" i="2"/>
  <c r="I1378" i="2"/>
  <c r="I1255" i="2"/>
  <c r="I1036" i="2"/>
  <c r="I564" i="2"/>
  <c r="I159" i="2"/>
  <c r="Q658" i="2"/>
  <c r="Q1048" i="2"/>
  <c r="Q480" i="2"/>
  <c r="Q1253" i="2"/>
  <c r="Q1058" i="2"/>
  <c r="I1237" i="2"/>
  <c r="I190" i="2"/>
  <c r="I191" i="2"/>
  <c r="I297" i="2"/>
  <c r="I1254" i="2"/>
  <c r="I1238" i="2"/>
  <c r="I1035" i="2"/>
  <c r="I1019" i="2"/>
  <c r="I972" i="2"/>
  <c r="I897" i="2"/>
  <c r="I674" i="2"/>
  <c r="I658" i="2"/>
  <c r="I642" i="2"/>
  <c r="I594" i="2"/>
  <c r="I373" i="2"/>
  <c r="Q1401" i="2"/>
  <c r="Q566" i="2"/>
  <c r="Q443" i="2"/>
  <c r="Q148" i="2"/>
  <c r="Q387" i="2"/>
  <c r="Q289" i="2"/>
  <c r="I898" i="2"/>
  <c r="I1271" i="2"/>
  <c r="I532" i="2"/>
  <c r="I164" i="2"/>
  <c r="I548" i="2"/>
  <c r="I1034" i="2"/>
  <c r="I657" i="2"/>
  <c r="I1125" i="2"/>
  <c r="I927" i="2"/>
  <c r="I689" i="2"/>
  <c r="I372" i="2"/>
  <c r="I327" i="2"/>
  <c r="I311" i="2"/>
  <c r="I296" i="2"/>
  <c r="I280" i="2"/>
  <c r="I235" i="2"/>
  <c r="I204" i="2"/>
  <c r="I1227" i="2"/>
  <c r="I514" i="2"/>
  <c r="I506" i="2"/>
  <c r="I498" i="2"/>
  <c r="I490" i="2"/>
  <c r="I1225" i="2"/>
  <c r="I135" i="2"/>
  <c r="I868" i="2"/>
  <c r="I858" i="2"/>
  <c r="I128" i="2"/>
  <c r="I504" i="2"/>
  <c r="I1224" i="2"/>
  <c r="I515" i="2"/>
  <c r="I124" i="2"/>
  <c r="I878" i="2"/>
  <c r="I507" i="2"/>
  <c r="I511" i="2"/>
  <c r="I873" i="2"/>
  <c r="I1219" i="2"/>
  <c r="I147" i="2"/>
  <c r="I1226" i="2"/>
  <c r="I1247" i="2"/>
  <c r="I502" i="2"/>
  <c r="I143" i="2"/>
  <c r="I1235" i="2"/>
  <c r="I517" i="2"/>
  <c r="I146" i="2"/>
  <c r="I869" i="2"/>
  <c r="I137" i="2"/>
  <c r="I499" i="2"/>
  <c r="I130" i="2"/>
  <c r="I872" i="2"/>
  <c r="I865" i="2"/>
  <c r="I134" i="2"/>
  <c r="I151" i="2"/>
  <c r="I500" i="2"/>
  <c r="I882" i="2"/>
  <c r="I132" i="2"/>
  <c r="I512" i="2"/>
  <c r="I488" i="2"/>
  <c r="I854" i="2"/>
  <c r="I866" i="2"/>
  <c r="I880" i="2"/>
  <c r="I1232" i="2"/>
  <c r="I1233" i="2"/>
  <c r="I492" i="2"/>
  <c r="I513" i="2"/>
  <c r="I123" i="2"/>
  <c r="I508" i="2"/>
  <c r="I493" i="2"/>
  <c r="I142" i="2"/>
  <c r="I509" i="2"/>
  <c r="I876" i="2"/>
  <c r="I864" i="2"/>
  <c r="I870" i="2"/>
  <c r="I149" i="2"/>
  <c r="I145" i="2"/>
  <c r="I468" i="2"/>
  <c r="I63" i="2"/>
  <c r="I445" i="2"/>
  <c r="I867" i="2"/>
  <c r="I1223" i="2"/>
  <c r="I874" i="2"/>
  <c r="I144" i="2"/>
  <c r="I136" i="2"/>
  <c r="I881" i="2"/>
  <c r="I1220" i="2"/>
  <c r="I133" i="2"/>
  <c r="I885" i="2"/>
  <c r="I884" i="2"/>
  <c r="K32" i="2"/>
  <c r="M32" i="2" s="1"/>
  <c r="N32" i="2" s="1"/>
  <c r="G32" i="2"/>
  <c r="J33" i="2" s="1"/>
  <c r="E34" i="2"/>
  <c r="F34" i="2"/>
  <c r="F24" i="2" l="1"/>
  <c r="H33" i="2"/>
  <c r="G33" i="2" s="1"/>
  <c r="J34" i="2" s="1"/>
  <c r="L33" i="2"/>
  <c r="F35" i="2"/>
  <c r="E35" i="2"/>
  <c r="P32" i="2"/>
  <c r="K33" i="2" l="1"/>
  <c r="L34" i="2" s="1"/>
  <c r="H34" i="2"/>
  <c r="F36" i="2"/>
  <c r="E36" i="2"/>
  <c r="M33" i="2" l="1"/>
  <c r="N33" i="2" s="1"/>
  <c r="P33" i="2" s="1"/>
  <c r="K34" i="2"/>
  <c r="L35" i="2" s="1"/>
  <c r="G34" i="2"/>
  <c r="J35" i="2" s="1"/>
  <c r="E37" i="2"/>
  <c r="F37" i="2"/>
  <c r="M34" i="2" l="1"/>
  <c r="N34" i="2" s="1"/>
  <c r="P34" i="2" s="1"/>
  <c r="H35" i="2"/>
  <c r="K35" i="2" s="1"/>
  <c r="M35" i="2" s="1"/>
  <c r="N35" i="2" s="1"/>
  <c r="P35" i="2" s="1"/>
  <c r="F38" i="2"/>
  <c r="E38" i="2"/>
  <c r="G35" i="2" l="1"/>
  <c r="H36" i="2" s="1"/>
  <c r="K36" i="2" s="1"/>
  <c r="L36" i="2"/>
  <c r="F39" i="2"/>
  <c r="E39" i="2"/>
  <c r="J36" i="2" l="1"/>
  <c r="G36" i="2" s="1"/>
  <c r="H37" i="2" s="1"/>
  <c r="K37" i="2" s="1"/>
  <c r="M36" i="2"/>
  <c r="N36" i="2" s="1"/>
  <c r="P36" i="2" s="1"/>
  <c r="L37" i="2"/>
  <c r="F40" i="2"/>
  <c r="E40" i="2"/>
  <c r="J37" i="2" l="1"/>
  <c r="G37" i="2" s="1"/>
  <c r="J38" i="2" s="1"/>
  <c r="M37" i="2"/>
  <c r="N37" i="2" s="1"/>
  <c r="P37" i="2" s="1"/>
  <c r="L38" i="2"/>
  <c r="F41" i="2"/>
  <c r="E41" i="2"/>
  <c r="H38" i="2" l="1"/>
  <c r="K38" i="2" s="1"/>
  <c r="L39" i="2" s="1"/>
  <c r="E42" i="2"/>
  <c r="F42" i="2"/>
  <c r="G38" i="2" l="1"/>
  <c r="H39" i="2" s="1"/>
  <c r="K39" i="2" s="1"/>
  <c r="M39" i="2" s="1"/>
  <c r="N39" i="2" s="1"/>
  <c r="P39" i="2" s="1"/>
  <c r="M38" i="2"/>
  <c r="N38" i="2" s="1"/>
  <c r="P38" i="2" s="1"/>
  <c r="E43" i="2"/>
  <c r="F43" i="2"/>
  <c r="L40" i="2" l="1"/>
  <c r="J39" i="2"/>
  <c r="G39" i="2" s="1"/>
  <c r="H40" i="2" s="1"/>
  <c r="K40" i="2" s="1"/>
  <c r="F44" i="2"/>
  <c r="E44" i="2"/>
  <c r="M40" i="2" l="1"/>
  <c r="N40" i="2" s="1"/>
  <c r="P40" i="2" s="1"/>
  <c r="J40" i="2"/>
  <c r="G40" i="2" s="1"/>
  <c r="H41" i="2" s="1"/>
  <c r="K41" i="2" s="1"/>
  <c r="L41" i="2"/>
  <c r="E45" i="2"/>
  <c r="F45" i="2"/>
  <c r="J41" i="2" l="1"/>
  <c r="G41" i="2" s="1"/>
  <c r="J42" i="2" s="1"/>
  <c r="M41" i="2"/>
  <c r="N41" i="2" s="1"/>
  <c r="P41" i="2" s="1"/>
  <c r="L42" i="2"/>
  <c r="F46" i="2"/>
  <c r="E46" i="2"/>
  <c r="H42" i="2" l="1"/>
  <c r="K42" i="2" s="1"/>
  <c r="M42" i="2" s="1"/>
  <c r="N42" i="2" s="1"/>
  <c r="P42" i="2" s="1"/>
  <c r="E47" i="2"/>
  <c r="F47" i="2"/>
  <c r="G42" i="2" l="1"/>
  <c r="H43" i="2" s="1"/>
  <c r="K43" i="2" s="1"/>
  <c r="L43" i="2"/>
  <c r="F48" i="2"/>
  <c r="E48" i="2"/>
  <c r="M43" i="2" l="1"/>
  <c r="N43" i="2" s="1"/>
  <c r="P43" i="2" s="1"/>
  <c r="L44" i="2"/>
  <c r="J43" i="2"/>
  <c r="G43" i="2" s="1"/>
  <c r="J44" i="2" s="1"/>
  <c r="E49" i="2"/>
  <c r="F49" i="2"/>
  <c r="H44" i="2" l="1"/>
  <c r="G44" i="2" s="1"/>
  <c r="J45" i="2" s="1"/>
  <c r="F50" i="2"/>
  <c r="E50" i="2"/>
  <c r="K44" i="2" l="1"/>
  <c r="M44" i="2" s="1"/>
  <c r="N44" i="2" s="1"/>
  <c r="P44" i="2" s="1"/>
  <c r="H45" i="2"/>
  <c r="G45" i="2" s="1"/>
  <c r="J46" i="2" s="1"/>
  <c r="E51" i="2"/>
  <c r="F51" i="2"/>
  <c r="H46" i="2" l="1"/>
  <c r="G46" i="2" s="1"/>
  <c r="J47" i="2" s="1"/>
  <c r="L45" i="2"/>
  <c r="K45" i="2"/>
  <c r="E52" i="2"/>
  <c r="F52" i="2"/>
  <c r="H47" i="2" l="1"/>
  <c r="G47" i="2" s="1"/>
  <c r="J48" i="2" s="1"/>
  <c r="M45" i="2"/>
  <c r="N45" i="2" s="1"/>
  <c r="P45" i="2" s="1"/>
  <c r="L46" i="2"/>
  <c r="K46" i="2"/>
  <c r="E53" i="2"/>
  <c r="F53" i="2"/>
  <c r="H48" i="2" l="1"/>
  <c r="G48" i="2" s="1"/>
  <c r="H49" i="2" s="1"/>
  <c r="M46" i="2"/>
  <c r="N46" i="2" s="1"/>
  <c r="P46" i="2" s="1"/>
  <c r="K47" i="2"/>
  <c r="L47" i="2"/>
  <c r="F54" i="2"/>
  <c r="E54" i="2"/>
  <c r="J49" i="2" l="1"/>
  <c r="G49" i="2" s="1"/>
  <c r="J50" i="2" s="1"/>
  <c r="K48" i="2"/>
  <c r="K49" i="2" s="1"/>
  <c r="L48" i="2"/>
  <c r="M47" i="2"/>
  <c r="N47" i="2" s="1"/>
  <c r="P47" i="2" s="1"/>
  <c r="E55" i="2"/>
  <c r="F55" i="2"/>
  <c r="L49" i="2" l="1"/>
  <c r="M49" i="2" s="1"/>
  <c r="N49" i="2" s="1"/>
  <c r="P49" i="2" s="1"/>
  <c r="H50" i="2"/>
  <c r="G50" i="2" s="1"/>
  <c r="J51" i="2" s="1"/>
  <c r="M48" i="2"/>
  <c r="N48" i="2" s="1"/>
  <c r="P48" i="2" s="1"/>
  <c r="E56" i="2"/>
  <c r="F56" i="2"/>
  <c r="L50" i="2" l="1"/>
  <c r="K50" i="2"/>
  <c r="H51" i="2"/>
  <c r="G51" i="2" s="1"/>
  <c r="J52" i="2" s="1"/>
  <c r="E57" i="2"/>
  <c r="F57" i="2"/>
  <c r="K51" i="2" l="1"/>
  <c r="L51" i="2"/>
  <c r="H52" i="2"/>
  <c r="G52" i="2" s="1"/>
  <c r="J53" i="2" s="1"/>
  <c r="M50" i="2"/>
  <c r="N50" i="2" s="1"/>
  <c r="P50" i="2" s="1"/>
  <c r="F58" i="2"/>
  <c r="E58" i="2"/>
  <c r="L52" i="2" l="1"/>
  <c r="M51" i="2"/>
  <c r="N51" i="2" s="1"/>
  <c r="P51" i="2" s="1"/>
  <c r="K52" i="2"/>
  <c r="H53" i="2"/>
  <c r="G53" i="2" s="1"/>
  <c r="J54" i="2" s="1"/>
  <c r="E59" i="2"/>
  <c r="F59" i="2"/>
  <c r="H54" i="2" l="1"/>
  <c r="G54" i="2" s="1"/>
  <c r="J55" i="2" s="1"/>
  <c r="K53" i="2"/>
  <c r="L53" i="2"/>
  <c r="M52" i="2"/>
  <c r="N52" i="2" s="1"/>
  <c r="P52" i="2" s="1"/>
  <c r="F60" i="2"/>
  <c r="E60" i="2"/>
  <c r="K54" i="2" l="1"/>
  <c r="M53" i="2"/>
  <c r="N53" i="2" s="1"/>
  <c r="P53" i="2" s="1"/>
  <c r="H55" i="2"/>
  <c r="G55" i="2" s="1"/>
  <c r="H56" i="2" s="1"/>
  <c r="L54" i="2"/>
  <c r="F61" i="2"/>
  <c r="E61" i="2"/>
  <c r="K55" i="2" l="1"/>
  <c r="K56" i="2" s="1"/>
  <c r="J56" i="2"/>
  <c r="G56" i="2" s="1"/>
  <c r="J57" i="2" s="1"/>
  <c r="M54" i="2"/>
  <c r="N54" i="2" s="1"/>
  <c r="P54" i="2" s="1"/>
  <c r="L55" i="2"/>
  <c r="E62" i="2"/>
  <c r="F62" i="2"/>
  <c r="M55" i="2" l="1"/>
  <c r="N55" i="2" s="1"/>
  <c r="P55" i="2" s="1"/>
  <c r="L56" i="2"/>
  <c r="M56" i="2" s="1"/>
  <c r="N56" i="2" s="1"/>
  <c r="P56" i="2" s="1"/>
  <c r="H57" i="2"/>
  <c r="K57" i="2" s="1"/>
  <c r="F63" i="2"/>
  <c r="E63" i="2"/>
  <c r="L57" i="2" l="1"/>
  <c r="L58" i="2" s="1"/>
  <c r="G57" i="2"/>
  <c r="J58" i="2" s="1"/>
  <c r="F64" i="2"/>
  <c r="E64" i="2"/>
  <c r="M57" i="2" l="1"/>
  <c r="N57" i="2" s="1"/>
  <c r="P57" i="2" s="1"/>
  <c r="H58" i="2"/>
  <c r="G58" i="2" s="1"/>
  <c r="J59" i="2" s="1"/>
  <c r="E65" i="2"/>
  <c r="F65" i="2"/>
  <c r="H59" i="2" l="1"/>
  <c r="G59" i="2" s="1"/>
  <c r="J60" i="2" s="1"/>
  <c r="K58" i="2"/>
  <c r="L59" i="2" s="1"/>
  <c r="F66" i="2"/>
  <c r="E66" i="2"/>
  <c r="K59" i="2" l="1"/>
  <c r="H60" i="2"/>
  <c r="G60" i="2" s="1"/>
  <c r="H61" i="2" s="1"/>
  <c r="M58" i="2"/>
  <c r="N58" i="2" s="1"/>
  <c r="P58" i="2" s="1"/>
  <c r="E67" i="2"/>
  <c r="F67" i="2"/>
  <c r="J61" i="2" l="1"/>
  <c r="G61" i="2" s="1"/>
  <c r="H62" i="2" s="1"/>
  <c r="K60" i="2"/>
  <c r="K61" i="2" s="1"/>
  <c r="L60" i="2"/>
  <c r="M59" i="2"/>
  <c r="N59" i="2" s="1"/>
  <c r="P59" i="2" s="1"/>
  <c r="E68" i="2"/>
  <c r="F68" i="2"/>
  <c r="J62" i="2" l="1"/>
  <c r="G62" i="2" s="1"/>
  <c r="K62" i="2"/>
  <c r="M60" i="2"/>
  <c r="N60" i="2" s="1"/>
  <c r="P60" i="2" s="1"/>
  <c r="L61" i="2"/>
  <c r="M61" i="2" s="1"/>
  <c r="N61" i="2" s="1"/>
  <c r="P61" i="2" s="1"/>
  <c r="E69" i="2"/>
  <c r="F69" i="2"/>
  <c r="L62" i="2" l="1"/>
  <c r="H63" i="2"/>
  <c r="J63" i="2"/>
  <c r="F70" i="2"/>
  <c r="E70" i="2"/>
  <c r="L63" i="2" l="1"/>
  <c r="M62" i="2"/>
  <c r="N62" i="2" s="1"/>
  <c r="P62" i="2" s="1"/>
  <c r="G63" i="2"/>
  <c r="K63" i="2"/>
  <c r="F71" i="2"/>
  <c r="E71" i="2"/>
  <c r="M63" i="2" l="1"/>
  <c r="N63" i="2" s="1"/>
  <c r="P63" i="2" s="1"/>
  <c r="L64" i="2"/>
  <c r="J64" i="2"/>
  <c r="H64" i="2"/>
  <c r="K64" i="2" s="1"/>
  <c r="F72" i="2"/>
  <c r="E72" i="2"/>
  <c r="M64" i="2" l="1"/>
  <c r="N64" i="2" s="1"/>
  <c r="P64" i="2" s="1"/>
  <c r="G64" i="2"/>
  <c r="L65" i="2"/>
  <c r="F73" i="2"/>
  <c r="E73" i="2"/>
  <c r="J65" i="2" l="1"/>
  <c r="H65" i="2"/>
  <c r="K65" i="2" s="1"/>
  <c r="E74" i="2"/>
  <c r="F74" i="2"/>
  <c r="G65" i="2" l="1"/>
  <c r="M65" i="2"/>
  <c r="N65" i="2" s="1"/>
  <c r="P65" i="2" s="1"/>
  <c r="L66" i="2"/>
  <c r="F75" i="2"/>
  <c r="E75" i="2"/>
  <c r="H66" i="2" l="1"/>
  <c r="J66" i="2"/>
  <c r="E76" i="2"/>
  <c r="F76" i="2"/>
  <c r="G66" i="2" l="1"/>
  <c r="K66" i="2"/>
  <c r="F77" i="2"/>
  <c r="E77" i="2"/>
  <c r="J67" i="2" l="1"/>
  <c r="H67" i="2"/>
  <c r="M66" i="2"/>
  <c r="N66" i="2" s="1"/>
  <c r="P66" i="2" s="1"/>
  <c r="L67" i="2"/>
  <c r="F78" i="2"/>
  <c r="E78" i="2"/>
  <c r="G67" i="2" l="1"/>
  <c r="J68" i="2" s="1"/>
  <c r="K67" i="2"/>
  <c r="L68" i="2" s="1"/>
  <c r="F79" i="2"/>
  <c r="E79" i="2"/>
  <c r="H68" i="2" l="1"/>
  <c r="K68" i="2" s="1"/>
  <c r="L69" i="2" s="1"/>
  <c r="M67" i="2"/>
  <c r="N67" i="2" s="1"/>
  <c r="P67" i="2" s="1"/>
  <c r="E80" i="2"/>
  <c r="F80" i="2"/>
  <c r="M68" i="2" l="1"/>
  <c r="N68" i="2" s="1"/>
  <c r="P68" i="2" s="1"/>
  <c r="G68" i="2"/>
  <c r="E81" i="2"/>
  <c r="F81" i="2"/>
  <c r="J69" i="2" l="1"/>
  <c r="H69" i="2"/>
  <c r="F82" i="2"/>
  <c r="E82" i="2"/>
  <c r="K69" i="2" l="1"/>
  <c r="G69" i="2"/>
  <c r="F83" i="2"/>
  <c r="E83" i="2"/>
  <c r="M69" i="2" l="1"/>
  <c r="N69" i="2" s="1"/>
  <c r="P69" i="2" s="1"/>
  <c r="L70" i="2"/>
  <c r="J70" i="2"/>
  <c r="H70" i="2"/>
  <c r="K70" i="2" s="1"/>
  <c r="F84" i="2"/>
  <c r="E84" i="2"/>
  <c r="M70" i="2" l="1"/>
  <c r="N70" i="2" s="1"/>
  <c r="P70" i="2" s="1"/>
  <c r="G70" i="2"/>
  <c r="H71" i="2" s="1"/>
  <c r="K71" i="2" s="1"/>
  <c r="L71" i="2"/>
  <c r="F85" i="2"/>
  <c r="E85" i="2"/>
  <c r="J71" i="2" l="1"/>
  <c r="G71" i="2" s="1"/>
  <c r="L72" i="2"/>
  <c r="M71" i="2"/>
  <c r="N71" i="2" s="1"/>
  <c r="P71" i="2" s="1"/>
  <c r="F86" i="2"/>
  <c r="E86" i="2"/>
  <c r="H72" i="2" l="1"/>
  <c r="K72" i="2" s="1"/>
  <c r="M72" i="2" s="1"/>
  <c r="N72" i="2" s="1"/>
  <c r="P72" i="2" s="1"/>
  <c r="J72" i="2"/>
  <c r="E87" i="2"/>
  <c r="F87" i="2"/>
  <c r="L73" i="2" l="1"/>
  <c r="G72" i="2"/>
  <c r="F88" i="2"/>
  <c r="E88" i="2"/>
  <c r="H73" i="2" l="1"/>
  <c r="K73" i="2" s="1"/>
  <c r="J73" i="2"/>
  <c r="E89" i="2"/>
  <c r="F89" i="2"/>
  <c r="G73" i="2" l="1"/>
  <c r="H74" i="2" s="1"/>
  <c r="K74" i="2" s="1"/>
  <c r="M73" i="2"/>
  <c r="N73" i="2" s="1"/>
  <c r="P73" i="2" s="1"/>
  <c r="L74" i="2"/>
  <c r="E90" i="2"/>
  <c r="F90" i="2"/>
  <c r="L75" i="2" l="1"/>
  <c r="J74" i="2"/>
  <c r="G74" i="2" s="1"/>
  <c r="M74" i="2"/>
  <c r="N74" i="2" s="1"/>
  <c r="P74" i="2" s="1"/>
  <c r="F91" i="2"/>
  <c r="E91" i="2"/>
  <c r="J75" i="2" l="1"/>
  <c r="H75" i="2"/>
  <c r="E92" i="2"/>
  <c r="F92" i="2"/>
  <c r="G75" i="2" l="1"/>
  <c r="K75" i="2"/>
  <c r="F93" i="2"/>
  <c r="E93" i="2"/>
  <c r="M75" i="2" l="1"/>
  <c r="N75" i="2" s="1"/>
  <c r="P75" i="2" s="1"/>
  <c r="L76" i="2"/>
  <c r="H76" i="2"/>
  <c r="K76" i="2" s="1"/>
  <c r="J76" i="2"/>
  <c r="F94" i="2"/>
  <c r="E94" i="2"/>
  <c r="G76" i="2" l="1"/>
  <c r="J77" i="2" s="1"/>
  <c r="M76" i="2"/>
  <c r="N76" i="2" s="1"/>
  <c r="P76" i="2" s="1"/>
  <c r="L77" i="2"/>
  <c r="F95" i="2"/>
  <c r="E95" i="2"/>
  <c r="H77" i="2" l="1"/>
  <c r="K77" i="2" s="1"/>
  <c r="L78" i="2" s="1"/>
  <c r="F96" i="2"/>
  <c r="E96" i="2"/>
  <c r="M77" i="2" l="1"/>
  <c r="N77" i="2" s="1"/>
  <c r="P77" i="2" s="1"/>
  <c r="G77" i="2"/>
  <c r="J78" i="2" s="1"/>
  <c r="F97" i="2"/>
  <c r="E97" i="2"/>
  <c r="H78" i="2" l="1"/>
  <c r="K78" i="2" s="1"/>
  <c r="M78" i="2" s="1"/>
  <c r="N78" i="2" s="1"/>
  <c r="P78" i="2" s="1"/>
  <c r="F98" i="2"/>
  <c r="E98" i="2"/>
  <c r="G78" i="2" l="1"/>
  <c r="H79" i="2" s="1"/>
  <c r="K79" i="2" s="1"/>
  <c r="L79" i="2"/>
  <c r="F99" i="2"/>
  <c r="E99" i="2"/>
  <c r="J79" i="2" l="1"/>
  <c r="G79" i="2" s="1"/>
  <c r="J80" i="2" s="1"/>
  <c r="L80" i="2"/>
  <c r="M79" i="2"/>
  <c r="N79" i="2" s="1"/>
  <c r="P79" i="2" s="1"/>
  <c r="E100" i="2"/>
  <c r="F100" i="2"/>
  <c r="H80" i="2" l="1"/>
  <c r="K80" i="2" s="1"/>
  <c r="M80" i="2" s="1"/>
  <c r="N80" i="2" s="1"/>
  <c r="P80" i="2" s="1"/>
  <c r="E101" i="2"/>
  <c r="F101" i="2"/>
  <c r="L81" i="2" l="1"/>
  <c r="G80" i="2"/>
  <c r="H81" i="2" s="1"/>
  <c r="K81" i="2" s="1"/>
  <c r="E102" i="2"/>
  <c r="F102" i="2"/>
  <c r="J81" i="2" l="1"/>
  <c r="G81" i="2" s="1"/>
  <c r="L82" i="2"/>
  <c r="M81" i="2"/>
  <c r="N81" i="2" s="1"/>
  <c r="P81" i="2" s="1"/>
  <c r="E103" i="2"/>
  <c r="F103" i="2"/>
  <c r="J82" i="2" l="1"/>
  <c r="H82" i="2"/>
  <c r="E104" i="2"/>
  <c r="F104" i="2"/>
  <c r="K82" i="2" l="1"/>
  <c r="G82" i="2"/>
  <c r="F105" i="2"/>
  <c r="E105" i="2"/>
  <c r="H83" i="2" l="1"/>
  <c r="K83" i="2" s="1"/>
  <c r="J83" i="2"/>
  <c r="L83" i="2"/>
  <c r="M82" i="2"/>
  <c r="N82" i="2" s="1"/>
  <c r="P82" i="2" s="1"/>
  <c r="E106" i="2"/>
  <c r="F106" i="2"/>
  <c r="G83" i="2" l="1"/>
  <c r="H84" i="2" s="1"/>
  <c r="K84" i="2" s="1"/>
  <c r="M83" i="2"/>
  <c r="N83" i="2" s="1"/>
  <c r="P83" i="2" s="1"/>
  <c r="L84" i="2"/>
  <c r="F107" i="2"/>
  <c r="E107" i="2"/>
  <c r="M84" i="2" l="1"/>
  <c r="N84" i="2" s="1"/>
  <c r="P84" i="2" s="1"/>
  <c r="J84" i="2"/>
  <c r="G84" i="2" s="1"/>
  <c r="L85" i="2"/>
  <c r="E108" i="2"/>
  <c r="F108" i="2"/>
  <c r="J85" i="2" l="1"/>
  <c r="H85" i="2"/>
  <c r="K85" i="2" s="1"/>
  <c r="M85" i="2" s="1"/>
  <c r="N85" i="2" s="1"/>
  <c r="P85" i="2" s="1"/>
  <c r="E109" i="2"/>
  <c r="F109" i="2"/>
  <c r="G85" i="2" l="1"/>
  <c r="L86" i="2"/>
  <c r="E110" i="2"/>
  <c r="F110" i="2"/>
  <c r="H86" i="2" l="1"/>
  <c r="K86" i="2" s="1"/>
  <c r="J86" i="2"/>
  <c r="E111" i="2"/>
  <c r="F111" i="2"/>
  <c r="G86" i="2" l="1"/>
  <c r="H87" i="2" s="1"/>
  <c r="K87" i="2" s="1"/>
  <c r="L87" i="2"/>
  <c r="M86" i="2"/>
  <c r="N86" i="2" s="1"/>
  <c r="P86" i="2" s="1"/>
  <c r="E112" i="2"/>
  <c r="F112" i="2"/>
  <c r="J87" i="2" l="1"/>
  <c r="G87" i="2" s="1"/>
  <c r="J88" i="2" s="1"/>
  <c r="M87" i="2"/>
  <c r="N87" i="2" s="1"/>
  <c r="P87" i="2" s="1"/>
  <c r="L88" i="2"/>
  <c r="F113" i="2"/>
  <c r="E113" i="2"/>
  <c r="H88" i="2" l="1"/>
  <c r="G88" i="2" s="1"/>
  <c r="J89" i="2" s="1"/>
  <c r="E114" i="2"/>
  <c r="F114" i="2"/>
  <c r="K88" i="2" l="1"/>
  <c r="L89" i="2" s="1"/>
  <c r="H89" i="2"/>
  <c r="G89" i="2" s="1"/>
  <c r="F115" i="2"/>
  <c r="E115" i="2"/>
  <c r="M88" i="2" l="1"/>
  <c r="N88" i="2" s="1"/>
  <c r="P88" i="2" s="1"/>
  <c r="K89" i="2"/>
  <c r="L90" i="2" s="1"/>
  <c r="J90" i="2"/>
  <c r="H90" i="2"/>
  <c r="F116" i="2"/>
  <c r="E116" i="2"/>
  <c r="G90" i="2" l="1"/>
  <c r="J91" i="2" s="1"/>
  <c r="M89" i="2"/>
  <c r="N89" i="2" s="1"/>
  <c r="P89" i="2" s="1"/>
  <c r="K90" i="2"/>
  <c r="L91" i="2" s="1"/>
  <c r="F117" i="2"/>
  <c r="E117" i="2"/>
  <c r="H91" i="2" l="1"/>
  <c r="K91" i="2" s="1"/>
  <c r="M90" i="2"/>
  <c r="N90" i="2" s="1"/>
  <c r="P90" i="2" s="1"/>
  <c r="E118" i="2"/>
  <c r="F118" i="2"/>
  <c r="G91" i="2" l="1"/>
  <c r="M91" i="2"/>
  <c r="N91" i="2" s="1"/>
  <c r="P91" i="2" s="1"/>
  <c r="L92" i="2"/>
  <c r="E119" i="2"/>
  <c r="F119" i="2"/>
  <c r="H92" i="2" l="1"/>
  <c r="K92" i="2" s="1"/>
  <c r="J92" i="2"/>
  <c r="F120" i="2"/>
  <c r="E120" i="2"/>
  <c r="M92" i="2" l="1"/>
  <c r="N92" i="2" s="1"/>
  <c r="P92" i="2" s="1"/>
  <c r="L93" i="2"/>
  <c r="G92" i="2"/>
  <c r="E121" i="2"/>
  <c r="F121" i="2"/>
  <c r="H93" i="2" l="1"/>
  <c r="K93" i="2" s="1"/>
  <c r="J93" i="2"/>
  <c r="F122" i="2"/>
  <c r="E122" i="2"/>
  <c r="G93" i="2" l="1"/>
  <c r="J94" i="2" s="1"/>
  <c r="M93" i="2"/>
  <c r="N93" i="2" s="1"/>
  <c r="P93" i="2" s="1"/>
  <c r="L94" i="2"/>
  <c r="E123" i="2"/>
  <c r="F123" i="2"/>
  <c r="H94" i="2" l="1"/>
  <c r="F124" i="2"/>
  <c r="E124" i="2"/>
  <c r="G94" i="2" l="1"/>
  <c r="K94" i="2"/>
  <c r="F125" i="2"/>
  <c r="E125" i="2"/>
  <c r="L95" i="2" l="1"/>
  <c r="M94" i="2"/>
  <c r="N94" i="2" s="1"/>
  <c r="P94" i="2" s="1"/>
  <c r="H95" i="2"/>
  <c r="K95" i="2" s="1"/>
  <c r="J95" i="2"/>
  <c r="E126" i="2"/>
  <c r="F126" i="2"/>
  <c r="G95" i="2" l="1"/>
  <c r="H96" i="2" s="1"/>
  <c r="K96" i="2" s="1"/>
  <c r="L96" i="2"/>
  <c r="M95" i="2"/>
  <c r="N95" i="2" s="1"/>
  <c r="P95" i="2" s="1"/>
  <c r="E127" i="2"/>
  <c r="F127" i="2"/>
  <c r="J96" i="2" l="1"/>
  <c r="G96" i="2" s="1"/>
  <c r="L97" i="2"/>
  <c r="M96" i="2"/>
  <c r="N96" i="2" s="1"/>
  <c r="P96" i="2" s="1"/>
  <c r="E128" i="2"/>
  <c r="F128" i="2"/>
  <c r="H97" i="2" l="1"/>
  <c r="K97" i="2" s="1"/>
  <c r="J97" i="2"/>
  <c r="E129" i="2"/>
  <c r="F129" i="2"/>
  <c r="M97" i="2" l="1"/>
  <c r="N97" i="2" s="1"/>
  <c r="P97" i="2" s="1"/>
  <c r="L98" i="2"/>
  <c r="G97" i="2"/>
  <c r="F130" i="2"/>
  <c r="E130" i="2"/>
  <c r="J98" i="2" l="1"/>
  <c r="H98" i="2"/>
  <c r="E131" i="2"/>
  <c r="F131" i="2"/>
  <c r="G98" i="2" l="1"/>
  <c r="K98" i="2"/>
  <c r="F132" i="2"/>
  <c r="E132" i="2"/>
  <c r="J99" i="2" l="1"/>
  <c r="H99" i="2"/>
  <c r="K99" i="2" s="1"/>
  <c r="M98" i="2"/>
  <c r="N98" i="2" s="1"/>
  <c r="P98" i="2" s="1"/>
  <c r="L99" i="2"/>
  <c r="F133" i="2"/>
  <c r="E133" i="2"/>
  <c r="M99" i="2" l="1"/>
  <c r="N99" i="2" s="1"/>
  <c r="P99" i="2" s="1"/>
  <c r="L100" i="2"/>
  <c r="G99" i="2"/>
  <c r="F134" i="2"/>
  <c r="E134" i="2"/>
  <c r="J100" i="2" l="1"/>
  <c r="H100" i="2"/>
  <c r="K100" i="2" s="1"/>
  <c r="L101" i="2" s="1"/>
  <c r="E135" i="2"/>
  <c r="F135" i="2"/>
  <c r="G100" i="2" l="1"/>
  <c r="H101" i="2" s="1"/>
  <c r="K101" i="2" s="1"/>
  <c r="M100" i="2"/>
  <c r="N100" i="2" s="1"/>
  <c r="P100" i="2" s="1"/>
  <c r="F136" i="2"/>
  <c r="E136" i="2"/>
  <c r="J101" i="2" l="1"/>
  <c r="G101" i="2" s="1"/>
  <c r="L102" i="2"/>
  <c r="M101" i="2"/>
  <c r="N101" i="2" s="1"/>
  <c r="P101" i="2" s="1"/>
  <c r="F137" i="2"/>
  <c r="E137" i="2"/>
  <c r="H102" i="2" l="1"/>
  <c r="K102" i="2" s="1"/>
  <c r="M102" i="2" s="1"/>
  <c r="N102" i="2" s="1"/>
  <c r="P102" i="2" s="1"/>
  <c r="J102" i="2"/>
  <c r="F138" i="2"/>
  <c r="E138" i="2"/>
  <c r="G102" i="2" l="1"/>
  <c r="J103" i="2" s="1"/>
  <c r="L103" i="2"/>
  <c r="F139" i="2"/>
  <c r="E139" i="2"/>
  <c r="H103" i="2" l="1"/>
  <c r="K103" i="2" s="1"/>
  <c r="L104" i="2" s="1"/>
  <c r="F140" i="2"/>
  <c r="E140" i="2"/>
  <c r="M103" i="2" l="1"/>
  <c r="N103" i="2" s="1"/>
  <c r="P103" i="2" s="1"/>
  <c r="G103" i="2"/>
  <c r="F141" i="2"/>
  <c r="E141" i="2"/>
  <c r="H104" i="2" l="1"/>
  <c r="K104" i="2" s="1"/>
  <c r="J104" i="2"/>
  <c r="F142" i="2"/>
  <c r="E142" i="2"/>
  <c r="G104" i="2" l="1"/>
  <c r="H105" i="2" s="1"/>
  <c r="K105" i="2" s="1"/>
  <c r="M104" i="2"/>
  <c r="N104" i="2" s="1"/>
  <c r="P104" i="2" s="1"/>
  <c r="L105" i="2"/>
  <c r="E143" i="2"/>
  <c r="F143" i="2"/>
  <c r="M105" i="2" l="1"/>
  <c r="N105" i="2" s="1"/>
  <c r="P105" i="2" s="1"/>
  <c r="J105" i="2"/>
  <c r="G105" i="2" s="1"/>
  <c r="L106" i="2"/>
  <c r="F144" i="2"/>
  <c r="E144" i="2"/>
  <c r="H106" i="2" l="1"/>
  <c r="K106" i="2" s="1"/>
  <c r="M106" i="2" s="1"/>
  <c r="N106" i="2" s="1"/>
  <c r="P106" i="2" s="1"/>
  <c r="J106" i="2"/>
  <c r="F145" i="2"/>
  <c r="E145" i="2"/>
  <c r="G106" i="2" l="1"/>
  <c r="H107" i="2" s="1"/>
  <c r="K107" i="2" s="1"/>
  <c r="L107" i="2"/>
  <c r="E146" i="2"/>
  <c r="F146" i="2"/>
  <c r="M107" i="2" l="1"/>
  <c r="N107" i="2" s="1"/>
  <c r="P107" i="2" s="1"/>
  <c r="J107" i="2"/>
  <c r="G107" i="2" s="1"/>
  <c r="L108" i="2"/>
  <c r="F147" i="2"/>
  <c r="E147" i="2"/>
  <c r="J108" i="2" l="1"/>
  <c r="H108" i="2"/>
  <c r="K108" i="2" s="1"/>
  <c r="M108" i="2" s="1"/>
  <c r="N108" i="2" s="1"/>
  <c r="P108" i="2" s="1"/>
  <c r="F148" i="2"/>
  <c r="E148" i="2"/>
  <c r="G108" i="2" l="1"/>
  <c r="L109" i="2"/>
  <c r="F149" i="2"/>
  <c r="E149" i="2"/>
  <c r="J109" i="2" l="1"/>
  <c r="H109" i="2"/>
  <c r="K109" i="2" s="1"/>
  <c r="M109" i="2" s="1"/>
  <c r="N109" i="2" s="1"/>
  <c r="P109" i="2" s="1"/>
  <c r="E150" i="2"/>
  <c r="F150" i="2"/>
  <c r="L110" i="2" l="1"/>
  <c r="G109" i="2"/>
  <c r="E151" i="2"/>
  <c r="F151" i="2"/>
  <c r="H110" i="2" l="1"/>
  <c r="K110" i="2" s="1"/>
  <c r="M110" i="2" s="1"/>
  <c r="N110" i="2" s="1"/>
  <c r="P110" i="2" s="1"/>
  <c r="J110" i="2"/>
  <c r="F152" i="2"/>
  <c r="E152" i="2"/>
  <c r="L111" i="2" l="1"/>
  <c r="G110" i="2"/>
  <c r="E153" i="2"/>
  <c r="F153" i="2"/>
  <c r="J111" i="2" l="1"/>
  <c r="H111" i="2"/>
  <c r="K111" i="2" s="1"/>
  <c r="M111" i="2" s="1"/>
  <c r="N111" i="2" s="1"/>
  <c r="P111" i="2" s="1"/>
  <c r="F154" i="2"/>
  <c r="E154" i="2"/>
  <c r="G111" i="2" l="1"/>
  <c r="L112" i="2"/>
  <c r="F155" i="2"/>
  <c r="E155" i="2"/>
  <c r="J112" i="2" l="1"/>
  <c r="H112" i="2"/>
  <c r="K112" i="2" s="1"/>
  <c r="M112" i="2" s="1"/>
  <c r="N112" i="2" s="1"/>
  <c r="P112" i="2" s="1"/>
  <c r="E156" i="2"/>
  <c r="F156" i="2"/>
  <c r="G112" i="2" l="1"/>
  <c r="L113" i="2"/>
  <c r="E157" i="2"/>
  <c r="F157" i="2"/>
  <c r="H113" i="2" l="1"/>
  <c r="K113" i="2" s="1"/>
  <c r="M113" i="2" s="1"/>
  <c r="N113" i="2" s="1"/>
  <c r="P113" i="2" s="1"/>
  <c r="J113" i="2"/>
  <c r="E158" i="2"/>
  <c r="F158" i="2"/>
  <c r="G113" i="2" l="1"/>
  <c r="J114" i="2" s="1"/>
  <c r="L114" i="2"/>
  <c r="E159" i="2"/>
  <c r="F159" i="2"/>
  <c r="H114" i="2" l="1"/>
  <c r="K114" i="2" s="1"/>
  <c r="M114" i="2" s="1"/>
  <c r="N114" i="2" s="1"/>
  <c r="P114" i="2" s="1"/>
  <c r="E160" i="2"/>
  <c r="F160" i="2"/>
  <c r="G114" i="2" l="1"/>
  <c r="J115" i="2" s="1"/>
  <c r="L115" i="2"/>
  <c r="F161" i="2"/>
  <c r="E161" i="2"/>
  <c r="H115" i="2" l="1"/>
  <c r="K115" i="2" s="1"/>
  <c r="M115" i="2" s="1"/>
  <c r="N115" i="2" s="1"/>
  <c r="P115" i="2" s="1"/>
  <c r="F162" i="2"/>
  <c r="E162" i="2"/>
  <c r="G115" i="2" l="1"/>
  <c r="J116" i="2" s="1"/>
  <c r="L116" i="2"/>
  <c r="E163" i="2"/>
  <c r="F163" i="2"/>
  <c r="H116" i="2" l="1"/>
  <c r="K116" i="2" s="1"/>
  <c r="M116" i="2" s="1"/>
  <c r="N116" i="2" s="1"/>
  <c r="P116" i="2" s="1"/>
  <c r="E164" i="2"/>
  <c r="F164" i="2"/>
  <c r="G116" i="2" l="1"/>
  <c r="H117" i="2" s="1"/>
  <c r="K117" i="2" s="1"/>
  <c r="L117" i="2"/>
  <c r="E165" i="2"/>
  <c r="F165" i="2"/>
  <c r="J117" i="2" l="1"/>
  <c r="G117" i="2" s="1"/>
  <c r="J118" i="2" s="1"/>
  <c r="M117" i="2"/>
  <c r="N117" i="2" s="1"/>
  <c r="P117" i="2" s="1"/>
  <c r="L118" i="2"/>
  <c r="E166" i="2"/>
  <c r="F166" i="2"/>
  <c r="H118" i="2" l="1"/>
  <c r="G118" i="2" s="1"/>
  <c r="H119" i="2" s="1"/>
  <c r="E167" i="2"/>
  <c r="F167" i="2"/>
  <c r="J119" i="2" l="1"/>
  <c r="G119" i="2" s="1"/>
  <c r="J120" i="2" s="1"/>
  <c r="K118" i="2"/>
  <c r="L119" i="2" s="1"/>
  <c r="E168" i="2"/>
  <c r="F168" i="2"/>
  <c r="M118" i="2" l="1"/>
  <c r="N118" i="2" s="1"/>
  <c r="P118" i="2" s="1"/>
  <c r="K119" i="2"/>
  <c r="M119" i="2" s="1"/>
  <c r="N119" i="2" s="1"/>
  <c r="P119" i="2" s="1"/>
  <c r="H120" i="2"/>
  <c r="F169" i="2"/>
  <c r="E169" i="2"/>
  <c r="L120" i="2" l="1"/>
  <c r="K120" i="2"/>
  <c r="G120" i="2"/>
  <c r="J121" i="2" s="1"/>
  <c r="F170" i="2"/>
  <c r="E170" i="2"/>
  <c r="M120" i="2" l="1"/>
  <c r="N120" i="2" s="1"/>
  <c r="P120" i="2" s="1"/>
  <c r="L121" i="2"/>
  <c r="H121" i="2"/>
  <c r="G121" i="2" s="1"/>
  <c r="H122" i="2" s="1"/>
  <c r="F171" i="2"/>
  <c r="E171" i="2"/>
  <c r="K121" i="2" l="1"/>
  <c r="M121" i="2" s="1"/>
  <c r="N121" i="2" s="1"/>
  <c r="P121" i="2" s="1"/>
  <c r="J122" i="2"/>
  <c r="G122" i="2" s="1"/>
  <c r="H123" i="2" s="1"/>
  <c r="E172" i="2"/>
  <c r="F172" i="2"/>
  <c r="J123" i="2" l="1"/>
  <c r="G123" i="2" s="1"/>
  <c r="J124" i="2" s="1"/>
  <c r="L122" i="2"/>
  <c r="K122" i="2"/>
  <c r="K123" i="2" s="1"/>
  <c r="E173" i="2"/>
  <c r="F173" i="2"/>
  <c r="H124" i="2" l="1"/>
  <c r="K124" i="2" s="1"/>
  <c r="M122" i="2"/>
  <c r="N122" i="2" s="1"/>
  <c r="P122" i="2" s="1"/>
  <c r="L123" i="2"/>
  <c r="L124" i="2" s="1"/>
  <c r="F174" i="2"/>
  <c r="E174" i="2"/>
  <c r="M123" i="2" l="1"/>
  <c r="N123" i="2" s="1"/>
  <c r="P123" i="2" s="1"/>
  <c r="L125" i="2"/>
  <c r="G124" i="2"/>
  <c r="H125" i="2" s="1"/>
  <c r="M124" i="2"/>
  <c r="N124" i="2" s="1"/>
  <c r="P124" i="2" s="1"/>
  <c r="E175" i="2"/>
  <c r="F175" i="2"/>
  <c r="J125" i="2" l="1"/>
  <c r="G125" i="2" s="1"/>
  <c r="K125" i="2"/>
  <c r="F176" i="2"/>
  <c r="E176" i="2"/>
  <c r="J126" i="2" l="1"/>
  <c r="H126" i="2"/>
  <c r="K126" i="2" s="1"/>
  <c r="M125" i="2"/>
  <c r="N125" i="2" s="1"/>
  <c r="P125" i="2" s="1"/>
  <c r="L126" i="2"/>
  <c r="F177" i="2"/>
  <c r="E177" i="2"/>
  <c r="L127" i="2" l="1"/>
  <c r="G126" i="2"/>
  <c r="H127" i="2" s="1"/>
  <c r="K127" i="2" s="1"/>
  <c r="M126" i="2"/>
  <c r="N126" i="2" s="1"/>
  <c r="P126" i="2" s="1"/>
  <c r="F178" i="2"/>
  <c r="E178" i="2"/>
  <c r="J127" i="2" l="1"/>
  <c r="G127" i="2" s="1"/>
  <c r="M127" i="2"/>
  <c r="N127" i="2" s="1"/>
  <c r="P127" i="2" s="1"/>
  <c r="L128" i="2"/>
  <c r="E179" i="2"/>
  <c r="F179" i="2"/>
  <c r="H128" i="2" l="1"/>
  <c r="K128" i="2" s="1"/>
  <c r="J128" i="2"/>
  <c r="E180" i="2"/>
  <c r="F180" i="2"/>
  <c r="M128" i="2" l="1"/>
  <c r="N128" i="2" s="1"/>
  <c r="P128" i="2" s="1"/>
  <c r="L129" i="2"/>
  <c r="G128" i="2"/>
  <c r="E181" i="2"/>
  <c r="F181" i="2"/>
  <c r="J129" i="2" l="1"/>
  <c r="H129" i="2"/>
  <c r="K129" i="2" s="1"/>
  <c r="M129" i="2" s="1"/>
  <c r="N129" i="2" s="1"/>
  <c r="P129" i="2" s="1"/>
  <c r="F182" i="2"/>
  <c r="E182" i="2"/>
  <c r="G129" i="2" l="1"/>
  <c r="H130" i="2" s="1"/>
  <c r="K130" i="2" s="1"/>
  <c r="L130" i="2"/>
  <c r="E183" i="2"/>
  <c r="F183" i="2"/>
  <c r="J130" i="2" l="1"/>
  <c r="G130" i="2" s="1"/>
  <c r="M130" i="2"/>
  <c r="N130" i="2" s="1"/>
  <c r="P130" i="2" s="1"/>
  <c r="L131" i="2"/>
  <c r="E184" i="2"/>
  <c r="F184" i="2"/>
  <c r="H131" i="2" l="1"/>
  <c r="K131" i="2" s="1"/>
  <c r="M131" i="2" s="1"/>
  <c r="N131" i="2" s="1"/>
  <c r="P131" i="2" s="1"/>
  <c r="J131" i="2"/>
  <c r="E185" i="2"/>
  <c r="F185" i="2"/>
  <c r="G131" i="2" l="1"/>
  <c r="J132" i="2" s="1"/>
  <c r="L132" i="2"/>
  <c r="F186" i="2"/>
  <c r="E186" i="2"/>
  <c r="H132" i="2" l="1"/>
  <c r="K132" i="2" s="1"/>
  <c r="M132" i="2" s="1"/>
  <c r="N132" i="2" s="1"/>
  <c r="P132" i="2" s="1"/>
  <c r="E187" i="2"/>
  <c r="F187" i="2"/>
  <c r="G132" i="2" l="1"/>
  <c r="H133" i="2" s="1"/>
  <c r="K133" i="2" s="1"/>
  <c r="L133" i="2"/>
  <c r="E188" i="2"/>
  <c r="F188" i="2"/>
  <c r="M133" i="2" l="1"/>
  <c r="N133" i="2" s="1"/>
  <c r="P133" i="2" s="1"/>
  <c r="J133" i="2"/>
  <c r="G133" i="2" s="1"/>
  <c r="L134" i="2"/>
  <c r="F189" i="2"/>
  <c r="E189" i="2"/>
  <c r="J134" i="2" l="1"/>
  <c r="H134" i="2"/>
  <c r="K134" i="2" s="1"/>
  <c r="F190" i="2"/>
  <c r="E190" i="2"/>
  <c r="G134" i="2" l="1"/>
  <c r="J135" i="2" s="1"/>
  <c r="M134" i="2"/>
  <c r="N134" i="2" s="1"/>
  <c r="P134" i="2" s="1"/>
  <c r="L135" i="2"/>
  <c r="E191" i="2"/>
  <c r="F191" i="2"/>
  <c r="H135" i="2" l="1"/>
  <c r="K135" i="2" s="1"/>
  <c r="L136" i="2" s="1"/>
  <c r="F192" i="2"/>
  <c r="E192" i="2"/>
  <c r="M135" i="2" l="1"/>
  <c r="N135" i="2" s="1"/>
  <c r="P135" i="2" s="1"/>
  <c r="G135" i="2"/>
  <c r="H136" i="2" s="1"/>
  <c r="K136" i="2" s="1"/>
  <c r="M136" i="2" s="1"/>
  <c r="N136" i="2" s="1"/>
  <c r="P136" i="2" s="1"/>
  <c r="E193" i="2"/>
  <c r="F193" i="2"/>
  <c r="J136" i="2" l="1"/>
  <c r="G136" i="2" s="1"/>
  <c r="J137" i="2" s="1"/>
  <c r="L137" i="2"/>
  <c r="E194" i="2"/>
  <c r="F194" i="2"/>
  <c r="H137" i="2" l="1"/>
  <c r="K137" i="2" s="1"/>
  <c r="L138" i="2" s="1"/>
  <c r="E195" i="2"/>
  <c r="F195" i="2"/>
  <c r="G137" i="2" l="1"/>
  <c r="H138" i="2" s="1"/>
  <c r="K138" i="2" s="1"/>
  <c r="M138" i="2" s="1"/>
  <c r="N138" i="2" s="1"/>
  <c r="P138" i="2" s="1"/>
  <c r="M137" i="2"/>
  <c r="N137" i="2" s="1"/>
  <c r="P137" i="2" s="1"/>
  <c r="E196" i="2"/>
  <c r="F196" i="2"/>
  <c r="L139" i="2" l="1"/>
  <c r="J138" i="2"/>
  <c r="G138" i="2" s="1"/>
  <c r="H139" i="2" s="1"/>
  <c r="K139" i="2" s="1"/>
  <c r="E197" i="2"/>
  <c r="F197" i="2"/>
  <c r="M139" i="2" l="1"/>
  <c r="N139" i="2" s="1"/>
  <c r="P139" i="2" s="1"/>
  <c r="L140" i="2"/>
  <c r="J139" i="2"/>
  <c r="G139" i="2" s="1"/>
  <c r="J140" i="2" s="1"/>
  <c r="E198" i="2"/>
  <c r="F198" i="2"/>
  <c r="H140" i="2" l="1"/>
  <c r="K140" i="2" s="1"/>
  <c r="M140" i="2" s="1"/>
  <c r="N140" i="2" s="1"/>
  <c r="P140" i="2" s="1"/>
  <c r="E199" i="2"/>
  <c r="F199" i="2"/>
  <c r="G140" i="2" l="1"/>
  <c r="H141" i="2" s="1"/>
  <c r="K141" i="2" s="1"/>
  <c r="L141" i="2"/>
  <c r="E200" i="2"/>
  <c r="F200" i="2"/>
  <c r="J141" i="2" l="1"/>
  <c r="G141" i="2" s="1"/>
  <c r="M141" i="2"/>
  <c r="N141" i="2" s="1"/>
  <c r="P141" i="2" s="1"/>
  <c r="L142" i="2"/>
  <c r="E201" i="2"/>
  <c r="F201" i="2"/>
  <c r="H142" i="2" l="1"/>
  <c r="K142" i="2" s="1"/>
  <c r="M142" i="2" s="1"/>
  <c r="N142" i="2" s="1"/>
  <c r="P142" i="2" s="1"/>
  <c r="J142" i="2"/>
  <c r="E202" i="2"/>
  <c r="F202" i="2"/>
  <c r="G142" i="2" l="1"/>
  <c r="J143" i="2" s="1"/>
  <c r="L143" i="2"/>
  <c r="E203" i="2"/>
  <c r="F203" i="2"/>
  <c r="H143" i="2" l="1"/>
  <c r="K143" i="2" s="1"/>
  <c r="L144" i="2" s="1"/>
  <c r="E204" i="2"/>
  <c r="F204" i="2"/>
  <c r="M143" i="2" l="1"/>
  <c r="N143" i="2" s="1"/>
  <c r="P143" i="2" s="1"/>
  <c r="G143" i="2"/>
  <c r="H144" i="2" s="1"/>
  <c r="K144" i="2" s="1"/>
  <c r="M144" i="2" s="1"/>
  <c r="N144" i="2" s="1"/>
  <c r="P144" i="2" s="1"/>
  <c r="F205" i="2"/>
  <c r="E205" i="2"/>
  <c r="J144" i="2" l="1"/>
  <c r="G144" i="2" s="1"/>
  <c r="H145" i="2" s="1"/>
  <c r="K145" i="2" s="1"/>
  <c r="L145" i="2"/>
  <c r="E206" i="2"/>
  <c r="F206" i="2"/>
  <c r="J145" i="2" l="1"/>
  <c r="G145" i="2" s="1"/>
  <c r="M145" i="2"/>
  <c r="N145" i="2" s="1"/>
  <c r="P145" i="2" s="1"/>
  <c r="L146" i="2"/>
  <c r="E207" i="2"/>
  <c r="F207" i="2"/>
  <c r="J146" i="2" l="1"/>
  <c r="H146" i="2"/>
  <c r="F208" i="2"/>
  <c r="E208" i="2"/>
  <c r="G146" i="2" l="1"/>
  <c r="K146" i="2"/>
  <c r="E209" i="2"/>
  <c r="F209" i="2"/>
  <c r="M146" i="2" l="1"/>
  <c r="N146" i="2" s="1"/>
  <c r="P146" i="2" s="1"/>
  <c r="L147" i="2"/>
  <c r="J147" i="2"/>
  <c r="H147" i="2"/>
  <c r="K147" i="2" s="1"/>
  <c r="E210" i="2"/>
  <c r="F210" i="2"/>
  <c r="M147" i="2" l="1"/>
  <c r="N147" i="2" s="1"/>
  <c r="P147" i="2" s="1"/>
  <c r="G147" i="2"/>
  <c r="J148" i="2" s="1"/>
  <c r="L148" i="2"/>
  <c r="F211" i="2"/>
  <c r="E211" i="2"/>
  <c r="H148" i="2" l="1"/>
  <c r="K148" i="2" s="1"/>
  <c r="L149" i="2" s="1"/>
  <c r="F212" i="2"/>
  <c r="E212" i="2"/>
  <c r="G148" i="2" l="1"/>
  <c r="J149" i="2" s="1"/>
  <c r="M148" i="2"/>
  <c r="N148" i="2" s="1"/>
  <c r="P148" i="2" s="1"/>
  <c r="F213" i="2"/>
  <c r="E213" i="2"/>
  <c r="H149" i="2" l="1"/>
  <c r="K149" i="2" s="1"/>
  <c r="M149" i="2" s="1"/>
  <c r="N149" i="2" s="1"/>
  <c r="P149" i="2" s="1"/>
  <c r="F214" i="2"/>
  <c r="E214" i="2"/>
  <c r="G149" i="2" l="1"/>
  <c r="J150" i="2" s="1"/>
  <c r="L150" i="2"/>
  <c r="F215" i="2"/>
  <c r="E215" i="2"/>
  <c r="H150" i="2" l="1"/>
  <c r="K150" i="2" s="1"/>
  <c r="M150" i="2" s="1"/>
  <c r="N150" i="2" s="1"/>
  <c r="P150" i="2" s="1"/>
  <c r="E216" i="2"/>
  <c r="F216" i="2"/>
  <c r="L151" i="2" l="1"/>
  <c r="G150" i="2"/>
  <c r="J151" i="2" s="1"/>
  <c r="E217" i="2"/>
  <c r="F217" i="2"/>
  <c r="H151" i="2" l="1"/>
  <c r="K151" i="2" s="1"/>
  <c r="L152" i="2" s="1"/>
  <c r="F218" i="2"/>
  <c r="E218" i="2"/>
  <c r="M151" i="2" l="1"/>
  <c r="N151" i="2" s="1"/>
  <c r="P151" i="2" s="1"/>
  <c r="G151" i="2"/>
  <c r="J152" i="2" s="1"/>
  <c r="E219" i="2"/>
  <c r="F219" i="2"/>
  <c r="H152" i="2" l="1"/>
  <c r="K152" i="2" s="1"/>
  <c r="L153" i="2" s="1"/>
  <c r="F220" i="2"/>
  <c r="E220" i="2"/>
  <c r="G152" i="2" l="1"/>
  <c r="J153" i="2" s="1"/>
  <c r="M152" i="2"/>
  <c r="N152" i="2" s="1"/>
  <c r="P152" i="2" s="1"/>
  <c r="E221" i="2"/>
  <c r="F221" i="2"/>
  <c r="H153" i="2" l="1"/>
  <c r="G153" i="2" s="1"/>
  <c r="J154" i="2" s="1"/>
  <c r="E222" i="2"/>
  <c r="F222" i="2"/>
  <c r="K153" i="2" l="1"/>
  <c r="M153" i="2" s="1"/>
  <c r="N153" i="2" s="1"/>
  <c r="P153" i="2" s="1"/>
  <c r="H154" i="2"/>
  <c r="G154" i="2" s="1"/>
  <c r="J155" i="2" s="1"/>
  <c r="F223" i="2"/>
  <c r="E223" i="2"/>
  <c r="H155" i="2" l="1"/>
  <c r="G155" i="2" s="1"/>
  <c r="K154" i="2"/>
  <c r="L154" i="2"/>
  <c r="F224" i="2"/>
  <c r="E224" i="2"/>
  <c r="L155" i="2" l="1"/>
  <c r="M154" i="2"/>
  <c r="N154" i="2" s="1"/>
  <c r="P154" i="2" s="1"/>
  <c r="K155" i="2"/>
  <c r="J156" i="2"/>
  <c r="H156" i="2"/>
  <c r="F225" i="2"/>
  <c r="E225" i="2"/>
  <c r="L156" i="2" l="1"/>
  <c r="M155" i="2"/>
  <c r="N155" i="2" s="1"/>
  <c r="P155" i="2" s="1"/>
  <c r="K156" i="2"/>
  <c r="G156" i="2"/>
  <c r="F226" i="2"/>
  <c r="E226" i="2"/>
  <c r="M156" i="2" l="1"/>
  <c r="N156" i="2" s="1"/>
  <c r="P156" i="2" s="1"/>
  <c r="L157" i="2"/>
  <c r="J157" i="2"/>
  <c r="H157" i="2"/>
  <c r="K157" i="2" s="1"/>
  <c r="E227" i="2"/>
  <c r="F227" i="2"/>
  <c r="M157" i="2" l="1"/>
  <c r="N157" i="2" s="1"/>
  <c r="P157" i="2" s="1"/>
  <c r="G157" i="2"/>
  <c r="L158" i="2"/>
  <c r="F228" i="2"/>
  <c r="E228" i="2"/>
  <c r="J158" i="2" l="1"/>
  <c r="H158" i="2"/>
  <c r="K158" i="2" s="1"/>
  <c r="F229" i="2"/>
  <c r="E229" i="2"/>
  <c r="M158" i="2" l="1"/>
  <c r="N158" i="2" s="1"/>
  <c r="P158" i="2" s="1"/>
  <c r="L159" i="2"/>
  <c r="G158" i="2"/>
  <c r="F230" i="2"/>
  <c r="E230" i="2"/>
  <c r="J159" i="2" l="1"/>
  <c r="H159" i="2"/>
  <c r="K159" i="2" s="1"/>
  <c r="F231" i="2"/>
  <c r="E231" i="2"/>
  <c r="L160" i="2" l="1"/>
  <c r="M159" i="2"/>
  <c r="N159" i="2" s="1"/>
  <c r="P159" i="2" s="1"/>
  <c r="G159" i="2"/>
  <c r="E232" i="2"/>
  <c r="F232" i="2"/>
  <c r="J160" i="2" l="1"/>
  <c r="H160" i="2"/>
  <c r="K160" i="2" s="1"/>
  <c r="E233" i="2"/>
  <c r="F233" i="2"/>
  <c r="M160" i="2" l="1"/>
  <c r="N160" i="2" s="1"/>
  <c r="P160" i="2" s="1"/>
  <c r="L161" i="2"/>
  <c r="G160" i="2"/>
  <c r="F234" i="2"/>
  <c r="E234" i="2"/>
  <c r="J161" i="2" l="1"/>
  <c r="H161" i="2"/>
  <c r="K161" i="2" s="1"/>
  <c r="F235" i="2"/>
  <c r="E235" i="2"/>
  <c r="G161" i="2" l="1"/>
  <c r="M161" i="2"/>
  <c r="N161" i="2" s="1"/>
  <c r="P161" i="2" s="1"/>
  <c r="L162" i="2"/>
  <c r="E236" i="2"/>
  <c r="F236" i="2"/>
  <c r="H162" i="2" l="1"/>
  <c r="K162" i="2" s="1"/>
  <c r="M162" i="2" s="1"/>
  <c r="N162" i="2" s="1"/>
  <c r="P162" i="2" s="1"/>
  <c r="J162" i="2"/>
  <c r="E237" i="2"/>
  <c r="F237" i="2"/>
  <c r="G162" i="2" l="1"/>
  <c r="J163" i="2" s="1"/>
  <c r="L163" i="2"/>
  <c r="E238" i="2"/>
  <c r="F238" i="2"/>
  <c r="H163" i="2" l="1"/>
  <c r="K163" i="2" s="1"/>
  <c r="M163" i="2" s="1"/>
  <c r="N163" i="2" s="1"/>
  <c r="P163" i="2" s="1"/>
  <c r="E239" i="2"/>
  <c r="F239" i="2"/>
  <c r="G163" i="2" l="1"/>
  <c r="J164" i="2" s="1"/>
  <c r="L164" i="2"/>
  <c r="F240" i="2"/>
  <c r="E240" i="2"/>
  <c r="H164" i="2" l="1"/>
  <c r="K164" i="2" s="1"/>
  <c r="M164" i="2" s="1"/>
  <c r="N164" i="2" s="1"/>
  <c r="P164" i="2" s="1"/>
  <c r="F241" i="2"/>
  <c r="E241" i="2"/>
  <c r="L165" i="2" l="1"/>
  <c r="G164" i="2"/>
  <c r="J165" i="2" s="1"/>
  <c r="E242" i="2"/>
  <c r="F242" i="2"/>
  <c r="H165" i="2" l="1"/>
  <c r="K165" i="2" s="1"/>
  <c r="M165" i="2" s="1"/>
  <c r="N165" i="2" s="1"/>
  <c r="P165" i="2" s="1"/>
  <c r="F243" i="2"/>
  <c r="E243" i="2"/>
  <c r="G165" i="2" l="1"/>
  <c r="J166" i="2" s="1"/>
  <c r="L166" i="2"/>
  <c r="F244" i="2"/>
  <c r="E244" i="2"/>
  <c r="H166" i="2" l="1"/>
  <c r="K166" i="2" s="1"/>
  <c r="F245" i="2"/>
  <c r="E245" i="2"/>
  <c r="G166" i="2" l="1"/>
  <c r="M166" i="2"/>
  <c r="N166" i="2" s="1"/>
  <c r="P166" i="2" s="1"/>
  <c r="L167" i="2"/>
  <c r="F246" i="2"/>
  <c r="E246" i="2"/>
  <c r="H167" i="2" l="1"/>
  <c r="K167" i="2" s="1"/>
  <c r="M167" i="2" s="1"/>
  <c r="N167" i="2" s="1"/>
  <c r="P167" i="2" s="1"/>
  <c r="J167" i="2"/>
  <c r="F247" i="2"/>
  <c r="E247" i="2"/>
  <c r="L168" i="2" l="1"/>
  <c r="G167" i="2"/>
  <c r="F248" i="2"/>
  <c r="E248" i="2"/>
  <c r="J168" i="2" l="1"/>
  <c r="H168" i="2"/>
  <c r="F249" i="2"/>
  <c r="E249" i="2"/>
  <c r="G168" i="2" l="1"/>
  <c r="K168" i="2"/>
  <c r="F250" i="2"/>
  <c r="E250" i="2"/>
  <c r="M168" i="2" l="1"/>
  <c r="N168" i="2" s="1"/>
  <c r="P168" i="2" s="1"/>
  <c r="L169" i="2"/>
  <c r="H169" i="2"/>
  <c r="K169" i="2" s="1"/>
  <c r="J169" i="2"/>
  <c r="F251" i="2"/>
  <c r="E251" i="2"/>
  <c r="G169" i="2" l="1"/>
  <c r="J170" i="2" s="1"/>
  <c r="M169" i="2"/>
  <c r="N169" i="2" s="1"/>
  <c r="P169" i="2" s="1"/>
  <c r="L170" i="2"/>
  <c r="F252" i="2"/>
  <c r="E252" i="2"/>
  <c r="H170" i="2" l="1"/>
  <c r="K170" i="2" s="1"/>
  <c r="M170" i="2" s="1"/>
  <c r="N170" i="2" s="1"/>
  <c r="P170" i="2" s="1"/>
  <c r="E253" i="2"/>
  <c r="F253" i="2"/>
  <c r="L171" i="2" l="1"/>
  <c r="G170" i="2"/>
  <c r="J171" i="2" s="1"/>
  <c r="F254" i="2"/>
  <c r="E254" i="2"/>
  <c r="H171" i="2" l="1"/>
  <c r="K171" i="2" s="1"/>
  <c r="L172" i="2" s="1"/>
  <c r="E255" i="2"/>
  <c r="F255" i="2"/>
  <c r="G171" i="2" l="1"/>
  <c r="H172" i="2" s="1"/>
  <c r="K172" i="2" s="1"/>
  <c r="M172" i="2" s="1"/>
  <c r="N172" i="2" s="1"/>
  <c r="P172" i="2" s="1"/>
  <c r="M171" i="2"/>
  <c r="N171" i="2" s="1"/>
  <c r="P171" i="2" s="1"/>
  <c r="E256" i="2"/>
  <c r="F256" i="2"/>
  <c r="J172" i="2" l="1"/>
  <c r="G172" i="2" s="1"/>
  <c r="J173" i="2" s="1"/>
  <c r="L173" i="2"/>
  <c r="F257" i="2"/>
  <c r="E257" i="2"/>
  <c r="H173" i="2" l="1"/>
  <c r="K173" i="2" s="1"/>
  <c r="M173" i="2" s="1"/>
  <c r="N173" i="2" s="1"/>
  <c r="P173" i="2" s="1"/>
  <c r="E258" i="2"/>
  <c r="F258" i="2"/>
  <c r="G173" i="2" l="1"/>
  <c r="H174" i="2" s="1"/>
  <c r="K174" i="2" s="1"/>
  <c r="L174" i="2"/>
  <c r="E259" i="2"/>
  <c r="F259" i="2"/>
  <c r="M174" i="2" l="1"/>
  <c r="N174" i="2" s="1"/>
  <c r="P174" i="2" s="1"/>
  <c r="J174" i="2"/>
  <c r="G174" i="2" s="1"/>
  <c r="J175" i="2" s="1"/>
  <c r="L175" i="2"/>
  <c r="E260" i="2"/>
  <c r="F260" i="2"/>
  <c r="H175" i="2" l="1"/>
  <c r="K175" i="2" s="1"/>
  <c r="L176" i="2" s="1"/>
  <c r="F261" i="2"/>
  <c r="E261" i="2"/>
  <c r="G175" i="2" l="1"/>
  <c r="H176" i="2" s="1"/>
  <c r="M175" i="2"/>
  <c r="N175" i="2" s="1"/>
  <c r="P175" i="2" s="1"/>
  <c r="F262" i="2"/>
  <c r="E262" i="2"/>
  <c r="J176" i="2" l="1"/>
  <c r="G176" i="2" s="1"/>
  <c r="K176" i="2"/>
  <c r="E263" i="2"/>
  <c r="F263" i="2"/>
  <c r="H177" i="2" l="1"/>
  <c r="J177" i="2"/>
  <c r="L177" i="2"/>
  <c r="M176" i="2"/>
  <c r="N176" i="2" s="1"/>
  <c r="P176" i="2" s="1"/>
  <c r="F264" i="2"/>
  <c r="E264" i="2"/>
  <c r="G177" i="2" l="1"/>
  <c r="J178" i="2" s="1"/>
  <c r="K177" i="2"/>
  <c r="L178" i="2" s="1"/>
  <c r="F265" i="2"/>
  <c r="E265" i="2"/>
  <c r="H178" i="2" l="1"/>
  <c r="G178" i="2" s="1"/>
  <c r="J179" i="2" s="1"/>
  <c r="M177" i="2"/>
  <c r="N177" i="2" s="1"/>
  <c r="P177" i="2" s="1"/>
  <c r="E266" i="2"/>
  <c r="F266" i="2"/>
  <c r="K178" i="2" l="1"/>
  <c r="M178" i="2" s="1"/>
  <c r="N178" i="2" s="1"/>
  <c r="P178" i="2" s="1"/>
  <c r="H179" i="2"/>
  <c r="G179" i="2" s="1"/>
  <c r="E267" i="2"/>
  <c r="F267" i="2"/>
  <c r="L179" i="2" l="1"/>
  <c r="K179" i="2"/>
  <c r="H180" i="2"/>
  <c r="J180" i="2"/>
  <c r="E268" i="2"/>
  <c r="F268" i="2"/>
  <c r="G180" i="2" l="1"/>
  <c r="J181" i="2" s="1"/>
  <c r="K180" i="2"/>
  <c r="L180" i="2"/>
  <c r="M179" i="2"/>
  <c r="N179" i="2" s="1"/>
  <c r="P179" i="2" s="1"/>
  <c r="E269" i="2"/>
  <c r="F269" i="2"/>
  <c r="H181" i="2" l="1"/>
  <c r="G181" i="2" s="1"/>
  <c r="J182" i="2" s="1"/>
  <c r="L181" i="2"/>
  <c r="M180" i="2"/>
  <c r="N180" i="2" s="1"/>
  <c r="P180" i="2" s="1"/>
  <c r="F270" i="2"/>
  <c r="E270" i="2"/>
  <c r="H182" i="2" l="1"/>
  <c r="G182" i="2" s="1"/>
  <c r="H183" i="2" s="1"/>
  <c r="K181" i="2"/>
  <c r="M181" i="2" s="1"/>
  <c r="N181" i="2" s="1"/>
  <c r="P181" i="2" s="1"/>
  <c r="E271" i="2"/>
  <c r="F271" i="2"/>
  <c r="L182" i="2" l="1"/>
  <c r="J183" i="2"/>
  <c r="G183" i="2" s="1"/>
  <c r="H184" i="2" s="1"/>
  <c r="K182" i="2"/>
  <c r="K183" i="2" s="1"/>
  <c r="E272" i="2"/>
  <c r="F272" i="2"/>
  <c r="L183" i="2" l="1"/>
  <c r="M183" i="2" s="1"/>
  <c r="N183" i="2" s="1"/>
  <c r="P183" i="2" s="1"/>
  <c r="M182" i="2"/>
  <c r="N182" i="2" s="1"/>
  <c r="P182" i="2" s="1"/>
  <c r="K184" i="2"/>
  <c r="J184" i="2"/>
  <c r="G184" i="2" s="1"/>
  <c r="J185" i="2" s="1"/>
  <c r="F273" i="2"/>
  <c r="E273" i="2"/>
  <c r="L184" i="2" l="1"/>
  <c r="L185" i="2" s="1"/>
  <c r="H185" i="2"/>
  <c r="K185" i="2" s="1"/>
  <c r="F274" i="2"/>
  <c r="E274" i="2"/>
  <c r="L186" i="2" l="1"/>
  <c r="M184" i="2"/>
  <c r="N184" i="2" s="1"/>
  <c r="P184" i="2" s="1"/>
  <c r="M185" i="2"/>
  <c r="N185" i="2" s="1"/>
  <c r="P185" i="2" s="1"/>
  <c r="G185" i="2"/>
  <c r="H186" i="2" s="1"/>
  <c r="K186" i="2" s="1"/>
  <c r="E275" i="2"/>
  <c r="F275" i="2"/>
  <c r="J186" i="2" l="1"/>
  <c r="G186" i="2" s="1"/>
  <c r="J187" i="2" s="1"/>
  <c r="M186" i="2"/>
  <c r="N186" i="2" s="1"/>
  <c r="P186" i="2" s="1"/>
  <c r="L187" i="2"/>
  <c r="E276" i="2"/>
  <c r="F276" i="2"/>
  <c r="H187" i="2" l="1"/>
  <c r="G187" i="2" s="1"/>
  <c r="H188" i="2" s="1"/>
  <c r="E277" i="2"/>
  <c r="F277" i="2"/>
  <c r="K187" i="2" l="1"/>
  <c r="L188" i="2" s="1"/>
  <c r="J188" i="2"/>
  <c r="G188" i="2" s="1"/>
  <c r="J189" i="2" s="1"/>
  <c r="E278" i="2"/>
  <c r="F278" i="2"/>
  <c r="K188" i="2" l="1"/>
  <c r="M188" i="2" s="1"/>
  <c r="N188" i="2" s="1"/>
  <c r="P188" i="2" s="1"/>
  <c r="M187" i="2"/>
  <c r="N187" i="2" s="1"/>
  <c r="P187" i="2" s="1"/>
  <c r="H189" i="2"/>
  <c r="E279" i="2"/>
  <c r="F279" i="2"/>
  <c r="L189" i="2" l="1"/>
  <c r="K189" i="2"/>
  <c r="G189" i="2"/>
  <c r="J190" i="2" s="1"/>
  <c r="F280" i="2"/>
  <c r="E280" i="2"/>
  <c r="M189" i="2" l="1"/>
  <c r="N189" i="2" s="1"/>
  <c r="P189" i="2" s="1"/>
  <c r="L190" i="2"/>
  <c r="H190" i="2"/>
  <c r="K190" i="2" s="1"/>
  <c r="E281" i="2"/>
  <c r="F281" i="2"/>
  <c r="L191" i="2" l="1"/>
  <c r="G190" i="2"/>
  <c r="H191" i="2" s="1"/>
  <c r="K191" i="2" s="1"/>
  <c r="M190" i="2"/>
  <c r="N190" i="2" s="1"/>
  <c r="P190" i="2" s="1"/>
  <c r="E282" i="2"/>
  <c r="F282" i="2"/>
  <c r="J191" i="2" l="1"/>
  <c r="G191" i="2" s="1"/>
  <c r="M191" i="2"/>
  <c r="N191" i="2" s="1"/>
  <c r="P191" i="2" s="1"/>
  <c r="L192" i="2"/>
  <c r="F283" i="2"/>
  <c r="E283" i="2"/>
  <c r="J192" i="2" l="1"/>
  <c r="H192" i="2"/>
  <c r="E284" i="2"/>
  <c r="F284" i="2"/>
  <c r="G192" i="2" l="1"/>
  <c r="K192" i="2"/>
  <c r="E285" i="2"/>
  <c r="F285" i="2"/>
  <c r="M192" i="2" l="1"/>
  <c r="N192" i="2" s="1"/>
  <c r="P192" i="2" s="1"/>
  <c r="L193" i="2"/>
  <c r="H193" i="2"/>
  <c r="K193" i="2" s="1"/>
  <c r="J193" i="2"/>
  <c r="E286" i="2"/>
  <c r="F286" i="2"/>
  <c r="G193" i="2" l="1"/>
  <c r="H194" i="2" s="1"/>
  <c r="K194" i="2" s="1"/>
  <c r="L194" i="2"/>
  <c r="M193" i="2"/>
  <c r="N193" i="2" s="1"/>
  <c r="P193" i="2" s="1"/>
  <c r="F287" i="2"/>
  <c r="E287" i="2"/>
  <c r="J194" i="2" l="1"/>
  <c r="G194" i="2" s="1"/>
  <c r="M194" i="2"/>
  <c r="N194" i="2" s="1"/>
  <c r="P194" i="2" s="1"/>
  <c r="L195" i="2"/>
  <c r="E288" i="2"/>
  <c r="F288" i="2"/>
  <c r="J195" i="2" l="1"/>
  <c r="H195" i="2"/>
  <c r="K195" i="2" s="1"/>
  <c r="L196" i="2" s="1"/>
  <c r="E289" i="2"/>
  <c r="F289" i="2"/>
  <c r="G195" i="2" l="1"/>
  <c r="H196" i="2" s="1"/>
  <c r="K196" i="2" s="1"/>
  <c r="M195" i="2"/>
  <c r="N195" i="2" s="1"/>
  <c r="P195" i="2" s="1"/>
  <c r="F290" i="2"/>
  <c r="E290" i="2"/>
  <c r="J196" i="2" l="1"/>
  <c r="G196" i="2" s="1"/>
  <c r="M196" i="2"/>
  <c r="N196" i="2" s="1"/>
  <c r="P196" i="2" s="1"/>
  <c r="L197" i="2"/>
  <c r="E291" i="2"/>
  <c r="F291" i="2"/>
  <c r="J197" i="2" l="1"/>
  <c r="H197" i="2"/>
  <c r="K197" i="2" s="1"/>
  <c r="M197" i="2" s="1"/>
  <c r="N197" i="2" s="1"/>
  <c r="P197" i="2" s="1"/>
  <c r="E292" i="2"/>
  <c r="F292" i="2"/>
  <c r="G197" i="2" l="1"/>
  <c r="H198" i="2" s="1"/>
  <c r="K198" i="2" s="1"/>
  <c r="L198" i="2"/>
  <c r="F293" i="2"/>
  <c r="E293" i="2"/>
  <c r="J198" i="2" l="1"/>
  <c r="G198" i="2" s="1"/>
  <c r="M198" i="2"/>
  <c r="N198" i="2" s="1"/>
  <c r="P198" i="2" s="1"/>
  <c r="L199" i="2"/>
  <c r="E294" i="2"/>
  <c r="F294" i="2"/>
  <c r="H199" i="2" l="1"/>
  <c r="K199" i="2" s="1"/>
  <c r="J199" i="2"/>
  <c r="E295" i="2"/>
  <c r="F295" i="2"/>
  <c r="G199" i="2" l="1"/>
  <c r="J200" i="2" s="1"/>
  <c r="L200" i="2"/>
  <c r="M199" i="2"/>
  <c r="N199" i="2" s="1"/>
  <c r="P199" i="2" s="1"/>
  <c r="F296" i="2"/>
  <c r="E296" i="2"/>
  <c r="H200" i="2" l="1"/>
  <c r="F297" i="2"/>
  <c r="E297" i="2"/>
  <c r="G200" i="2" l="1"/>
  <c r="K200" i="2"/>
  <c r="E298" i="2"/>
  <c r="F298" i="2"/>
  <c r="H201" i="2" l="1"/>
  <c r="J201" i="2"/>
  <c r="M200" i="2"/>
  <c r="N200" i="2" s="1"/>
  <c r="P200" i="2" s="1"/>
  <c r="L201" i="2"/>
  <c r="F299" i="2"/>
  <c r="E299" i="2"/>
  <c r="G201" i="2" l="1"/>
  <c r="H202" i="2" s="1"/>
  <c r="K201" i="2"/>
  <c r="M201" i="2" s="1"/>
  <c r="N201" i="2" s="1"/>
  <c r="P201" i="2" s="1"/>
  <c r="E300" i="2"/>
  <c r="F300" i="2"/>
  <c r="J202" i="2" l="1"/>
  <c r="G202" i="2" s="1"/>
  <c r="L202" i="2"/>
  <c r="K202" i="2"/>
  <c r="F301" i="2"/>
  <c r="E301" i="2"/>
  <c r="H203" i="2" l="1"/>
  <c r="K203" i="2" s="1"/>
  <c r="J203" i="2"/>
  <c r="L203" i="2"/>
  <c r="M202" i="2"/>
  <c r="N202" i="2" s="1"/>
  <c r="P202" i="2" s="1"/>
  <c r="E302" i="2"/>
  <c r="F302" i="2"/>
  <c r="M203" i="2" l="1"/>
  <c r="N203" i="2" s="1"/>
  <c r="P203" i="2" s="1"/>
  <c r="G203" i="2"/>
  <c r="L204" i="2"/>
  <c r="E303" i="2"/>
  <c r="F303" i="2"/>
  <c r="H204" i="2" l="1"/>
  <c r="K204" i="2" s="1"/>
  <c r="J204" i="2"/>
  <c r="F304" i="2"/>
  <c r="E304" i="2"/>
  <c r="G204" i="2" l="1"/>
  <c r="J205" i="2" s="1"/>
  <c r="M204" i="2"/>
  <c r="N204" i="2" s="1"/>
  <c r="P204" i="2" s="1"/>
  <c r="L205" i="2"/>
  <c r="F305" i="2"/>
  <c r="E305" i="2"/>
  <c r="H205" i="2" l="1"/>
  <c r="K205" i="2" s="1"/>
  <c r="M205" i="2" s="1"/>
  <c r="N205" i="2" s="1"/>
  <c r="P205" i="2" s="1"/>
  <c r="E306" i="2"/>
  <c r="F306" i="2"/>
  <c r="G205" i="2" l="1"/>
  <c r="H206" i="2" s="1"/>
  <c r="K206" i="2" s="1"/>
  <c r="L206" i="2"/>
  <c r="F307" i="2"/>
  <c r="E307" i="2"/>
  <c r="J206" i="2" l="1"/>
  <c r="G206" i="2" s="1"/>
  <c r="J207" i="2" s="1"/>
  <c r="M206" i="2"/>
  <c r="N206" i="2" s="1"/>
  <c r="P206" i="2" s="1"/>
  <c r="L207" i="2"/>
  <c r="F308" i="2"/>
  <c r="E308" i="2"/>
  <c r="H207" i="2" l="1"/>
  <c r="K207" i="2" s="1"/>
  <c r="M207" i="2" s="1"/>
  <c r="N207" i="2" s="1"/>
  <c r="P207" i="2" s="1"/>
  <c r="F309" i="2"/>
  <c r="E309" i="2"/>
  <c r="L208" i="2" l="1"/>
  <c r="G207" i="2"/>
  <c r="E310" i="2"/>
  <c r="F310" i="2"/>
  <c r="H208" i="2" l="1"/>
  <c r="J208" i="2"/>
  <c r="E311" i="2"/>
  <c r="F311" i="2"/>
  <c r="K208" i="2" l="1"/>
  <c r="G208" i="2"/>
  <c r="E312" i="2"/>
  <c r="F312" i="2"/>
  <c r="M208" i="2" l="1"/>
  <c r="N208" i="2" s="1"/>
  <c r="P208" i="2" s="1"/>
  <c r="L209" i="2"/>
  <c r="H209" i="2"/>
  <c r="K209" i="2" s="1"/>
  <c r="J209" i="2"/>
  <c r="E313" i="2"/>
  <c r="F313" i="2"/>
  <c r="G209" i="2" l="1"/>
  <c r="J210" i="2" s="1"/>
  <c r="M209" i="2"/>
  <c r="N209" i="2" s="1"/>
  <c r="P209" i="2" s="1"/>
  <c r="L210" i="2"/>
  <c r="F314" i="2"/>
  <c r="E314" i="2"/>
  <c r="H210" i="2" l="1"/>
  <c r="E315" i="2"/>
  <c r="F315" i="2"/>
  <c r="G210" i="2" l="1"/>
  <c r="K210" i="2"/>
  <c r="F316" i="2"/>
  <c r="E316" i="2"/>
  <c r="H211" i="2" l="1"/>
  <c r="K211" i="2" s="1"/>
  <c r="J211" i="2"/>
  <c r="M210" i="2"/>
  <c r="N210" i="2" s="1"/>
  <c r="P210" i="2" s="1"/>
  <c r="L211" i="2"/>
  <c r="E317" i="2"/>
  <c r="F317" i="2"/>
  <c r="G211" i="2" l="1"/>
  <c r="H212" i="2" s="1"/>
  <c r="M211" i="2"/>
  <c r="N211" i="2" s="1"/>
  <c r="P211" i="2" s="1"/>
  <c r="L212" i="2"/>
  <c r="E318" i="2"/>
  <c r="F318" i="2"/>
  <c r="J212" i="2" l="1"/>
  <c r="G212" i="2" s="1"/>
  <c r="K212" i="2"/>
  <c r="M212" i="2" s="1"/>
  <c r="N212" i="2" s="1"/>
  <c r="P212" i="2" s="1"/>
  <c r="E319" i="2"/>
  <c r="F319" i="2"/>
  <c r="L213" i="2" l="1"/>
  <c r="J213" i="2"/>
  <c r="H213" i="2"/>
  <c r="F320" i="2"/>
  <c r="E320" i="2"/>
  <c r="K213" i="2" l="1"/>
  <c r="G213" i="2"/>
  <c r="E321" i="2"/>
  <c r="F321" i="2"/>
  <c r="M213" i="2" l="1"/>
  <c r="N213" i="2" s="1"/>
  <c r="P213" i="2" s="1"/>
  <c r="L214" i="2"/>
  <c r="H214" i="2"/>
  <c r="J214" i="2"/>
  <c r="F322" i="2"/>
  <c r="E322" i="2"/>
  <c r="K214" i="2" l="1"/>
  <c r="G214" i="2"/>
  <c r="E323" i="2"/>
  <c r="F323" i="2"/>
  <c r="H215" i="2" l="1"/>
  <c r="K215" i="2" s="1"/>
  <c r="J215" i="2"/>
  <c r="L215" i="2"/>
  <c r="M214" i="2"/>
  <c r="N214" i="2" s="1"/>
  <c r="P214" i="2" s="1"/>
  <c r="E324" i="2"/>
  <c r="F324" i="2"/>
  <c r="G215" i="2" l="1"/>
  <c r="J216" i="2" s="1"/>
  <c r="L216" i="2"/>
  <c r="M215" i="2"/>
  <c r="N215" i="2" s="1"/>
  <c r="P215" i="2" s="1"/>
  <c r="E325" i="2"/>
  <c r="F325" i="2"/>
  <c r="H216" i="2" l="1"/>
  <c r="K216" i="2" s="1"/>
  <c r="E326" i="2"/>
  <c r="F326" i="2"/>
  <c r="G216" i="2" l="1"/>
  <c r="J217" i="2" s="1"/>
  <c r="M216" i="2"/>
  <c r="N216" i="2" s="1"/>
  <c r="P216" i="2" s="1"/>
  <c r="L217" i="2"/>
  <c r="F327" i="2"/>
  <c r="E327" i="2"/>
  <c r="H217" i="2" l="1"/>
  <c r="K217" i="2" s="1"/>
  <c r="E328" i="2"/>
  <c r="F328" i="2"/>
  <c r="G217" i="2" l="1"/>
  <c r="J218" i="2" s="1"/>
  <c r="L218" i="2"/>
  <c r="M217" i="2"/>
  <c r="N217" i="2" s="1"/>
  <c r="P217" i="2" s="1"/>
  <c r="F329" i="2"/>
  <c r="E329" i="2"/>
  <c r="H218" i="2" l="1"/>
  <c r="K218" i="2" s="1"/>
  <c r="L219" i="2" s="1"/>
  <c r="E330" i="2"/>
  <c r="F330" i="2"/>
  <c r="M218" i="2" l="1"/>
  <c r="N218" i="2" s="1"/>
  <c r="P218" i="2" s="1"/>
  <c r="G218" i="2"/>
  <c r="E331" i="2"/>
  <c r="F331" i="2"/>
  <c r="J219" i="2" l="1"/>
  <c r="H219" i="2"/>
  <c r="E332" i="2"/>
  <c r="F332" i="2"/>
  <c r="K219" i="2" l="1"/>
  <c r="G219" i="2"/>
  <c r="E333" i="2"/>
  <c r="F333" i="2"/>
  <c r="M219" i="2" l="1"/>
  <c r="N219" i="2" s="1"/>
  <c r="P219" i="2" s="1"/>
  <c r="L220" i="2"/>
  <c r="J220" i="2"/>
  <c r="H220" i="2"/>
  <c r="K220" i="2" s="1"/>
  <c r="E334" i="2"/>
  <c r="F334" i="2"/>
  <c r="G220" i="2" l="1"/>
  <c r="J221" i="2" s="1"/>
  <c r="L221" i="2"/>
  <c r="M220" i="2"/>
  <c r="N220" i="2" s="1"/>
  <c r="P220" i="2" s="1"/>
  <c r="F335" i="2"/>
  <c r="E335" i="2"/>
  <c r="H221" i="2" l="1"/>
  <c r="K221" i="2" s="1"/>
  <c r="M221" i="2" s="1"/>
  <c r="N221" i="2" s="1"/>
  <c r="P221" i="2" s="1"/>
  <c r="F336" i="2"/>
  <c r="E336" i="2"/>
  <c r="G221" i="2" l="1"/>
  <c r="J222" i="2" s="1"/>
  <c r="L222" i="2"/>
  <c r="E337" i="2"/>
  <c r="F337" i="2"/>
  <c r="H222" i="2" l="1"/>
  <c r="K222" i="2" s="1"/>
  <c r="E338" i="2"/>
  <c r="F338" i="2"/>
  <c r="G222" i="2" l="1"/>
  <c r="H223" i="2" s="1"/>
  <c r="K223" i="2" s="1"/>
  <c r="M222" i="2"/>
  <c r="N222" i="2" s="1"/>
  <c r="P222" i="2" s="1"/>
  <c r="L223" i="2"/>
  <c r="E339" i="2"/>
  <c r="F339" i="2"/>
  <c r="J223" i="2" l="1"/>
  <c r="G223" i="2" s="1"/>
  <c r="H224" i="2" s="1"/>
  <c r="K224" i="2" s="1"/>
  <c r="M223" i="2"/>
  <c r="N223" i="2" s="1"/>
  <c r="P223" i="2" s="1"/>
  <c r="L224" i="2"/>
  <c r="E340" i="2"/>
  <c r="F340" i="2"/>
  <c r="J224" i="2" l="1"/>
  <c r="G224" i="2" s="1"/>
  <c r="M224" i="2"/>
  <c r="N224" i="2" s="1"/>
  <c r="P224" i="2" s="1"/>
  <c r="L225" i="2"/>
  <c r="E341" i="2"/>
  <c r="F341" i="2"/>
  <c r="H225" i="2" l="1"/>
  <c r="J225" i="2"/>
  <c r="F342" i="2"/>
  <c r="E342" i="2"/>
  <c r="K225" i="2" l="1"/>
  <c r="G225" i="2"/>
  <c r="E343" i="2"/>
  <c r="F343" i="2"/>
  <c r="M225" i="2" l="1"/>
  <c r="N225" i="2" s="1"/>
  <c r="P225" i="2" s="1"/>
  <c r="L226" i="2"/>
  <c r="J226" i="2"/>
  <c r="H226" i="2"/>
  <c r="F344" i="2"/>
  <c r="E344" i="2"/>
  <c r="G226" i="2" l="1"/>
  <c r="K226" i="2"/>
  <c r="F345" i="2"/>
  <c r="E345" i="2"/>
  <c r="M226" i="2" l="1"/>
  <c r="N226" i="2" s="1"/>
  <c r="P226" i="2" s="1"/>
  <c r="L227" i="2"/>
  <c r="H227" i="2"/>
  <c r="J227" i="2"/>
  <c r="F346" i="2"/>
  <c r="E346" i="2"/>
  <c r="K227" i="2" l="1"/>
  <c r="L228" i="2" s="1"/>
  <c r="G227" i="2"/>
  <c r="F347" i="2"/>
  <c r="E347" i="2"/>
  <c r="H228" i="2" l="1"/>
  <c r="K228" i="2" s="1"/>
  <c r="J228" i="2"/>
  <c r="M227" i="2"/>
  <c r="N227" i="2" s="1"/>
  <c r="P227" i="2" s="1"/>
  <c r="F348" i="2"/>
  <c r="E348" i="2"/>
  <c r="G228" i="2" l="1"/>
  <c r="J229" i="2" s="1"/>
  <c r="L229" i="2"/>
  <c r="M228" i="2"/>
  <c r="N228" i="2" s="1"/>
  <c r="P228" i="2" s="1"/>
  <c r="E349" i="2"/>
  <c r="F349" i="2"/>
  <c r="H229" i="2" l="1"/>
  <c r="K229" i="2" s="1"/>
  <c r="M229" i="2" s="1"/>
  <c r="N229" i="2" s="1"/>
  <c r="P229" i="2" s="1"/>
  <c r="E350" i="2"/>
  <c r="F350" i="2"/>
  <c r="G229" i="2" l="1"/>
  <c r="H230" i="2" s="1"/>
  <c r="K230" i="2" s="1"/>
  <c r="L230" i="2"/>
  <c r="E351" i="2"/>
  <c r="F351" i="2"/>
  <c r="J230" i="2" l="1"/>
  <c r="G230" i="2" s="1"/>
  <c r="J231" i="2" s="1"/>
  <c r="M230" i="2"/>
  <c r="N230" i="2" s="1"/>
  <c r="P230" i="2" s="1"/>
  <c r="L231" i="2"/>
  <c r="E352" i="2"/>
  <c r="F352" i="2"/>
  <c r="H231" i="2" l="1"/>
  <c r="K231" i="2" s="1"/>
  <c r="E353" i="2"/>
  <c r="F353" i="2"/>
  <c r="G231" i="2" l="1"/>
  <c r="H232" i="2" s="1"/>
  <c r="M231" i="2"/>
  <c r="N231" i="2" s="1"/>
  <c r="P231" i="2" s="1"/>
  <c r="L232" i="2"/>
  <c r="F354" i="2"/>
  <c r="E354" i="2"/>
  <c r="J232" i="2" l="1"/>
  <c r="G232" i="2" s="1"/>
  <c r="K232" i="2"/>
  <c r="E355" i="2"/>
  <c r="F355" i="2"/>
  <c r="J233" i="2" l="1"/>
  <c r="H233" i="2"/>
  <c r="K233" i="2" s="1"/>
  <c r="M232" i="2"/>
  <c r="N232" i="2" s="1"/>
  <c r="P232" i="2" s="1"/>
  <c r="L233" i="2"/>
  <c r="E356" i="2"/>
  <c r="F356" i="2"/>
  <c r="L234" i="2" l="1"/>
  <c r="G233" i="2"/>
  <c r="H234" i="2" s="1"/>
  <c r="M233" i="2"/>
  <c r="N233" i="2" s="1"/>
  <c r="P233" i="2" s="1"/>
  <c r="F357" i="2"/>
  <c r="E357" i="2"/>
  <c r="J234" i="2" l="1"/>
  <c r="G234" i="2" s="1"/>
  <c r="H235" i="2" s="1"/>
  <c r="K234" i="2"/>
  <c r="F358" i="2"/>
  <c r="E358" i="2"/>
  <c r="J235" i="2" l="1"/>
  <c r="G235" i="2" s="1"/>
  <c r="H236" i="2" s="1"/>
  <c r="K235" i="2"/>
  <c r="L235" i="2"/>
  <c r="M234" i="2"/>
  <c r="N234" i="2" s="1"/>
  <c r="P234" i="2" s="1"/>
  <c r="F359" i="2"/>
  <c r="E359" i="2"/>
  <c r="J236" i="2" l="1"/>
  <c r="G236" i="2" s="1"/>
  <c r="L236" i="2"/>
  <c r="M235" i="2"/>
  <c r="N235" i="2" s="1"/>
  <c r="P235" i="2" s="1"/>
  <c r="K236" i="2"/>
  <c r="F360" i="2"/>
  <c r="E360" i="2"/>
  <c r="H237" i="2" l="1"/>
  <c r="J237" i="2"/>
  <c r="L237" i="2"/>
  <c r="M236" i="2"/>
  <c r="N236" i="2" s="1"/>
  <c r="P236" i="2" s="1"/>
  <c r="F361" i="2"/>
  <c r="E361" i="2"/>
  <c r="G237" i="2" l="1"/>
  <c r="H238" i="2" s="1"/>
  <c r="K237" i="2"/>
  <c r="M237" i="2" s="1"/>
  <c r="N237" i="2" s="1"/>
  <c r="P237" i="2" s="1"/>
  <c r="F362" i="2"/>
  <c r="E362" i="2"/>
  <c r="J238" i="2" l="1"/>
  <c r="G238" i="2" s="1"/>
  <c r="K238" i="2"/>
  <c r="L238" i="2"/>
  <c r="E363" i="2"/>
  <c r="F363" i="2"/>
  <c r="H239" i="2" l="1"/>
  <c r="K239" i="2" s="1"/>
  <c r="J239" i="2"/>
  <c r="L239" i="2"/>
  <c r="M238" i="2"/>
  <c r="N238" i="2" s="1"/>
  <c r="P238" i="2" s="1"/>
  <c r="E364" i="2"/>
  <c r="F364" i="2"/>
  <c r="G239" i="2" l="1"/>
  <c r="J240" i="2" s="1"/>
  <c r="M239" i="2"/>
  <c r="N239" i="2" s="1"/>
  <c r="P239" i="2" s="1"/>
  <c r="L240" i="2"/>
  <c r="F365" i="2"/>
  <c r="E365" i="2"/>
  <c r="H240" i="2" l="1"/>
  <c r="K240" i="2" s="1"/>
  <c r="E366" i="2"/>
  <c r="F366" i="2"/>
  <c r="G240" i="2" l="1"/>
  <c r="J241" i="2" s="1"/>
  <c r="M240" i="2"/>
  <c r="N240" i="2" s="1"/>
  <c r="P240" i="2" s="1"/>
  <c r="L241" i="2"/>
  <c r="E367" i="2"/>
  <c r="F367" i="2"/>
  <c r="H241" i="2" l="1"/>
  <c r="K241" i="2" s="1"/>
  <c r="M241" i="2" s="1"/>
  <c r="N241" i="2" s="1"/>
  <c r="P241" i="2" s="1"/>
  <c r="F368" i="2"/>
  <c r="E368" i="2"/>
  <c r="G241" i="2" l="1"/>
  <c r="J242" i="2" s="1"/>
  <c r="L242" i="2"/>
  <c r="E369" i="2"/>
  <c r="F369" i="2"/>
  <c r="H242" i="2" l="1"/>
  <c r="K242" i="2" s="1"/>
  <c r="E370" i="2"/>
  <c r="F370" i="2"/>
  <c r="G242" i="2" l="1"/>
  <c r="H243" i="2" s="1"/>
  <c r="K243" i="2" s="1"/>
  <c r="L243" i="2"/>
  <c r="M242" i="2"/>
  <c r="N242" i="2" s="1"/>
  <c r="P242" i="2" s="1"/>
  <c r="E371" i="2"/>
  <c r="F371" i="2"/>
  <c r="J243" i="2" l="1"/>
  <c r="G243" i="2" s="1"/>
  <c r="J244" i="2" s="1"/>
  <c r="L244" i="2"/>
  <c r="M243" i="2"/>
  <c r="N243" i="2" s="1"/>
  <c r="P243" i="2" s="1"/>
  <c r="E372" i="2"/>
  <c r="F372" i="2"/>
  <c r="H244" i="2" l="1"/>
  <c r="E373" i="2"/>
  <c r="F373" i="2"/>
  <c r="G244" i="2" l="1"/>
  <c r="K244" i="2"/>
  <c r="E374" i="2"/>
  <c r="F374" i="2"/>
  <c r="M244" i="2" l="1"/>
  <c r="N244" i="2" s="1"/>
  <c r="P244" i="2" s="1"/>
  <c r="L245" i="2"/>
  <c r="J245" i="2"/>
  <c r="H245" i="2"/>
  <c r="E375" i="2"/>
  <c r="F375" i="2"/>
  <c r="G245" i="2" l="1"/>
  <c r="K245" i="2"/>
  <c r="F376" i="2"/>
  <c r="E376" i="2"/>
  <c r="H246" i="2" l="1"/>
  <c r="K246" i="2" s="1"/>
  <c r="J246" i="2"/>
  <c r="M245" i="2"/>
  <c r="N245" i="2" s="1"/>
  <c r="P245" i="2" s="1"/>
  <c r="L246" i="2"/>
  <c r="E377" i="2"/>
  <c r="F377" i="2"/>
  <c r="G246" i="2" l="1"/>
  <c r="L247" i="2"/>
  <c r="M246" i="2"/>
  <c r="N246" i="2" s="1"/>
  <c r="P246" i="2" s="1"/>
  <c r="E378" i="2"/>
  <c r="F378" i="2"/>
  <c r="H247" i="2" l="1"/>
  <c r="K247" i="2" s="1"/>
  <c r="L248" i="2" s="1"/>
  <c r="J247" i="2"/>
  <c r="E379" i="2"/>
  <c r="F379" i="2"/>
  <c r="G247" i="2" l="1"/>
  <c r="H248" i="2" s="1"/>
  <c r="K248" i="2" s="1"/>
  <c r="L249" i="2" s="1"/>
  <c r="M247" i="2"/>
  <c r="N247" i="2" s="1"/>
  <c r="P247" i="2" s="1"/>
  <c r="E380" i="2"/>
  <c r="F380" i="2"/>
  <c r="J248" i="2" l="1"/>
  <c r="G248" i="2" s="1"/>
  <c r="J249" i="2" s="1"/>
  <c r="M248" i="2"/>
  <c r="N248" i="2" s="1"/>
  <c r="P248" i="2" s="1"/>
  <c r="E381" i="2"/>
  <c r="F381" i="2"/>
  <c r="H249" i="2" l="1"/>
  <c r="K249" i="2" s="1"/>
  <c r="M249" i="2" s="1"/>
  <c r="N249" i="2" s="1"/>
  <c r="P249" i="2" s="1"/>
  <c r="E382" i="2"/>
  <c r="F382" i="2"/>
  <c r="G249" i="2" l="1"/>
  <c r="J250" i="2" s="1"/>
  <c r="L250" i="2"/>
  <c r="E383" i="2"/>
  <c r="F383" i="2"/>
  <c r="H250" i="2" l="1"/>
  <c r="K250" i="2" s="1"/>
  <c r="L251" i="2" s="1"/>
  <c r="E384" i="2"/>
  <c r="F384" i="2"/>
  <c r="M250" i="2" l="1"/>
  <c r="N250" i="2" s="1"/>
  <c r="P250" i="2" s="1"/>
  <c r="G250" i="2"/>
  <c r="J251" i="2" s="1"/>
  <c r="E385" i="2"/>
  <c r="F385" i="2"/>
  <c r="H251" i="2" l="1"/>
  <c r="G251" i="2" s="1"/>
  <c r="E386" i="2"/>
  <c r="F386" i="2"/>
  <c r="K251" i="2" l="1"/>
  <c r="M251" i="2" s="1"/>
  <c r="N251" i="2" s="1"/>
  <c r="P251" i="2" s="1"/>
  <c r="H252" i="2"/>
  <c r="J252" i="2"/>
  <c r="E387" i="2"/>
  <c r="F387" i="2"/>
  <c r="K252" i="2" l="1"/>
  <c r="L252" i="2"/>
  <c r="G252" i="2"/>
  <c r="H253" i="2" s="1"/>
  <c r="E388" i="2"/>
  <c r="F388" i="2"/>
  <c r="M252" i="2" l="1"/>
  <c r="N252" i="2" s="1"/>
  <c r="P252" i="2" s="1"/>
  <c r="L253" i="2"/>
  <c r="K253" i="2"/>
  <c r="J253" i="2"/>
  <c r="G253" i="2" s="1"/>
  <c r="E389" i="2"/>
  <c r="F389" i="2"/>
  <c r="M253" i="2" l="1"/>
  <c r="N253" i="2" s="1"/>
  <c r="P253" i="2" s="1"/>
  <c r="L254" i="2"/>
  <c r="J254" i="2"/>
  <c r="H254" i="2"/>
  <c r="K254" i="2" s="1"/>
  <c r="E390" i="2"/>
  <c r="F390" i="2"/>
  <c r="G254" i="2" l="1"/>
  <c r="M254" i="2"/>
  <c r="N254" i="2" s="1"/>
  <c r="P254" i="2" s="1"/>
  <c r="L255" i="2"/>
  <c r="E391" i="2"/>
  <c r="F391" i="2"/>
  <c r="J255" i="2" l="1"/>
  <c r="H255" i="2"/>
  <c r="K255" i="2" s="1"/>
  <c r="E392" i="2"/>
  <c r="F392" i="2"/>
  <c r="G255" i="2" l="1"/>
  <c r="H256" i="2" s="1"/>
  <c r="M255" i="2"/>
  <c r="N255" i="2" s="1"/>
  <c r="P255" i="2" s="1"/>
  <c r="L256" i="2"/>
  <c r="E393" i="2"/>
  <c r="F393" i="2"/>
  <c r="J256" i="2" l="1"/>
  <c r="G256" i="2" s="1"/>
  <c r="K256" i="2"/>
  <c r="M256" i="2" s="1"/>
  <c r="N256" i="2" s="1"/>
  <c r="P256" i="2" s="1"/>
  <c r="E394" i="2"/>
  <c r="F394" i="2"/>
  <c r="J257" i="2" l="1"/>
  <c r="H257" i="2"/>
  <c r="L257" i="2"/>
  <c r="F395" i="2"/>
  <c r="E395" i="2"/>
  <c r="K257" i="2" l="1"/>
  <c r="M257" i="2" s="1"/>
  <c r="N257" i="2" s="1"/>
  <c r="P257" i="2" s="1"/>
  <c r="G257" i="2"/>
  <c r="E396" i="2"/>
  <c r="F396" i="2"/>
  <c r="L258" i="2" l="1"/>
  <c r="J258" i="2"/>
  <c r="H258" i="2"/>
  <c r="F397" i="2"/>
  <c r="E397" i="2"/>
  <c r="K258" i="2" l="1"/>
  <c r="G258" i="2"/>
  <c r="E398" i="2"/>
  <c r="F398" i="2"/>
  <c r="J259" i="2" l="1"/>
  <c r="H259" i="2"/>
  <c r="K259" i="2" s="1"/>
  <c r="M258" i="2"/>
  <c r="N258" i="2" s="1"/>
  <c r="P258" i="2" s="1"/>
  <c r="L259" i="2"/>
  <c r="E399" i="2"/>
  <c r="F399" i="2"/>
  <c r="G259" i="2" l="1"/>
  <c r="H260" i="2" s="1"/>
  <c r="L260" i="2"/>
  <c r="M259" i="2"/>
  <c r="N259" i="2" s="1"/>
  <c r="P259" i="2" s="1"/>
  <c r="E400" i="2"/>
  <c r="F400" i="2"/>
  <c r="J260" i="2" l="1"/>
  <c r="G260" i="2" s="1"/>
  <c r="K260" i="2"/>
  <c r="E401" i="2"/>
  <c r="F401" i="2"/>
  <c r="J261" i="2" l="1"/>
  <c r="H261" i="2"/>
  <c r="K261" i="2" s="1"/>
  <c r="M260" i="2"/>
  <c r="N260" i="2" s="1"/>
  <c r="P260" i="2" s="1"/>
  <c r="L261" i="2"/>
  <c r="E402" i="2"/>
  <c r="F402" i="2"/>
  <c r="G261" i="2" l="1"/>
  <c r="J262" i="2" s="1"/>
  <c r="L262" i="2"/>
  <c r="M261" i="2"/>
  <c r="N261" i="2" s="1"/>
  <c r="P261" i="2" s="1"/>
  <c r="E403" i="2"/>
  <c r="F403" i="2"/>
  <c r="H262" i="2" l="1"/>
  <c r="G262" i="2" s="1"/>
  <c r="J263" i="2" s="1"/>
  <c r="E404" i="2"/>
  <c r="F404" i="2"/>
  <c r="K262" i="2" l="1"/>
  <c r="M262" i="2" s="1"/>
  <c r="N262" i="2" s="1"/>
  <c r="P262" i="2" s="1"/>
  <c r="H263" i="2"/>
  <c r="G263" i="2" s="1"/>
  <c r="E405" i="2"/>
  <c r="F405" i="2"/>
  <c r="L263" i="2" l="1"/>
  <c r="K263" i="2"/>
  <c r="J264" i="2"/>
  <c r="H264" i="2"/>
  <c r="E406" i="2"/>
  <c r="F406" i="2"/>
  <c r="K264" i="2" l="1"/>
  <c r="L264" i="2"/>
  <c r="M263" i="2"/>
  <c r="N263" i="2" s="1"/>
  <c r="P263" i="2" s="1"/>
  <c r="G264" i="2"/>
  <c r="J265" i="2" s="1"/>
  <c r="E407" i="2"/>
  <c r="F407" i="2"/>
  <c r="H265" i="2" l="1"/>
  <c r="G265" i="2" s="1"/>
  <c r="J266" i="2" s="1"/>
  <c r="L265" i="2"/>
  <c r="M264" i="2"/>
  <c r="N264" i="2" s="1"/>
  <c r="P264" i="2" s="1"/>
  <c r="E408" i="2"/>
  <c r="F408" i="2"/>
  <c r="K265" i="2" l="1"/>
  <c r="M265" i="2" s="1"/>
  <c r="N265" i="2" s="1"/>
  <c r="P265" i="2" s="1"/>
  <c r="H266" i="2"/>
  <c r="E409" i="2"/>
  <c r="F409" i="2"/>
  <c r="K266" i="2" l="1"/>
  <c r="L266" i="2"/>
  <c r="G266" i="2"/>
  <c r="E410" i="2"/>
  <c r="F410" i="2"/>
  <c r="M266" i="2" l="1"/>
  <c r="N266" i="2" s="1"/>
  <c r="P266" i="2" s="1"/>
  <c r="L267" i="2"/>
  <c r="J267" i="2"/>
  <c r="H267" i="2"/>
  <c r="E411" i="2"/>
  <c r="F411" i="2"/>
  <c r="G267" i="2" l="1"/>
  <c r="K267" i="2"/>
  <c r="E412" i="2"/>
  <c r="F412" i="2"/>
  <c r="H268" i="2" l="1"/>
  <c r="K268" i="2" s="1"/>
  <c r="J268" i="2"/>
  <c r="L268" i="2"/>
  <c r="M267" i="2"/>
  <c r="N267" i="2" s="1"/>
  <c r="P267" i="2" s="1"/>
  <c r="E413" i="2"/>
  <c r="F413" i="2"/>
  <c r="M268" i="2" l="1"/>
  <c r="N268" i="2" s="1"/>
  <c r="P268" i="2" s="1"/>
  <c r="G268" i="2"/>
  <c r="L269" i="2"/>
  <c r="E414" i="2"/>
  <c r="F414" i="2"/>
  <c r="J269" i="2" l="1"/>
  <c r="H269" i="2"/>
  <c r="K269" i="2" s="1"/>
  <c r="M269" i="2" s="1"/>
  <c r="N269" i="2" s="1"/>
  <c r="P269" i="2" s="1"/>
  <c r="E415" i="2"/>
  <c r="F415" i="2"/>
  <c r="G269" i="2" l="1"/>
  <c r="H270" i="2" s="1"/>
  <c r="K270" i="2" s="1"/>
  <c r="L270" i="2"/>
  <c r="E416" i="2"/>
  <c r="F416" i="2"/>
  <c r="M270" i="2" l="1"/>
  <c r="N270" i="2" s="1"/>
  <c r="P270" i="2" s="1"/>
  <c r="J270" i="2"/>
  <c r="G270" i="2" s="1"/>
  <c r="L271" i="2"/>
  <c r="E417" i="2"/>
  <c r="F417" i="2"/>
  <c r="J271" i="2" l="1"/>
  <c r="H271" i="2"/>
  <c r="K271" i="2" s="1"/>
  <c r="L272" i="2" s="1"/>
  <c r="E418" i="2"/>
  <c r="F418" i="2"/>
  <c r="G271" i="2" l="1"/>
  <c r="J272" i="2" s="1"/>
  <c r="M271" i="2"/>
  <c r="N271" i="2" s="1"/>
  <c r="P271" i="2" s="1"/>
  <c r="E419" i="2"/>
  <c r="F419" i="2"/>
  <c r="H272" i="2" l="1"/>
  <c r="K272" i="2" s="1"/>
  <c r="M272" i="2" s="1"/>
  <c r="N272" i="2" s="1"/>
  <c r="P272" i="2" s="1"/>
  <c r="E420" i="2"/>
  <c r="F420" i="2"/>
  <c r="G272" i="2" l="1"/>
  <c r="J273" i="2" s="1"/>
  <c r="L273" i="2"/>
  <c r="E421" i="2"/>
  <c r="F421" i="2"/>
  <c r="H273" i="2" l="1"/>
  <c r="K273" i="2" s="1"/>
  <c r="E422" i="2"/>
  <c r="F422" i="2"/>
  <c r="G273" i="2" l="1"/>
  <c r="H274" i="2" s="1"/>
  <c r="K274" i="2" s="1"/>
  <c r="L274" i="2"/>
  <c r="M273" i="2"/>
  <c r="N273" i="2" s="1"/>
  <c r="P273" i="2" s="1"/>
  <c r="E423" i="2"/>
  <c r="F423" i="2"/>
  <c r="J274" i="2" l="1"/>
  <c r="G274" i="2" s="1"/>
  <c r="M274" i="2"/>
  <c r="N274" i="2" s="1"/>
  <c r="P274" i="2" s="1"/>
  <c r="L275" i="2"/>
  <c r="E424" i="2"/>
  <c r="F424" i="2"/>
  <c r="J275" i="2" l="1"/>
  <c r="H275" i="2"/>
  <c r="E425" i="2"/>
  <c r="F425" i="2"/>
  <c r="G275" i="2" l="1"/>
  <c r="K275" i="2"/>
  <c r="E426" i="2"/>
  <c r="F426" i="2"/>
  <c r="J276" i="2" l="1"/>
  <c r="H276" i="2"/>
  <c r="L276" i="2"/>
  <c r="M275" i="2"/>
  <c r="N275" i="2" s="1"/>
  <c r="P275" i="2" s="1"/>
  <c r="E427" i="2"/>
  <c r="F427" i="2"/>
  <c r="G276" i="2" l="1"/>
  <c r="K276" i="2"/>
  <c r="E428" i="2"/>
  <c r="F428" i="2"/>
  <c r="L277" i="2" l="1"/>
  <c r="M276" i="2"/>
  <c r="N276" i="2" s="1"/>
  <c r="P276" i="2" s="1"/>
  <c r="J277" i="2"/>
  <c r="H277" i="2"/>
  <c r="E429" i="2"/>
  <c r="F429" i="2"/>
  <c r="G277" i="2" l="1"/>
  <c r="J278" i="2" s="1"/>
  <c r="K277" i="2"/>
  <c r="E430" i="2"/>
  <c r="F430" i="2"/>
  <c r="H278" i="2" l="1"/>
  <c r="G278" i="2" s="1"/>
  <c r="M277" i="2"/>
  <c r="N277" i="2" s="1"/>
  <c r="P277" i="2" s="1"/>
  <c r="L278" i="2"/>
  <c r="E431" i="2"/>
  <c r="F431" i="2"/>
  <c r="K278" i="2" l="1"/>
  <c r="L279" i="2" s="1"/>
  <c r="H279" i="2"/>
  <c r="J279" i="2"/>
  <c r="E432" i="2"/>
  <c r="F432" i="2"/>
  <c r="M278" i="2" l="1"/>
  <c r="N278" i="2" s="1"/>
  <c r="P278" i="2" s="1"/>
  <c r="K279" i="2"/>
  <c r="M279" i="2" s="1"/>
  <c r="N279" i="2" s="1"/>
  <c r="P279" i="2" s="1"/>
  <c r="G279" i="2"/>
  <c r="H280" i="2" s="1"/>
  <c r="E433" i="2"/>
  <c r="F433" i="2"/>
  <c r="L280" i="2" l="1"/>
  <c r="K280" i="2"/>
  <c r="J280" i="2"/>
  <c r="G280" i="2" s="1"/>
  <c r="J281" i="2" s="1"/>
  <c r="E434" i="2"/>
  <c r="F434" i="2"/>
  <c r="L281" i="2" l="1"/>
  <c r="M280" i="2"/>
  <c r="N280" i="2" s="1"/>
  <c r="P280" i="2" s="1"/>
  <c r="H281" i="2"/>
  <c r="K281" i="2" s="1"/>
  <c r="E435" i="2"/>
  <c r="F435" i="2"/>
  <c r="L282" i="2" l="1"/>
  <c r="M281" i="2"/>
  <c r="N281" i="2" s="1"/>
  <c r="P281" i="2" s="1"/>
  <c r="G281" i="2"/>
  <c r="E436" i="2"/>
  <c r="F436" i="2"/>
  <c r="J282" i="2" l="1"/>
  <c r="H282" i="2"/>
  <c r="E437" i="2"/>
  <c r="F437" i="2"/>
  <c r="K282" i="2" l="1"/>
  <c r="G282" i="2"/>
  <c r="E438" i="2"/>
  <c r="F438" i="2"/>
  <c r="J283" i="2" l="1"/>
  <c r="H283" i="2"/>
  <c r="K283" i="2" s="1"/>
  <c r="M282" i="2"/>
  <c r="N282" i="2" s="1"/>
  <c r="P282" i="2" s="1"/>
  <c r="L283" i="2"/>
  <c r="E439" i="2"/>
  <c r="F439" i="2"/>
  <c r="G283" i="2" l="1"/>
  <c r="H284" i="2" s="1"/>
  <c r="K284" i="2" s="1"/>
  <c r="L284" i="2"/>
  <c r="M283" i="2"/>
  <c r="N283" i="2" s="1"/>
  <c r="P283" i="2" s="1"/>
  <c r="E440" i="2"/>
  <c r="F440" i="2"/>
  <c r="J284" i="2" l="1"/>
  <c r="G284" i="2" s="1"/>
  <c r="M284" i="2"/>
  <c r="N284" i="2" s="1"/>
  <c r="P284" i="2" s="1"/>
  <c r="L285" i="2"/>
  <c r="E441" i="2"/>
  <c r="F441" i="2"/>
  <c r="H285" i="2" l="1"/>
  <c r="K285" i="2" s="1"/>
  <c r="J285" i="2"/>
  <c r="E442" i="2"/>
  <c r="F442" i="2"/>
  <c r="L286" i="2" l="1"/>
  <c r="M285" i="2"/>
  <c r="N285" i="2" s="1"/>
  <c r="P285" i="2" s="1"/>
  <c r="G285" i="2"/>
  <c r="E443" i="2"/>
  <c r="F443" i="2"/>
  <c r="J286" i="2" l="1"/>
  <c r="H286" i="2"/>
  <c r="K286" i="2" s="1"/>
  <c r="M286" i="2" s="1"/>
  <c r="N286" i="2" s="1"/>
  <c r="P286" i="2" s="1"/>
  <c r="E444" i="2"/>
  <c r="F444" i="2"/>
  <c r="G286" i="2" l="1"/>
  <c r="H287" i="2" s="1"/>
  <c r="K287" i="2" s="1"/>
  <c r="L287" i="2"/>
  <c r="E445" i="2"/>
  <c r="F445" i="2"/>
  <c r="J287" i="2" l="1"/>
  <c r="G287" i="2" s="1"/>
  <c r="M287" i="2"/>
  <c r="N287" i="2" s="1"/>
  <c r="P287" i="2" s="1"/>
  <c r="L288" i="2"/>
  <c r="E446" i="2"/>
  <c r="F446" i="2"/>
  <c r="H288" i="2" l="1"/>
  <c r="K288" i="2" s="1"/>
  <c r="M288" i="2" s="1"/>
  <c r="N288" i="2" s="1"/>
  <c r="P288" i="2" s="1"/>
  <c r="J288" i="2"/>
  <c r="E447" i="2"/>
  <c r="F447" i="2"/>
  <c r="L289" i="2" l="1"/>
  <c r="G288" i="2"/>
  <c r="E448" i="2"/>
  <c r="F448" i="2"/>
  <c r="H289" i="2" l="1"/>
  <c r="K289" i="2" s="1"/>
  <c r="J289" i="2"/>
  <c r="E449" i="2"/>
  <c r="F449" i="2"/>
  <c r="M289" i="2" l="1"/>
  <c r="N289" i="2" s="1"/>
  <c r="P289" i="2" s="1"/>
  <c r="L290" i="2"/>
  <c r="G289" i="2"/>
  <c r="E450" i="2"/>
  <c r="F450" i="2"/>
  <c r="J290" i="2" l="1"/>
  <c r="H290" i="2"/>
  <c r="K290" i="2" s="1"/>
  <c r="M290" i="2" s="1"/>
  <c r="N290" i="2" s="1"/>
  <c r="P290" i="2" s="1"/>
  <c r="E451" i="2"/>
  <c r="F451" i="2"/>
  <c r="L291" i="2" l="1"/>
  <c r="G290" i="2"/>
  <c r="J291" i="2" s="1"/>
  <c r="E452" i="2"/>
  <c r="F452" i="2"/>
  <c r="H291" i="2" l="1"/>
  <c r="K291" i="2" s="1"/>
  <c r="L292" i="2" s="1"/>
  <c r="E453" i="2"/>
  <c r="F453" i="2"/>
  <c r="G291" i="2" l="1"/>
  <c r="J292" i="2" s="1"/>
  <c r="M291" i="2"/>
  <c r="N291" i="2" s="1"/>
  <c r="P291" i="2" s="1"/>
  <c r="E454" i="2"/>
  <c r="F454" i="2"/>
  <c r="H292" i="2" l="1"/>
  <c r="K292" i="2" s="1"/>
  <c r="M292" i="2" s="1"/>
  <c r="N292" i="2" s="1"/>
  <c r="P292" i="2" s="1"/>
  <c r="E455" i="2"/>
  <c r="F455" i="2"/>
  <c r="G292" i="2" l="1"/>
  <c r="J293" i="2" s="1"/>
  <c r="L293" i="2"/>
  <c r="E456" i="2"/>
  <c r="F456" i="2"/>
  <c r="H293" i="2" l="1"/>
  <c r="K293" i="2" s="1"/>
  <c r="L294" i="2" s="1"/>
  <c r="E457" i="2"/>
  <c r="F457" i="2"/>
  <c r="M293" i="2" l="1"/>
  <c r="N293" i="2" s="1"/>
  <c r="P293" i="2" s="1"/>
  <c r="G293" i="2"/>
  <c r="H294" i="2" s="1"/>
  <c r="K294" i="2" s="1"/>
  <c r="E458" i="2"/>
  <c r="F458" i="2"/>
  <c r="J294" i="2" l="1"/>
  <c r="G294" i="2" s="1"/>
  <c r="H295" i="2" s="1"/>
  <c r="M294" i="2"/>
  <c r="N294" i="2" s="1"/>
  <c r="P294" i="2" s="1"/>
  <c r="L295" i="2"/>
  <c r="E459" i="2"/>
  <c r="F459" i="2"/>
  <c r="J295" i="2" l="1"/>
  <c r="G295" i="2" s="1"/>
  <c r="H296" i="2" s="1"/>
  <c r="K295" i="2"/>
  <c r="M295" i="2" s="1"/>
  <c r="N295" i="2" s="1"/>
  <c r="P295" i="2" s="1"/>
  <c r="E460" i="2"/>
  <c r="F460" i="2"/>
  <c r="J296" i="2" l="1"/>
  <c r="G296" i="2" s="1"/>
  <c r="J297" i="2" s="1"/>
  <c r="K296" i="2"/>
  <c r="L296" i="2"/>
  <c r="E461" i="2"/>
  <c r="F461" i="2"/>
  <c r="L297" i="2" l="1"/>
  <c r="M296" i="2"/>
  <c r="N296" i="2" s="1"/>
  <c r="P296" i="2" s="1"/>
  <c r="H297" i="2"/>
  <c r="G297" i="2" s="1"/>
  <c r="E462" i="2"/>
  <c r="F462" i="2"/>
  <c r="K297" i="2" l="1"/>
  <c r="L298" i="2" s="1"/>
  <c r="J298" i="2"/>
  <c r="H298" i="2"/>
  <c r="E463" i="2"/>
  <c r="F463" i="2"/>
  <c r="M297" i="2" l="1"/>
  <c r="N297" i="2" s="1"/>
  <c r="P297" i="2" s="1"/>
  <c r="G298" i="2"/>
  <c r="K298" i="2"/>
  <c r="E464" i="2"/>
  <c r="F464" i="2"/>
  <c r="M298" i="2" l="1"/>
  <c r="N298" i="2" s="1"/>
  <c r="P298" i="2" s="1"/>
  <c r="L299" i="2"/>
  <c r="H299" i="2"/>
  <c r="K299" i="2" s="1"/>
  <c r="J299" i="2"/>
  <c r="E465" i="2"/>
  <c r="F465" i="2"/>
  <c r="G299" i="2" l="1"/>
  <c r="H300" i="2" s="1"/>
  <c r="K300" i="2" s="1"/>
  <c r="M299" i="2"/>
  <c r="N299" i="2" s="1"/>
  <c r="P299" i="2" s="1"/>
  <c r="L300" i="2"/>
  <c r="E466" i="2"/>
  <c r="F466" i="2"/>
  <c r="M300" i="2" l="1"/>
  <c r="N300" i="2" s="1"/>
  <c r="P300" i="2" s="1"/>
  <c r="J300" i="2"/>
  <c r="G300" i="2" s="1"/>
  <c r="L301" i="2"/>
  <c r="E467" i="2"/>
  <c r="F467" i="2"/>
  <c r="J301" i="2" l="1"/>
  <c r="H301" i="2"/>
  <c r="K301" i="2" s="1"/>
  <c r="M301" i="2" s="1"/>
  <c r="N301" i="2" s="1"/>
  <c r="P301" i="2" s="1"/>
  <c r="E468" i="2"/>
  <c r="F468" i="2"/>
  <c r="G301" i="2" l="1"/>
  <c r="J302" i="2" s="1"/>
  <c r="L302" i="2"/>
  <c r="E469" i="2"/>
  <c r="F469" i="2"/>
  <c r="H302" i="2" l="1"/>
  <c r="G302" i="2" s="1"/>
  <c r="E470" i="2"/>
  <c r="F470" i="2"/>
  <c r="K302" i="2" l="1"/>
  <c r="H303" i="2"/>
  <c r="J303" i="2"/>
  <c r="E471" i="2"/>
  <c r="F471" i="2"/>
  <c r="G303" i="2" l="1"/>
  <c r="J304" i="2" s="1"/>
  <c r="K303" i="2"/>
  <c r="M302" i="2"/>
  <c r="N302" i="2" s="1"/>
  <c r="P302" i="2" s="1"/>
  <c r="L303" i="2"/>
  <c r="E472" i="2"/>
  <c r="F472" i="2"/>
  <c r="H304" i="2" l="1"/>
  <c r="K304" i="2" s="1"/>
  <c r="L304" i="2"/>
  <c r="M303" i="2"/>
  <c r="N303" i="2" s="1"/>
  <c r="P303" i="2" s="1"/>
  <c r="E473" i="2"/>
  <c r="F473" i="2"/>
  <c r="G304" i="2" l="1"/>
  <c r="H305" i="2" s="1"/>
  <c r="L305" i="2"/>
  <c r="M304" i="2"/>
  <c r="N304" i="2" s="1"/>
  <c r="P304" i="2" s="1"/>
  <c r="E474" i="2"/>
  <c r="F474" i="2"/>
  <c r="J305" i="2" l="1"/>
  <c r="G305" i="2" s="1"/>
  <c r="K305" i="2"/>
  <c r="E475" i="2"/>
  <c r="F475" i="2"/>
  <c r="H306" i="2" l="1"/>
  <c r="K306" i="2" s="1"/>
  <c r="J306" i="2"/>
  <c r="M305" i="2"/>
  <c r="N305" i="2" s="1"/>
  <c r="P305" i="2" s="1"/>
  <c r="L306" i="2"/>
  <c r="E476" i="2"/>
  <c r="F476" i="2"/>
  <c r="G306" i="2" l="1"/>
  <c r="H307" i="2" s="1"/>
  <c r="L307" i="2"/>
  <c r="M306" i="2"/>
  <c r="N306" i="2" s="1"/>
  <c r="P306" i="2" s="1"/>
  <c r="E477" i="2"/>
  <c r="F477" i="2"/>
  <c r="J307" i="2" l="1"/>
  <c r="G307" i="2" s="1"/>
  <c r="K307" i="2"/>
  <c r="E478" i="2"/>
  <c r="F478" i="2"/>
  <c r="H308" i="2" l="1"/>
  <c r="K308" i="2" s="1"/>
  <c r="J308" i="2"/>
  <c r="L308" i="2"/>
  <c r="M307" i="2"/>
  <c r="N307" i="2" s="1"/>
  <c r="P307" i="2" s="1"/>
  <c r="E479" i="2"/>
  <c r="F479" i="2"/>
  <c r="G308" i="2" l="1"/>
  <c r="H309" i="2" s="1"/>
  <c r="K309" i="2" s="1"/>
  <c r="L309" i="2"/>
  <c r="M308" i="2"/>
  <c r="N308" i="2" s="1"/>
  <c r="P308" i="2" s="1"/>
  <c r="E480" i="2"/>
  <c r="F480" i="2"/>
  <c r="J309" i="2" l="1"/>
  <c r="G309" i="2" s="1"/>
  <c r="J310" i="2" s="1"/>
  <c r="M309" i="2"/>
  <c r="N309" i="2" s="1"/>
  <c r="P309" i="2" s="1"/>
  <c r="L310" i="2"/>
  <c r="E481" i="2"/>
  <c r="F481" i="2"/>
  <c r="H310" i="2" l="1"/>
  <c r="K310" i="2" s="1"/>
  <c r="L311" i="2" s="1"/>
  <c r="E482" i="2"/>
  <c r="F482" i="2"/>
  <c r="G310" i="2" l="1"/>
  <c r="H311" i="2" s="1"/>
  <c r="K311" i="2" s="1"/>
  <c r="L312" i="2" s="1"/>
  <c r="M310" i="2"/>
  <c r="N310" i="2" s="1"/>
  <c r="P310" i="2" s="1"/>
  <c r="E483" i="2"/>
  <c r="F483" i="2"/>
  <c r="J311" i="2" l="1"/>
  <c r="G311" i="2" s="1"/>
  <c r="H312" i="2" s="1"/>
  <c r="K312" i="2" s="1"/>
  <c r="L313" i="2" s="1"/>
  <c r="M311" i="2"/>
  <c r="N311" i="2" s="1"/>
  <c r="P311" i="2" s="1"/>
  <c r="E484" i="2"/>
  <c r="F484" i="2"/>
  <c r="J312" i="2" l="1"/>
  <c r="G312" i="2" s="1"/>
  <c r="H313" i="2" s="1"/>
  <c r="K313" i="2" s="1"/>
  <c r="M313" i="2" s="1"/>
  <c r="N313" i="2" s="1"/>
  <c r="P313" i="2" s="1"/>
  <c r="M312" i="2"/>
  <c r="N312" i="2" s="1"/>
  <c r="P312" i="2" s="1"/>
  <c r="E485" i="2"/>
  <c r="F485" i="2"/>
  <c r="J313" i="2" l="1"/>
  <c r="G313" i="2" s="1"/>
  <c r="H314" i="2" s="1"/>
  <c r="K314" i="2" s="1"/>
  <c r="L314" i="2"/>
  <c r="E486" i="2"/>
  <c r="F486" i="2"/>
  <c r="L315" i="2" l="1"/>
  <c r="J314" i="2"/>
  <c r="G314" i="2" s="1"/>
  <c r="J315" i="2" s="1"/>
  <c r="M314" i="2"/>
  <c r="N314" i="2" s="1"/>
  <c r="P314" i="2" s="1"/>
  <c r="E487" i="2"/>
  <c r="F487" i="2"/>
  <c r="H315" i="2" l="1"/>
  <c r="K315" i="2" s="1"/>
  <c r="L316" i="2" s="1"/>
  <c r="E488" i="2"/>
  <c r="F488" i="2"/>
  <c r="M315" i="2" l="1"/>
  <c r="N315" i="2" s="1"/>
  <c r="P315" i="2" s="1"/>
  <c r="G315" i="2"/>
  <c r="E489" i="2"/>
  <c r="F489" i="2"/>
  <c r="H316" i="2" l="1"/>
  <c r="J316" i="2"/>
  <c r="E490" i="2"/>
  <c r="F490" i="2"/>
  <c r="K316" i="2" l="1"/>
  <c r="G316" i="2"/>
  <c r="E491" i="2"/>
  <c r="F491" i="2"/>
  <c r="H317" i="2" l="1"/>
  <c r="K317" i="2" s="1"/>
  <c r="J317" i="2"/>
  <c r="L317" i="2"/>
  <c r="M316" i="2"/>
  <c r="N316" i="2" s="1"/>
  <c r="P316" i="2" s="1"/>
  <c r="E492" i="2"/>
  <c r="F492" i="2"/>
  <c r="L318" i="2" l="1"/>
  <c r="G317" i="2"/>
  <c r="J318" i="2" s="1"/>
  <c r="M317" i="2"/>
  <c r="N317" i="2" s="1"/>
  <c r="P317" i="2" s="1"/>
  <c r="E493" i="2"/>
  <c r="F493" i="2"/>
  <c r="H318" i="2" l="1"/>
  <c r="K318" i="2" s="1"/>
  <c r="E494" i="2"/>
  <c r="F494" i="2"/>
  <c r="G318" i="2" l="1"/>
  <c r="J319" i="2" s="1"/>
  <c r="L319" i="2"/>
  <c r="M318" i="2"/>
  <c r="N318" i="2" s="1"/>
  <c r="P318" i="2" s="1"/>
  <c r="E495" i="2"/>
  <c r="F495" i="2"/>
  <c r="H319" i="2" l="1"/>
  <c r="K319" i="2" s="1"/>
  <c r="M319" i="2" s="1"/>
  <c r="N319" i="2" s="1"/>
  <c r="P319" i="2" s="1"/>
  <c r="E496" i="2"/>
  <c r="F496" i="2"/>
  <c r="L320" i="2" l="1"/>
  <c r="G319" i="2"/>
  <c r="J320" i="2" s="1"/>
  <c r="E497" i="2"/>
  <c r="F497" i="2"/>
  <c r="H320" i="2" l="1"/>
  <c r="K320" i="2" s="1"/>
  <c r="M320" i="2" s="1"/>
  <c r="N320" i="2" s="1"/>
  <c r="P320" i="2" s="1"/>
  <c r="E498" i="2"/>
  <c r="F498" i="2"/>
  <c r="L321" i="2" l="1"/>
  <c r="G320" i="2"/>
  <c r="H321" i="2" s="1"/>
  <c r="K321" i="2" s="1"/>
  <c r="E499" i="2"/>
  <c r="F499" i="2"/>
  <c r="M321" i="2" l="1"/>
  <c r="N321" i="2" s="1"/>
  <c r="P321" i="2" s="1"/>
  <c r="J321" i="2"/>
  <c r="G321" i="2" s="1"/>
  <c r="H322" i="2" s="1"/>
  <c r="K322" i="2" s="1"/>
  <c r="L322" i="2"/>
  <c r="E500" i="2"/>
  <c r="F500" i="2"/>
  <c r="L323" i="2" l="1"/>
  <c r="J322" i="2"/>
  <c r="G322" i="2" s="1"/>
  <c r="J323" i="2" s="1"/>
  <c r="M322" i="2"/>
  <c r="N322" i="2" s="1"/>
  <c r="P322" i="2" s="1"/>
  <c r="F501" i="2"/>
  <c r="E501" i="2"/>
  <c r="H323" i="2" l="1"/>
  <c r="K323" i="2" s="1"/>
  <c r="M323" i="2" s="1"/>
  <c r="N323" i="2" s="1"/>
  <c r="P323" i="2" s="1"/>
  <c r="E502" i="2"/>
  <c r="F502" i="2"/>
  <c r="G323" i="2" l="1"/>
  <c r="H324" i="2" s="1"/>
  <c r="L324" i="2"/>
  <c r="F503" i="2"/>
  <c r="E503" i="2"/>
  <c r="J324" i="2" l="1"/>
  <c r="G324" i="2" s="1"/>
  <c r="K324" i="2"/>
  <c r="E504" i="2"/>
  <c r="F504" i="2"/>
  <c r="M324" i="2" l="1"/>
  <c r="N324" i="2" s="1"/>
  <c r="P324" i="2" s="1"/>
  <c r="L325" i="2"/>
  <c r="H325" i="2"/>
  <c r="K325" i="2" s="1"/>
  <c r="J325" i="2"/>
  <c r="F505" i="2"/>
  <c r="E505" i="2"/>
  <c r="M325" i="2" l="1"/>
  <c r="N325" i="2" s="1"/>
  <c r="P325" i="2" s="1"/>
  <c r="G325" i="2"/>
  <c r="L326" i="2"/>
  <c r="F506" i="2"/>
  <c r="E506" i="2"/>
  <c r="H326" i="2" l="1"/>
  <c r="K326" i="2" s="1"/>
  <c r="J326" i="2"/>
  <c r="E507" i="2"/>
  <c r="F507" i="2"/>
  <c r="G326" i="2" l="1"/>
  <c r="J327" i="2" s="1"/>
  <c r="M326" i="2"/>
  <c r="N326" i="2" s="1"/>
  <c r="P326" i="2" s="1"/>
  <c r="L327" i="2"/>
  <c r="F508" i="2"/>
  <c r="E508" i="2"/>
  <c r="H327" i="2" l="1"/>
  <c r="G327" i="2" s="1"/>
  <c r="E509" i="2"/>
  <c r="F509" i="2"/>
  <c r="K327" i="2" l="1"/>
  <c r="M327" i="2" s="1"/>
  <c r="N327" i="2" s="1"/>
  <c r="P327" i="2" s="1"/>
  <c r="H328" i="2"/>
  <c r="J328" i="2"/>
  <c r="E510" i="2"/>
  <c r="F510" i="2"/>
  <c r="L328" i="2" l="1"/>
  <c r="K328" i="2"/>
  <c r="G328" i="2"/>
  <c r="H329" i="2" s="1"/>
  <c r="E511" i="2"/>
  <c r="F511" i="2"/>
  <c r="M328" i="2" l="1"/>
  <c r="N328" i="2" s="1"/>
  <c r="P328" i="2" s="1"/>
  <c r="L329" i="2"/>
  <c r="K329" i="2"/>
  <c r="J329" i="2"/>
  <c r="G329" i="2" s="1"/>
  <c r="J330" i="2" s="1"/>
  <c r="F512" i="2"/>
  <c r="E512" i="2"/>
  <c r="M329" i="2" l="1"/>
  <c r="N329" i="2" s="1"/>
  <c r="P329" i="2" s="1"/>
  <c r="L330" i="2"/>
  <c r="H330" i="2"/>
  <c r="K330" i="2" s="1"/>
  <c r="F513" i="2"/>
  <c r="E513" i="2"/>
  <c r="M330" i="2" l="1"/>
  <c r="N330" i="2" s="1"/>
  <c r="P330" i="2" s="1"/>
  <c r="L331" i="2"/>
  <c r="G330" i="2"/>
  <c r="E514" i="2"/>
  <c r="F514" i="2"/>
  <c r="J331" i="2" l="1"/>
  <c r="H331" i="2"/>
  <c r="F515" i="2"/>
  <c r="E515" i="2"/>
  <c r="G331" i="2" l="1"/>
  <c r="K331" i="2"/>
  <c r="E516" i="2"/>
  <c r="F516" i="2"/>
  <c r="M331" i="2" l="1"/>
  <c r="N331" i="2" s="1"/>
  <c r="P331" i="2" s="1"/>
  <c r="L332" i="2"/>
  <c r="H332" i="2"/>
  <c r="J332" i="2"/>
  <c r="F517" i="2"/>
  <c r="E517" i="2"/>
  <c r="K332" i="2" l="1"/>
  <c r="M332" i="2" s="1"/>
  <c r="N332" i="2" s="1"/>
  <c r="P332" i="2" s="1"/>
  <c r="G332" i="2"/>
  <c r="F518" i="2"/>
  <c r="E518" i="2"/>
  <c r="H333" i="2" l="1"/>
  <c r="K333" i="2" s="1"/>
  <c r="J333" i="2"/>
  <c r="L333" i="2"/>
  <c r="F519" i="2"/>
  <c r="E519" i="2"/>
  <c r="G333" i="2" l="1"/>
  <c r="H334" i="2" s="1"/>
  <c r="K334" i="2" s="1"/>
  <c r="L334" i="2"/>
  <c r="M333" i="2"/>
  <c r="N333" i="2" s="1"/>
  <c r="P333" i="2" s="1"/>
  <c r="F520" i="2"/>
  <c r="E520" i="2"/>
  <c r="M334" i="2" l="1"/>
  <c r="N334" i="2" s="1"/>
  <c r="P334" i="2" s="1"/>
  <c r="J334" i="2"/>
  <c r="G334" i="2" s="1"/>
  <c r="J335" i="2" s="1"/>
  <c r="L335" i="2"/>
  <c r="F521" i="2"/>
  <c r="E521" i="2"/>
  <c r="H335" i="2" l="1"/>
  <c r="K335" i="2" s="1"/>
  <c r="M335" i="2" s="1"/>
  <c r="N335" i="2" s="1"/>
  <c r="P335" i="2" s="1"/>
  <c r="E522" i="2"/>
  <c r="F522" i="2"/>
  <c r="G335" i="2" l="1"/>
  <c r="H336" i="2" s="1"/>
  <c r="L336" i="2"/>
  <c r="F523" i="2"/>
  <c r="E523" i="2"/>
  <c r="J336" i="2" l="1"/>
  <c r="G336" i="2" s="1"/>
  <c r="K336" i="2"/>
  <c r="M336" i="2" s="1"/>
  <c r="N336" i="2" s="1"/>
  <c r="P336" i="2" s="1"/>
  <c r="F524" i="2"/>
  <c r="E524" i="2"/>
  <c r="J337" i="2" l="1"/>
  <c r="H337" i="2"/>
  <c r="L337" i="2"/>
  <c r="E525" i="2"/>
  <c r="F525" i="2"/>
  <c r="K337" i="2" l="1"/>
  <c r="G337" i="2"/>
  <c r="F526" i="2"/>
  <c r="E526" i="2"/>
  <c r="H338" i="2" l="1"/>
  <c r="J338" i="2"/>
  <c r="L338" i="2"/>
  <c r="M337" i="2"/>
  <c r="N337" i="2" s="1"/>
  <c r="P337" i="2" s="1"/>
  <c r="F527" i="2"/>
  <c r="E527" i="2"/>
  <c r="K338" i="2" l="1"/>
  <c r="M338" i="2" s="1"/>
  <c r="N338" i="2" s="1"/>
  <c r="P338" i="2" s="1"/>
  <c r="G338" i="2"/>
  <c r="E528" i="2"/>
  <c r="F528" i="2"/>
  <c r="J339" i="2" l="1"/>
  <c r="H339" i="2"/>
  <c r="K339" i="2" s="1"/>
  <c r="L339" i="2"/>
  <c r="F529" i="2"/>
  <c r="E529" i="2"/>
  <c r="M339" i="2" l="1"/>
  <c r="N339" i="2" s="1"/>
  <c r="P339" i="2" s="1"/>
  <c r="L340" i="2"/>
  <c r="G339" i="2"/>
  <c r="E530" i="2"/>
  <c r="F530" i="2"/>
  <c r="J340" i="2" l="1"/>
  <c r="H340" i="2"/>
  <c r="K340" i="2" s="1"/>
  <c r="M340" i="2" s="1"/>
  <c r="N340" i="2" s="1"/>
  <c r="P340" i="2" s="1"/>
  <c r="E531" i="2"/>
  <c r="F531" i="2"/>
  <c r="L341" i="2" l="1"/>
  <c r="G340" i="2"/>
  <c r="E532" i="2"/>
  <c r="F532" i="2"/>
  <c r="J341" i="2" l="1"/>
  <c r="H341" i="2"/>
  <c r="K341" i="2" s="1"/>
  <c r="M341" i="2" s="1"/>
  <c r="N341" i="2" s="1"/>
  <c r="P341" i="2" s="1"/>
  <c r="E533" i="2"/>
  <c r="F533" i="2"/>
  <c r="G341" i="2" l="1"/>
  <c r="J342" i="2" s="1"/>
  <c r="L342" i="2"/>
  <c r="E534" i="2"/>
  <c r="F534" i="2"/>
  <c r="H342" i="2" l="1"/>
  <c r="K342" i="2" s="1"/>
  <c r="M342" i="2" s="1"/>
  <c r="N342" i="2" s="1"/>
  <c r="P342" i="2" s="1"/>
  <c r="F535" i="2"/>
  <c r="E535" i="2"/>
  <c r="G342" i="2" l="1"/>
  <c r="J343" i="2" s="1"/>
  <c r="L343" i="2"/>
  <c r="E536" i="2"/>
  <c r="F536" i="2"/>
  <c r="H343" i="2" l="1"/>
  <c r="K343" i="2" s="1"/>
  <c r="M343" i="2" s="1"/>
  <c r="N343" i="2" s="1"/>
  <c r="P343" i="2" s="1"/>
  <c r="E537" i="2"/>
  <c r="F537" i="2"/>
  <c r="L344" i="2" l="1"/>
  <c r="G343" i="2"/>
  <c r="H344" i="2" s="1"/>
  <c r="K344" i="2" s="1"/>
  <c r="E538" i="2"/>
  <c r="F538" i="2"/>
  <c r="M344" i="2" l="1"/>
  <c r="N344" i="2" s="1"/>
  <c r="P344" i="2" s="1"/>
  <c r="J344" i="2"/>
  <c r="G344" i="2" s="1"/>
  <c r="J345" i="2" s="1"/>
  <c r="L345" i="2"/>
  <c r="E539" i="2"/>
  <c r="F539" i="2"/>
  <c r="H345" i="2" l="1"/>
  <c r="K345" i="2" s="1"/>
  <c r="M345" i="2" s="1"/>
  <c r="N345" i="2" s="1"/>
  <c r="P345" i="2" s="1"/>
  <c r="F540" i="2"/>
  <c r="E540" i="2"/>
  <c r="G345" i="2" l="1"/>
  <c r="J346" i="2" s="1"/>
  <c r="L346" i="2"/>
  <c r="F541" i="2"/>
  <c r="E541" i="2"/>
  <c r="H346" i="2" l="1"/>
  <c r="K346" i="2" s="1"/>
  <c r="E542" i="2"/>
  <c r="F542" i="2"/>
  <c r="G346" i="2" l="1"/>
  <c r="H347" i="2" s="1"/>
  <c r="K347" i="2" s="1"/>
  <c r="M346" i="2"/>
  <c r="N346" i="2" s="1"/>
  <c r="P346" i="2" s="1"/>
  <c r="L347" i="2"/>
  <c r="E543" i="2"/>
  <c r="F543" i="2"/>
  <c r="J347" i="2" l="1"/>
  <c r="G347" i="2" s="1"/>
  <c r="J348" i="2" s="1"/>
  <c r="M347" i="2"/>
  <c r="N347" i="2" s="1"/>
  <c r="P347" i="2" s="1"/>
  <c r="L348" i="2"/>
  <c r="F544" i="2"/>
  <c r="E544" i="2"/>
  <c r="H348" i="2" l="1"/>
  <c r="G348" i="2" s="1"/>
  <c r="J349" i="2" s="1"/>
  <c r="F545" i="2"/>
  <c r="E545" i="2"/>
  <c r="K348" i="2" l="1"/>
  <c r="M348" i="2" s="1"/>
  <c r="N348" i="2" s="1"/>
  <c r="P348" i="2" s="1"/>
  <c r="H349" i="2"/>
  <c r="G349" i="2" s="1"/>
  <c r="J350" i="2" s="1"/>
  <c r="E546" i="2"/>
  <c r="F546" i="2"/>
  <c r="L349" i="2" l="1"/>
  <c r="K349" i="2"/>
  <c r="H350" i="2"/>
  <c r="G350" i="2" s="1"/>
  <c r="F547" i="2"/>
  <c r="E547" i="2"/>
  <c r="L350" i="2" l="1"/>
  <c r="K350" i="2"/>
  <c r="M349" i="2"/>
  <c r="N349" i="2" s="1"/>
  <c r="P349" i="2" s="1"/>
  <c r="J351" i="2"/>
  <c r="H351" i="2"/>
  <c r="F548" i="2"/>
  <c r="E548" i="2"/>
  <c r="L351" i="2" l="1"/>
  <c r="K351" i="2"/>
  <c r="M350" i="2"/>
  <c r="N350" i="2" s="1"/>
  <c r="P350" i="2" s="1"/>
  <c r="G351" i="2"/>
  <c r="F549" i="2"/>
  <c r="E549" i="2"/>
  <c r="M351" i="2" l="1"/>
  <c r="N351" i="2" s="1"/>
  <c r="P351" i="2" s="1"/>
  <c r="L352" i="2"/>
  <c r="H352" i="2"/>
  <c r="K352" i="2" s="1"/>
  <c r="J352" i="2"/>
  <c r="F550" i="2"/>
  <c r="E550" i="2"/>
  <c r="G352" i="2" l="1"/>
  <c r="H353" i="2" s="1"/>
  <c r="K353" i="2" s="1"/>
  <c r="M352" i="2"/>
  <c r="N352" i="2" s="1"/>
  <c r="P352" i="2" s="1"/>
  <c r="L353" i="2"/>
  <c r="F551" i="2"/>
  <c r="E551" i="2"/>
  <c r="J353" i="2" l="1"/>
  <c r="G353" i="2" s="1"/>
  <c r="J354" i="2" s="1"/>
  <c r="L354" i="2"/>
  <c r="M353" i="2"/>
  <c r="N353" i="2" s="1"/>
  <c r="P353" i="2" s="1"/>
  <c r="E552" i="2"/>
  <c r="F552" i="2"/>
  <c r="H354" i="2" l="1"/>
  <c r="G354" i="2" s="1"/>
  <c r="H355" i="2" s="1"/>
  <c r="E553" i="2"/>
  <c r="F553" i="2"/>
  <c r="K354" i="2" l="1"/>
  <c r="M354" i="2" s="1"/>
  <c r="N354" i="2" s="1"/>
  <c r="P354" i="2" s="1"/>
  <c r="J355" i="2"/>
  <c r="G355" i="2" s="1"/>
  <c r="J356" i="2" s="1"/>
  <c r="F554" i="2"/>
  <c r="E554" i="2"/>
  <c r="K355" i="2" l="1"/>
  <c r="L355" i="2"/>
  <c r="H356" i="2"/>
  <c r="E555" i="2"/>
  <c r="F555" i="2"/>
  <c r="K356" i="2" l="1"/>
  <c r="M355" i="2"/>
  <c r="N355" i="2" s="1"/>
  <c r="P355" i="2" s="1"/>
  <c r="L356" i="2"/>
  <c r="G356" i="2"/>
  <c r="J357" i="2" s="1"/>
  <c r="E556" i="2"/>
  <c r="F556" i="2"/>
  <c r="L357" i="2" l="1"/>
  <c r="M356" i="2"/>
  <c r="N356" i="2" s="1"/>
  <c r="P356" i="2" s="1"/>
  <c r="H357" i="2"/>
  <c r="K357" i="2" s="1"/>
  <c r="E557" i="2"/>
  <c r="F557" i="2"/>
  <c r="L358" i="2" l="1"/>
  <c r="M357" i="2"/>
  <c r="N357" i="2" s="1"/>
  <c r="P357" i="2" s="1"/>
  <c r="G357" i="2"/>
  <c r="H358" i="2" s="1"/>
  <c r="K358" i="2" s="1"/>
  <c r="F558" i="2"/>
  <c r="E558" i="2"/>
  <c r="M358" i="2" l="1"/>
  <c r="N358" i="2" s="1"/>
  <c r="P358" i="2" s="1"/>
  <c r="J358" i="2"/>
  <c r="G358" i="2" s="1"/>
  <c r="H359" i="2" s="1"/>
  <c r="K359" i="2" s="1"/>
  <c r="L359" i="2"/>
  <c r="E559" i="2"/>
  <c r="F559" i="2"/>
  <c r="J359" i="2" l="1"/>
  <c r="G359" i="2" s="1"/>
  <c r="J360" i="2" s="1"/>
  <c r="M359" i="2"/>
  <c r="N359" i="2" s="1"/>
  <c r="P359" i="2" s="1"/>
  <c r="L360" i="2"/>
  <c r="E560" i="2"/>
  <c r="F560" i="2"/>
  <c r="H360" i="2" l="1"/>
  <c r="K360" i="2" s="1"/>
  <c r="L361" i="2" s="1"/>
  <c r="E561" i="2"/>
  <c r="F561" i="2"/>
  <c r="G360" i="2" l="1"/>
  <c r="J361" i="2" s="1"/>
  <c r="M360" i="2"/>
  <c r="N360" i="2" s="1"/>
  <c r="P360" i="2" s="1"/>
  <c r="E562" i="2"/>
  <c r="F562" i="2"/>
  <c r="H361" i="2" l="1"/>
  <c r="K361" i="2" s="1"/>
  <c r="M361" i="2" s="1"/>
  <c r="N361" i="2" s="1"/>
  <c r="P361" i="2" s="1"/>
  <c r="F563" i="2"/>
  <c r="E563" i="2"/>
  <c r="G361" i="2" l="1"/>
  <c r="J362" i="2" s="1"/>
  <c r="L362" i="2"/>
  <c r="F564" i="2"/>
  <c r="E564" i="2"/>
  <c r="H362" i="2" l="1"/>
  <c r="K362" i="2" s="1"/>
  <c r="M362" i="2" s="1"/>
  <c r="N362" i="2" s="1"/>
  <c r="P362" i="2" s="1"/>
  <c r="F565" i="2"/>
  <c r="E565" i="2"/>
  <c r="L363" i="2" l="1"/>
  <c r="G362" i="2"/>
  <c r="H363" i="2" s="1"/>
  <c r="K363" i="2" s="1"/>
  <c r="E566" i="2"/>
  <c r="F566" i="2"/>
  <c r="M363" i="2" l="1"/>
  <c r="N363" i="2" s="1"/>
  <c r="P363" i="2" s="1"/>
  <c r="J363" i="2"/>
  <c r="G363" i="2" s="1"/>
  <c r="H364" i="2" s="1"/>
  <c r="K364" i="2" s="1"/>
  <c r="L364" i="2"/>
  <c r="F567" i="2"/>
  <c r="E567" i="2"/>
  <c r="J364" i="2" l="1"/>
  <c r="G364" i="2" s="1"/>
  <c r="H365" i="2" s="1"/>
  <c r="K365" i="2" s="1"/>
  <c r="L365" i="2"/>
  <c r="M364" i="2"/>
  <c r="N364" i="2" s="1"/>
  <c r="P364" i="2" s="1"/>
  <c r="F568" i="2"/>
  <c r="E568" i="2"/>
  <c r="J365" i="2" l="1"/>
  <c r="G365" i="2" s="1"/>
  <c r="H366" i="2" s="1"/>
  <c r="K366" i="2" s="1"/>
  <c r="M365" i="2"/>
  <c r="N365" i="2" s="1"/>
  <c r="P365" i="2" s="1"/>
  <c r="L366" i="2"/>
  <c r="F569" i="2"/>
  <c r="E569" i="2"/>
  <c r="J366" i="2" l="1"/>
  <c r="G366" i="2" s="1"/>
  <c r="H367" i="2" s="1"/>
  <c r="M366" i="2"/>
  <c r="N366" i="2" s="1"/>
  <c r="P366" i="2" s="1"/>
  <c r="L367" i="2"/>
  <c r="E570" i="2"/>
  <c r="F570" i="2"/>
  <c r="J367" i="2" l="1"/>
  <c r="G367" i="2" s="1"/>
  <c r="K367" i="2"/>
  <c r="E571" i="2"/>
  <c r="F571" i="2"/>
  <c r="M367" i="2" l="1"/>
  <c r="N367" i="2" s="1"/>
  <c r="P367" i="2" s="1"/>
  <c r="J368" i="2"/>
  <c r="H368" i="2"/>
  <c r="K368" i="2" s="1"/>
  <c r="L368" i="2"/>
  <c r="E572" i="2"/>
  <c r="F572" i="2"/>
  <c r="M368" i="2" l="1"/>
  <c r="N368" i="2" s="1"/>
  <c r="P368" i="2" s="1"/>
  <c r="G368" i="2"/>
  <c r="L369" i="2"/>
  <c r="E573" i="2"/>
  <c r="F573" i="2"/>
  <c r="J369" i="2" l="1"/>
  <c r="H369" i="2"/>
  <c r="K369" i="2" s="1"/>
  <c r="M369" i="2" s="1"/>
  <c r="N369" i="2" s="1"/>
  <c r="P369" i="2" s="1"/>
  <c r="F574" i="2"/>
  <c r="E574" i="2"/>
  <c r="G369" i="2" l="1"/>
  <c r="J370" i="2" s="1"/>
  <c r="L370" i="2"/>
  <c r="E575" i="2"/>
  <c r="F575" i="2"/>
  <c r="H370" i="2" l="1"/>
  <c r="K370" i="2" s="1"/>
  <c r="M370" i="2" s="1"/>
  <c r="N370" i="2" s="1"/>
  <c r="P370" i="2" s="1"/>
  <c r="E576" i="2"/>
  <c r="F576" i="2"/>
  <c r="L371" i="2" l="1"/>
  <c r="G370" i="2"/>
  <c r="H371" i="2" s="1"/>
  <c r="K371" i="2" s="1"/>
  <c r="F577" i="2"/>
  <c r="E577" i="2"/>
  <c r="J371" i="2" l="1"/>
  <c r="G371" i="2" s="1"/>
  <c r="H372" i="2" s="1"/>
  <c r="K372" i="2" s="1"/>
  <c r="L372" i="2"/>
  <c r="M371" i="2"/>
  <c r="N371" i="2" s="1"/>
  <c r="P371" i="2" s="1"/>
  <c r="F578" i="2"/>
  <c r="E578" i="2"/>
  <c r="J372" i="2" l="1"/>
  <c r="G372" i="2" s="1"/>
  <c r="H373" i="2" s="1"/>
  <c r="K373" i="2" s="1"/>
  <c r="L373" i="2"/>
  <c r="M372" i="2"/>
  <c r="N372" i="2" s="1"/>
  <c r="P372" i="2" s="1"/>
  <c r="E579" i="2"/>
  <c r="F579" i="2"/>
  <c r="J373" i="2" l="1"/>
  <c r="G373" i="2" s="1"/>
  <c r="H374" i="2" s="1"/>
  <c r="M373" i="2"/>
  <c r="N373" i="2" s="1"/>
  <c r="P373" i="2" s="1"/>
  <c r="L374" i="2"/>
  <c r="F580" i="2"/>
  <c r="E580" i="2"/>
  <c r="J374" i="2" l="1"/>
  <c r="G374" i="2" s="1"/>
  <c r="K374" i="2"/>
  <c r="M374" i="2" s="1"/>
  <c r="N374" i="2" s="1"/>
  <c r="P374" i="2" s="1"/>
  <c r="E581" i="2"/>
  <c r="F581" i="2"/>
  <c r="L375" i="2" l="1"/>
  <c r="J375" i="2"/>
  <c r="H375" i="2"/>
  <c r="F582" i="2"/>
  <c r="E582" i="2"/>
  <c r="G375" i="2" l="1"/>
  <c r="K375" i="2"/>
  <c r="E583" i="2"/>
  <c r="F583" i="2"/>
  <c r="M375" i="2" l="1"/>
  <c r="N375" i="2" s="1"/>
  <c r="P375" i="2" s="1"/>
  <c r="L376" i="2"/>
  <c r="J376" i="2"/>
  <c r="H376" i="2"/>
  <c r="F584" i="2"/>
  <c r="E584" i="2"/>
  <c r="K376" i="2" l="1"/>
  <c r="M376" i="2" s="1"/>
  <c r="N376" i="2" s="1"/>
  <c r="P376" i="2" s="1"/>
  <c r="G376" i="2"/>
  <c r="F585" i="2"/>
  <c r="E585" i="2"/>
  <c r="H377" i="2" l="1"/>
  <c r="J377" i="2"/>
  <c r="L377" i="2"/>
  <c r="F586" i="2"/>
  <c r="E586" i="2"/>
  <c r="K377" i="2" l="1"/>
  <c r="G377" i="2"/>
  <c r="F587" i="2"/>
  <c r="E587" i="2"/>
  <c r="H378" i="2" l="1"/>
  <c r="K378" i="2" s="1"/>
  <c r="J378" i="2"/>
  <c r="L378" i="2"/>
  <c r="M377" i="2"/>
  <c r="N377" i="2" s="1"/>
  <c r="P377" i="2" s="1"/>
  <c r="F588" i="2"/>
  <c r="E588" i="2"/>
  <c r="L379" i="2" l="1"/>
  <c r="G378" i="2"/>
  <c r="J379" i="2" s="1"/>
  <c r="M378" i="2"/>
  <c r="N378" i="2" s="1"/>
  <c r="P378" i="2" s="1"/>
  <c r="E589" i="2"/>
  <c r="F589" i="2"/>
  <c r="H379" i="2" l="1"/>
  <c r="K379" i="2" s="1"/>
  <c r="L380" i="2" s="1"/>
  <c r="E590" i="2"/>
  <c r="F590" i="2"/>
  <c r="G379" i="2" l="1"/>
  <c r="J380" i="2" s="1"/>
  <c r="M379" i="2"/>
  <c r="N379" i="2" s="1"/>
  <c r="P379" i="2" s="1"/>
  <c r="F591" i="2"/>
  <c r="E591" i="2"/>
  <c r="H380" i="2" l="1"/>
  <c r="K380" i="2" s="1"/>
  <c r="M380" i="2" s="1"/>
  <c r="N380" i="2" s="1"/>
  <c r="P380" i="2" s="1"/>
  <c r="E592" i="2"/>
  <c r="F592" i="2"/>
  <c r="G380" i="2" l="1"/>
  <c r="J381" i="2" s="1"/>
  <c r="L381" i="2"/>
  <c r="F593" i="2"/>
  <c r="E593" i="2"/>
  <c r="H381" i="2" l="1"/>
  <c r="K381" i="2" s="1"/>
  <c r="E594" i="2"/>
  <c r="F594" i="2"/>
  <c r="G381" i="2" l="1"/>
  <c r="H382" i="2" s="1"/>
  <c r="M381" i="2"/>
  <c r="N381" i="2" s="1"/>
  <c r="P381" i="2" s="1"/>
  <c r="L382" i="2"/>
  <c r="F595" i="2"/>
  <c r="E595" i="2"/>
  <c r="J382" i="2" l="1"/>
  <c r="G382" i="2" s="1"/>
  <c r="K382" i="2"/>
  <c r="E596" i="2"/>
  <c r="F596" i="2"/>
  <c r="M382" i="2" l="1"/>
  <c r="N382" i="2" s="1"/>
  <c r="P382" i="2" s="1"/>
  <c r="L383" i="2"/>
  <c r="J383" i="2"/>
  <c r="H383" i="2"/>
  <c r="K383" i="2" s="1"/>
  <c r="F597" i="2"/>
  <c r="E597" i="2"/>
  <c r="M383" i="2" l="1"/>
  <c r="N383" i="2" s="1"/>
  <c r="P383" i="2" s="1"/>
  <c r="G383" i="2"/>
  <c r="L384" i="2"/>
  <c r="E598" i="2"/>
  <c r="F598" i="2"/>
  <c r="H384" i="2" l="1"/>
  <c r="J384" i="2"/>
  <c r="F599" i="2"/>
  <c r="E599" i="2"/>
  <c r="G384" i="2" l="1"/>
  <c r="K384" i="2"/>
  <c r="E600" i="2"/>
  <c r="F600" i="2"/>
  <c r="J385" i="2" l="1"/>
  <c r="H385" i="2"/>
  <c r="K385" i="2" s="1"/>
  <c r="M384" i="2"/>
  <c r="N384" i="2" s="1"/>
  <c r="P384" i="2" s="1"/>
  <c r="L385" i="2"/>
  <c r="E601" i="2"/>
  <c r="F601" i="2"/>
  <c r="G385" i="2" l="1"/>
  <c r="J386" i="2" s="1"/>
  <c r="L386" i="2"/>
  <c r="M385" i="2"/>
  <c r="N385" i="2" s="1"/>
  <c r="P385" i="2" s="1"/>
  <c r="E602" i="2"/>
  <c r="F602" i="2"/>
  <c r="H386" i="2" l="1"/>
  <c r="K386" i="2" s="1"/>
  <c r="M386" i="2" s="1"/>
  <c r="N386" i="2" s="1"/>
  <c r="P386" i="2" s="1"/>
  <c r="E603" i="2"/>
  <c r="F603" i="2"/>
  <c r="L387" i="2" l="1"/>
  <c r="G386" i="2"/>
  <c r="E604" i="2"/>
  <c r="F604" i="2"/>
  <c r="J387" i="2" l="1"/>
  <c r="H387" i="2"/>
  <c r="F605" i="2"/>
  <c r="E605" i="2"/>
  <c r="K387" i="2" l="1"/>
  <c r="G387" i="2"/>
  <c r="F606" i="2"/>
  <c r="E606" i="2"/>
  <c r="M387" i="2" l="1"/>
  <c r="N387" i="2" s="1"/>
  <c r="P387" i="2" s="1"/>
  <c r="L388" i="2"/>
  <c r="J388" i="2"/>
  <c r="H388" i="2"/>
  <c r="K388" i="2" s="1"/>
  <c r="F607" i="2"/>
  <c r="E607" i="2"/>
  <c r="M388" i="2" l="1"/>
  <c r="N388" i="2" s="1"/>
  <c r="P388" i="2" s="1"/>
  <c r="G388" i="2"/>
  <c r="J389" i="2" s="1"/>
  <c r="L389" i="2"/>
  <c r="E608" i="2"/>
  <c r="F608" i="2"/>
  <c r="H389" i="2" l="1"/>
  <c r="K389" i="2" s="1"/>
  <c r="L390" i="2" s="1"/>
  <c r="E609" i="2"/>
  <c r="F609" i="2"/>
  <c r="M389" i="2" l="1"/>
  <c r="N389" i="2" s="1"/>
  <c r="P389" i="2" s="1"/>
  <c r="G389" i="2"/>
  <c r="H390" i="2" s="1"/>
  <c r="K390" i="2" s="1"/>
  <c r="E610" i="2"/>
  <c r="F610" i="2"/>
  <c r="J390" i="2" l="1"/>
  <c r="G390" i="2" s="1"/>
  <c r="M390" i="2"/>
  <c r="N390" i="2" s="1"/>
  <c r="P390" i="2" s="1"/>
  <c r="L391" i="2"/>
  <c r="F611" i="2"/>
  <c r="E611" i="2"/>
  <c r="H391" i="2" l="1"/>
  <c r="K391" i="2" s="1"/>
  <c r="M391" i="2" s="1"/>
  <c r="N391" i="2" s="1"/>
  <c r="P391" i="2" s="1"/>
  <c r="J391" i="2"/>
  <c r="E612" i="2"/>
  <c r="F612" i="2"/>
  <c r="G391" i="2" l="1"/>
  <c r="J392" i="2" s="1"/>
  <c r="L392" i="2"/>
  <c r="F613" i="2"/>
  <c r="E613" i="2"/>
  <c r="H392" i="2" l="1"/>
  <c r="K392" i="2" s="1"/>
  <c r="M392" i="2" s="1"/>
  <c r="N392" i="2" s="1"/>
  <c r="P392" i="2" s="1"/>
  <c r="F614" i="2"/>
  <c r="E614" i="2"/>
  <c r="G392" i="2" l="1"/>
  <c r="H393" i="2" s="1"/>
  <c r="K393" i="2" s="1"/>
  <c r="L393" i="2"/>
  <c r="E615" i="2"/>
  <c r="F615" i="2"/>
  <c r="J393" i="2" l="1"/>
  <c r="G393" i="2" s="1"/>
  <c r="H394" i="2" s="1"/>
  <c r="K394" i="2" s="1"/>
  <c r="M393" i="2"/>
  <c r="N393" i="2" s="1"/>
  <c r="P393" i="2" s="1"/>
  <c r="L394" i="2"/>
  <c r="E616" i="2"/>
  <c r="F616" i="2"/>
  <c r="J394" i="2" l="1"/>
  <c r="G394" i="2" s="1"/>
  <c r="H395" i="2" s="1"/>
  <c r="K395" i="2" s="1"/>
  <c r="L395" i="2"/>
  <c r="M394" i="2"/>
  <c r="N394" i="2" s="1"/>
  <c r="P394" i="2" s="1"/>
  <c r="E617" i="2"/>
  <c r="F617" i="2"/>
  <c r="J395" i="2" l="1"/>
  <c r="G395" i="2" s="1"/>
  <c r="H396" i="2" s="1"/>
  <c r="K396" i="2" s="1"/>
  <c r="M395" i="2"/>
  <c r="N395" i="2" s="1"/>
  <c r="P395" i="2" s="1"/>
  <c r="L396" i="2"/>
  <c r="F618" i="2"/>
  <c r="E618" i="2"/>
  <c r="J396" i="2" l="1"/>
  <c r="G396" i="2" s="1"/>
  <c r="H397" i="2" s="1"/>
  <c r="K397" i="2" s="1"/>
  <c r="M396" i="2"/>
  <c r="N396" i="2" s="1"/>
  <c r="P396" i="2" s="1"/>
  <c r="L397" i="2"/>
  <c r="E619" i="2"/>
  <c r="F619" i="2"/>
  <c r="M397" i="2" l="1"/>
  <c r="N397" i="2" s="1"/>
  <c r="P397" i="2" s="1"/>
  <c r="J397" i="2"/>
  <c r="G397" i="2" s="1"/>
  <c r="H398" i="2" s="1"/>
  <c r="K398" i="2" s="1"/>
  <c r="L398" i="2"/>
  <c r="F620" i="2"/>
  <c r="E620" i="2"/>
  <c r="J398" i="2" l="1"/>
  <c r="G398" i="2" s="1"/>
  <c r="M398" i="2"/>
  <c r="N398" i="2" s="1"/>
  <c r="P398" i="2" s="1"/>
  <c r="L399" i="2"/>
  <c r="F621" i="2"/>
  <c r="E621" i="2"/>
  <c r="J399" i="2" l="1"/>
  <c r="H399" i="2"/>
  <c r="K399" i="2" s="1"/>
  <c r="M399" i="2" s="1"/>
  <c r="N399" i="2" s="1"/>
  <c r="P399" i="2" s="1"/>
  <c r="F622" i="2"/>
  <c r="E622" i="2"/>
  <c r="G399" i="2" l="1"/>
  <c r="J400" i="2" s="1"/>
  <c r="L400" i="2"/>
  <c r="E623" i="2"/>
  <c r="F623" i="2"/>
  <c r="H400" i="2" l="1"/>
  <c r="K400" i="2" s="1"/>
  <c r="M400" i="2" s="1"/>
  <c r="N400" i="2" s="1"/>
  <c r="P400" i="2" s="1"/>
  <c r="E624" i="2"/>
  <c r="F624" i="2"/>
  <c r="G400" i="2" l="1"/>
  <c r="L401" i="2"/>
  <c r="E625" i="2"/>
  <c r="F625" i="2"/>
  <c r="H401" i="2" l="1"/>
  <c r="J401" i="2"/>
  <c r="F626" i="2"/>
  <c r="E626" i="2"/>
  <c r="K401" i="2" l="1"/>
  <c r="G401" i="2"/>
  <c r="F627" i="2"/>
  <c r="E627" i="2"/>
  <c r="H402" i="2" l="1"/>
  <c r="K402" i="2" s="1"/>
  <c r="J402" i="2"/>
  <c r="L402" i="2"/>
  <c r="M401" i="2"/>
  <c r="N401" i="2" s="1"/>
  <c r="P401" i="2" s="1"/>
  <c r="F628" i="2"/>
  <c r="E628" i="2"/>
  <c r="L403" i="2" l="1"/>
  <c r="G402" i="2"/>
  <c r="J403" i="2" s="1"/>
  <c r="M402" i="2"/>
  <c r="N402" i="2" s="1"/>
  <c r="P402" i="2" s="1"/>
  <c r="F629" i="2"/>
  <c r="E629" i="2"/>
  <c r="H403" i="2" l="1"/>
  <c r="K403" i="2" s="1"/>
  <c r="M403" i="2" s="1"/>
  <c r="N403" i="2" s="1"/>
  <c r="P403" i="2" s="1"/>
  <c r="F630" i="2"/>
  <c r="E630" i="2"/>
  <c r="G403" i="2" l="1"/>
  <c r="J404" i="2" s="1"/>
  <c r="L404" i="2"/>
  <c r="E631" i="2"/>
  <c r="F631" i="2"/>
  <c r="H404" i="2" l="1"/>
  <c r="K404" i="2" s="1"/>
  <c r="M404" i="2" s="1"/>
  <c r="N404" i="2" s="1"/>
  <c r="P404" i="2" s="1"/>
  <c r="F632" i="2"/>
  <c r="E632" i="2"/>
  <c r="G404" i="2" l="1"/>
  <c r="L405" i="2"/>
  <c r="E633" i="2"/>
  <c r="F633" i="2"/>
  <c r="H405" i="2" l="1"/>
  <c r="K405" i="2" s="1"/>
  <c r="J405" i="2"/>
  <c r="F634" i="2"/>
  <c r="E634" i="2"/>
  <c r="G405" i="2" l="1"/>
  <c r="J406" i="2" s="1"/>
  <c r="M405" i="2"/>
  <c r="N405" i="2" s="1"/>
  <c r="P405" i="2" s="1"/>
  <c r="L406" i="2"/>
  <c r="F635" i="2"/>
  <c r="E635" i="2"/>
  <c r="H406" i="2" l="1"/>
  <c r="E636" i="2"/>
  <c r="F636" i="2"/>
  <c r="G406" i="2" l="1"/>
  <c r="K406" i="2"/>
  <c r="F637" i="2"/>
  <c r="E637" i="2"/>
  <c r="M406" i="2" l="1"/>
  <c r="N406" i="2" s="1"/>
  <c r="P406" i="2" s="1"/>
  <c r="L407" i="2"/>
  <c r="J407" i="2"/>
  <c r="H407" i="2"/>
  <c r="K407" i="2" s="1"/>
  <c r="F638" i="2"/>
  <c r="E638" i="2"/>
  <c r="M407" i="2" l="1"/>
  <c r="N407" i="2" s="1"/>
  <c r="P407" i="2" s="1"/>
  <c r="G407" i="2"/>
  <c r="L408" i="2"/>
  <c r="F639" i="2"/>
  <c r="E639" i="2"/>
  <c r="H408" i="2" l="1"/>
  <c r="K408" i="2" s="1"/>
  <c r="M408" i="2" s="1"/>
  <c r="N408" i="2" s="1"/>
  <c r="P408" i="2" s="1"/>
  <c r="J408" i="2"/>
  <c r="F640" i="2"/>
  <c r="E640" i="2"/>
  <c r="G408" i="2" l="1"/>
  <c r="J409" i="2" s="1"/>
  <c r="L409" i="2"/>
  <c r="F641" i="2"/>
  <c r="E641" i="2"/>
  <c r="H409" i="2" l="1"/>
  <c r="K409" i="2" s="1"/>
  <c r="M409" i="2" s="1"/>
  <c r="N409" i="2" s="1"/>
  <c r="P409" i="2" s="1"/>
  <c r="F642" i="2"/>
  <c r="E642" i="2"/>
  <c r="G409" i="2" l="1"/>
  <c r="J410" i="2" s="1"/>
  <c r="L410" i="2"/>
  <c r="E643" i="2"/>
  <c r="F643" i="2"/>
  <c r="H410" i="2" l="1"/>
  <c r="K410" i="2" s="1"/>
  <c r="M410" i="2" s="1"/>
  <c r="N410" i="2" s="1"/>
  <c r="P410" i="2" s="1"/>
  <c r="E644" i="2"/>
  <c r="F644" i="2"/>
  <c r="L411" i="2" l="1"/>
  <c r="G410" i="2"/>
  <c r="H411" i="2" s="1"/>
  <c r="K411" i="2" s="1"/>
  <c r="F645" i="2"/>
  <c r="E645" i="2"/>
  <c r="M411" i="2" l="1"/>
  <c r="N411" i="2" s="1"/>
  <c r="P411" i="2" s="1"/>
  <c r="J411" i="2"/>
  <c r="G411" i="2" s="1"/>
  <c r="J412" i="2" s="1"/>
  <c r="L412" i="2"/>
  <c r="E646" i="2"/>
  <c r="F646" i="2"/>
  <c r="H412" i="2" l="1"/>
  <c r="K412" i="2" s="1"/>
  <c r="M412" i="2" s="1"/>
  <c r="N412" i="2" s="1"/>
  <c r="P412" i="2" s="1"/>
  <c r="F647" i="2"/>
  <c r="E647" i="2"/>
  <c r="G412" i="2" l="1"/>
  <c r="J413" i="2" s="1"/>
  <c r="L413" i="2"/>
  <c r="F648" i="2"/>
  <c r="E648" i="2"/>
  <c r="H413" i="2" l="1"/>
  <c r="K413" i="2" s="1"/>
  <c r="M413" i="2" s="1"/>
  <c r="N413" i="2" s="1"/>
  <c r="P413" i="2" s="1"/>
  <c r="F649" i="2"/>
  <c r="E649" i="2"/>
  <c r="L414" i="2" l="1"/>
  <c r="G413" i="2"/>
  <c r="H414" i="2" s="1"/>
  <c r="K414" i="2" s="1"/>
  <c r="E650" i="2"/>
  <c r="F650" i="2"/>
  <c r="M414" i="2" l="1"/>
  <c r="N414" i="2" s="1"/>
  <c r="P414" i="2" s="1"/>
  <c r="J414" i="2"/>
  <c r="G414" i="2" s="1"/>
  <c r="H415" i="2" s="1"/>
  <c r="K415" i="2" s="1"/>
  <c r="L415" i="2"/>
  <c r="E651" i="2"/>
  <c r="F651" i="2"/>
  <c r="J415" i="2" l="1"/>
  <c r="G415" i="2" s="1"/>
  <c r="M415" i="2"/>
  <c r="N415" i="2" s="1"/>
  <c r="P415" i="2" s="1"/>
  <c r="L416" i="2"/>
  <c r="F652" i="2"/>
  <c r="E652" i="2"/>
  <c r="J416" i="2" l="1"/>
  <c r="H416" i="2"/>
  <c r="K416" i="2" s="1"/>
  <c r="F653" i="2"/>
  <c r="E653" i="2"/>
  <c r="G416" i="2" l="1"/>
  <c r="H417" i="2" s="1"/>
  <c r="K417" i="2" s="1"/>
  <c r="M416" i="2"/>
  <c r="N416" i="2" s="1"/>
  <c r="P416" i="2" s="1"/>
  <c r="L417" i="2"/>
  <c r="F654" i="2"/>
  <c r="E654" i="2"/>
  <c r="M417" i="2" l="1"/>
  <c r="N417" i="2" s="1"/>
  <c r="P417" i="2" s="1"/>
  <c r="J417" i="2"/>
  <c r="G417" i="2" s="1"/>
  <c r="L418" i="2"/>
  <c r="E655" i="2"/>
  <c r="F655" i="2"/>
  <c r="H418" i="2" l="1"/>
  <c r="K418" i="2" s="1"/>
  <c r="M418" i="2" s="1"/>
  <c r="N418" i="2" s="1"/>
  <c r="P418" i="2" s="1"/>
  <c r="J418" i="2"/>
  <c r="E656" i="2"/>
  <c r="F656" i="2"/>
  <c r="G418" i="2" l="1"/>
  <c r="J419" i="2" s="1"/>
  <c r="L419" i="2"/>
  <c r="F657" i="2"/>
  <c r="E657" i="2"/>
  <c r="H419" i="2" l="1"/>
  <c r="K419" i="2" s="1"/>
  <c r="M419" i="2" s="1"/>
  <c r="N419" i="2" s="1"/>
  <c r="P419" i="2" s="1"/>
  <c r="F658" i="2"/>
  <c r="E658" i="2"/>
  <c r="L420" i="2" l="1"/>
  <c r="G419" i="2"/>
  <c r="J420" i="2" s="1"/>
  <c r="F659" i="2"/>
  <c r="E659" i="2"/>
  <c r="H420" i="2" l="1"/>
  <c r="K420" i="2" s="1"/>
  <c r="M420" i="2" s="1"/>
  <c r="N420" i="2" s="1"/>
  <c r="P420" i="2" s="1"/>
  <c r="E660" i="2"/>
  <c r="F660" i="2"/>
  <c r="G420" i="2" l="1"/>
  <c r="H421" i="2" s="1"/>
  <c r="K421" i="2" s="1"/>
  <c r="L421" i="2"/>
  <c r="F661" i="2"/>
  <c r="E661" i="2"/>
  <c r="M421" i="2" l="1"/>
  <c r="N421" i="2" s="1"/>
  <c r="P421" i="2" s="1"/>
  <c r="J421" i="2"/>
  <c r="G421" i="2" s="1"/>
  <c r="J422" i="2" s="1"/>
  <c r="L422" i="2"/>
  <c r="F662" i="2"/>
  <c r="E662" i="2"/>
  <c r="H422" i="2" l="1"/>
  <c r="K422" i="2" s="1"/>
  <c r="L423" i="2" s="1"/>
  <c r="E663" i="2"/>
  <c r="F663" i="2"/>
  <c r="G422" i="2" l="1"/>
  <c r="M422" i="2"/>
  <c r="N422" i="2" s="1"/>
  <c r="P422" i="2" s="1"/>
  <c r="F664" i="2"/>
  <c r="E664" i="2"/>
  <c r="H423" i="2" l="1"/>
  <c r="J423" i="2"/>
  <c r="E665" i="2"/>
  <c r="F665" i="2"/>
  <c r="K423" i="2" l="1"/>
  <c r="G423" i="2"/>
  <c r="E666" i="2"/>
  <c r="F666" i="2"/>
  <c r="J424" i="2" l="1"/>
  <c r="H424" i="2"/>
  <c r="M423" i="2"/>
  <c r="N423" i="2" s="1"/>
  <c r="P423" i="2" s="1"/>
  <c r="L424" i="2"/>
  <c r="E667" i="2"/>
  <c r="F667" i="2"/>
  <c r="K424" i="2" l="1"/>
  <c r="M424" i="2" s="1"/>
  <c r="N424" i="2" s="1"/>
  <c r="P424" i="2" s="1"/>
  <c r="G424" i="2"/>
  <c r="F668" i="2"/>
  <c r="E668" i="2"/>
  <c r="H425" i="2" l="1"/>
  <c r="J425" i="2"/>
  <c r="L425" i="2"/>
  <c r="F669" i="2"/>
  <c r="E669" i="2"/>
  <c r="K425" i="2" l="1"/>
  <c r="M425" i="2" s="1"/>
  <c r="N425" i="2" s="1"/>
  <c r="P425" i="2" s="1"/>
  <c r="G425" i="2"/>
  <c r="E670" i="2"/>
  <c r="F670" i="2"/>
  <c r="H426" i="2" l="1"/>
  <c r="K426" i="2" s="1"/>
  <c r="J426" i="2"/>
  <c r="L426" i="2"/>
  <c r="F671" i="2"/>
  <c r="E671" i="2"/>
  <c r="L427" i="2" l="1"/>
  <c r="G426" i="2"/>
  <c r="H427" i="2" s="1"/>
  <c r="M426" i="2"/>
  <c r="N426" i="2" s="1"/>
  <c r="P426" i="2" s="1"/>
  <c r="F672" i="2"/>
  <c r="E672" i="2"/>
  <c r="J427" i="2" l="1"/>
  <c r="G427" i="2" s="1"/>
  <c r="K427" i="2"/>
  <c r="F673" i="2"/>
  <c r="E673" i="2"/>
  <c r="J428" i="2" l="1"/>
  <c r="H428" i="2"/>
  <c r="L428" i="2"/>
  <c r="M427" i="2"/>
  <c r="N427" i="2" s="1"/>
  <c r="P427" i="2" s="1"/>
  <c r="F674" i="2"/>
  <c r="E674" i="2"/>
  <c r="K428" i="2" l="1"/>
  <c r="M428" i="2" s="1"/>
  <c r="N428" i="2" s="1"/>
  <c r="P428" i="2" s="1"/>
  <c r="G428" i="2"/>
  <c r="F675" i="2"/>
  <c r="E675" i="2"/>
  <c r="J429" i="2" l="1"/>
  <c r="H429" i="2"/>
  <c r="L429" i="2"/>
  <c r="F676" i="2"/>
  <c r="E676" i="2"/>
  <c r="K429" i="2" l="1"/>
  <c r="M429" i="2" s="1"/>
  <c r="N429" i="2" s="1"/>
  <c r="P429" i="2" s="1"/>
  <c r="G429" i="2"/>
  <c r="F677" i="2"/>
  <c r="E677" i="2"/>
  <c r="H430" i="2" l="1"/>
  <c r="J430" i="2"/>
  <c r="L430" i="2"/>
  <c r="E678" i="2"/>
  <c r="F678" i="2"/>
  <c r="K430" i="2" l="1"/>
  <c r="M430" i="2" s="1"/>
  <c r="N430" i="2" s="1"/>
  <c r="P430" i="2" s="1"/>
  <c r="G430" i="2"/>
  <c r="E679" i="2"/>
  <c r="F679" i="2"/>
  <c r="J431" i="2" l="1"/>
  <c r="H431" i="2"/>
  <c r="L431" i="2"/>
  <c r="F680" i="2"/>
  <c r="E680" i="2"/>
  <c r="K431" i="2" l="1"/>
  <c r="M431" i="2" s="1"/>
  <c r="N431" i="2" s="1"/>
  <c r="P431" i="2" s="1"/>
  <c r="G431" i="2"/>
  <c r="F681" i="2"/>
  <c r="E681" i="2"/>
  <c r="J432" i="2" l="1"/>
  <c r="H432" i="2"/>
  <c r="L432" i="2"/>
  <c r="F682" i="2"/>
  <c r="E682" i="2"/>
  <c r="G432" i="2" l="1"/>
  <c r="K432" i="2"/>
  <c r="M432" i="2" s="1"/>
  <c r="N432" i="2" s="1"/>
  <c r="P432" i="2" s="1"/>
  <c r="E683" i="2"/>
  <c r="F683" i="2"/>
  <c r="J433" i="2" l="1"/>
  <c r="H433" i="2"/>
  <c r="L433" i="2"/>
  <c r="F684" i="2"/>
  <c r="E684" i="2"/>
  <c r="G433" i="2" l="1"/>
  <c r="J434" i="2" s="1"/>
  <c r="K433" i="2"/>
  <c r="E685" i="2"/>
  <c r="F685" i="2"/>
  <c r="H434" i="2" l="1"/>
  <c r="G434" i="2" s="1"/>
  <c r="J435" i="2" s="1"/>
  <c r="M433" i="2"/>
  <c r="N433" i="2" s="1"/>
  <c r="P433" i="2" s="1"/>
  <c r="L434" i="2"/>
  <c r="E686" i="2"/>
  <c r="F686" i="2"/>
  <c r="K434" i="2" l="1"/>
  <c r="L435" i="2" s="1"/>
  <c r="H435" i="2"/>
  <c r="G435" i="2" s="1"/>
  <c r="E687" i="2"/>
  <c r="F687" i="2"/>
  <c r="M434" i="2" l="1"/>
  <c r="N434" i="2" s="1"/>
  <c r="P434" i="2" s="1"/>
  <c r="J436" i="2"/>
  <c r="H436" i="2"/>
  <c r="K435" i="2"/>
  <c r="L436" i="2" s="1"/>
  <c r="E688" i="2"/>
  <c r="F688" i="2"/>
  <c r="G436" i="2" l="1"/>
  <c r="J437" i="2" s="1"/>
  <c r="K436" i="2"/>
  <c r="M436" i="2" s="1"/>
  <c r="N436" i="2" s="1"/>
  <c r="P436" i="2" s="1"/>
  <c r="M435" i="2"/>
  <c r="N435" i="2" s="1"/>
  <c r="P435" i="2" s="1"/>
  <c r="E689" i="2"/>
  <c r="F689" i="2"/>
  <c r="H437" i="2" l="1"/>
  <c r="K437" i="2" s="1"/>
  <c r="L437" i="2"/>
  <c r="E690" i="2"/>
  <c r="F690" i="2"/>
  <c r="G437" i="2" l="1"/>
  <c r="H438" i="2" s="1"/>
  <c r="K438" i="2" s="1"/>
  <c r="L438" i="2"/>
  <c r="M437" i="2"/>
  <c r="N437" i="2" s="1"/>
  <c r="P437" i="2" s="1"/>
  <c r="F691" i="2"/>
  <c r="E691" i="2"/>
  <c r="J438" i="2" l="1"/>
  <c r="G438" i="2" s="1"/>
  <c r="H439" i="2" s="1"/>
  <c r="M438" i="2"/>
  <c r="N438" i="2" s="1"/>
  <c r="P438" i="2" s="1"/>
  <c r="L439" i="2"/>
  <c r="E692" i="2"/>
  <c r="F692" i="2"/>
  <c r="J439" i="2" l="1"/>
  <c r="G439" i="2" s="1"/>
  <c r="K439" i="2"/>
  <c r="E693" i="2"/>
  <c r="F693" i="2"/>
  <c r="J440" i="2" l="1"/>
  <c r="H440" i="2"/>
  <c r="M439" i="2"/>
  <c r="N439" i="2" s="1"/>
  <c r="P439" i="2" s="1"/>
  <c r="L440" i="2"/>
  <c r="E694" i="2"/>
  <c r="F694" i="2"/>
  <c r="G440" i="2" l="1"/>
  <c r="J441" i="2" s="1"/>
  <c r="K440" i="2"/>
  <c r="E695" i="2"/>
  <c r="F695" i="2"/>
  <c r="H441" i="2" l="1"/>
  <c r="G441" i="2" s="1"/>
  <c r="H442" i="2" s="1"/>
  <c r="L441" i="2"/>
  <c r="M440" i="2"/>
  <c r="N440" i="2" s="1"/>
  <c r="P440" i="2" s="1"/>
  <c r="F696" i="2"/>
  <c r="E696" i="2"/>
  <c r="K441" i="2" l="1"/>
  <c r="M441" i="2" s="1"/>
  <c r="N441" i="2" s="1"/>
  <c r="P441" i="2" s="1"/>
  <c r="J442" i="2"/>
  <c r="G442" i="2" s="1"/>
  <c r="J443" i="2" s="1"/>
  <c r="E697" i="2"/>
  <c r="F697" i="2"/>
  <c r="H443" i="2" l="1"/>
  <c r="G443" i="2" s="1"/>
  <c r="J444" i="2" s="1"/>
  <c r="L442" i="2"/>
  <c r="K442" i="2"/>
  <c r="F698" i="2"/>
  <c r="E698" i="2"/>
  <c r="H444" i="2" l="1"/>
  <c r="G444" i="2" s="1"/>
  <c r="J445" i="2" s="1"/>
  <c r="M442" i="2"/>
  <c r="N442" i="2" s="1"/>
  <c r="P442" i="2" s="1"/>
  <c r="K443" i="2"/>
  <c r="L443" i="2"/>
  <c r="E699" i="2"/>
  <c r="F699" i="2"/>
  <c r="K444" i="2" l="1"/>
  <c r="H445" i="2"/>
  <c r="G445" i="2" s="1"/>
  <c r="H446" i="2" s="1"/>
  <c r="L444" i="2"/>
  <c r="M443" i="2"/>
  <c r="N443" i="2" s="1"/>
  <c r="P443" i="2" s="1"/>
  <c r="F700" i="2"/>
  <c r="E700" i="2"/>
  <c r="M444" i="2" l="1"/>
  <c r="N444" i="2" s="1"/>
  <c r="P444" i="2" s="1"/>
  <c r="L445" i="2"/>
  <c r="K445" i="2"/>
  <c r="K446" i="2" s="1"/>
  <c r="J446" i="2"/>
  <c r="G446" i="2" s="1"/>
  <c r="H447" i="2" s="1"/>
  <c r="E701" i="2"/>
  <c r="F701" i="2"/>
  <c r="L446" i="2" l="1"/>
  <c r="L447" i="2" s="1"/>
  <c r="M445" i="2"/>
  <c r="N445" i="2" s="1"/>
  <c r="P445" i="2" s="1"/>
  <c r="J447" i="2"/>
  <c r="G447" i="2" s="1"/>
  <c r="K447" i="2"/>
  <c r="E702" i="2"/>
  <c r="F702" i="2"/>
  <c r="M446" i="2" l="1"/>
  <c r="N446" i="2" s="1"/>
  <c r="P446" i="2" s="1"/>
  <c r="M447" i="2"/>
  <c r="N447" i="2" s="1"/>
  <c r="P447" i="2" s="1"/>
  <c r="L448" i="2"/>
  <c r="H448" i="2"/>
  <c r="K448" i="2" s="1"/>
  <c r="J448" i="2"/>
  <c r="F703" i="2"/>
  <c r="E703" i="2"/>
  <c r="M448" i="2" l="1"/>
  <c r="N448" i="2" s="1"/>
  <c r="P448" i="2" s="1"/>
  <c r="G448" i="2"/>
  <c r="H449" i="2" s="1"/>
  <c r="K449" i="2" s="1"/>
  <c r="L449" i="2"/>
  <c r="E704" i="2"/>
  <c r="F704" i="2"/>
  <c r="J449" i="2" l="1"/>
  <c r="G449" i="2" s="1"/>
  <c r="M449" i="2"/>
  <c r="N449" i="2" s="1"/>
  <c r="P449" i="2" s="1"/>
  <c r="L450" i="2"/>
  <c r="F705" i="2"/>
  <c r="E705" i="2"/>
  <c r="J450" i="2" l="1"/>
  <c r="H450" i="2"/>
  <c r="F706" i="2"/>
  <c r="E706" i="2"/>
  <c r="G450" i="2" l="1"/>
  <c r="K450" i="2"/>
  <c r="F707" i="2"/>
  <c r="E707" i="2"/>
  <c r="M450" i="2" l="1"/>
  <c r="N450" i="2" s="1"/>
  <c r="P450" i="2" s="1"/>
  <c r="L451" i="2"/>
  <c r="H451" i="2"/>
  <c r="K451" i="2" s="1"/>
  <c r="J451" i="2"/>
  <c r="F708" i="2"/>
  <c r="E708" i="2"/>
  <c r="M451" i="2" l="1"/>
  <c r="N451" i="2" s="1"/>
  <c r="P451" i="2" s="1"/>
  <c r="G451" i="2"/>
  <c r="L452" i="2"/>
  <c r="F709" i="2"/>
  <c r="E709" i="2"/>
  <c r="H452" i="2" l="1"/>
  <c r="K452" i="2" s="1"/>
  <c r="L453" i="2" s="1"/>
  <c r="J452" i="2"/>
  <c r="F710" i="2"/>
  <c r="E710" i="2"/>
  <c r="G452" i="2" l="1"/>
  <c r="J453" i="2" s="1"/>
  <c r="M452" i="2"/>
  <c r="N452" i="2" s="1"/>
  <c r="P452" i="2" s="1"/>
  <c r="F711" i="2"/>
  <c r="E711" i="2"/>
  <c r="H453" i="2" l="1"/>
  <c r="G453" i="2" s="1"/>
  <c r="J454" i="2" s="1"/>
  <c r="E712" i="2"/>
  <c r="F712" i="2"/>
  <c r="K453" i="2" l="1"/>
  <c r="M453" i="2" s="1"/>
  <c r="N453" i="2" s="1"/>
  <c r="P453" i="2" s="1"/>
  <c r="H454" i="2"/>
  <c r="G454" i="2" s="1"/>
  <c r="E713" i="2"/>
  <c r="F713" i="2"/>
  <c r="K454" i="2" l="1"/>
  <c r="L454" i="2"/>
  <c r="J455" i="2"/>
  <c r="H455" i="2"/>
  <c r="F714" i="2"/>
  <c r="E714" i="2"/>
  <c r="M454" i="2" l="1"/>
  <c r="N454" i="2" s="1"/>
  <c r="P454" i="2" s="1"/>
  <c r="L455" i="2"/>
  <c r="G455" i="2"/>
  <c r="J456" i="2" s="1"/>
  <c r="K455" i="2"/>
  <c r="E715" i="2"/>
  <c r="F715" i="2"/>
  <c r="H456" i="2" l="1"/>
  <c r="G456" i="2" s="1"/>
  <c r="H457" i="2" s="1"/>
  <c r="M455" i="2"/>
  <c r="N455" i="2" s="1"/>
  <c r="P455" i="2" s="1"/>
  <c r="L456" i="2"/>
  <c r="F716" i="2"/>
  <c r="E716" i="2"/>
  <c r="K456" i="2" l="1"/>
  <c r="L457" i="2" s="1"/>
  <c r="J457" i="2"/>
  <c r="G457" i="2" s="1"/>
  <c r="J458" i="2" s="1"/>
  <c r="E717" i="2"/>
  <c r="F717" i="2"/>
  <c r="M456" i="2" l="1"/>
  <c r="N456" i="2" s="1"/>
  <c r="P456" i="2" s="1"/>
  <c r="K457" i="2"/>
  <c r="M457" i="2" s="1"/>
  <c r="N457" i="2" s="1"/>
  <c r="P457" i="2" s="1"/>
  <c r="H458" i="2"/>
  <c r="G458" i="2" s="1"/>
  <c r="J459" i="2" s="1"/>
  <c r="E718" i="2"/>
  <c r="F718" i="2"/>
  <c r="L458" i="2" l="1"/>
  <c r="K458" i="2"/>
  <c r="H459" i="2"/>
  <c r="G459" i="2" s="1"/>
  <c r="J460" i="2" s="1"/>
  <c r="F719" i="2"/>
  <c r="E719" i="2"/>
  <c r="L459" i="2" l="1"/>
  <c r="H460" i="2"/>
  <c r="G460" i="2" s="1"/>
  <c r="M458" i="2"/>
  <c r="N458" i="2" s="1"/>
  <c r="P458" i="2" s="1"/>
  <c r="K459" i="2"/>
  <c r="E720" i="2"/>
  <c r="F720" i="2"/>
  <c r="M459" i="2" l="1"/>
  <c r="N459" i="2" s="1"/>
  <c r="P459" i="2" s="1"/>
  <c r="K460" i="2"/>
  <c r="L460" i="2"/>
  <c r="J461" i="2"/>
  <c r="H461" i="2"/>
  <c r="E721" i="2"/>
  <c r="F721" i="2"/>
  <c r="L461" i="2" l="1"/>
  <c r="M460" i="2"/>
  <c r="N460" i="2" s="1"/>
  <c r="P460" i="2" s="1"/>
  <c r="K461" i="2"/>
  <c r="G461" i="2"/>
  <c r="F722" i="2"/>
  <c r="E722" i="2"/>
  <c r="H462" i="2" l="1"/>
  <c r="K462" i="2" s="1"/>
  <c r="J462" i="2"/>
  <c r="M461" i="2"/>
  <c r="N461" i="2" s="1"/>
  <c r="P461" i="2" s="1"/>
  <c r="L462" i="2"/>
  <c r="E723" i="2"/>
  <c r="F723" i="2"/>
  <c r="G462" i="2" l="1"/>
  <c r="J463" i="2" s="1"/>
  <c r="L463" i="2"/>
  <c r="M462" i="2"/>
  <c r="N462" i="2" s="1"/>
  <c r="P462" i="2" s="1"/>
  <c r="F724" i="2"/>
  <c r="E724" i="2"/>
  <c r="H463" i="2" l="1"/>
  <c r="K463" i="2" s="1"/>
  <c r="M463" i="2" s="1"/>
  <c r="N463" i="2" s="1"/>
  <c r="P463" i="2" s="1"/>
  <c r="E725" i="2"/>
  <c r="F725" i="2"/>
  <c r="L464" i="2" l="1"/>
  <c r="G463" i="2"/>
  <c r="F726" i="2"/>
  <c r="E726" i="2"/>
  <c r="H464" i="2" l="1"/>
  <c r="K464" i="2" s="1"/>
  <c r="M464" i="2" s="1"/>
  <c r="N464" i="2" s="1"/>
  <c r="P464" i="2" s="1"/>
  <c r="J464" i="2"/>
  <c r="F727" i="2"/>
  <c r="E727" i="2"/>
  <c r="G464" i="2" l="1"/>
  <c r="J465" i="2" s="1"/>
  <c r="L465" i="2"/>
  <c r="E728" i="2"/>
  <c r="F728" i="2"/>
  <c r="H465" i="2" l="1"/>
  <c r="K465" i="2" s="1"/>
  <c r="L466" i="2" s="1"/>
  <c r="E729" i="2"/>
  <c r="F729" i="2"/>
  <c r="M465" i="2" l="1"/>
  <c r="N465" i="2" s="1"/>
  <c r="P465" i="2" s="1"/>
  <c r="G465" i="2"/>
  <c r="H466" i="2" s="1"/>
  <c r="K466" i="2" s="1"/>
  <c r="M466" i="2" s="1"/>
  <c r="N466" i="2" s="1"/>
  <c r="P466" i="2" s="1"/>
  <c r="F730" i="2"/>
  <c r="E730" i="2"/>
  <c r="J466" i="2" l="1"/>
  <c r="G466" i="2" s="1"/>
  <c r="J467" i="2" s="1"/>
  <c r="L467" i="2"/>
  <c r="E731" i="2"/>
  <c r="F731" i="2"/>
  <c r="H467" i="2" l="1"/>
  <c r="G467" i="2" s="1"/>
  <c r="H468" i="2" s="1"/>
  <c r="F732" i="2"/>
  <c r="E732" i="2"/>
  <c r="J468" i="2" l="1"/>
  <c r="G468" i="2" s="1"/>
  <c r="K467" i="2"/>
  <c r="M467" i="2" s="1"/>
  <c r="N467" i="2" s="1"/>
  <c r="P467" i="2" s="1"/>
  <c r="E733" i="2"/>
  <c r="F733" i="2"/>
  <c r="K468" i="2" l="1"/>
  <c r="L468" i="2"/>
  <c r="J469" i="2"/>
  <c r="H469" i="2"/>
  <c r="F734" i="2"/>
  <c r="E734" i="2"/>
  <c r="L469" i="2" l="1"/>
  <c r="M468" i="2"/>
  <c r="N468" i="2" s="1"/>
  <c r="P468" i="2" s="1"/>
  <c r="K469" i="2"/>
  <c r="G469" i="2"/>
  <c r="F735" i="2"/>
  <c r="E735" i="2"/>
  <c r="M469" i="2" l="1"/>
  <c r="N469" i="2" s="1"/>
  <c r="P469" i="2" s="1"/>
  <c r="L470" i="2"/>
  <c r="J470" i="2"/>
  <c r="H470" i="2"/>
  <c r="E736" i="2"/>
  <c r="F736" i="2"/>
  <c r="K470" i="2" l="1"/>
  <c r="M470" i="2" s="1"/>
  <c r="N470" i="2" s="1"/>
  <c r="P470" i="2" s="1"/>
  <c r="G470" i="2"/>
  <c r="E737" i="2"/>
  <c r="F737" i="2"/>
  <c r="L471" i="2" l="1"/>
  <c r="J471" i="2"/>
  <c r="H471" i="2"/>
  <c r="F738" i="2"/>
  <c r="E738" i="2"/>
  <c r="G471" i="2" l="1"/>
  <c r="J472" i="2" s="1"/>
  <c r="K471" i="2"/>
  <c r="F739" i="2"/>
  <c r="E739" i="2"/>
  <c r="H472" i="2" l="1"/>
  <c r="G472" i="2" s="1"/>
  <c r="H473" i="2" s="1"/>
  <c r="M471" i="2"/>
  <c r="N471" i="2" s="1"/>
  <c r="P471" i="2" s="1"/>
  <c r="L472" i="2"/>
  <c r="F740" i="2"/>
  <c r="E740" i="2"/>
  <c r="K472" i="2" l="1"/>
  <c r="M472" i="2" s="1"/>
  <c r="N472" i="2" s="1"/>
  <c r="P472" i="2" s="1"/>
  <c r="J473" i="2"/>
  <c r="G473" i="2" s="1"/>
  <c r="H474" i="2" s="1"/>
  <c r="E741" i="2"/>
  <c r="F741" i="2"/>
  <c r="L473" i="2" l="1"/>
  <c r="K473" i="2"/>
  <c r="J474" i="2"/>
  <c r="G474" i="2" s="1"/>
  <c r="H475" i="2" s="1"/>
  <c r="E742" i="2"/>
  <c r="F742" i="2"/>
  <c r="M473" i="2" l="1"/>
  <c r="N473" i="2" s="1"/>
  <c r="P473" i="2" s="1"/>
  <c r="K474" i="2"/>
  <c r="K475" i="2" s="1"/>
  <c r="L474" i="2"/>
  <c r="J475" i="2"/>
  <c r="G475" i="2" s="1"/>
  <c r="H476" i="2" s="1"/>
  <c r="F743" i="2"/>
  <c r="E743" i="2"/>
  <c r="M474" i="2" l="1"/>
  <c r="N474" i="2" s="1"/>
  <c r="P474" i="2" s="1"/>
  <c r="L475" i="2"/>
  <c r="M475" i="2" s="1"/>
  <c r="N475" i="2" s="1"/>
  <c r="P475" i="2" s="1"/>
  <c r="K476" i="2"/>
  <c r="J476" i="2"/>
  <c r="G476" i="2" s="1"/>
  <c r="H477" i="2" s="1"/>
  <c r="E744" i="2"/>
  <c r="F744" i="2"/>
  <c r="L476" i="2" l="1"/>
  <c r="L477" i="2" s="1"/>
  <c r="K477" i="2"/>
  <c r="J477" i="2"/>
  <c r="G477" i="2" s="1"/>
  <c r="F745" i="2"/>
  <c r="E745" i="2"/>
  <c r="M476" i="2" l="1"/>
  <c r="N476" i="2" s="1"/>
  <c r="P476" i="2" s="1"/>
  <c r="L478" i="2"/>
  <c r="M477" i="2"/>
  <c r="N477" i="2" s="1"/>
  <c r="P477" i="2" s="1"/>
  <c r="J478" i="2"/>
  <c r="H478" i="2"/>
  <c r="K478" i="2" s="1"/>
  <c r="F746" i="2"/>
  <c r="E746" i="2"/>
  <c r="L479" i="2" l="1"/>
  <c r="G478" i="2"/>
  <c r="M478" i="2"/>
  <c r="N478" i="2" s="1"/>
  <c r="P478" i="2" s="1"/>
  <c r="E747" i="2"/>
  <c r="F747" i="2"/>
  <c r="J479" i="2" l="1"/>
  <c r="H479" i="2"/>
  <c r="F748" i="2"/>
  <c r="E748" i="2"/>
  <c r="K479" i="2" l="1"/>
  <c r="G479" i="2"/>
  <c r="E749" i="2"/>
  <c r="F749" i="2"/>
  <c r="H480" i="2" l="1"/>
  <c r="K480" i="2" s="1"/>
  <c r="J480" i="2"/>
  <c r="M479" i="2"/>
  <c r="N479" i="2" s="1"/>
  <c r="P479" i="2" s="1"/>
  <c r="L480" i="2"/>
  <c r="F750" i="2"/>
  <c r="E750" i="2"/>
  <c r="G480" i="2" l="1"/>
  <c r="J481" i="2" s="1"/>
  <c r="L481" i="2"/>
  <c r="M480" i="2"/>
  <c r="N480" i="2" s="1"/>
  <c r="P480" i="2" s="1"/>
  <c r="E751" i="2"/>
  <c r="F751" i="2"/>
  <c r="H481" i="2" l="1"/>
  <c r="K481" i="2" s="1"/>
  <c r="M481" i="2" s="1"/>
  <c r="N481" i="2" s="1"/>
  <c r="P481" i="2" s="1"/>
  <c r="E752" i="2"/>
  <c r="F752" i="2"/>
  <c r="G481" i="2" l="1"/>
  <c r="J482" i="2" s="1"/>
  <c r="L482" i="2"/>
  <c r="E753" i="2"/>
  <c r="F753" i="2"/>
  <c r="H482" i="2" l="1"/>
  <c r="K482" i="2" s="1"/>
  <c r="M482" i="2" s="1"/>
  <c r="N482" i="2" s="1"/>
  <c r="P482" i="2" s="1"/>
  <c r="F754" i="2"/>
  <c r="E754" i="2"/>
  <c r="G482" i="2" l="1"/>
  <c r="J483" i="2" s="1"/>
  <c r="L483" i="2"/>
  <c r="E755" i="2"/>
  <c r="F755" i="2"/>
  <c r="H483" i="2" l="1"/>
  <c r="K483" i="2" s="1"/>
  <c r="L484" i="2" s="1"/>
  <c r="F756" i="2"/>
  <c r="E756" i="2"/>
  <c r="G483" i="2" l="1"/>
  <c r="J484" i="2" s="1"/>
  <c r="M483" i="2"/>
  <c r="N483" i="2" s="1"/>
  <c r="P483" i="2" s="1"/>
  <c r="E757" i="2"/>
  <c r="F757" i="2"/>
  <c r="H484" i="2" l="1"/>
  <c r="K484" i="2" s="1"/>
  <c r="M484" i="2" s="1"/>
  <c r="N484" i="2" s="1"/>
  <c r="P484" i="2" s="1"/>
  <c r="F758" i="2"/>
  <c r="E758" i="2"/>
  <c r="G484" i="2" l="1"/>
  <c r="J485" i="2" s="1"/>
  <c r="L485" i="2"/>
  <c r="F759" i="2"/>
  <c r="E759" i="2"/>
  <c r="H485" i="2" l="1"/>
  <c r="K485" i="2" s="1"/>
  <c r="M485" i="2" s="1"/>
  <c r="N485" i="2" s="1"/>
  <c r="P485" i="2" s="1"/>
  <c r="E760" i="2"/>
  <c r="F760" i="2"/>
  <c r="G485" i="2" l="1"/>
  <c r="H486" i="2" s="1"/>
  <c r="K486" i="2" s="1"/>
  <c r="L486" i="2"/>
  <c r="E761" i="2"/>
  <c r="F761" i="2"/>
  <c r="J486" i="2" l="1"/>
  <c r="G486" i="2" s="1"/>
  <c r="J487" i="2" s="1"/>
  <c r="M486" i="2"/>
  <c r="N486" i="2" s="1"/>
  <c r="P486" i="2" s="1"/>
  <c r="L487" i="2"/>
  <c r="E762" i="2"/>
  <c r="F762" i="2"/>
  <c r="H487" i="2" l="1"/>
  <c r="K487" i="2" s="1"/>
  <c r="L488" i="2" s="1"/>
  <c r="E763" i="2"/>
  <c r="F763" i="2"/>
  <c r="G487" i="2" l="1"/>
  <c r="J488" i="2" s="1"/>
  <c r="M487" i="2"/>
  <c r="N487" i="2" s="1"/>
  <c r="P487" i="2" s="1"/>
  <c r="F764" i="2"/>
  <c r="E764" i="2"/>
  <c r="H488" i="2" l="1"/>
  <c r="K488" i="2" s="1"/>
  <c r="M488" i="2" s="1"/>
  <c r="N488" i="2" s="1"/>
  <c r="P488" i="2" s="1"/>
  <c r="E765" i="2"/>
  <c r="F765" i="2"/>
  <c r="L489" i="2" l="1"/>
  <c r="G488" i="2"/>
  <c r="H489" i="2" s="1"/>
  <c r="K489" i="2" s="1"/>
  <c r="F766" i="2"/>
  <c r="E766" i="2"/>
  <c r="L490" i="2" l="1"/>
  <c r="J489" i="2"/>
  <c r="G489" i="2" s="1"/>
  <c r="H490" i="2" s="1"/>
  <c r="K490" i="2" s="1"/>
  <c r="M489" i="2"/>
  <c r="N489" i="2" s="1"/>
  <c r="P489" i="2" s="1"/>
  <c r="F767" i="2"/>
  <c r="E767" i="2"/>
  <c r="L491" i="2" l="1"/>
  <c r="J490" i="2"/>
  <c r="G490" i="2" s="1"/>
  <c r="J491" i="2" s="1"/>
  <c r="M490" i="2"/>
  <c r="N490" i="2" s="1"/>
  <c r="P490" i="2" s="1"/>
  <c r="E768" i="2"/>
  <c r="F768" i="2"/>
  <c r="H491" i="2" l="1"/>
  <c r="G491" i="2" s="1"/>
  <c r="H492" i="2" s="1"/>
  <c r="E769" i="2"/>
  <c r="F769" i="2"/>
  <c r="J492" i="2" l="1"/>
  <c r="G492" i="2" s="1"/>
  <c r="H493" i="2" s="1"/>
  <c r="K491" i="2"/>
  <c r="M491" i="2" s="1"/>
  <c r="N491" i="2" s="1"/>
  <c r="P491" i="2" s="1"/>
  <c r="F770" i="2"/>
  <c r="E770" i="2"/>
  <c r="L492" i="2" l="1"/>
  <c r="K492" i="2"/>
  <c r="K493" i="2" s="1"/>
  <c r="J493" i="2"/>
  <c r="G493" i="2" s="1"/>
  <c r="E771" i="2"/>
  <c r="F771" i="2"/>
  <c r="M492" i="2" l="1"/>
  <c r="N492" i="2" s="1"/>
  <c r="P492" i="2" s="1"/>
  <c r="L493" i="2"/>
  <c r="M493" i="2" s="1"/>
  <c r="N493" i="2" s="1"/>
  <c r="P493" i="2" s="1"/>
  <c r="J494" i="2"/>
  <c r="H494" i="2"/>
  <c r="K494" i="2" s="1"/>
  <c r="F772" i="2"/>
  <c r="E772" i="2"/>
  <c r="L494" i="2" l="1"/>
  <c r="L495" i="2" s="1"/>
  <c r="G494" i="2"/>
  <c r="H495" i="2" s="1"/>
  <c r="K495" i="2" s="1"/>
  <c r="E773" i="2"/>
  <c r="F773" i="2"/>
  <c r="M494" i="2" l="1"/>
  <c r="N494" i="2" s="1"/>
  <c r="P494" i="2" s="1"/>
  <c r="J495" i="2"/>
  <c r="G495" i="2" s="1"/>
  <c r="J496" i="2" s="1"/>
  <c r="M495" i="2"/>
  <c r="N495" i="2" s="1"/>
  <c r="P495" i="2" s="1"/>
  <c r="L496" i="2"/>
  <c r="F774" i="2"/>
  <c r="E774" i="2"/>
  <c r="H496" i="2" l="1"/>
  <c r="K496" i="2" s="1"/>
  <c r="M496" i="2" s="1"/>
  <c r="N496" i="2" s="1"/>
  <c r="P496" i="2" s="1"/>
  <c r="F775" i="2"/>
  <c r="E775" i="2"/>
  <c r="L497" i="2" l="1"/>
  <c r="G496" i="2"/>
  <c r="J497" i="2" s="1"/>
  <c r="E776" i="2"/>
  <c r="F776" i="2"/>
  <c r="H497" i="2" l="1"/>
  <c r="G497" i="2" s="1"/>
  <c r="J498" i="2" s="1"/>
  <c r="E777" i="2"/>
  <c r="F777" i="2"/>
  <c r="K497" i="2" l="1"/>
  <c r="L498" i="2" s="1"/>
  <c r="H498" i="2"/>
  <c r="G498" i="2" s="1"/>
  <c r="J499" i="2" s="1"/>
  <c r="F778" i="2"/>
  <c r="E778" i="2"/>
  <c r="K498" i="2" l="1"/>
  <c r="M498" i="2" s="1"/>
  <c r="N498" i="2" s="1"/>
  <c r="P498" i="2" s="1"/>
  <c r="M497" i="2"/>
  <c r="N497" i="2" s="1"/>
  <c r="P497" i="2" s="1"/>
  <c r="H499" i="2"/>
  <c r="G499" i="2" s="1"/>
  <c r="E779" i="2"/>
  <c r="F779" i="2"/>
  <c r="L499" i="2" l="1"/>
  <c r="K499" i="2"/>
  <c r="H500" i="2"/>
  <c r="J500" i="2"/>
  <c r="F780" i="2"/>
  <c r="E780" i="2"/>
  <c r="L500" i="2" l="1"/>
  <c r="G500" i="2"/>
  <c r="H501" i="2" s="1"/>
  <c r="M499" i="2"/>
  <c r="N499" i="2" s="1"/>
  <c r="P499" i="2" s="1"/>
  <c r="K500" i="2"/>
  <c r="E781" i="2"/>
  <c r="F781" i="2"/>
  <c r="M500" i="2" l="1"/>
  <c r="N500" i="2" s="1"/>
  <c r="P500" i="2" s="1"/>
  <c r="J501" i="2"/>
  <c r="G501" i="2" s="1"/>
  <c r="H502" i="2" s="1"/>
  <c r="L501" i="2"/>
  <c r="K501" i="2"/>
  <c r="F782" i="2"/>
  <c r="E782" i="2"/>
  <c r="J502" i="2" l="1"/>
  <c r="G502" i="2" s="1"/>
  <c r="H503" i="2" s="1"/>
  <c r="M501" i="2"/>
  <c r="N501" i="2" s="1"/>
  <c r="P501" i="2" s="1"/>
  <c r="L502" i="2"/>
  <c r="K502" i="2"/>
  <c r="F783" i="2"/>
  <c r="E783" i="2"/>
  <c r="K503" i="2" l="1"/>
  <c r="J503" i="2"/>
  <c r="G503" i="2" s="1"/>
  <c r="H504" i="2" s="1"/>
  <c r="L503" i="2"/>
  <c r="M502" i="2"/>
  <c r="N502" i="2" s="1"/>
  <c r="P502" i="2" s="1"/>
  <c r="E784" i="2"/>
  <c r="F784" i="2"/>
  <c r="J504" i="2" l="1"/>
  <c r="G504" i="2" s="1"/>
  <c r="L504" i="2"/>
  <c r="M503" i="2"/>
  <c r="N503" i="2" s="1"/>
  <c r="P503" i="2" s="1"/>
  <c r="K504" i="2"/>
  <c r="E785" i="2"/>
  <c r="F785" i="2"/>
  <c r="L505" i="2" l="1"/>
  <c r="H505" i="2"/>
  <c r="K505" i="2" s="1"/>
  <c r="J505" i="2"/>
  <c r="M504" i="2"/>
  <c r="N504" i="2" s="1"/>
  <c r="P504" i="2" s="1"/>
  <c r="F786" i="2"/>
  <c r="E786" i="2"/>
  <c r="L506" i="2" l="1"/>
  <c r="G505" i="2"/>
  <c r="M505" i="2"/>
  <c r="N505" i="2" s="1"/>
  <c r="P505" i="2" s="1"/>
  <c r="E787" i="2"/>
  <c r="F787" i="2"/>
  <c r="J506" i="2" l="1"/>
  <c r="H506" i="2"/>
  <c r="F788" i="2"/>
  <c r="E788" i="2"/>
  <c r="G506" i="2" l="1"/>
  <c r="K506" i="2"/>
  <c r="E789" i="2"/>
  <c r="F789" i="2"/>
  <c r="M506" i="2" l="1"/>
  <c r="N506" i="2" s="1"/>
  <c r="P506" i="2" s="1"/>
  <c r="L507" i="2"/>
  <c r="J507" i="2"/>
  <c r="H507" i="2"/>
  <c r="F790" i="2"/>
  <c r="E790" i="2"/>
  <c r="K507" i="2" l="1"/>
  <c r="G507" i="2"/>
  <c r="F791" i="2"/>
  <c r="E791" i="2"/>
  <c r="J508" i="2" l="1"/>
  <c r="H508" i="2"/>
  <c r="L508" i="2"/>
  <c r="M507" i="2"/>
  <c r="N507" i="2" s="1"/>
  <c r="P507" i="2" s="1"/>
  <c r="E792" i="2"/>
  <c r="F792" i="2"/>
  <c r="K508" i="2" l="1"/>
  <c r="G508" i="2"/>
  <c r="E793" i="2"/>
  <c r="F793" i="2"/>
  <c r="J509" i="2" l="1"/>
  <c r="H509" i="2"/>
  <c r="K509" i="2" s="1"/>
  <c r="L509" i="2"/>
  <c r="M508" i="2"/>
  <c r="N508" i="2" s="1"/>
  <c r="P508" i="2" s="1"/>
  <c r="F794" i="2"/>
  <c r="E794" i="2"/>
  <c r="G509" i="2" l="1"/>
  <c r="J510" i="2" s="1"/>
  <c r="M509" i="2"/>
  <c r="N509" i="2" s="1"/>
  <c r="P509" i="2" s="1"/>
  <c r="L510" i="2"/>
  <c r="E795" i="2"/>
  <c r="F795" i="2"/>
  <c r="H510" i="2" l="1"/>
  <c r="G510" i="2" s="1"/>
  <c r="H511" i="2" s="1"/>
  <c r="F796" i="2"/>
  <c r="E796" i="2"/>
  <c r="K510" i="2" l="1"/>
  <c r="M510" i="2" s="1"/>
  <c r="N510" i="2" s="1"/>
  <c r="P510" i="2" s="1"/>
  <c r="J511" i="2"/>
  <c r="G511" i="2" s="1"/>
  <c r="E797" i="2"/>
  <c r="F797" i="2"/>
  <c r="K511" i="2" l="1"/>
  <c r="L511" i="2"/>
  <c r="H512" i="2"/>
  <c r="J512" i="2"/>
  <c r="F798" i="2"/>
  <c r="E798" i="2"/>
  <c r="M511" i="2" l="1"/>
  <c r="N511" i="2" s="1"/>
  <c r="P511" i="2" s="1"/>
  <c r="L512" i="2"/>
  <c r="K512" i="2"/>
  <c r="G512" i="2"/>
  <c r="F799" i="2"/>
  <c r="E799" i="2"/>
  <c r="M512" i="2" l="1"/>
  <c r="N512" i="2" s="1"/>
  <c r="P512" i="2" s="1"/>
  <c r="J513" i="2"/>
  <c r="H513" i="2"/>
  <c r="L513" i="2"/>
  <c r="E800" i="2"/>
  <c r="F800" i="2"/>
  <c r="K513" i="2" l="1"/>
  <c r="M513" i="2" s="1"/>
  <c r="N513" i="2" s="1"/>
  <c r="P513" i="2" s="1"/>
  <c r="G513" i="2"/>
  <c r="E801" i="2"/>
  <c r="F801" i="2"/>
  <c r="H514" i="2" l="1"/>
  <c r="K514" i="2" s="1"/>
  <c r="J514" i="2"/>
  <c r="L514" i="2"/>
  <c r="F802" i="2"/>
  <c r="E802" i="2"/>
  <c r="G514" i="2" l="1"/>
  <c r="J515" i="2" s="1"/>
  <c r="L515" i="2"/>
  <c r="M514" i="2"/>
  <c r="N514" i="2" s="1"/>
  <c r="P514" i="2" s="1"/>
  <c r="E803" i="2"/>
  <c r="F803" i="2"/>
  <c r="H515" i="2" l="1"/>
  <c r="K515" i="2" s="1"/>
  <c r="M515" i="2" s="1"/>
  <c r="N515" i="2" s="1"/>
  <c r="P515" i="2" s="1"/>
  <c r="F804" i="2"/>
  <c r="E804" i="2"/>
  <c r="G515" i="2" l="1"/>
  <c r="J516" i="2" s="1"/>
  <c r="L516" i="2"/>
  <c r="E805" i="2"/>
  <c r="F805" i="2"/>
  <c r="H516" i="2" l="1"/>
  <c r="K516" i="2" s="1"/>
  <c r="F806" i="2"/>
  <c r="E806" i="2"/>
  <c r="G516" i="2" l="1"/>
  <c r="H517" i="2" s="1"/>
  <c r="K517" i="2" s="1"/>
  <c r="M516" i="2"/>
  <c r="N516" i="2" s="1"/>
  <c r="P516" i="2" s="1"/>
  <c r="L517" i="2"/>
  <c r="F807" i="2"/>
  <c r="E807" i="2"/>
  <c r="J517" i="2" l="1"/>
  <c r="G517" i="2" s="1"/>
  <c r="H518" i="2" s="1"/>
  <c r="L518" i="2"/>
  <c r="M517" i="2"/>
  <c r="N517" i="2" s="1"/>
  <c r="P517" i="2" s="1"/>
  <c r="E808" i="2"/>
  <c r="F808" i="2"/>
  <c r="J518" i="2" l="1"/>
  <c r="G518" i="2" s="1"/>
  <c r="K518" i="2"/>
  <c r="E809" i="2"/>
  <c r="F809" i="2"/>
  <c r="J519" i="2" l="1"/>
  <c r="H519" i="2"/>
  <c r="M518" i="2"/>
  <c r="N518" i="2" s="1"/>
  <c r="P518" i="2" s="1"/>
  <c r="L519" i="2"/>
  <c r="F810" i="2"/>
  <c r="E810" i="2"/>
  <c r="K519" i="2" l="1"/>
  <c r="M519" i="2" s="1"/>
  <c r="N519" i="2" s="1"/>
  <c r="P519" i="2" s="1"/>
  <c r="G519" i="2"/>
  <c r="E811" i="2"/>
  <c r="F811" i="2"/>
  <c r="H520" i="2" l="1"/>
  <c r="K520" i="2" s="1"/>
  <c r="J520" i="2"/>
  <c r="L520" i="2"/>
  <c r="F812" i="2"/>
  <c r="E812" i="2"/>
  <c r="G520" i="2" l="1"/>
  <c r="J521" i="2" s="1"/>
  <c r="L521" i="2"/>
  <c r="M520" i="2"/>
  <c r="N520" i="2" s="1"/>
  <c r="P520" i="2" s="1"/>
  <c r="E813" i="2"/>
  <c r="F813" i="2"/>
  <c r="H521" i="2" l="1"/>
  <c r="K521" i="2" s="1"/>
  <c r="M521" i="2" s="1"/>
  <c r="N521" i="2" s="1"/>
  <c r="P521" i="2" s="1"/>
  <c r="F814" i="2"/>
  <c r="E814" i="2"/>
  <c r="G521" i="2" l="1"/>
  <c r="J522" i="2" s="1"/>
  <c r="L522" i="2"/>
  <c r="F815" i="2"/>
  <c r="E815" i="2"/>
  <c r="H522" i="2" l="1"/>
  <c r="K522" i="2" s="1"/>
  <c r="E816" i="2"/>
  <c r="F816" i="2"/>
  <c r="G522" i="2" l="1"/>
  <c r="J523" i="2" s="1"/>
  <c r="M522" i="2"/>
  <c r="N522" i="2" s="1"/>
  <c r="P522" i="2" s="1"/>
  <c r="L523" i="2"/>
  <c r="E817" i="2"/>
  <c r="F817" i="2"/>
  <c r="H523" i="2" l="1"/>
  <c r="K523" i="2" s="1"/>
  <c r="F818" i="2"/>
  <c r="E818" i="2"/>
  <c r="G523" i="2" l="1"/>
  <c r="J524" i="2" s="1"/>
  <c r="L524" i="2"/>
  <c r="M523" i="2"/>
  <c r="N523" i="2" s="1"/>
  <c r="P523" i="2" s="1"/>
  <c r="E819" i="2"/>
  <c r="F819" i="2"/>
  <c r="H524" i="2" l="1"/>
  <c r="K524" i="2" s="1"/>
  <c r="F820" i="2"/>
  <c r="E820" i="2"/>
  <c r="G524" i="2" l="1"/>
  <c r="J525" i="2" s="1"/>
  <c r="L525" i="2"/>
  <c r="M524" i="2"/>
  <c r="N524" i="2" s="1"/>
  <c r="P524" i="2" s="1"/>
  <c r="E821" i="2"/>
  <c r="F821" i="2"/>
  <c r="H525" i="2" l="1"/>
  <c r="G525" i="2" s="1"/>
  <c r="F822" i="2"/>
  <c r="E822" i="2"/>
  <c r="K525" i="2" l="1"/>
  <c r="M525" i="2" s="1"/>
  <c r="N525" i="2" s="1"/>
  <c r="P525" i="2" s="1"/>
  <c r="H526" i="2"/>
  <c r="J526" i="2"/>
  <c r="F823" i="2"/>
  <c r="E823" i="2"/>
  <c r="K526" i="2" l="1"/>
  <c r="L526" i="2"/>
  <c r="G526" i="2"/>
  <c r="J527" i="2" s="1"/>
  <c r="E824" i="2"/>
  <c r="F824" i="2"/>
  <c r="L527" i="2" l="1"/>
  <c r="M526" i="2"/>
  <c r="N526" i="2" s="1"/>
  <c r="P526" i="2" s="1"/>
  <c r="H527" i="2"/>
  <c r="K527" i="2" s="1"/>
  <c r="E825" i="2"/>
  <c r="F825" i="2"/>
  <c r="M527" i="2" l="1"/>
  <c r="N527" i="2" s="1"/>
  <c r="P527" i="2" s="1"/>
  <c r="G527" i="2"/>
  <c r="J528" i="2" s="1"/>
  <c r="L528" i="2"/>
  <c r="F826" i="2"/>
  <c r="E826" i="2"/>
  <c r="H528" i="2" l="1"/>
  <c r="G528" i="2" s="1"/>
  <c r="E827" i="2"/>
  <c r="F827" i="2"/>
  <c r="K528" i="2" l="1"/>
  <c r="M528" i="2" s="1"/>
  <c r="N528" i="2" s="1"/>
  <c r="P528" i="2" s="1"/>
  <c r="J529" i="2"/>
  <c r="H529" i="2"/>
  <c r="F828" i="2"/>
  <c r="E828" i="2"/>
  <c r="L529" i="2" l="1"/>
  <c r="K529" i="2"/>
  <c r="G529" i="2"/>
  <c r="E829" i="2"/>
  <c r="F829" i="2"/>
  <c r="M529" i="2" l="1"/>
  <c r="N529" i="2" s="1"/>
  <c r="P529" i="2" s="1"/>
  <c r="H530" i="2"/>
  <c r="K530" i="2" s="1"/>
  <c r="J530" i="2"/>
  <c r="L530" i="2"/>
  <c r="F830" i="2"/>
  <c r="E830" i="2"/>
  <c r="G530" i="2" l="1"/>
  <c r="J531" i="2" s="1"/>
  <c r="L531" i="2"/>
  <c r="M530" i="2"/>
  <c r="N530" i="2" s="1"/>
  <c r="P530" i="2" s="1"/>
  <c r="F831" i="2"/>
  <c r="E831" i="2"/>
  <c r="H531" i="2" l="1"/>
  <c r="K531" i="2" s="1"/>
  <c r="M531" i="2" s="1"/>
  <c r="N531" i="2" s="1"/>
  <c r="P531" i="2" s="1"/>
  <c r="F832" i="2"/>
  <c r="E832" i="2"/>
  <c r="L532" i="2" l="1"/>
  <c r="G531" i="2"/>
  <c r="J532" i="2" s="1"/>
  <c r="E833" i="2"/>
  <c r="F833" i="2"/>
  <c r="H532" i="2" l="1"/>
  <c r="G532" i="2" s="1"/>
  <c r="H533" i="2" s="1"/>
  <c r="F834" i="2"/>
  <c r="E834" i="2"/>
  <c r="K532" i="2" l="1"/>
  <c r="M532" i="2" s="1"/>
  <c r="N532" i="2" s="1"/>
  <c r="P532" i="2" s="1"/>
  <c r="J533" i="2"/>
  <c r="G533" i="2" s="1"/>
  <c r="H534" i="2" s="1"/>
  <c r="E835" i="2"/>
  <c r="F835" i="2"/>
  <c r="K533" i="2" l="1"/>
  <c r="K534" i="2" s="1"/>
  <c r="L533" i="2"/>
  <c r="J534" i="2"/>
  <c r="G534" i="2" s="1"/>
  <c r="J535" i="2" s="1"/>
  <c r="F836" i="2"/>
  <c r="E836" i="2"/>
  <c r="L534" i="2" l="1"/>
  <c r="M534" i="2" s="1"/>
  <c r="N534" i="2" s="1"/>
  <c r="P534" i="2" s="1"/>
  <c r="M533" i="2"/>
  <c r="N533" i="2" s="1"/>
  <c r="P533" i="2" s="1"/>
  <c r="H535" i="2"/>
  <c r="G535" i="2" s="1"/>
  <c r="J536" i="2" s="1"/>
  <c r="E837" i="2"/>
  <c r="F837" i="2"/>
  <c r="L535" i="2" l="1"/>
  <c r="K535" i="2"/>
  <c r="H536" i="2"/>
  <c r="G536" i="2" s="1"/>
  <c r="H537" i="2" s="1"/>
  <c r="F838" i="2"/>
  <c r="E838" i="2"/>
  <c r="M535" i="2" l="1"/>
  <c r="N535" i="2" s="1"/>
  <c r="P535" i="2" s="1"/>
  <c r="L536" i="2"/>
  <c r="K536" i="2"/>
  <c r="J537" i="2"/>
  <c r="G537" i="2" s="1"/>
  <c r="J538" i="2" s="1"/>
  <c r="F839" i="2"/>
  <c r="E839" i="2"/>
  <c r="M536" i="2" l="1"/>
  <c r="N536" i="2" s="1"/>
  <c r="P536" i="2" s="1"/>
  <c r="H538" i="2"/>
  <c r="G538" i="2" s="1"/>
  <c r="L537" i="2"/>
  <c r="K537" i="2"/>
  <c r="E840" i="2"/>
  <c r="F840" i="2"/>
  <c r="K538" i="2" l="1"/>
  <c r="L538" i="2"/>
  <c r="M537" i="2"/>
  <c r="N537" i="2" s="1"/>
  <c r="P537" i="2" s="1"/>
  <c r="J539" i="2"/>
  <c r="H539" i="2"/>
  <c r="E841" i="2"/>
  <c r="F841" i="2"/>
  <c r="K539" i="2" l="1"/>
  <c r="M538" i="2"/>
  <c r="N538" i="2" s="1"/>
  <c r="P538" i="2" s="1"/>
  <c r="L539" i="2"/>
  <c r="G539" i="2"/>
  <c r="F842" i="2"/>
  <c r="E842" i="2"/>
  <c r="M539" i="2" l="1"/>
  <c r="N539" i="2" s="1"/>
  <c r="P539" i="2" s="1"/>
  <c r="L540" i="2"/>
  <c r="J540" i="2"/>
  <c r="H540" i="2"/>
  <c r="K540" i="2" s="1"/>
  <c r="F843" i="2"/>
  <c r="E843" i="2"/>
  <c r="G540" i="2" l="1"/>
  <c r="J541" i="2" s="1"/>
  <c r="M540" i="2"/>
  <c r="N540" i="2" s="1"/>
  <c r="P540" i="2" s="1"/>
  <c r="L541" i="2"/>
  <c r="F844" i="2"/>
  <c r="E844" i="2"/>
  <c r="H541" i="2" l="1"/>
  <c r="K541" i="2" s="1"/>
  <c r="M541" i="2" s="1"/>
  <c r="N541" i="2" s="1"/>
  <c r="P541" i="2" s="1"/>
  <c r="E845" i="2"/>
  <c r="F845" i="2"/>
  <c r="L542" i="2" l="1"/>
  <c r="G541" i="2"/>
  <c r="F846" i="2"/>
  <c r="E846" i="2"/>
  <c r="H542" i="2" l="1"/>
  <c r="J542" i="2"/>
  <c r="F847" i="2"/>
  <c r="E847" i="2"/>
  <c r="K542" i="2" l="1"/>
  <c r="G542" i="2"/>
  <c r="E848" i="2"/>
  <c r="F848" i="2"/>
  <c r="H543" i="2" l="1"/>
  <c r="K543" i="2" s="1"/>
  <c r="J543" i="2"/>
  <c r="M542" i="2"/>
  <c r="N542" i="2" s="1"/>
  <c r="P542" i="2" s="1"/>
  <c r="L543" i="2"/>
  <c r="E849" i="2"/>
  <c r="F849" i="2"/>
  <c r="G543" i="2" l="1"/>
  <c r="J544" i="2" s="1"/>
  <c r="L544" i="2"/>
  <c r="M543" i="2"/>
  <c r="N543" i="2" s="1"/>
  <c r="P543" i="2" s="1"/>
  <c r="F850" i="2"/>
  <c r="E850" i="2"/>
  <c r="H544" i="2" l="1"/>
  <c r="K544" i="2" s="1"/>
  <c r="E851" i="2"/>
  <c r="F851" i="2"/>
  <c r="G544" i="2" l="1"/>
  <c r="J545" i="2" s="1"/>
  <c r="L545" i="2"/>
  <c r="M544" i="2"/>
  <c r="N544" i="2" s="1"/>
  <c r="P544" i="2" s="1"/>
  <c r="F852" i="2"/>
  <c r="E852" i="2"/>
  <c r="H545" i="2" l="1"/>
  <c r="G545" i="2" s="1"/>
  <c r="J546" i="2" s="1"/>
  <c r="E853" i="2"/>
  <c r="F853" i="2"/>
  <c r="K545" i="2" l="1"/>
  <c r="L546" i="2" s="1"/>
  <c r="H546" i="2"/>
  <c r="G546" i="2" s="1"/>
  <c r="F854" i="2"/>
  <c r="E854" i="2"/>
  <c r="M545" i="2" l="1"/>
  <c r="N545" i="2" s="1"/>
  <c r="P545" i="2" s="1"/>
  <c r="K546" i="2"/>
  <c r="L547" i="2" s="1"/>
  <c r="J547" i="2"/>
  <c r="H547" i="2"/>
  <c r="F855" i="2"/>
  <c r="E855" i="2"/>
  <c r="K547" i="2" l="1"/>
  <c r="M547" i="2" s="1"/>
  <c r="N547" i="2" s="1"/>
  <c r="P547" i="2" s="1"/>
  <c r="M546" i="2"/>
  <c r="N546" i="2" s="1"/>
  <c r="P546" i="2" s="1"/>
  <c r="G547" i="2"/>
  <c r="H548" i="2" s="1"/>
  <c r="E856" i="2"/>
  <c r="F856" i="2"/>
  <c r="L548" i="2" l="1"/>
  <c r="K548" i="2"/>
  <c r="J548" i="2"/>
  <c r="G548" i="2" s="1"/>
  <c r="E857" i="2"/>
  <c r="F857" i="2"/>
  <c r="L549" i="2" l="1"/>
  <c r="M548" i="2"/>
  <c r="N548" i="2" s="1"/>
  <c r="P548" i="2" s="1"/>
  <c r="J549" i="2"/>
  <c r="H549" i="2"/>
  <c r="K549" i="2" s="1"/>
  <c r="F858" i="2"/>
  <c r="E858" i="2"/>
  <c r="G549" i="2" l="1"/>
  <c r="H550" i="2" s="1"/>
  <c r="K550" i="2" s="1"/>
  <c r="M549" i="2"/>
  <c r="N549" i="2" s="1"/>
  <c r="P549" i="2" s="1"/>
  <c r="L550" i="2"/>
  <c r="E859" i="2"/>
  <c r="F859" i="2"/>
  <c r="J550" i="2" l="1"/>
  <c r="G550" i="2" s="1"/>
  <c r="M550" i="2"/>
  <c r="N550" i="2" s="1"/>
  <c r="P550" i="2" s="1"/>
  <c r="L551" i="2"/>
  <c r="F860" i="2"/>
  <c r="E860" i="2"/>
  <c r="J551" i="2" l="1"/>
  <c r="H551" i="2"/>
  <c r="K551" i="2" s="1"/>
  <c r="M551" i="2" s="1"/>
  <c r="N551" i="2" s="1"/>
  <c r="P551" i="2" s="1"/>
  <c r="E861" i="2"/>
  <c r="F861" i="2"/>
  <c r="G551" i="2" l="1"/>
  <c r="J552" i="2" s="1"/>
  <c r="L552" i="2"/>
  <c r="F862" i="2"/>
  <c r="E862" i="2"/>
  <c r="H552" i="2" l="1"/>
  <c r="K552" i="2" s="1"/>
  <c r="L553" i="2" s="1"/>
  <c r="F863" i="2"/>
  <c r="E863" i="2"/>
  <c r="G552" i="2" l="1"/>
  <c r="H553" i="2" s="1"/>
  <c r="K553" i="2" s="1"/>
  <c r="M552" i="2"/>
  <c r="N552" i="2" s="1"/>
  <c r="P552" i="2" s="1"/>
  <c r="F864" i="2"/>
  <c r="E864" i="2"/>
  <c r="J553" i="2" l="1"/>
  <c r="G553" i="2" s="1"/>
  <c r="J554" i="2" s="1"/>
  <c r="M553" i="2"/>
  <c r="N553" i="2" s="1"/>
  <c r="P553" i="2" s="1"/>
  <c r="L554" i="2"/>
  <c r="E865" i="2"/>
  <c r="F865" i="2"/>
  <c r="H554" i="2" l="1"/>
  <c r="K554" i="2" s="1"/>
  <c r="L555" i="2" s="1"/>
  <c r="F866" i="2"/>
  <c r="E866" i="2"/>
  <c r="G554" i="2" l="1"/>
  <c r="J555" i="2" s="1"/>
  <c r="M554" i="2"/>
  <c r="N554" i="2" s="1"/>
  <c r="P554" i="2" s="1"/>
  <c r="E867" i="2"/>
  <c r="F867" i="2"/>
  <c r="H555" i="2" l="1"/>
  <c r="K555" i="2" s="1"/>
  <c r="M555" i="2" s="1"/>
  <c r="N555" i="2" s="1"/>
  <c r="P555" i="2" s="1"/>
  <c r="F868" i="2"/>
  <c r="E868" i="2"/>
  <c r="G555" i="2" l="1"/>
  <c r="J556" i="2" s="1"/>
  <c r="L556" i="2"/>
  <c r="E869" i="2"/>
  <c r="F869" i="2"/>
  <c r="H556" i="2" l="1"/>
  <c r="K556" i="2" s="1"/>
  <c r="M556" i="2" s="1"/>
  <c r="N556" i="2" s="1"/>
  <c r="P556" i="2" s="1"/>
  <c r="F870" i="2"/>
  <c r="E870" i="2"/>
  <c r="G556" i="2" l="1"/>
  <c r="H557" i="2" s="1"/>
  <c r="K557" i="2" s="1"/>
  <c r="L557" i="2"/>
  <c r="F871" i="2"/>
  <c r="E871" i="2"/>
  <c r="J557" i="2" l="1"/>
  <c r="G557" i="2" s="1"/>
  <c r="J558" i="2" s="1"/>
  <c r="L558" i="2"/>
  <c r="M557" i="2"/>
  <c r="N557" i="2" s="1"/>
  <c r="P557" i="2" s="1"/>
  <c r="E872" i="2"/>
  <c r="F872" i="2"/>
  <c r="H558" i="2" l="1"/>
  <c r="G558" i="2" s="1"/>
  <c r="E873" i="2"/>
  <c r="F873" i="2"/>
  <c r="K558" i="2" l="1"/>
  <c r="M558" i="2" s="1"/>
  <c r="N558" i="2" s="1"/>
  <c r="P558" i="2" s="1"/>
  <c r="J559" i="2"/>
  <c r="H559" i="2"/>
  <c r="F874" i="2"/>
  <c r="E874" i="2"/>
  <c r="G559" i="2" l="1"/>
  <c r="H560" i="2" s="1"/>
  <c r="K559" i="2"/>
  <c r="L559" i="2"/>
  <c r="F875" i="2"/>
  <c r="E875" i="2"/>
  <c r="J560" i="2" l="1"/>
  <c r="G560" i="2" s="1"/>
  <c r="K560" i="2"/>
  <c r="M559" i="2"/>
  <c r="N559" i="2" s="1"/>
  <c r="P559" i="2" s="1"/>
  <c r="L560" i="2"/>
  <c r="F876" i="2"/>
  <c r="E876" i="2"/>
  <c r="L561" i="2" l="1"/>
  <c r="M560" i="2"/>
  <c r="N560" i="2" s="1"/>
  <c r="P560" i="2" s="1"/>
  <c r="J561" i="2"/>
  <c r="H561" i="2"/>
  <c r="K561" i="2" s="1"/>
  <c r="E877" i="2"/>
  <c r="F877" i="2"/>
  <c r="M561" i="2" l="1"/>
  <c r="N561" i="2" s="1"/>
  <c r="P561" i="2" s="1"/>
  <c r="G561" i="2"/>
  <c r="H562" i="2" s="1"/>
  <c r="K562" i="2" s="1"/>
  <c r="L562" i="2"/>
  <c r="F878" i="2"/>
  <c r="E878" i="2"/>
  <c r="J562" i="2" l="1"/>
  <c r="G562" i="2" s="1"/>
  <c r="J563" i="2" s="1"/>
  <c r="L563" i="2"/>
  <c r="M562" i="2"/>
  <c r="N562" i="2" s="1"/>
  <c r="P562" i="2" s="1"/>
  <c r="F879" i="2"/>
  <c r="E879" i="2"/>
  <c r="H563" i="2" l="1"/>
  <c r="K563" i="2" s="1"/>
  <c r="M563" i="2" s="1"/>
  <c r="N563" i="2" s="1"/>
  <c r="P563" i="2" s="1"/>
  <c r="E880" i="2"/>
  <c r="F880" i="2"/>
  <c r="G563" i="2" l="1"/>
  <c r="J564" i="2" s="1"/>
  <c r="L564" i="2"/>
  <c r="E881" i="2"/>
  <c r="F881" i="2"/>
  <c r="H564" i="2" l="1"/>
  <c r="K564" i="2" s="1"/>
  <c r="L565" i="2" s="1"/>
  <c r="F882" i="2"/>
  <c r="E882" i="2"/>
  <c r="G564" i="2" l="1"/>
  <c r="M564" i="2"/>
  <c r="N564" i="2" s="1"/>
  <c r="P564" i="2" s="1"/>
  <c r="E883" i="2"/>
  <c r="F883" i="2"/>
  <c r="J565" i="2" l="1"/>
  <c r="H565" i="2"/>
  <c r="F884" i="2"/>
  <c r="E884" i="2"/>
  <c r="K565" i="2" l="1"/>
  <c r="G565" i="2"/>
  <c r="E885" i="2"/>
  <c r="F885" i="2"/>
  <c r="H566" i="2" l="1"/>
  <c r="J566" i="2"/>
  <c r="L566" i="2"/>
  <c r="M565" i="2"/>
  <c r="N565" i="2" s="1"/>
  <c r="P565" i="2" s="1"/>
  <c r="F886" i="2"/>
  <c r="E886" i="2"/>
  <c r="K566" i="2" l="1"/>
  <c r="M566" i="2" s="1"/>
  <c r="N566" i="2" s="1"/>
  <c r="P566" i="2" s="1"/>
  <c r="G566" i="2"/>
  <c r="F887" i="2"/>
  <c r="E887" i="2"/>
  <c r="H567" i="2" l="1"/>
  <c r="J567" i="2"/>
  <c r="L567" i="2"/>
  <c r="E888" i="2"/>
  <c r="F888" i="2"/>
  <c r="K567" i="2" l="1"/>
  <c r="M567" i="2" s="1"/>
  <c r="N567" i="2" s="1"/>
  <c r="P567" i="2" s="1"/>
  <c r="G567" i="2"/>
  <c r="E889" i="2"/>
  <c r="F889" i="2"/>
  <c r="H568" i="2" l="1"/>
  <c r="K568" i="2" s="1"/>
  <c r="J568" i="2"/>
  <c r="L568" i="2"/>
  <c r="F890" i="2"/>
  <c r="E890" i="2"/>
  <c r="G568" i="2" l="1"/>
  <c r="J569" i="2" s="1"/>
  <c r="L569" i="2"/>
  <c r="M568" i="2"/>
  <c r="N568" i="2" s="1"/>
  <c r="P568" i="2" s="1"/>
  <c r="E891" i="2"/>
  <c r="F891" i="2"/>
  <c r="H569" i="2" l="1"/>
  <c r="K569" i="2" s="1"/>
  <c r="M569" i="2" s="1"/>
  <c r="N569" i="2" s="1"/>
  <c r="P569" i="2" s="1"/>
  <c r="F892" i="2"/>
  <c r="E892" i="2"/>
  <c r="L570" i="2" l="1"/>
  <c r="G569" i="2"/>
  <c r="J570" i="2" s="1"/>
  <c r="E893" i="2"/>
  <c r="F893" i="2"/>
  <c r="H570" i="2" l="1"/>
  <c r="K570" i="2" s="1"/>
  <c r="M570" i="2" s="1"/>
  <c r="N570" i="2" s="1"/>
  <c r="P570" i="2" s="1"/>
  <c r="F894" i="2"/>
  <c r="E894" i="2"/>
  <c r="G570" i="2" l="1"/>
  <c r="H571" i="2" s="1"/>
  <c r="K571" i="2" s="1"/>
  <c r="L571" i="2"/>
  <c r="F895" i="2"/>
  <c r="E895" i="2"/>
  <c r="J571" i="2" l="1"/>
  <c r="G571" i="2" s="1"/>
  <c r="H572" i="2" s="1"/>
  <c r="M571" i="2"/>
  <c r="N571" i="2" s="1"/>
  <c r="P571" i="2" s="1"/>
  <c r="L572" i="2"/>
  <c r="F896" i="2"/>
  <c r="E896" i="2"/>
  <c r="J572" i="2" l="1"/>
  <c r="G572" i="2" s="1"/>
  <c r="K572" i="2"/>
  <c r="M572" i="2" s="1"/>
  <c r="N572" i="2" s="1"/>
  <c r="P572" i="2" s="1"/>
  <c r="E897" i="2"/>
  <c r="F897" i="2"/>
  <c r="H573" i="2" l="1"/>
  <c r="K573" i="2" s="1"/>
  <c r="J573" i="2"/>
  <c r="L573" i="2"/>
  <c r="F898" i="2"/>
  <c r="E898" i="2"/>
  <c r="G573" i="2" l="1"/>
  <c r="J574" i="2" s="1"/>
  <c r="L574" i="2"/>
  <c r="M573" i="2"/>
  <c r="N573" i="2" s="1"/>
  <c r="P573" i="2" s="1"/>
  <c r="E899" i="2"/>
  <c r="F899" i="2"/>
  <c r="H574" i="2" l="1"/>
  <c r="K574" i="2" s="1"/>
  <c r="F900" i="2"/>
  <c r="E900" i="2"/>
  <c r="G574" i="2" l="1"/>
  <c r="J575" i="2" s="1"/>
  <c r="M574" i="2"/>
  <c r="N574" i="2" s="1"/>
  <c r="P574" i="2" s="1"/>
  <c r="L575" i="2"/>
  <c r="E901" i="2"/>
  <c r="F901" i="2"/>
  <c r="H575" i="2" l="1"/>
  <c r="K575" i="2" s="1"/>
  <c r="L576" i="2" s="1"/>
  <c r="F902" i="2"/>
  <c r="E902" i="2"/>
  <c r="G575" i="2" l="1"/>
  <c r="H576" i="2" s="1"/>
  <c r="K576" i="2" s="1"/>
  <c r="M575" i="2"/>
  <c r="N575" i="2" s="1"/>
  <c r="P575" i="2" s="1"/>
  <c r="F903" i="2"/>
  <c r="E903" i="2"/>
  <c r="J576" i="2" l="1"/>
  <c r="G576" i="2" s="1"/>
  <c r="J577" i="2" s="1"/>
  <c r="M576" i="2"/>
  <c r="N576" i="2" s="1"/>
  <c r="P576" i="2" s="1"/>
  <c r="L577" i="2"/>
  <c r="E904" i="2"/>
  <c r="F904" i="2"/>
  <c r="H577" i="2" l="1"/>
  <c r="G577" i="2" s="1"/>
  <c r="E905" i="2"/>
  <c r="F905" i="2"/>
  <c r="H578" i="2" l="1"/>
  <c r="J578" i="2"/>
  <c r="K577" i="2"/>
  <c r="L578" i="2" s="1"/>
  <c r="F906" i="2"/>
  <c r="E906" i="2"/>
  <c r="M577" i="2" l="1"/>
  <c r="N577" i="2" s="1"/>
  <c r="P577" i="2" s="1"/>
  <c r="K578" i="2"/>
  <c r="G578" i="2"/>
  <c r="F907" i="2"/>
  <c r="E907" i="2"/>
  <c r="H579" i="2" l="1"/>
  <c r="K579" i="2" s="1"/>
  <c r="J579" i="2"/>
  <c r="M578" i="2"/>
  <c r="N578" i="2" s="1"/>
  <c r="P578" i="2" s="1"/>
  <c r="L579" i="2"/>
  <c r="F908" i="2"/>
  <c r="E908" i="2"/>
  <c r="L580" i="2" l="1"/>
  <c r="M579" i="2"/>
  <c r="N579" i="2" s="1"/>
  <c r="P579" i="2" s="1"/>
  <c r="G579" i="2"/>
  <c r="J580" i="2" s="1"/>
  <c r="E909" i="2"/>
  <c r="F909" i="2"/>
  <c r="H580" i="2" l="1"/>
  <c r="G580" i="2" s="1"/>
  <c r="F910" i="2"/>
  <c r="E910" i="2"/>
  <c r="K580" i="2" l="1"/>
  <c r="M580" i="2" s="1"/>
  <c r="N580" i="2" s="1"/>
  <c r="P580" i="2" s="1"/>
  <c r="H581" i="2"/>
  <c r="J581" i="2"/>
  <c r="F911" i="2"/>
  <c r="E911" i="2"/>
  <c r="G581" i="2" l="1"/>
  <c r="H582" i="2" s="1"/>
  <c r="K581" i="2"/>
  <c r="L581" i="2"/>
  <c r="E912" i="2"/>
  <c r="F912" i="2"/>
  <c r="J582" i="2" l="1"/>
  <c r="G582" i="2" s="1"/>
  <c r="J583" i="2" s="1"/>
  <c r="K582" i="2"/>
  <c r="M581" i="2"/>
  <c r="N581" i="2" s="1"/>
  <c r="P581" i="2" s="1"/>
  <c r="L582" i="2"/>
  <c r="E913" i="2"/>
  <c r="F913" i="2"/>
  <c r="H583" i="2" l="1"/>
  <c r="G583" i="2" s="1"/>
  <c r="M582" i="2"/>
  <c r="N582" i="2" s="1"/>
  <c r="P582" i="2" s="1"/>
  <c r="L583" i="2"/>
  <c r="F914" i="2"/>
  <c r="E914" i="2"/>
  <c r="K583" i="2" l="1"/>
  <c r="M583" i="2" s="1"/>
  <c r="N583" i="2" s="1"/>
  <c r="P583" i="2" s="1"/>
  <c r="J584" i="2"/>
  <c r="H584" i="2"/>
  <c r="E915" i="2"/>
  <c r="F915" i="2"/>
  <c r="K584" i="2" l="1"/>
  <c r="L584" i="2"/>
  <c r="G584" i="2"/>
  <c r="J585" i="2" s="1"/>
  <c r="F916" i="2"/>
  <c r="E916" i="2"/>
  <c r="M584" i="2" l="1"/>
  <c r="N584" i="2" s="1"/>
  <c r="P584" i="2" s="1"/>
  <c r="L585" i="2"/>
  <c r="H585" i="2"/>
  <c r="K585" i="2" s="1"/>
  <c r="E917" i="2"/>
  <c r="F917" i="2"/>
  <c r="L586" i="2" l="1"/>
  <c r="G585" i="2"/>
  <c r="M585" i="2"/>
  <c r="N585" i="2" s="1"/>
  <c r="P585" i="2" s="1"/>
  <c r="F918" i="2"/>
  <c r="E918" i="2"/>
  <c r="H586" i="2" l="1"/>
  <c r="K586" i="2" s="1"/>
  <c r="J586" i="2"/>
  <c r="F919" i="2"/>
  <c r="E919" i="2"/>
  <c r="G586" i="2" l="1"/>
  <c r="M586" i="2"/>
  <c r="N586" i="2" s="1"/>
  <c r="P586" i="2" s="1"/>
  <c r="L587" i="2"/>
  <c r="E920" i="2"/>
  <c r="F920" i="2"/>
  <c r="J587" i="2" l="1"/>
  <c r="H587" i="2"/>
  <c r="K587" i="2" s="1"/>
  <c r="M587" i="2" s="1"/>
  <c r="N587" i="2" s="1"/>
  <c r="P587" i="2" s="1"/>
  <c r="E921" i="2"/>
  <c r="F921" i="2"/>
  <c r="G587" i="2" l="1"/>
  <c r="H588" i="2" s="1"/>
  <c r="K588" i="2" s="1"/>
  <c r="L588" i="2"/>
  <c r="F922" i="2"/>
  <c r="E922" i="2"/>
  <c r="J588" i="2" l="1"/>
  <c r="G588" i="2" s="1"/>
  <c r="M588" i="2"/>
  <c r="N588" i="2" s="1"/>
  <c r="P588" i="2" s="1"/>
  <c r="L589" i="2"/>
  <c r="E923" i="2"/>
  <c r="F923" i="2"/>
  <c r="J589" i="2" l="1"/>
  <c r="H589" i="2"/>
  <c r="K589" i="2" s="1"/>
  <c r="M589" i="2" s="1"/>
  <c r="N589" i="2" s="1"/>
  <c r="P589" i="2" s="1"/>
  <c r="F924" i="2"/>
  <c r="E924" i="2"/>
  <c r="G589" i="2" l="1"/>
  <c r="J590" i="2" s="1"/>
  <c r="L590" i="2"/>
  <c r="E925" i="2"/>
  <c r="F925" i="2"/>
  <c r="H590" i="2" l="1"/>
  <c r="G590" i="2" s="1"/>
  <c r="J591" i="2" s="1"/>
  <c r="F926" i="2"/>
  <c r="E926" i="2"/>
  <c r="K590" i="2" l="1"/>
  <c r="M590" i="2" s="1"/>
  <c r="N590" i="2" s="1"/>
  <c r="P590" i="2" s="1"/>
  <c r="H591" i="2"/>
  <c r="G591" i="2" s="1"/>
  <c r="F927" i="2"/>
  <c r="E927" i="2"/>
  <c r="L591" i="2" l="1"/>
  <c r="J592" i="2"/>
  <c r="H592" i="2"/>
  <c r="K591" i="2"/>
  <c r="F928" i="2"/>
  <c r="E928" i="2"/>
  <c r="M591" i="2" l="1"/>
  <c r="N591" i="2" s="1"/>
  <c r="P591" i="2" s="1"/>
  <c r="G592" i="2"/>
  <c r="J593" i="2" s="1"/>
  <c r="K592" i="2"/>
  <c r="L592" i="2"/>
  <c r="E929" i="2"/>
  <c r="F929" i="2"/>
  <c r="H593" i="2" l="1"/>
  <c r="G593" i="2" s="1"/>
  <c r="J594" i="2" s="1"/>
  <c r="M592" i="2"/>
  <c r="N592" i="2" s="1"/>
  <c r="P592" i="2" s="1"/>
  <c r="L593" i="2"/>
  <c r="F930" i="2"/>
  <c r="E930" i="2"/>
  <c r="H594" i="2" l="1"/>
  <c r="G594" i="2" s="1"/>
  <c r="H595" i="2" s="1"/>
  <c r="K593" i="2"/>
  <c r="L594" i="2" s="1"/>
  <c r="E931" i="2"/>
  <c r="F931" i="2"/>
  <c r="M593" i="2" l="1"/>
  <c r="N593" i="2" s="1"/>
  <c r="P593" i="2" s="1"/>
  <c r="K594" i="2"/>
  <c r="M594" i="2" s="1"/>
  <c r="N594" i="2" s="1"/>
  <c r="P594" i="2" s="1"/>
  <c r="J595" i="2"/>
  <c r="G595" i="2" s="1"/>
  <c r="H596" i="2" s="1"/>
  <c r="F932" i="2"/>
  <c r="E932" i="2"/>
  <c r="J596" i="2" l="1"/>
  <c r="G596" i="2" s="1"/>
  <c r="J597" i="2" s="1"/>
  <c r="K595" i="2"/>
  <c r="L595" i="2"/>
  <c r="E933" i="2"/>
  <c r="F933" i="2"/>
  <c r="H597" i="2" l="1"/>
  <c r="G597" i="2" s="1"/>
  <c r="L596" i="2"/>
  <c r="M595" i="2"/>
  <c r="N595" i="2" s="1"/>
  <c r="P595" i="2" s="1"/>
  <c r="K596" i="2"/>
  <c r="F934" i="2"/>
  <c r="E934" i="2"/>
  <c r="M596" i="2" l="1"/>
  <c r="N596" i="2" s="1"/>
  <c r="P596" i="2" s="1"/>
  <c r="L597" i="2"/>
  <c r="K597" i="2"/>
  <c r="J598" i="2"/>
  <c r="H598" i="2"/>
  <c r="F935" i="2"/>
  <c r="E935" i="2"/>
  <c r="L598" i="2" l="1"/>
  <c r="M597" i="2"/>
  <c r="N597" i="2" s="1"/>
  <c r="P597" i="2" s="1"/>
  <c r="G598" i="2"/>
  <c r="K598" i="2"/>
  <c r="E936" i="2"/>
  <c r="F936" i="2"/>
  <c r="L599" i="2" l="1"/>
  <c r="M598" i="2"/>
  <c r="N598" i="2" s="1"/>
  <c r="P598" i="2" s="1"/>
  <c r="J599" i="2"/>
  <c r="H599" i="2"/>
  <c r="K599" i="2" s="1"/>
  <c r="E937" i="2"/>
  <c r="F937" i="2"/>
  <c r="M599" i="2" l="1"/>
  <c r="N599" i="2" s="1"/>
  <c r="P599" i="2" s="1"/>
  <c r="G599" i="2"/>
  <c r="J600" i="2" s="1"/>
  <c r="L600" i="2"/>
  <c r="F938" i="2"/>
  <c r="E938" i="2"/>
  <c r="H600" i="2" l="1"/>
  <c r="K600" i="2" s="1"/>
  <c r="M600" i="2" s="1"/>
  <c r="N600" i="2" s="1"/>
  <c r="P600" i="2" s="1"/>
  <c r="F939" i="2"/>
  <c r="E939" i="2"/>
  <c r="G600" i="2" l="1"/>
  <c r="J601" i="2" s="1"/>
  <c r="L601" i="2"/>
  <c r="F940" i="2"/>
  <c r="E940" i="2"/>
  <c r="H601" i="2" l="1"/>
  <c r="K601" i="2" s="1"/>
  <c r="M601" i="2" s="1"/>
  <c r="N601" i="2" s="1"/>
  <c r="P601" i="2" s="1"/>
  <c r="E941" i="2"/>
  <c r="F941" i="2"/>
  <c r="G601" i="2" l="1"/>
  <c r="H602" i="2" s="1"/>
  <c r="K602" i="2" s="1"/>
  <c r="L602" i="2"/>
  <c r="F942" i="2"/>
  <c r="E942" i="2"/>
  <c r="J602" i="2" l="1"/>
  <c r="G602" i="2" s="1"/>
  <c r="J603" i="2" s="1"/>
  <c r="L603" i="2"/>
  <c r="M602" i="2"/>
  <c r="N602" i="2" s="1"/>
  <c r="P602" i="2" s="1"/>
  <c r="F943" i="2"/>
  <c r="E943" i="2"/>
  <c r="H603" i="2" l="1"/>
  <c r="K603" i="2" s="1"/>
  <c r="E944" i="2"/>
  <c r="F944" i="2"/>
  <c r="G603" i="2" l="1"/>
  <c r="J604" i="2" s="1"/>
  <c r="M603" i="2"/>
  <c r="N603" i="2" s="1"/>
  <c r="P603" i="2" s="1"/>
  <c r="L604" i="2"/>
  <c r="E945" i="2"/>
  <c r="F945" i="2"/>
  <c r="H604" i="2" l="1"/>
  <c r="K604" i="2" s="1"/>
  <c r="M604" i="2" s="1"/>
  <c r="N604" i="2" s="1"/>
  <c r="P604" i="2" s="1"/>
  <c r="F946" i="2"/>
  <c r="E946" i="2"/>
  <c r="G604" i="2" l="1"/>
  <c r="J605" i="2" s="1"/>
  <c r="L605" i="2"/>
  <c r="E947" i="2"/>
  <c r="F947" i="2"/>
  <c r="H605" i="2" l="1"/>
  <c r="K605" i="2" s="1"/>
  <c r="L606" i="2" s="1"/>
  <c r="F948" i="2"/>
  <c r="E948" i="2"/>
  <c r="G605" i="2" l="1"/>
  <c r="J606" i="2" s="1"/>
  <c r="M605" i="2"/>
  <c r="N605" i="2" s="1"/>
  <c r="P605" i="2" s="1"/>
  <c r="E949" i="2"/>
  <c r="F949" i="2"/>
  <c r="H606" i="2" l="1"/>
  <c r="G606" i="2" s="1"/>
  <c r="H607" i="2" s="1"/>
  <c r="F950" i="2"/>
  <c r="E950" i="2"/>
  <c r="K606" i="2" l="1"/>
  <c r="M606" i="2" s="1"/>
  <c r="N606" i="2" s="1"/>
  <c r="P606" i="2" s="1"/>
  <c r="J607" i="2"/>
  <c r="G607" i="2" s="1"/>
  <c r="J608" i="2" s="1"/>
  <c r="F951" i="2"/>
  <c r="E951" i="2"/>
  <c r="L607" i="2" l="1"/>
  <c r="K607" i="2"/>
  <c r="H608" i="2"/>
  <c r="G608" i="2" s="1"/>
  <c r="H609" i="2" s="1"/>
  <c r="E952" i="2"/>
  <c r="F952" i="2"/>
  <c r="M607" i="2" l="1"/>
  <c r="N607" i="2" s="1"/>
  <c r="P607" i="2" s="1"/>
  <c r="L608" i="2"/>
  <c r="J609" i="2"/>
  <c r="G609" i="2" s="1"/>
  <c r="K608" i="2"/>
  <c r="K609" i="2" s="1"/>
  <c r="E953" i="2"/>
  <c r="F953" i="2"/>
  <c r="M608" i="2" l="1"/>
  <c r="N608" i="2" s="1"/>
  <c r="P608" i="2" s="1"/>
  <c r="L609" i="2"/>
  <c r="L610" i="2" s="1"/>
  <c r="J610" i="2"/>
  <c r="H610" i="2"/>
  <c r="F954" i="2"/>
  <c r="E954" i="2"/>
  <c r="M609" i="2" l="1"/>
  <c r="N609" i="2" s="1"/>
  <c r="P609" i="2" s="1"/>
  <c r="G610" i="2"/>
  <c r="K610" i="2"/>
  <c r="E955" i="2"/>
  <c r="F955" i="2"/>
  <c r="M610" i="2" l="1"/>
  <c r="N610" i="2" s="1"/>
  <c r="P610" i="2" s="1"/>
  <c r="L611" i="2"/>
  <c r="H611" i="2"/>
  <c r="K611" i="2" s="1"/>
  <c r="J611" i="2"/>
  <c r="F956" i="2"/>
  <c r="E956" i="2"/>
  <c r="G611" i="2" l="1"/>
  <c r="H612" i="2" s="1"/>
  <c r="K612" i="2" s="1"/>
  <c r="M611" i="2"/>
  <c r="N611" i="2" s="1"/>
  <c r="P611" i="2" s="1"/>
  <c r="L612" i="2"/>
  <c r="E957" i="2"/>
  <c r="F957" i="2"/>
  <c r="J612" i="2" l="1"/>
  <c r="G612" i="2" s="1"/>
  <c r="J613" i="2" s="1"/>
  <c r="M612" i="2"/>
  <c r="N612" i="2" s="1"/>
  <c r="P612" i="2" s="1"/>
  <c r="L613" i="2"/>
  <c r="F958" i="2"/>
  <c r="E958" i="2"/>
  <c r="H613" i="2" l="1"/>
  <c r="K613" i="2" s="1"/>
  <c r="L614" i="2" s="1"/>
  <c r="F959" i="2"/>
  <c r="E959" i="2"/>
  <c r="M613" i="2" l="1"/>
  <c r="N613" i="2" s="1"/>
  <c r="P613" i="2" s="1"/>
  <c r="G613" i="2"/>
  <c r="H614" i="2" s="1"/>
  <c r="K614" i="2" s="1"/>
  <c r="M614" i="2" s="1"/>
  <c r="N614" i="2" s="1"/>
  <c r="P614" i="2" s="1"/>
  <c r="F960" i="2"/>
  <c r="E960" i="2"/>
  <c r="L615" i="2" l="1"/>
  <c r="J614" i="2"/>
  <c r="G614" i="2" s="1"/>
  <c r="H615" i="2" s="1"/>
  <c r="K615" i="2" s="1"/>
  <c r="E961" i="2"/>
  <c r="F961" i="2"/>
  <c r="M615" i="2" l="1"/>
  <c r="N615" i="2" s="1"/>
  <c r="P615" i="2" s="1"/>
  <c r="J615" i="2"/>
  <c r="G615" i="2" s="1"/>
  <c r="L616" i="2"/>
  <c r="F962" i="2"/>
  <c r="E962" i="2"/>
  <c r="J616" i="2" l="1"/>
  <c r="H616" i="2"/>
  <c r="K616" i="2" s="1"/>
  <c r="M616" i="2" s="1"/>
  <c r="N616" i="2" s="1"/>
  <c r="P616" i="2" s="1"/>
  <c r="E963" i="2"/>
  <c r="F963" i="2"/>
  <c r="L617" i="2" l="1"/>
  <c r="G616" i="2"/>
  <c r="F964" i="2"/>
  <c r="E964" i="2"/>
  <c r="H617" i="2" l="1"/>
  <c r="K617" i="2" s="1"/>
  <c r="M617" i="2" s="1"/>
  <c r="N617" i="2" s="1"/>
  <c r="P617" i="2" s="1"/>
  <c r="J617" i="2"/>
  <c r="E965" i="2"/>
  <c r="F965" i="2"/>
  <c r="L618" i="2" l="1"/>
  <c r="G617" i="2"/>
  <c r="F966" i="2"/>
  <c r="E966" i="2"/>
  <c r="J618" i="2" l="1"/>
  <c r="H618" i="2"/>
  <c r="K618" i="2" s="1"/>
  <c r="M618" i="2" s="1"/>
  <c r="N618" i="2" s="1"/>
  <c r="P618" i="2" s="1"/>
  <c r="F967" i="2"/>
  <c r="E967" i="2"/>
  <c r="G618" i="2" l="1"/>
  <c r="J619" i="2" s="1"/>
  <c r="L619" i="2"/>
  <c r="F968" i="2"/>
  <c r="E968" i="2"/>
  <c r="H619" i="2" l="1"/>
  <c r="K619" i="2" s="1"/>
  <c r="M619" i="2" s="1"/>
  <c r="N619" i="2" s="1"/>
  <c r="P619" i="2" s="1"/>
  <c r="E969" i="2"/>
  <c r="F969" i="2"/>
  <c r="G619" i="2" l="1"/>
  <c r="H620" i="2" s="1"/>
  <c r="K620" i="2" s="1"/>
  <c r="L620" i="2"/>
  <c r="E970" i="2"/>
  <c r="F970" i="2"/>
  <c r="M620" i="2" l="1"/>
  <c r="N620" i="2" s="1"/>
  <c r="P620" i="2" s="1"/>
  <c r="J620" i="2"/>
  <c r="G620" i="2" s="1"/>
  <c r="J621" i="2" s="1"/>
  <c r="L621" i="2"/>
  <c r="F971" i="2"/>
  <c r="E971" i="2"/>
  <c r="H621" i="2" l="1"/>
  <c r="K621" i="2" s="1"/>
  <c r="L622" i="2" s="1"/>
  <c r="E972" i="2"/>
  <c r="F972" i="2"/>
  <c r="G621" i="2" l="1"/>
  <c r="J622" i="2" s="1"/>
  <c r="M621" i="2"/>
  <c r="N621" i="2" s="1"/>
  <c r="P621" i="2" s="1"/>
  <c r="E973" i="2"/>
  <c r="F973" i="2"/>
  <c r="H622" i="2" l="1"/>
  <c r="K622" i="2" s="1"/>
  <c r="M622" i="2" s="1"/>
  <c r="N622" i="2" s="1"/>
  <c r="P622" i="2" s="1"/>
  <c r="F974" i="2"/>
  <c r="E974" i="2"/>
  <c r="G622" i="2" l="1"/>
  <c r="J623" i="2" s="1"/>
  <c r="L623" i="2"/>
  <c r="F975" i="2"/>
  <c r="E975" i="2"/>
  <c r="H623" i="2" l="1"/>
  <c r="K623" i="2" s="1"/>
  <c r="M623" i="2" s="1"/>
  <c r="N623" i="2" s="1"/>
  <c r="P623" i="2" s="1"/>
  <c r="E976" i="2"/>
  <c r="F976" i="2"/>
  <c r="G623" i="2" l="1"/>
  <c r="H624" i="2" s="1"/>
  <c r="K624" i="2" s="1"/>
  <c r="L624" i="2"/>
  <c r="F977" i="2"/>
  <c r="E977" i="2"/>
  <c r="M624" i="2" l="1"/>
  <c r="N624" i="2" s="1"/>
  <c r="P624" i="2" s="1"/>
  <c r="J624" i="2"/>
  <c r="G624" i="2" s="1"/>
  <c r="H625" i="2" s="1"/>
  <c r="K625" i="2" s="1"/>
  <c r="L625" i="2"/>
  <c r="E978" i="2"/>
  <c r="F978" i="2"/>
  <c r="J625" i="2" l="1"/>
  <c r="G625" i="2" s="1"/>
  <c r="H626" i="2" s="1"/>
  <c r="L626" i="2"/>
  <c r="M625" i="2"/>
  <c r="N625" i="2" s="1"/>
  <c r="P625" i="2" s="1"/>
  <c r="E979" i="2"/>
  <c r="F979" i="2"/>
  <c r="J626" i="2" l="1"/>
  <c r="G626" i="2" s="1"/>
  <c r="K626" i="2"/>
  <c r="F980" i="2"/>
  <c r="E980" i="2"/>
  <c r="J627" i="2" l="1"/>
  <c r="H627" i="2"/>
  <c r="K627" i="2" s="1"/>
  <c r="M626" i="2"/>
  <c r="N626" i="2" s="1"/>
  <c r="P626" i="2" s="1"/>
  <c r="L627" i="2"/>
  <c r="E981" i="2"/>
  <c r="F981" i="2"/>
  <c r="L628" i="2" l="1"/>
  <c r="G627" i="2"/>
  <c r="J628" i="2" s="1"/>
  <c r="M627" i="2"/>
  <c r="N627" i="2" s="1"/>
  <c r="P627" i="2" s="1"/>
  <c r="E982" i="2"/>
  <c r="F982" i="2"/>
  <c r="H628" i="2" l="1"/>
  <c r="K628" i="2" s="1"/>
  <c r="F983" i="2"/>
  <c r="E983" i="2"/>
  <c r="G628" i="2" l="1"/>
  <c r="H629" i="2" s="1"/>
  <c r="K629" i="2" s="1"/>
  <c r="L629" i="2"/>
  <c r="M628" i="2"/>
  <c r="N628" i="2" s="1"/>
  <c r="P628" i="2" s="1"/>
  <c r="F984" i="2"/>
  <c r="E984" i="2"/>
  <c r="J629" i="2" l="1"/>
  <c r="G629" i="2" s="1"/>
  <c r="M629" i="2"/>
  <c r="N629" i="2" s="1"/>
  <c r="P629" i="2" s="1"/>
  <c r="L630" i="2"/>
  <c r="E985" i="2"/>
  <c r="F985" i="2"/>
  <c r="J630" i="2" l="1"/>
  <c r="H630" i="2"/>
  <c r="K630" i="2" s="1"/>
  <c r="E986" i="2"/>
  <c r="F986" i="2"/>
  <c r="M630" i="2" l="1"/>
  <c r="N630" i="2" s="1"/>
  <c r="P630" i="2" s="1"/>
  <c r="L631" i="2"/>
  <c r="G630" i="2"/>
  <c r="F987" i="2"/>
  <c r="E987" i="2"/>
  <c r="H631" i="2" l="1"/>
  <c r="K631" i="2" s="1"/>
  <c r="M631" i="2" s="1"/>
  <c r="N631" i="2" s="1"/>
  <c r="P631" i="2" s="1"/>
  <c r="J631" i="2"/>
  <c r="E988" i="2"/>
  <c r="F988" i="2"/>
  <c r="G631" i="2" l="1"/>
  <c r="J632" i="2" s="1"/>
  <c r="L632" i="2"/>
  <c r="F989" i="2"/>
  <c r="E989" i="2"/>
  <c r="H632" i="2" l="1"/>
  <c r="K632" i="2" s="1"/>
  <c r="M632" i="2" s="1"/>
  <c r="N632" i="2" s="1"/>
  <c r="P632" i="2" s="1"/>
  <c r="F990" i="2"/>
  <c r="E990" i="2"/>
  <c r="L633" i="2" l="1"/>
  <c r="G632" i="2"/>
  <c r="J633" i="2" s="1"/>
  <c r="F991" i="2"/>
  <c r="E991" i="2"/>
  <c r="H633" i="2" l="1"/>
  <c r="G633" i="2" s="1"/>
  <c r="H634" i="2" s="1"/>
  <c r="E992" i="2"/>
  <c r="F992" i="2"/>
  <c r="J634" i="2" l="1"/>
  <c r="G634" i="2" s="1"/>
  <c r="J635" i="2" s="1"/>
  <c r="K633" i="2"/>
  <c r="L634" i="2" s="1"/>
  <c r="F993" i="2"/>
  <c r="E993" i="2"/>
  <c r="K634" i="2" l="1"/>
  <c r="M634" i="2" s="1"/>
  <c r="N634" i="2" s="1"/>
  <c r="P634" i="2" s="1"/>
  <c r="M633" i="2"/>
  <c r="N633" i="2" s="1"/>
  <c r="P633" i="2" s="1"/>
  <c r="H635" i="2"/>
  <c r="G635" i="2" s="1"/>
  <c r="H636" i="2" s="1"/>
  <c r="E994" i="2"/>
  <c r="F994" i="2"/>
  <c r="L635" i="2" l="1"/>
  <c r="J636" i="2"/>
  <c r="G636" i="2" s="1"/>
  <c r="H637" i="2" s="1"/>
  <c r="K635" i="2"/>
  <c r="F995" i="2"/>
  <c r="E995" i="2"/>
  <c r="M635" i="2" l="1"/>
  <c r="N635" i="2" s="1"/>
  <c r="P635" i="2" s="1"/>
  <c r="L636" i="2"/>
  <c r="K636" i="2"/>
  <c r="J637" i="2"/>
  <c r="G637" i="2" s="1"/>
  <c r="E996" i="2"/>
  <c r="F996" i="2"/>
  <c r="M636" i="2" l="1"/>
  <c r="N636" i="2" s="1"/>
  <c r="P636" i="2" s="1"/>
  <c r="K637" i="2"/>
  <c r="L637" i="2"/>
  <c r="J638" i="2"/>
  <c r="H638" i="2"/>
  <c r="E997" i="2"/>
  <c r="F997" i="2"/>
  <c r="M637" i="2" l="1"/>
  <c r="N637" i="2" s="1"/>
  <c r="P637" i="2" s="1"/>
  <c r="K638" i="2"/>
  <c r="L638" i="2"/>
  <c r="G638" i="2"/>
  <c r="H639" i="2" s="1"/>
  <c r="E998" i="2"/>
  <c r="F998" i="2"/>
  <c r="J639" i="2" l="1"/>
  <c r="G639" i="2" s="1"/>
  <c r="K639" i="2"/>
  <c r="M638" i="2"/>
  <c r="N638" i="2" s="1"/>
  <c r="P638" i="2" s="1"/>
  <c r="L639" i="2"/>
  <c r="F999" i="2"/>
  <c r="E999" i="2"/>
  <c r="M639" i="2" l="1"/>
  <c r="N639" i="2" s="1"/>
  <c r="P639" i="2" s="1"/>
  <c r="H640" i="2"/>
  <c r="K640" i="2" s="1"/>
  <c r="J640" i="2"/>
  <c r="L640" i="2"/>
  <c r="E1000" i="2"/>
  <c r="F1000" i="2"/>
  <c r="G640" i="2" l="1"/>
  <c r="J641" i="2" s="1"/>
  <c r="M640" i="2"/>
  <c r="N640" i="2" s="1"/>
  <c r="P640" i="2" s="1"/>
  <c r="L641" i="2"/>
  <c r="E1001" i="2"/>
  <c r="F1001" i="2"/>
  <c r="H641" i="2" l="1"/>
  <c r="K641" i="2" s="1"/>
  <c r="M641" i="2" s="1"/>
  <c r="N641" i="2" s="1"/>
  <c r="P641" i="2" s="1"/>
  <c r="F1002" i="2"/>
  <c r="E1002" i="2"/>
  <c r="L642" i="2" l="1"/>
  <c r="G641" i="2"/>
  <c r="H642" i="2" s="1"/>
  <c r="K642" i="2" s="1"/>
  <c r="F1003" i="2"/>
  <c r="E1003" i="2"/>
  <c r="M642" i="2" l="1"/>
  <c r="N642" i="2" s="1"/>
  <c r="P642" i="2" s="1"/>
  <c r="L643" i="2"/>
  <c r="J642" i="2"/>
  <c r="G642" i="2" s="1"/>
  <c r="J643" i="2" s="1"/>
  <c r="E1004" i="2"/>
  <c r="F1004" i="2"/>
  <c r="H643" i="2" l="1"/>
  <c r="K643" i="2" s="1"/>
  <c r="M643" i="2" s="1"/>
  <c r="N643" i="2" s="1"/>
  <c r="P643" i="2" s="1"/>
  <c r="E1005" i="2"/>
  <c r="F1005" i="2"/>
  <c r="G643" i="2" l="1"/>
  <c r="H644" i="2" s="1"/>
  <c r="K644" i="2" s="1"/>
  <c r="L644" i="2"/>
  <c r="F1006" i="2"/>
  <c r="E1006" i="2"/>
  <c r="J644" i="2" l="1"/>
  <c r="G644" i="2" s="1"/>
  <c r="J645" i="2" s="1"/>
  <c r="L645" i="2"/>
  <c r="M644" i="2"/>
  <c r="N644" i="2" s="1"/>
  <c r="P644" i="2" s="1"/>
  <c r="F1007" i="2"/>
  <c r="E1007" i="2"/>
  <c r="H645" i="2" l="1"/>
  <c r="K645" i="2" s="1"/>
  <c r="M645" i="2" s="1"/>
  <c r="N645" i="2" s="1"/>
  <c r="P645" i="2" s="1"/>
  <c r="E1008" i="2"/>
  <c r="F1008" i="2"/>
  <c r="L646" i="2" l="1"/>
  <c r="G645" i="2"/>
  <c r="J646" i="2" s="1"/>
  <c r="E1009" i="2"/>
  <c r="F1009" i="2"/>
  <c r="H646" i="2" l="1"/>
  <c r="K646" i="2" s="1"/>
  <c r="M646" i="2" s="1"/>
  <c r="N646" i="2" s="1"/>
  <c r="P646" i="2" s="1"/>
  <c r="F1010" i="2"/>
  <c r="E1010" i="2"/>
  <c r="G646" i="2" l="1"/>
  <c r="J647" i="2" s="1"/>
  <c r="L647" i="2"/>
  <c r="E1011" i="2"/>
  <c r="F1011" i="2"/>
  <c r="H647" i="2" l="1"/>
  <c r="K647" i="2" s="1"/>
  <c r="M647" i="2" s="1"/>
  <c r="N647" i="2" s="1"/>
  <c r="P647" i="2" s="1"/>
  <c r="F1012" i="2"/>
  <c r="E1012" i="2"/>
  <c r="G647" i="2" l="1"/>
  <c r="L648" i="2"/>
  <c r="F1013" i="2"/>
  <c r="E1013" i="2"/>
  <c r="H648" i="2" l="1"/>
  <c r="J648" i="2"/>
  <c r="F1014" i="2"/>
  <c r="E1014" i="2"/>
  <c r="K648" i="2" l="1"/>
  <c r="G648" i="2"/>
  <c r="F1015" i="2"/>
  <c r="E1015" i="2"/>
  <c r="J649" i="2" l="1"/>
  <c r="H649" i="2"/>
  <c r="K649" i="2" s="1"/>
  <c r="L649" i="2"/>
  <c r="M648" i="2"/>
  <c r="N648" i="2" s="1"/>
  <c r="P648" i="2" s="1"/>
  <c r="F1016" i="2"/>
  <c r="E1016" i="2"/>
  <c r="M649" i="2" l="1"/>
  <c r="N649" i="2" s="1"/>
  <c r="P649" i="2" s="1"/>
  <c r="L650" i="2"/>
  <c r="G649" i="2"/>
  <c r="E1017" i="2"/>
  <c r="F1017" i="2"/>
  <c r="J650" i="2" l="1"/>
  <c r="H650" i="2"/>
  <c r="F1018" i="2"/>
  <c r="E1018" i="2"/>
  <c r="K650" i="2" l="1"/>
  <c r="G650" i="2"/>
  <c r="E1019" i="2"/>
  <c r="F1019" i="2"/>
  <c r="J651" i="2" l="1"/>
  <c r="H651" i="2"/>
  <c r="M650" i="2"/>
  <c r="N650" i="2" s="1"/>
  <c r="P650" i="2" s="1"/>
  <c r="L651" i="2"/>
  <c r="E1020" i="2"/>
  <c r="F1020" i="2"/>
  <c r="K651" i="2" l="1"/>
  <c r="M651" i="2" s="1"/>
  <c r="N651" i="2" s="1"/>
  <c r="P651" i="2" s="1"/>
  <c r="G651" i="2"/>
  <c r="E1021" i="2"/>
  <c r="F1021" i="2"/>
  <c r="J652" i="2" l="1"/>
  <c r="H652" i="2"/>
  <c r="L652" i="2"/>
  <c r="E1022" i="2"/>
  <c r="F1022" i="2"/>
  <c r="K652" i="2" l="1"/>
  <c r="M652" i="2" s="1"/>
  <c r="N652" i="2" s="1"/>
  <c r="P652" i="2" s="1"/>
  <c r="G652" i="2"/>
  <c r="E1023" i="2"/>
  <c r="F1023" i="2"/>
  <c r="J653" i="2" l="1"/>
  <c r="H653" i="2"/>
  <c r="K653" i="2" s="1"/>
  <c r="L653" i="2"/>
  <c r="E1024" i="2"/>
  <c r="F1024" i="2"/>
  <c r="G653" i="2" l="1"/>
  <c r="L654" i="2"/>
  <c r="M653" i="2"/>
  <c r="N653" i="2" s="1"/>
  <c r="P653" i="2" s="1"/>
  <c r="F1025" i="2"/>
  <c r="E1025" i="2"/>
  <c r="J654" i="2" l="1"/>
  <c r="H654" i="2"/>
  <c r="F1026" i="2"/>
  <c r="E1026" i="2"/>
  <c r="K654" i="2" l="1"/>
  <c r="G654" i="2"/>
  <c r="E1027" i="2"/>
  <c r="F1027" i="2"/>
  <c r="J655" i="2" l="1"/>
  <c r="H655" i="2"/>
  <c r="L655" i="2"/>
  <c r="M654" i="2"/>
  <c r="N654" i="2" s="1"/>
  <c r="P654" i="2" s="1"/>
  <c r="F1028" i="2"/>
  <c r="E1028" i="2"/>
  <c r="K655" i="2" l="1"/>
  <c r="G655" i="2"/>
  <c r="E1029" i="2"/>
  <c r="F1029" i="2"/>
  <c r="J656" i="2" l="1"/>
  <c r="H656" i="2"/>
  <c r="L656" i="2"/>
  <c r="M655" i="2"/>
  <c r="N655" i="2" s="1"/>
  <c r="P655" i="2" s="1"/>
  <c r="E1030" i="2"/>
  <c r="F1030" i="2"/>
  <c r="K656" i="2" l="1"/>
  <c r="M656" i="2" s="1"/>
  <c r="N656" i="2" s="1"/>
  <c r="P656" i="2" s="1"/>
  <c r="G656" i="2"/>
  <c r="F1031" i="2"/>
  <c r="E1031" i="2"/>
  <c r="J657" i="2" l="1"/>
  <c r="H657" i="2"/>
  <c r="L657" i="2"/>
  <c r="E1032" i="2"/>
  <c r="F1032" i="2"/>
  <c r="K657" i="2" l="1"/>
  <c r="M657" i="2" s="1"/>
  <c r="N657" i="2" s="1"/>
  <c r="P657" i="2" s="1"/>
  <c r="G657" i="2"/>
  <c r="F1033" i="2"/>
  <c r="E1033" i="2"/>
  <c r="L658" i="2" l="1"/>
  <c r="H658" i="2"/>
  <c r="K658" i="2" s="1"/>
  <c r="J658" i="2"/>
  <c r="E1034" i="2"/>
  <c r="F1034" i="2"/>
  <c r="G658" i="2" l="1"/>
  <c r="H659" i="2" s="1"/>
  <c r="M658" i="2"/>
  <c r="N658" i="2" s="1"/>
  <c r="P658" i="2" s="1"/>
  <c r="L659" i="2"/>
  <c r="E1035" i="2"/>
  <c r="F1035" i="2"/>
  <c r="J659" i="2" l="1"/>
  <c r="G659" i="2" s="1"/>
  <c r="K659" i="2"/>
  <c r="M659" i="2" s="1"/>
  <c r="N659" i="2" s="1"/>
  <c r="P659" i="2" s="1"/>
  <c r="E1036" i="2"/>
  <c r="F1036" i="2"/>
  <c r="L660" i="2" l="1"/>
  <c r="H660" i="2"/>
  <c r="K660" i="2" s="1"/>
  <c r="J660" i="2"/>
  <c r="E1037" i="2"/>
  <c r="F1037" i="2"/>
  <c r="M660" i="2" l="1"/>
  <c r="N660" i="2" s="1"/>
  <c r="P660" i="2" s="1"/>
  <c r="G660" i="2"/>
  <c r="J661" i="2" s="1"/>
  <c r="L661" i="2"/>
  <c r="F1038" i="2"/>
  <c r="E1038" i="2"/>
  <c r="H661" i="2" l="1"/>
  <c r="K661" i="2" s="1"/>
  <c r="M661" i="2" s="1"/>
  <c r="N661" i="2" s="1"/>
  <c r="P661" i="2" s="1"/>
  <c r="E1039" i="2"/>
  <c r="F1039" i="2"/>
  <c r="G661" i="2" l="1"/>
  <c r="J662" i="2" s="1"/>
  <c r="L662" i="2"/>
  <c r="F1040" i="2"/>
  <c r="E1040" i="2"/>
  <c r="H662" i="2" l="1"/>
  <c r="K662" i="2" s="1"/>
  <c r="F1041" i="2"/>
  <c r="E1041" i="2"/>
  <c r="G662" i="2" l="1"/>
  <c r="J663" i="2" s="1"/>
  <c r="M662" i="2"/>
  <c r="N662" i="2" s="1"/>
  <c r="P662" i="2" s="1"/>
  <c r="L663" i="2"/>
  <c r="E1042" i="2"/>
  <c r="F1042" i="2"/>
  <c r="H663" i="2" l="1"/>
  <c r="K663" i="2" s="1"/>
  <c r="F1043" i="2"/>
  <c r="E1043" i="2"/>
  <c r="G663" i="2" l="1"/>
  <c r="H664" i="2" s="1"/>
  <c r="M663" i="2"/>
  <c r="N663" i="2" s="1"/>
  <c r="P663" i="2" s="1"/>
  <c r="L664" i="2"/>
  <c r="F1044" i="2"/>
  <c r="E1044" i="2"/>
  <c r="J664" i="2" l="1"/>
  <c r="G664" i="2" s="1"/>
  <c r="K664" i="2"/>
  <c r="E1045" i="2"/>
  <c r="F1045" i="2"/>
  <c r="J665" i="2" l="1"/>
  <c r="H665" i="2"/>
  <c r="M664" i="2"/>
  <c r="N664" i="2" s="1"/>
  <c r="P664" i="2" s="1"/>
  <c r="L665" i="2"/>
  <c r="E1046" i="2"/>
  <c r="F1046" i="2"/>
  <c r="K665" i="2" l="1"/>
  <c r="G665" i="2"/>
  <c r="F1047" i="2"/>
  <c r="E1047" i="2"/>
  <c r="J666" i="2" l="1"/>
  <c r="H666" i="2"/>
  <c r="M665" i="2"/>
  <c r="N665" i="2" s="1"/>
  <c r="P665" i="2" s="1"/>
  <c r="L666" i="2"/>
  <c r="E1048" i="2"/>
  <c r="F1048" i="2"/>
  <c r="K666" i="2" l="1"/>
  <c r="G666" i="2"/>
  <c r="F1049" i="2"/>
  <c r="E1049" i="2"/>
  <c r="H667" i="2" l="1"/>
  <c r="K667" i="2" s="1"/>
  <c r="J667" i="2"/>
  <c r="M666" i="2"/>
  <c r="N666" i="2" s="1"/>
  <c r="P666" i="2" s="1"/>
  <c r="L667" i="2"/>
  <c r="E1050" i="2"/>
  <c r="F1050" i="2"/>
  <c r="L668" i="2" l="1"/>
  <c r="G667" i="2"/>
  <c r="J668" i="2" s="1"/>
  <c r="M667" i="2"/>
  <c r="N667" i="2" s="1"/>
  <c r="P667" i="2" s="1"/>
  <c r="F1051" i="2"/>
  <c r="E1051" i="2"/>
  <c r="H668" i="2" l="1"/>
  <c r="K668" i="2" s="1"/>
  <c r="L669" i="2" s="1"/>
  <c r="E1052" i="2"/>
  <c r="F1052" i="2"/>
  <c r="G668" i="2" l="1"/>
  <c r="J669" i="2" s="1"/>
  <c r="M668" i="2"/>
  <c r="N668" i="2" s="1"/>
  <c r="P668" i="2" s="1"/>
  <c r="E1053" i="2"/>
  <c r="F1053" i="2"/>
  <c r="H669" i="2" l="1"/>
  <c r="K669" i="2" s="1"/>
  <c r="M669" i="2" s="1"/>
  <c r="N669" i="2" s="1"/>
  <c r="P669" i="2" s="1"/>
  <c r="E1054" i="2"/>
  <c r="F1054" i="2"/>
  <c r="G669" i="2" l="1"/>
  <c r="H670" i="2" s="1"/>
  <c r="K670" i="2" s="1"/>
  <c r="L670" i="2"/>
  <c r="F1055" i="2"/>
  <c r="E1055" i="2"/>
  <c r="L671" i="2" l="1"/>
  <c r="M670" i="2"/>
  <c r="N670" i="2" s="1"/>
  <c r="P670" i="2" s="1"/>
  <c r="J670" i="2"/>
  <c r="G670" i="2" s="1"/>
  <c r="H671" i="2" s="1"/>
  <c r="K671" i="2" s="1"/>
  <c r="E1056" i="2"/>
  <c r="F1056" i="2"/>
  <c r="M671" i="2" l="1"/>
  <c r="N671" i="2" s="1"/>
  <c r="P671" i="2" s="1"/>
  <c r="J671" i="2"/>
  <c r="G671" i="2" s="1"/>
  <c r="H672" i="2" s="1"/>
  <c r="K672" i="2" s="1"/>
  <c r="L672" i="2"/>
  <c r="F1057" i="2"/>
  <c r="E1057" i="2"/>
  <c r="J672" i="2" l="1"/>
  <c r="G672" i="2" s="1"/>
  <c r="H673" i="2" s="1"/>
  <c r="K673" i="2" s="1"/>
  <c r="M672" i="2"/>
  <c r="N672" i="2" s="1"/>
  <c r="P672" i="2" s="1"/>
  <c r="L673" i="2"/>
  <c r="E1058" i="2"/>
  <c r="F1058" i="2"/>
  <c r="J673" i="2" l="1"/>
  <c r="G673" i="2" s="1"/>
  <c r="H674" i="2" s="1"/>
  <c r="K674" i="2" s="1"/>
  <c r="M673" i="2"/>
  <c r="N673" i="2" s="1"/>
  <c r="P673" i="2" s="1"/>
  <c r="L674" i="2"/>
  <c r="E1059" i="2"/>
  <c r="F1059" i="2"/>
  <c r="J674" i="2" l="1"/>
  <c r="G674" i="2" s="1"/>
  <c r="J675" i="2" s="1"/>
  <c r="M674" i="2"/>
  <c r="N674" i="2" s="1"/>
  <c r="P674" i="2" s="1"/>
  <c r="L675" i="2"/>
  <c r="E1060" i="2"/>
  <c r="F1060" i="2"/>
  <c r="H675" i="2" l="1"/>
  <c r="K675" i="2" s="1"/>
  <c r="L676" i="2" s="1"/>
  <c r="F1061" i="2"/>
  <c r="E1061" i="2"/>
  <c r="G675" i="2" l="1"/>
  <c r="H676" i="2" s="1"/>
  <c r="K676" i="2" s="1"/>
  <c r="M675" i="2"/>
  <c r="N675" i="2" s="1"/>
  <c r="P675" i="2" s="1"/>
  <c r="E1062" i="2"/>
  <c r="F1062" i="2"/>
  <c r="J676" i="2" l="1"/>
  <c r="G676" i="2" s="1"/>
  <c r="H677" i="2" s="1"/>
  <c r="M676" i="2"/>
  <c r="N676" i="2" s="1"/>
  <c r="P676" i="2" s="1"/>
  <c r="L677" i="2"/>
  <c r="E1063" i="2"/>
  <c r="F1063" i="2"/>
  <c r="J677" i="2" l="1"/>
  <c r="G677" i="2" s="1"/>
  <c r="K677" i="2"/>
  <c r="E1064" i="2"/>
  <c r="F1064" i="2"/>
  <c r="H678" i="2" l="1"/>
  <c r="K678" i="2" s="1"/>
  <c r="J678" i="2"/>
  <c r="M677" i="2"/>
  <c r="N677" i="2" s="1"/>
  <c r="P677" i="2" s="1"/>
  <c r="L678" i="2"/>
  <c r="E1065" i="2"/>
  <c r="F1065" i="2"/>
  <c r="G678" i="2" l="1"/>
  <c r="J679" i="2" s="1"/>
  <c r="M678" i="2"/>
  <c r="N678" i="2" s="1"/>
  <c r="P678" i="2" s="1"/>
  <c r="L679" i="2"/>
  <c r="E1066" i="2"/>
  <c r="F1066" i="2"/>
  <c r="H679" i="2" l="1"/>
  <c r="G679" i="2" s="1"/>
  <c r="J680" i="2" s="1"/>
  <c r="F1067" i="2"/>
  <c r="E1067" i="2"/>
  <c r="K679" i="2" l="1"/>
  <c r="L680" i="2" s="1"/>
  <c r="H680" i="2"/>
  <c r="G680" i="2" s="1"/>
  <c r="J681" i="2" s="1"/>
  <c r="F1068" i="2"/>
  <c r="E1068" i="2"/>
  <c r="H681" i="2" l="1"/>
  <c r="G681" i="2" s="1"/>
  <c r="M679" i="2"/>
  <c r="N679" i="2" s="1"/>
  <c r="P679" i="2" s="1"/>
  <c r="K680" i="2"/>
  <c r="E1069" i="2"/>
  <c r="F1069" i="2"/>
  <c r="K681" i="2" l="1"/>
  <c r="J682" i="2"/>
  <c r="H682" i="2"/>
  <c r="M680" i="2"/>
  <c r="N680" i="2" s="1"/>
  <c r="P680" i="2" s="1"/>
  <c r="L681" i="2"/>
  <c r="E1070" i="2"/>
  <c r="F1070" i="2"/>
  <c r="K682" i="2" l="1"/>
  <c r="G682" i="2"/>
  <c r="J683" i="2" s="1"/>
  <c r="L682" i="2"/>
  <c r="M681" i="2"/>
  <c r="N681" i="2" s="1"/>
  <c r="P681" i="2" s="1"/>
  <c r="F1071" i="2"/>
  <c r="E1071" i="2"/>
  <c r="M682" i="2" l="1"/>
  <c r="N682" i="2" s="1"/>
  <c r="P682" i="2" s="1"/>
  <c r="H683" i="2"/>
  <c r="K683" i="2" s="1"/>
  <c r="L683" i="2"/>
  <c r="E1072" i="2"/>
  <c r="F1072" i="2"/>
  <c r="G683" i="2" l="1"/>
  <c r="H684" i="2" s="1"/>
  <c r="K684" i="2" s="1"/>
  <c r="L684" i="2"/>
  <c r="M683" i="2"/>
  <c r="N683" i="2" s="1"/>
  <c r="P683" i="2" s="1"/>
  <c r="E1073" i="2"/>
  <c r="F1073" i="2"/>
  <c r="J684" i="2" l="1"/>
  <c r="G684" i="2" s="1"/>
  <c r="J685" i="2" s="1"/>
  <c r="M684" i="2"/>
  <c r="N684" i="2" s="1"/>
  <c r="P684" i="2" s="1"/>
  <c r="L685" i="2"/>
  <c r="F1074" i="2"/>
  <c r="E1074" i="2"/>
  <c r="H685" i="2" l="1"/>
  <c r="K685" i="2" s="1"/>
  <c r="L686" i="2" s="1"/>
  <c r="E1075" i="2"/>
  <c r="F1075" i="2"/>
  <c r="G685" i="2" l="1"/>
  <c r="H686" i="2" s="1"/>
  <c r="K686" i="2" s="1"/>
  <c r="M685" i="2"/>
  <c r="N685" i="2" s="1"/>
  <c r="P685" i="2" s="1"/>
  <c r="E1076" i="2"/>
  <c r="F1076" i="2"/>
  <c r="J686" i="2" l="1"/>
  <c r="G686" i="2" s="1"/>
  <c r="J687" i="2" s="1"/>
  <c r="M686" i="2"/>
  <c r="N686" i="2" s="1"/>
  <c r="P686" i="2" s="1"/>
  <c r="L687" i="2"/>
  <c r="E1077" i="2"/>
  <c r="F1077" i="2"/>
  <c r="H687" i="2" l="1"/>
  <c r="K687" i="2" s="1"/>
  <c r="F1078" i="2"/>
  <c r="E1078" i="2"/>
  <c r="G687" i="2" l="1"/>
  <c r="H688" i="2" s="1"/>
  <c r="L688" i="2"/>
  <c r="M687" i="2"/>
  <c r="N687" i="2" s="1"/>
  <c r="P687" i="2" s="1"/>
  <c r="E1079" i="2"/>
  <c r="F1079" i="2"/>
  <c r="J688" i="2" l="1"/>
  <c r="G688" i="2" s="1"/>
  <c r="K688" i="2"/>
  <c r="F1080" i="2"/>
  <c r="E1080" i="2"/>
  <c r="J689" i="2" l="1"/>
  <c r="H689" i="2"/>
  <c r="L689" i="2"/>
  <c r="M688" i="2"/>
  <c r="N688" i="2" s="1"/>
  <c r="P688" i="2" s="1"/>
  <c r="E1081" i="2"/>
  <c r="F1081" i="2"/>
  <c r="K689" i="2" l="1"/>
  <c r="G689" i="2"/>
  <c r="F1082" i="2"/>
  <c r="E1082" i="2"/>
  <c r="H690" i="2" l="1"/>
  <c r="J690" i="2"/>
  <c r="M689" i="2"/>
  <c r="N689" i="2" s="1"/>
  <c r="P689" i="2" s="1"/>
  <c r="L690" i="2"/>
  <c r="F1083" i="2"/>
  <c r="E1083" i="2"/>
  <c r="K690" i="2" l="1"/>
  <c r="M690" i="2" s="1"/>
  <c r="N690" i="2" s="1"/>
  <c r="P690" i="2" s="1"/>
  <c r="G690" i="2"/>
  <c r="F1084" i="2"/>
  <c r="E1084" i="2"/>
  <c r="J691" i="2" l="1"/>
  <c r="H691" i="2"/>
  <c r="L691" i="2"/>
  <c r="F1085" i="2"/>
  <c r="E1085" i="2"/>
  <c r="K691" i="2" l="1"/>
  <c r="G691" i="2"/>
  <c r="E1086" i="2"/>
  <c r="F1086" i="2"/>
  <c r="J692" i="2" l="1"/>
  <c r="H692" i="2"/>
  <c r="L692" i="2"/>
  <c r="M691" i="2"/>
  <c r="N691" i="2" s="1"/>
  <c r="P691" i="2" s="1"/>
  <c r="F1087" i="2"/>
  <c r="E1087" i="2"/>
  <c r="G692" i="2" l="1"/>
  <c r="K692" i="2"/>
  <c r="F1088" i="2"/>
  <c r="E1088" i="2"/>
  <c r="M692" i="2" l="1"/>
  <c r="N692" i="2" s="1"/>
  <c r="P692" i="2" s="1"/>
  <c r="L693" i="2"/>
  <c r="J693" i="2"/>
  <c r="H693" i="2"/>
  <c r="K693" i="2" s="1"/>
  <c r="F1089" i="2"/>
  <c r="E1089" i="2"/>
  <c r="M693" i="2" l="1"/>
  <c r="N693" i="2" s="1"/>
  <c r="P693" i="2" s="1"/>
  <c r="G693" i="2"/>
  <c r="J694" i="2" s="1"/>
  <c r="L694" i="2"/>
  <c r="E1090" i="2"/>
  <c r="F1090" i="2"/>
  <c r="H694" i="2" l="1"/>
  <c r="K694" i="2" s="1"/>
  <c r="M694" i="2" s="1"/>
  <c r="N694" i="2" s="1"/>
  <c r="P694" i="2" s="1"/>
  <c r="F1091" i="2"/>
  <c r="E1091" i="2"/>
  <c r="G694" i="2" l="1"/>
  <c r="J695" i="2" s="1"/>
  <c r="L695" i="2"/>
  <c r="E1092" i="2"/>
  <c r="F1092" i="2"/>
  <c r="H695" i="2" l="1"/>
  <c r="K695" i="2" s="1"/>
  <c r="F1093" i="2"/>
  <c r="E1093" i="2"/>
  <c r="G695" i="2" l="1"/>
  <c r="J696" i="2" s="1"/>
  <c r="M695" i="2"/>
  <c r="N695" i="2" s="1"/>
  <c r="P695" i="2" s="1"/>
  <c r="L696" i="2"/>
  <c r="E1094" i="2"/>
  <c r="F1094" i="2"/>
  <c r="H696" i="2" l="1"/>
  <c r="K696" i="2" s="1"/>
  <c r="M696" i="2" s="1"/>
  <c r="N696" i="2" s="1"/>
  <c r="P696" i="2" s="1"/>
  <c r="F1095" i="2"/>
  <c r="E1095" i="2"/>
  <c r="G696" i="2" l="1"/>
  <c r="H697" i="2" s="1"/>
  <c r="L697" i="2"/>
  <c r="F1096" i="2"/>
  <c r="E1096" i="2"/>
  <c r="J697" i="2" l="1"/>
  <c r="G697" i="2" s="1"/>
  <c r="K697" i="2"/>
  <c r="M697" i="2" s="1"/>
  <c r="N697" i="2" s="1"/>
  <c r="P697" i="2" s="1"/>
  <c r="E1097" i="2"/>
  <c r="F1097" i="2"/>
  <c r="H698" i="2" l="1"/>
  <c r="K698" i="2" s="1"/>
  <c r="J698" i="2"/>
  <c r="L698" i="2"/>
  <c r="F1098" i="2"/>
  <c r="E1098" i="2"/>
  <c r="G698" i="2" l="1"/>
  <c r="H699" i="2" s="1"/>
  <c r="K699" i="2" s="1"/>
  <c r="M698" i="2"/>
  <c r="N698" i="2" s="1"/>
  <c r="P698" i="2" s="1"/>
  <c r="L699" i="2"/>
  <c r="E1099" i="2"/>
  <c r="F1099" i="2"/>
  <c r="M699" i="2" l="1"/>
  <c r="N699" i="2" s="1"/>
  <c r="P699" i="2" s="1"/>
  <c r="J699" i="2"/>
  <c r="G699" i="2" s="1"/>
  <c r="L700" i="2"/>
  <c r="E1100" i="2"/>
  <c r="F1100" i="2"/>
  <c r="H700" i="2" l="1"/>
  <c r="J700" i="2"/>
  <c r="F1101" i="2"/>
  <c r="E1101" i="2"/>
  <c r="K700" i="2" l="1"/>
  <c r="G700" i="2"/>
  <c r="E1102" i="2"/>
  <c r="F1102" i="2"/>
  <c r="J701" i="2" l="1"/>
  <c r="H701" i="2"/>
  <c r="M700" i="2"/>
  <c r="N700" i="2" s="1"/>
  <c r="P700" i="2" s="1"/>
  <c r="L701" i="2"/>
  <c r="F1103" i="2"/>
  <c r="E1103" i="2"/>
  <c r="G701" i="2" l="1"/>
  <c r="K701" i="2"/>
  <c r="F1104" i="2"/>
  <c r="E1104" i="2"/>
  <c r="M701" i="2" l="1"/>
  <c r="N701" i="2" s="1"/>
  <c r="P701" i="2" s="1"/>
  <c r="J702" i="2"/>
  <c r="H702" i="2"/>
  <c r="L702" i="2"/>
  <c r="F1105" i="2"/>
  <c r="E1105" i="2"/>
  <c r="G702" i="2" l="1"/>
  <c r="J703" i="2" s="1"/>
  <c r="K702" i="2"/>
  <c r="E1106" i="2"/>
  <c r="F1106" i="2"/>
  <c r="H703" i="2" l="1"/>
  <c r="G703" i="2" s="1"/>
  <c r="H704" i="2" s="1"/>
  <c r="M702" i="2"/>
  <c r="N702" i="2" s="1"/>
  <c r="P702" i="2" s="1"/>
  <c r="L703" i="2"/>
  <c r="F1107" i="2"/>
  <c r="E1107" i="2"/>
  <c r="K703" i="2" l="1"/>
  <c r="K704" i="2" s="1"/>
  <c r="J704" i="2"/>
  <c r="G704" i="2" s="1"/>
  <c r="H705" i="2" s="1"/>
  <c r="E1108" i="2"/>
  <c r="F1108" i="2"/>
  <c r="J705" i="2" l="1"/>
  <c r="G705" i="2" s="1"/>
  <c r="J706" i="2" s="1"/>
  <c r="L704" i="2"/>
  <c r="L705" i="2" s="1"/>
  <c r="M703" i="2"/>
  <c r="N703" i="2" s="1"/>
  <c r="P703" i="2" s="1"/>
  <c r="K705" i="2"/>
  <c r="F1109" i="2"/>
  <c r="E1109" i="2"/>
  <c r="M705" i="2" l="1"/>
  <c r="N705" i="2" s="1"/>
  <c r="P705" i="2" s="1"/>
  <c r="M704" i="2"/>
  <c r="N704" i="2" s="1"/>
  <c r="P704" i="2" s="1"/>
  <c r="L706" i="2"/>
  <c r="H706" i="2"/>
  <c r="K706" i="2" s="1"/>
  <c r="E1110" i="2"/>
  <c r="F1110" i="2"/>
  <c r="M706" i="2" l="1"/>
  <c r="N706" i="2" s="1"/>
  <c r="P706" i="2" s="1"/>
  <c r="L707" i="2"/>
  <c r="G706" i="2"/>
  <c r="F1111" i="2"/>
  <c r="E1111" i="2"/>
  <c r="J707" i="2" l="1"/>
  <c r="H707" i="2"/>
  <c r="E1112" i="2"/>
  <c r="F1112" i="2"/>
  <c r="K707" i="2" l="1"/>
  <c r="G707" i="2"/>
  <c r="E1113" i="2"/>
  <c r="F1113" i="2"/>
  <c r="J708" i="2" l="1"/>
  <c r="H708" i="2"/>
  <c r="L708" i="2"/>
  <c r="M707" i="2"/>
  <c r="N707" i="2" s="1"/>
  <c r="P707" i="2" s="1"/>
  <c r="E1114" i="2"/>
  <c r="F1114" i="2"/>
  <c r="G708" i="2" l="1"/>
  <c r="H709" i="2" s="1"/>
  <c r="K708" i="2"/>
  <c r="M708" i="2" s="1"/>
  <c r="N708" i="2" s="1"/>
  <c r="P708" i="2" s="1"/>
  <c r="F1115" i="2"/>
  <c r="E1115" i="2"/>
  <c r="J709" i="2" l="1"/>
  <c r="G709" i="2" s="1"/>
  <c r="K709" i="2"/>
  <c r="L709" i="2"/>
  <c r="F1116" i="2"/>
  <c r="E1116" i="2"/>
  <c r="H710" i="2" l="1"/>
  <c r="K710" i="2" s="1"/>
  <c r="J710" i="2"/>
  <c r="M709" i="2"/>
  <c r="N709" i="2" s="1"/>
  <c r="P709" i="2" s="1"/>
  <c r="L710" i="2"/>
  <c r="E1117" i="2"/>
  <c r="F1117" i="2"/>
  <c r="G710" i="2" l="1"/>
  <c r="M710" i="2"/>
  <c r="N710" i="2" s="1"/>
  <c r="P710" i="2" s="1"/>
  <c r="L711" i="2"/>
  <c r="E1118" i="2"/>
  <c r="F1118" i="2"/>
  <c r="H711" i="2" l="1"/>
  <c r="K711" i="2" s="1"/>
  <c r="M711" i="2" s="1"/>
  <c r="N711" i="2" s="1"/>
  <c r="P711" i="2" s="1"/>
  <c r="J711" i="2"/>
  <c r="F1119" i="2"/>
  <c r="E1119" i="2"/>
  <c r="L712" i="2" l="1"/>
  <c r="G711" i="2"/>
  <c r="F1120" i="2"/>
  <c r="E1120" i="2"/>
  <c r="H712" i="2" l="1"/>
  <c r="K712" i="2" s="1"/>
  <c r="M712" i="2" s="1"/>
  <c r="N712" i="2" s="1"/>
  <c r="P712" i="2" s="1"/>
  <c r="J712" i="2"/>
  <c r="E1121" i="2"/>
  <c r="F1121" i="2"/>
  <c r="G712" i="2" l="1"/>
  <c r="J713" i="2" s="1"/>
  <c r="L713" i="2"/>
  <c r="E1122" i="2"/>
  <c r="F1122" i="2"/>
  <c r="H713" i="2" l="1"/>
  <c r="K713" i="2" s="1"/>
  <c r="L714" i="2" s="1"/>
  <c r="F1123" i="2"/>
  <c r="E1123" i="2"/>
  <c r="G713" i="2" l="1"/>
  <c r="J714" i="2" s="1"/>
  <c r="M713" i="2"/>
  <c r="N713" i="2" s="1"/>
  <c r="P713" i="2" s="1"/>
  <c r="E1124" i="2"/>
  <c r="F1124" i="2"/>
  <c r="H714" i="2" l="1"/>
  <c r="K714" i="2" s="1"/>
  <c r="M714" i="2" s="1"/>
  <c r="N714" i="2" s="1"/>
  <c r="P714" i="2" s="1"/>
  <c r="F1125" i="2"/>
  <c r="E1125" i="2"/>
  <c r="G714" i="2" l="1"/>
  <c r="J715" i="2" s="1"/>
  <c r="L715" i="2"/>
  <c r="E1126" i="2"/>
  <c r="F1126" i="2"/>
  <c r="H715" i="2" l="1"/>
  <c r="K715" i="2" s="1"/>
  <c r="L716" i="2" s="1"/>
  <c r="F1127" i="2"/>
  <c r="E1127" i="2"/>
  <c r="G715" i="2" l="1"/>
  <c r="J716" i="2" s="1"/>
  <c r="M715" i="2"/>
  <c r="N715" i="2" s="1"/>
  <c r="P715" i="2" s="1"/>
  <c r="E1128" i="2"/>
  <c r="F1128" i="2"/>
  <c r="H716" i="2" l="1"/>
  <c r="K716" i="2" s="1"/>
  <c r="E1129" i="2"/>
  <c r="F1129" i="2"/>
  <c r="G716" i="2" l="1"/>
  <c r="H717" i="2" s="1"/>
  <c r="M716" i="2"/>
  <c r="N716" i="2" s="1"/>
  <c r="P716" i="2" s="1"/>
  <c r="L717" i="2"/>
  <c r="F1130" i="2"/>
  <c r="E1130" i="2"/>
  <c r="J717" i="2" l="1"/>
  <c r="G717" i="2" s="1"/>
  <c r="K717" i="2"/>
  <c r="M717" i="2" s="1"/>
  <c r="N717" i="2" s="1"/>
  <c r="P717" i="2" s="1"/>
  <c r="E1131" i="2"/>
  <c r="F1131" i="2"/>
  <c r="L718" i="2" l="1"/>
  <c r="H718" i="2"/>
  <c r="K718" i="2" s="1"/>
  <c r="J718" i="2"/>
  <c r="E1132" i="2"/>
  <c r="F1132" i="2"/>
  <c r="M718" i="2" l="1"/>
  <c r="N718" i="2" s="1"/>
  <c r="P718" i="2" s="1"/>
  <c r="G718" i="2"/>
  <c r="H719" i="2" s="1"/>
  <c r="K719" i="2" s="1"/>
  <c r="L719" i="2"/>
  <c r="E1133" i="2"/>
  <c r="F1133" i="2"/>
  <c r="J719" i="2" l="1"/>
  <c r="G719" i="2" s="1"/>
  <c r="H720" i="2" s="1"/>
  <c r="K720" i="2" s="1"/>
  <c r="L720" i="2"/>
  <c r="M719" i="2"/>
  <c r="N719" i="2" s="1"/>
  <c r="P719" i="2" s="1"/>
  <c r="F1134" i="2"/>
  <c r="E1134" i="2"/>
  <c r="J720" i="2" l="1"/>
  <c r="G720" i="2" s="1"/>
  <c r="M720" i="2"/>
  <c r="N720" i="2" s="1"/>
  <c r="P720" i="2" s="1"/>
  <c r="L721" i="2"/>
  <c r="F1135" i="2"/>
  <c r="E1135" i="2"/>
  <c r="H721" i="2" l="1"/>
  <c r="K721" i="2" s="1"/>
  <c r="L722" i="2" s="1"/>
  <c r="J721" i="2"/>
  <c r="E1136" i="2"/>
  <c r="F1136" i="2"/>
  <c r="M721" i="2" l="1"/>
  <c r="N721" i="2" s="1"/>
  <c r="P721" i="2" s="1"/>
  <c r="G721" i="2"/>
  <c r="E1137" i="2"/>
  <c r="F1137" i="2"/>
  <c r="H722" i="2" l="1"/>
  <c r="K722" i="2" s="1"/>
  <c r="J722" i="2"/>
  <c r="F1138" i="2"/>
  <c r="E1138" i="2"/>
  <c r="G722" i="2" l="1"/>
  <c r="J723" i="2" s="1"/>
  <c r="M722" i="2"/>
  <c r="N722" i="2" s="1"/>
  <c r="P722" i="2" s="1"/>
  <c r="L723" i="2"/>
  <c r="E1139" i="2"/>
  <c r="F1139" i="2"/>
  <c r="H723" i="2" l="1"/>
  <c r="K723" i="2" s="1"/>
  <c r="M723" i="2" s="1"/>
  <c r="N723" i="2" s="1"/>
  <c r="P723" i="2" s="1"/>
  <c r="E1140" i="2"/>
  <c r="F1140" i="2"/>
  <c r="L724" i="2" l="1"/>
  <c r="G723" i="2"/>
  <c r="H724" i="2" s="1"/>
  <c r="K724" i="2" s="1"/>
  <c r="E1141" i="2"/>
  <c r="F1141" i="2"/>
  <c r="M724" i="2" l="1"/>
  <c r="N724" i="2" s="1"/>
  <c r="P724" i="2" s="1"/>
  <c r="J724" i="2"/>
  <c r="G724" i="2" s="1"/>
  <c r="H725" i="2" s="1"/>
  <c r="K725" i="2" s="1"/>
  <c r="L725" i="2"/>
  <c r="F1142" i="2"/>
  <c r="E1142" i="2"/>
  <c r="M725" i="2" l="1"/>
  <c r="N725" i="2" s="1"/>
  <c r="P725" i="2" s="1"/>
  <c r="J725" i="2"/>
  <c r="G725" i="2" s="1"/>
  <c r="L726" i="2"/>
  <c r="F1143" i="2"/>
  <c r="E1143" i="2"/>
  <c r="H726" i="2" l="1"/>
  <c r="K726" i="2" s="1"/>
  <c r="J726" i="2"/>
  <c r="E1144" i="2"/>
  <c r="F1144" i="2"/>
  <c r="G726" i="2" l="1"/>
  <c r="J727" i="2" s="1"/>
  <c r="L727" i="2"/>
  <c r="M726" i="2"/>
  <c r="N726" i="2" s="1"/>
  <c r="P726" i="2" s="1"/>
  <c r="E1145" i="2"/>
  <c r="F1145" i="2"/>
  <c r="H727" i="2" l="1"/>
  <c r="K727" i="2" s="1"/>
  <c r="L728" i="2" s="1"/>
  <c r="F1146" i="2"/>
  <c r="E1146" i="2"/>
  <c r="M727" i="2" l="1"/>
  <c r="N727" i="2" s="1"/>
  <c r="P727" i="2" s="1"/>
  <c r="G727" i="2"/>
  <c r="F1147" i="2"/>
  <c r="E1147" i="2"/>
  <c r="J728" i="2" l="1"/>
  <c r="H728" i="2"/>
  <c r="E1148" i="2"/>
  <c r="F1148" i="2"/>
  <c r="K728" i="2" l="1"/>
  <c r="G728" i="2"/>
  <c r="E1149" i="2"/>
  <c r="F1149" i="2"/>
  <c r="H729" i="2" l="1"/>
  <c r="K729" i="2" s="1"/>
  <c r="J729" i="2"/>
  <c r="M728" i="2"/>
  <c r="N728" i="2" s="1"/>
  <c r="P728" i="2" s="1"/>
  <c r="L729" i="2"/>
  <c r="F1150" i="2"/>
  <c r="E1150" i="2"/>
  <c r="G729" i="2" l="1"/>
  <c r="H730" i="2" s="1"/>
  <c r="K730" i="2" s="1"/>
  <c r="L730" i="2"/>
  <c r="M729" i="2"/>
  <c r="N729" i="2" s="1"/>
  <c r="P729" i="2" s="1"/>
  <c r="F1151" i="2"/>
  <c r="E1151" i="2"/>
  <c r="M730" i="2" l="1"/>
  <c r="N730" i="2" s="1"/>
  <c r="P730" i="2" s="1"/>
  <c r="J730" i="2"/>
  <c r="G730" i="2" s="1"/>
  <c r="H731" i="2" s="1"/>
  <c r="K731" i="2" s="1"/>
  <c r="L731" i="2"/>
  <c r="E1152" i="2"/>
  <c r="F1152" i="2"/>
  <c r="L732" i="2" l="1"/>
  <c r="J731" i="2"/>
  <c r="G731" i="2" s="1"/>
  <c r="H732" i="2" s="1"/>
  <c r="K732" i="2" s="1"/>
  <c r="M731" i="2"/>
  <c r="N731" i="2" s="1"/>
  <c r="P731" i="2" s="1"/>
  <c r="E1153" i="2"/>
  <c r="F1153" i="2"/>
  <c r="M732" i="2" l="1"/>
  <c r="N732" i="2" s="1"/>
  <c r="P732" i="2" s="1"/>
  <c r="J732" i="2"/>
  <c r="G732" i="2" s="1"/>
  <c r="H733" i="2" s="1"/>
  <c r="K733" i="2" s="1"/>
  <c r="L733" i="2"/>
  <c r="F1154" i="2"/>
  <c r="E1154" i="2"/>
  <c r="L734" i="2" l="1"/>
  <c r="J733" i="2"/>
  <c r="G733" i="2" s="1"/>
  <c r="J734" i="2" s="1"/>
  <c r="M733" i="2"/>
  <c r="N733" i="2" s="1"/>
  <c r="P733" i="2" s="1"/>
  <c r="E1155" i="2"/>
  <c r="F1155" i="2"/>
  <c r="H734" i="2" l="1"/>
  <c r="K734" i="2" s="1"/>
  <c r="M734" i="2" s="1"/>
  <c r="N734" i="2" s="1"/>
  <c r="P734" i="2" s="1"/>
  <c r="E1156" i="2"/>
  <c r="F1156" i="2"/>
  <c r="G734" i="2" l="1"/>
  <c r="H735" i="2" s="1"/>
  <c r="K735" i="2" s="1"/>
  <c r="L735" i="2"/>
  <c r="E1157" i="2"/>
  <c r="F1157" i="2"/>
  <c r="J735" i="2" l="1"/>
  <c r="G735" i="2" s="1"/>
  <c r="J736" i="2" s="1"/>
  <c r="M735" i="2"/>
  <c r="N735" i="2" s="1"/>
  <c r="P735" i="2" s="1"/>
  <c r="L736" i="2"/>
  <c r="F1158" i="2"/>
  <c r="E1158" i="2"/>
  <c r="H736" i="2" l="1"/>
  <c r="K736" i="2" s="1"/>
  <c r="M736" i="2" s="1"/>
  <c r="N736" i="2" s="1"/>
  <c r="P736" i="2" s="1"/>
  <c r="F1159" i="2"/>
  <c r="E1159" i="2"/>
  <c r="G736" i="2" l="1"/>
  <c r="H737" i="2" s="1"/>
  <c r="L737" i="2"/>
  <c r="E1160" i="2"/>
  <c r="F1160" i="2"/>
  <c r="J737" i="2" l="1"/>
  <c r="G737" i="2" s="1"/>
  <c r="K737" i="2"/>
  <c r="F1161" i="2"/>
  <c r="E1161" i="2"/>
  <c r="H738" i="2" l="1"/>
  <c r="K738" i="2" s="1"/>
  <c r="J738" i="2"/>
  <c r="L738" i="2"/>
  <c r="M737" i="2"/>
  <c r="N737" i="2" s="1"/>
  <c r="P737" i="2" s="1"/>
  <c r="F1162" i="2"/>
  <c r="E1162" i="2"/>
  <c r="G738" i="2" l="1"/>
  <c r="J739" i="2" s="1"/>
  <c r="L739" i="2"/>
  <c r="M738" i="2"/>
  <c r="N738" i="2" s="1"/>
  <c r="P738" i="2" s="1"/>
  <c r="E1163" i="2"/>
  <c r="F1163" i="2"/>
  <c r="H739" i="2" l="1"/>
  <c r="K739" i="2" s="1"/>
  <c r="L740" i="2" s="1"/>
  <c r="E1164" i="2"/>
  <c r="F1164" i="2"/>
  <c r="M739" i="2" l="1"/>
  <c r="N739" i="2" s="1"/>
  <c r="P739" i="2" s="1"/>
  <c r="G739" i="2"/>
  <c r="J740" i="2" s="1"/>
  <c r="E1165" i="2"/>
  <c r="F1165" i="2"/>
  <c r="H740" i="2" l="1"/>
  <c r="K740" i="2" s="1"/>
  <c r="M740" i="2" s="1"/>
  <c r="N740" i="2" s="1"/>
  <c r="P740" i="2" s="1"/>
  <c r="F1166" i="2"/>
  <c r="E1166" i="2"/>
  <c r="G740" i="2" l="1"/>
  <c r="H741" i="2" s="1"/>
  <c r="K741" i="2" s="1"/>
  <c r="L741" i="2"/>
  <c r="F1167" i="2"/>
  <c r="E1167" i="2"/>
  <c r="J741" i="2" l="1"/>
  <c r="G741" i="2" s="1"/>
  <c r="H742" i="2" s="1"/>
  <c r="L742" i="2"/>
  <c r="M741" i="2"/>
  <c r="N741" i="2" s="1"/>
  <c r="P741" i="2" s="1"/>
  <c r="E1168" i="2"/>
  <c r="F1168" i="2"/>
  <c r="J742" i="2" l="1"/>
  <c r="G742" i="2" s="1"/>
  <c r="H743" i="2" s="1"/>
  <c r="K742" i="2"/>
  <c r="L743" i="2" s="1"/>
  <c r="E1169" i="2"/>
  <c r="F1169" i="2"/>
  <c r="J743" i="2" l="1"/>
  <c r="G743" i="2" s="1"/>
  <c r="H744" i="2" s="1"/>
  <c r="K743" i="2"/>
  <c r="M743" i="2" s="1"/>
  <c r="N743" i="2" s="1"/>
  <c r="P743" i="2" s="1"/>
  <c r="M742" i="2"/>
  <c r="N742" i="2" s="1"/>
  <c r="P742" i="2" s="1"/>
  <c r="F1170" i="2"/>
  <c r="E1170" i="2"/>
  <c r="J744" i="2" l="1"/>
  <c r="G744" i="2" s="1"/>
  <c r="H745" i="2" s="1"/>
  <c r="K744" i="2"/>
  <c r="L744" i="2"/>
  <c r="E1171" i="2"/>
  <c r="F1171" i="2"/>
  <c r="J745" i="2" l="1"/>
  <c r="G745" i="2" s="1"/>
  <c r="J746" i="2" s="1"/>
  <c r="L745" i="2"/>
  <c r="K745" i="2"/>
  <c r="M744" i="2"/>
  <c r="N744" i="2" s="1"/>
  <c r="P744" i="2" s="1"/>
  <c r="E1172" i="2"/>
  <c r="F1172" i="2"/>
  <c r="M745" i="2" l="1"/>
  <c r="N745" i="2" s="1"/>
  <c r="P745" i="2" s="1"/>
  <c r="L746" i="2"/>
  <c r="H746" i="2"/>
  <c r="E1173" i="2"/>
  <c r="F1173" i="2"/>
  <c r="K746" i="2" l="1"/>
  <c r="G746" i="2"/>
  <c r="F1174" i="2"/>
  <c r="E1174" i="2"/>
  <c r="J747" i="2" l="1"/>
  <c r="H747" i="2"/>
  <c r="L747" i="2"/>
  <c r="M746" i="2"/>
  <c r="N746" i="2" s="1"/>
  <c r="P746" i="2" s="1"/>
  <c r="F1175" i="2"/>
  <c r="E1175" i="2"/>
  <c r="K747" i="2" l="1"/>
  <c r="M747" i="2" s="1"/>
  <c r="N747" i="2" s="1"/>
  <c r="P747" i="2" s="1"/>
  <c r="G747" i="2"/>
  <c r="E1176" i="2"/>
  <c r="F1176" i="2"/>
  <c r="J748" i="2" l="1"/>
  <c r="H748" i="2"/>
  <c r="L748" i="2"/>
  <c r="E1177" i="2"/>
  <c r="F1177" i="2"/>
  <c r="K748" i="2" l="1"/>
  <c r="G748" i="2"/>
  <c r="F1178" i="2"/>
  <c r="E1178" i="2"/>
  <c r="H749" i="2" l="1"/>
  <c r="K749" i="2" s="1"/>
  <c r="J749" i="2"/>
  <c r="L749" i="2"/>
  <c r="M748" i="2"/>
  <c r="N748" i="2" s="1"/>
  <c r="P748" i="2" s="1"/>
  <c r="E1179" i="2"/>
  <c r="F1179" i="2"/>
  <c r="G749" i="2" l="1"/>
  <c r="J750" i="2" s="1"/>
  <c r="L750" i="2"/>
  <c r="M749" i="2"/>
  <c r="N749" i="2" s="1"/>
  <c r="P749" i="2" s="1"/>
  <c r="E1180" i="2"/>
  <c r="F1180" i="2"/>
  <c r="H750" i="2" l="1"/>
  <c r="K750" i="2" s="1"/>
  <c r="M750" i="2" s="1"/>
  <c r="N750" i="2" s="1"/>
  <c r="P750" i="2" s="1"/>
  <c r="E1181" i="2"/>
  <c r="F1181" i="2"/>
  <c r="G750" i="2" l="1"/>
  <c r="J751" i="2" s="1"/>
  <c r="L751" i="2"/>
  <c r="F1182" i="2"/>
  <c r="E1182" i="2"/>
  <c r="H751" i="2" l="1"/>
  <c r="K751" i="2" s="1"/>
  <c r="M751" i="2" s="1"/>
  <c r="N751" i="2" s="1"/>
  <c r="P751" i="2" s="1"/>
  <c r="F1183" i="2"/>
  <c r="E1183" i="2"/>
  <c r="G751" i="2" l="1"/>
  <c r="H752" i="2" s="1"/>
  <c r="K752" i="2" s="1"/>
  <c r="L752" i="2"/>
  <c r="E1184" i="2"/>
  <c r="F1184" i="2"/>
  <c r="M752" i="2" l="1"/>
  <c r="N752" i="2" s="1"/>
  <c r="P752" i="2" s="1"/>
  <c r="J752" i="2"/>
  <c r="G752" i="2" s="1"/>
  <c r="H753" i="2" s="1"/>
  <c r="K753" i="2" s="1"/>
  <c r="L753" i="2"/>
  <c r="E1185" i="2"/>
  <c r="F1185" i="2"/>
  <c r="J753" i="2" l="1"/>
  <c r="G753" i="2" s="1"/>
  <c r="H754" i="2" s="1"/>
  <c r="K754" i="2" s="1"/>
  <c r="L754" i="2"/>
  <c r="M753" i="2"/>
  <c r="N753" i="2" s="1"/>
  <c r="P753" i="2" s="1"/>
  <c r="F1186" i="2"/>
  <c r="E1186" i="2"/>
  <c r="J754" i="2" l="1"/>
  <c r="G754" i="2" s="1"/>
  <c r="J755" i="2" s="1"/>
  <c r="M754" i="2"/>
  <c r="N754" i="2" s="1"/>
  <c r="P754" i="2" s="1"/>
  <c r="L755" i="2"/>
  <c r="E1187" i="2"/>
  <c r="F1187" i="2"/>
  <c r="H755" i="2" l="1"/>
  <c r="G755" i="2" s="1"/>
  <c r="J756" i="2" s="1"/>
  <c r="E1188" i="2"/>
  <c r="F1188" i="2"/>
  <c r="H756" i="2" l="1"/>
  <c r="G756" i="2" s="1"/>
  <c r="H757" i="2" s="1"/>
  <c r="K755" i="2"/>
  <c r="L756" i="2" s="1"/>
  <c r="E1189" i="2"/>
  <c r="F1189" i="2"/>
  <c r="M755" i="2" l="1"/>
  <c r="N755" i="2" s="1"/>
  <c r="P755" i="2" s="1"/>
  <c r="K756" i="2"/>
  <c r="M756" i="2" s="1"/>
  <c r="N756" i="2" s="1"/>
  <c r="P756" i="2" s="1"/>
  <c r="J757" i="2"/>
  <c r="G757" i="2" s="1"/>
  <c r="H758" i="2" s="1"/>
  <c r="F1190" i="2"/>
  <c r="E1190" i="2"/>
  <c r="K757" i="2" l="1"/>
  <c r="L757" i="2"/>
  <c r="J758" i="2"/>
  <c r="G758" i="2" s="1"/>
  <c r="J759" i="2" s="1"/>
  <c r="F1191" i="2"/>
  <c r="E1191" i="2"/>
  <c r="L758" i="2" l="1"/>
  <c r="K758" i="2"/>
  <c r="M757" i="2"/>
  <c r="N757" i="2" s="1"/>
  <c r="P757" i="2" s="1"/>
  <c r="H759" i="2"/>
  <c r="E1192" i="2"/>
  <c r="F1192" i="2"/>
  <c r="M758" i="2" l="1"/>
  <c r="N758" i="2" s="1"/>
  <c r="P758" i="2" s="1"/>
  <c r="K759" i="2"/>
  <c r="L759" i="2"/>
  <c r="G759" i="2"/>
  <c r="J760" i="2" s="1"/>
  <c r="E1193" i="2"/>
  <c r="F1193" i="2"/>
  <c r="H760" i="2" l="1"/>
  <c r="K760" i="2" s="1"/>
  <c r="M759" i="2"/>
  <c r="N759" i="2" s="1"/>
  <c r="P759" i="2" s="1"/>
  <c r="L760" i="2"/>
  <c r="F1194" i="2"/>
  <c r="E1194" i="2"/>
  <c r="G760" i="2" l="1"/>
  <c r="H761" i="2" s="1"/>
  <c r="K761" i="2" s="1"/>
  <c r="M760" i="2"/>
  <c r="N760" i="2" s="1"/>
  <c r="P760" i="2" s="1"/>
  <c r="L761" i="2"/>
  <c r="E1195" i="2"/>
  <c r="F1195" i="2"/>
  <c r="J761" i="2" l="1"/>
  <c r="G761" i="2" s="1"/>
  <c r="H762" i="2" s="1"/>
  <c r="K762" i="2" s="1"/>
  <c r="L762" i="2"/>
  <c r="M761" i="2"/>
  <c r="N761" i="2" s="1"/>
  <c r="P761" i="2" s="1"/>
  <c r="E1196" i="2"/>
  <c r="F1196" i="2"/>
  <c r="J762" i="2" l="1"/>
  <c r="G762" i="2" s="1"/>
  <c r="J763" i="2" s="1"/>
  <c r="M762" i="2"/>
  <c r="N762" i="2" s="1"/>
  <c r="P762" i="2" s="1"/>
  <c r="L763" i="2"/>
  <c r="E1197" i="2"/>
  <c r="F1197" i="2"/>
  <c r="H763" i="2" l="1"/>
  <c r="K763" i="2" s="1"/>
  <c r="M763" i="2" s="1"/>
  <c r="N763" i="2" s="1"/>
  <c r="P763" i="2" s="1"/>
  <c r="F1198" i="2"/>
  <c r="E1198" i="2"/>
  <c r="G763" i="2" l="1"/>
  <c r="L764" i="2"/>
  <c r="F1199" i="2"/>
  <c r="E1199" i="2"/>
  <c r="H764" i="2" l="1"/>
  <c r="K764" i="2" s="1"/>
  <c r="M764" i="2" s="1"/>
  <c r="N764" i="2" s="1"/>
  <c r="P764" i="2" s="1"/>
  <c r="J764" i="2"/>
  <c r="E1200" i="2"/>
  <c r="F1200" i="2"/>
  <c r="G764" i="2" l="1"/>
  <c r="J765" i="2" s="1"/>
  <c r="L765" i="2"/>
  <c r="E1201" i="2"/>
  <c r="F1201" i="2"/>
  <c r="H765" i="2" l="1"/>
  <c r="G765" i="2" s="1"/>
  <c r="J766" i="2" s="1"/>
  <c r="F1202" i="2"/>
  <c r="E1202" i="2"/>
  <c r="K765" i="2" l="1"/>
  <c r="M765" i="2" s="1"/>
  <c r="N765" i="2" s="1"/>
  <c r="P765" i="2" s="1"/>
  <c r="H766" i="2"/>
  <c r="G766" i="2" s="1"/>
  <c r="E1203" i="2"/>
  <c r="F1203" i="2"/>
  <c r="L766" i="2" l="1"/>
  <c r="K766" i="2"/>
  <c r="H767" i="2"/>
  <c r="J767" i="2"/>
  <c r="E1204" i="2"/>
  <c r="F1204" i="2"/>
  <c r="M766" i="2" l="1"/>
  <c r="N766" i="2" s="1"/>
  <c r="P766" i="2" s="1"/>
  <c r="L767" i="2"/>
  <c r="K767" i="2"/>
  <c r="G767" i="2"/>
  <c r="E1205" i="2"/>
  <c r="F1205" i="2"/>
  <c r="M767" i="2" l="1"/>
  <c r="N767" i="2" s="1"/>
  <c r="P767" i="2" s="1"/>
  <c r="L768" i="2"/>
  <c r="H768" i="2"/>
  <c r="J768" i="2"/>
  <c r="F1206" i="2"/>
  <c r="E1206" i="2"/>
  <c r="K768" i="2" l="1"/>
  <c r="G768" i="2"/>
  <c r="F1207" i="2"/>
  <c r="E1207" i="2"/>
  <c r="J769" i="2" l="1"/>
  <c r="H769" i="2"/>
  <c r="M768" i="2"/>
  <c r="N768" i="2" s="1"/>
  <c r="P768" i="2" s="1"/>
  <c r="L769" i="2"/>
  <c r="E1208" i="2"/>
  <c r="F1208" i="2"/>
  <c r="G769" i="2" l="1"/>
  <c r="K769" i="2"/>
  <c r="E1209" i="2"/>
  <c r="F1209" i="2"/>
  <c r="M769" i="2" l="1"/>
  <c r="N769" i="2" s="1"/>
  <c r="P769" i="2" s="1"/>
  <c r="J770" i="2"/>
  <c r="H770" i="2"/>
  <c r="K770" i="2" s="1"/>
  <c r="L770" i="2"/>
  <c r="F1210" i="2"/>
  <c r="E1210" i="2"/>
  <c r="M770" i="2" l="1"/>
  <c r="N770" i="2" s="1"/>
  <c r="P770" i="2" s="1"/>
  <c r="L771" i="2"/>
  <c r="G770" i="2"/>
  <c r="F1211" i="2"/>
  <c r="E1211" i="2"/>
  <c r="J771" i="2" l="1"/>
  <c r="H771" i="2"/>
  <c r="E1212" i="2"/>
  <c r="F1212" i="2"/>
  <c r="G771" i="2" l="1"/>
  <c r="K771" i="2"/>
  <c r="E1213" i="2"/>
  <c r="F1213" i="2"/>
  <c r="M771" i="2" l="1"/>
  <c r="N771" i="2" s="1"/>
  <c r="P771" i="2" s="1"/>
  <c r="L772" i="2"/>
  <c r="H772" i="2"/>
  <c r="K772" i="2" s="1"/>
  <c r="J772" i="2"/>
  <c r="F1214" i="2"/>
  <c r="E1214" i="2"/>
  <c r="M772" i="2" l="1"/>
  <c r="N772" i="2" s="1"/>
  <c r="P772" i="2" s="1"/>
  <c r="G772" i="2"/>
  <c r="L773" i="2"/>
  <c r="F1215" i="2"/>
  <c r="E1215" i="2"/>
  <c r="J773" i="2" l="1"/>
  <c r="H773" i="2"/>
  <c r="E1216" i="2"/>
  <c r="F1216" i="2"/>
  <c r="G773" i="2" l="1"/>
  <c r="K773" i="2"/>
  <c r="E1217" i="2"/>
  <c r="F1217" i="2"/>
  <c r="M773" i="2" l="1"/>
  <c r="N773" i="2" s="1"/>
  <c r="P773" i="2" s="1"/>
  <c r="L774" i="2"/>
  <c r="J774" i="2"/>
  <c r="H774" i="2"/>
  <c r="K774" i="2" s="1"/>
  <c r="F1218" i="2"/>
  <c r="E1218" i="2"/>
  <c r="M774" i="2" l="1"/>
  <c r="N774" i="2" s="1"/>
  <c r="P774" i="2" s="1"/>
  <c r="G774" i="2"/>
  <c r="L775" i="2"/>
  <c r="E1219" i="2"/>
  <c r="F1219" i="2"/>
  <c r="H775" i="2" l="1"/>
  <c r="K775" i="2" s="1"/>
  <c r="J775" i="2"/>
  <c r="E1220" i="2"/>
  <c r="F1220" i="2"/>
  <c r="G775" i="2" l="1"/>
  <c r="H776" i="2" s="1"/>
  <c r="K776" i="2" s="1"/>
  <c r="M775" i="2"/>
  <c r="N775" i="2" s="1"/>
  <c r="P775" i="2" s="1"/>
  <c r="L776" i="2"/>
  <c r="E1221" i="2"/>
  <c r="F1221" i="2"/>
  <c r="J776" i="2" l="1"/>
  <c r="G776" i="2" s="1"/>
  <c r="H777" i="2" s="1"/>
  <c r="K777" i="2" s="1"/>
  <c r="L777" i="2"/>
  <c r="M776" i="2"/>
  <c r="N776" i="2" s="1"/>
  <c r="P776" i="2" s="1"/>
  <c r="F1222" i="2"/>
  <c r="E1222" i="2"/>
  <c r="J777" i="2" l="1"/>
  <c r="G777" i="2" s="1"/>
  <c r="M777" i="2"/>
  <c r="N777" i="2" s="1"/>
  <c r="P777" i="2" s="1"/>
  <c r="L778" i="2"/>
  <c r="F1223" i="2"/>
  <c r="E1223" i="2"/>
  <c r="J778" i="2" l="1"/>
  <c r="H778" i="2"/>
  <c r="K778" i="2" s="1"/>
  <c r="M778" i="2" s="1"/>
  <c r="N778" i="2" s="1"/>
  <c r="P778" i="2" s="1"/>
  <c r="E1224" i="2"/>
  <c r="F1224" i="2"/>
  <c r="G778" i="2" l="1"/>
  <c r="H779" i="2" s="1"/>
  <c r="K779" i="2" s="1"/>
  <c r="L779" i="2"/>
  <c r="F1225" i="2"/>
  <c r="E1225" i="2"/>
  <c r="J779" i="2" l="1"/>
  <c r="G779" i="2" s="1"/>
  <c r="J780" i="2" s="1"/>
  <c r="L780" i="2"/>
  <c r="M779" i="2"/>
  <c r="N779" i="2" s="1"/>
  <c r="P779" i="2" s="1"/>
  <c r="F1226" i="2"/>
  <c r="E1226" i="2"/>
  <c r="H780" i="2" l="1"/>
  <c r="K780" i="2" s="1"/>
  <c r="L781" i="2" s="1"/>
  <c r="E1227" i="2"/>
  <c r="F1227" i="2"/>
  <c r="G780" i="2" l="1"/>
  <c r="H781" i="2" s="1"/>
  <c r="K781" i="2" s="1"/>
  <c r="M780" i="2"/>
  <c r="N780" i="2" s="1"/>
  <c r="P780" i="2" s="1"/>
  <c r="E1228" i="2"/>
  <c r="F1228" i="2"/>
  <c r="J781" i="2" l="1"/>
  <c r="G781" i="2" s="1"/>
  <c r="H782" i="2" s="1"/>
  <c r="K782" i="2" s="1"/>
  <c r="L782" i="2"/>
  <c r="M781" i="2"/>
  <c r="N781" i="2" s="1"/>
  <c r="P781" i="2" s="1"/>
  <c r="E1229" i="2"/>
  <c r="F1229" i="2"/>
  <c r="M782" i="2" l="1"/>
  <c r="N782" i="2" s="1"/>
  <c r="P782" i="2" s="1"/>
  <c r="J782" i="2"/>
  <c r="G782" i="2" s="1"/>
  <c r="H783" i="2" s="1"/>
  <c r="K783" i="2" s="1"/>
  <c r="L783" i="2"/>
  <c r="F1230" i="2"/>
  <c r="E1230" i="2"/>
  <c r="L784" i="2" l="1"/>
  <c r="J783" i="2"/>
  <c r="G783" i="2" s="1"/>
  <c r="J784" i="2" s="1"/>
  <c r="M783" i="2"/>
  <c r="N783" i="2" s="1"/>
  <c r="P783" i="2" s="1"/>
  <c r="F1231" i="2"/>
  <c r="E1231" i="2"/>
  <c r="H784" i="2" l="1"/>
  <c r="K784" i="2" s="1"/>
  <c r="M784" i="2" s="1"/>
  <c r="N784" i="2" s="1"/>
  <c r="P784" i="2" s="1"/>
  <c r="E1232" i="2"/>
  <c r="F1232" i="2"/>
  <c r="G784" i="2" l="1"/>
  <c r="H785" i="2" s="1"/>
  <c r="K785" i="2" s="1"/>
  <c r="L785" i="2"/>
  <c r="E1233" i="2"/>
  <c r="F1233" i="2"/>
  <c r="J785" i="2" l="1"/>
  <c r="G785" i="2" s="1"/>
  <c r="M785" i="2"/>
  <c r="N785" i="2" s="1"/>
  <c r="P785" i="2" s="1"/>
  <c r="L786" i="2"/>
  <c r="F1234" i="2"/>
  <c r="E1234" i="2"/>
  <c r="J786" i="2" l="1"/>
  <c r="H786" i="2"/>
  <c r="E1235" i="2"/>
  <c r="F1235" i="2"/>
  <c r="G786" i="2" l="1"/>
  <c r="K786" i="2"/>
  <c r="E1236" i="2"/>
  <c r="F1236" i="2"/>
  <c r="M786" i="2" l="1"/>
  <c r="N786" i="2" s="1"/>
  <c r="P786" i="2" s="1"/>
  <c r="L787" i="2"/>
  <c r="H787" i="2"/>
  <c r="K787" i="2" s="1"/>
  <c r="J787" i="2"/>
  <c r="E1237" i="2"/>
  <c r="F1237" i="2"/>
  <c r="M787" i="2" l="1"/>
  <c r="N787" i="2" s="1"/>
  <c r="P787" i="2" s="1"/>
  <c r="G787" i="2"/>
  <c r="L788" i="2"/>
  <c r="F1238" i="2"/>
  <c r="E1238" i="2"/>
  <c r="J788" i="2" l="1"/>
  <c r="H788" i="2"/>
  <c r="K788" i="2" s="1"/>
  <c r="M788" i="2" s="1"/>
  <c r="N788" i="2" s="1"/>
  <c r="P788" i="2" s="1"/>
  <c r="F1239" i="2"/>
  <c r="E1239" i="2"/>
  <c r="L789" i="2" l="1"/>
  <c r="G788" i="2"/>
  <c r="E1240" i="2"/>
  <c r="F1240" i="2"/>
  <c r="J789" i="2" l="1"/>
  <c r="H789" i="2"/>
  <c r="K789" i="2" s="1"/>
  <c r="M789" i="2" s="1"/>
  <c r="N789" i="2" s="1"/>
  <c r="P789" i="2" s="1"/>
  <c r="E1241" i="2"/>
  <c r="F1241" i="2"/>
  <c r="L790" i="2" l="1"/>
  <c r="G789" i="2"/>
  <c r="F1242" i="2"/>
  <c r="E1242" i="2"/>
  <c r="J790" i="2" l="1"/>
  <c r="H790" i="2"/>
  <c r="K790" i="2" s="1"/>
  <c r="E1243" i="2"/>
  <c r="F1243" i="2"/>
  <c r="M790" i="2" l="1"/>
  <c r="N790" i="2" s="1"/>
  <c r="P790" i="2" s="1"/>
  <c r="L791" i="2"/>
  <c r="G790" i="2"/>
  <c r="E1244" i="2"/>
  <c r="F1244" i="2"/>
  <c r="H791" i="2" l="1"/>
  <c r="K791" i="2" s="1"/>
  <c r="M791" i="2" s="1"/>
  <c r="N791" i="2" s="1"/>
  <c r="P791" i="2" s="1"/>
  <c r="J791" i="2"/>
  <c r="E1245" i="2"/>
  <c r="F1245" i="2"/>
  <c r="G791" i="2" l="1"/>
  <c r="H792" i="2" s="1"/>
  <c r="K792" i="2" s="1"/>
  <c r="L792" i="2"/>
  <c r="F1246" i="2"/>
  <c r="E1246" i="2"/>
  <c r="J792" i="2" l="1"/>
  <c r="G792" i="2" s="1"/>
  <c r="L793" i="2"/>
  <c r="M792" i="2"/>
  <c r="N792" i="2" s="1"/>
  <c r="P792" i="2" s="1"/>
  <c r="F1247" i="2"/>
  <c r="E1247" i="2"/>
  <c r="H793" i="2" l="1"/>
  <c r="K793" i="2" s="1"/>
  <c r="M793" i="2" s="1"/>
  <c r="N793" i="2" s="1"/>
  <c r="P793" i="2" s="1"/>
  <c r="J793" i="2"/>
  <c r="E1248" i="2"/>
  <c r="F1248" i="2"/>
  <c r="G793" i="2" l="1"/>
  <c r="J794" i="2" s="1"/>
  <c r="L794" i="2"/>
  <c r="E1249" i="2"/>
  <c r="F1249" i="2"/>
  <c r="H794" i="2" l="1"/>
  <c r="K794" i="2" s="1"/>
  <c r="M794" i="2" s="1"/>
  <c r="N794" i="2" s="1"/>
  <c r="P794" i="2" s="1"/>
  <c r="F1250" i="2"/>
  <c r="E1250" i="2"/>
  <c r="L795" i="2" l="1"/>
  <c r="G794" i="2"/>
  <c r="H795" i="2" s="1"/>
  <c r="K795" i="2" s="1"/>
  <c r="E1251" i="2"/>
  <c r="F1251" i="2"/>
  <c r="M795" i="2" l="1"/>
  <c r="N795" i="2" s="1"/>
  <c r="P795" i="2" s="1"/>
  <c r="J795" i="2"/>
  <c r="G795" i="2" s="1"/>
  <c r="J796" i="2" s="1"/>
  <c r="L796" i="2"/>
  <c r="E1252" i="2"/>
  <c r="F1252" i="2"/>
  <c r="H796" i="2" l="1"/>
  <c r="K796" i="2" s="1"/>
  <c r="L797" i="2" s="1"/>
  <c r="E1253" i="2"/>
  <c r="F1253" i="2"/>
  <c r="G796" i="2" l="1"/>
  <c r="H797" i="2" s="1"/>
  <c r="K797" i="2" s="1"/>
  <c r="M797" i="2" s="1"/>
  <c r="N797" i="2" s="1"/>
  <c r="P797" i="2" s="1"/>
  <c r="M796" i="2"/>
  <c r="N796" i="2" s="1"/>
  <c r="P796" i="2" s="1"/>
  <c r="F1254" i="2"/>
  <c r="E1254" i="2"/>
  <c r="J797" i="2" l="1"/>
  <c r="G797" i="2" s="1"/>
  <c r="J798" i="2" s="1"/>
  <c r="L798" i="2"/>
  <c r="F1255" i="2"/>
  <c r="E1255" i="2"/>
  <c r="H798" i="2" l="1"/>
  <c r="G798" i="2" s="1"/>
  <c r="E1256" i="2"/>
  <c r="F1256" i="2"/>
  <c r="K798" i="2" l="1"/>
  <c r="M798" i="2" s="1"/>
  <c r="N798" i="2" s="1"/>
  <c r="P798" i="2" s="1"/>
  <c r="J799" i="2"/>
  <c r="H799" i="2"/>
  <c r="E1257" i="2"/>
  <c r="F1257" i="2"/>
  <c r="L799" i="2" l="1"/>
  <c r="K799" i="2"/>
  <c r="G799" i="2"/>
  <c r="F1258" i="2"/>
  <c r="E1258" i="2"/>
  <c r="H800" i="2" l="1"/>
  <c r="K800" i="2" s="1"/>
  <c r="J800" i="2"/>
  <c r="M799" i="2"/>
  <c r="N799" i="2" s="1"/>
  <c r="P799" i="2" s="1"/>
  <c r="L800" i="2"/>
  <c r="E1259" i="2"/>
  <c r="F1259" i="2"/>
  <c r="G800" i="2" l="1"/>
  <c r="J801" i="2" s="1"/>
  <c r="L801" i="2"/>
  <c r="M800" i="2"/>
  <c r="N800" i="2" s="1"/>
  <c r="P800" i="2" s="1"/>
  <c r="E1260" i="2"/>
  <c r="F1260" i="2"/>
  <c r="H801" i="2" l="1"/>
  <c r="G801" i="2" s="1"/>
  <c r="E1261" i="2"/>
  <c r="F1261" i="2"/>
  <c r="K801" i="2" l="1"/>
  <c r="M801" i="2" s="1"/>
  <c r="N801" i="2" s="1"/>
  <c r="P801" i="2" s="1"/>
  <c r="J802" i="2"/>
  <c r="H802" i="2"/>
  <c r="F1262" i="2"/>
  <c r="E1262" i="2"/>
  <c r="K802" i="2" l="1"/>
  <c r="L802" i="2"/>
  <c r="G802" i="2"/>
  <c r="H803" i="2" s="1"/>
  <c r="F1263" i="2"/>
  <c r="E1263" i="2"/>
  <c r="M802" i="2" l="1"/>
  <c r="N802" i="2" s="1"/>
  <c r="P802" i="2" s="1"/>
  <c r="L803" i="2"/>
  <c r="K803" i="2"/>
  <c r="J803" i="2"/>
  <c r="G803" i="2" s="1"/>
  <c r="H804" i="2" s="1"/>
  <c r="E1264" i="2"/>
  <c r="F1264" i="2"/>
  <c r="M803" i="2" l="1"/>
  <c r="N803" i="2" s="1"/>
  <c r="P803" i="2" s="1"/>
  <c r="K804" i="2"/>
  <c r="L804" i="2"/>
  <c r="J804" i="2"/>
  <c r="G804" i="2" s="1"/>
  <c r="H805" i="2" s="1"/>
  <c r="E1265" i="2"/>
  <c r="F1265" i="2"/>
  <c r="K805" i="2" l="1"/>
  <c r="L805" i="2"/>
  <c r="M804" i="2"/>
  <c r="N804" i="2" s="1"/>
  <c r="P804" i="2" s="1"/>
  <c r="J805" i="2"/>
  <c r="G805" i="2" s="1"/>
  <c r="H806" i="2" s="1"/>
  <c r="F1266" i="2"/>
  <c r="E1266" i="2"/>
  <c r="M805" i="2" l="1"/>
  <c r="N805" i="2" s="1"/>
  <c r="P805" i="2" s="1"/>
  <c r="K806" i="2"/>
  <c r="L806" i="2"/>
  <c r="J806" i="2"/>
  <c r="G806" i="2" s="1"/>
  <c r="E1267" i="2"/>
  <c r="F1267" i="2"/>
  <c r="L807" i="2" l="1"/>
  <c r="M806" i="2"/>
  <c r="N806" i="2" s="1"/>
  <c r="P806" i="2" s="1"/>
  <c r="J807" i="2"/>
  <c r="H807" i="2"/>
  <c r="K807" i="2" s="1"/>
  <c r="E1268" i="2"/>
  <c r="F1268" i="2"/>
  <c r="L808" i="2" l="1"/>
  <c r="G807" i="2"/>
  <c r="H808" i="2" s="1"/>
  <c r="K808" i="2" s="1"/>
  <c r="M807" i="2"/>
  <c r="N807" i="2" s="1"/>
  <c r="P807" i="2" s="1"/>
  <c r="E1269" i="2"/>
  <c r="F1269" i="2"/>
  <c r="J808" i="2" l="1"/>
  <c r="G808" i="2" s="1"/>
  <c r="H809" i="2" s="1"/>
  <c r="K809" i="2" s="1"/>
  <c r="M808" i="2"/>
  <c r="N808" i="2" s="1"/>
  <c r="P808" i="2" s="1"/>
  <c r="L809" i="2"/>
  <c r="F1270" i="2"/>
  <c r="E1270" i="2"/>
  <c r="J809" i="2" l="1"/>
  <c r="G809" i="2" s="1"/>
  <c r="J810" i="2" s="1"/>
  <c r="M809" i="2"/>
  <c r="N809" i="2" s="1"/>
  <c r="P809" i="2" s="1"/>
  <c r="L810" i="2"/>
  <c r="F1271" i="2"/>
  <c r="E1271" i="2"/>
  <c r="H810" i="2" l="1"/>
  <c r="K810" i="2" s="1"/>
  <c r="M810" i="2" s="1"/>
  <c r="N810" i="2" s="1"/>
  <c r="P810" i="2" s="1"/>
  <c r="E1272" i="2"/>
  <c r="F1272" i="2"/>
  <c r="L811" i="2" l="1"/>
  <c r="G810" i="2"/>
  <c r="E1273" i="2"/>
  <c r="F1273" i="2"/>
  <c r="J811" i="2" l="1"/>
  <c r="H811" i="2"/>
  <c r="F1274" i="2"/>
  <c r="E1274" i="2"/>
  <c r="K811" i="2" l="1"/>
  <c r="G811" i="2"/>
  <c r="F1275" i="2"/>
  <c r="E1275" i="2"/>
  <c r="M811" i="2" l="1"/>
  <c r="N811" i="2" s="1"/>
  <c r="P811" i="2" s="1"/>
  <c r="L812" i="2"/>
  <c r="H812" i="2"/>
  <c r="K812" i="2" s="1"/>
  <c r="J812" i="2"/>
  <c r="E1276" i="2"/>
  <c r="F1276" i="2"/>
  <c r="G812" i="2" l="1"/>
  <c r="J813" i="2" s="1"/>
  <c r="M812" i="2"/>
  <c r="N812" i="2" s="1"/>
  <c r="P812" i="2" s="1"/>
  <c r="L813" i="2"/>
  <c r="E1277" i="2"/>
  <c r="F1277" i="2"/>
  <c r="H813" i="2" l="1"/>
  <c r="K813" i="2" s="1"/>
  <c r="M813" i="2" s="1"/>
  <c r="N813" i="2" s="1"/>
  <c r="P813" i="2" s="1"/>
  <c r="F1278" i="2"/>
  <c r="E1278" i="2"/>
  <c r="L814" i="2" l="1"/>
  <c r="G813" i="2"/>
  <c r="H814" i="2" s="1"/>
  <c r="F1279" i="2"/>
  <c r="E1279" i="2"/>
  <c r="J814" i="2" l="1"/>
  <c r="G814" i="2" s="1"/>
  <c r="K814" i="2"/>
  <c r="E1280" i="2"/>
  <c r="F1280" i="2"/>
  <c r="J815" i="2" l="1"/>
  <c r="H815" i="2"/>
  <c r="M814" i="2"/>
  <c r="N814" i="2" s="1"/>
  <c r="P814" i="2" s="1"/>
  <c r="L815" i="2"/>
  <c r="E1281" i="2"/>
  <c r="F1281" i="2"/>
  <c r="K815" i="2" l="1"/>
  <c r="M815" i="2" s="1"/>
  <c r="N815" i="2" s="1"/>
  <c r="P815" i="2" s="1"/>
  <c r="G815" i="2"/>
  <c r="F1282" i="2"/>
  <c r="E1282" i="2"/>
  <c r="H816" i="2" l="1"/>
  <c r="J816" i="2"/>
  <c r="L816" i="2"/>
  <c r="E1283" i="2"/>
  <c r="F1283" i="2"/>
  <c r="K816" i="2" l="1"/>
  <c r="M816" i="2" s="1"/>
  <c r="N816" i="2" s="1"/>
  <c r="P816" i="2" s="1"/>
  <c r="G816" i="2"/>
  <c r="E1284" i="2"/>
  <c r="F1284" i="2"/>
  <c r="J817" i="2" l="1"/>
  <c r="H817" i="2"/>
  <c r="L817" i="2"/>
  <c r="E1285" i="2"/>
  <c r="F1285" i="2"/>
  <c r="K817" i="2" l="1"/>
  <c r="M817" i="2" s="1"/>
  <c r="N817" i="2" s="1"/>
  <c r="P817" i="2" s="1"/>
  <c r="G817" i="2"/>
  <c r="F1286" i="2"/>
  <c r="E1286" i="2"/>
  <c r="L818" i="2" l="1"/>
  <c r="H818" i="2"/>
  <c r="J818" i="2"/>
  <c r="F1287" i="2"/>
  <c r="E1287" i="2"/>
  <c r="K818" i="2" l="1"/>
  <c r="G818" i="2"/>
  <c r="E1288" i="2"/>
  <c r="F1288" i="2"/>
  <c r="J819" i="2" l="1"/>
  <c r="H819" i="2"/>
  <c r="M818" i="2"/>
  <c r="N818" i="2" s="1"/>
  <c r="P818" i="2" s="1"/>
  <c r="L819" i="2"/>
  <c r="F1289" i="2"/>
  <c r="E1289" i="2"/>
  <c r="K819" i="2" l="1"/>
  <c r="M819" i="2" s="1"/>
  <c r="N819" i="2" s="1"/>
  <c r="P819" i="2" s="1"/>
  <c r="G819" i="2"/>
  <c r="F1290" i="2"/>
  <c r="E1290" i="2"/>
  <c r="H820" i="2" l="1"/>
  <c r="K820" i="2" s="1"/>
  <c r="J820" i="2"/>
  <c r="L820" i="2"/>
  <c r="E1291" i="2"/>
  <c r="F1291" i="2"/>
  <c r="G820" i="2" l="1"/>
  <c r="J821" i="2" s="1"/>
  <c r="L821" i="2"/>
  <c r="M820" i="2"/>
  <c r="N820" i="2" s="1"/>
  <c r="P820" i="2" s="1"/>
  <c r="E1292" i="2"/>
  <c r="F1292" i="2"/>
  <c r="H821" i="2" l="1"/>
  <c r="K821" i="2" s="1"/>
  <c r="M821" i="2" s="1"/>
  <c r="N821" i="2" s="1"/>
  <c r="P821" i="2" s="1"/>
  <c r="E1293" i="2"/>
  <c r="F1293" i="2"/>
  <c r="G821" i="2" l="1"/>
  <c r="J822" i="2" s="1"/>
  <c r="L822" i="2"/>
  <c r="F1294" i="2"/>
  <c r="E1294" i="2"/>
  <c r="H822" i="2" l="1"/>
  <c r="K822" i="2" s="1"/>
  <c r="L823" i="2" s="1"/>
  <c r="F1295" i="2"/>
  <c r="E1295" i="2"/>
  <c r="M822" i="2" l="1"/>
  <c r="N822" i="2" s="1"/>
  <c r="P822" i="2" s="1"/>
  <c r="G822" i="2"/>
  <c r="J823" i="2" s="1"/>
  <c r="E1296" i="2"/>
  <c r="F1296" i="2"/>
  <c r="H823" i="2" l="1"/>
  <c r="G823" i="2" s="1"/>
  <c r="E1297" i="2"/>
  <c r="F1297" i="2"/>
  <c r="J824" i="2" l="1"/>
  <c r="H824" i="2"/>
  <c r="K823" i="2"/>
  <c r="M823" i="2" s="1"/>
  <c r="N823" i="2" s="1"/>
  <c r="P823" i="2" s="1"/>
  <c r="F1298" i="2"/>
  <c r="E1298" i="2"/>
  <c r="G824" i="2" l="1"/>
  <c r="H825" i="2" s="1"/>
  <c r="L824" i="2"/>
  <c r="K824" i="2"/>
  <c r="E1299" i="2"/>
  <c r="F1299" i="2"/>
  <c r="K825" i="2" l="1"/>
  <c r="J825" i="2"/>
  <c r="G825" i="2" s="1"/>
  <c r="J826" i="2" s="1"/>
  <c r="L825" i="2"/>
  <c r="M824" i="2"/>
  <c r="N824" i="2" s="1"/>
  <c r="P824" i="2" s="1"/>
  <c r="E1300" i="2"/>
  <c r="F1300" i="2"/>
  <c r="M825" i="2" l="1"/>
  <c r="N825" i="2" s="1"/>
  <c r="P825" i="2" s="1"/>
  <c r="H826" i="2"/>
  <c r="G826" i="2" s="1"/>
  <c r="J827" i="2" s="1"/>
  <c r="L826" i="2"/>
  <c r="E1301" i="2"/>
  <c r="F1301" i="2"/>
  <c r="K826" i="2" l="1"/>
  <c r="L827" i="2" s="1"/>
  <c r="H827" i="2"/>
  <c r="F1302" i="2"/>
  <c r="E1302" i="2"/>
  <c r="M826" i="2" l="1"/>
  <c r="N826" i="2" s="1"/>
  <c r="P826" i="2" s="1"/>
  <c r="K827" i="2"/>
  <c r="M827" i="2" s="1"/>
  <c r="N827" i="2" s="1"/>
  <c r="P827" i="2" s="1"/>
  <c r="G827" i="2"/>
  <c r="J828" i="2" s="1"/>
  <c r="F1303" i="2"/>
  <c r="E1303" i="2"/>
  <c r="L828" i="2" l="1"/>
  <c r="H828" i="2"/>
  <c r="K828" i="2" s="1"/>
  <c r="E1304" i="2"/>
  <c r="F1304" i="2"/>
  <c r="M828" i="2" l="1"/>
  <c r="N828" i="2" s="1"/>
  <c r="P828" i="2" s="1"/>
  <c r="L829" i="2"/>
  <c r="G828" i="2"/>
  <c r="E1305" i="2"/>
  <c r="F1305" i="2"/>
  <c r="J829" i="2" l="1"/>
  <c r="H829" i="2"/>
  <c r="F1306" i="2"/>
  <c r="E1306" i="2"/>
  <c r="K829" i="2" l="1"/>
  <c r="G829" i="2"/>
  <c r="E1307" i="2"/>
  <c r="F1307" i="2"/>
  <c r="H830" i="2" l="1"/>
  <c r="K830" i="2" s="1"/>
  <c r="J830" i="2"/>
  <c r="L830" i="2"/>
  <c r="M829" i="2"/>
  <c r="N829" i="2" s="1"/>
  <c r="P829" i="2" s="1"/>
  <c r="E1308" i="2"/>
  <c r="F1308" i="2"/>
  <c r="M830" i="2" l="1"/>
  <c r="N830" i="2" s="1"/>
  <c r="P830" i="2" s="1"/>
  <c r="L831" i="2"/>
  <c r="G830" i="2"/>
  <c r="E1309" i="2"/>
  <c r="F1309" i="2"/>
  <c r="J831" i="2" l="1"/>
  <c r="H831" i="2"/>
  <c r="K831" i="2" s="1"/>
  <c r="M831" i="2" s="1"/>
  <c r="N831" i="2" s="1"/>
  <c r="P831" i="2" s="1"/>
  <c r="F1310" i="2"/>
  <c r="E1310" i="2"/>
  <c r="L832" i="2" l="1"/>
  <c r="G831" i="2"/>
  <c r="F1311" i="2"/>
  <c r="E1311" i="2"/>
  <c r="J832" i="2" l="1"/>
  <c r="H832" i="2"/>
  <c r="K832" i="2" s="1"/>
  <c r="E1312" i="2"/>
  <c r="F1312" i="2"/>
  <c r="G832" i="2" l="1"/>
  <c r="M832" i="2"/>
  <c r="N832" i="2" s="1"/>
  <c r="P832" i="2" s="1"/>
  <c r="L833" i="2"/>
  <c r="E1313" i="2"/>
  <c r="F1313" i="2"/>
  <c r="J833" i="2" l="1"/>
  <c r="H833" i="2"/>
  <c r="F1314" i="2"/>
  <c r="E1314" i="2"/>
  <c r="G833" i="2" l="1"/>
  <c r="K833" i="2"/>
  <c r="E1315" i="2"/>
  <c r="F1315" i="2"/>
  <c r="M833" i="2" l="1"/>
  <c r="N833" i="2" s="1"/>
  <c r="P833" i="2" s="1"/>
  <c r="L834" i="2"/>
  <c r="J834" i="2"/>
  <c r="H834" i="2"/>
  <c r="K834" i="2" s="1"/>
  <c r="E1316" i="2"/>
  <c r="F1316" i="2"/>
  <c r="M834" i="2" l="1"/>
  <c r="N834" i="2" s="1"/>
  <c r="P834" i="2" s="1"/>
  <c r="G834" i="2"/>
  <c r="J835" i="2" s="1"/>
  <c r="L835" i="2"/>
  <c r="E1317" i="2"/>
  <c r="F1317" i="2"/>
  <c r="H835" i="2" l="1"/>
  <c r="K835" i="2" s="1"/>
  <c r="M835" i="2" s="1"/>
  <c r="N835" i="2" s="1"/>
  <c r="P835" i="2" s="1"/>
  <c r="F1318" i="2"/>
  <c r="E1318" i="2"/>
  <c r="L836" i="2" l="1"/>
  <c r="G835" i="2"/>
  <c r="F1319" i="2"/>
  <c r="E1319" i="2"/>
  <c r="J836" i="2" l="1"/>
  <c r="H836" i="2"/>
  <c r="E1320" i="2"/>
  <c r="F1320" i="2"/>
  <c r="K836" i="2" l="1"/>
  <c r="G836" i="2"/>
  <c r="E1321" i="2"/>
  <c r="F1321" i="2"/>
  <c r="H837" i="2" l="1"/>
  <c r="J837" i="2"/>
  <c r="M836" i="2"/>
  <c r="N836" i="2" s="1"/>
  <c r="P836" i="2" s="1"/>
  <c r="L837" i="2"/>
  <c r="F1322" i="2"/>
  <c r="E1322" i="2"/>
  <c r="G837" i="2" l="1"/>
  <c r="K837" i="2"/>
  <c r="M837" i="2" s="1"/>
  <c r="N837" i="2" s="1"/>
  <c r="P837" i="2" s="1"/>
  <c r="E1323" i="2"/>
  <c r="F1323" i="2"/>
  <c r="H838" i="2" l="1"/>
  <c r="K838" i="2" s="1"/>
  <c r="J838" i="2"/>
  <c r="L838" i="2"/>
  <c r="E1324" i="2"/>
  <c r="F1324" i="2"/>
  <c r="L839" i="2" l="1"/>
  <c r="G838" i="2"/>
  <c r="H839" i="2" s="1"/>
  <c r="K839" i="2" s="1"/>
  <c r="M838" i="2"/>
  <c r="N838" i="2" s="1"/>
  <c r="P838" i="2" s="1"/>
  <c r="E1325" i="2"/>
  <c r="F1325" i="2"/>
  <c r="J839" i="2" l="1"/>
  <c r="G839" i="2" s="1"/>
  <c r="H840" i="2" s="1"/>
  <c r="K840" i="2" s="1"/>
  <c r="M839" i="2"/>
  <c r="N839" i="2" s="1"/>
  <c r="P839" i="2" s="1"/>
  <c r="L840" i="2"/>
  <c r="F1326" i="2"/>
  <c r="E1326" i="2"/>
  <c r="J840" i="2" l="1"/>
  <c r="G840" i="2" s="1"/>
  <c r="J841" i="2" s="1"/>
  <c r="M840" i="2"/>
  <c r="N840" i="2" s="1"/>
  <c r="P840" i="2" s="1"/>
  <c r="L841" i="2"/>
  <c r="F1327" i="2"/>
  <c r="E1327" i="2"/>
  <c r="H841" i="2" l="1"/>
  <c r="G841" i="2" s="1"/>
  <c r="E1328" i="2"/>
  <c r="F1328" i="2"/>
  <c r="K841" i="2" l="1"/>
  <c r="M841" i="2" s="1"/>
  <c r="N841" i="2" s="1"/>
  <c r="P841" i="2" s="1"/>
  <c r="J842" i="2"/>
  <c r="H842" i="2"/>
  <c r="E1329" i="2"/>
  <c r="F1329" i="2"/>
  <c r="L842" i="2" l="1"/>
  <c r="G842" i="2"/>
  <c r="J843" i="2" s="1"/>
  <c r="K842" i="2"/>
  <c r="F1330" i="2"/>
  <c r="E1330" i="2"/>
  <c r="M842" i="2" l="1"/>
  <c r="N842" i="2" s="1"/>
  <c r="P842" i="2" s="1"/>
  <c r="H843" i="2"/>
  <c r="G843" i="2" s="1"/>
  <c r="J844" i="2" s="1"/>
  <c r="L843" i="2"/>
  <c r="E1331" i="2"/>
  <c r="F1331" i="2"/>
  <c r="H844" i="2" l="1"/>
  <c r="G844" i="2" s="1"/>
  <c r="K843" i="2"/>
  <c r="E1332" i="2"/>
  <c r="F1332" i="2"/>
  <c r="K844" i="2" l="1"/>
  <c r="M843" i="2"/>
  <c r="N843" i="2" s="1"/>
  <c r="P843" i="2" s="1"/>
  <c r="L844" i="2"/>
  <c r="H845" i="2"/>
  <c r="J845" i="2"/>
  <c r="E1333" i="2"/>
  <c r="F1333" i="2"/>
  <c r="L845" i="2" l="1"/>
  <c r="M844" i="2"/>
  <c r="N844" i="2" s="1"/>
  <c r="P844" i="2" s="1"/>
  <c r="K845" i="2"/>
  <c r="G845" i="2"/>
  <c r="H846" i="2" s="1"/>
  <c r="F1334" i="2"/>
  <c r="E1334" i="2"/>
  <c r="M845" i="2" l="1"/>
  <c r="N845" i="2" s="1"/>
  <c r="P845" i="2" s="1"/>
  <c r="L846" i="2"/>
  <c r="K846" i="2"/>
  <c r="J846" i="2"/>
  <c r="G846" i="2" s="1"/>
  <c r="F1335" i="2"/>
  <c r="E1335" i="2"/>
  <c r="M846" i="2" l="1"/>
  <c r="N846" i="2" s="1"/>
  <c r="P846" i="2" s="1"/>
  <c r="L847" i="2"/>
  <c r="H847" i="2"/>
  <c r="K847" i="2" s="1"/>
  <c r="J847" i="2"/>
  <c r="E1336" i="2"/>
  <c r="F1336" i="2"/>
  <c r="L848" i="2" l="1"/>
  <c r="M847" i="2"/>
  <c r="N847" i="2" s="1"/>
  <c r="P847" i="2" s="1"/>
  <c r="G847" i="2"/>
  <c r="H848" i="2" s="1"/>
  <c r="K848" i="2" s="1"/>
  <c r="E1337" i="2"/>
  <c r="F1337" i="2"/>
  <c r="J848" i="2" l="1"/>
  <c r="G848" i="2" s="1"/>
  <c r="J849" i="2" s="1"/>
  <c r="L849" i="2"/>
  <c r="M848" i="2"/>
  <c r="N848" i="2" s="1"/>
  <c r="P848" i="2" s="1"/>
  <c r="F1338" i="2"/>
  <c r="E1338" i="2"/>
  <c r="H849" i="2" l="1"/>
  <c r="K849" i="2" s="1"/>
  <c r="M849" i="2" s="1"/>
  <c r="N849" i="2" s="1"/>
  <c r="P849" i="2" s="1"/>
  <c r="F1339" i="2"/>
  <c r="E1339" i="2"/>
  <c r="G849" i="2" l="1"/>
  <c r="J850" i="2" s="1"/>
  <c r="L850" i="2"/>
  <c r="E1340" i="2"/>
  <c r="F1340" i="2"/>
  <c r="H850" i="2" l="1"/>
  <c r="K850" i="2" s="1"/>
  <c r="M850" i="2" s="1"/>
  <c r="N850" i="2" s="1"/>
  <c r="P850" i="2" s="1"/>
  <c r="E1341" i="2"/>
  <c r="F1341" i="2"/>
  <c r="L851" i="2" l="1"/>
  <c r="G850" i="2"/>
  <c r="J851" i="2" s="1"/>
  <c r="F1342" i="2"/>
  <c r="E1342" i="2"/>
  <c r="H851" i="2" l="1"/>
  <c r="K851" i="2" s="1"/>
  <c r="L852" i="2" s="1"/>
  <c r="F1343" i="2"/>
  <c r="E1343" i="2"/>
  <c r="M851" i="2" l="1"/>
  <c r="N851" i="2" s="1"/>
  <c r="P851" i="2" s="1"/>
  <c r="G851" i="2"/>
  <c r="E1344" i="2"/>
  <c r="F1344" i="2"/>
  <c r="H852" i="2" l="1"/>
  <c r="K852" i="2" s="1"/>
  <c r="J852" i="2"/>
  <c r="E1345" i="2"/>
  <c r="F1345" i="2"/>
  <c r="G852" i="2" l="1"/>
  <c r="J853" i="2" s="1"/>
  <c r="M852" i="2"/>
  <c r="N852" i="2" s="1"/>
  <c r="P852" i="2" s="1"/>
  <c r="L853" i="2"/>
  <c r="F1346" i="2"/>
  <c r="E1346" i="2"/>
  <c r="H853" i="2" l="1"/>
  <c r="K853" i="2" s="1"/>
  <c r="M853" i="2" s="1"/>
  <c r="N853" i="2" s="1"/>
  <c r="P853" i="2" s="1"/>
  <c r="E1347" i="2"/>
  <c r="F1347" i="2"/>
  <c r="G853" i="2" l="1"/>
  <c r="J854" i="2" s="1"/>
  <c r="L854" i="2"/>
  <c r="E1348" i="2"/>
  <c r="F1348" i="2"/>
  <c r="H854" i="2" l="1"/>
  <c r="G854" i="2" s="1"/>
  <c r="J855" i="2" s="1"/>
  <c r="E1349" i="2"/>
  <c r="F1349" i="2"/>
  <c r="K854" i="2" l="1"/>
  <c r="L855" i="2" s="1"/>
  <c r="H855" i="2"/>
  <c r="G855" i="2" s="1"/>
  <c r="F1350" i="2"/>
  <c r="E1350" i="2"/>
  <c r="M854" i="2" l="1"/>
  <c r="N854" i="2" s="1"/>
  <c r="P854" i="2" s="1"/>
  <c r="J856" i="2"/>
  <c r="H856" i="2"/>
  <c r="K855" i="2"/>
  <c r="M855" i="2" s="1"/>
  <c r="N855" i="2" s="1"/>
  <c r="P855" i="2" s="1"/>
  <c r="F1351" i="2"/>
  <c r="E1351" i="2"/>
  <c r="K856" i="2" l="1"/>
  <c r="G856" i="2"/>
  <c r="J857" i="2" s="1"/>
  <c r="L856" i="2"/>
  <c r="E1352" i="2"/>
  <c r="F1352" i="2"/>
  <c r="H857" i="2" l="1"/>
  <c r="K857" i="2" s="1"/>
  <c r="M856" i="2"/>
  <c r="N856" i="2" s="1"/>
  <c r="P856" i="2" s="1"/>
  <c r="L857" i="2"/>
  <c r="F1353" i="2"/>
  <c r="E1353" i="2"/>
  <c r="G857" i="2" l="1"/>
  <c r="J858" i="2" s="1"/>
  <c r="M857" i="2"/>
  <c r="N857" i="2" s="1"/>
  <c r="P857" i="2" s="1"/>
  <c r="L858" i="2"/>
  <c r="F1354" i="2"/>
  <c r="E1354" i="2"/>
  <c r="H858" i="2" l="1"/>
  <c r="G858" i="2" s="1"/>
  <c r="J859" i="2" s="1"/>
  <c r="E1355" i="2"/>
  <c r="F1355" i="2"/>
  <c r="K858" i="2" l="1"/>
  <c r="M858" i="2" s="1"/>
  <c r="N858" i="2" s="1"/>
  <c r="P858" i="2" s="1"/>
  <c r="H859" i="2"/>
  <c r="G859" i="2" s="1"/>
  <c r="H860" i="2" s="1"/>
  <c r="E1356" i="2"/>
  <c r="F1356" i="2"/>
  <c r="L859" i="2" l="1"/>
  <c r="J860" i="2"/>
  <c r="G860" i="2" s="1"/>
  <c r="K859" i="2"/>
  <c r="E1357" i="2"/>
  <c r="F1357" i="2"/>
  <c r="M859" i="2" l="1"/>
  <c r="N859" i="2" s="1"/>
  <c r="P859" i="2" s="1"/>
  <c r="K860" i="2"/>
  <c r="L860" i="2"/>
  <c r="J861" i="2"/>
  <c r="H861" i="2"/>
  <c r="F1358" i="2"/>
  <c r="E1358" i="2"/>
  <c r="K861" i="2" l="1"/>
  <c r="M860" i="2"/>
  <c r="N860" i="2" s="1"/>
  <c r="P860" i="2" s="1"/>
  <c r="L861" i="2"/>
  <c r="G861" i="2"/>
  <c r="J862" i="2" s="1"/>
  <c r="F1359" i="2"/>
  <c r="E1359" i="2"/>
  <c r="M861" i="2" l="1"/>
  <c r="N861" i="2" s="1"/>
  <c r="P861" i="2" s="1"/>
  <c r="L862" i="2"/>
  <c r="H862" i="2"/>
  <c r="K862" i="2" s="1"/>
  <c r="E1360" i="2"/>
  <c r="F1360" i="2"/>
  <c r="M862" i="2" l="1"/>
  <c r="N862" i="2" s="1"/>
  <c r="P862" i="2" s="1"/>
  <c r="G862" i="2"/>
  <c r="H863" i="2" s="1"/>
  <c r="K863" i="2" s="1"/>
  <c r="L863" i="2"/>
  <c r="E1361" i="2"/>
  <c r="F1361" i="2"/>
  <c r="J863" i="2" l="1"/>
  <c r="G863" i="2" s="1"/>
  <c r="J864" i="2" s="1"/>
  <c r="M863" i="2"/>
  <c r="N863" i="2" s="1"/>
  <c r="P863" i="2" s="1"/>
  <c r="L864" i="2"/>
  <c r="F1362" i="2"/>
  <c r="E1362" i="2"/>
  <c r="H864" i="2" l="1"/>
  <c r="K864" i="2" s="1"/>
  <c r="L865" i="2" s="1"/>
  <c r="E1363" i="2"/>
  <c r="F1363" i="2"/>
  <c r="G864" i="2" l="1"/>
  <c r="J865" i="2" s="1"/>
  <c r="M864" i="2"/>
  <c r="N864" i="2" s="1"/>
  <c r="P864" i="2" s="1"/>
  <c r="E1364" i="2"/>
  <c r="F1364" i="2"/>
  <c r="H865" i="2" l="1"/>
  <c r="K865" i="2" s="1"/>
  <c r="M865" i="2" s="1"/>
  <c r="N865" i="2" s="1"/>
  <c r="P865" i="2" s="1"/>
  <c r="E1365" i="2"/>
  <c r="F1365" i="2"/>
  <c r="G865" i="2" l="1"/>
  <c r="J866" i="2" s="1"/>
  <c r="L866" i="2"/>
  <c r="F1366" i="2"/>
  <c r="E1366" i="2"/>
  <c r="H866" i="2" l="1"/>
  <c r="K866" i="2" s="1"/>
  <c r="M866" i="2" s="1"/>
  <c r="N866" i="2" s="1"/>
  <c r="P866" i="2" s="1"/>
  <c r="F1367" i="2"/>
  <c r="E1367" i="2"/>
  <c r="L867" i="2" l="1"/>
  <c r="G866" i="2"/>
  <c r="H867" i="2" s="1"/>
  <c r="K867" i="2" s="1"/>
  <c r="E1368" i="2"/>
  <c r="F1368" i="2"/>
  <c r="M867" i="2" l="1"/>
  <c r="N867" i="2" s="1"/>
  <c r="P867" i="2" s="1"/>
  <c r="J867" i="2"/>
  <c r="G867" i="2" s="1"/>
  <c r="J868" i="2" s="1"/>
  <c r="L868" i="2"/>
  <c r="E1369" i="2"/>
  <c r="F1369" i="2"/>
  <c r="H868" i="2" l="1"/>
  <c r="K868" i="2" s="1"/>
  <c r="M868" i="2" s="1"/>
  <c r="N868" i="2" s="1"/>
  <c r="P868" i="2" s="1"/>
  <c r="F1370" i="2"/>
  <c r="E1370" i="2"/>
  <c r="G868" i="2" l="1"/>
  <c r="H869" i="2" s="1"/>
  <c r="K869" i="2" s="1"/>
  <c r="L869" i="2"/>
  <c r="E1371" i="2"/>
  <c r="F1371" i="2"/>
  <c r="L870" i="2" l="1"/>
  <c r="J869" i="2"/>
  <c r="G869" i="2" s="1"/>
  <c r="M869" i="2"/>
  <c r="N869" i="2" s="1"/>
  <c r="P869" i="2" s="1"/>
  <c r="E1372" i="2"/>
  <c r="F1372" i="2"/>
  <c r="H870" i="2" l="1"/>
  <c r="K870" i="2" s="1"/>
  <c r="J870" i="2"/>
  <c r="E1373" i="2"/>
  <c r="F1373" i="2"/>
  <c r="G870" i="2" l="1"/>
  <c r="J871" i="2" s="1"/>
  <c r="M870" i="2"/>
  <c r="N870" i="2" s="1"/>
  <c r="P870" i="2" s="1"/>
  <c r="L871" i="2"/>
  <c r="F1374" i="2"/>
  <c r="E1374" i="2"/>
  <c r="H871" i="2" l="1"/>
  <c r="K871" i="2" s="1"/>
  <c r="M871" i="2" s="1"/>
  <c r="N871" i="2" s="1"/>
  <c r="P871" i="2" s="1"/>
  <c r="F1375" i="2"/>
  <c r="E1375" i="2"/>
  <c r="G871" i="2" l="1"/>
  <c r="H872" i="2" s="1"/>
  <c r="K872" i="2" s="1"/>
  <c r="L872" i="2"/>
  <c r="E1376" i="2"/>
  <c r="F1376" i="2"/>
  <c r="M872" i="2" l="1"/>
  <c r="N872" i="2" s="1"/>
  <c r="P872" i="2" s="1"/>
  <c r="J872" i="2"/>
  <c r="G872" i="2" s="1"/>
  <c r="H873" i="2" s="1"/>
  <c r="K873" i="2" s="1"/>
  <c r="L873" i="2"/>
  <c r="E1377" i="2"/>
  <c r="F1377" i="2"/>
  <c r="M873" i="2" l="1"/>
  <c r="N873" i="2" s="1"/>
  <c r="P873" i="2" s="1"/>
  <c r="J873" i="2"/>
  <c r="G873" i="2" s="1"/>
  <c r="L874" i="2"/>
  <c r="F1378" i="2"/>
  <c r="E1378" i="2"/>
  <c r="J874" i="2" l="1"/>
  <c r="H874" i="2"/>
  <c r="K874" i="2" s="1"/>
  <c r="E1379" i="2"/>
  <c r="F1379" i="2"/>
  <c r="M874" i="2" l="1"/>
  <c r="N874" i="2" s="1"/>
  <c r="P874" i="2" s="1"/>
  <c r="G874" i="2"/>
  <c r="L875" i="2"/>
  <c r="E1380" i="2"/>
  <c r="F1380" i="2"/>
  <c r="H875" i="2" l="1"/>
  <c r="K875" i="2" s="1"/>
  <c r="J875" i="2"/>
  <c r="E1381" i="2"/>
  <c r="F1381" i="2"/>
  <c r="G875" i="2" l="1"/>
  <c r="J876" i="2" s="1"/>
  <c r="L876" i="2"/>
  <c r="M875" i="2"/>
  <c r="N875" i="2" s="1"/>
  <c r="P875" i="2" s="1"/>
  <c r="F1382" i="2"/>
  <c r="E1382" i="2"/>
  <c r="H876" i="2" l="1"/>
  <c r="K876" i="2" s="1"/>
  <c r="M876" i="2" s="1"/>
  <c r="N876" i="2" s="1"/>
  <c r="P876" i="2" s="1"/>
  <c r="F1383" i="2"/>
  <c r="E1383" i="2"/>
  <c r="G876" i="2" l="1"/>
  <c r="J877" i="2" s="1"/>
  <c r="L877" i="2"/>
  <c r="E1384" i="2"/>
  <c r="F1384" i="2"/>
  <c r="H877" i="2" l="1"/>
  <c r="G877" i="2" s="1"/>
  <c r="E1385" i="2"/>
  <c r="F1385" i="2"/>
  <c r="K877" i="2" l="1"/>
  <c r="M877" i="2" s="1"/>
  <c r="N877" i="2" s="1"/>
  <c r="P877" i="2" s="1"/>
  <c r="J878" i="2"/>
  <c r="H878" i="2"/>
  <c r="F1386" i="2"/>
  <c r="E1386" i="2"/>
  <c r="L878" i="2" l="1"/>
  <c r="G878" i="2"/>
  <c r="K878" i="2"/>
  <c r="E1387" i="2"/>
  <c r="F1387" i="2"/>
  <c r="L879" i="2" l="1"/>
  <c r="M878" i="2"/>
  <c r="N878" i="2" s="1"/>
  <c r="P878" i="2" s="1"/>
  <c r="J879" i="2"/>
  <c r="H879" i="2"/>
  <c r="K879" i="2" s="1"/>
  <c r="E1388" i="2"/>
  <c r="F1388" i="2"/>
  <c r="G879" i="2" l="1"/>
  <c r="H880" i="2" s="1"/>
  <c r="K880" i="2" s="1"/>
  <c r="M879" i="2"/>
  <c r="N879" i="2" s="1"/>
  <c r="P879" i="2" s="1"/>
  <c r="L880" i="2"/>
  <c r="E1389" i="2"/>
  <c r="F1389" i="2"/>
  <c r="J880" i="2" l="1"/>
  <c r="G880" i="2" s="1"/>
  <c r="J881" i="2" s="1"/>
  <c r="M880" i="2"/>
  <c r="N880" i="2" s="1"/>
  <c r="P880" i="2" s="1"/>
  <c r="L881" i="2"/>
  <c r="F1390" i="2"/>
  <c r="E1390" i="2"/>
  <c r="H881" i="2" l="1"/>
  <c r="K881" i="2" s="1"/>
  <c r="L882" i="2" s="1"/>
  <c r="F1391" i="2"/>
  <c r="E1391" i="2"/>
  <c r="M881" i="2" l="1"/>
  <c r="N881" i="2" s="1"/>
  <c r="P881" i="2" s="1"/>
  <c r="G881" i="2"/>
  <c r="H882" i="2" s="1"/>
  <c r="K882" i="2" s="1"/>
  <c r="M882" i="2" s="1"/>
  <c r="N882" i="2" s="1"/>
  <c r="P882" i="2" s="1"/>
  <c r="E1392" i="2"/>
  <c r="F1392" i="2"/>
  <c r="L883" i="2" l="1"/>
  <c r="J882" i="2"/>
  <c r="G882" i="2" s="1"/>
  <c r="J883" i="2" s="1"/>
  <c r="E1393" i="2"/>
  <c r="F1393" i="2"/>
  <c r="H883" i="2" l="1"/>
  <c r="G883" i="2" s="1"/>
  <c r="F1394" i="2"/>
  <c r="E1394" i="2"/>
  <c r="K883" i="2" l="1"/>
  <c r="M883" i="2" s="1"/>
  <c r="N883" i="2" s="1"/>
  <c r="P883" i="2" s="1"/>
  <c r="H884" i="2"/>
  <c r="J884" i="2"/>
  <c r="E1395" i="2"/>
  <c r="F1395" i="2"/>
  <c r="G884" i="2" l="1"/>
  <c r="H885" i="2" s="1"/>
  <c r="K884" i="2"/>
  <c r="L884" i="2"/>
  <c r="E1396" i="2"/>
  <c r="F1396" i="2"/>
  <c r="J885" i="2" l="1"/>
  <c r="G885" i="2" s="1"/>
  <c r="J886" i="2" s="1"/>
  <c r="M884" i="2"/>
  <c r="N884" i="2" s="1"/>
  <c r="P884" i="2" s="1"/>
  <c r="L885" i="2"/>
  <c r="K885" i="2"/>
  <c r="E1397" i="2"/>
  <c r="F1397" i="2"/>
  <c r="M885" i="2" l="1"/>
  <c r="N885" i="2" s="1"/>
  <c r="P885" i="2" s="1"/>
  <c r="L886" i="2"/>
  <c r="H886" i="2"/>
  <c r="K886" i="2" s="1"/>
  <c r="F1398" i="2"/>
  <c r="E1398" i="2"/>
  <c r="L887" i="2" l="1"/>
  <c r="G886" i="2"/>
  <c r="J887" i="2" s="1"/>
  <c r="M886" i="2"/>
  <c r="N886" i="2" s="1"/>
  <c r="P886" i="2" s="1"/>
  <c r="F1399" i="2"/>
  <c r="E1399" i="2"/>
  <c r="H887" i="2" l="1"/>
  <c r="K887" i="2" s="1"/>
  <c r="M887" i="2" s="1"/>
  <c r="N887" i="2" s="1"/>
  <c r="P887" i="2" s="1"/>
  <c r="E1400" i="2"/>
  <c r="F1400" i="2"/>
  <c r="G887" i="2" l="1"/>
  <c r="J888" i="2" s="1"/>
  <c r="L888" i="2"/>
  <c r="E1401" i="2"/>
  <c r="F1401" i="2"/>
  <c r="H888" i="2" l="1"/>
  <c r="K888" i="2" s="1"/>
  <c r="F1402" i="2"/>
  <c r="E1402" i="2"/>
  <c r="G888" i="2" l="1"/>
  <c r="J889" i="2" s="1"/>
  <c r="M888" i="2"/>
  <c r="N888" i="2" s="1"/>
  <c r="P888" i="2" s="1"/>
  <c r="L889" i="2"/>
  <c r="F1403" i="2"/>
  <c r="E1403" i="2"/>
  <c r="H889" i="2" l="1"/>
  <c r="K889" i="2" s="1"/>
  <c r="M889" i="2" s="1"/>
  <c r="N889" i="2" s="1"/>
  <c r="P889" i="2" s="1"/>
  <c r="E1404" i="2"/>
  <c r="F1404" i="2"/>
  <c r="G889" i="2" l="1"/>
  <c r="J890" i="2" s="1"/>
  <c r="L890" i="2"/>
  <c r="E1405" i="2"/>
  <c r="F1405" i="2"/>
  <c r="H890" i="2" l="1"/>
  <c r="K890" i="2" s="1"/>
  <c r="M890" i="2" s="1"/>
  <c r="N890" i="2" s="1"/>
  <c r="P890" i="2" s="1"/>
  <c r="F1406" i="2"/>
  <c r="E1406" i="2"/>
  <c r="G890" i="2" l="1"/>
  <c r="H891" i="2" s="1"/>
  <c r="K891" i="2" s="1"/>
  <c r="L891" i="2"/>
  <c r="F1407" i="2"/>
  <c r="E1407" i="2"/>
  <c r="M891" i="2" l="1"/>
  <c r="N891" i="2" s="1"/>
  <c r="P891" i="2" s="1"/>
  <c r="J891" i="2"/>
  <c r="G891" i="2" s="1"/>
  <c r="J892" i="2" s="1"/>
  <c r="L892" i="2"/>
  <c r="E1408" i="2"/>
  <c r="F1408" i="2"/>
  <c r="H892" i="2" l="1"/>
  <c r="K892" i="2" s="1"/>
  <c r="M892" i="2" s="1"/>
  <c r="N892" i="2" s="1"/>
  <c r="P892" i="2" s="1"/>
  <c r="E1409" i="2"/>
  <c r="F1409" i="2"/>
  <c r="L893" i="2" l="1"/>
  <c r="G892" i="2"/>
  <c r="H893" i="2" s="1"/>
  <c r="K893" i="2" s="1"/>
  <c r="F1410" i="2"/>
  <c r="E1410" i="2"/>
  <c r="M893" i="2" l="1"/>
  <c r="N893" i="2" s="1"/>
  <c r="P893" i="2" s="1"/>
  <c r="J893" i="2"/>
  <c r="G893" i="2" s="1"/>
  <c r="L894" i="2"/>
  <c r="E1411" i="2"/>
  <c r="F1411" i="2"/>
  <c r="H894" i="2" l="1"/>
  <c r="K894" i="2" s="1"/>
  <c r="M894" i="2" s="1"/>
  <c r="N894" i="2" s="1"/>
  <c r="P894" i="2" s="1"/>
  <c r="J894" i="2"/>
  <c r="F1412" i="2"/>
  <c r="E1412" i="2"/>
  <c r="G894" i="2" l="1"/>
  <c r="J895" i="2" s="1"/>
  <c r="L895" i="2"/>
  <c r="E1413" i="2"/>
  <c r="F1413" i="2"/>
  <c r="H895" i="2" l="1"/>
  <c r="K895" i="2" s="1"/>
  <c r="L896" i="2" s="1"/>
  <c r="E1414" i="2"/>
  <c r="F1414" i="2"/>
  <c r="G895" i="2" l="1"/>
  <c r="H896" i="2" s="1"/>
  <c r="M895" i="2"/>
  <c r="N895" i="2" s="1"/>
  <c r="P895" i="2" s="1"/>
  <c r="E1415" i="2"/>
  <c r="F1415" i="2"/>
  <c r="J896" i="2" l="1"/>
  <c r="G896" i="2" s="1"/>
  <c r="K896" i="2"/>
  <c r="E1416" i="2"/>
  <c r="F1416" i="2"/>
  <c r="H897" i="2" l="1"/>
  <c r="K897" i="2" s="1"/>
  <c r="J897" i="2"/>
  <c r="L897" i="2"/>
  <c r="M896" i="2"/>
  <c r="N896" i="2" s="1"/>
  <c r="P896" i="2" s="1"/>
  <c r="F1417" i="2"/>
  <c r="E1417" i="2"/>
  <c r="M897" i="2" l="1"/>
  <c r="N897" i="2" s="1"/>
  <c r="P897" i="2" s="1"/>
  <c r="L898" i="2"/>
  <c r="G897" i="2"/>
  <c r="E1418" i="2"/>
  <c r="F1418" i="2"/>
  <c r="J898" i="2" l="1"/>
  <c r="H898" i="2"/>
  <c r="K898" i="2" s="1"/>
  <c r="M898" i="2" s="1"/>
  <c r="N898" i="2" s="1"/>
  <c r="P898" i="2" s="1"/>
  <c r="F1419" i="2"/>
  <c r="E1419" i="2"/>
  <c r="G898" i="2" l="1"/>
  <c r="J899" i="2" s="1"/>
  <c r="L899" i="2"/>
  <c r="E1420" i="2"/>
  <c r="F1420" i="2"/>
  <c r="H899" i="2" l="1"/>
  <c r="K899" i="2" s="1"/>
  <c r="M899" i="2" s="1"/>
  <c r="N899" i="2" s="1"/>
  <c r="P899" i="2" s="1"/>
  <c r="E1421" i="2"/>
  <c r="F1421" i="2"/>
  <c r="G899" i="2" l="1"/>
  <c r="H900" i="2" s="1"/>
  <c r="K900" i="2" s="1"/>
  <c r="L900" i="2"/>
  <c r="F1422" i="2"/>
  <c r="E1422" i="2"/>
  <c r="J900" i="2" l="1"/>
  <c r="G900" i="2" s="1"/>
  <c r="J901" i="2" s="1"/>
  <c r="M900" i="2"/>
  <c r="N900" i="2" s="1"/>
  <c r="P900" i="2" s="1"/>
  <c r="L901" i="2"/>
  <c r="E1423" i="2"/>
  <c r="F1423" i="2"/>
  <c r="H901" i="2" l="1"/>
  <c r="K901" i="2" s="1"/>
  <c r="M901" i="2" s="1"/>
  <c r="N901" i="2" s="1"/>
  <c r="P901" i="2" s="1"/>
  <c r="G901" i="2" l="1"/>
  <c r="J902" i="2" s="1"/>
  <c r="L902" i="2"/>
  <c r="H902" i="2" l="1"/>
  <c r="K902" i="2" s="1"/>
  <c r="M902" i="2" s="1"/>
  <c r="N902" i="2" s="1"/>
  <c r="P902" i="2" s="1"/>
  <c r="G902" i="2" l="1"/>
  <c r="H903" i="2" s="1"/>
  <c r="K903" i="2" s="1"/>
  <c r="L903" i="2"/>
  <c r="J903" i="2" l="1"/>
  <c r="G903" i="2" s="1"/>
  <c r="J904" i="2" s="1"/>
  <c r="L904" i="2"/>
  <c r="M903" i="2"/>
  <c r="N903" i="2" s="1"/>
  <c r="P903" i="2" s="1"/>
  <c r="H904" i="2" l="1"/>
  <c r="G904" i="2" s="1"/>
  <c r="J905" i="2" s="1"/>
  <c r="H905" i="2" l="1"/>
  <c r="G905" i="2" s="1"/>
  <c r="J906" i="2" s="1"/>
  <c r="K904" i="2"/>
  <c r="M904" i="2" s="1"/>
  <c r="N904" i="2" s="1"/>
  <c r="P904" i="2" s="1"/>
  <c r="L905" i="2" l="1"/>
  <c r="K905" i="2"/>
  <c r="H906" i="2"/>
  <c r="G906" i="2" s="1"/>
  <c r="H907" i="2" s="1"/>
  <c r="M905" i="2" l="1"/>
  <c r="N905" i="2" s="1"/>
  <c r="P905" i="2" s="1"/>
  <c r="L906" i="2"/>
  <c r="K906" i="2"/>
  <c r="J907" i="2"/>
  <c r="G907" i="2" s="1"/>
  <c r="M906" i="2" l="1"/>
  <c r="N906" i="2" s="1"/>
  <c r="P906" i="2" s="1"/>
  <c r="L907" i="2"/>
  <c r="K907" i="2"/>
  <c r="H908" i="2"/>
  <c r="J908" i="2"/>
  <c r="M907" i="2" l="1"/>
  <c r="N907" i="2" s="1"/>
  <c r="P907" i="2" s="1"/>
  <c r="L908" i="2"/>
  <c r="K908" i="2"/>
  <c r="G908" i="2"/>
  <c r="H909" i="2" s="1"/>
  <c r="M908" i="2" l="1"/>
  <c r="N908" i="2" s="1"/>
  <c r="P908" i="2" s="1"/>
  <c r="L909" i="2"/>
  <c r="K909" i="2"/>
  <c r="J909" i="2"/>
  <c r="G909" i="2" s="1"/>
  <c r="H910" i="2" s="1"/>
  <c r="M909" i="2" l="1"/>
  <c r="N909" i="2" s="1"/>
  <c r="P909" i="2" s="1"/>
  <c r="L910" i="2"/>
  <c r="K910" i="2"/>
  <c r="J910" i="2"/>
  <c r="G910" i="2" s="1"/>
  <c r="H911" i="2" s="1"/>
  <c r="M910" i="2" l="1"/>
  <c r="N910" i="2" s="1"/>
  <c r="P910" i="2" s="1"/>
  <c r="L911" i="2"/>
  <c r="J911" i="2"/>
  <c r="G911" i="2" s="1"/>
  <c r="K911" i="2"/>
  <c r="M911" i="2" l="1"/>
  <c r="N911" i="2" s="1"/>
  <c r="P911" i="2" s="1"/>
  <c r="L912" i="2"/>
  <c r="J912" i="2"/>
  <c r="H912" i="2"/>
  <c r="K912" i="2" l="1"/>
  <c r="M912" i="2" s="1"/>
  <c r="N912" i="2" s="1"/>
  <c r="P912" i="2" s="1"/>
  <c r="G912" i="2"/>
  <c r="L913" i="2" l="1"/>
  <c r="J913" i="2"/>
  <c r="H913" i="2"/>
  <c r="K913" i="2" s="1"/>
  <c r="M913" i="2" l="1"/>
  <c r="N913" i="2" s="1"/>
  <c r="P913" i="2" s="1"/>
  <c r="G913" i="2"/>
  <c r="J914" i="2" s="1"/>
  <c r="L914" i="2"/>
  <c r="H914" i="2" l="1"/>
  <c r="K914" i="2" s="1"/>
  <c r="L915" i="2" s="1"/>
  <c r="M914" i="2" l="1"/>
  <c r="N914" i="2" s="1"/>
  <c r="P914" i="2" s="1"/>
  <c r="G914" i="2"/>
  <c r="J915" i="2" s="1"/>
  <c r="H915" i="2" l="1"/>
  <c r="K915" i="2" s="1"/>
  <c r="M915" i="2" s="1"/>
  <c r="N915" i="2" s="1"/>
  <c r="P915" i="2" s="1"/>
  <c r="G915" i="2" l="1"/>
  <c r="J916" i="2" s="1"/>
  <c r="L916" i="2"/>
  <c r="H916" i="2" l="1"/>
  <c r="K916" i="2" s="1"/>
  <c r="L917" i="2" s="1"/>
  <c r="M916" i="2" l="1"/>
  <c r="N916" i="2" s="1"/>
  <c r="P916" i="2" s="1"/>
  <c r="G916" i="2"/>
  <c r="J917" i="2" l="1"/>
  <c r="H917" i="2"/>
  <c r="G917" i="2" l="1"/>
  <c r="K917" i="2"/>
  <c r="H918" i="2" l="1"/>
  <c r="J918" i="2"/>
  <c r="M917" i="2"/>
  <c r="N917" i="2" s="1"/>
  <c r="P917" i="2" s="1"/>
  <c r="L918" i="2"/>
  <c r="G918" i="2" l="1"/>
  <c r="J919" i="2" s="1"/>
  <c r="K918" i="2"/>
  <c r="H919" i="2" l="1"/>
  <c r="G919" i="2" s="1"/>
  <c r="J920" i="2" s="1"/>
  <c r="M918" i="2"/>
  <c r="N918" i="2" s="1"/>
  <c r="P918" i="2" s="1"/>
  <c r="L919" i="2"/>
  <c r="K919" i="2" l="1"/>
  <c r="L920" i="2" s="1"/>
  <c r="H920" i="2"/>
  <c r="G920" i="2" s="1"/>
  <c r="H921" i="2" s="1"/>
  <c r="K920" i="2" l="1"/>
  <c r="M920" i="2" s="1"/>
  <c r="N920" i="2" s="1"/>
  <c r="P920" i="2" s="1"/>
  <c r="M919" i="2"/>
  <c r="N919" i="2" s="1"/>
  <c r="P919" i="2" s="1"/>
  <c r="J921" i="2"/>
  <c r="G921" i="2" s="1"/>
  <c r="J922" i="2" s="1"/>
  <c r="K921" i="2" l="1"/>
  <c r="L921" i="2"/>
  <c r="H922" i="2"/>
  <c r="G922" i="2" s="1"/>
  <c r="H923" i="2" s="1"/>
  <c r="L922" i="2" l="1"/>
  <c r="K922" i="2"/>
  <c r="K923" i="2" s="1"/>
  <c r="M921" i="2"/>
  <c r="N921" i="2" s="1"/>
  <c r="P921" i="2" s="1"/>
  <c r="J923" i="2"/>
  <c r="G923" i="2" s="1"/>
  <c r="M922" i="2" l="1"/>
  <c r="N922" i="2" s="1"/>
  <c r="P922" i="2" s="1"/>
  <c r="L923" i="2"/>
  <c r="M923" i="2" s="1"/>
  <c r="N923" i="2" s="1"/>
  <c r="P923" i="2" s="1"/>
  <c r="J924" i="2"/>
  <c r="H924" i="2"/>
  <c r="K924" i="2" s="1"/>
  <c r="L924" i="2" l="1"/>
  <c r="M924" i="2" s="1"/>
  <c r="N924" i="2" s="1"/>
  <c r="P924" i="2" s="1"/>
  <c r="G924" i="2"/>
  <c r="L925" i="2" l="1"/>
  <c r="J925" i="2"/>
  <c r="H925" i="2"/>
  <c r="G925" i="2" l="1"/>
  <c r="K925" i="2"/>
  <c r="M925" i="2" l="1"/>
  <c r="N925" i="2" s="1"/>
  <c r="P925" i="2" s="1"/>
  <c r="L926" i="2"/>
  <c r="H926" i="2"/>
  <c r="J926" i="2"/>
  <c r="G926" i="2" l="1"/>
  <c r="K926" i="2"/>
  <c r="M926" i="2" l="1"/>
  <c r="N926" i="2" s="1"/>
  <c r="P926" i="2" s="1"/>
  <c r="L927" i="2"/>
  <c r="H927" i="2"/>
  <c r="J927" i="2"/>
  <c r="K927" i="2" l="1"/>
  <c r="L928" i="2" s="1"/>
  <c r="G927" i="2"/>
  <c r="J928" i="2" l="1"/>
  <c r="H928" i="2"/>
  <c r="K928" i="2" s="1"/>
  <c r="M928" i="2" s="1"/>
  <c r="N928" i="2" s="1"/>
  <c r="P928" i="2" s="1"/>
  <c r="M927" i="2"/>
  <c r="N927" i="2" s="1"/>
  <c r="P927" i="2" s="1"/>
  <c r="G928" i="2" l="1"/>
  <c r="J929" i="2" s="1"/>
  <c r="L929" i="2"/>
  <c r="H929" i="2" l="1"/>
  <c r="G929" i="2" s="1"/>
  <c r="K929" i="2" l="1"/>
  <c r="M929" i="2" s="1"/>
  <c r="N929" i="2" s="1"/>
  <c r="P929" i="2" s="1"/>
  <c r="J930" i="2"/>
  <c r="H930" i="2"/>
  <c r="L930" i="2" l="1"/>
  <c r="K930" i="2"/>
  <c r="G930" i="2"/>
  <c r="M930" i="2" l="1"/>
  <c r="N930" i="2" s="1"/>
  <c r="P930" i="2" s="1"/>
  <c r="H931" i="2"/>
  <c r="J931" i="2"/>
  <c r="L931" i="2"/>
  <c r="K931" i="2" l="1"/>
  <c r="M931" i="2" s="1"/>
  <c r="N931" i="2" s="1"/>
  <c r="P931" i="2" s="1"/>
  <c r="G931" i="2"/>
  <c r="J932" i="2" l="1"/>
  <c r="H932" i="2"/>
  <c r="L932" i="2"/>
  <c r="K932" i="2" l="1"/>
  <c r="M932" i="2" s="1"/>
  <c r="N932" i="2" s="1"/>
  <c r="P932" i="2" s="1"/>
  <c r="G932" i="2"/>
  <c r="J933" i="2" l="1"/>
  <c r="H933" i="2"/>
  <c r="L933" i="2"/>
  <c r="K933" i="2" l="1"/>
  <c r="M933" i="2" s="1"/>
  <c r="N933" i="2" s="1"/>
  <c r="P933" i="2" s="1"/>
  <c r="G933" i="2"/>
  <c r="J934" i="2" l="1"/>
  <c r="H934" i="2"/>
  <c r="L934" i="2"/>
  <c r="G934" i="2" l="1"/>
  <c r="J935" i="2" s="1"/>
  <c r="K934" i="2"/>
  <c r="H935" i="2" l="1"/>
  <c r="G935" i="2" s="1"/>
  <c r="J936" i="2" s="1"/>
  <c r="L935" i="2"/>
  <c r="M934" i="2"/>
  <c r="N934" i="2" s="1"/>
  <c r="P934" i="2" s="1"/>
  <c r="H936" i="2" l="1"/>
  <c r="G936" i="2" s="1"/>
  <c r="J937" i="2" s="1"/>
  <c r="K935" i="2"/>
  <c r="K936" i="2" l="1"/>
  <c r="L936" i="2"/>
  <c r="M935" i="2"/>
  <c r="N935" i="2" s="1"/>
  <c r="P935" i="2" s="1"/>
  <c r="H937" i="2"/>
  <c r="G937" i="2" s="1"/>
  <c r="J938" i="2" s="1"/>
  <c r="L937" i="2" l="1"/>
  <c r="K937" i="2"/>
  <c r="M936" i="2"/>
  <c r="N936" i="2" s="1"/>
  <c r="P936" i="2" s="1"/>
  <c r="H938" i="2"/>
  <c r="M937" i="2" l="1"/>
  <c r="N937" i="2" s="1"/>
  <c r="P937" i="2" s="1"/>
  <c r="L938" i="2"/>
  <c r="K938" i="2"/>
  <c r="G938" i="2"/>
  <c r="H939" i="2" s="1"/>
  <c r="L939" i="2" l="1"/>
  <c r="M938" i="2"/>
  <c r="N938" i="2" s="1"/>
  <c r="P938" i="2" s="1"/>
  <c r="J939" i="2"/>
  <c r="G939" i="2" s="1"/>
  <c r="J940" i="2" s="1"/>
  <c r="K939" i="2"/>
  <c r="H940" i="2" l="1"/>
  <c r="G940" i="2" s="1"/>
  <c r="M939" i="2"/>
  <c r="N939" i="2" s="1"/>
  <c r="P939" i="2" s="1"/>
  <c r="L940" i="2"/>
  <c r="H941" i="2" l="1"/>
  <c r="J941" i="2"/>
  <c r="K940" i="2"/>
  <c r="L941" i="2" s="1"/>
  <c r="M940" i="2" l="1"/>
  <c r="N940" i="2" s="1"/>
  <c r="P940" i="2" s="1"/>
  <c r="G941" i="2"/>
  <c r="H942" i="2" s="1"/>
  <c r="K941" i="2"/>
  <c r="L942" i="2" s="1"/>
  <c r="J942" i="2" l="1"/>
  <c r="G942" i="2" s="1"/>
  <c r="H943" i="2" s="1"/>
  <c r="M941" i="2"/>
  <c r="N941" i="2" s="1"/>
  <c r="P941" i="2" s="1"/>
  <c r="K942" i="2"/>
  <c r="M942" i="2" s="1"/>
  <c r="N942" i="2" s="1"/>
  <c r="P942" i="2" s="1"/>
  <c r="L943" i="2" l="1"/>
  <c r="K943" i="2"/>
  <c r="J943" i="2"/>
  <c r="G943" i="2" s="1"/>
  <c r="H944" i="2" s="1"/>
  <c r="L944" i="2" l="1"/>
  <c r="M943" i="2"/>
  <c r="N943" i="2" s="1"/>
  <c r="P943" i="2" s="1"/>
  <c r="J944" i="2"/>
  <c r="G944" i="2" s="1"/>
  <c r="K944" i="2"/>
  <c r="M944" i="2" l="1"/>
  <c r="N944" i="2" s="1"/>
  <c r="P944" i="2" s="1"/>
  <c r="L945" i="2"/>
  <c r="J945" i="2"/>
  <c r="H945" i="2"/>
  <c r="G945" i="2" l="1"/>
  <c r="J946" i="2" s="1"/>
  <c r="K945" i="2"/>
  <c r="L946" i="2" s="1"/>
  <c r="H946" i="2" l="1"/>
  <c r="K946" i="2" s="1"/>
  <c r="M946" i="2" s="1"/>
  <c r="N946" i="2" s="1"/>
  <c r="P946" i="2" s="1"/>
  <c r="M945" i="2"/>
  <c r="N945" i="2" s="1"/>
  <c r="P945" i="2" s="1"/>
  <c r="G946" i="2" l="1"/>
  <c r="H947" i="2" s="1"/>
  <c r="K947" i="2" s="1"/>
  <c r="L947" i="2"/>
  <c r="J947" i="2" l="1"/>
  <c r="G947" i="2" s="1"/>
  <c r="J948" i="2" s="1"/>
  <c r="M947" i="2"/>
  <c r="N947" i="2" s="1"/>
  <c r="P947" i="2" s="1"/>
  <c r="L948" i="2"/>
  <c r="H948" i="2" l="1"/>
  <c r="K948" i="2" s="1"/>
  <c r="L949" i="2" s="1"/>
  <c r="G948" i="2" l="1"/>
  <c r="H949" i="2" s="1"/>
  <c r="K949" i="2" s="1"/>
  <c r="M949" i="2" s="1"/>
  <c r="N949" i="2" s="1"/>
  <c r="P949" i="2" s="1"/>
  <c r="M948" i="2"/>
  <c r="N948" i="2" s="1"/>
  <c r="P948" i="2" s="1"/>
  <c r="J949" i="2" l="1"/>
  <c r="G949" i="2" s="1"/>
  <c r="H950" i="2" s="1"/>
  <c r="K950" i="2" s="1"/>
  <c r="L950" i="2"/>
  <c r="J950" i="2" l="1"/>
  <c r="G950" i="2" s="1"/>
  <c r="J951" i="2" s="1"/>
  <c r="L951" i="2"/>
  <c r="M950" i="2"/>
  <c r="N950" i="2" s="1"/>
  <c r="P950" i="2" s="1"/>
  <c r="H951" i="2" l="1"/>
  <c r="G951" i="2" s="1"/>
  <c r="H952" i="2" s="1"/>
  <c r="K951" i="2" l="1"/>
  <c r="K952" i="2" s="1"/>
  <c r="J952" i="2"/>
  <c r="G952" i="2" s="1"/>
  <c r="H953" i="2" s="1"/>
  <c r="M951" i="2" l="1"/>
  <c r="N951" i="2" s="1"/>
  <c r="P951" i="2" s="1"/>
  <c r="L952" i="2"/>
  <c r="L953" i="2" s="1"/>
  <c r="K953" i="2"/>
  <c r="J953" i="2"/>
  <c r="G953" i="2" s="1"/>
  <c r="H954" i="2" s="1"/>
  <c r="M952" i="2" l="1"/>
  <c r="N952" i="2" s="1"/>
  <c r="P952" i="2" s="1"/>
  <c r="K954" i="2"/>
  <c r="M953" i="2"/>
  <c r="N953" i="2" s="1"/>
  <c r="P953" i="2" s="1"/>
  <c r="L954" i="2"/>
  <c r="J954" i="2"/>
  <c r="G954" i="2" s="1"/>
  <c r="M954" i="2" l="1"/>
  <c r="N954" i="2" s="1"/>
  <c r="P954" i="2" s="1"/>
  <c r="L955" i="2"/>
  <c r="J955" i="2"/>
  <c r="H955" i="2"/>
  <c r="K955" i="2" s="1"/>
  <c r="M955" i="2" l="1"/>
  <c r="N955" i="2" s="1"/>
  <c r="P955" i="2" s="1"/>
  <c r="G955" i="2"/>
  <c r="J956" i="2" s="1"/>
  <c r="L956" i="2"/>
  <c r="H956" i="2" l="1"/>
  <c r="K956" i="2" s="1"/>
  <c r="L957" i="2" s="1"/>
  <c r="M956" i="2" l="1"/>
  <c r="N956" i="2" s="1"/>
  <c r="P956" i="2" s="1"/>
  <c r="G956" i="2"/>
  <c r="J957" i="2" s="1"/>
  <c r="H957" i="2" l="1"/>
  <c r="K957" i="2" s="1"/>
  <c r="M957" i="2" s="1"/>
  <c r="N957" i="2" s="1"/>
  <c r="P957" i="2" s="1"/>
  <c r="G957" i="2" l="1"/>
  <c r="J958" i="2" s="1"/>
  <c r="L958" i="2"/>
  <c r="H958" i="2" l="1"/>
  <c r="K958" i="2" s="1"/>
  <c r="G958" i="2" l="1"/>
  <c r="H959" i="2" s="1"/>
  <c r="M958" i="2"/>
  <c r="N958" i="2" s="1"/>
  <c r="P958" i="2" s="1"/>
  <c r="L959" i="2"/>
  <c r="J959" i="2" l="1"/>
  <c r="G959" i="2" s="1"/>
  <c r="K959" i="2"/>
  <c r="M959" i="2" s="1"/>
  <c r="N959" i="2" s="1"/>
  <c r="P959" i="2" s="1"/>
  <c r="J960" i="2" l="1"/>
  <c r="H960" i="2"/>
  <c r="K960" i="2" s="1"/>
  <c r="L960" i="2"/>
  <c r="M960" i="2" l="1"/>
  <c r="N960" i="2" s="1"/>
  <c r="P960" i="2" s="1"/>
  <c r="L961" i="2"/>
  <c r="G960" i="2"/>
  <c r="J961" i="2" s="1"/>
  <c r="H961" i="2" l="1"/>
  <c r="K961" i="2" s="1"/>
  <c r="M961" i="2" s="1"/>
  <c r="N961" i="2" s="1"/>
  <c r="P961" i="2" s="1"/>
  <c r="L962" i="2" l="1"/>
  <c r="G961" i="2"/>
  <c r="J962" i="2" l="1"/>
  <c r="H962" i="2"/>
  <c r="K962" i="2" s="1"/>
  <c r="G962" i="2" l="1"/>
  <c r="H963" i="2" s="1"/>
  <c r="L963" i="2"/>
  <c r="M962" i="2"/>
  <c r="N962" i="2" s="1"/>
  <c r="P962" i="2" s="1"/>
  <c r="J963" i="2" l="1"/>
  <c r="G963" i="2" s="1"/>
  <c r="J964" i="2" s="1"/>
  <c r="K963" i="2"/>
  <c r="H964" i="2" l="1"/>
  <c r="G964" i="2" s="1"/>
  <c r="M963" i="2"/>
  <c r="N963" i="2" s="1"/>
  <c r="P963" i="2" s="1"/>
  <c r="L964" i="2"/>
  <c r="K964" i="2" l="1"/>
  <c r="M964" i="2" s="1"/>
  <c r="N964" i="2" s="1"/>
  <c r="P964" i="2" s="1"/>
  <c r="J965" i="2"/>
  <c r="H965" i="2"/>
  <c r="L965" i="2" l="1"/>
  <c r="K965" i="2"/>
  <c r="G965" i="2"/>
  <c r="L966" i="2" l="1"/>
  <c r="M965" i="2"/>
  <c r="N965" i="2" s="1"/>
  <c r="P965" i="2" s="1"/>
  <c r="J966" i="2"/>
  <c r="H966" i="2"/>
  <c r="K966" i="2" l="1"/>
  <c r="G966" i="2"/>
  <c r="H967" i="2" l="1"/>
  <c r="K967" i="2" s="1"/>
  <c r="J967" i="2"/>
  <c r="M966" i="2"/>
  <c r="N966" i="2" s="1"/>
  <c r="P966" i="2" s="1"/>
  <c r="L967" i="2"/>
  <c r="G967" i="2" l="1"/>
  <c r="H968" i="2" s="1"/>
  <c r="K968" i="2" s="1"/>
  <c r="L968" i="2"/>
  <c r="M967" i="2"/>
  <c r="N967" i="2" s="1"/>
  <c r="P967" i="2" s="1"/>
  <c r="J968" i="2" l="1"/>
  <c r="G968" i="2" s="1"/>
  <c r="J969" i="2" s="1"/>
  <c r="M968" i="2"/>
  <c r="N968" i="2" s="1"/>
  <c r="P968" i="2" s="1"/>
  <c r="L969" i="2"/>
  <c r="H969" i="2" l="1"/>
  <c r="G969" i="2" s="1"/>
  <c r="K969" i="2" l="1"/>
  <c r="L970" i="2" s="1"/>
  <c r="H970" i="2"/>
  <c r="J970" i="2"/>
  <c r="G970" i="2" l="1"/>
  <c r="J971" i="2" s="1"/>
  <c r="K970" i="2"/>
  <c r="L971" i="2" s="1"/>
  <c r="M969" i="2"/>
  <c r="N969" i="2" s="1"/>
  <c r="P969" i="2" s="1"/>
  <c r="H971" i="2" l="1"/>
  <c r="G971" i="2" s="1"/>
  <c r="J972" i="2" s="1"/>
  <c r="M970" i="2"/>
  <c r="N970" i="2" s="1"/>
  <c r="P970" i="2" s="1"/>
  <c r="K971" i="2" l="1"/>
  <c r="M971" i="2" s="1"/>
  <c r="N971" i="2" s="1"/>
  <c r="P971" i="2" s="1"/>
  <c r="H972" i="2"/>
  <c r="G972" i="2" s="1"/>
  <c r="H973" i="2" s="1"/>
  <c r="L972" i="2" l="1"/>
  <c r="K972" i="2"/>
  <c r="J973" i="2"/>
  <c r="G973" i="2" s="1"/>
  <c r="M972" i="2" l="1"/>
  <c r="N972" i="2" s="1"/>
  <c r="P972" i="2" s="1"/>
  <c r="K973" i="2"/>
  <c r="L973" i="2"/>
  <c r="J974" i="2"/>
  <c r="H974" i="2"/>
  <c r="L974" i="2" l="1"/>
  <c r="M973" i="2"/>
  <c r="N973" i="2" s="1"/>
  <c r="P973" i="2" s="1"/>
  <c r="G974" i="2"/>
  <c r="K974" i="2"/>
  <c r="M974" i="2" l="1"/>
  <c r="N974" i="2" s="1"/>
  <c r="P974" i="2" s="1"/>
  <c r="L975" i="2"/>
  <c r="J975" i="2"/>
  <c r="H975" i="2"/>
  <c r="G975" i="2" l="1"/>
  <c r="H976" i="2" s="1"/>
  <c r="K975" i="2"/>
  <c r="L976" i="2" s="1"/>
  <c r="J976" i="2" l="1"/>
  <c r="G976" i="2" s="1"/>
  <c r="J977" i="2" s="1"/>
  <c r="M975" i="2"/>
  <c r="N975" i="2" s="1"/>
  <c r="P975" i="2" s="1"/>
  <c r="K976" i="2"/>
  <c r="H977" i="2" l="1"/>
  <c r="G977" i="2" s="1"/>
  <c r="J978" i="2" s="1"/>
  <c r="M976" i="2"/>
  <c r="N976" i="2" s="1"/>
  <c r="P976" i="2" s="1"/>
  <c r="L977" i="2"/>
  <c r="K977" i="2" l="1"/>
  <c r="L978" i="2" s="1"/>
  <c r="H978" i="2"/>
  <c r="G978" i="2" s="1"/>
  <c r="J979" i="2" s="1"/>
  <c r="M977" i="2" l="1"/>
  <c r="N977" i="2" s="1"/>
  <c r="P977" i="2" s="1"/>
  <c r="K978" i="2"/>
  <c r="M978" i="2" s="1"/>
  <c r="N978" i="2" s="1"/>
  <c r="P978" i="2" s="1"/>
  <c r="H979" i="2"/>
  <c r="G979" i="2" s="1"/>
  <c r="H980" i="2" s="1"/>
  <c r="L979" i="2" l="1"/>
  <c r="K979" i="2"/>
  <c r="J980" i="2"/>
  <c r="G980" i="2" s="1"/>
  <c r="J981" i="2" s="1"/>
  <c r="L980" i="2" l="1"/>
  <c r="M979" i="2"/>
  <c r="N979" i="2" s="1"/>
  <c r="P979" i="2" s="1"/>
  <c r="K980" i="2"/>
  <c r="H981" i="2"/>
  <c r="M980" i="2" l="1"/>
  <c r="N980" i="2" s="1"/>
  <c r="P980" i="2" s="1"/>
  <c r="K981" i="2"/>
  <c r="L981" i="2"/>
  <c r="G981" i="2"/>
  <c r="H982" i="2" s="1"/>
  <c r="L982" i="2" l="1"/>
  <c r="K982" i="2"/>
  <c r="M981" i="2"/>
  <c r="N981" i="2" s="1"/>
  <c r="P981" i="2" s="1"/>
  <c r="J982" i="2"/>
  <c r="G982" i="2" s="1"/>
  <c r="M982" i="2" l="1"/>
  <c r="N982" i="2" s="1"/>
  <c r="P982" i="2" s="1"/>
  <c r="L983" i="2"/>
  <c r="J983" i="2"/>
  <c r="H983" i="2"/>
  <c r="K983" i="2" s="1"/>
  <c r="M983" i="2" l="1"/>
  <c r="N983" i="2" s="1"/>
  <c r="P983" i="2" s="1"/>
  <c r="G983" i="2"/>
  <c r="J984" i="2" s="1"/>
  <c r="L984" i="2"/>
  <c r="H984" i="2" l="1"/>
  <c r="K984" i="2" s="1"/>
  <c r="M984" i="2" s="1"/>
  <c r="N984" i="2" s="1"/>
  <c r="P984" i="2" s="1"/>
  <c r="L985" i="2" l="1"/>
  <c r="G984" i="2"/>
  <c r="H985" i="2" s="1"/>
  <c r="K985" i="2" s="1"/>
  <c r="M985" i="2" l="1"/>
  <c r="N985" i="2" s="1"/>
  <c r="P985" i="2" s="1"/>
  <c r="J985" i="2"/>
  <c r="G985" i="2" s="1"/>
  <c r="H986" i="2" s="1"/>
  <c r="K986" i="2" s="1"/>
  <c r="L986" i="2"/>
  <c r="J986" i="2" l="1"/>
  <c r="G986" i="2" s="1"/>
  <c r="J987" i="2" s="1"/>
  <c r="L987" i="2"/>
  <c r="M986" i="2"/>
  <c r="N986" i="2" s="1"/>
  <c r="P986" i="2" s="1"/>
  <c r="H987" i="2" l="1"/>
  <c r="K987" i="2" s="1"/>
  <c r="M987" i="2" s="1"/>
  <c r="N987" i="2" s="1"/>
  <c r="P987" i="2" s="1"/>
  <c r="G987" i="2" l="1"/>
  <c r="H988" i="2" s="1"/>
  <c r="K988" i="2" s="1"/>
  <c r="L988" i="2"/>
  <c r="L989" i="2" l="1"/>
  <c r="J988" i="2"/>
  <c r="G988" i="2" s="1"/>
  <c r="J989" i="2" s="1"/>
  <c r="M988" i="2"/>
  <c r="N988" i="2" s="1"/>
  <c r="P988" i="2" s="1"/>
  <c r="H989" i="2" l="1"/>
  <c r="K989" i="2" s="1"/>
  <c r="L990" i="2" s="1"/>
  <c r="G989" i="2" l="1"/>
  <c r="H990" i="2" s="1"/>
  <c r="M989" i="2"/>
  <c r="N989" i="2" s="1"/>
  <c r="P989" i="2" s="1"/>
  <c r="J990" i="2" l="1"/>
  <c r="G990" i="2" s="1"/>
  <c r="K990" i="2"/>
  <c r="H991" i="2" l="1"/>
  <c r="K991" i="2" s="1"/>
  <c r="J991" i="2"/>
  <c r="M990" i="2"/>
  <c r="N990" i="2" s="1"/>
  <c r="P990" i="2" s="1"/>
  <c r="L991" i="2"/>
  <c r="G991" i="2" l="1"/>
  <c r="J992" i="2" s="1"/>
  <c r="L992" i="2"/>
  <c r="M991" i="2"/>
  <c r="N991" i="2" s="1"/>
  <c r="P991" i="2" s="1"/>
  <c r="H992" i="2" l="1"/>
  <c r="K992" i="2" s="1"/>
  <c r="G992" i="2" l="1"/>
  <c r="H993" i="2" s="1"/>
  <c r="K993" i="2" s="1"/>
  <c r="L993" i="2"/>
  <c r="M992" i="2"/>
  <c r="N992" i="2" s="1"/>
  <c r="P992" i="2" s="1"/>
  <c r="L994" i="2" l="1"/>
  <c r="J993" i="2"/>
  <c r="G993" i="2" s="1"/>
  <c r="J994" i="2" s="1"/>
  <c r="M993" i="2"/>
  <c r="N993" i="2" s="1"/>
  <c r="P993" i="2" s="1"/>
  <c r="H994" i="2" l="1"/>
  <c r="K994" i="2" s="1"/>
  <c r="G994" i="2" l="1"/>
  <c r="J995" i="2" s="1"/>
  <c r="L995" i="2"/>
  <c r="M994" i="2"/>
  <c r="N994" i="2" s="1"/>
  <c r="P994" i="2" s="1"/>
  <c r="H995" i="2" l="1"/>
  <c r="G995" i="2" s="1"/>
  <c r="H996" i="2" s="1"/>
  <c r="K995" i="2" l="1"/>
  <c r="L996" i="2" s="1"/>
  <c r="J996" i="2"/>
  <c r="G996" i="2" s="1"/>
  <c r="J997" i="2" s="1"/>
  <c r="K996" i="2" l="1"/>
  <c r="M996" i="2" s="1"/>
  <c r="N996" i="2" s="1"/>
  <c r="P996" i="2" s="1"/>
  <c r="M995" i="2"/>
  <c r="N995" i="2" s="1"/>
  <c r="P995" i="2" s="1"/>
  <c r="H997" i="2"/>
  <c r="G997" i="2" s="1"/>
  <c r="J998" i="2" s="1"/>
  <c r="L997" i="2" l="1"/>
  <c r="K997" i="2"/>
  <c r="H998" i="2"/>
  <c r="G998" i="2" s="1"/>
  <c r="K998" i="2" l="1"/>
  <c r="M997" i="2"/>
  <c r="N997" i="2" s="1"/>
  <c r="P997" i="2" s="1"/>
  <c r="L998" i="2"/>
  <c r="H999" i="2"/>
  <c r="J999" i="2"/>
  <c r="L999" i="2" l="1"/>
  <c r="M998" i="2"/>
  <c r="N998" i="2" s="1"/>
  <c r="P998" i="2" s="1"/>
  <c r="K999" i="2"/>
  <c r="G999" i="2"/>
  <c r="J1000" i="2" s="1"/>
  <c r="M999" i="2" l="1"/>
  <c r="N999" i="2" s="1"/>
  <c r="P999" i="2" s="1"/>
  <c r="L1000" i="2"/>
  <c r="H1000" i="2"/>
  <c r="G1000" i="2" s="1"/>
  <c r="H1001" i="2" s="1"/>
  <c r="K1000" i="2" l="1"/>
  <c r="M1000" i="2" s="1"/>
  <c r="N1000" i="2" s="1"/>
  <c r="P1000" i="2" s="1"/>
  <c r="J1001" i="2"/>
  <c r="G1001" i="2" s="1"/>
  <c r="J1002" i="2" s="1"/>
  <c r="H1002" i="2" l="1"/>
  <c r="G1002" i="2" s="1"/>
  <c r="H1003" i="2" s="1"/>
  <c r="K1001" i="2"/>
  <c r="L1001" i="2"/>
  <c r="L1002" i="2" l="1"/>
  <c r="K1002" i="2"/>
  <c r="M1001" i="2"/>
  <c r="N1001" i="2" s="1"/>
  <c r="P1001" i="2" s="1"/>
  <c r="J1003" i="2"/>
  <c r="G1003" i="2" s="1"/>
  <c r="L1003" i="2" l="1"/>
  <c r="K1003" i="2"/>
  <c r="M1002" i="2"/>
  <c r="N1002" i="2" s="1"/>
  <c r="P1002" i="2" s="1"/>
  <c r="H1004" i="2"/>
  <c r="J1004" i="2"/>
  <c r="L1004" i="2" l="1"/>
  <c r="M1003" i="2"/>
  <c r="N1003" i="2" s="1"/>
  <c r="P1003" i="2" s="1"/>
  <c r="K1004" i="2"/>
  <c r="G1004" i="2"/>
  <c r="M1004" i="2" l="1"/>
  <c r="N1004" i="2" s="1"/>
  <c r="P1004" i="2" s="1"/>
  <c r="L1005" i="2"/>
  <c r="J1005" i="2"/>
  <c r="H1005" i="2"/>
  <c r="K1005" i="2" l="1"/>
  <c r="G1005" i="2"/>
  <c r="J1006" i="2" l="1"/>
  <c r="H1006" i="2"/>
  <c r="K1006" i="2" s="1"/>
  <c r="M1005" i="2"/>
  <c r="N1005" i="2" s="1"/>
  <c r="P1005" i="2" s="1"/>
  <c r="L1006" i="2"/>
  <c r="M1006" i="2" l="1"/>
  <c r="N1006" i="2" s="1"/>
  <c r="P1006" i="2" s="1"/>
  <c r="L1007" i="2"/>
  <c r="G1006" i="2"/>
  <c r="J1007" i="2" l="1"/>
  <c r="H1007" i="2"/>
  <c r="K1007" i="2" l="1"/>
  <c r="G1007" i="2"/>
  <c r="H1008" i="2" l="1"/>
  <c r="K1008" i="2" s="1"/>
  <c r="J1008" i="2"/>
  <c r="M1007" i="2"/>
  <c r="N1007" i="2" s="1"/>
  <c r="P1007" i="2" s="1"/>
  <c r="L1008" i="2"/>
  <c r="M1008" i="2" l="1"/>
  <c r="N1008" i="2" s="1"/>
  <c r="P1008" i="2" s="1"/>
  <c r="L1009" i="2"/>
  <c r="G1008" i="2"/>
  <c r="J1009" i="2" l="1"/>
  <c r="H1009" i="2"/>
  <c r="G1009" i="2" l="1"/>
  <c r="K1009" i="2"/>
  <c r="M1009" i="2" l="1"/>
  <c r="N1009" i="2" s="1"/>
  <c r="P1009" i="2" s="1"/>
  <c r="L1010" i="2"/>
  <c r="H1010" i="2"/>
  <c r="J1010" i="2"/>
  <c r="G1010" i="2" l="1"/>
  <c r="K1010" i="2"/>
  <c r="L1011" i="2" l="1"/>
  <c r="M1010" i="2"/>
  <c r="N1010" i="2" s="1"/>
  <c r="P1010" i="2" s="1"/>
  <c r="H1011" i="2"/>
  <c r="K1011" i="2" s="1"/>
  <c r="J1011" i="2"/>
  <c r="G1011" i="2" l="1"/>
  <c r="H1012" i="2" s="1"/>
  <c r="K1012" i="2" s="1"/>
  <c r="M1011" i="2"/>
  <c r="N1011" i="2" s="1"/>
  <c r="P1011" i="2" s="1"/>
  <c r="L1012" i="2"/>
  <c r="J1012" i="2" l="1"/>
  <c r="G1012" i="2" s="1"/>
  <c r="J1013" i="2" s="1"/>
  <c r="M1012" i="2"/>
  <c r="N1012" i="2" s="1"/>
  <c r="P1012" i="2" s="1"/>
  <c r="L1013" i="2"/>
  <c r="H1013" i="2" l="1"/>
  <c r="K1013" i="2" s="1"/>
  <c r="M1013" i="2" s="1"/>
  <c r="N1013" i="2" s="1"/>
  <c r="P1013" i="2" s="1"/>
  <c r="L1014" i="2" l="1"/>
  <c r="G1013" i="2"/>
  <c r="J1014" i="2" l="1"/>
  <c r="H1014" i="2"/>
  <c r="G1014" i="2" l="1"/>
  <c r="K1014" i="2"/>
  <c r="L1015" i="2" l="1"/>
  <c r="M1014" i="2"/>
  <c r="N1014" i="2" s="1"/>
  <c r="P1014" i="2" s="1"/>
  <c r="H1015" i="2"/>
  <c r="K1015" i="2" s="1"/>
  <c r="J1015" i="2"/>
  <c r="G1015" i="2" l="1"/>
  <c r="J1016" i="2" s="1"/>
  <c r="M1015" i="2"/>
  <c r="N1015" i="2" s="1"/>
  <c r="P1015" i="2" s="1"/>
  <c r="L1016" i="2"/>
  <c r="H1016" i="2" l="1"/>
  <c r="K1016" i="2" s="1"/>
  <c r="L1017" i="2" s="1"/>
  <c r="M1016" i="2" l="1"/>
  <c r="N1016" i="2" s="1"/>
  <c r="P1016" i="2" s="1"/>
  <c r="G1016" i="2"/>
  <c r="J1017" i="2" s="1"/>
  <c r="H1017" i="2" l="1"/>
  <c r="K1017" i="2" s="1"/>
  <c r="M1017" i="2" s="1"/>
  <c r="N1017" i="2" s="1"/>
  <c r="P1017" i="2" s="1"/>
  <c r="G1017" i="2" l="1"/>
  <c r="H1018" i="2" s="1"/>
  <c r="L1018" i="2"/>
  <c r="J1018" i="2" l="1"/>
  <c r="G1018" i="2" s="1"/>
  <c r="K1018" i="2"/>
  <c r="M1018" i="2" l="1"/>
  <c r="N1018" i="2" s="1"/>
  <c r="P1018" i="2" s="1"/>
  <c r="L1019" i="2"/>
  <c r="J1019" i="2"/>
  <c r="H1019" i="2"/>
  <c r="K1019" i="2" l="1"/>
  <c r="L1020" i="2" s="1"/>
  <c r="G1019" i="2"/>
  <c r="J1020" i="2" l="1"/>
  <c r="H1020" i="2"/>
  <c r="M1019" i="2"/>
  <c r="N1019" i="2" s="1"/>
  <c r="P1019" i="2" s="1"/>
  <c r="G1020" i="2" l="1"/>
  <c r="J1021" i="2" s="1"/>
  <c r="K1020" i="2"/>
  <c r="M1020" i="2" s="1"/>
  <c r="N1020" i="2" s="1"/>
  <c r="P1020" i="2" s="1"/>
  <c r="H1021" i="2" l="1"/>
  <c r="G1021" i="2" s="1"/>
  <c r="L1021" i="2"/>
  <c r="K1021" i="2" l="1"/>
  <c r="J1022" i="2"/>
  <c r="H1022" i="2"/>
  <c r="G1022" i="2" l="1"/>
  <c r="H1023" i="2" s="1"/>
  <c r="K1022" i="2"/>
  <c r="L1022" i="2"/>
  <c r="M1021" i="2"/>
  <c r="N1021" i="2" s="1"/>
  <c r="P1021" i="2" s="1"/>
  <c r="J1023" i="2" l="1"/>
  <c r="G1023" i="2" s="1"/>
  <c r="J1024" i="2" s="1"/>
  <c r="K1023" i="2"/>
  <c r="L1023" i="2"/>
  <c r="M1022" i="2"/>
  <c r="N1022" i="2" s="1"/>
  <c r="P1022" i="2" s="1"/>
  <c r="L1024" i="2" l="1"/>
  <c r="M1023" i="2"/>
  <c r="N1023" i="2" s="1"/>
  <c r="P1023" i="2" s="1"/>
  <c r="H1024" i="2"/>
  <c r="G1024" i="2" s="1"/>
  <c r="H1025" i="2" s="1"/>
  <c r="K1024" i="2" l="1"/>
  <c r="M1024" i="2" s="1"/>
  <c r="N1024" i="2" s="1"/>
  <c r="P1024" i="2" s="1"/>
  <c r="J1025" i="2"/>
  <c r="G1025" i="2" s="1"/>
  <c r="J1026" i="2" s="1"/>
  <c r="H1026" i="2" l="1"/>
  <c r="G1026" i="2" s="1"/>
  <c r="L1025" i="2"/>
  <c r="K1025" i="2"/>
  <c r="J1027" i="2" l="1"/>
  <c r="H1027" i="2"/>
  <c r="K1026" i="2"/>
  <c r="L1026" i="2"/>
  <c r="M1025" i="2"/>
  <c r="N1025" i="2" s="1"/>
  <c r="P1025" i="2" s="1"/>
  <c r="K1027" i="2" l="1"/>
  <c r="G1027" i="2"/>
  <c r="J1028" i="2" s="1"/>
  <c r="M1026" i="2"/>
  <c r="N1026" i="2" s="1"/>
  <c r="P1026" i="2" s="1"/>
  <c r="L1027" i="2"/>
  <c r="L1028" i="2" l="1"/>
  <c r="H1028" i="2"/>
  <c r="K1028" i="2" s="1"/>
  <c r="M1027" i="2"/>
  <c r="N1027" i="2" s="1"/>
  <c r="P1027" i="2" s="1"/>
  <c r="M1028" i="2" l="1"/>
  <c r="N1028" i="2" s="1"/>
  <c r="P1028" i="2" s="1"/>
  <c r="G1028" i="2"/>
  <c r="H1029" i="2" s="1"/>
  <c r="K1029" i="2" s="1"/>
  <c r="L1029" i="2"/>
  <c r="J1029" i="2" l="1"/>
  <c r="G1029" i="2" s="1"/>
  <c r="H1030" i="2" s="1"/>
  <c r="K1030" i="2" s="1"/>
  <c r="M1029" i="2"/>
  <c r="N1029" i="2" s="1"/>
  <c r="P1029" i="2" s="1"/>
  <c r="L1030" i="2"/>
  <c r="J1030" i="2" l="1"/>
  <c r="G1030" i="2" s="1"/>
  <c r="J1031" i="2" s="1"/>
  <c r="M1030" i="2"/>
  <c r="N1030" i="2" s="1"/>
  <c r="P1030" i="2" s="1"/>
  <c r="L1031" i="2"/>
  <c r="H1031" i="2" l="1"/>
  <c r="K1031" i="2" s="1"/>
  <c r="L1032" i="2" s="1"/>
  <c r="M1031" i="2" l="1"/>
  <c r="N1031" i="2" s="1"/>
  <c r="P1031" i="2" s="1"/>
  <c r="G1031" i="2"/>
  <c r="J1032" i="2" s="1"/>
  <c r="H1032" i="2" l="1"/>
  <c r="K1032" i="2" s="1"/>
  <c r="M1032" i="2" s="1"/>
  <c r="N1032" i="2" s="1"/>
  <c r="P1032" i="2" s="1"/>
  <c r="G1032" i="2" l="1"/>
  <c r="J1033" i="2" s="1"/>
  <c r="L1033" i="2"/>
  <c r="H1033" i="2" l="1"/>
  <c r="G1033" i="2" s="1"/>
  <c r="K1033" i="2" l="1"/>
  <c r="M1033" i="2" s="1"/>
  <c r="N1033" i="2" s="1"/>
  <c r="P1033" i="2" s="1"/>
  <c r="J1034" i="2"/>
  <c r="H1034" i="2"/>
  <c r="L1034" i="2" l="1"/>
  <c r="G1034" i="2"/>
  <c r="H1035" i="2" s="1"/>
  <c r="K1034" i="2"/>
  <c r="J1035" i="2" l="1"/>
  <c r="G1035" i="2" s="1"/>
  <c r="K1035" i="2"/>
  <c r="M1034" i="2"/>
  <c r="N1034" i="2" s="1"/>
  <c r="P1034" i="2" s="1"/>
  <c r="L1035" i="2"/>
  <c r="H1036" i="2" l="1"/>
  <c r="K1036" i="2" s="1"/>
  <c r="J1036" i="2"/>
  <c r="L1036" i="2"/>
  <c r="M1035" i="2"/>
  <c r="N1035" i="2" s="1"/>
  <c r="P1035" i="2" s="1"/>
  <c r="M1036" i="2" l="1"/>
  <c r="N1036" i="2" s="1"/>
  <c r="P1036" i="2" s="1"/>
  <c r="G1036" i="2"/>
  <c r="J1037" i="2" s="1"/>
  <c r="L1037" i="2"/>
  <c r="H1037" i="2" l="1"/>
  <c r="G1037" i="2" s="1"/>
  <c r="H1038" i="2" s="1"/>
  <c r="J1038" i="2" l="1"/>
  <c r="G1038" i="2" s="1"/>
  <c r="J1039" i="2" s="1"/>
  <c r="K1037" i="2"/>
  <c r="M1037" i="2" s="1"/>
  <c r="N1037" i="2" s="1"/>
  <c r="P1037" i="2" s="1"/>
  <c r="H1039" i="2" l="1"/>
  <c r="G1039" i="2" s="1"/>
  <c r="H1040" i="2" s="1"/>
  <c r="L1038" i="2"/>
  <c r="K1038" i="2"/>
  <c r="M1038" i="2" l="1"/>
  <c r="N1038" i="2" s="1"/>
  <c r="P1038" i="2" s="1"/>
  <c r="J1040" i="2"/>
  <c r="G1040" i="2" s="1"/>
  <c r="K1039" i="2"/>
  <c r="L1039" i="2"/>
  <c r="M1039" i="2" l="1"/>
  <c r="N1039" i="2" s="1"/>
  <c r="P1039" i="2" s="1"/>
  <c r="K1040" i="2"/>
  <c r="L1040" i="2"/>
  <c r="J1041" i="2"/>
  <c r="H1041" i="2"/>
  <c r="M1040" i="2" l="1"/>
  <c r="N1040" i="2" s="1"/>
  <c r="P1040" i="2" s="1"/>
  <c r="L1041" i="2"/>
  <c r="K1041" i="2"/>
  <c r="G1041" i="2"/>
  <c r="H1042" i="2" l="1"/>
  <c r="K1042" i="2" s="1"/>
  <c r="J1042" i="2"/>
  <c r="L1042" i="2"/>
  <c r="M1041" i="2"/>
  <c r="N1041" i="2" s="1"/>
  <c r="P1041" i="2" s="1"/>
  <c r="M1042" i="2" l="1"/>
  <c r="N1042" i="2" s="1"/>
  <c r="P1042" i="2" s="1"/>
  <c r="L1043" i="2"/>
  <c r="G1042" i="2"/>
  <c r="J1043" i="2" l="1"/>
  <c r="H1043" i="2"/>
  <c r="K1043" i="2" s="1"/>
  <c r="M1043" i="2" s="1"/>
  <c r="N1043" i="2" s="1"/>
  <c r="P1043" i="2" s="1"/>
  <c r="L1044" i="2" l="1"/>
  <c r="G1043" i="2"/>
  <c r="H1044" i="2" l="1"/>
  <c r="K1044" i="2" s="1"/>
  <c r="M1044" i="2" s="1"/>
  <c r="N1044" i="2" s="1"/>
  <c r="P1044" i="2" s="1"/>
  <c r="J1044" i="2"/>
  <c r="L1045" i="2" l="1"/>
  <c r="G1044" i="2"/>
  <c r="J1045" i="2" l="1"/>
  <c r="H1045" i="2"/>
  <c r="K1045" i="2" s="1"/>
  <c r="L1046" i="2" l="1"/>
  <c r="M1045" i="2"/>
  <c r="N1045" i="2" s="1"/>
  <c r="P1045" i="2" s="1"/>
  <c r="G1045" i="2"/>
  <c r="J1046" i="2" l="1"/>
  <c r="H1046" i="2"/>
  <c r="K1046" i="2" s="1"/>
  <c r="M1046" i="2" s="1"/>
  <c r="N1046" i="2" s="1"/>
  <c r="P1046" i="2" s="1"/>
  <c r="L1047" i="2" l="1"/>
  <c r="G1046" i="2"/>
  <c r="H1047" i="2" l="1"/>
  <c r="K1047" i="2" s="1"/>
  <c r="J1047" i="2"/>
  <c r="G1047" i="2" l="1"/>
  <c r="H1048" i="2" s="1"/>
  <c r="K1048" i="2" s="1"/>
  <c r="M1047" i="2"/>
  <c r="N1047" i="2" s="1"/>
  <c r="P1047" i="2" s="1"/>
  <c r="L1048" i="2"/>
  <c r="J1048" i="2" l="1"/>
  <c r="G1048" i="2" s="1"/>
  <c r="H1049" i="2" s="1"/>
  <c r="K1049" i="2" s="1"/>
  <c r="L1049" i="2"/>
  <c r="M1048" i="2"/>
  <c r="N1048" i="2" s="1"/>
  <c r="P1048" i="2" s="1"/>
  <c r="M1049" i="2" l="1"/>
  <c r="N1049" i="2" s="1"/>
  <c r="P1049" i="2" s="1"/>
  <c r="J1049" i="2"/>
  <c r="G1049" i="2" s="1"/>
  <c r="L1050" i="2"/>
  <c r="J1050" i="2" l="1"/>
  <c r="H1050" i="2"/>
  <c r="K1050" i="2" s="1"/>
  <c r="M1050" i="2" s="1"/>
  <c r="N1050" i="2" s="1"/>
  <c r="P1050" i="2" s="1"/>
  <c r="G1050" i="2" l="1"/>
  <c r="L1051" i="2"/>
  <c r="J1051" i="2" l="1"/>
  <c r="H1051" i="2"/>
  <c r="K1051" i="2" s="1"/>
  <c r="M1051" i="2" s="1"/>
  <c r="N1051" i="2" s="1"/>
  <c r="P1051" i="2" s="1"/>
  <c r="G1051" i="2" l="1"/>
  <c r="L1052" i="2"/>
  <c r="J1052" i="2" l="1"/>
  <c r="H1052" i="2"/>
  <c r="K1052" i="2" s="1"/>
  <c r="M1052" i="2" s="1"/>
  <c r="N1052" i="2" s="1"/>
  <c r="P1052" i="2" s="1"/>
  <c r="G1052" i="2" l="1"/>
  <c r="L1053" i="2"/>
  <c r="J1053" i="2" l="1"/>
  <c r="H1053" i="2"/>
  <c r="K1053" i="2" s="1"/>
  <c r="L1054" i="2" l="1"/>
  <c r="M1053" i="2"/>
  <c r="N1053" i="2" s="1"/>
  <c r="P1053" i="2" s="1"/>
  <c r="G1053" i="2"/>
  <c r="J1054" i="2" l="1"/>
  <c r="H1054" i="2"/>
  <c r="K1054" i="2" s="1"/>
  <c r="L1055" i="2" s="1"/>
  <c r="M1054" i="2" l="1"/>
  <c r="N1054" i="2" s="1"/>
  <c r="P1054" i="2" s="1"/>
  <c r="G1054" i="2"/>
  <c r="H1055" i="2" l="1"/>
  <c r="K1055" i="2" s="1"/>
  <c r="J1055" i="2"/>
  <c r="G1055" i="2" l="1"/>
  <c r="H1056" i="2" s="1"/>
  <c r="K1056" i="2" s="1"/>
  <c r="M1055" i="2"/>
  <c r="N1055" i="2" s="1"/>
  <c r="P1055" i="2" s="1"/>
  <c r="L1056" i="2"/>
  <c r="J1056" i="2" l="1"/>
  <c r="G1056" i="2" s="1"/>
  <c r="J1057" i="2" s="1"/>
  <c r="M1056" i="2"/>
  <c r="N1056" i="2" s="1"/>
  <c r="P1056" i="2" s="1"/>
  <c r="L1057" i="2"/>
  <c r="H1057" i="2" l="1"/>
  <c r="G1057" i="2" s="1"/>
  <c r="J1058" i="2" s="1"/>
  <c r="K1057" i="2" l="1"/>
  <c r="L1058" i="2" s="1"/>
  <c r="H1058" i="2"/>
  <c r="G1058" i="2" s="1"/>
  <c r="J1059" i="2" s="1"/>
  <c r="M1057" i="2" l="1"/>
  <c r="N1057" i="2" s="1"/>
  <c r="P1057" i="2" s="1"/>
  <c r="K1058" i="2"/>
  <c r="L1059" i="2" s="1"/>
  <c r="H1059" i="2"/>
  <c r="M1058" i="2" l="1"/>
  <c r="N1058" i="2" s="1"/>
  <c r="P1058" i="2" s="1"/>
  <c r="K1059" i="2"/>
  <c r="L1060" i="2" s="1"/>
  <c r="G1059" i="2"/>
  <c r="J1060" i="2" s="1"/>
  <c r="M1059" i="2" l="1"/>
  <c r="N1059" i="2" s="1"/>
  <c r="P1059" i="2" s="1"/>
  <c r="H1060" i="2"/>
  <c r="G1060" i="2" s="1"/>
  <c r="H1061" i="2" s="1"/>
  <c r="K1060" i="2" l="1"/>
  <c r="M1060" i="2" s="1"/>
  <c r="N1060" i="2" s="1"/>
  <c r="P1060" i="2" s="1"/>
  <c r="J1061" i="2"/>
  <c r="G1061" i="2" s="1"/>
  <c r="J1062" i="2" s="1"/>
  <c r="K1061" i="2" l="1"/>
  <c r="L1061" i="2"/>
  <c r="H1062" i="2"/>
  <c r="K1062" i="2" l="1"/>
  <c r="L1062" i="2"/>
  <c r="M1061" i="2"/>
  <c r="N1061" i="2" s="1"/>
  <c r="P1061" i="2" s="1"/>
  <c r="G1062" i="2"/>
  <c r="J1063" i="2" s="1"/>
  <c r="H1063" i="2" l="1"/>
  <c r="K1063" i="2" s="1"/>
  <c r="L1063" i="2"/>
  <c r="M1062" i="2"/>
  <c r="N1062" i="2" s="1"/>
  <c r="P1062" i="2" s="1"/>
  <c r="M1063" i="2" l="1"/>
  <c r="N1063" i="2" s="1"/>
  <c r="P1063" i="2" s="1"/>
  <c r="L1064" i="2"/>
  <c r="G1063" i="2"/>
  <c r="J1064" i="2" s="1"/>
  <c r="H1064" i="2" l="1"/>
  <c r="K1064" i="2" s="1"/>
  <c r="M1064" i="2" s="1"/>
  <c r="N1064" i="2" s="1"/>
  <c r="P1064" i="2" s="1"/>
  <c r="L1065" i="2" l="1"/>
  <c r="G1064" i="2"/>
  <c r="J1065" i="2" s="1"/>
  <c r="H1065" i="2" l="1"/>
  <c r="K1065" i="2" s="1"/>
  <c r="M1065" i="2" s="1"/>
  <c r="N1065" i="2" s="1"/>
  <c r="P1065" i="2" s="1"/>
  <c r="G1065" i="2" l="1"/>
  <c r="J1066" i="2" s="1"/>
  <c r="L1066" i="2"/>
  <c r="H1066" i="2" l="1"/>
  <c r="K1066" i="2" s="1"/>
  <c r="M1066" i="2" s="1"/>
  <c r="N1066" i="2" s="1"/>
  <c r="P1066" i="2" s="1"/>
  <c r="G1066" i="2" l="1"/>
  <c r="L1067" i="2"/>
  <c r="H1067" i="2" l="1"/>
  <c r="J1067" i="2"/>
  <c r="K1067" i="2" l="1"/>
  <c r="G1067" i="2"/>
  <c r="J1068" i="2" l="1"/>
  <c r="H1068" i="2"/>
  <c r="M1067" i="2"/>
  <c r="N1067" i="2" s="1"/>
  <c r="P1067" i="2" s="1"/>
  <c r="L1068" i="2"/>
  <c r="K1068" i="2" l="1"/>
  <c r="M1068" i="2" s="1"/>
  <c r="N1068" i="2" s="1"/>
  <c r="P1068" i="2" s="1"/>
  <c r="G1068" i="2"/>
  <c r="L1069" i="2" l="1"/>
  <c r="H1069" i="2"/>
  <c r="K1069" i="2" s="1"/>
  <c r="J1069" i="2"/>
  <c r="G1069" i="2" l="1"/>
  <c r="J1070" i="2" s="1"/>
  <c r="L1070" i="2"/>
  <c r="M1069" i="2"/>
  <c r="N1069" i="2" s="1"/>
  <c r="P1069" i="2" s="1"/>
  <c r="H1070" i="2" l="1"/>
  <c r="K1070" i="2" s="1"/>
  <c r="G1070" i="2" l="1"/>
  <c r="H1071" i="2" s="1"/>
  <c r="K1071" i="2" s="1"/>
  <c r="M1070" i="2"/>
  <c r="N1070" i="2" s="1"/>
  <c r="P1070" i="2" s="1"/>
  <c r="L1071" i="2"/>
  <c r="J1071" i="2" l="1"/>
  <c r="G1071" i="2" s="1"/>
  <c r="J1072" i="2" s="1"/>
  <c r="L1072" i="2"/>
  <c r="M1071" i="2"/>
  <c r="N1071" i="2" s="1"/>
  <c r="P1071" i="2" s="1"/>
  <c r="H1072" i="2" l="1"/>
  <c r="K1072" i="2" s="1"/>
  <c r="G1072" i="2" l="1"/>
  <c r="H1073" i="2" s="1"/>
  <c r="K1073" i="2" s="1"/>
  <c r="L1073" i="2"/>
  <c r="M1072" i="2"/>
  <c r="N1072" i="2" s="1"/>
  <c r="P1072" i="2" s="1"/>
  <c r="J1073" i="2" l="1"/>
  <c r="G1073" i="2" s="1"/>
  <c r="H1074" i="2" s="1"/>
  <c r="K1074" i="2" s="1"/>
  <c r="L1074" i="2"/>
  <c r="M1073" i="2"/>
  <c r="N1073" i="2" s="1"/>
  <c r="P1073" i="2" s="1"/>
  <c r="M1074" i="2" l="1"/>
  <c r="N1074" i="2" s="1"/>
  <c r="P1074" i="2" s="1"/>
  <c r="J1074" i="2"/>
  <c r="G1074" i="2" s="1"/>
  <c r="J1075" i="2" s="1"/>
  <c r="L1075" i="2"/>
  <c r="H1075" i="2" l="1"/>
  <c r="K1075" i="2" s="1"/>
  <c r="L1076" i="2" s="1"/>
  <c r="M1075" i="2" l="1"/>
  <c r="N1075" i="2" s="1"/>
  <c r="P1075" i="2" s="1"/>
  <c r="G1075" i="2"/>
  <c r="J1076" i="2" l="1"/>
  <c r="H1076" i="2"/>
  <c r="G1076" i="2" l="1"/>
  <c r="K1076" i="2"/>
  <c r="H1077" i="2" l="1"/>
  <c r="K1077" i="2" s="1"/>
  <c r="J1077" i="2"/>
  <c r="L1077" i="2"/>
  <c r="M1076" i="2"/>
  <c r="N1076" i="2" s="1"/>
  <c r="P1076" i="2" s="1"/>
  <c r="M1077" i="2" l="1"/>
  <c r="N1077" i="2" s="1"/>
  <c r="P1077" i="2" s="1"/>
  <c r="L1078" i="2"/>
  <c r="G1077" i="2"/>
  <c r="J1078" i="2" l="1"/>
  <c r="H1078" i="2"/>
  <c r="K1078" i="2" s="1"/>
  <c r="M1078" i="2" s="1"/>
  <c r="N1078" i="2" s="1"/>
  <c r="P1078" i="2" s="1"/>
  <c r="G1078" i="2" l="1"/>
  <c r="J1079" i="2" s="1"/>
  <c r="L1079" i="2"/>
  <c r="H1079" i="2" l="1"/>
  <c r="K1079" i="2" s="1"/>
  <c r="L1080" i="2" s="1"/>
  <c r="G1079" i="2" l="1"/>
  <c r="H1080" i="2" s="1"/>
  <c r="K1080" i="2" s="1"/>
  <c r="L1081" i="2" s="1"/>
  <c r="M1079" i="2"/>
  <c r="N1079" i="2" s="1"/>
  <c r="P1079" i="2" s="1"/>
  <c r="J1080" i="2" l="1"/>
  <c r="G1080" i="2" s="1"/>
  <c r="H1081" i="2" s="1"/>
  <c r="K1081" i="2" s="1"/>
  <c r="M1081" i="2" s="1"/>
  <c r="N1081" i="2" s="1"/>
  <c r="P1081" i="2" s="1"/>
  <c r="M1080" i="2"/>
  <c r="N1080" i="2" s="1"/>
  <c r="P1080" i="2" s="1"/>
  <c r="J1081" i="2" l="1"/>
  <c r="G1081" i="2" s="1"/>
  <c r="J1082" i="2" s="1"/>
  <c r="L1082" i="2"/>
  <c r="H1082" i="2" l="1"/>
  <c r="K1082" i="2" s="1"/>
  <c r="L1083" i="2" s="1"/>
  <c r="G1082" i="2" l="1"/>
  <c r="J1083" i="2" s="1"/>
  <c r="M1082" i="2"/>
  <c r="N1082" i="2" s="1"/>
  <c r="P1082" i="2" s="1"/>
  <c r="H1083" i="2" l="1"/>
  <c r="K1083" i="2" s="1"/>
  <c r="G1083" i="2" l="1"/>
  <c r="H1084" i="2" s="1"/>
  <c r="K1084" i="2" s="1"/>
  <c r="M1083" i="2"/>
  <c r="N1083" i="2" s="1"/>
  <c r="P1083" i="2" s="1"/>
  <c r="L1084" i="2"/>
  <c r="M1084" i="2" l="1"/>
  <c r="N1084" i="2" s="1"/>
  <c r="P1084" i="2" s="1"/>
  <c r="J1084" i="2"/>
  <c r="G1084" i="2" s="1"/>
  <c r="H1085" i="2" s="1"/>
  <c r="K1085" i="2" s="1"/>
  <c r="L1085" i="2"/>
  <c r="J1085" i="2" l="1"/>
  <c r="G1085" i="2" s="1"/>
  <c r="M1085" i="2"/>
  <c r="N1085" i="2" s="1"/>
  <c r="P1085" i="2" s="1"/>
  <c r="L1086" i="2"/>
  <c r="J1086" i="2" l="1"/>
  <c r="H1086" i="2"/>
  <c r="K1086" i="2" s="1"/>
  <c r="G1086" i="2" l="1"/>
  <c r="M1086" i="2"/>
  <c r="N1086" i="2" s="1"/>
  <c r="P1086" i="2" s="1"/>
  <c r="L1087" i="2"/>
  <c r="J1087" i="2" l="1"/>
  <c r="H1087" i="2"/>
  <c r="K1087" i="2" l="1"/>
  <c r="G1087" i="2"/>
  <c r="J1088" i="2" l="1"/>
  <c r="H1088" i="2"/>
  <c r="M1087" i="2"/>
  <c r="N1087" i="2" s="1"/>
  <c r="P1087" i="2" s="1"/>
  <c r="L1088" i="2"/>
  <c r="G1088" i="2" l="1"/>
  <c r="J1089" i="2" s="1"/>
  <c r="K1088" i="2"/>
  <c r="M1088" i="2" s="1"/>
  <c r="N1088" i="2" s="1"/>
  <c r="P1088" i="2" s="1"/>
  <c r="H1089" i="2" l="1"/>
  <c r="G1089" i="2" s="1"/>
  <c r="H1090" i="2" s="1"/>
  <c r="L1089" i="2"/>
  <c r="K1089" i="2" l="1"/>
  <c r="K1090" i="2" s="1"/>
  <c r="J1090" i="2"/>
  <c r="G1090" i="2" s="1"/>
  <c r="M1089" i="2" l="1"/>
  <c r="N1089" i="2" s="1"/>
  <c r="P1089" i="2" s="1"/>
  <c r="L1090" i="2"/>
  <c r="M1090" i="2" s="1"/>
  <c r="N1090" i="2" s="1"/>
  <c r="P1090" i="2" s="1"/>
  <c r="H1091" i="2"/>
  <c r="K1091" i="2" s="1"/>
  <c r="J1091" i="2"/>
  <c r="L1091" i="2" l="1"/>
  <c r="M1091" i="2" s="1"/>
  <c r="N1091" i="2" s="1"/>
  <c r="P1091" i="2" s="1"/>
  <c r="G1091" i="2"/>
  <c r="L1092" i="2" l="1"/>
  <c r="J1092" i="2"/>
  <c r="H1092" i="2"/>
  <c r="K1092" i="2" s="1"/>
  <c r="G1092" i="2" l="1"/>
  <c r="J1093" i="2" s="1"/>
  <c r="L1093" i="2"/>
  <c r="M1092" i="2"/>
  <c r="N1092" i="2" s="1"/>
  <c r="P1092" i="2" s="1"/>
  <c r="H1093" i="2" l="1"/>
  <c r="K1093" i="2" s="1"/>
  <c r="M1093" i="2" s="1"/>
  <c r="N1093" i="2" s="1"/>
  <c r="P1093" i="2" s="1"/>
  <c r="G1093" i="2" l="1"/>
  <c r="J1094" i="2" s="1"/>
  <c r="L1094" i="2"/>
  <c r="H1094" i="2" l="1"/>
  <c r="K1094" i="2" s="1"/>
  <c r="M1094" i="2" s="1"/>
  <c r="N1094" i="2" s="1"/>
  <c r="P1094" i="2" s="1"/>
  <c r="G1094" i="2" l="1"/>
  <c r="L1095" i="2"/>
  <c r="H1095" i="2" l="1"/>
  <c r="J1095" i="2"/>
  <c r="K1095" i="2" l="1"/>
  <c r="G1095" i="2"/>
  <c r="H1096" i="2" l="1"/>
  <c r="K1096" i="2" s="1"/>
  <c r="J1096" i="2"/>
  <c r="M1095" i="2"/>
  <c r="N1095" i="2" s="1"/>
  <c r="P1095" i="2" s="1"/>
  <c r="L1096" i="2"/>
  <c r="M1096" i="2" l="1"/>
  <c r="N1096" i="2" s="1"/>
  <c r="P1096" i="2" s="1"/>
  <c r="L1097" i="2"/>
  <c r="G1096" i="2"/>
  <c r="H1097" i="2" l="1"/>
  <c r="K1097" i="2" s="1"/>
  <c r="L1098" i="2" s="1"/>
  <c r="J1097" i="2"/>
  <c r="G1097" i="2" l="1"/>
  <c r="J1098" i="2" s="1"/>
  <c r="M1097" i="2"/>
  <c r="N1097" i="2" s="1"/>
  <c r="P1097" i="2" s="1"/>
  <c r="H1098" i="2" l="1"/>
  <c r="K1098" i="2" s="1"/>
  <c r="M1098" i="2" s="1"/>
  <c r="N1098" i="2" s="1"/>
  <c r="P1098" i="2" s="1"/>
  <c r="L1099" i="2" l="1"/>
  <c r="G1098" i="2"/>
  <c r="H1099" i="2" s="1"/>
  <c r="K1099" i="2" s="1"/>
  <c r="M1099" i="2" l="1"/>
  <c r="N1099" i="2" s="1"/>
  <c r="P1099" i="2" s="1"/>
  <c r="J1099" i="2"/>
  <c r="G1099" i="2" s="1"/>
  <c r="J1100" i="2" s="1"/>
  <c r="L1100" i="2"/>
  <c r="H1100" i="2" l="1"/>
  <c r="K1100" i="2" s="1"/>
  <c r="G1100" i="2" l="1"/>
  <c r="J1101" i="2" s="1"/>
  <c r="L1101" i="2"/>
  <c r="M1100" i="2"/>
  <c r="N1100" i="2" s="1"/>
  <c r="P1100" i="2" s="1"/>
  <c r="H1101" i="2" l="1"/>
  <c r="K1101" i="2" s="1"/>
  <c r="G1101" i="2" l="1"/>
  <c r="H1102" i="2" s="1"/>
  <c r="K1102" i="2" s="1"/>
  <c r="L1102" i="2"/>
  <c r="M1101" i="2"/>
  <c r="N1101" i="2" s="1"/>
  <c r="P1101" i="2" s="1"/>
  <c r="J1102" i="2" l="1"/>
  <c r="G1102" i="2" s="1"/>
  <c r="J1103" i="2" s="1"/>
  <c r="L1103" i="2"/>
  <c r="M1102" i="2"/>
  <c r="N1102" i="2" s="1"/>
  <c r="P1102" i="2" s="1"/>
  <c r="H1103" i="2" l="1"/>
  <c r="K1103" i="2" s="1"/>
  <c r="G1103" i="2" l="1"/>
  <c r="J1104" i="2" s="1"/>
  <c r="M1103" i="2"/>
  <c r="N1103" i="2" s="1"/>
  <c r="P1103" i="2" s="1"/>
  <c r="L1104" i="2"/>
  <c r="H1104" i="2" l="1"/>
  <c r="K1104" i="2" s="1"/>
  <c r="L1105" i="2" s="1"/>
  <c r="G1104" i="2" l="1"/>
  <c r="H1105" i="2" s="1"/>
  <c r="K1105" i="2" s="1"/>
  <c r="M1104" i="2"/>
  <c r="N1104" i="2" s="1"/>
  <c r="P1104" i="2" s="1"/>
  <c r="J1105" i="2" l="1"/>
  <c r="G1105" i="2" s="1"/>
  <c r="H1106" i="2" s="1"/>
  <c r="K1106" i="2" s="1"/>
  <c r="M1105" i="2"/>
  <c r="N1105" i="2" s="1"/>
  <c r="P1105" i="2" s="1"/>
  <c r="L1106" i="2"/>
  <c r="J1106" i="2" l="1"/>
  <c r="G1106" i="2" s="1"/>
  <c r="H1107" i="2" s="1"/>
  <c r="K1107" i="2" s="1"/>
  <c r="L1107" i="2"/>
  <c r="M1106" i="2"/>
  <c r="N1106" i="2" s="1"/>
  <c r="P1106" i="2" s="1"/>
  <c r="M1107" i="2" l="1"/>
  <c r="N1107" i="2" s="1"/>
  <c r="P1107" i="2" s="1"/>
  <c r="J1107" i="2"/>
  <c r="G1107" i="2" s="1"/>
  <c r="L1108" i="2"/>
  <c r="H1108" i="2" l="1"/>
  <c r="K1108" i="2" s="1"/>
  <c r="L1109" i="2" s="1"/>
  <c r="J1108" i="2"/>
  <c r="G1108" i="2" l="1"/>
  <c r="M1108" i="2"/>
  <c r="N1108" i="2" s="1"/>
  <c r="P1108" i="2" s="1"/>
  <c r="H1109" i="2" l="1"/>
  <c r="J1109" i="2"/>
  <c r="K1109" i="2" l="1"/>
  <c r="G1109" i="2"/>
  <c r="J1110" i="2" l="1"/>
  <c r="H1110" i="2"/>
  <c r="L1110" i="2"/>
  <c r="M1109" i="2"/>
  <c r="N1109" i="2" s="1"/>
  <c r="P1109" i="2" s="1"/>
  <c r="G1110" i="2" l="1"/>
  <c r="K1110" i="2"/>
  <c r="H1111" i="2" l="1"/>
  <c r="J1111" i="2"/>
  <c r="M1110" i="2"/>
  <c r="N1110" i="2" s="1"/>
  <c r="P1110" i="2" s="1"/>
  <c r="L1111" i="2"/>
  <c r="G1111" i="2" l="1"/>
  <c r="J1112" i="2" s="1"/>
  <c r="K1111" i="2"/>
  <c r="M1111" i="2" s="1"/>
  <c r="N1111" i="2" s="1"/>
  <c r="P1111" i="2" s="1"/>
  <c r="H1112" i="2" l="1"/>
  <c r="K1112" i="2" s="1"/>
  <c r="L1112" i="2"/>
  <c r="G1112" i="2" l="1"/>
  <c r="J1113" i="2" s="1"/>
  <c r="M1112" i="2"/>
  <c r="N1112" i="2" s="1"/>
  <c r="P1112" i="2" s="1"/>
  <c r="L1113" i="2"/>
  <c r="H1113" i="2" l="1"/>
  <c r="K1113" i="2" s="1"/>
  <c r="M1113" i="2" s="1"/>
  <c r="N1113" i="2" s="1"/>
  <c r="P1113" i="2" s="1"/>
  <c r="G1113" i="2" l="1"/>
  <c r="J1114" i="2" s="1"/>
  <c r="L1114" i="2"/>
  <c r="H1114" i="2" l="1"/>
  <c r="K1114" i="2" s="1"/>
  <c r="L1115" i="2" s="1"/>
  <c r="M1114" i="2" l="1"/>
  <c r="N1114" i="2" s="1"/>
  <c r="P1114" i="2" s="1"/>
  <c r="G1114" i="2"/>
  <c r="J1115" i="2" s="1"/>
  <c r="H1115" i="2" l="1"/>
  <c r="K1115" i="2" s="1"/>
  <c r="M1115" i="2" s="1"/>
  <c r="N1115" i="2" s="1"/>
  <c r="P1115" i="2" s="1"/>
  <c r="L1116" i="2" l="1"/>
  <c r="G1115" i="2"/>
  <c r="H1116" i="2" s="1"/>
  <c r="K1116" i="2" s="1"/>
  <c r="L1117" i="2" l="1"/>
  <c r="J1116" i="2"/>
  <c r="G1116" i="2" s="1"/>
  <c r="H1117" i="2" s="1"/>
  <c r="K1117" i="2" s="1"/>
  <c r="M1116" i="2"/>
  <c r="N1116" i="2" s="1"/>
  <c r="P1116" i="2" s="1"/>
  <c r="J1117" i="2" l="1"/>
  <c r="G1117" i="2" s="1"/>
  <c r="M1117" i="2"/>
  <c r="N1117" i="2" s="1"/>
  <c r="P1117" i="2" s="1"/>
  <c r="L1118" i="2"/>
  <c r="J1118" i="2" l="1"/>
  <c r="H1118" i="2"/>
  <c r="K1118" i="2" s="1"/>
  <c r="M1118" i="2" l="1"/>
  <c r="N1118" i="2" s="1"/>
  <c r="P1118" i="2" s="1"/>
  <c r="L1119" i="2"/>
  <c r="G1118" i="2"/>
  <c r="J1119" i="2" l="1"/>
  <c r="H1119" i="2"/>
  <c r="K1119" i="2" s="1"/>
  <c r="M1119" i="2" s="1"/>
  <c r="N1119" i="2" s="1"/>
  <c r="P1119" i="2" s="1"/>
  <c r="G1119" i="2" l="1"/>
  <c r="L1120" i="2"/>
  <c r="H1120" i="2" l="1"/>
  <c r="K1120" i="2" s="1"/>
  <c r="M1120" i="2" s="1"/>
  <c r="N1120" i="2" s="1"/>
  <c r="P1120" i="2" s="1"/>
  <c r="J1120" i="2"/>
  <c r="G1120" i="2" l="1"/>
  <c r="L1121" i="2"/>
  <c r="H1121" i="2" l="1"/>
  <c r="K1121" i="2" s="1"/>
  <c r="M1121" i="2" s="1"/>
  <c r="N1121" i="2" s="1"/>
  <c r="P1121" i="2" s="1"/>
  <c r="J1121" i="2"/>
  <c r="G1121" i="2" l="1"/>
  <c r="H1122" i="2" s="1"/>
  <c r="K1122" i="2" s="1"/>
  <c r="L1122" i="2"/>
  <c r="J1122" i="2" l="1"/>
  <c r="G1122" i="2" s="1"/>
  <c r="M1122" i="2"/>
  <c r="N1122" i="2" s="1"/>
  <c r="P1122" i="2" s="1"/>
  <c r="L1123" i="2"/>
  <c r="J1123" i="2" l="1"/>
  <c r="H1123" i="2"/>
  <c r="K1123" i="2" s="1"/>
  <c r="L1124" i="2" s="1"/>
  <c r="M1123" i="2" l="1"/>
  <c r="N1123" i="2" s="1"/>
  <c r="P1123" i="2" s="1"/>
  <c r="G1123" i="2"/>
  <c r="J1124" i="2" l="1"/>
  <c r="H1124" i="2"/>
  <c r="G1124" i="2" l="1"/>
  <c r="K1124" i="2"/>
  <c r="M1124" i="2" l="1"/>
  <c r="N1124" i="2" s="1"/>
  <c r="P1124" i="2" s="1"/>
  <c r="L1125" i="2"/>
  <c r="J1125" i="2"/>
  <c r="H1125" i="2"/>
  <c r="K1125" i="2" s="1"/>
  <c r="M1125" i="2" l="1"/>
  <c r="N1125" i="2" s="1"/>
  <c r="P1125" i="2" s="1"/>
  <c r="G1125" i="2"/>
  <c r="L1126" i="2"/>
  <c r="H1126" i="2" l="1"/>
  <c r="K1126" i="2" s="1"/>
  <c r="J1126" i="2"/>
  <c r="M1126" i="2" l="1"/>
  <c r="N1126" i="2" s="1"/>
  <c r="P1126" i="2" s="1"/>
  <c r="L1127" i="2"/>
  <c r="G1126" i="2"/>
  <c r="J1127" i="2" l="1"/>
  <c r="H1127" i="2"/>
  <c r="K1127" i="2" s="1"/>
  <c r="L1128" i="2" s="1"/>
  <c r="G1127" i="2" l="1"/>
  <c r="J1128" i="2" s="1"/>
  <c r="M1127" i="2"/>
  <c r="N1127" i="2" s="1"/>
  <c r="P1127" i="2" s="1"/>
  <c r="H1128" i="2" l="1"/>
  <c r="K1128" i="2" s="1"/>
  <c r="M1128" i="2" s="1"/>
  <c r="N1128" i="2" s="1"/>
  <c r="P1128" i="2" s="1"/>
  <c r="G1128" i="2" l="1"/>
  <c r="H1129" i="2" s="1"/>
  <c r="K1129" i="2" s="1"/>
  <c r="L1129" i="2"/>
  <c r="L1130" i="2" l="1"/>
  <c r="J1129" i="2"/>
  <c r="G1129" i="2" s="1"/>
  <c r="J1130" i="2" s="1"/>
  <c r="M1129" i="2"/>
  <c r="N1129" i="2" s="1"/>
  <c r="P1129" i="2" s="1"/>
  <c r="H1130" i="2" l="1"/>
  <c r="K1130" i="2" s="1"/>
  <c r="M1130" i="2" s="1"/>
  <c r="N1130" i="2" s="1"/>
  <c r="P1130" i="2" s="1"/>
  <c r="L1131" i="2" l="1"/>
  <c r="G1130" i="2"/>
  <c r="J1131" i="2" s="1"/>
  <c r="H1131" i="2" l="1"/>
  <c r="K1131" i="2" s="1"/>
  <c r="L1132" i="2" s="1"/>
  <c r="G1131" i="2" l="1"/>
  <c r="J1132" i="2" s="1"/>
  <c r="M1131" i="2"/>
  <c r="N1131" i="2" s="1"/>
  <c r="P1131" i="2" s="1"/>
  <c r="H1132" i="2" l="1"/>
  <c r="K1132" i="2" s="1"/>
  <c r="L1133" i="2" s="1"/>
  <c r="G1132" i="2" l="1"/>
  <c r="J1133" i="2" s="1"/>
  <c r="M1132" i="2"/>
  <c r="N1132" i="2" s="1"/>
  <c r="P1132" i="2" s="1"/>
  <c r="H1133" i="2" l="1"/>
  <c r="K1133" i="2" s="1"/>
  <c r="L1134" i="2" s="1"/>
  <c r="M1133" i="2" l="1"/>
  <c r="N1133" i="2" s="1"/>
  <c r="P1133" i="2" s="1"/>
  <c r="G1133" i="2"/>
  <c r="H1134" i="2" s="1"/>
  <c r="K1134" i="2" s="1"/>
  <c r="M1134" i="2" s="1"/>
  <c r="N1134" i="2" s="1"/>
  <c r="P1134" i="2" s="1"/>
  <c r="J1134" i="2" l="1"/>
  <c r="G1134" i="2" s="1"/>
  <c r="J1135" i="2" s="1"/>
  <c r="L1135" i="2"/>
  <c r="H1135" i="2" l="1"/>
  <c r="K1135" i="2" s="1"/>
  <c r="M1135" i="2" s="1"/>
  <c r="N1135" i="2" s="1"/>
  <c r="P1135" i="2" s="1"/>
  <c r="G1135" i="2" l="1"/>
  <c r="H1136" i="2" s="1"/>
  <c r="L1136" i="2"/>
  <c r="J1136" i="2" l="1"/>
  <c r="G1136" i="2" s="1"/>
  <c r="K1136" i="2"/>
  <c r="M1136" i="2" l="1"/>
  <c r="N1136" i="2" s="1"/>
  <c r="P1136" i="2" s="1"/>
  <c r="L1137" i="2"/>
  <c r="H1137" i="2"/>
  <c r="K1137" i="2" s="1"/>
  <c r="J1137" i="2"/>
  <c r="G1137" i="2" l="1"/>
  <c r="J1138" i="2" s="1"/>
  <c r="M1137" i="2"/>
  <c r="N1137" i="2" s="1"/>
  <c r="P1137" i="2" s="1"/>
  <c r="L1138" i="2"/>
  <c r="H1138" i="2" l="1"/>
  <c r="G1138" i="2" s="1"/>
  <c r="J1139" i="2" s="1"/>
  <c r="K1138" i="2" l="1"/>
  <c r="M1138" i="2" s="1"/>
  <c r="N1138" i="2" s="1"/>
  <c r="P1138" i="2" s="1"/>
  <c r="H1139" i="2"/>
  <c r="G1139" i="2" s="1"/>
  <c r="J1140" i="2" s="1"/>
  <c r="L1139" i="2" l="1"/>
  <c r="H1140" i="2"/>
  <c r="G1140" i="2" s="1"/>
  <c r="K1139" i="2"/>
  <c r="M1139" i="2" l="1"/>
  <c r="N1139" i="2" s="1"/>
  <c r="P1139" i="2" s="1"/>
  <c r="H1141" i="2"/>
  <c r="J1141" i="2"/>
  <c r="L1140" i="2"/>
  <c r="K1140" i="2"/>
  <c r="L1141" i="2" l="1"/>
  <c r="G1141" i="2"/>
  <c r="J1142" i="2" s="1"/>
  <c r="K1141" i="2"/>
  <c r="M1140" i="2"/>
  <c r="N1140" i="2" s="1"/>
  <c r="P1140" i="2" s="1"/>
  <c r="M1141" i="2" l="1"/>
  <c r="N1141" i="2" s="1"/>
  <c r="P1141" i="2" s="1"/>
  <c r="H1142" i="2"/>
  <c r="K1142" i="2" s="1"/>
  <c r="L1142" i="2"/>
  <c r="G1142" i="2" l="1"/>
  <c r="J1143" i="2" s="1"/>
  <c r="L1143" i="2"/>
  <c r="M1142" i="2"/>
  <c r="N1142" i="2" s="1"/>
  <c r="P1142" i="2" s="1"/>
  <c r="H1143" i="2" l="1"/>
  <c r="K1143" i="2" s="1"/>
  <c r="M1143" i="2" s="1"/>
  <c r="N1143" i="2" s="1"/>
  <c r="P1143" i="2" s="1"/>
  <c r="G1143" i="2" l="1"/>
  <c r="J1144" i="2" s="1"/>
  <c r="L1144" i="2"/>
  <c r="H1144" i="2" l="1"/>
  <c r="K1144" i="2" s="1"/>
  <c r="M1144" i="2" s="1"/>
  <c r="N1144" i="2" s="1"/>
  <c r="P1144" i="2" s="1"/>
  <c r="L1145" i="2" l="1"/>
  <c r="G1144" i="2"/>
  <c r="H1145" i="2" s="1"/>
  <c r="K1145" i="2" s="1"/>
  <c r="L1146" i="2" l="1"/>
  <c r="J1145" i="2"/>
  <c r="G1145" i="2" s="1"/>
  <c r="H1146" i="2" s="1"/>
  <c r="K1146" i="2" s="1"/>
  <c r="M1145" i="2"/>
  <c r="N1145" i="2" s="1"/>
  <c r="P1145" i="2" s="1"/>
  <c r="L1147" i="2" l="1"/>
  <c r="J1146" i="2"/>
  <c r="G1146" i="2" s="1"/>
  <c r="H1147" i="2" s="1"/>
  <c r="K1147" i="2" s="1"/>
  <c r="M1146" i="2"/>
  <c r="N1146" i="2" s="1"/>
  <c r="P1146" i="2" s="1"/>
  <c r="M1147" i="2" l="1"/>
  <c r="N1147" i="2" s="1"/>
  <c r="P1147" i="2" s="1"/>
  <c r="J1147" i="2"/>
  <c r="G1147" i="2" s="1"/>
  <c r="J1148" i="2" s="1"/>
  <c r="L1148" i="2"/>
  <c r="H1148" i="2" l="1"/>
  <c r="K1148" i="2" s="1"/>
  <c r="M1148" i="2" s="1"/>
  <c r="N1148" i="2" s="1"/>
  <c r="P1148" i="2" s="1"/>
  <c r="G1148" i="2" l="1"/>
  <c r="J1149" i="2" s="1"/>
  <c r="L1149" i="2"/>
  <c r="H1149" i="2" l="1"/>
  <c r="K1149" i="2" s="1"/>
  <c r="M1149" i="2" s="1"/>
  <c r="N1149" i="2" s="1"/>
  <c r="P1149" i="2" s="1"/>
  <c r="L1150" i="2" l="1"/>
  <c r="G1149" i="2"/>
  <c r="J1150" i="2" s="1"/>
  <c r="H1150" i="2" l="1"/>
  <c r="K1150" i="2" s="1"/>
  <c r="L1151" i="2" s="1"/>
  <c r="G1150" i="2" l="1"/>
  <c r="H1151" i="2" s="1"/>
  <c r="K1151" i="2" s="1"/>
  <c r="M1150" i="2"/>
  <c r="N1150" i="2" s="1"/>
  <c r="P1150" i="2" s="1"/>
  <c r="J1151" i="2" l="1"/>
  <c r="G1151" i="2" s="1"/>
  <c r="J1152" i="2" s="1"/>
  <c r="M1151" i="2"/>
  <c r="N1151" i="2" s="1"/>
  <c r="P1151" i="2" s="1"/>
  <c r="L1152" i="2"/>
  <c r="H1152" i="2" l="1"/>
  <c r="K1152" i="2" s="1"/>
  <c r="L1153" i="2" s="1"/>
  <c r="G1152" i="2" l="1"/>
  <c r="H1153" i="2" s="1"/>
  <c r="K1153" i="2" s="1"/>
  <c r="M1152" i="2"/>
  <c r="N1152" i="2" s="1"/>
  <c r="P1152" i="2" s="1"/>
  <c r="M1153" i="2" l="1"/>
  <c r="N1153" i="2" s="1"/>
  <c r="P1153" i="2" s="1"/>
  <c r="L1154" i="2"/>
  <c r="J1153" i="2"/>
  <c r="G1153" i="2" s="1"/>
  <c r="H1154" i="2" s="1"/>
  <c r="K1154" i="2" s="1"/>
  <c r="M1154" i="2" l="1"/>
  <c r="N1154" i="2" s="1"/>
  <c r="P1154" i="2" s="1"/>
  <c r="L1155" i="2"/>
  <c r="J1154" i="2"/>
  <c r="G1154" i="2" s="1"/>
  <c r="J1155" i="2" s="1"/>
  <c r="H1155" i="2" l="1"/>
  <c r="K1155" i="2" s="1"/>
  <c r="M1155" i="2" s="1"/>
  <c r="N1155" i="2" s="1"/>
  <c r="P1155" i="2" s="1"/>
  <c r="L1156" i="2" l="1"/>
  <c r="G1155" i="2"/>
  <c r="J1156" i="2" s="1"/>
  <c r="H1156" i="2" l="1"/>
  <c r="K1156" i="2" s="1"/>
  <c r="M1156" i="2" s="1"/>
  <c r="N1156" i="2" s="1"/>
  <c r="P1156" i="2" s="1"/>
  <c r="G1156" i="2" l="1"/>
  <c r="J1157" i="2" s="1"/>
  <c r="L1157" i="2"/>
  <c r="H1157" i="2" l="1"/>
  <c r="K1157" i="2" s="1"/>
  <c r="L1158" i="2" s="1"/>
  <c r="M1157" i="2" l="1"/>
  <c r="N1157" i="2" s="1"/>
  <c r="P1157" i="2" s="1"/>
  <c r="G1157" i="2"/>
  <c r="J1158" i="2" s="1"/>
  <c r="H1158" i="2" l="1"/>
  <c r="K1158" i="2" s="1"/>
  <c r="M1158" i="2" s="1"/>
  <c r="N1158" i="2" s="1"/>
  <c r="P1158" i="2" s="1"/>
  <c r="G1158" i="2" l="1"/>
  <c r="H1159" i="2" s="1"/>
  <c r="K1159" i="2" s="1"/>
  <c r="L1159" i="2"/>
  <c r="M1159" i="2" l="1"/>
  <c r="N1159" i="2" s="1"/>
  <c r="P1159" i="2" s="1"/>
  <c r="J1159" i="2"/>
  <c r="G1159" i="2" s="1"/>
  <c r="J1160" i="2" s="1"/>
  <c r="L1160" i="2"/>
  <c r="H1160" i="2" l="1"/>
  <c r="K1160" i="2" s="1"/>
  <c r="L1161" i="2" s="1"/>
  <c r="M1160" i="2" l="1"/>
  <c r="N1160" i="2" s="1"/>
  <c r="P1160" i="2" s="1"/>
  <c r="G1160" i="2"/>
  <c r="H1161" i="2" s="1"/>
  <c r="K1161" i="2" s="1"/>
  <c r="J1161" i="2" l="1"/>
  <c r="G1161" i="2" s="1"/>
  <c r="H1162" i="2" s="1"/>
  <c r="K1162" i="2" s="1"/>
  <c r="M1161" i="2"/>
  <c r="N1161" i="2" s="1"/>
  <c r="P1161" i="2" s="1"/>
  <c r="L1162" i="2"/>
  <c r="J1162" i="2" l="1"/>
  <c r="G1162" i="2" s="1"/>
  <c r="J1163" i="2" s="1"/>
  <c r="M1162" i="2"/>
  <c r="N1162" i="2" s="1"/>
  <c r="P1162" i="2" s="1"/>
  <c r="L1163" i="2"/>
  <c r="H1163" i="2" l="1"/>
  <c r="K1163" i="2" s="1"/>
  <c r="M1163" i="2" s="1"/>
  <c r="N1163" i="2" s="1"/>
  <c r="P1163" i="2" s="1"/>
  <c r="G1163" i="2" l="1"/>
  <c r="J1164" i="2" s="1"/>
  <c r="L1164" i="2"/>
  <c r="H1164" i="2" l="1"/>
  <c r="K1164" i="2" s="1"/>
  <c r="M1164" i="2" s="1"/>
  <c r="N1164" i="2" s="1"/>
  <c r="P1164" i="2" s="1"/>
  <c r="G1164" i="2" l="1"/>
  <c r="J1165" i="2" s="1"/>
  <c r="L1165" i="2"/>
  <c r="H1165" i="2" l="1"/>
  <c r="K1165" i="2" s="1"/>
  <c r="M1165" i="2" s="1"/>
  <c r="N1165" i="2" s="1"/>
  <c r="P1165" i="2" s="1"/>
  <c r="L1166" i="2" l="1"/>
  <c r="G1165" i="2"/>
  <c r="J1166" i="2" s="1"/>
  <c r="H1166" i="2" l="1"/>
  <c r="K1166" i="2" s="1"/>
  <c r="M1166" i="2" s="1"/>
  <c r="N1166" i="2" s="1"/>
  <c r="P1166" i="2" s="1"/>
  <c r="G1166" i="2" l="1"/>
  <c r="J1167" i="2" s="1"/>
  <c r="L1167" i="2"/>
  <c r="H1167" i="2" l="1"/>
  <c r="G1167" i="2" s="1"/>
  <c r="K1167" i="2" l="1"/>
  <c r="M1167" i="2" s="1"/>
  <c r="N1167" i="2" s="1"/>
  <c r="P1167" i="2" s="1"/>
  <c r="J1168" i="2"/>
  <c r="H1168" i="2"/>
  <c r="K1168" i="2" l="1"/>
  <c r="L1168" i="2"/>
  <c r="G1168" i="2"/>
  <c r="J1169" i="2" s="1"/>
  <c r="M1168" i="2" l="1"/>
  <c r="N1168" i="2" s="1"/>
  <c r="P1168" i="2" s="1"/>
  <c r="L1169" i="2"/>
  <c r="H1169" i="2"/>
  <c r="K1169" i="2" s="1"/>
  <c r="M1169" i="2" l="1"/>
  <c r="N1169" i="2" s="1"/>
  <c r="P1169" i="2" s="1"/>
  <c r="L1170" i="2"/>
  <c r="G1169" i="2"/>
  <c r="J1170" i="2" s="1"/>
  <c r="H1170" i="2" l="1"/>
  <c r="K1170" i="2" s="1"/>
  <c r="M1170" i="2" s="1"/>
  <c r="N1170" i="2" s="1"/>
  <c r="P1170" i="2" s="1"/>
  <c r="G1170" i="2" l="1"/>
  <c r="H1171" i="2" s="1"/>
  <c r="K1171" i="2" s="1"/>
  <c r="L1171" i="2"/>
  <c r="J1171" i="2" l="1"/>
  <c r="G1171" i="2" s="1"/>
  <c r="H1172" i="2" s="1"/>
  <c r="K1172" i="2" s="1"/>
  <c r="M1171" i="2"/>
  <c r="N1171" i="2" s="1"/>
  <c r="P1171" i="2" s="1"/>
  <c r="L1172" i="2"/>
  <c r="J1172" i="2" l="1"/>
  <c r="G1172" i="2" s="1"/>
  <c r="H1173" i="2" s="1"/>
  <c r="K1173" i="2" s="1"/>
  <c r="M1172" i="2"/>
  <c r="N1172" i="2" s="1"/>
  <c r="P1172" i="2" s="1"/>
  <c r="L1173" i="2"/>
  <c r="M1173" i="2" l="1"/>
  <c r="N1173" i="2" s="1"/>
  <c r="P1173" i="2" s="1"/>
  <c r="J1173" i="2"/>
  <c r="G1173" i="2" s="1"/>
  <c r="L1174" i="2"/>
  <c r="J1174" i="2" l="1"/>
  <c r="H1174" i="2"/>
  <c r="K1174" i="2" s="1"/>
  <c r="G1174" i="2" l="1"/>
  <c r="L1175" i="2"/>
  <c r="M1174" i="2"/>
  <c r="N1174" i="2" s="1"/>
  <c r="P1174" i="2" s="1"/>
  <c r="J1175" i="2" l="1"/>
  <c r="H1175" i="2"/>
  <c r="K1175" i="2" s="1"/>
  <c r="G1175" i="2" l="1"/>
  <c r="M1175" i="2"/>
  <c r="N1175" i="2" s="1"/>
  <c r="P1175" i="2" s="1"/>
  <c r="L1176" i="2"/>
  <c r="H1176" i="2" l="1"/>
  <c r="K1176" i="2" s="1"/>
  <c r="L1177" i="2" s="1"/>
  <c r="J1176" i="2"/>
  <c r="G1176" i="2" l="1"/>
  <c r="J1177" i="2" s="1"/>
  <c r="M1176" i="2"/>
  <c r="N1176" i="2" s="1"/>
  <c r="P1176" i="2" s="1"/>
  <c r="H1177" i="2" l="1"/>
  <c r="K1177" i="2" s="1"/>
  <c r="M1177" i="2" s="1"/>
  <c r="N1177" i="2" s="1"/>
  <c r="P1177" i="2" s="1"/>
  <c r="G1177" i="2" l="1"/>
  <c r="H1178" i="2" s="1"/>
  <c r="K1178" i="2" s="1"/>
  <c r="L1178" i="2"/>
  <c r="M1178" i="2" l="1"/>
  <c r="N1178" i="2" s="1"/>
  <c r="P1178" i="2" s="1"/>
  <c r="J1178" i="2"/>
  <c r="G1178" i="2" s="1"/>
  <c r="L1179" i="2"/>
  <c r="H1179" i="2" l="1"/>
  <c r="K1179" i="2" s="1"/>
  <c r="M1179" i="2" s="1"/>
  <c r="N1179" i="2" s="1"/>
  <c r="P1179" i="2" s="1"/>
  <c r="J1179" i="2"/>
  <c r="G1179" i="2" l="1"/>
  <c r="J1180" i="2" s="1"/>
  <c r="L1180" i="2"/>
  <c r="H1180" i="2" l="1"/>
  <c r="K1180" i="2" s="1"/>
  <c r="L1181" i="2" s="1"/>
  <c r="G1180" i="2" l="1"/>
  <c r="H1181" i="2" s="1"/>
  <c r="K1181" i="2" s="1"/>
  <c r="M1181" i="2" s="1"/>
  <c r="N1181" i="2" s="1"/>
  <c r="P1181" i="2" s="1"/>
  <c r="M1180" i="2"/>
  <c r="N1180" i="2" s="1"/>
  <c r="P1180" i="2" s="1"/>
  <c r="J1181" i="2" l="1"/>
  <c r="G1181" i="2" s="1"/>
  <c r="L1182" i="2"/>
  <c r="J1182" i="2" l="1"/>
  <c r="H1182" i="2"/>
  <c r="K1182" i="2" s="1"/>
  <c r="M1182" i="2" s="1"/>
  <c r="N1182" i="2" s="1"/>
  <c r="P1182" i="2" s="1"/>
  <c r="L1183" i="2" l="1"/>
  <c r="G1182" i="2"/>
  <c r="H1183" i="2" l="1"/>
  <c r="K1183" i="2" s="1"/>
  <c r="J1183" i="2"/>
  <c r="G1183" i="2" l="1"/>
  <c r="H1184" i="2" s="1"/>
  <c r="K1184" i="2" s="1"/>
  <c r="M1183" i="2"/>
  <c r="N1183" i="2" s="1"/>
  <c r="P1183" i="2" s="1"/>
  <c r="L1184" i="2"/>
  <c r="J1184" i="2" l="1"/>
  <c r="G1184" i="2" s="1"/>
  <c r="H1185" i="2" s="1"/>
  <c r="M1184" i="2"/>
  <c r="N1184" i="2" s="1"/>
  <c r="P1184" i="2" s="1"/>
  <c r="L1185" i="2"/>
  <c r="J1185" i="2" l="1"/>
  <c r="G1185" i="2" s="1"/>
  <c r="K1185" i="2"/>
  <c r="M1185" i="2" s="1"/>
  <c r="N1185" i="2" s="1"/>
  <c r="P1185" i="2" s="1"/>
  <c r="L1186" i="2" l="1"/>
  <c r="H1186" i="2"/>
  <c r="K1186" i="2" s="1"/>
  <c r="J1186" i="2"/>
  <c r="M1186" i="2" l="1"/>
  <c r="N1186" i="2" s="1"/>
  <c r="P1186" i="2" s="1"/>
  <c r="G1186" i="2"/>
  <c r="H1187" i="2" s="1"/>
  <c r="K1187" i="2" s="1"/>
  <c r="L1187" i="2"/>
  <c r="J1187" i="2" l="1"/>
  <c r="G1187" i="2" s="1"/>
  <c r="L1188" i="2"/>
  <c r="M1187" i="2"/>
  <c r="N1187" i="2" s="1"/>
  <c r="P1187" i="2" s="1"/>
  <c r="H1188" i="2" l="1"/>
  <c r="K1188" i="2" s="1"/>
  <c r="M1188" i="2" s="1"/>
  <c r="N1188" i="2" s="1"/>
  <c r="P1188" i="2" s="1"/>
  <c r="J1188" i="2"/>
  <c r="G1188" i="2" l="1"/>
  <c r="H1189" i="2" s="1"/>
  <c r="L1189" i="2"/>
  <c r="J1189" i="2" l="1"/>
  <c r="G1189" i="2" s="1"/>
  <c r="K1189" i="2"/>
  <c r="M1189" i="2" l="1"/>
  <c r="N1189" i="2" s="1"/>
  <c r="P1189" i="2" s="1"/>
  <c r="L1190" i="2"/>
  <c r="H1190" i="2"/>
  <c r="K1190" i="2" s="1"/>
  <c r="J1190" i="2"/>
  <c r="G1190" i="2" l="1"/>
  <c r="J1191" i="2" s="1"/>
  <c r="M1190" i="2"/>
  <c r="N1190" i="2" s="1"/>
  <c r="P1190" i="2" s="1"/>
  <c r="L1191" i="2"/>
  <c r="H1191" i="2" l="1"/>
  <c r="G1191" i="2" s="1"/>
  <c r="J1192" i="2" s="1"/>
  <c r="K1191" i="2" l="1"/>
  <c r="L1192" i="2" s="1"/>
  <c r="H1192" i="2"/>
  <c r="G1192" i="2" s="1"/>
  <c r="M1191" i="2" l="1"/>
  <c r="N1191" i="2" s="1"/>
  <c r="P1191" i="2" s="1"/>
  <c r="K1192" i="2"/>
  <c r="M1192" i="2" s="1"/>
  <c r="N1192" i="2" s="1"/>
  <c r="P1192" i="2" s="1"/>
  <c r="J1193" i="2"/>
  <c r="H1193" i="2"/>
  <c r="L1193" i="2" l="1"/>
  <c r="K1193" i="2"/>
  <c r="G1193" i="2"/>
  <c r="J1194" i="2" s="1"/>
  <c r="M1193" i="2" l="1"/>
  <c r="N1193" i="2" s="1"/>
  <c r="P1193" i="2" s="1"/>
  <c r="H1194" i="2"/>
  <c r="K1194" i="2" s="1"/>
  <c r="L1194" i="2"/>
  <c r="L1195" i="2" l="1"/>
  <c r="G1194" i="2"/>
  <c r="H1195" i="2" s="1"/>
  <c r="K1195" i="2" s="1"/>
  <c r="M1194" i="2"/>
  <c r="N1194" i="2" s="1"/>
  <c r="P1194" i="2" s="1"/>
  <c r="M1195" i="2" l="1"/>
  <c r="N1195" i="2" s="1"/>
  <c r="P1195" i="2" s="1"/>
  <c r="J1195" i="2"/>
  <c r="G1195" i="2" s="1"/>
  <c r="H1196" i="2" s="1"/>
  <c r="K1196" i="2" s="1"/>
  <c r="L1196" i="2"/>
  <c r="J1196" i="2" l="1"/>
  <c r="G1196" i="2" s="1"/>
  <c r="H1197" i="2" s="1"/>
  <c r="K1197" i="2" s="1"/>
  <c r="L1197" i="2"/>
  <c r="M1196" i="2"/>
  <c r="N1196" i="2" s="1"/>
  <c r="P1196" i="2" s="1"/>
  <c r="M1197" i="2" l="1"/>
  <c r="N1197" i="2" s="1"/>
  <c r="P1197" i="2" s="1"/>
  <c r="L1198" i="2"/>
  <c r="J1197" i="2"/>
  <c r="G1197" i="2" s="1"/>
  <c r="H1198" i="2" s="1"/>
  <c r="K1198" i="2" s="1"/>
  <c r="J1198" i="2" l="1"/>
  <c r="G1198" i="2" s="1"/>
  <c r="H1199" i="2" s="1"/>
  <c r="K1199" i="2" s="1"/>
  <c r="M1198" i="2"/>
  <c r="N1198" i="2" s="1"/>
  <c r="P1198" i="2" s="1"/>
  <c r="L1199" i="2"/>
  <c r="L1200" i="2" l="1"/>
  <c r="J1199" i="2"/>
  <c r="G1199" i="2" s="1"/>
  <c r="M1199" i="2"/>
  <c r="N1199" i="2" s="1"/>
  <c r="P1199" i="2" s="1"/>
  <c r="H1200" i="2" l="1"/>
  <c r="K1200" i="2" s="1"/>
  <c r="J1200" i="2"/>
  <c r="G1200" i="2" l="1"/>
  <c r="J1201" i="2" s="1"/>
  <c r="M1200" i="2"/>
  <c r="N1200" i="2" s="1"/>
  <c r="P1200" i="2" s="1"/>
  <c r="L1201" i="2"/>
  <c r="H1201" i="2" l="1"/>
  <c r="K1201" i="2" s="1"/>
  <c r="M1201" i="2" s="1"/>
  <c r="N1201" i="2" s="1"/>
  <c r="P1201" i="2" s="1"/>
  <c r="G1201" i="2" l="1"/>
  <c r="H1202" i="2" s="1"/>
  <c r="K1202" i="2" s="1"/>
  <c r="L1202" i="2"/>
  <c r="J1202" i="2" l="1"/>
  <c r="G1202" i="2" s="1"/>
  <c r="J1203" i="2" s="1"/>
  <c r="M1202" i="2"/>
  <c r="N1202" i="2" s="1"/>
  <c r="P1202" i="2" s="1"/>
  <c r="L1203" i="2"/>
  <c r="H1203" i="2" l="1"/>
  <c r="K1203" i="2" s="1"/>
  <c r="L1204" i="2" s="1"/>
  <c r="G1203" i="2" l="1"/>
  <c r="H1204" i="2" s="1"/>
  <c r="M1203" i="2"/>
  <c r="N1203" i="2" s="1"/>
  <c r="P1203" i="2" s="1"/>
  <c r="J1204" i="2" l="1"/>
  <c r="G1204" i="2" s="1"/>
  <c r="K1204" i="2"/>
  <c r="M1204" i="2" l="1"/>
  <c r="N1204" i="2" s="1"/>
  <c r="P1204" i="2" s="1"/>
  <c r="L1205" i="2"/>
  <c r="H1205" i="2"/>
  <c r="K1205" i="2" s="1"/>
  <c r="J1205" i="2"/>
  <c r="M1205" i="2" l="1"/>
  <c r="N1205" i="2" s="1"/>
  <c r="P1205" i="2" s="1"/>
  <c r="G1205" i="2"/>
  <c r="J1206" i="2" s="1"/>
  <c r="L1206" i="2"/>
  <c r="H1206" i="2" l="1"/>
  <c r="K1206" i="2" s="1"/>
  <c r="M1206" i="2" s="1"/>
  <c r="N1206" i="2" s="1"/>
  <c r="P1206" i="2" s="1"/>
  <c r="L1207" i="2" l="1"/>
  <c r="G1206" i="2"/>
  <c r="J1207" i="2" l="1"/>
  <c r="H1207" i="2"/>
  <c r="K1207" i="2" l="1"/>
  <c r="G1207" i="2"/>
  <c r="H1208" i="2" l="1"/>
  <c r="K1208" i="2" s="1"/>
  <c r="J1208" i="2"/>
  <c r="M1207" i="2"/>
  <c r="N1207" i="2" s="1"/>
  <c r="P1207" i="2" s="1"/>
  <c r="L1208" i="2"/>
  <c r="G1208" i="2" l="1"/>
  <c r="H1209" i="2" s="1"/>
  <c r="K1209" i="2" s="1"/>
  <c r="L1209" i="2"/>
  <c r="M1208" i="2"/>
  <c r="N1208" i="2" s="1"/>
  <c r="P1208" i="2" s="1"/>
  <c r="J1209" i="2" l="1"/>
  <c r="G1209" i="2" s="1"/>
  <c r="H1210" i="2" s="1"/>
  <c r="K1210" i="2" s="1"/>
  <c r="M1209" i="2"/>
  <c r="N1209" i="2" s="1"/>
  <c r="P1209" i="2" s="1"/>
  <c r="L1210" i="2"/>
  <c r="J1210" i="2" l="1"/>
  <c r="G1210" i="2" s="1"/>
  <c r="H1211" i="2" s="1"/>
  <c r="K1211" i="2" s="1"/>
  <c r="M1210" i="2"/>
  <c r="N1210" i="2" s="1"/>
  <c r="P1210" i="2" s="1"/>
  <c r="L1211" i="2"/>
  <c r="J1211" i="2" l="1"/>
  <c r="G1211" i="2" s="1"/>
  <c r="J1212" i="2" s="1"/>
  <c r="L1212" i="2"/>
  <c r="M1211" i="2"/>
  <c r="N1211" i="2" s="1"/>
  <c r="P1211" i="2" s="1"/>
  <c r="H1212" i="2" l="1"/>
  <c r="G1212" i="2" s="1"/>
  <c r="J1213" i="2" s="1"/>
  <c r="K1212" i="2" l="1"/>
  <c r="M1212" i="2" s="1"/>
  <c r="N1212" i="2" s="1"/>
  <c r="P1212" i="2" s="1"/>
  <c r="H1213" i="2"/>
  <c r="G1213" i="2" s="1"/>
  <c r="L1213" i="2" l="1"/>
  <c r="H1214" i="2"/>
  <c r="J1214" i="2"/>
  <c r="K1213" i="2"/>
  <c r="M1213" i="2" l="1"/>
  <c r="N1213" i="2" s="1"/>
  <c r="P1213" i="2" s="1"/>
  <c r="G1214" i="2"/>
  <c r="J1215" i="2" s="1"/>
  <c r="K1214" i="2"/>
  <c r="L1214" i="2"/>
  <c r="H1215" i="2" l="1"/>
  <c r="G1215" i="2" s="1"/>
  <c r="M1214" i="2"/>
  <c r="N1214" i="2" s="1"/>
  <c r="P1214" i="2" s="1"/>
  <c r="L1215" i="2"/>
  <c r="K1215" i="2" l="1"/>
  <c r="M1215" i="2" s="1"/>
  <c r="N1215" i="2" s="1"/>
  <c r="P1215" i="2" s="1"/>
  <c r="H1216" i="2"/>
  <c r="J1216" i="2"/>
  <c r="L1216" i="2" l="1"/>
  <c r="K1216" i="2"/>
  <c r="G1216" i="2"/>
  <c r="H1217" i="2" s="1"/>
  <c r="M1216" i="2" l="1"/>
  <c r="N1216" i="2" s="1"/>
  <c r="P1216" i="2" s="1"/>
  <c r="L1217" i="2"/>
  <c r="K1217" i="2"/>
  <c r="J1217" i="2"/>
  <c r="G1217" i="2" s="1"/>
  <c r="L1218" i="2" l="1"/>
  <c r="M1217" i="2"/>
  <c r="N1217" i="2" s="1"/>
  <c r="P1217" i="2" s="1"/>
  <c r="H1218" i="2"/>
  <c r="K1218" i="2" s="1"/>
  <c r="J1218" i="2"/>
  <c r="G1218" i="2" l="1"/>
  <c r="J1219" i="2" s="1"/>
  <c r="L1219" i="2"/>
  <c r="M1218" i="2"/>
  <c r="N1218" i="2" s="1"/>
  <c r="P1218" i="2" s="1"/>
  <c r="H1219" i="2" l="1"/>
  <c r="K1219" i="2" s="1"/>
  <c r="M1219" i="2" s="1"/>
  <c r="N1219" i="2" s="1"/>
  <c r="P1219" i="2" s="1"/>
  <c r="G1219" i="2" l="1"/>
  <c r="H1220" i="2" s="1"/>
  <c r="L1220" i="2"/>
  <c r="J1220" i="2" l="1"/>
  <c r="G1220" i="2" s="1"/>
  <c r="K1220" i="2"/>
  <c r="H1221" i="2" l="1"/>
  <c r="K1221" i="2" s="1"/>
  <c r="J1221" i="2"/>
  <c r="L1221" i="2"/>
  <c r="M1220" i="2"/>
  <c r="N1220" i="2" s="1"/>
  <c r="P1220" i="2" s="1"/>
  <c r="M1221" i="2" l="1"/>
  <c r="N1221" i="2" s="1"/>
  <c r="P1221" i="2" s="1"/>
  <c r="G1221" i="2"/>
  <c r="H1222" i="2" s="1"/>
  <c r="K1222" i="2" s="1"/>
  <c r="L1222" i="2"/>
  <c r="J1222" i="2" l="1"/>
  <c r="G1222" i="2" s="1"/>
  <c r="M1222" i="2"/>
  <c r="N1222" i="2" s="1"/>
  <c r="P1222" i="2" s="1"/>
  <c r="L1223" i="2"/>
  <c r="J1223" i="2" l="1"/>
  <c r="H1223" i="2"/>
  <c r="K1223" i="2" s="1"/>
  <c r="L1224" i="2" s="1"/>
  <c r="G1223" i="2" l="1"/>
  <c r="J1224" i="2" s="1"/>
  <c r="M1223" i="2"/>
  <c r="N1223" i="2" s="1"/>
  <c r="P1223" i="2" s="1"/>
  <c r="H1224" i="2" l="1"/>
  <c r="G1224" i="2" s="1"/>
  <c r="J1225" i="2" l="1"/>
  <c r="H1225" i="2"/>
  <c r="K1224" i="2"/>
  <c r="L1225" i="2" s="1"/>
  <c r="G1225" i="2" l="1"/>
  <c r="H1226" i="2" s="1"/>
  <c r="M1224" i="2"/>
  <c r="N1224" i="2" s="1"/>
  <c r="P1224" i="2" s="1"/>
  <c r="K1225" i="2"/>
  <c r="M1225" i="2" s="1"/>
  <c r="N1225" i="2" s="1"/>
  <c r="P1225" i="2" s="1"/>
  <c r="J1226" i="2" l="1"/>
  <c r="G1226" i="2" s="1"/>
  <c r="J1227" i="2" s="1"/>
  <c r="K1226" i="2"/>
  <c r="L1226" i="2"/>
  <c r="L1227" i="2" l="1"/>
  <c r="M1226" i="2"/>
  <c r="N1226" i="2" s="1"/>
  <c r="P1226" i="2" s="1"/>
  <c r="H1227" i="2"/>
  <c r="K1227" i="2" s="1"/>
  <c r="L1228" i="2" l="1"/>
  <c r="M1227" i="2"/>
  <c r="N1227" i="2" s="1"/>
  <c r="P1227" i="2" s="1"/>
  <c r="G1227" i="2"/>
  <c r="J1228" i="2" l="1"/>
  <c r="H1228" i="2"/>
  <c r="K1228" i="2" s="1"/>
  <c r="G1228" i="2" l="1"/>
  <c r="J1229" i="2" s="1"/>
  <c r="M1228" i="2"/>
  <c r="N1228" i="2" s="1"/>
  <c r="P1228" i="2" s="1"/>
  <c r="L1229" i="2"/>
  <c r="H1229" i="2" l="1"/>
  <c r="K1229" i="2" s="1"/>
  <c r="L1230" i="2" s="1"/>
  <c r="M1229" i="2" l="1"/>
  <c r="N1229" i="2" s="1"/>
  <c r="P1229" i="2" s="1"/>
  <c r="G1229" i="2"/>
  <c r="H1230" i="2" l="1"/>
  <c r="J1230" i="2"/>
  <c r="K1230" i="2" l="1"/>
  <c r="G1230" i="2"/>
  <c r="M1230" i="2" l="1"/>
  <c r="N1230" i="2" s="1"/>
  <c r="P1230" i="2" s="1"/>
  <c r="L1231" i="2"/>
  <c r="H1231" i="2"/>
  <c r="K1231" i="2" s="1"/>
  <c r="J1231" i="2"/>
  <c r="G1231" i="2" l="1"/>
  <c r="H1232" i="2" s="1"/>
  <c r="K1232" i="2" s="1"/>
  <c r="L1232" i="2"/>
  <c r="M1231" i="2"/>
  <c r="N1231" i="2" s="1"/>
  <c r="P1231" i="2" s="1"/>
  <c r="J1232" i="2" l="1"/>
  <c r="G1232" i="2" s="1"/>
  <c r="J1233" i="2" s="1"/>
  <c r="M1232" i="2"/>
  <c r="N1232" i="2" s="1"/>
  <c r="P1232" i="2" s="1"/>
  <c r="L1233" i="2"/>
  <c r="H1233" i="2" l="1"/>
  <c r="K1233" i="2" s="1"/>
  <c r="M1233" i="2" s="1"/>
  <c r="N1233" i="2" s="1"/>
  <c r="P1233" i="2" s="1"/>
  <c r="G1233" i="2" l="1"/>
  <c r="H1234" i="2" s="1"/>
  <c r="K1234" i="2" s="1"/>
  <c r="L1234" i="2"/>
  <c r="J1234" i="2" l="1"/>
  <c r="G1234" i="2" s="1"/>
  <c r="J1235" i="2" s="1"/>
  <c r="M1234" i="2"/>
  <c r="N1234" i="2" s="1"/>
  <c r="P1234" i="2" s="1"/>
  <c r="L1235" i="2"/>
  <c r="H1235" i="2" l="1"/>
  <c r="K1235" i="2" s="1"/>
  <c r="M1235" i="2" s="1"/>
  <c r="N1235" i="2" s="1"/>
  <c r="P1235" i="2" s="1"/>
  <c r="G1235" i="2" l="1"/>
  <c r="J1236" i="2" s="1"/>
  <c r="L1236" i="2"/>
  <c r="H1236" i="2" l="1"/>
  <c r="K1236" i="2" s="1"/>
  <c r="L1237" i="2" s="1"/>
  <c r="M1236" i="2" l="1"/>
  <c r="N1236" i="2" s="1"/>
  <c r="P1236" i="2" s="1"/>
  <c r="G1236" i="2"/>
  <c r="J1237" i="2" s="1"/>
  <c r="H1237" i="2" l="1"/>
  <c r="K1237" i="2" s="1"/>
  <c r="M1237" i="2" s="1"/>
  <c r="N1237" i="2" s="1"/>
  <c r="P1237" i="2" s="1"/>
  <c r="G1237" i="2" l="1"/>
  <c r="H1238" i="2" s="1"/>
  <c r="K1238" i="2" s="1"/>
  <c r="L1238" i="2"/>
  <c r="J1238" i="2" l="1"/>
  <c r="G1238" i="2" s="1"/>
  <c r="J1239" i="2" s="1"/>
  <c r="L1239" i="2"/>
  <c r="M1238" i="2"/>
  <c r="N1238" i="2" s="1"/>
  <c r="P1238" i="2" s="1"/>
  <c r="H1239" i="2" l="1"/>
  <c r="K1239" i="2" s="1"/>
  <c r="L1240" i="2" s="1"/>
  <c r="M1239" i="2" l="1"/>
  <c r="N1239" i="2" s="1"/>
  <c r="P1239" i="2" s="1"/>
  <c r="G1239" i="2"/>
  <c r="H1240" i="2" s="1"/>
  <c r="K1240" i="2" s="1"/>
  <c r="J1240" i="2" l="1"/>
  <c r="G1240" i="2" s="1"/>
  <c r="H1241" i="2" s="1"/>
  <c r="K1241" i="2" s="1"/>
  <c r="L1241" i="2"/>
  <c r="M1240" i="2"/>
  <c r="N1240" i="2" s="1"/>
  <c r="P1240" i="2" s="1"/>
  <c r="J1241" i="2" l="1"/>
  <c r="G1241" i="2" s="1"/>
  <c r="J1242" i="2" s="1"/>
  <c r="M1241" i="2"/>
  <c r="N1241" i="2" s="1"/>
  <c r="P1241" i="2" s="1"/>
  <c r="L1242" i="2"/>
  <c r="H1242" i="2" l="1"/>
  <c r="K1242" i="2" s="1"/>
  <c r="M1242" i="2" s="1"/>
  <c r="N1242" i="2" s="1"/>
  <c r="P1242" i="2" s="1"/>
  <c r="L1243" i="2" l="1"/>
  <c r="G1242" i="2"/>
  <c r="J1243" i="2" s="1"/>
  <c r="H1243" i="2" l="1"/>
  <c r="K1243" i="2" s="1"/>
  <c r="M1243" i="2" s="1"/>
  <c r="N1243" i="2" s="1"/>
  <c r="P1243" i="2" s="1"/>
  <c r="G1243" i="2" l="1"/>
  <c r="J1244" i="2" s="1"/>
  <c r="L1244" i="2"/>
  <c r="H1244" i="2" l="1"/>
  <c r="K1244" i="2" s="1"/>
  <c r="M1244" i="2" s="1"/>
  <c r="N1244" i="2" s="1"/>
  <c r="P1244" i="2" s="1"/>
  <c r="G1244" i="2" l="1"/>
  <c r="H1245" i="2" s="1"/>
  <c r="K1245" i="2" s="1"/>
  <c r="L1245" i="2"/>
  <c r="M1245" i="2" l="1"/>
  <c r="N1245" i="2" s="1"/>
  <c r="P1245" i="2" s="1"/>
  <c r="J1245" i="2"/>
  <c r="G1245" i="2" s="1"/>
  <c r="H1246" i="2" s="1"/>
  <c r="K1246" i="2" s="1"/>
  <c r="L1246" i="2"/>
  <c r="J1246" i="2" l="1"/>
  <c r="G1246" i="2" s="1"/>
  <c r="M1246" i="2"/>
  <c r="N1246" i="2" s="1"/>
  <c r="P1246" i="2" s="1"/>
  <c r="L1247" i="2"/>
  <c r="J1247" i="2" l="1"/>
  <c r="H1247" i="2"/>
  <c r="K1247" i="2" s="1"/>
  <c r="G1247" i="2" l="1"/>
  <c r="J1248" i="2" s="1"/>
  <c r="L1248" i="2"/>
  <c r="M1247" i="2"/>
  <c r="N1247" i="2" s="1"/>
  <c r="P1247" i="2" s="1"/>
  <c r="H1248" i="2" l="1"/>
  <c r="K1248" i="2" s="1"/>
  <c r="L1249" i="2" s="1"/>
  <c r="M1248" i="2" l="1"/>
  <c r="N1248" i="2" s="1"/>
  <c r="P1248" i="2" s="1"/>
  <c r="G1248" i="2"/>
  <c r="H1249" i="2" l="1"/>
  <c r="K1249" i="2" s="1"/>
  <c r="J1249" i="2"/>
  <c r="G1249" i="2" l="1"/>
  <c r="J1250" i="2" s="1"/>
  <c r="M1249" i="2"/>
  <c r="N1249" i="2" s="1"/>
  <c r="P1249" i="2" s="1"/>
  <c r="L1250" i="2"/>
  <c r="H1250" i="2" l="1"/>
  <c r="K1250" i="2" s="1"/>
  <c r="L1251" i="2" s="1"/>
  <c r="G1250" i="2" l="1"/>
  <c r="J1251" i="2" s="1"/>
  <c r="M1250" i="2"/>
  <c r="N1250" i="2" s="1"/>
  <c r="P1250" i="2" s="1"/>
  <c r="H1251" i="2" l="1"/>
  <c r="K1251" i="2" s="1"/>
  <c r="L1252" i="2" s="1"/>
  <c r="M1251" i="2" l="1"/>
  <c r="N1251" i="2" s="1"/>
  <c r="P1251" i="2" s="1"/>
  <c r="G1251" i="2"/>
  <c r="H1252" i="2" s="1"/>
  <c r="K1252" i="2" s="1"/>
  <c r="L1253" i="2" s="1"/>
  <c r="M1252" i="2" l="1"/>
  <c r="N1252" i="2" s="1"/>
  <c r="P1252" i="2" s="1"/>
  <c r="J1252" i="2"/>
  <c r="G1252" i="2" s="1"/>
  <c r="J1253" i="2" s="1"/>
  <c r="H1253" i="2" l="1"/>
  <c r="K1253" i="2" s="1"/>
  <c r="M1253" i="2" s="1"/>
  <c r="N1253" i="2" s="1"/>
  <c r="P1253" i="2" s="1"/>
  <c r="G1253" i="2" l="1"/>
  <c r="H1254" i="2" s="1"/>
  <c r="K1254" i="2" s="1"/>
  <c r="L1254" i="2"/>
  <c r="J1254" i="2" l="1"/>
  <c r="G1254" i="2" s="1"/>
  <c r="J1255" i="2" s="1"/>
  <c r="M1254" i="2"/>
  <c r="N1254" i="2" s="1"/>
  <c r="P1254" i="2" s="1"/>
  <c r="L1255" i="2"/>
  <c r="H1255" i="2" l="1"/>
  <c r="K1255" i="2" s="1"/>
  <c r="L1256" i="2" s="1"/>
  <c r="M1255" i="2" l="1"/>
  <c r="N1255" i="2" s="1"/>
  <c r="P1255" i="2" s="1"/>
  <c r="G1255" i="2"/>
  <c r="J1256" i="2" l="1"/>
  <c r="H1256" i="2"/>
  <c r="K1256" i="2" l="1"/>
  <c r="G1256" i="2"/>
  <c r="J1257" i="2" l="1"/>
  <c r="H1257" i="2"/>
  <c r="M1256" i="2"/>
  <c r="N1256" i="2" s="1"/>
  <c r="P1256" i="2" s="1"/>
  <c r="L1257" i="2"/>
  <c r="K1257" i="2" l="1"/>
  <c r="G1257" i="2"/>
  <c r="H1258" i="2" l="1"/>
  <c r="J1258" i="2"/>
  <c r="M1257" i="2"/>
  <c r="N1257" i="2" s="1"/>
  <c r="P1257" i="2" s="1"/>
  <c r="L1258" i="2"/>
  <c r="K1258" i="2" l="1"/>
  <c r="M1258" i="2" s="1"/>
  <c r="N1258" i="2" s="1"/>
  <c r="P1258" i="2" s="1"/>
  <c r="G1258" i="2"/>
  <c r="H1259" i="2" l="1"/>
  <c r="J1259" i="2"/>
  <c r="L1259" i="2"/>
  <c r="K1259" i="2" l="1"/>
  <c r="M1259" i="2" s="1"/>
  <c r="N1259" i="2" s="1"/>
  <c r="P1259" i="2" s="1"/>
  <c r="G1259" i="2"/>
  <c r="J1260" i="2" l="1"/>
  <c r="H1260" i="2"/>
  <c r="L1260" i="2"/>
  <c r="K1260" i="2" l="1"/>
  <c r="M1260" i="2" s="1"/>
  <c r="N1260" i="2" s="1"/>
  <c r="P1260" i="2" s="1"/>
  <c r="G1260" i="2"/>
  <c r="L1261" i="2" l="1"/>
  <c r="J1261" i="2"/>
  <c r="H1261" i="2"/>
  <c r="K1261" i="2" s="1"/>
  <c r="M1261" i="2" l="1"/>
  <c r="N1261" i="2" s="1"/>
  <c r="P1261" i="2" s="1"/>
  <c r="G1261" i="2"/>
  <c r="L1262" i="2"/>
  <c r="J1262" i="2" l="1"/>
  <c r="H1262" i="2"/>
  <c r="K1262" i="2" s="1"/>
  <c r="M1262" i="2" s="1"/>
  <c r="N1262" i="2" s="1"/>
  <c r="P1262" i="2" s="1"/>
  <c r="G1262" i="2" l="1"/>
  <c r="H1263" i="2" s="1"/>
  <c r="L1263" i="2"/>
  <c r="J1263" i="2" l="1"/>
  <c r="G1263" i="2" s="1"/>
  <c r="K1263" i="2"/>
  <c r="M1263" i="2" l="1"/>
  <c r="N1263" i="2" s="1"/>
  <c r="P1263" i="2" s="1"/>
  <c r="L1264" i="2"/>
  <c r="J1264" i="2"/>
  <c r="H1264" i="2"/>
  <c r="G1264" i="2" l="1"/>
  <c r="J1265" i="2" s="1"/>
  <c r="K1264" i="2"/>
  <c r="H1265" i="2" l="1"/>
  <c r="G1265" i="2" s="1"/>
  <c r="J1266" i="2" s="1"/>
  <c r="M1264" i="2"/>
  <c r="N1264" i="2" s="1"/>
  <c r="P1264" i="2" s="1"/>
  <c r="L1265" i="2"/>
  <c r="H1266" i="2" l="1"/>
  <c r="K1265" i="2"/>
  <c r="M1265" i="2" s="1"/>
  <c r="N1265" i="2" s="1"/>
  <c r="P1265" i="2" s="1"/>
  <c r="L1266" i="2" l="1"/>
  <c r="K1266" i="2"/>
  <c r="G1266" i="2"/>
  <c r="J1267" i="2" s="1"/>
  <c r="M1266" i="2" l="1"/>
  <c r="N1266" i="2" s="1"/>
  <c r="P1266" i="2" s="1"/>
  <c r="H1267" i="2"/>
  <c r="K1267" i="2" s="1"/>
  <c r="L1267" i="2"/>
  <c r="G1267" i="2" l="1"/>
  <c r="H1268" i="2" s="1"/>
  <c r="K1268" i="2" s="1"/>
  <c r="L1268" i="2"/>
  <c r="M1267" i="2"/>
  <c r="N1267" i="2" s="1"/>
  <c r="P1267" i="2" s="1"/>
  <c r="J1268" i="2" l="1"/>
  <c r="G1268" i="2" s="1"/>
  <c r="J1269" i="2" s="1"/>
  <c r="M1268" i="2"/>
  <c r="N1268" i="2" s="1"/>
  <c r="P1268" i="2" s="1"/>
  <c r="L1269" i="2"/>
  <c r="H1269" i="2" l="1"/>
  <c r="K1269" i="2" s="1"/>
  <c r="M1269" i="2" s="1"/>
  <c r="N1269" i="2" s="1"/>
  <c r="P1269" i="2" s="1"/>
  <c r="G1269" i="2" l="1"/>
  <c r="J1270" i="2" s="1"/>
  <c r="L1270" i="2"/>
  <c r="H1270" i="2" l="1"/>
  <c r="K1270" i="2" s="1"/>
  <c r="M1270" i="2" s="1"/>
  <c r="N1270" i="2" s="1"/>
  <c r="P1270" i="2" s="1"/>
  <c r="L1271" i="2" l="1"/>
  <c r="G1270" i="2"/>
  <c r="H1271" i="2" s="1"/>
  <c r="K1271" i="2" s="1"/>
  <c r="L1272" i="2" l="1"/>
  <c r="J1271" i="2"/>
  <c r="G1271" i="2" s="1"/>
  <c r="J1272" i="2" s="1"/>
  <c r="M1271" i="2"/>
  <c r="N1271" i="2" s="1"/>
  <c r="P1271" i="2" s="1"/>
  <c r="H1272" i="2" l="1"/>
  <c r="G1272" i="2" s="1"/>
  <c r="J1273" i="2" s="1"/>
  <c r="K1272" i="2" l="1"/>
  <c r="L1273" i="2" s="1"/>
  <c r="H1273" i="2"/>
  <c r="G1273" i="2" s="1"/>
  <c r="J1274" i="2" s="1"/>
  <c r="K1273" i="2" l="1"/>
  <c r="M1273" i="2" s="1"/>
  <c r="N1273" i="2" s="1"/>
  <c r="P1273" i="2" s="1"/>
  <c r="M1272" i="2"/>
  <c r="N1272" i="2" s="1"/>
  <c r="P1272" i="2" s="1"/>
  <c r="H1274" i="2"/>
  <c r="G1274" i="2" s="1"/>
  <c r="H1275" i="2" s="1"/>
  <c r="L1274" i="2" l="1"/>
  <c r="K1274" i="2"/>
  <c r="J1275" i="2"/>
  <c r="G1275" i="2" s="1"/>
  <c r="H1276" i="2" s="1"/>
  <c r="M1274" i="2" l="1"/>
  <c r="N1274" i="2" s="1"/>
  <c r="P1274" i="2" s="1"/>
  <c r="K1275" i="2"/>
  <c r="K1276" i="2" s="1"/>
  <c r="L1275" i="2"/>
  <c r="J1276" i="2"/>
  <c r="G1276" i="2" s="1"/>
  <c r="J1277" i="2" s="1"/>
  <c r="M1275" i="2" l="1"/>
  <c r="N1275" i="2" s="1"/>
  <c r="P1275" i="2" s="1"/>
  <c r="L1276" i="2"/>
  <c r="L1277" i="2" s="1"/>
  <c r="H1277" i="2"/>
  <c r="K1277" i="2" s="1"/>
  <c r="M1276" i="2" l="1"/>
  <c r="N1276" i="2" s="1"/>
  <c r="P1276" i="2" s="1"/>
  <c r="G1277" i="2"/>
  <c r="H1278" i="2" s="1"/>
  <c r="L1278" i="2"/>
  <c r="M1277" i="2"/>
  <c r="N1277" i="2" s="1"/>
  <c r="P1277" i="2" s="1"/>
  <c r="J1278" i="2" l="1"/>
  <c r="G1278" i="2" s="1"/>
  <c r="K1278" i="2"/>
  <c r="L1279" i="2" l="1"/>
  <c r="M1278" i="2"/>
  <c r="N1278" i="2" s="1"/>
  <c r="P1278" i="2" s="1"/>
  <c r="H1279" i="2"/>
  <c r="K1279" i="2" s="1"/>
  <c r="J1279" i="2"/>
  <c r="M1279" i="2" l="1"/>
  <c r="N1279" i="2" s="1"/>
  <c r="P1279" i="2" s="1"/>
  <c r="G1279" i="2"/>
  <c r="L1280" i="2"/>
  <c r="J1280" i="2" l="1"/>
  <c r="H1280" i="2"/>
  <c r="G1280" i="2" l="1"/>
  <c r="K1280" i="2"/>
  <c r="H1281" i="2" l="1"/>
  <c r="J1281" i="2"/>
  <c r="M1280" i="2"/>
  <c r="N1280" i="2" s="1"/>
  <c r="P1280" i="2" s="1"/>
  <c r="L1281" i="2"/>
  <c r="G1281" i="2" l="1"/>
  <c r="J1282" i="2" s="1"/>
  <c r="K1281" i="2"/>
  <c r="H1282" i="2" l="1"/>
  <c r="G1282" i="2" s="1"/>
  <c r="J1283" i="2" s="1"/>
  <c r="M1281" i="2"/>
  <c r="N1281" i="2" s="1"/>
  <c r="P1281" i="2" s="1"/>
  <c r="L1282" i="2"/>
  <c r="K1282" i="2" l="1"/>
  <c r="L1283" i="2" s="1"/>
  <c r="H1283" i="2"/>
  <c r="G1283" i="2" s="1"/>
  <c r="M1282" i="2" l="1"/>
  <c r="N1282" i="2" s="1"/>
  <c r="P1282" i="2" s="1"/>
  <c r="K1283" i="2"/>
  <c r="M1283" i="2" s="1"/>
  <c r="N1283" i="2" s="1"/>
  <c r="P1283" i="2" s="1"/>
  <c r="H1284" i="2"/>
  <c r="J1284" i="2"/>
  <c r="G1284" i="2" l="1"/>
  <c r="H1285" i="2" s="1"/>
  <c r="L1284" i="2"/>
  <c r="K1284" i="2"/>
  <c r="L1285" i="2" l="1"/>
  <c r="J1285" i="2"/>
  <c r="G1285" i="2" s="1"/>
  <c r="M1284" i="2"/>
  <c r="N1284" i="2" s="1"/>
  <c r="P1284" i="2" s="1"/>
  <c r="K1285" i="2"/>
  <c r="L1286" i="2" l="1"/>
  <c r="M1285" i="2"/>
  <c r="N1285" i="2" s="1"/>
  <c r="P1285" i="2" s="1"/>
  <c r="J1286" i="2"/>
  <c r="H1286" i="2"/>
  <c r="K1286" i="2" s="1"/>
  <c r="M1286" i="2" l="1"/>
  <c r="N1286" i="2" s="1"/>
  <c r="P1286" i="2" s="1"/>
  <c r="G1286" i="2"/>
  <c r="J1287" i="2" s="1"/>
  <c r="L1287" i="2"/>
  <c r="H1287" i="2" l="1"/>
  <c r="G1287" i="2" s="1"/>
  <c r="K1287" i="2" l="1"/>
  <c r="M1287" i="2" s="1"/>
  <c r="N1287" i="2" s="1"/>
  <c r="P1287" i="2" s="1"/>
  <c r="J1288" i="2"/>
  <c r="H1288" i="2"/>
  <c r="L1288" i="2" l="1"/>
  <c r="K1288" i="2"/>
  <c r="G1288" i="2"/>
  <c r="M1288" i="2" l="1"/>
  <c r="N1288" i="2" s="1"/>
  <c r="P1288" i="2" s="1"/>
  <c r="L1289" i="2"/>
  <c r="J1289" i="2"/>
  <c r="H1289" i="2"/>
  <c r="K1289" i="2" s="1"/>
  <c r="M1289" i="2" l="1"/>
  <c r="N1289" i="2" s="1"/>
  <c r="P1289" i="2" s="1"/>
  <c r="G1289" i="2"/>
  <c r="J1290" i="2" s="1"/>
  <c r="L1290" i="2"/>
  <c r="H1290" i="2" l="1"/>
  <c r="K1290" i="2" s="1"/>
  <c r="L1291" i="2" s="1"/>
  <c r="M1290" i="2" l="1"/>
  <c r="N1290" i="2" s="1"/>
  <c r="P1290" i="2" s="1"/>
  <c r="G1290" i="2"/>
  <c r="J1291" i="2" l="1"/>
  <c r="H1291" i="2"/>
  <c r="K1291" i="2" l="1"/>
  <c r="G1291" i="2"/>
  <c r="H1292" i="2" l="1"/>
  <c r="K1292" i="2" s="1"/>
  <c r="J1292" i="2"/>
  <c r="M1291" i="2"/>
  <c r="N1291" i="2" s="1"/>
  <c r="P1291" i="2" s="1"/>
  <c r="L1292" i="2"/>
  <c r="M1292" i="2" l="1"/>
  <c r="N1292" i="2" s="1"/>
  <c r="P1292" i="2" s="1"/>
  <c r="G1292" i="2"/>
  <c r="J1293" i="2" s="1"/>
  <c r="L1293" i="2"/>
  <c r="H1293" i="2" l="1"/>
  <c r="G1293" i="2" s="1"/>
  <c r="K1293" i="2" l="1"/>
  <c r="L1294" i="2" s="1"/>
  <c r="J1294" i="2"/>
  <c r="H1294" i="2"/>
  <c r="G1294" i="2" l="1"/>
  <c r="J1295" i="2" s="1"/>
  <c r="M1293" i="2"/>
  <c r="N1293" i="2" s="1"/>
  <c r="P1293" i="2" s="1"/>
  <c r="K1294" i="2"/>
  <c r="L1295" i="2" s="1"/>
  <c r="H1295" i="2" l="1"/>
  <c r="G1295" i="2" s="1"/>
  <c r="M1294" i="2"/>
  <c r="N1294" i="2" s="1"/>
  <c r="P1294" i="2" s="1"/>
  <c r="J1296" i="2" l="1"/>
  <c r="H1296" i="2"/>
  <c r="K1295" i="2"/>
  <c r="M1295" i="2" s="1"/>
  <c r="N1295" i="2" s="1"/>
  <c r="P1295" i="2" s="1"/>
  <c r="L1296" i="2" l="1"/>
  <c r="K1296" i="2"/>
  <c r="G1296" i="2"/>
  <c r="H1297" i="2" s="1"/>
  <c r="J1297" i="2" l="1"/>
  <c r="G1297" i="2" s="1"/>
  <c r="H1298" i="2" s="1"/>
  <c r="L1297" i="2"/>
  <c r="M1296" i="2"/>
  <c r="N1296" i="2" s="1"/>
  <c r="P1296" i="2" s="1"/>
  <c r="K1297" i="2"/>
  <c r="M1297" i="2" l="1"/>
  <c r="N1297" i="2" s="1"/>
  <c r="P1297" i="2" s="1"/>
  <c r="J1298" i="2"/>
  <c r="G1298" i="2" s="1"/>
  <c r="L1298" i="2"/>
  <c r="K1298" i="2"/>
  <c r="M1298" i="2" l="1"/>
  <c r="N1298" i="2" s="1"/>
  <c r="P1298" i="2" s="1"/>
  <c r="J1299" i="2"/>
  <c r="H1299" i="2"/>
  <c r="K1299" i="2" s="1"/>
  <c r="L1299" i="2"/>
  <c r="G1299" i="2" l="1"/>
  <c r="H1300" i="2" s="1"/>
  <c r="K1300" i="2" s="1"/>
  <c r="M1299" i="2"/>
  <c r="N1299" i="2" s="1"/>
  <c r="P1299" i="2" s="1"/>
  <c r="L1300" i="2"/>
  <c r="M1300" i="2" l="1"/>
  <c r="N1300" i="2" s="1"/>
  <c r="P1300" i="2" s="1"/>
  <c r="J1300" i="2"/>
  <c r="G1300" i="2" s="1"/>
  <c r="J1301" i="2" s="1"/>
  <c r="L1301" i="2"/>
  <c r="H1301" i="2" l="1"/>
  <c r="K1301" i="2" s="1"/>
  <c r="M1301" i="2" s="1"/>
  <c r="N1301" i="2" s="1"/>
  <c r="P1301" i="2" s="1"/>
  <c r="G1301" i="2" l="1"/>
  <c r="J1302" i="2" s="1"/>
  <c r="L1302" i="2"/>
  <c r="H1302" i="2" l="1"/>
  <c r="K1302" i="2" s="1"/>
  <c r="G1302" i="2" l="1"/>
  <c r="J1303" i="2" s="1"/>
  <c r="M1302" i="2"/>
  <c r="N1302" i="2" s="1"/>
  <c r="P1302" i="2" s="1"/>
  <c r="L1303" i="2"/>
  <c r="H1303" i="2" l="1"/>
  <c r="K1303" i="2" s="1"/>
  <c r="M1303" i="2" s="1"/>
  <c r="N1303" i="2" s="1"/>
  <c r="P1303" i="2" s="1"/>
  <c r="L1304" i="2" l="1"/>
  <c r="G1303" i="2"/>
  <c r="J1304" i="2" s="1"/>
  <c r="H1304" i="2" l="1"/>
  <c r="K1304" i="2" s="1"/>
  <c r="L1305" i="2" s="1"/>
  <c r="G1304" i="2" l="1"/>
  <c r="H1305" i="2" s="1"/>
  <c r="K1305" i="2" s="1"/>
  <c r="M1304" i="2"/>
  <c r="N1304" i="2" s="1"/>
  <c r="P1304" i="2" s="1"/>
  <c r="J1305" i="2" l="1"/>
  <c r="G1305" i="2" s="1"/>
  <c r="H1306" i="2" s="1"/>
  <c r="K1306" i="2" s="1"/>
  <c r="M1305" i="2"/>
  <c r="N1305" i="2" s="1"/>
  <c r="P1305" i="2" s="1"/>
  <c r="L1306" i="2"/>
  <c r="J1306" i="2" l="1"/>
  <c r="G1306" i="2" s="1"/>
  <c r="H1307" i="2" s="1"/>
  <c r="K1307" i="2" s="1"/>
  <c r="L1307" i="2"/>
  <c r="M1306" i="2"/>
  <c r="N1306" i="2" s="1"/>
  <c r="P1306" i="2" s="1"/>
  <c r="M1307" i="2" l="1"/>
  <c r="N1307" i="2" s="1"/>
  <c r="P1307" i="2" s="1"/>
  <c r="J1307" i="2"/>
  <c r="G1307" i="2" s="1"/>
  <c r="J1308" i="2" s="1"/>
  <c r="L1308" i="2"/>
  <c r="H1308" i="2" l="1"/>
  <c r="K1308" i="2" s="1"/>
  <c r="M1308" i="2" s="1"/>
  <c r="N1308" i="2" s="1"/>
  <c r="P1308" i="2" s="1"/>
  <c r="G1308" i="2" l="1"/>
  <c r="J1309" i="2" s="1"/>
  <c r="L1309" i="2"/>
  <c r="H1309" i="2" l="1"/>
  <c r="K1309" i="2" s="1"/>
  <c r="L1310" i="2" s="1"/>
  <c r="M1309" i="2" l="1"/>
  <c r="N1309" i="2" s="1"/>
  <c r="P1309" i="2" s="1"/>
  <c r="G1309" i="2"/>
  <c r="H1310" i="2" l="1"/>
  <c r="K1310" i="2" s="1"/>
  <c r="J1310" i="2"/>
  <c r="L1311" i="2" l="1"/>
  <c r="M1310" i="2"/>
  <c r="N1310" i="2" s="1"/>
  <c r="P1310" i="2" s="1"/>
  <c r="G1310" i="2"/>
  <c r="H1311" i="2" l="1"/>
  <c r="K1311" i="2" s="1"/>
  <c r="L1312" i="2" s="1"/>
  <c r="J1311" i="2"/>
  <c r="M1311" i="2" l="1"/>
  <c r="N1311" i="2" s="1"/>
  <c r="P1311" i="2" s="1"/>
  <c r="G1311" i="2"/>
  <c r="H1312" i="2" l="1"/>
  <c r="K1312" i="2" s="1"/>
  <c r="J1312" i="2"/>
  <c r="L1313" i="2" l="1"/>
  <c r="M1312" i="2"/>
  <c r="N1312" i="2" s="1"/>
  <c r="P1312" i="2" s="1"/>
  <c r="G1312" i="2"/>
  <c r="H1313" i="2" l="1"/>
  <c r="K1313" i="2" s="1"/>
  <c r="M1313" i="2" s="1"/>
  <c r="N1313" i="2" s="1"/>
  <c r="P1313" i="2" s="1"/>
  <c r="J1313" i="2"/>
  <c r="L1314" i="2" l="1"/>
  <c r="G1313" i="2"/>
  <c r="H1314" i="2" l="1"/>
  <c r="K1314" i="2" s="1"/>
  <c r="J1314" i="2"/>
  <c r="L1315" i="2" l="1"/>
  <c r="M1314" i="2"/>
  <c r="N1314" i="2" s="1"/>
  <c r="P1314" i="2" s="1"/>
  <c r="G1314" i="2"/>
  <c r="H1315" i="2" l="1"/>
  <c r="K1315" i="2" s="1"/>
  <c r="M1315" i="2" s="1"/>
  <c r="N1315" i="2" s="1"/>
  <c r="P1315" i="2" s="1"/>
  <c r="J1315" i="2"/>
  <c r="G1315" i="2" l="1"/>
  <c r="J1316" i="2" s="1"/>
  <c r="L1316" i="2"/>
  <c r="H1316" i="2" l="1"/>
  <c r="K1316" i="2" s="1"/>
  <c r="M1316" i="2" s="1"/>
  <c r="N1316" i="2" s="1"/>
  <c r="P1316" i="2" s="1"/>
  <c r="G1316" i="2" l="1"/>
  <c r="J1317" i="2" s="1"/>
  <c r="L1317" i="2"/>
  <c r="H1317" i="2" l="1"/>
  <c r="K1317" i="2" s="1"/>
  <c r="M1317" i="2" s="1"/>
  <c r="N1317" i="2" s="1"/>
  <c r="P1317" i="2" s="1"/>
  <c r="L1318" i="2" l="1"/>
  <c r="G1317" i="2"/>
  <c r="J1318" i="2" s="1"/>
  <c r="H1318" i="2" l="1"/>
  <c r="K1318" i="2" s="1"/>
  <c r="L1319" i="2" s="1"/>
  <c r="G1318" i="2" l="1"/>
  <c r="H1319" i="2" s="1"/>
  <c r="K1319" i="2" s="1"/>
  <c r="L1320" i="2" s="1"/>
  <c r="M1318" i="2"/>
  <c r="N1318" i="2" s="1"/>
  <c r="P1318" i="2" s="1"/>
  <c r="J1319" i="2" l="1"/>
  <c r="G1319" i="2" s="1"/>
  <c r="H1320" i="2" s="1"/>
  <c r="K1320" i="2" s="1"/>
  <c r="M1320" i="2" s="1"/>
  <c r="N1320" i="2" s="1"/>
  <c r="P1320" i="2" s="1"/>
  <c r="M1319" i="2"/>
  <c r="N1319" i="2" s="1"/>
  <c r="P1319" i="2" s="1"/>
  <c r="J1320" i="2" l="1"/>
  <c r="G1320" i="2" s="1"/>
  <c r="H1321" i="2" s="1"/>
  <c r="K1321" i="2" s="1"/>
  <c r="L1321" i="2"/>
  <c r="J1321" i="2" l="1"/>
  <c r="G1321" i="2" s="1"/>
  <c r="H1322" i="2" s="1"/>
  <c r="K1322" i="2" s="1"/>
  <c r="L1322" i="2"/>
  <c r="M1321" i="2"/>
  <c r="N1321" i="2" s="1"/>
  <c r="P1321" i="2" s="1"/>
  <c r="M1322" i="2" l="1"/>
  <c r="N1322" i="2" s="1"/>
  <c r="P1322" i="2" s="1"/>
  <c r="J1322" i="2"/>
  <c r="G1322" i="2" s="1"/>
  <c r="H1323" i="2" s="1"/>
  <c r="K1323" i="2" s="1"/>
  <c r="L1323" i="2"/>
  <c r="M1323" i="2" l="1"/>
  <c r="N1323" i="2" s="1"/>
  <c r="P1323" i="2" s="1"/>
  <c r="J1323" i="2"/>
  <c r="G1323" i="2" s="1"/>
  <c r="H1324" i="2" s="1"/>
  <c r="K1324" i="2" s="1"/>
  <c r="L1324" i="2"/>
  <c r="M1324" i="2" l="1"/>
  <c r="N1324" i="2" s="1"/>
  <c r="P1324" i="2" s="1"/>
  <c r="J1324" i="2"/>
  <c r="G1324" i="2" s="1"/>
  <c r="H1325" i="2" s="1"/>
  <c r="K1325" i="2" s="1"/>
  <c r="L1325" i="2"/>
  <c r="M1325" i="2" l="1"/>
  <c r="N1325" i="2" s="1"/>
  <c r="P1325" i="2" s="1"/>
  <c r="J1325" i="2"/>
  <c r="G1325" i="2" s="1"/>
  <c r="J1326" i="2" s="1"/>
  <c r="L1326" i="2"/>
  <c r="H1326" i="2" l="1"/>
  <c r="K1326" i="2" s="1"/>
  <c r="M1326" i="2" s="1"/>
  <c r="N1326" i="2" s="1"/>
  <c r="P1326" i="2" s="1"/>
  <c r="G1326" i="2" l="1"/>
  <c r="J1327" i="2" s="1"/>
  <c r="L1327" i="2"/>
  <c r="H1327" i="2" l="1"/>
  <c r="K1327" i="2" s="1"/>
  <c r="M1327" i="2" s="1"/>
  <c r="N1327" i="2" s="1"/>
  <c r="P1327" i="2" s="1"/>
  <c r="G1327" i="2" l="1"/>
  <c r="J1328" i="2" s="1"/>
  <c r="L1328" i="2"/>
  <c r="H1328" i="2" l="1"/>
  <c r="K1328" i="2" s="1"/>
  <c r="L1329" i="2" s="1"/>
  <c r="G1328" i="2" l="1"/>
  <c r="H1329" i="2" s="1"/>
  <c r="K1329" i="2" s="1"/>
  <c r="L1330" i="2" s="1"/>
  <c r="M1328" i="2"/>
  <c r="N1328" i="2" s="1"/>
  <c r="P1328" i="2" s="1"/>
  <c r="M1329" i="2" l="1"/>
  <c r="N1329" i="2" s="1"/>
  <c r="P1329" i="2" s="1"/>
  <c r="J1329" i="2"/>
  <c r="G1329" i="2" s="1"/>
  <c r="H1330" i="2" s="1"/>
  <c r="K1330" i="2" s="1"/>
  <c r="J1330" i="2" l="1"/>
  <c r="G1330" i="2" s="1"/>
  <c r="L1331" i="2"/>
  <c r="M1330" i="2"/>
  <c r="N1330" i="2" s="1"/>
  <c r="P1330" i="2" s="1"/>
  <c r="J1331" i="2" l="1"/>
  <c r="H1331" i="2"/>
  <c r="K1331" i="2" s="1"/>
  <c r="M1331" i="2" s="1"/>
  <c r="N1331" i="2" s="1"/>
  <c r="P1331" i="2" s="1"/>
  <c r="G1331" i="2" l="1"/>
  <c r="J1332" i="2" s="1"/>
  <c r="L1332" i="2"/>
  <c r="H1332" i="2" l="1"/>
  <c r="G1332" i="2" s="1"/>
  <c r="K1332" i="2" l="1"/>
  <c r="L1333" i="2" s="1"/>
  <c r="J1333" i="2"/>
  <c r="H1333" i="2"/>
  <c r="M1332" i="2" l="1"/>
  <c r="N1332" i="2" s="1"/>
  <c r="P1332" i="2" s="1"/>
  <c r="K1333" i="2"/>
  <c r="L1334" i="2" s="1"/>
  <c r="G1333" i="2"/>
  <c r="J1334" i="2" s="1"/>
  <c r="M1333" i="2" l="1"/>
  <c r="N1333" i="2" s="1"/>
  <c r="P1333" i="2" s="1"/>
  <c r="H1334" i="2"/>
  <c r="K1334" i="2" s="1"/>
  <c r="M1334" i="2" s="1"/>
  <c r="N1334" i="2" s="1"/>
  <c r="P1334" i="2" s="1"/>
  <c r="G1334" i="2" l="1"/>
  <c r="J1335" i="2" s="1"/>
  <c r="L1335" i="2"/>
  <c r="H1335" i="2" l="1"/>
  <c r="G1335" i="2" s="1"/>
  <c r="H1336" i="2" s="1"/>
  <c r="J1336" i="2" l="1"/>
  <c r="G1336" i="2" s="1"/>
  <c r="H1337" i="2" s="1"/>
  <c r="K1335" i="2"/>
  <c r="M1335" i="2" s="1"/>
  <c r="N1335" i="2" s="1"/>
  <c r="P1335" i="2" s="1"/>
  <c r="J1337" i="2" l="1"/>
  <c r="G1337" i="2" s="1"/>
  <c r="H1338" i="2" s="1"/>
  <c r="K1336" i="2"/>
  <c r="K1337" i="2" s="1"/>
  <c r="L1336" i="2"/>
  <c r="J1338" i="2" l="1"/>
  <c r="G1338" i="2" s="1"/>
  <c r="H1339" i="2" s="1"/>
  <c r="L1337" i="2"/>
  <c r="L1338" i="2" s="1"/>
  <c r="M1336" i="2"/>
  <c r="N1336" i="2" s="1"/>
  <c r="P1336" i="2" s="1"/>
  <c r="K1338" i="2"/>
  <c r="J1339" i="2" l="1"/>
  <c r="G1339" i="2" s="1"/>
  <c r="M1337" i="2"/>
  <c r="N1337" i="2" s="1"/>
  <c r="P1337" i="2" s="1"/>
  <c r="M1338" i="2"/>
  <c r="N1338" i="2" s="1"/>
  <c r="P1338" i="2" s="1"/>
  <c r="L1339" i="2"/>
  <c r="K1339" i="2"/>
  <c r="J1340" i="2" l="1"/>
  <c r="H1340" i="2"/>
  <c r="K1340" i="2" s="1"/>
  <c r="L1340" i="2"/>
  <c r="M1339" i="2"/>
  <c r="N1339" i="2" s="1"/>
  <c r="P1339" i="2" s="1"/>
  <c r="M1340" i="2" l="1"/>
  <c r="N1340" i="2" s="1"/>
  <c r="P1340" i="2" s="1"/>
  <c r="L1341" i="2"/>
  <c r="G1340" i="2"/>
  <c r="H1341" i="2" l="1"/>
  <c r="K1341" i="2" s="1"/>
  <c r="J1341" i="2"/>
  <c r="G1341" i="2" l="1"/>
  <c r="H1342" i="2" s="1"/>
  <c r="K1342" i="2" s="1"/>
  <c r="M1341" i="2"/>
  <c r="N1341" i="2" s="1"/>
  <c r="P1341" i="2" s="1"/>
  <c r="L1342" i="2"/>
  <c r="J1342" i="2" l="1"/>
  <c r="G1342" i="2" s="1"/>
  <c r="H1343" i="2" s="1"/>
  <c r="K1343" i="2" s="1"/>
  <c r="L1343" i="2"/>
  <c r="M1342" i="2"/>
  <c r="N1342" i="2" s="1"/>
  <c r="P1342" i="2" s="1"/>
  <c r="L1344" i="2" l="1"/>
  <c r="J1343" i="2"/>
  <c r="G1343" i="2" s="1"/>
  <c r="M1343" i="2"/>
  <c r="N1343" i="2" s="1"/>
  <c r="P1343" i="2" s="1"/>
  <c r="J1344" i="2" l="1"/>
  <c r="H1344" i="2"/>
  <c r="K1344" i="2" s="1"/>
  <c r="G1344" i="2" l="1"/>
  <c r="H1345" i="2" s="1"/>
  <c r="K1345" i="2" s="1"/>
  <c r="M1344" i="2"/>
  <c r="N1344" i="2" s="1"/>
  <c r="P1344" i="2" s="1"/>
  <c r="L1345" i="2"/>
  <c r="J1345" i="2" l="1"/>
  <c r="G1345" i="2" s="1"/>
  <c r="H1346" i="2" s="1"/>
  <c r="L1346" i="2"/>
  <c r="M1345" i="2"/>
  <c r="N1345" i="2" s="1"/>
  <c r="P1345" i="2" s="1"/>
  <c r="J1346" i="2" l="1"/>
  <c r="G1346" i="2" s="1"/>
  <c r="K1346" i="2"/>
  <c r="J1347" i="2" l="1"/>
  <c r="H1347" i="2"/>
  <c r="L1347" i="2"/>
  <c r="M1346" i="2"/>
  <c r="N1346" i="2" s="1"/>
  <c r="P1346" i="2" s="1"/>
  <c r="K1347" i="2" l="1"/>
  <c r="M1347" i="2" s="1"/>
  <c r="N1347" i="2" s="1"/>
  <c r="P1347" i="2" s="1"/>
  <c r="G1347" i="2"/>
  <c r="H1348" i="2" l="1"/>
  <c r="K1348" i="2" s="1"/>
  <c r="J1348" i="2"/>
  <c r="L1348" i="2"/>
  <c r="G1348" i="2" l="1"/>
  <c r="H1349" i="2" s="1"/>
  <c r="L1349" i="2"/>
  <c r="M1348" i="2"/>
  <c r="N1348" i="2" s="1"/>
  <c r="P1348" i="2" s="1"/>
  <c r="J1349" i="2" l="1"/>
  <c r="G1349" i="2" s="1"/>
  <c r="K1349" i="2"/>
  <c r="H1350" i="2" l="1"/>
  <c r="K1350" i="2" s="1"/>
  <c r="J1350" i="2"/>
  <c r="M1349" i="2"/>
  <c r="N1349" i="2" s="1"/>
  <c r="P1349" i="2" s="1"/>
  <c r="L1350" i="2"/>
  <c r="L1351" i="2" l="1"/>
  <c r="M1350" i="2"/>
  <c r="N1350" i="2" s="1"/>
  <c r="P1350" i="2" s="1"/>
  <c r="G1350" i="2"/>
  <c r="H1351" i="2" l="1"/>
  <c r="K1351" i="2" s="1"/>
  <c r="L1352" i="2" s="1"/>
  <c r="J1351" i="2"/>
  <c r="G1351" i="2" l="1"/>
  <c r="H1352" i="2" s="1"/>
  <c r="K1352" i="2" s="1"/>
  <c r="M1351" i="2"/>
  <c r="N1351" i="2" s="1"/>
  <c r="P1351" i="2" s="1"/>
  <c r="J1352" i="2" l="1"/>
  <c r="G1352" i="2" s="1"/>
  <c r="M1352" i="2"/>
  <c r="N1352" i="2" s="1"/>
  <c r="P1352" i="2" s="1"/>
  <c r="L1353" i="2"/>
  <c r="H1353" i="2" l="1"/>
  <c r="K1353" i="2" s="1"/>
  <c r="M1353" i="2" s="1"/>
  <c r="N1353" i="2" s="1"/>
  <c r="P1353" i="2" s="1"/>
  <c r="J1353" i="2"/>
  <c r="L1354" i="2" l="1"/>
  <c r="G1353" i="2"/>
  <c r="H1354" i="2" l="1"/>
  <c r="J1354" i="2"/>
  <c r="G1354" i="2" l="1"/>
  <c r="K1354" i="2"/>
  <c r="M1354" i="2" l="1"/>
  <c r="N1354" i="2" s="1"/>
  <c r="P1354" i="2" s="1"/>
  <c r="L1355" i="2"/>
  <c r="H1355" i="2"/>
  <c r="J1355" i="2"/>
  <c r="G1355" i="2" l="1"/>
  <c r="H1356" i="2" s="1"/>
  <c r="K1355" i="2"/>
  <c r="M1355" i="2" s="1"/>
  <c r="N1355" i="2" s="1"/>
  <c r="P1355" i="2" s="1"/>
  <c r="J1356" i="2" l="1"/>
  <c r="G1356" i="2" s="1"/>
  <c r="L1356" i="2"/>
  <c r="K1356" i="2"/>
  <c r="M1356" i="2" l="1"/>
  <c r="N1356" i="2" s="1"/>
  <c r="P1356" i="2" s="1"/>
  <c r="J1357" i="2"/>
  <c r="H1357" i="2"/>
  <c r="K1357" i="2" s="1"/>
  <c r="L1357" i="2"/>
  <c r="G1357" i="2" l="1"/>
  <c r="H1358" i="2" s="1"/>
  <c r="K1358" i="2" s="1"/>
  <c r="L1358" i="2"/>
  <c r="M1357" i="2"/>
  <c r="N1357" i="2" s="1"/>
  <c r="P1357" i="2" s="1"/>
  <c r="J1358" i="2" l="1"/>
  <c r="G1358" i="2" s="1"/>
  <c r="M1358" i="2"/>
  <c r="N1358" i="2" s="1"/>
  <c r="P1358" i="2" s="1"/>
  <c r="L1359" i="2"/>
  <c r="J1359" i="2" l="1"/>
  <c r="H1359" i="2"/>
  <c r="K1359" i="2" s="1"/>
  <c r="M1359" i="2" l="1"/>
  <c r="N1359" i="2" s="1"/>
  <c r="P1359" i="2" s="1"/>
  <c r="G1359" i="2"/>
  <c r="L1360" i="2"/>
  <c r="H1360" i="2" l="1"/>
  <c r="K1360" i="2" s="1"/>
  <c r="M1360" i="2" s="1"/>
  <c r="N1360" i="2" s="1"/>
  <c r="P1360" i="2" s="1"/>
  <c r="J1360" i="2"/>
  <c r="G1360" i="2" l="1"/>
  <c r="J1361" i="2" s="1"/>
  <c r="L1361" i="2"/>
  <c r="H1361" i="2" l="1"/>
  <c r="K1361" i="2" s="1"/>
  <c r="M1361" i="2" s="1"/>
  <c r="N1361" i="2" s="1"/>
  <c r="P1361" i="2" s="1"/>
  <c r="L1362" i="2" l="1"/>
  <c r="G1361" i="2"/>
  <c r="J1362" i="2" s="1"/>
  <c r="H1362" i="2" l="1"/>
  <c r="K1362" i="2" s="1"/>
  <c r="M1362" i="2" s="1"/>
  <c r="N1362" i="2" s="1"/>
  <c r="P1362" i="2" s="1"/>
  <c r="G1362" i="2" l="1"/>
  <c r="J1363" i="2" s="1"/>
  <c r="L1363" i="2"/>
  <c r="H1363" i="2" l="1"/>
  <c r="K1363" i="2" s="1"/>
  <c r="M1363" i="2" s="1"/>
  <c r="N1363" i="2" s="1"/>
  <c r="P1363" i="2" s="1"/>
  <c r="L1364" i="2" l="1"/>
  <c r="G1363" i="2"/>
  <c r="J1364" i="2" s="1"/>
  <c r="H1364" i="2" l="1"/>
  <c r="K1364" i="2" s="1"/>
  <c r="L1365" i="2" s="1"/>
  <c r="M1364" i="2" l="1"/>
  <c r="N1364" i="2" s="1"/>
  <c r="P1364" i="2" s="1"/>
  <c r="G1364" i="2"/>
  <c r="H1365" i="2" s="1"/>
  <c r="K1365" i="2" s="1"/>
  <c r="M1365" i="2" s="1"/>
  <c r="N1365" i="2" s="1"/>
  <c r="P1365" i="2" s="1"/>
  <c r="J1365" i="2" l="1"/>
  <c r="G1365" i="2" s="1"/>
  <c r="H1366" i="2" s="1"/>
  <c r="K1366" i="2" s="1"/>
  <c r="L1366" i="2"/>
  <c r="J1366" i="2" l="1"/>
  <c r="G1366" i="2" s="1"/>
  <c r="H1367" i="2" s="1"/>
  <c r="K1367" i="2" s="1"/>
  <c r="M1366" i="2"/>
  <c r="N1366" i="2" s="1"/>
  <c r="P1366" i="2" s="1"/>
  <c r="L1367" i="2"/>
  <c r="J1367" i="2" l="1"/>
  <c r="G1367" i="2" s="1"/>
  <c r="J1368" i="2" s="1"/>
  <c r="L1368" i="2"/>
  <c r="M1367" i="2"/>
  <c r="N1367" i="2" s="1"/>
  <c r="P1367" i="2" s="1"/>
  <c r="H1368" i="2" l="1"/>
  <c r="K1368" i="2" s="1"/>
  <c r="M1368" i="2" s="1"/>
  <c r="N1368" i="2" s="1"/>
  <c r="P1368" i="2" s="1"/>
  <c r="L1369" i="2" l="1"/>
  <c r="G1368" i="2"/>
  <c r="H1369" i="2" l="1"/>
  <c r="J1369" i="2"/>
  <c r="G1369" i="2" l="1"/>
  <c r="K1369" i="2"/>
  <c r="M1369" i="2" l="1"/>
  <c r="N1369" i="2" s="1"/>
  <c r="P1369" i="2" s="1"/>
  <c r="L1370" i="2"/>
  <c r="J1370" i="2"/>
  <c r="H1370" i="2"/>
  <c r="K1370" i="2" s="1"/>
  <c r="L1371" i="2" l="1"/>
  <c r="M1370" i="2"/>
  <c r="N1370" i="2" s="1"/>
  <c r="P1370" i="2" s="1"/>
  <c r="G1370" i="2"/>
  <c r="J1371" i="2" l="1"/>
  <c r="H1371" i="2"/>
  <c r="K1371" i="2" s="1"/>
  <c r="M1371" i="2" s="1"/>
  <c r="N1371" i="2" s="1"/>
  <c r="P1371" i="2" s="1"/>
  <c r="G1371" i="2" l="1"/>
  <c r="J1372" i="2" s="1"/>
  <c r="L1372" i="2"/>
  <c r="H1372" i="2" l="1"/>
  <c r="K1372" i="2" s="1"/>
  <c r="M1372" i="2" s="1"/>
  <c r="N1372" i="2" s="1"/>
  <c r="P1372" i="2" s="1"/>
  <c r="G1372" i="2" l="1"/>
  <c r="H1373" i="2" s="1"/>
  <c r="K1373" i="2" s="1"/>
  <c r="L1373" i="2"/>
  <c r="M1373" i="2" l="1"/>
  <c r="N1373" i="2" s="1"/>
  <c r="P1373" i="2" s="1"/>
  <c r="J1373" i="2"/>
  <c r="G1373" i="2" s="1"/>
  <c r="J1374" i="2" s="1"/>
  <c r="L1374" i="2"/>
  <c r="H1374" i="2" l="1"/>
  <c r="K1374" i="2" s="1"/>
  <c r="M1374" i="2" s="1"/>
  <c r="N1374" i="2" s="1"/>
  <c r="P1374" i="2" s="1"/>
  <c r="L1375" i="2" l="1"/>
  <c r="G1374" i="2"/>
  <c r="H1375" i="2" s="1"/>
  <c r="K1375" i="2" s="1"/>
  <c r="J1375" i="2" l="1"/>
  <c r="G1375" i="2" s="1"/>
  <c r="J1376" i="2" s="1"/>
  <c r="M1375" i="2"/>
  <c r="N1375" i="2" s="1"/>
  <c r="P1375" i="2" s="1"/>
  <c r="L1376" i="2"/>
  <c r="H1376" i="2" l="1"/>
  <c r="K1376" i="2" s="1"/>
  <c r="L1377" i="2" s="1"/>
  <c r="G1376" i="2" l="1"/>
  <c r="J1377" i="2" s="1"/>
  <c r="M1376" i="2"/>
  <c r="N1376" i="2" s="1"/>
  <c r="P1376" i="2" s="1"/>
  <c r="H1377" i="2" l="1"/>
  <c r="K1377" i="2" s="1"/>
  <c r="L1378" i="2" s="1"/>
  <c r="G1377" i="2" l="1"/>
  <c r="H1378" i="2" s="1"/>
  <c r="K1378" i="2" s="1"/>
  <c r="L1379" i="2" s="1"/>
  <c r="M1377" i="2"/>
  <c r="N1377" i="2" s="1"/>
  <c r="P1377" i="2" s="1"/>
  <c r="J1378" i="2" l="1"/>
  <c r="G1378" i="2" s="1"/>
  <c r="H1379" i="2" s="1"/>
  <c r="K1379" i="2" s="1"/>
  <c r="M1378" i="2"/>
  <c r="N1378" i="2" s="1"/>
  <c r="P1378" i="2" s="1"/>
  <c r="J1379" i="2" l="1"/>
  <c r="G1379" i="2" s="1"/>
  <c r="J1380" i="2" s="1"/>
  <c r="M1379" i="2"/>
  <c r="N1379" i="2" s="1"/>
  <c r="P1379" i="2" s="1"/>
  <c r="L1380" i="2"/>
  <c r="H1380" i="2" l="1"/>
  <c r="K1380" i="2" s="1"/>
  <c r="M1380" i="2" s="1"/>
  <c r="N1380" i="2" s="1"/>
  <c r="P1380" i="2" s="1"/>
  <c r="G1380" i="2" l="1"/>
  <c r="J1381" i="2" s="1"/>
  <c r="L1381" i="2"/>
  <c r="H1381" i="2" l="1"/>
  <c r="K1381" i="2" s="1"/>
  <c r="M1381" i="2" s="1"/>
  <c r="N1381" i="2" s="1"/>
  <c r="P1381" i="2" s="1"/>
  <c r="G1381" i="2" l="1"/>
  <c r="H1382" i="2" s="1"/>
  <c r="K1382" i="2" s="1"/>
  <c r="L1382" i="2"/>
  <c r="J1382" i="2" l="1"/>
  <c r="G1382" i="2" s="1"/>
  <c r="J1383" i="2" s="1"/>
  <c r="M1382" i="2"/>
  <c r="N1382" i="2" s="1"/>
  <c r="P1382" i="2" s="1"/>
  <c r="L1383" i="2"/>
  <c r="H1383" i="2" l="1"/>
  <c r="K1383" i="2" s="1"/>
  <c r="M1383" i="2" s="1"/>
  <c r="N1383" i="2" s="1"/>
  <c r="P1383" i="2" s="1"/>
  <c r="L1384" i="2" l="1"/>
  <c r="G1383" i="2"/>
  <c r="J1384" i="2" s="1"/>
  <c r="H1384" i="2" l="1"/>
  <c r="K1384" i="2" s="1"/>
  <c r="L1385" i="2" s="1"/>
  <c r="G1384" i="2" l="1"/>
  <c r="H1385" i="2" s="1"/>
  <c r="K1385" i="2" s="1"/>
  <c r="M1385" i="2" s="1"/>
  <c r="N1385" i="2" s="1"/>
  <c r="P1385" i="2" s="1"/>
  <c r="M1384" i="2"/>
  <c r="N1384" i="2" s="1"/>
  <c r="P1384" i="2" s="1"/>
  <c r="J1385" i="2" l="1"/>
  <c r="G1385" i="2" s="1"/>
  <c r="H1386" i="2" s="1"/>
  <c r="L1386" i="2"/>
  <c r="J1386" i="2" l="1"/>
  <c r="G1386" i="2" s="1"/>
  <c r="K1386" i="2"/>
  <c r="L1387" i="2" s="1"/>
  <c r="J1387" i="2" l="1"/>
  <c r="H1387" i="2"/>
  <c r="K1387" i="2" s="1"/>
  <c r="M1387" i="2" s="1"/>
  <c r="N1387" i="2" s="1"/>
  <c r="P1387" i="2" s="1"/>
  <c r="M1386" i="2"/>
  <c r="N1386" i="2" s="1"/>
  <c r="P1386" i="2" s="1"/>
  <c r="L1388" i="2" l="1"/>
  <c r="G1387" i="2"/>
  <c r="J1388" i="2" l="1"/>
  <c r="H1388" i="2"/>
  <c r="K1388" i="2" l="1"/>
  <c r="G1388" i="2"/>
  <c r="J1389" i="2" l="1"/>
  <c r="H1389" i="2"/>
  <c r="M1388" i="2"/>
  <c r="N1388" i="2" s="1"/>
  <c r="P1388" i="2" s="1"/>
  <c r="L1389" i="2"/>
  <c r="K1389" i="2" l="1"/>
  <c r="M1389" i="2" s="1"/>
  <c r="N1389" i="2" s="1"/>
  <c r="P1389" i="2" s="1"/>
  <c r="G1389" i="2"/>
  <c r="J1390" i="2" l="1"/>
  <c r="H1390" i="2"/>
  <c r="K1390" i="2" s="1"/>
  <c r="L1390" i="2"/>
  <c r="M1390" i="2" l="1"/>
  <c r="N1390" i="2" s="1"/>
  <c r="P1390" i="2" s="1"/>
  <c r="G1390" i="2"/>
  <c r="L1391" i="2"/>
  <c r="J1391" i="2" l="1"/>
  <c r="H1391" i="2"/>
  <c r="K1391" i="2" l="1"/>
  <c r="G1391" i="2"/>
  <c r="H1392" i="2" l="1"/>
  <c r="J1392" i="2"/>
  <c r="L1392" i="2"/>
  <c r="M1391" i="2"/>
  <c r="N1391" i="2" s="1"/>
  <c r="P1391" i="2" s="1"/>
  <c r="K1392" i="2" l="1"/>
  <c r="G1392" i="2"/>
  <c r="J1393" i="2" l="1"/>
  <c r="H1393" i="2"/>
  <c r="M1392" i="2"/>
  <c r="N1392" i="2" s="1"/>
  <c r="P1392" i="2" s="1"/>
  <c r="L1393" i="2"/>
  <c r="K1393" i="2" l="1"/>
  <c r="M1393" i="2" s="1"/>
  <c r="N1393" i="2" s="1"/>
  <c r="P1393" i="2" s="1"/>
  <c r="G1393" i="2"/>
  <c r="H1394" i="2" l="1"/>
  <c r="K1394" i="2" s="1"/>
  <c r="J1394" i="2"/>
  <c r="L1394" i="2"/>
  <c r="G1394" i="2" l="1"/>
  <c r="H1395" i="2" s="1"/>
  <c r="K1395" i="2" s="1"/>
  <c r="L1395" i="2"/>
  <c r="M1394" i="2"/>
  <c r="N1394" i="2" s="1"/>
  <c r="P1394" i="2" s="1"/>
  <c r="J1395" i="2" l="1"/>
  <c r="G1395" i="2" s="1"/>
  <c r="H1396" i="2" s="1"/>
  <c r="K1396" i="2" s="1"/>
  <c r="L1396" i="2"/>
  <c r="M1395" i="2"/>
  <c r="N1395" i="2" s="1"/>
  <c r="P1395" i="2" s="1"/>
  <c r="J1396" i="2" l="1"/>
  <c r="G1396" i="2" s="1"/>
  <c r="L1397" i="2"/>
  <c r="M1396" i="2"/>
  <c r="N1396" i="2" s="1"/>
  <c r="P1396" i="2" s="1"/>
  <c r="H1397" i="2" l="1"/>
  <c r="K1397" i="2" s="1"/>
  <c r="M1397" i="2" s="1"/>
  <c r="N1397" i="2" s="1"/>
  <c r="P1397" i="2" s="1"/>
  <c r="J1397" i="2"/>
  <c r="L1398" i="2" l="1"/>
  <c r="G1397" i="2"/>
  <c r="J1398" i="2" l="1"/>
  <c r="H1398" i="2"/>
  <c r="K1398" i="2" l="1"/>
  <c r="G1398" i="2"/>
  <c r="M1398" i="2" l="1"/>
  <c r="N1398" i="2" s="1"/>
  <c r="P1398" i="2" s="1"/>
  <c r="L1399" i="2"/>
  <c r="J1399" i="2"/>
  <c r="H1399" i="2"/>
  <c r="K1399" i="2" l="1"/>
  <c r="M1399" i="2" s="1"/>
  <c r="N1399" i="2" s="1"/>
  <c r="P1399" i="2" s="1"/>
  <c r="G1399" i="2"/>
  <c r="L1400" i="2" l="1"/>
  <c r="J1400" i="2"/>
  <c r="H1400" i="2"/>
  <c r="K1400" i="2" l="1"/>
  <c r="G1400" i="2"/>
  <c r="J1401" i="2" l="1"/>
  <c r="H1401" i="2"/>
  <c r="K1401" i="2" s="1"/>
  <c r="M1400" i="2"/>
  <c r="N1400" i="2" s="1"/>
  <c r="P1400" i="2" s="1"/>
  <c r="L1401" i="2"/>
  <c r="M1401" i="2" l="1"/>
  <c r="N1401" i="2" s="1"/>
  <c r="P1401" i="2" s="1"/>
  <c r="L1402" i="2"/>
  <c r="G1401" i="2"/>
  <c r="H1402" i="2" l="1"/>
  <c r="K1402" i="2" s="1"/>
  <c r="M1402" i="2" s="1"/>
  <c r="N1402" i="2" s="1"/>
  <c r="P1402" i="2" s="1"/>
  <c r="J1402" i="2"/>
  <c r="G1402" i="2" l="1"/>
  <c r="J1403" i="2" s="1"/>
  <c r="L1403" i="2"/>
  <c r="H1403" i="2" l="1"/>
  <c r="K1403" i="2" s="1"/>
  <c r="M1403" i="2" s="1"/>
  <c r="N1403" i="2" s="1"/>
  <c r="P1403" i="2" s="1"/>
  <c r="G1403" i="2" l="1"/>
  <c r="H1404" i="2" s="1"/>
  <c r="K1404" i="2" s="1"/>
  <c r="L1404" i="2"/>
  <c r="J1404" i="2" l="1"/>
  <c r="G1404" i="2" s="1"/>
  <c r="H1405" i="2" s="1"/>
  <c r="K1405" i="2" s="1"/>
  <c r="M1404" i="2"/>
  <c r="N1404" i="2" s="1"/>
  <c r="P1404" i="2" s="1"/>
  <c r="L1405" i="2"/>
  <c r="J1405" i="2" l="1"/>
  <c r="G1405" i="2" s="1"/>
  <c r="M1405" i="2"/>
  <c r="N1405" i="2" s="1"/>
  <c r="P1405" i="2" s="1"/>
  <c r="L1406" i="2"/>
  <c r="J1406" i="2" l="1"/>
  <c r="H1406" i="2"/>
  <c r="K1406" i="2" s="1"/>
  <c r="M1406" i="2" s="1"/>
  <c r="N1406" i="2" s="1"/>
  <c r="P1406" i="2" s="1"/>
  <c r="L1407" i="2" l="1"/>
  <c r="G1406" i="2"/>
  <c r="H1407" i="2" l="1"/>
  <c r="K1407" i="2" s="1"/>
  <c r="M1407" i="2" s="1"/>
  <c r="N1407" i="2" s="1"/>
  <c r="P1407" i="2" s="1"/>
  <c r="J1407" i="2"/>
  <c r="G1407" i="2" l="1"/>
  <c r="H1408" i="2" s="1"/>
  <c r="K1408" i="2" s="1"/>
  <c r="L1408" i="2"/>
  <c r="J1408" i="2" l="1"/>
  <c r="G1408" i="2" s="1"/>
  <c r="L1409" i="2"/>
  <c r="M1408" i="2"/>
  <c r="N1408" i="2" s="1"/>
  <c r="P1408" i="2" s="1"/>
  <c r="H1409" i="2" l="1"/>
  <c r="K1409" i="2" s="1"/>
  <c r="M1409" i="2" s="1"/>
  <c r="N1409" i="2" s="1"/>
  <c r="P1409" i="2" s="1"/>
  <c r="J1409" i="2"/>
  <c r="G1409" i="2" l="1"/>
  <c r="H1410" i="2" s="1"/>
  <c r="K1410" i="2" s="1"/>
  <c r="L1410" i="2"/>
  <c r="M1410" i="2" l="1"/>
  <c r="N1410" i="2" s="1"/>
  <c r="P1410" i="2" s="1"/>
  <c r="J1410" i="2"/>
  <c r="G1410" i="2" s="1"/>
  <c r="L1411" i="2"/>
  <c r="J1411" i="2" l="1"/>
  <c r="H1411" i="2"/>
  <c r="K1411" i="2" s="1"/>
  <c r="M1411" i="2" s="1"/>
  <c r="N1411" i="2" s="1"/>
  <c r="P1411" i="2" s="1"/>
  <c r="G1411" i="2" l="1"/>
  <c r="L1412" i="2"/>
  <c r="H1412" i="2" l="1"/>
  <c r="K1412" i="2" s="1"/>
  <c r="J1412" i="2"/>
  <c r="G1412" i="2" l="1"/>
  <c r="J1413" i="2" s="1"/>
  <c r="L1413" i="2"/>
  <c r="M1412" i="2"/>
  <c r="N1412" i="2" s="1"/>
  <c r="P1412" i="2" s="1"/>
  <c r="H1413" i="2" l="1"/>
  <c r="K1413" i="2" s="1"/>
  <c r="M1413" i="2" s="1"/>
  <c r="N1413" i="2" s="1"/>
  <c r="P1413" i="2" s="1"/>
  <c r="L1414" i="2" l="1"/>
  <c r="G1413" i="2"/>
  <c r="H1414" i="2" s="1"/>
  <c r="K1414" i="2" s="1"/>
  <c r="M1414" i="2" l="1"/>
  <c r="N1414" i="2" s="1"/>
  <c r="P1414" i="2" s="1"/>
  <c r="J1414" i="2"/>
  <c r="G1414" i="2" s="1"/>
  <c r="J1415" i="2" s="1"/>
  <c r="L1415" i="2"/>
  <c r="H1415" i="2" l="1"/>
  <c r="G1415" i="2" s="1"/>
  <c r="H1416" i="2" s="1"/>
  <c r="J1416" i="2" l="1"/>
  <c r="G1416" i="2" s="1"/>
  <c r="K1415" i="2"/>
  <c r="L1416" i="2" s="1"/>
  <c r="J1417" i="2" l="1"/>
  <c r="H1417" i="2"/>
  <c r="M1415" i="2"/>
  <c r="N1415" i="2" s="1"/>
  <c r="P1415" i="2" s="1"/>
  <c r="K1416" i="2"/>
  <c r="L1417" i="2" s="1"/>
  <c r="G1417" i="2" l="1"/>
  <c r="H1418" i="2" s="1"/>
  <c r="K1417" i="2"/>
  <c r="M1417" i="2" s="1"/>
  <c r="N1417" i="2" s="1"/>
  <c r="P1417" i="2" s="1"/>
  <c r="M1416" i="2"/>
  <c r="N1416" i="2" s="1"/>
  <c r="P1416" i="2" s="1"/>
  <c r="J1418" i="2" l="1"/>
  <c r="G1418" i="2" s="1"/>
  <c r="K1418" i="2"/>
  <c r="L1418" i="2"/>
  <c r="M1418" i="2" l="1"/>
  <c r="N1418" i="2" s="1"/>
  <c r="P1418" i="2" s="1"/>
  <c r="L1419" i="2"/>
  <c r="J1419" i="2"/>
  <c r="H1419" i="2"/>
  <c r="G1419" i="2" l="1"/>
  <c r="J1420" i="2" s="1"/>
  <c r="K1419" i="2"/>
  <c r="H1420" i="2" l="1"/>
  <c r="G1420" i="2" s="1"/>
  <c r="H1421" i="2" s="1"/>
  <c r="M1419" i="2"/>
  <c r="N1419" i="2" s="1"/>
  <c r="P1419" i="2" s="1"/>
  <c r="L1420" i="2"/>
  <c r="K1420" i="2" l="1"/>
  <c r="L1421" i="2" s="1"/>
  <c r="J1421" i="2"/>
  <c r="G1421" i="2" s="1"/>
  <c r="H1422" i="2" s="1"/>
  <c r="M1420" i="2" l="1"/>
  <c r="N1420" i="2" s="1"/>
  <c r="P1420" i="2" s="1"/>
  <c r="K1421" i="2"/>
  <c r="M1421" i="2" s="1"/>
  <c r="N1421" i="2" s="1"/>
  <c r="P1421" i="2" s="1"/>
  <c r="J1422" i="2"/>
  <c r="G1422" i="2" s="1"/>
  <c r="L1422" i="2" l="1"/>
  <c r="K1422" i="2"/>
  <c r="H1423" i="2"/>
  <c r="J1423" i="2"/>
  <c r="K1423" i="2" l="1"/>
  <c r="L1423" i="2"/>
  <c r="M1422" i="2"/>
  <c r="N1422" i="2" s="1"/>
  <c r="P1422" i="2" s="1"/>
  <c r="G1423" i="2"/>
  <c r="M1423" i="2" l="1"/>
  <c r="N1423" i="2" s="1"/>
  <c r="P1423" i="2" s="1"/>
  <c r="F22" i="2" s="1"/>
  <c r="F27" i="2" s="1"/>
  <c r="F16" i="2" l="1"/>
  <c r="F18" i="2" s="1"/>
  <c r="F19" i="2" l="1"/>
  <c r="F21" i="2" s="1"/>
  <c r="F26" i="2"/>
</calcChain>
</file>

<file path=xl/sharedStrings.xml><?xml version="1.0" encoding="utf-8"?>
<sst xmlns="http://schemas.openxmlformats.org/spreadsheetml/2006/main" count="1552" uniqueCount="1481">
  <si>
    <r>
      <t xml:space="preserve">Versión simplificada del Modelo Hidrológico HBV </t>
    </r>
    <r>
      <rPr>
        <sz val="12"/>
        <rFont val="Times New Roman"/>
        <family val="1"/>
      </rPr>
      <t xml:space="preserve">                                                                                                                                                            Mayo 2010                                                                                                                                                                                UC Irvine (adaptado Uniandes, 2011)</t>
    </r>
  </si>
  <si>
    <t>DATOS DE ENTRADA</t>
  </si>
  <si>
    <r>
      <t>Área de la cuenca (Km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)</t>
    </r>
  </si>
  <si>
    <r>
      <t>K</t>
    </r>
    <r>
      <rPr>
        <b/>
        <vertAlign val="subscript"/>
        <sz val="12"/>
        <rFont val="Times New Roman"/>
        <family val="1"/>
      </rPr>
      <t>0</t>
    </r>
    <r>
      <rPr>
        <b/>
        <sz val="12"/>
        <rFont val="Times New Roman"/>
        <family val="1"/>
      </rPr>
      <t xml:space="preserve"> (Cte Alm. subsuperf., 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</si>
  <si>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T</t>
    </r>
    <r>
      <rPr>
        <b/>
        <vertAlign val="subscript"/>
        <sz val="12"/>
        <rFont val="Times New Roman"/>
        <family val="1"/>
      </rPr>
      <t>t</t>
    </r>
    <r>
      <rPr>
        <b/>
        <sz val="12"/>
        <rFont val="Times New Roman"/>
        <family val="1"/>
      </rPr>
      <t xml:space="preserve"> (Temp. umbral nieve, °C)</t>
    </r>
  </si>
  <si>
    <r>
      <t>L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(Prof. Umbral flujo subsup., mm)</t>
    </r>
  </si>
  <si>
    <r>
      <t>DD (factor de temp. diaria, mm°C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dia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</si>
  <si>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K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(Cte Alm. Interflow, 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</si>
  <si>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FC (Capacidad de campo, mm)</t>
  </si>
  <si>
    <r>
      <t>K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(Cte Alm. flujo base, 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</si>
  <si>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BETA (exponente función Prec. Efectiva, adim)</t>
  </si>
  <si>
    <r>
      <t>K</t>
    </r>
    <r>
      <rPr>
        <b/>
        <vertAlign val="subscript"/>
        <sz val="12"/>
        <rFont val="Times New Roman"/>
        <family val="1"/>
      </rPr>
      <t>perc</t>
    </r>
    <r>
      <rPr>
        <b/>
        <sz val="12"/>
        <rFont val="Times New Roman"/>
        <family val="1"/>
      </rPr>
      <t xml:space="preserve"> (día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</si>
  <si>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C (Parámetro de modelo evapotr., °C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</si>
  <si>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PWP (punto march. perm., mm)</t>
  </si>
  <si>
    <t>Tprom Mensual (°C)</t>
  </si>
  <si>
    <t>ETP mensual (mm)</t>
  </si>
  <si>
    <t>ETP diaria (mm/día)</t>
  </si>
  <si>
    <t>Desempeño del Modelo</t>
  </si>
  <si>
    <t>ETa Total (mm/periodo)</t>
  </si>
  <si>
    <t>Prec. Total (mm/periodo)</t>
  </si>
  <si>
    <t>Esc. Total (mm/periodo)</t>
  </si>
  <si>
    <t>Esc. Simulada (mm/periodo)</t>
  </si>
  <si>
    <t>Esc. Observada (mm/periodo)</t>
  </si>
  <si>
    <t>Error (%)</t>
  </si>
  <si>
    <t>Suma diferencias cuadradas</t>
  </si>
  <si>
    <r>
      <t>Promedio Q</t>
    </r>
    <r>
      <rPr>
        <b/>
        <vertAlign val="subscript"/>
        <sz val="12"/>
        <rFont val="Times New Roman"/>
        <family val="1"/>
      </rPr>
      <t>observado</t>
    </r>
    <r>
      <rPr>
        <b/>
        <sz val="12"/>
        <rFont val="Times New Roman"/>
        <family val="1"/>
      </rPr>
      <t xml:space="preserve"> (m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/s)</t>
    </r>
  </si>
  <si>
    <r>
      <t>(Q-Q</t>
    </r>
    <r>
      <rPr>
        <b/>
        <vertAlign val="subscript"/>
        <sz val="12"/>
        <rFont val="Times New Roman"/>
        <family val="1"/>
      </rPr>
      <t>m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2</t>
    </r>
  </si>
  <si>
    <t>Correlación</t>
  </si>
  <si>
    <t>Coeficiente Nash Sutcliff</t>
  </si>
  <si>
    <t>Fecha</t>
  </si>
  <si>
    <t>Mes</t>
  </si>
  <si>
    <t>Temp.             (°C)</t>
  </si>
  <si>
    <t>Prec.  (mm/día)</t>
  </si>
  <si>
    <t>Nieve                                       (mm/día)</t>
  </si>
  <si>
    <t>Agua Líquida   (mm/día)</t>
  </si>
  <si>
    <t>Humedad del Suelo (mm)</t>
  </si>
  <si>
    <r>
      <t>P</t>
    </r>
    <r>
      <rPr>
        <b/>
        <vertAlign val="subscript"/>
        <sz val="12"/>
        <rFont val="Times New Roman"/>
        <family val="1"/>
      </rPr>
      <t>efectiva</t>
    </r>
    <r>
      <rPr>
        <b/>
        <sz val="12"/>
        <rFont val="Times New Roman"/>
        <family val="1"/>
      </rPr>
      <t xml:space="preserve">          (mm/día)</t>
    </r>
  </si>
  <si>
    <t>ETP  (mm/día)</t>
  </si>
  <si>
    <r>
      <t>ET</t>
    </r>
    <r>
      <rPr>
        <b/>
        <vertAlign val="subscript"/>
        <sz val="12"/>
        <rFont val="Times New Roman"/>
        <family val="1"/>
      </rPr>
      <t>a</t>
    </r>
    <r>
      <rPr>
        <b/>
        <sz val="12"/>
        <rFont val="Times New Roman"/>
        <family val="1"/>
      </rPr>
      <t xml:space="preserve">  (mm/día)</t>
    </r>
  </si>
  <si>
    <r>
      <t>S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          (mm)</t>
    </r>
  </si>
  <si>
    <r>
      <t>S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                     (mm)</t>
    </r>
  </si>
  <si>
    <r>
      <t xml:space="preserve"> Q (Q</t>
    </r>
    <r>
      <rPr>
        <b/>
        <vertAlign val="subscript"/>
        <sz val="12"/>
        <rFont val="Times New Roman"/>
        <family val="1"/>
      </rPr>
      <t>t</t>
    </r>
    <r>
      <rPr>
        <b/>
        <sz val="12"/>
        <rFont val="Times New Roman"/>
        <family val="1"/>
      </rPr>
      <t>)  Total      (mm/día)</t>
    </r>
  </si>
  <si>
    <r>
      <t>Q (m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/s) Simulado</t>
    </r>
  </si>
  <si>
    <r>
      <t>Q (m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/s) Observado</t>
    </r>
  </si>
  <si>
    <r>
      <t>(Q-QT)</t>
    </r>
    <r>
      <rPr>
        <b/>
        <vertAlign val="superscript"/>
        <sz val="12"/>
        <rFont val="Times New Roman"/>
        <family val="1"/>
      </rPr>
      <t>2</t>
    </r>
  </si>
  <si>
    <r>
      <t>(Q-Qm)</t>
    </r>
    <r>
      <rPr>
        <b/>
        <vertAlign val="superscript"/>
        <sz val="12"/>
        <rFont val="Times New Roman"/>
        <family val="1"/>
      </rPr>
      <t>2</t>
    </r>
  </si>
  <si>
    <t>Microsoft Excel 16.0 Informe de sensibilidad</t>
  </si>
  <si>
    <t>Hoja de cálculo: [C09_Modelo HBV - upch v1 (1).xlsm]HBV Modelo</t>
  </si>
  <si>
    <t>Informe creado: 25/11/2024 15:21:12</t>
  </si>
  <si>
    <t>Celdas de variables</t>
  </si>
  <si>
    <t>Celda</t>
  </si>
  <si>
    <t>Nombre</t>
  </si>
  <si>
    <t>Final</t>
  </si>
  <si>
    <t>Valor</t>
  </si>
  <si>
    <t>Reducido</t>
  </si>
  <si>
    <t>Degradado</t>
  </si>
  <si>
    <t>Restricciones</t>
  </si>
  <si>
    <t>Lagrange</t>
  </si>
  <si>
    <t>Multiplicador</t>
  </si>
  <si>
    <t>$C$11</t>
  </si>
  <si>
    <t>$C$12</t>
  </si>
  <si>
    <t>$C$13</t>
  </si>
  <si>
    <t>C (Parámetro de modelo evapotr., °C-1)</t>
  </si>
  <si>
    <t>$F$8</t>
  </si>
  <si>
    <t>K0 (Cte Alm. subsuperf., día-1)</t>
  </si>
  <si>
    <t>$F$9</t>
  </si>
  <si>
    <t>L1 (Prof. Umbral flujo subsup., mm)</t>
  </si>
  <si>
    <t>$F$10</t>
  </si>
  <si>
    <t>K1 (Cte Alm. Interflow, día-1)</t>
  </si>
  <si>
    <t>$F$11</t>
  </si>
  <si>
    <t>K2 (Cte Alm. flujo base, día-1)</t>
  </si>
  <si>
    <t>$F$12</t>
  </si>
  <si>
    <t>Kperc (día-1)</t>
  </si>
  <si>
    <t>$F$13</t>
  </si>
  <si>
    <t>$G$31</t>
  </si>
  <si>
    <t>$K$31</t>
  </si>
  <si>
    <t>S1           (mm)</t>
  </si>
  <si>
    <t>$L$31</t>
  </si>
  <si>
    <t>S2                      (mm)</t>
  </si>
  <si>
    <t>Microsoft Excel 16.0 Informe de límites</t>
  </si>
  <si>
    <t>Informe creado: 25/11/2024 15:21:13</t>
  </si>
  <si>
    <t>Objetivo</t>
  </si>
  <si>
    <t>Variable</t>
  </si>
  <si>
    <t>Inferior</t>
  </si>
  <si>
    <t>Límite</t>
  </si>
  <si>
    <t>Resultado</t>
  </si>
  <si>
    <t>Superior</t>
  </si>
  <si>
    <t>$F$27</t>
  </si>
  <si>
    <t>#N/D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</si>
  <si>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</si>
  <si>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</si>
  <si>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</si>
  <si>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</si>
  <si>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</si>
  <si>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</si>
  <si>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</si>
  <si>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</si>
  <si>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</si>
  <si>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</si>
  <si>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</si>
  <si>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</si>
  <si>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</si>
  <si>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</si>
  <si>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</si>
  <si>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</si>
  <si>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</si>
  <si>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</si>
  <si>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</si>
  <si>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</si>
  <si>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</si>
  <si>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</si>
  <si>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</si>
  <si>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</si>
  <si>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</si>
  <si>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</si>
  <si>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</si>
  <si>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</si>
  <si>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</si>
  <si>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</si>
  <si>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</si>
  <si>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</si>
  <si>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</si>
  <si>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</si>
  <si>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</si>
  <si>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</si>
  <si>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</si>
  <si>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</si>
  <si>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</si>
  <si>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</si>
  <si>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</si>
  <si>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</si>
  <si>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</si>
  <si>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</si>
  <si>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</si>
  <si>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</si>
  <si>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</si>
  <si>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</si>
  <si>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</si>
  <si>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</si>
  <si>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</si>
  <si>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</si>
  <si>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</si>
  <si>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</si>
  <si>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</si>
  <si>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</si>
  <si>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</si>
  <si>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</si>
  <si>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</si>
  <si>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</si>
  <si>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</si>
  <si>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</si>
  <si>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</si>
  <si>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</si>
  <si>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</si>
  <si>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</si>
  <si>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</si>
  <si>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</si>
  <si>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</si>
  <si>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</si>
  <si>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</si>
  <si>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</si>
  <si>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</si>
  <si>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</si>
  <si>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</si>
  <si>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</si>
  <si>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</si>
  <si>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</si>
  <si>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</si>
  <si>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</si>
  <si>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</si>
  <si>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</si>
  <si>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</si>
  <si>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</si>
  <si>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</si>
  <si>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</si>
  <si>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</si>
  <si>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</si>
  <si>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</si>
  <si>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</si>
  <si>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</si>
  <si>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</si>
  <si>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</si>
  <si>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</si>
  <si>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</si>
  <si>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</si>
  <si>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</si>
  <si>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</si>
  <si>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</si>
  <si>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</si>
  <si>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</si>
  <si>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</si>
  <si>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</si>
  <si>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</si>
  <si>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</si>
  <si>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</si>
  <si>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</si>
  <si>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</si>
  <si>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</si>
  <si>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</si>
  <si>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</si>
  <si>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</si>
  <si>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</si>
  <si>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</si>
  <si>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</si>
  <si>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</si>
  <si>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</si>
  <si>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</si>
  <si>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</si>
  <si>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</si>
  <si>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</si>
  <si>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</si>
  <si>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</si>
  <si>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</si>
  <si>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</si>
  <si>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</si>
  <si>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</si>
  <si>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</si>
  <si>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</si>
  <si>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</si>
  <si>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</si>
  <si>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</si>
  <si>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</si>
  <si>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</si>
  <si>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</si>
  <si>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</si>
  <si>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</si>
  <si>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</si>
  <si>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</si>
  <si>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</si>
  <si>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</si>
  <si>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</si>
  <si>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</si>
  <si>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</si>
  <si>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</si>
  <si>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</si>
  <si>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</si>
  <si>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</si>
  <si>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</si>
  <si>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</si>
  <si>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</si>
  <si>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</si>
  <si>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</si>
  <si>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</si>
  <si>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</si>
  <si>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</si>
  <si>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</si>
  <si>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</si>
  <si>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</si>
  <si>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</si>
  <si>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</si>
  <si>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</si>
  <si>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</si>
  <si>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</si>
  <si>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</si>
  <si>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</si>
  <si>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</si>
  <si>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</si>
  <si>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</si>
  <si>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</si>
  <si>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</si>
  <si>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</si>
  <si>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</si>
  <si>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</si>
  <si>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</si>
  <si>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</si>
  <si>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</si>
  <si>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</si>
  <si>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</si>
  <si>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</si>
  <si>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</si>
  <si>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</si>
  <si>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</si>
  <si>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</si>
  <si>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</si>
  <si>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</si>
  <si>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</si>
  <si>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</si>
  <si>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</si>
  <si>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</si>
  <si>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</si>
  <si>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</si>
  <si>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</si>
  <si>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</si>
  <si>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</si>
  <si>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</si>
  <si>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</si>
  <si>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</si>
  <si>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</si>
  <si>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</si>
  <si>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</si>
  <si>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</si>
  <si>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</si>
  <si>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</si>
  <si>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</si>
  <si>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</si>
  <si>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</si>
  <si>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</si>
  <si>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</si>
  <si>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</si>
  <si>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</si>
  <si>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</si>
  <si>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</si>
  <si>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</si>
  <si>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</si>
  <si>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</si>
  <si>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</si>
  <si>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</si>
  <si>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</si>
  <si>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</si>
  <si>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</si>
  <si>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</si>
  <si>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</si>
  <si>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</si>
  <si>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</si>
  <si>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</si>
  <si>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</si>
  <si>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</si>
  <si>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</si>
  <si>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</si>
  <si>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</si>
  <si>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</si>
  <si>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</si>
  <si>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</si>
  <si>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</si>
  <si>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</si>
  <si>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</si>
  <si>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</si>
  <si>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</si>
  <si>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</si>
  <si>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</si>
  <si>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</si>
  <si>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</si>
  <si>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</si>
  <si>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</si>
  <si>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</si>
  <si>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</si>
  <si>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</si>
  <si>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</si>
  <si>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</si>
  <si>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</si>
  <si>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</si>
  <si>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</si>
  <si>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</si>
  <si>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</si>
  <si>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</si>
  <si>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</si>
  <si>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</si>
  <si>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</si>
  <si>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</si>
  <si>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</si>
  <si>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</si>
  <si>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</si>
  <si>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</si>
  <si>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</si>
  <si>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</si>
  <si>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</si>
  <si>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</si>
  <si>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</si>
  <si>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</si>
  <si>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</si>
  <si>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</si>
  <si>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</si>
  <si>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</si>
  <si>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</si>
  <si>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</si>
  <si>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</si>
  <si>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</si>
  <si>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</si>
  <si>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</si>
  <si>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</si>
  <si>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</si>
  <si>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</si>
  <si>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</si>
  <si>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</si>
  <si>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</si>
  <si>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</si>
  <si>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</si>
  <si>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</si>
  <si>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</si>
  <si>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</si>
  <si>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</si>
  <si>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</si>
  <si>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</si>
  <si>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</si>
  <si>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</si>
  <si>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</si>
  <si>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</si>
  <si>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</si>
  <si>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</si>
  <si>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</si>
  <si>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</si>
  <si>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</si>
  <si>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</si>
  <si>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</si>
  <si>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</si>
  <si>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</si>
  <si>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</si>
  <si>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</si>
  <si>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</si>
  <si>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</si>
  <si>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</si>
  <si>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</si>
  <si>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</si>
  <si>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</si>
  <si>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</si>
  <si>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</si>
  <si>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</si>
  <si>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</si>
  <si>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</si>
  <si>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</si>
  <si>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</si>
  <si>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</si>
  <si>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</si>
  <si>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</si>
  <si>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</si>
  <si>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</si>
  <si>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</si>
  <si>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</si>
  <si>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</si>
  <si>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</si>
  <si>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</si>
  <si>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</si>
  <si>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</si>
  <si>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</si>
  <si>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</si>
  <si>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</si>
  <si>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</si>
  <si>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</si>
  <si>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</si>
  <si>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</si>
  <si>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</si>
  <si>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</si>
  <si>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</si>
  <si>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</si>
  <si>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</si>
  <si>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</si>
  <si>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</si>
  <si>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</si>
  <si>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</si>
  <si>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</si>
  <si>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</si>
  <si>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</si>
  <si>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</si>
  <si>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</si>
  <si>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</si>
  <si>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</si>
  <si>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</si>
  <si>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</si>
  <si>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</si>
  <si>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</si>
  <si>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</si>
  <si>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</si>
  <si>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</si>
  <si>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</si>
  <si>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</si>
  <si>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</si>
  <si>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</si>
  <si>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</si>
  <si>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</si>
  <si>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</si>
  <si>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</si>
  <si>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</si>
  <si>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</si>
  <si>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</si>
  <si>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</si>
  <si>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</si>
  <si>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</si>
  <si>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</si>
  <si>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</si>
  <si>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</si>
  <si>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</si>
  <si>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</si>
  <si>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</si>
  <si>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</si>
  <si>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</si>
  <si>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</si>
  <si>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</si>
  <si>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</si>
  <si>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</si>
  <si>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</si>
  <si>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</si>
  <si>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</si>
  <si>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</si>
  <si>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</si>
  <si>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</si>
  <si>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</si>
  <si>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</si>
  <si>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</si>
  <si>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</si>
  <si>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</si>
  <si>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</si>
  <si>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</si>
  <si>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</si>
  <si>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</si>
  <si>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</si>
  <si>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</si>
  <si>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</si>
  <si>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</si>
  <si>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</si>
  <si>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</si>
  <si>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</si>
  <si>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</si>
  <si>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</si>
  <si>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</si>
  <si>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</si>
  <si>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</si>
  <si>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</si>
  <si>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</si>
  <si>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</si>
  <si>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</si>
  <si>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</si>
  <si>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</si>
  <si>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</si>
  <si>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</si>
  <si>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</si>
  <si>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</si>
  <si>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</si>
  <si>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</si>
  <si>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</si>
  <si>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</si>
  <si>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</si>
  <si>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</si>
  <si>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</si>
  <si>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</si>
  <si>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</si>
  <si>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</si>
  <si>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</si>
  <si>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</si>
  <si>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</si>
  <si>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</si>
  <si>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</si>
  <si>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</si>
  <si>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</si>
  <si>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</si>
  <si>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</si>
  <si>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</si>
  <si>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</si>
  <si>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</si>
  <si>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</si>
  <si>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</si>
  <si>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</si>
  <si>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</si>
  <si>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</si>
  <si>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</si>
  <si>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</si>
  <si>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</si>
  <si>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</si>
  <si>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</si>
  <si>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</si>
  <si>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</si>
  <si>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</si>
  <si>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</si>
  <si>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</si>
  <si>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</si>
  <si>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</si>
  <si>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</si>
  <si>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</si>
  <si>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</si>
  <si>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</si>
  <si>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</si>
  <si>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</si>
  <si>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</si>
  <si>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</si>
  <si>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</si>
  <si>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</si>
  <si>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</si>
  <si>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</si>
  <si>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</si>
  <si>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</si>
  <si>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</si>
  <si>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</si>
  <si>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</si>
  <si>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</si>
  <si>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</si>
  <si>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</si>
  <si>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</si>
  <si>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</si>
  <si>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</si>
  <si>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</si>
  <si>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</si>
  <si>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</si>
  <si>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</si>
  <si>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</si>
  <si>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</si>
  <si>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</si>
  <si>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</si>
  <si>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</si>
  <si>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</si>
  <si>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</si>
  <si>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</si>
  <si>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</si>
  <si>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</si>
  <si>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</si>
  <si>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</si>
  <si>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</si>
  <si>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</si>
  <si>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</si>
  <si>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</si>
  <si>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</si>
  <si>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</si>
  <si>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</si>
  <si>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</si>
  <si>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</si>
  <si>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</si>
  <si>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</si>
  <si>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</si>
  <si>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</si>
  <si>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</si>
  <si>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</si>
  <si>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</si>
  <si>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</si>
  <si>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</si>
  <si>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</si>
  <si>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</si>
  <si>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</si>
  <si>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</si>
  <si>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</si>
  <si>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</si>
  <si>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</si>
  <si>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</si>
  <si>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</si>
  <si>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</si>
  <si>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</si>
  <si>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25/06/2021</t>
  </si>
  <si>
    <t>27/06/2021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</si>
  <si>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</si>
  <si>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</si>
  <si>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</si>
  <si>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</si>
  <si>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</si>
  <si>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</si>
  <si>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</si>
  <si>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</si>
  <si>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</si>
  <si>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</si>
  <si>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</si>
  <si>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</si>
  <si>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</si>
  <si>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</si>
  <si>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</si>
  <si>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</si>
  <si>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</si>
  <si>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</si>
  <si>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</si>
  <si>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</si>
  <si>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</si>
  <si>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</si>
  <si>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</si>
  <si>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</si>
  <si>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</si>
  <si>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</si>
  <si>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</si>
  <si>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</si>
  <si>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</si>
  <si>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</si>
  <si>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</si>
  <si>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</si>
  <si>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</si>
  <si>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</si>
  <si>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</si>
  <si>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</si>
  <si>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</si>
  <si>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</si>
  <si>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</si>
  <si>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</si>
  <si>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</si>
  <si>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</si>
  <si>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</si>
  <si>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</si>
  <si>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</si>
  <si>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</si>
  <si>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</si>
  <si>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</si>
  <si>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</si>
  <si>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</si>
  <si>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</si>
  <si>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</si>
  <si>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</si>
  <si>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</si>
  <si>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</si>
  <si>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</si>
  <si>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</si>
  <si>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</si>
  <si>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</si>
  <si>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</si>
  <si>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</si>
  <si>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</si>
  <si>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</si>
  <si>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</si>
  <si>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</si>
  <si>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</si>
  <si>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</si>
  <si>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</si>
  <si>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</si>
  <si>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</si>
  <si>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</si>
  <si>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</si>
  <si>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</si>
  <si>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</si>
  <si>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</si>
  <si>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</si>
  <si>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</si>
  <si>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</si>
  <si>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</si>
  <si>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</si>
  <si>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</si>
  <si>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</si>
  <si>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</si>
  <si>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</si>
  <si>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</si>
  <si>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</si>
  <si>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</si>
  <si>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</si>
  <si>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</si>
  <si>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</si>
  <si>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</si>
  <si>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</si>
  <si>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</si>
  <si>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</si>
  <si>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</si>
  <si>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</si>
  <si>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</si>
  <si>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</si>
  <si>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</si>
  <si>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</si>
  <si>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</si>
  <si>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</si>
  <si>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</si>
  <si>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</si>
  <si>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</si>
  <si>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</si>
  <si>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</si>
  <si>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</si>
  <si>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</si>
  <si>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</si>
  <si>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</si>
  <si>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</si>
  <si>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</si>
  <si>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</si>
  <si>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</si>
  <si>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</si>
  <si>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</si>
  <si>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</si>
  <si>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</si>
  <si>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</si>
  <si>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</si>
  <si>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</si>
  <si>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</si>
  <si>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</si>
  <si>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</si>
  <si>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</si>
  <si>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</si>
  <si>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</si>
  <si>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</si>
  <si>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</si>
  <si>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</si>
  <si>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</si>
  <si>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</si>
  <si>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</si>
  <si>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</si>
  <si>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</si>
  <si>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</si>
  <si>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</si>
  <si>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</si>
  <si>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</si>
  <si>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</si>
  <si>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</si>
  <si>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</si>
  <si>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</si>
  <si>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</si>
  <si>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</si>
  <si>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</si>
  <si>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</si>
  <si>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</si>
  <si>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</si>
  <si>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</si>
  <si>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</si>
  <si>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</si>
  <si>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</si>
  <si>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</si>
  <si>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</si>
  <si>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</si>
  <si>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</si>
  <si>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</si>
  <si>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</si>
  <si>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</si>
  <si>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</si>
  <si>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</si>
  <si>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</si>
  <si>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</si>
  <si>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</si>
  <si>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</si>
  <si>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</si>
  <si>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</si>
  <si>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</si>
  <si>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</si>
  <si>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</si>
  <si>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</si>
  <si>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</si>
  <si>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</si>
  <si>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</si>
  <si>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</si>
  <si>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</si>
  <si>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</si>
  <si>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</si>
  <si>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</si>
  <si>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</si>
  <si>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</si>
  <si>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</si>
  <si>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</si>
  <si>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</si>
  <si>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</si>
  <si>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</si>
  <si>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</si>
  <si>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</si>
  <si>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</si>
  <si>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</si>
  <si>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</si>
  <si>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</si>
  <si>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</si>
  <si>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</si>
  <si>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</si>
  <si>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</si>
  <si>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</si>
  <si>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</si>
  <si>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</si>
  <si>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</si>
  <si>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</si>
  <si>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</si>
  <si>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</si>
  <si>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</si>
  <si>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</si>
  <si>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</si>
  <si>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</si>
  <si>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</si>
  <si>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</si>
  <si>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</si>
  <si>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</si>
  <si>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</si>
  <si>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</si>
  <si>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</si>
  <si>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</si>
  <si>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</si>
  <si>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</si>
  <si>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</si>
  <si>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</si>
  <si>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</si>
  <si>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</si>
  <si>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</si>
  <si>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</si>
  <si>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</si>
  <si>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</si>
  <si>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</si>
  <si>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</si>
  <si>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</si>
  <si>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</si>
  <si>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</si>
  <si>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</si>
  <si>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</si>
  <si>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</si>
  <si>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</si>
  <si>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</si>
  <si>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</si>
  <si>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</si>
  <si>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</si>
  <si>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</si>
  <si>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</si>
  <si>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</si>
  <si>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</si>
  <si>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</si>
  <si>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</si>
  <si>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</si>
  <si>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</si>
  <si>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</si>
  <si>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</si>
  <si>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</si>
  <si>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</si>
  <si>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</si>
  <si>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</si>
  <si>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</si>
  <si>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</si>
  <si>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</si>
  <si>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</si>
  <si>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</si>
  <si>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</si>
  <si>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</si>
  <si>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</si>
  <si>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</si>
  <si>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</si>
  <si>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</si>
  <si>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</si>
  <si>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</si>
  <si>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</si>
  <si>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</si>
  <si>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</si>
  <si>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</si>
  <si>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</si>
  <si>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</si>
  <si>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</si>
  <si>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</si>
  <si>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</si>
  <si>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</si>
  <si>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</si>
  <si>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</si>
  <si>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</si>
  <si>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</si>
  <si>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</si>
  <si>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</si>
  <si>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</si>
  <si>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</si>
  <si>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</si>
  <si>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</si>
  <si>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</si>
  <si>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</si>
  <si>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</si>
  <si>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</si>
  <si>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</si>
  <si>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</si>
  <si>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</si>
  <si>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</si>
  <si>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</si>
  <si>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</si>
  <si>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</si>
  <si>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</si>
  <si>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</si>
  <si>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</si>
  <si>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</si>
  <si>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</si>
  <si>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</si>
  <si>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</si>
  <si>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</si>
  <si>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</si>
  <si>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</si>
  <si>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</si>
  <si>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</si>
  <si>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</si>
  <si>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</si>
  <si>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</si>
  <si>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</si>
  <si>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</si>
  <si>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</si>
  <si>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</si>
  <si>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</si>
  <si>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</si>
  <si>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</si>
  <si>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</si>
  <si>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</si>
  <si>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</si>
  <si>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</si>
  <si>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</si>
  <si>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</si>
  <si>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</si>
  <si>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</si>
  <si>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</si>
  <si>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</si>
  <si>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</si>
  <si>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</si>
  <si>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</si>
  <si>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</si>
  <si>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</si>
  <si>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</si>
  <si>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</si>
  <si>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</si>
  <si>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</si>
  <si>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</si>
  <si>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</si>
  <si>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</si>
  <si>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</si>
  <si>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</si>
  <si>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</si>
  <si>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</si>
  <si>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</si>
  <si>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</si>
  <si>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</si>
  <si>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</si>
  <si>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</si>
  <si>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</si>
  <si>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</si>
  <si>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</si>
  <si>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</si>
  <si>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</si>
  <si>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</si>
  <si>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</si>
  <si>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</si>
  <si>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</si>
  <si>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</si>
  <si>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</si>
  <si>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</si>
  <si>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</si>
  <si>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</si>
  <si>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</si>
  <si>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</si>
  <si>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</si>
  <si>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</si>
  <si>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</si>
  <si>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</si>
  <si>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</si>
  <si>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</si>
  <si>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</si>
  <si>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</si>
  <si>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</si>
  <si>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</si>
  <si>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</si>
  <si>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</si>
  <si>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</si>
  <si>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</si>
  <si>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</si>
  <si>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</si>
  <si>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</si>
  <si>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</si>
  <si>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</si>
  <si>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</si>
  <si>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</si>
  <si>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</si>
  <si>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</si>
  <si>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</si>
  <si>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</si>
  <si>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</si>
  <si>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</si>
  <si>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</si>
  <si>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</si>
  <si>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</si>
  <si>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</si>
  <si>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</si>
  <si>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</si>
  <si>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01/01/2023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</si>
  <si>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</si>
  <si>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</si>
  <si>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</si>
  <si>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</si>
  <si>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</si>
  <si>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</si>
  <si>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</si>
  <si>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</si>
  <si>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</si>
  <si>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</si>
  <si>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</si>
  <si>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</si>
  <si>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</si>
  <si>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</si>
  <si>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</si>
  <si>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</si>
  <si>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</si>
  <si>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</si>
  <si>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</si>
  <si>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</si>
  <si>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</si>
  <si>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</si>
  <si>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</si>
  <si>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</si>
  <si>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</si>
  <si>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</si>
  <si>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</si>
  <si>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</si>
  <si>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</si>
  <si>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</si>
  <si>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</si>
  <si>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</si>
  <si>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</si>
  <si>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</si>
  <si>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</si>
  <si>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</si>
  <si>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</si>
  <si>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</si>
  <si>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</si>
  <si>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</si>
  <si>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</si>
  <si>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</si>
  <si>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</si>
  <si>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</si>
  <si>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</si>
  <si>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</si>
  <si>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</si>
  <si>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</si>
  <si>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</si>
  <si>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</si>
  <si>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</si>
  <si>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</si>
  <si>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</si>
  <si>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</si>
  <si>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</si>
  <si>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</si>
  <si>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</si>
  <si>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</si>
  <si>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</si>
  <si>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</si>
  <si>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</si>
  <si>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</si>
  <si>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</si>
  <si>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</si>
  <si>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</si>
  <si>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</si>
  <si>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</si>
  <si>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</si>
  <si>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</si>
  <si>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</si>
  <si>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</si>
  <si>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</si>
  <si>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</si>
  <si>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</si>
  <si>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</si>
  <si>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</si>
  <si>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</si>
  <si>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</si>
  <si>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</si>
  <si>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</si>
  <si>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</si>
  <si>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</si>
  <si>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</si>
  <si>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</si>
  <si>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</si>
  <si>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</si>
  <si>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</si>
  <si>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</si>
  <si>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</si>
  <si>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</si>
  <si>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</si>
  <si>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</si>
  <si>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</si>
  <si>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</si>
  <si>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</si>
  <si>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</si>
  <si>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</si>
  <si>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</si>
  <si>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</si>
  <si>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</si>
  <si>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</si>
  <si>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</si>
  <si>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</si>
  <si>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</si>
  <si>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</si>
  <si>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</si>
  <si>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</si>
  <si>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</si>
  <si>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</si>
  <si>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</si>
  <si>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</si>
  <si>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</si>
  <si>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</si>
  <si>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</si>
  <si>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</si>
  <si>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</si>
  <si>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</si>
  <si>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</si>
  <si>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</si>
  <si>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</si>
  <si>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</si>
  <si>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</si>
  <si>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</si>
  <si>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</si>
  <si>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</si>
  <si>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</si>
  <si>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</si>
  <si>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</si>
  <si>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</si>
  <si>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</si>
  <si>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</si>
  <si>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</si>
  <si>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</si>
  <si>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</si>
  <si>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</si>
  <si>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</si>
  <si>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</si>
  <si>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</si>
  <si>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</si>
  <si>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</si>
  <si>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</si>
  <si>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</si>
  <si>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</si>
  <si>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</si>
  <si>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</si>
  <si>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</si>
  <si>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</si>
  <si>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</si>
  <si>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</si>
  <si>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</si>
  <si>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</si>
  <si>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</si>
  <si>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</si>
  <si>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</si>
  <si>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</si>
  <si>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</si>
  <si>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</si>
  <si>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</si>
  <si>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</si>
  <si>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</si>
  <si>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</si>
  <si>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</si>
  <si>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</si>
  <si>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</si>
  <si>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</si>
  <si>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</si>
  <si>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</si>
  <si>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</si>
  <si>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</si>
  <si>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</si>
  <si>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</si>
  <si>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</si>
  <si>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</si>
  <si>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</si>
  <si>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</si>
  <si>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</si>
  <si>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</si>
  <si>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</si>
  <si>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</si>
  <si>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</si>
  <si>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</si>
  <si>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</si>
  <si>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</si>
  <si>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</si>
  <si>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</si>
  <si>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</si>
  <si>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</si>
  <si>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</si>
  <si>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</si>
  <si>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</si>
  <si>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</si>
  <si>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</si>
  <si>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</si>
  <si>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</si>
  <si>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</si>
  <si>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</si>
  <si>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</si>
  <si>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</si>
  <si>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</si>
  <si>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</si>
  <si>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</si>
  <si>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</si>
  <si>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</si>
  <si>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</si>
  <si>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</si>
  <si>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</si>
  <si>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</si>
  <si>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</si>
  <si>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</si>
  <si>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</si>
  <si>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</si>
  <si>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</si>
  <si>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</si>
  <si>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</si>
  <si>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</si>
  <si>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</si>
  <si>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</si>
  <si>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</si>
  <si>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</si>
  <si>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</si>
  <si>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</si>
  <si>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</si>
  <si>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</si>
  <si>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</si>
  <si>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</si>
  <si>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</si>
  <si>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</si>
  <si>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</si>
  <si>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</si>
  <si>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</si>
  <si>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</si>
  <si>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</si>
  <si>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</si>
  <si>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</si>
  <si>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</si>
  <si>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</si>
  <si>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</si>
  <si>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</si>
  <si>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</si>
  <si>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</si>
  <si>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</si>
  <si>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</si>
  <si>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</si>
  <si>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</si>
  <si>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</si>
  <si>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</si>
  <si>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</si>
  <si>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</si>
  <si>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</si>
  <si>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</si>
  <si>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</si>
  <si>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</si>
  <si>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</si>
  <si>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</si>
  <si>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</si>
  <si>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</si>
  <si>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</si>
  <si>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</si>
  <si>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</si>
  <si>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</si>
  <si>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</si>
  <si>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</si>
  <si>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</si>
  <si>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</si>
  <si>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</si>
  <si>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</si>
  <si>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</si>
  <si>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</si>
  <si>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</si>
  <si>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</si>
  <si>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</si>
  <si>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</si>
  <si>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</si>
  <si>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</si>
  <si>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</si>
  <si>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</si>
  <si>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</si>
  <si>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</si>
  <si>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</si>
  <si>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</si>
  <si>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</si>
  <si>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</si>
  <si>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</si>
  <si>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</si>
  <si>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</si>
  <si>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</si>
  <si>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</si>
  <si>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</si>
  <si>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</si>
  <si>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</si>
  <si>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</si>
  <si>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</si>
  <si>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</si>
  <si>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</si>
  <si>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</si>
  <si>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</si>
  <si>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</si>
  <si>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</si>
  <si>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</si>
  <si>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</si>
  <si>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</si>
  <si>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</si>
  <si>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</si>
  <si>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</si>
  <si>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</si>
  <si>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</si>
  <si>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</si>
  <si>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</si>
  <si>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</si>
  <si>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</si>
  <si>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</si>
  <si>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</si>
  <si>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</si>
  <si>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</si>
  <si>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</si>
  <si>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</si>
  <si>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</si>
  <si>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</si>
  <si>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</si>
  <si>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</si>
  <si>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</si>
  <si>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</si>
  <si>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</si>
  <si>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</si>
  <si>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</si>
  <si>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</si>
  <si>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</si>
  <si>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</si>
  <si>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</si>
  <si>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</si>
  <si>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</si>
  <si>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</si>
  <si>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</si>
  <si>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</si>
  <si>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</si>
  <si>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</si>
  <si>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</si>
  <si>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</si>
  <si>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</si>
  <si>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</si>
  <si>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</si>
  <si>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</si>
  <si>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</si>
  <si>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</si>
  <si>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</si>
  <si>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</si>
  <si>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</si>
  <si>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</si>
  <si>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</si>
  <si>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</si>
  <si>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</si>
  <si>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</si>
  <si>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</si>
  <si>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</si>
  <si>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</si>
  <si>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</si>
  <si>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</si>
  <si>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</si>
  <si>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</si>
  <si>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</si>
  <si>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</si>
  <si>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</si>
  <si>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</si>
  <si>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</si>
  <si>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01/01/2024</t>
  </si>
  <si>
    <t>02/01/2024</t>
  </si>
  <si>
    <t>03/01/2024</t>
  </si>
  <si>
    <t>04/01/2024</t>
  </si>
  <si>
    <t>05/01/2024</t>
  </si>
  <si>
    <t>06/01/2024</t>
  </si>
  <si>
    <t>07/01/2024</t>
  </si>
  <si>
    <t>08/01/2024</t>
  </si>
  <si>
    <t>09/01/2024</t>
  </si>
  <si>
    <t>10/01/2024</t>
  </si>
  <si>
    <t>11/01/2024</t>
  </si>
  <si>
    <t>12/01/2024</t>
  </si>
  <si>
    <t>13/01/2024</t>
  </si>
  <si>
    <t>14/01/2024</t>
  </si>
  <si>
    <t>15/01/2024</t>
  </si>
  <si>
    <t>16/01/2024</t>
  </si>
  <si>
    <t>17/01/2024</t>
  </si>
  <si>
    <t>18/01/2024</t>
  </si>
  <si>
    <t>19/01/2024</t>
  </si>
  <si>
    <t>20/01/2024</t>
  </si>
  <si>
    <t>21/01/2024</t>
  </si>
  <si>
    <t>22/01/2024</t>
  </si>
  <si>
    <t>23/01/2024</t>
  </si>
  <si>
    <t>24/01/2024</t>
  </si>
  <si>
    <t>25/01/2024</t>
  </si>
  <si>
    <t>26/01/2024</t>
  </si>
  <si>
    <t>27/01/2024</t>
  </si>
  <si>
    <t>28/01/2024</t>
  </si>
  <si>
    <t>29/01/2024</t>
  </si>
  <si>
    <t>30/01/2024</t>
  </si>
  <si>
    <t>31/01/2024</t>
  </si>
  <si>
    <t>01/02/2024</t>
  </si>
  <si>
    <t>02/02/2024</t>
  </si>
  <si>
    <t>03/02/2024</t>
  </si>
  <si>
    <t>04/02/2024</t>
  </si>
  <si>
    <t>05/02/2024</t>
  </si>
  <si>
    <t>06/02/2024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</si>
  <si>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</si>
  <si>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</si>
  <si>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</si>
  <si>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</si>
  <si>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</si>
  <si>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</si>
  <si>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</si>
  <si>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</si>
  <si>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</si>
  <si>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16/02/2024</t>
  </si>
  <si>
    <t>17/02/2024</t>
  </si>
  <si>
    <t>18/02/2024</t>
  </si>
  <si>
    <t>19/02/2024</t>
  </si>
  <si>
    <t>20/02/2024</t>
  </si>
  <si>
    <t>21/02/2024</t>
  </si>
  <si>
    <t>22/02/2024</t>
  </si>
  <si>
    <t>23/02/2024</t>
  </si>
  <si>
    <t>24/02/2024</t>
  </si>
  <si>
    <t>25/02/2024</t>
  </si>
  <si>
    <t>26/02/2024</t>
  </si>
  <si>
    <t>27/02/2024</t>
  </si>
  <si>
    <t>28/02/2024</t>
  </si>
  <si>
    <t>29/02/2024</t>
  </si>
  <si>
    <t>01/03/2024</t>
  </si>
  <si>
    <t>02/03/2024</t>
  </si>
  <si>
    <t>03/03/2024</t>
  </si>
  <si>
    <t>04/03/2024</t>
  </si>
  <si>
    <t>05/03/2024</t>
  </si>
  <si>
    <t>06/03/2024</t>
  </si>
  <si>
    <t>07/03/2024</t>
  </si>
  <si>
    <t>08/03/2024</t>
  </si>
  <si>
    <t>09/03/2024</t>
  </si>
  <si>
    <t>10/03/2024</t>
  </si>
  <si>
    <t>11/03/2024</t>
  </si>
  <si>
    <t>12/03/2024</t>
  </si>
  <si>
    <t>13/03/2024</t>
  </si>
  <si>
    <t>14/03/2024</t>
  </si>
  <si>
    <t>15/03/2024</t>
  </si>
  <si>
    <t>16/03/2024</t>
  </si>
  <si>
    <t>17/03/2024</t>
  </si>
  <si>
    <t>18/03/2024</t>
  </si>
  <si>
    <t>19/03/2024</t>
  </si>
  <si>
    <t>20/03/2024</t>
  </si>
  <si>
    <t>21/03/2024</t>
  </si>
  <si>
    <t>22/03/2024</t>
  </si>
  <si>
    <t>23/03/2024</t>
  </si>
  <si>
    <t>24/03/2024</t>
  </si>
  <si>
    <t>25/03/2024</t>
  </si>
  <si>
    <t>26/03/2024</t>
  </si>
  <si>
    <t>27/03/2024</t>
  </si>
  <si>
    <t>28/03/2024</t>
  </si>
  <si>
    <t>29/03/2024</t>
  </si>
  <si>
    <t>30/03/2024</t>
  </si>
  <si>
    <t>31/03/2024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</si>
</sst>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1" x14ac:knownFonts="1">
    <font>
      <sz val="10"/>
      <name val="Arial"/>
    </font>
    <font>
      <sz val="8"/>
      <name val="Arial"/>
      <family val="2"/>
    </font>
    <font>
      <b/>
      <sz val="12"/>
      <name val="Times New Roman"/>
      <family val="1"/>
    </font>
    <font>
      <b/>
      <vertAlign val="superscript"/>
      <sz val="12"/>
      <name val="Times New Roman"/>
      <family val="1"/>
    </font>
    <font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4"/>
      <name val="Times New Roman"/>
      <family val="1"/>
    </font>
    <font>
      <b/>
      <sz val="12"/>
      <color indexed="9"/>
      <name val="Times New Roman"/>
      <family val="1"/>
    </font>
    <font>
      <sz val="12"/>
      <color indexed="9"/>
      <name val="Times New Roman"/>
      <family val="1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4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 vertical="justify"/>
    </xf>
    <xf numFmtId="0" fontId="4" fillId="3" borderId="1" xfId="0" applyFont="1" applyFill="1" applyBorder="1" applyAlignment="1">
      <alignment horizontal="center"/>
    </xf>
    <xf numFmtId="14" fontId="4" fillId="3" borderId="1" xfId="0" applyNumberFormat="1" applyFont="1" applyFill="1" applyBorder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1" fontId="4" fillId="3" borderId="2" xfId="0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left"/>
    </xf>
    <xf numFmtId="164" fontId="4" fillId="3" borderId="4" xfId="0" applyNumberFormat="1" applyFont="1" applyFill="1" applyBorder="1" applyAlignment="1">
      <alignment horizontal="center"/>
    </xf>
    <xf numFmtId="1" fontId="4" fillId="3" borderId="4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4" fillId="4" borderId="2" xfId="0" applyNumberFormat="1" applyFont="1" applyFill="1" applyBorder="1" applyAlignment="1">
      <alignment horizontal="center"/>
    </xf>
    <xf numFmtId="165" fontId="4" fillId="4" borderId="1" xfId="0" applyNumberFormat="1" applyFont="1" applyFill="1" applyBorder="1" applyAlignment="1">
      <alignment horizontal="center"/>
    </xf>
    <xf numFmtId="165" fontId="4" fillId="4" borderId="2" xfId="0" applyNumberFormat="1" applyFont="1" applyFill="1" applyBorder="1" applyAlignment="1">
      <alignment horizontal="center"/>
    </xf>
    <xf numFmtId="164" fontId="4" fillId="4" borderId="5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left"/>
    </xf>
    <xf numFmtId="164" fontId="4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5" xfId="0" applyFont="1" applyFill="1" applyBorder="1" applyAlignment="1">
      <alignment horizontal="right"/>
    </xf>
    <xf numFmtId="164" fontId="4" fillId="3" borderId="5" xfId="0" applyNumberFormat="1" applyFont="1" applyFill="1" applyBorder="1" applyAlignment="1">
      <alignment horizontal="center"/>
    </xf>
    <xf numFmtId="164" fontId="4" fillId="3" borderId="9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left"/>
    </xf>
    <xf numFmtId="2" fontId="4" fillId="3" borderId="10" xfId="0" applyNumberFormat="1" applyFont="1" applyFill="1" applyBorder="1" applyAlignment="1">
      <alignment horizontal="center"/>
    </xf>
    <xf numFmtId="164" fontId="2" fillId="3" borderId="0" xfId="0" applyNumberFormat="1" applyFont="1" applyFill="1" applyAlignment="1">
      <alignment horizontal="left"/>
    </xf>
    <xf numFmtId="2" fontId="4" fillId="3" borderId="5" xfId="0" applyNumberFormat="1" applyFont="1" applyFill="1" applyBorder="1" applyAlignment="1">
      <alignment horizontal="center"/>
    </xf>
    <xf numFmtId="164" fontId="4" fillId="3" borderId="8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left"/>
    </xf>
    <xf numFmtId="2" fontId="4" fillId="3" borderId="9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left"/>
    </xf>
    <xf numFmtId="2" fontId="4" fillId="4" borderId="5" xfId="0" applyNumberFormat="1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14" fontId="4" fillId="2" borderId="0" xfId="0" applyNumberFormat="1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4" fontId="4" fillId="3" borderId="6" xfId="0" applyNumberFormat="1" applyFont="1" applyFill="1" applyBorder="1" applyAlignment="1">
      <alignment horizontal="center"/>
    </xf>
    <xf numFmtId="164" fontId="4" fillId="3" borderId="7" xfId="0" applyNumberFormat="1" applyFont="1" applyFill="1" applyBorder="1" applyAlignment="1">
      <alignment horizontal="center"/>
    </xf>
    <xf numFmtId="165" fontId="4" fillId="3" borderId="6" xfId="0" applyNumberFormat="1" applyFont="1" applyFill="1" applyBorder="1" applyAlignment="1">
      <alignment horizontal="center"/>
    </xf>
    <xf numFmtId="165" fontId="4" fillId="3" borderId="7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16" xfId="0" applyBorder="1"/>
    <xf numFmtId="0" fontId="0" fillId="0" borderId="17" xfId="0" applyBorder="1"/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6" fontId="0" fillId="0" borderId="17" xfId="0" applyNumberFormat="1" applyBorder="1"/>
    <xf numFmtId="165" fontId="0" fillId="0" borderId="16" xfId="0" applyNumberFormat="1" applyBorder="1"/>
    <xf numFmtId="2" fontId="0" fillId="0" borderId="16" xfId="0" applyNumberFormat="1" applyBorder="1"/>
    <xf numFmtId="164" fontId="0" fillId="0" borderId="16" xfId="0" applyNumberFormat="1" applyBorder="1"/>
    <xf numFmtId="164" fontId="0" fillId="0" borderId="17" xfId="0" applyNumberFormat="1" applyBorder="1"/>
    <xf numFmtId="164" fontId="4" fillId="3" borderId="1" xfId="0" applyNumberFormat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justify"/>
    </xf>
    <xf numFmtId="0" fontId="2" fillId="4" borderId="2" xfId="0" applyFont="1" applyFill="1" applyBorder="1" applyAlignment="1">
      <alignment horizontal="center" vertical="justify"/>
    </xf>
    <xf numFmtId="0" fontId="2" fillId="3" borderId="11" xfId="0" applyFont="1" applyFill="1" applyBorder="1" applyAlignment="1">
      <alignment horizontal="center" vertical="justify"/>
    </xf>
    <xf numFmtId="0" fontId="2" fillId="3" borderId="2" xfId="0" applyFont="1" applyFill="1" applyBorder="1" applyAlignment="1">
      <alignment horizontal="center" vertical="justify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7" fillId="5" borderId="12" xfId="0" applyFont="1" applyFill="1" applyBorder="1" applyAlignment="1">
      <alignment horizontal="center"/>
    </xf>
    <xf numFmtId="0" fontId="8" fillId="5" borderId="1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265633629463653E-2"/>
          <c:y val="4.4057617797775277E-2"/>
          <c:w val="0.90081903053257584"/>
          <c:h val="0.71085958005249339"/>
        </c:manualLayout>
      </c:layout>
      <c:lineChart>
        <c:grouping val="standard"/>
        <c:varyColors val="0"/>
        <c:ser>
          <c:idx val="0"/>
          <c:order val="0"/>
          <c:tx>
            <c:strRef>
              <c:f>'HBV Modelo'!$N$29</c:f>
              <c:strCache>
                <c:ptCount val="1"/>
                <c:pt idx="0">
                  <c:v>Q (m3/s) Simulado</c:v>
                </c:pt>
              </c:strCache>
            </c:strRef>
          </c:tx>
          <c:marker>
            <c:symbol val="none"/>
          </c:marker>
          <c:val>
            <c:numRef>
              <c:f>'HBV Modelo'!$N$30:$N$2223</c:f>
              <c:numCache>
                <c:formatCode>0.000</c:formatCode>
                <c:ptCount val="2194"/>
                <c:pt idx="2">
                  <c:v>3.3788569007431382</c:v>
                </c:pt>
                <c:pt idx="3">
                  <c:v>3.3811019663800179</c:v>
                </c:pt>
                <c:pt idx="4">
                  <c:v>3.4870050769955392</c:v>
                </c:pt>
                <c:pt idx="5">
                  <c:v>4.2012836398669764</c:v>
                </c:pt>
                <c:pt idx="6">
                  <c:v>7.7739524091716534</c:v>
                </c:pt>
                <c:pt idx="7">
                  <c:v>7.4364515095806496</c:v>
                </c:pt>
                <c:pt idx="8">
                  <c:v>13.930183664072988</c:v>
                </c:pt>
                <c:pt idx="9">
                  <c:v>20.556538031846102</c:v>
                </c:pt>
                <c:pt idx="10">
                  <c:v>19.507966478945885</c:v>
                </c:pt>
                <c:pt idx="11">
                  <c:v>20.302039470755606</c:v>
                </c:pt>
                <c:pt idx="12">
                  <c:v>21.602597659907151</c:v>
                </c:pt>
                <c:pt idx="13">
                  <c:v>20.036179385700034</c:v>
                </c:pt>
                <c:pt idx="14">
                  <c:v>20.736431232339903</c:v>
                </c:pt>
                <c:pt idx="15">
                  <c:v>21.359769725539365</c:v>
                </c:pt>
                <c:pt idx="16">
                  <c:v>22.249718985538358</c:v>
                </c:pt>
                <c:pt idx="17">
                  <c:v>21.486317825916331</c:v>
                </c:pt>
                <c:pt idx="18">
                  <c:v>19.908950711885019</c:v>
                </c:pt>
                <c:pt idx="19">
                  <c:v>19.489717224251475</c:v>
                </c:pt>
                <c:pt idx="20">
                  <c:v>18.533787356452233</c:v>
                </c:pt>
                <c:pt idx="21">
                  <c:v>18.931113509426819</c:v>
                </c:pt>
                <c:pt idx="22">
                  <c:v>17.816552975517656</c:v>
                </c:pt>
                <c:pt idx="23">
                  <c:v>18.583909562207246</c:v>
                </c:pt>
                <c:pt idx="24">
                  <c:v>19.977760886435821</c:v>
                </c:pt>
                <c:pt idx="25">
                  <c:v>18.986298214228665</c:v>
                </c:pt>
                <c:pt idx="26">
                  <c:v>17.59338064122106</c:v>
                </c:pt>
                <c:pt idx="27">
                  <c:v>16.319195816092105</c:v>
                </c:pt>
                <c:pt idx="28">
                  <c:v>15.094235346945879</c:v>
                </c:pt>
                <c:pt idx="29">
                  <c:v>13.976989135968735</c:v>
                </c:pt>
                <c:pt idx="30">
                  <c:v>13.499395308203692</c:v>
                </c:pt>
                <c:pt idx="31">
                  <c:v>14.987290525154728</c:v>
                </c:pt>
                <c:pt idx="32">
                  <c:v>15.091536823064978</c:v>
                </c:pt>
                <c:pt idx="33">
                  <c:v>14.249172307751376</c:v>
                </c:pt>
                <c:pt idx="34">
                  <c:v>13.461407751432541</c:v>
                </c:pt>
                <c:pt idx="35">
                  <c:v>13.014648021579488</c:v>
                </c:pt>
                <c:pt idx="36">
                  <c:v>12.081475429950741</c:v>
                </c:pt>
                <c:pt idx="37">
                  <c:v>11.230348492184046</c:v>
                </c:pt>
                <c:pt idx="38">
                  <c:v>10.454049719589836</c:v>
                </c:pt>
                <c:pt idx="39">
                  <c:v>9.7459965408572309</c:v>
                </c:pt>
                <c:pt idx="40">
                  <c:v>9.1001854488208167</c:v>
                </c:pt>
                <c:pt idx="41">
                  <c:v>8.7343611451056198</c:v>
                </c:pt>
                <c:pt idx="42">
                  <c:v>8.1775145089185344</c:v>
                </c:pt>
                <c:pt idx="43">
                  <c:v>7.669608442237454</c:v>
                </c:pt>
                <c:pt idx="44">
                  <c:v>7.2063376872447904</c:v>
                </c:pt>
                <c:pt idx="45">
                  <c:v>7.1610126010865782</c:v>
                </c:pt>
                <c:pt idx="46">
                  <c:v>6.742496598673795</c:v>
                </c:pt>
                <c:pt idx="47">
                  <c:v>6.3607523336999545</c:v>
                </c:pt>
                <c:pt idx="48">
                  <c:v>6.0125450319034597</c:v>
                </c:pt>
                <c:pt idx="49">
                  <c:v>5.6949244798270504</c:v>
                </c:pt>
                <c:pt idx="50">
                  <c:v>5.4051999922048974</c:v>
                </c:pt>
                <c:pt idx="51">
                  <c:v>5.1409175814509682</c:v>
                </c:pt>
                <c:pt idx="52">
                  <c:v>4.8998391355313586</c:v>
                </c:pt>
                <c:pt idx="53">
                  <c:v>4.6799234275445016</c:v>
                </c:pt>
                <c:pt idx="54">
                  <c:v>4.4793087958751761</c:v>
                </c:pt>
                <c:pt idx="55">
                  <c:v>4.2962973479631374</c:v>
                </c:pt>
                <c:pt idx="56">
                  <c:v>4.1293405536550543</c:v>
                </c:pt>
                <c:pt idx="57">
                  <c:v>3.9770261058991014</c:v>
                </c:pt>
                <c:pt idx="58">
                  <c:v>3.8380659372949668</c:v>
                </c:pt>
                <c:pt idx="59">
                  <c:v>3.7112852908194878</c:v>
                </c:pt>
                <c:pt idx="60">
                  <c:v>3.5956127519928263</c:v>
                </c:pt>
                <c:pt idx="61">
                  <c:v>3.5092955029025501</c:v>
                </c:pt>
                <c:pt idx="62">
                  <c:v>3.5085541288316335</c:v>
                </c:pt>
                <c:pt idx="63">
                  <c:v>3.5080686312969234</c:v>
                </c:pt>
                <c:pt idx="64">
                  <c:v>3.5073273321634222</c:v>
                </c:pt>
                <c:pt idx="65">
                  <c:v>3.5067966156672785</c:v>
                </c:pt>
                <c:pt idx="66">
                  <c:v>3.5061230352275343</c:v>
                </c:pt>
                <c:pt idx="67">
                  <c:v>3.505381878821884</c:v>
                </c:pt>
                <c:pt idx="68">
                  <c:v>3.5046407762684337</c:v>
                </c:pt>
                <c:pt idx="69">
                  <c:v>3.5038997327031844</c:v>
                </c:pt>
                <c:pt idx="70">
                  <c:v>3.5031587530044508</c:v>
                </c:pt>
                <c:pt idx="71">
                  <c:v>3.5030109173134014</c:v>
                </c:pt>
                <c:pt idx="72">
                  <c:v>3.5022700934262785</c:v>
                </c:pt>
                <c:pt idx="73">
                  <c:v>3.5021896414726124</c:v>
                </c:pt>
                <c:pt idx="74">
                  <c:v>3.5014489781333529</c:v>
                </c:pt>
                <c:pt idx="75">
                  <c:v>3.5007083855273757</c:v>
                </c:pt>
                <c:pt idx="76">
                  <c:v>3.4999678679403687</c:v>
                </c:pt>
                <c:pt idx="77">
                  <c:v>3.4992274294427261</c:v>
                </c:pt>
                <c:pt idx="78">
                  <c:v>3.4984870739002742</c:v>
                </c:pt>
                <c:pt idx="79">
                  <c:v>3.4977468049844731</c:v>
                </c:pt>
                <c:pt idx="80">
                  <c:v>3.49700662618211</c:v>
                </c:pt>
                <c:pt idx="81">
                  <c:v>3.4962665408044948</c:v>
                </c:pt>
                <c:pt idx="82">
                  <c:v>3.4955265519962175</c:v>
                </c:pt>
                <c:pt idx="83">
                  <c:v>3.4949654628834503</c:v>
                </c:pt>
                <c:pt idx="84">
                  <c:v>3.4942256803664336</c:v>
                </c:pt>
                <c:pt idx="85">
                  <c:v>3.4934860008263362</c:v>
                </c:pt>
                <c:pt idx="86">
                  <c:v>3.4928903745877284</c:v>
                </c:pt>
                <c:pt idx="87">
                  <c:v>3.4922745280183967</c:v>
                </c:pt>
                <c:pt idx="88">
                  <c:v>3.491535177656655</c:v>
                </c:pt>
                <c:pt idx="89">
                  <c:v>3.4907959370729325</c:v>
                </c:pt>
                <c:pt idx="90">
                  <c:v>3.490056808584387</c:v>
                </c:pt>
                <c:pt idx="91">
                  <c:v>3.4893177943910154</c:v>
                </c:pt>
                <c:pt idx="92">
                  <c:v>3.4885788965814948</c:v>
                </c:pt>
                <c:pt idx="93">
                  <c:v>3.4878401171387292</c:v>
                </c:pt>
                <c:pt idx="94">
                  <c:v>3.4871014579451258</c:v>
                </c:pt>
                <c:pt idx="95">
                  <c:v>3.4863629207876055</c:v>
                </c:pt>
                <c:pt idx="96">
                  <c:v>3.4856245073623575</c:v>
                </c:pt>
                <c:pt idx="97">
                  <c:v>3.4848862192793706</c:v>
                </c:pt>
                <c:pt idx="98">
                  <c:v>3.4841480580667268</c:v>
                </c:pt>
                <c:pt idx="99">
                  <c:v>3.483410025174682</c:v>
                </c:pt>
                <c:pt idx="100">
                  <c:v>3.4826721219795513</c:v>
                </c:pt>
                <c:pt idx="101">
                  <c:v>3.4819343497873927</c:v>
                </c:pt>
                <c:pt idx="102">
                  <c:v>3.4811967098375081</c:v>
                </c:pt>
                <c:pt idx="103">
                  <c:v>3.4804592033057733</c:v>
                </c:pt>
                <c:pt idx="104">
                  <c:v>3.4797218313078022</c:v>
                </c:pt>
                <c:pt idx="105">
                  <c:v>3.4789845949019469</c:v>
                </c:pt>
                <c:pt idx="106">
                  <c:v>3.4782474950921554</c:v>
                </c:pt>
                <c:pt idx="107">
                  <c:v>3.4775105328306832</c:v>
                </c:pt>
                <c:pt idx="108">
                  <c:v>3.4767737090206712</c:v>
                </c:pt>
                <c:pt idx="109">
                  <c:v>3.4760370245185919</c:v>
                </c:pt>
                <c:pt idx="110">
                  <c:v>3.4753004801365797</c:v>
                </c:pt>
                <c:pt idx="111">
                  <c:v>3.4745640766446404</c:v>
                </c:pt>
                <c:pt idx="112">
                  <c:v>3.4738278147727484</c:v>
                </c:pt>
                <c:pt idx="113">
                  <c:v>3.4730916952128474</c:v>
                </c:pt>
                <c:pt idx="114">
                  <c:v>3.4723557186207459</c:v>
                </c:pt>
                <c:pt idx="115">
                  <c:v>3.471619885617915</c:v>
                </c:pt>
                <c:pt idx="116">
                  <c:v>3.4708841967932016</c:v>
                </c:pt>
                <c:pt idx="117">
                  <c:v>3.4701486527044607</c:v>
                </c:pt>
                <c:pt idx="118">
                  <c:v>3.4694132538800937</c:v>
                </c:pt>
                <c:pt idx="119">
                  <c:v>3.4686780008205202</c:v>
                </c:pt>
                <c:pt idx="120">
                  <c:v>3.4679428939995733</c:v>
                </c:pt>
                <c:pt idx="121">
                  <c:v>3.4672079338658222</c:v>
                </c:pt>
                <c:pt idx="122">
                  <c:v>3.4664731208438382</c:v>
                </c:pt>
                <c:pt idx="123">
                  <c:v>3.4657384553353867</c:v>
                </c:pt>
                <c:pt idx="124">
                  <c:v>3.4650039377205641</c:v>
                </c:pt>
                <c:pt idx="125">
                  <c:v>3.4642695683588802</c:v>
                </c:pt>
                <c:pt idx="126">
                  <c:v>3.4635353475902835</c:v>
                </c:pt>
                <c:pt idx="127">
                  <c:v>3.4628012757361399</c:v>
                </c:pt>
                <c:pt idx="128">
                  <c:v>3.4620673531001529</c:v>
                </c:pt>
                <c:pt idx="129">
                  <c:v>3.4613335799692511</c:v>
                </c:pt>
                <c:pt idx="130">
                  <c:v>3.4605999566144225</c:v>
                </c:pt>
                <c:pt idx="131">
                  <c:v>3.4598664832915071</c:v>
                </c:pt>
                <c:pt idx="132">
                  <c:v>3.4591331602419566</c:v>
                </c:pt>
                <c:pt idx="133">
                  <c:v>3.4583999876935465</c:v>
                </c:pt>
                <c:pt idx="134">
                  <c:v>3.4576669658610659</c:v>
                </c:pt>
                <c:pt idx="135">
                  <c:v>3.4569340949469565</c:v>
                </c:pt>
                <c:pt idx="136">
                  <c:v>3.4562013751419345</c:v>
                </c:pt>
                <c:pt idx="137">
                  <c:v>3.4554688066255732</c:v>
                </c:pt>
                <c:pt idx="138">
                  <c:v>3.454736389566861</c:v>
                </c:pt>
                <c:pt idx="139">
                  <c:v>3.45416484842309</c:v>
                </c:pt>
                <c:pt idx="140">
                  <c:v>3.4563887051463902</c:v>
                </c:pt>
                <c:pt idx="141">
                  <c:v>3.4571038618049426</c:v>
                </c:pt>
                <c:pt idx="142">
                  <c:v>3.4583699804455872</c:v>
                </c:pt>
                <c:pt idx="143">
                  <c:v>3.4576383919366753</c:v>
                </c:pt>
                <c:pt idx="144">
                  <c:v>3.456906882908211</c:v>
                </c:pt>
                <c:pt idx="145">
                  <c:v>3.4561754571120886</c:v>
                </c:pt>
                <c:pt idx="146">
                  <c:v>3.4554441181115361</c:v>
                </c:pt>
                <c:pt idx="147">
                  <c:v>3.4547128692905171</c:v>
                </c:pt>
                <c:pt idx="148">
                  <c:v>3.4539817138626718</c:v>
                </c:pt>
                <c:pt idx="149">
                  <c:v>3.4532506548798043</c:v>
                </c:pt>
                <c:pt idx="150">
                  <c:v>3.4525196952399568</c:v>
                </c:pt>
                <c:pt idx="151">
                  <c:v>3.4517888376950672</c:v>
                </c:pt>
                <c:pt idx="152">
                  <c:v>3.4510580848582553</c:v>
                </c:pt>
                <c:pt idx="153">
                  <c:v>3.4503274392107461</c:v>
                </c:pt>
                <c:pt idx="154">
                  <c:v>3.4495969031084428</c:v>
                </c:pt>
                <c:pt idx="155">
                  <c:v>3.4488664787881755</c:v>
                </c:pt>
                <c:pt idx="156">
                  <c:v>3.448136168373634</c:v>
                </c:pt>
                <c:pt idx="157">
                  <c:v>3.4474059738810139</c:v>
                </c:pt>
                <c:pt idx="158">
                  <c:v>3.4466758972243703</c:v>
                </c:pt>
                <c:pt idx="159">
                  <c:v>3.4459459402207102</c:v>
                </c:pt>
                <c:pt idx="160">
                  <c:v>3.4452161045948397</c:v>
                </c:pt>
                <c:pt idx="161">
                  <c:v>3.4444863919839426</c:v>
                </c:pt>
                <c:pt idx="162">
                  <c:v>3.443756803941969</c:v>
                </c:pt>
                <c:pt idx="163">
                  <c:v>3.4430273419437696</c:v>
                </c:pt>
                <c:pt idx="164">
                  <c:v>3.4422980073890481</c:v>
                </c:pt>
                <c:pt idx="165">
                  <c:v>3.4415688016061017</c:v>
                </c:pt>
                <c:pt idx="166">
                  <c:v>3.4408397258553851</c:v>
                </c:pt>
                <c:pt idx="167">
                  <c:v>3.4401107813328911</c:v>
                </c:pt>
                <c:pt idx="168">
                  <c:v>3.4408653083232652</c:v>
                </c:pt>
                <c:pt idx="169">
                  <c:v>3.4401366656460675</c:v>
                </c:pt>
                <c:pt idx="170">
                  <c:v>3.4394081399505296</c:v>
                </c:pt>
                <c:pt idx="171">
                  <c:v>3.4386797330800301</c:v>
                </c:pt>
                <c:pt idx="172">
                  <c:v>3.4379514467844299</c:v>
                </c:pt>
                <c:pt idx="173">
                  <c:v>3.4372232827247324</c:v>
                </c:pt>
                <c:pt idx="174">
                  <c:v>3.4364952424775139</c:v>
                </c:pt>
                <c:pt idx="175">
                  <c:v>3.4357673275391303</c:v>
                </c:pt>
                <c:pt idx="176">
                  <c:v>3.4350395393297233</c:v>
                </c:pt>
                <c:pt idx="177">
                  <c:v>3.4345775292572389</c:v>
                </c:pt>
                <c:pt idx="178">
                  <c:v>3.4338500049350116</c:v>
                </c:pt>
                <c:pt idx="179">
                  <c:v>3.4331226080516002</c:v>
                </c:pt>
                <c:pt idx="180">
                  <c:v>3.4323953399150615</c:v>
                </c:pt>
                <c:pt idx="181">
                  <c:v>3.4316682017666218</c:v>
                </c:pt>
                <c:pt idx="182">
                  <c:v>3.4309411947840056</c:v>
                </c:pt>
                <c:pt idx="183">
                  <c:v>3.4302143200846102</c:v>
                </c:pt>
                <c:pt idx="184">
                  <c:v>3.4294875787285006</c:v>
                </c:pt>
                <c:pt idx="185">
                  <c:v>3.428760971721279</c:v>
                </c:pt>
                <c:pt idx="186">
                  <c:v>3.4280345000167975</c:v>
                </c:pt>
                <c:pt idx="187">
                  <c:v>3.4273081645197334</c:v>
                </c:pt>
                <c:pt idx="188">
                  <c:v>3.4265819660880457</c:v>
                </c:pt>
                <c:pt idx="189">
                  <c:v>3.426090136926955</c:v>
                </c:pt>
                <c:pt idx="190">
                  <c:v>3.4253642207160055</c:v>
                </c:pt>
                <c:pt idx="191">
                  <c:v>3.4246384411266142</c:v>
                </c:pt>
                <c:pt idx="192">
                  <c:v>3.4241245264313274</c:v>
                </c:pt>
                <c:pt idx="193">
                  <c:v>3.4233990276807043</c:v>
                </c:pt>
                <c:pt idx="194">
                  <c:v>3.4226736654237473</c:v>
                </c:pt>
                <c:pt idx="195">
                  <c:v>3.4219484404938068</c:v>
                </c:pt>
                <c:pt idx="196">
                  <c:v>3.4212233536810688</c:v>
                </c:pt>
                <c:pt idx="197">
                  <c:v>3.4204984057347083</c:v>
                </c:pt>
                <c:pt idx="198">
                  <c:v>3.419773597364939</c:v>
                </c:pt>
                <c:pt idx="199">
                  <c:v>3.4190489292449491</c:v>
                </c:pt>
                <c:pt idx="200">
                  <c:v>3.4183244020127521</c:v>
                </c:pt>
                <c:pt idx="201">
                  <c:v>3.417600016272941</c:v>
                </c:pt>
                <c:pt idx="202">
                  <c:v>3.4168757725983494</c:v>
                </c:pt>
                <c:pt idx="203">
                  <c:v>3.4161516715316416</c:v>
                </c:pt>
                <c:pt idx="204">
                  <c:v>3.4158164897703371</c:v>
                </c:pt>
                <c:pt idx="205">
                  <c:v>3.4166226952727938</c:v>
                </c:pt>
                <c:pt idx="206">
                  <c:v>3.4185564328389981</c:v>
                </c:pt>
                <c:pt idx="207">
                  <c:v>3.4205947331783095</c:v>
                </c:pt>
                <c:pt idx="208">
                  <c:v>3.4203715850967207</c:v>
                </c:pt>
                <c:pt idx="209">
                  <c:v>3.4196483779924272</c:v>
                </c:pt>
                <c:pt idx="210">
                  <c:v>3.4189252323155341</c:v>
                </c:pt>
                <c:pt idx="211">
                  <c:v>3.4184997527712202</c:v>
                </c:pt>
                <c:pt idx="212">
                  <c:v>3.4187984569846486</c:v>
                </c:pt>
                <c:pt idx="213">
                  <c:v>3.4180755506370821</c:v>
                </c:pt>
                <c:pt idx="214">
                  <c:v>3.4173527072839978</c:v>
                </c:pt>
                <c:pt idx="215">
                  <c:v>3.8035209985797844</c:v>
                </c:pt>
                <c:pt idx="216">
                  <c:v>3.6719849605585813</c:v>
                </c:pt>
                <c:pt idx="217">
                  <c:v>3.5519770108529021</c:v>
                </c:pt>
                <c:pt idx="218">
                  <c:v>3.4736764373982023</c:v>
                </c:pt>
                <c:pt idx="219">
                  <c:v>3.4203167012430788</c:v>
                </c:pt>
                <c:pt idx="220">
                  <c:v>3.8858648712555763</c:v>
                </c:pt>
                <c:pt idx="221">
                  <c:v>4.173046389330862</c:v>
                </c:pt>
                <c:pt idx="222">
                  <c:v>4.6420215813743457</c:v>
                </c:pt>
                <c:pt idx="223">
                  <c:v>5.076636819058562</c:v>
                </c:pt>
                <c:pt idx="224">
                  <c:v>5.52580452723224</c:v>
                </c:pt>
                <c:pt idx="225">
                  <c:v>6.8961277850817231</c:v>
                </c:pt>
                <c:pt idx="226">
                  <c:v>7.6870327030052081</c:v>
                </c:pt>
                <c:pt idx="227">
                  <c:v>7.5554082079966074</c:v>
                </c:pt>
                <c:pt idx="228">
                  <c:v>7.0950122250787819</c:v>
                </c:pt>
                <c:pt idx="229">
                  <c:v>6.675073655030574</c:v>
                </c:pt>
                <c:pt idx="230">
                  <c:v>6.373178054633347</c:v>
                </c:pt>
                <c:pt idx="231">
                  <c:v>7.5697751947529266</c:v>
                </c:pt>
                <c:pt idx="232">
                  <c:v>7.2157825846904231</c:v>
                </c:pt>
                <c:pt idx="233">
                  <c:v>6.7855248539874635</c:v>
                </c:pt>
                <c:pt idx="234">
                  <c:v>6.4705276963979914</c:v>
                </c:pt>
                <c:pt idx="235">
                  <c:v>6.4994545817538985</c:v>
                </c:pt>
                <c:pt idx="236">
                  <c:v>6.1322110259783313</c:v>
                </c:pt>
                <c:pt idx="237">
                  <c:v>5.7972302745584363</c:v>
                </c:pt>
                <c:pt idx="238">
                  <c:v>5.4916742005791406</c:v>
                </c:pt>
                <c:pt idx="239">
                  <c:v>5.2129543451429399</c:v>
                </c:pt>
                <c:pt idx="240">
                  <c:v>5.3009132521129541</c:v>
                </c:pt>
                <c:pt idx="241">
                  <c:v>5.1158996657240294</c:v>
                </c:pt>
                <c:pt idx="242">
                  <c:v>4.8702215233014572</c:v>
                </c:pt>
                <c:pt idx="243">
                  <c:v>4.6461121924338924</c:v>
                </c:pt>
                <c:pt idx="244">
                  <c:v>4.4416742891908774</c:v>
                </c:pt>
                <c:pt idx="245">
                  <c:v>4.2551773411638321</c:v>
                </c:pt>
                <c:pt idx="246">
                  <c:v>4.0850431043773936</c:v>
                </c:pt>
                <c:pt idx="247">
                  <c:v>4.0388111947477547</c:v>
                </c:pt>
                <c:pt idx="248">
                  <c:v>4.112397506688386</c:v>
                </c:pt>
                <c:pt idx="249">
                  <c:v>3.9547852932151351</c:v>
                </c:pt>
                <c:pt idx="250">
                  <c:v>3.8109948385702745</c:v>
                </c:pt>
                <c:pt idx="251">
                  <c:v>3.6798102615687438</c:v>
                </c:pt>
                <c:pt idx="252">
                  <c:v>3.6508438651078876</c:v>
                </c:pt>
                <c:pt idx="253">
                  <c:v>3.890375576855797</c:v>
                </c:pt>
                <c:pt idx="254">
                  <c:v>3.7522010047382564</c:v>
                </c:pt>
                <c:pt idx="255">
                  <c:v>4.0719623633033155</c:v>
                </c:pt>
                <c:pt idx="256">
                  <c:v>4.977763418102664</c:v>
                </c:pt>
                <c:pt idx="257">
                  <c:v>4.8447562047183119</c:v>
                </c:pt>
                <c:pt idx="258">
                  <c:v>4.622893316473812</c:v>
                </c:pt>
                <c:pt idx="259">
                  <c:v>4.4205042365529774</c:v>
                </c:pt>
                <c:pt idx="260">
                  <c:v>4.2358758769777776</c:v>
                </c:pt>
                <c:pt idx="261">
                  <c:v>5.1719002398505562</c:v>
                </c:pt>
                <c:pt idx="262">
                  <c:v>5.3734272744721734</c:v>
                </c:pt>
                <c:pt idx="263">
                  <c:v>5.4329367215225215</c:v>
                </c:pt>
                <c:pt idx="264">
                  <c:v>7.0957319641831376</c:v>
                </c:pt>
                <c:pt idx="265">
                  <c:v>7.1960016481839055</c:v>
                </c:pt>
                <c:pt idx="266">
                  <c:v>9.2452519487313456</c:v>
                </c:pt>
                <c:pt idx="267">
                  <c:v>9.4760569793895737</c:v>
                </c:pt>
                <c:pt idx="268">
                  <c:v>9.0644876869408559</c:v>
                </c:pt>
                <c:pt idx="269">
                  <c:v>8.6147129794065194</c:v>
                </c:pt>
                <c:pt idx="270">
                  <c:v>8.1000508737367998</c:v>
                </c:pt>
                <c:pt idx="271">
                  <c:v>8.5822079083212834</c:v>
                </c:pt>
                <c:pt idx="272">
                  <c:v>8.141559718946473</c:v>
                </c:pt>
                <c:pt idx="273">
                  <c:v>7.6315381097390871</c:v>
                </c:pt>
                <c:pt idx="274">
                  <c:v>8.8665790390134358</c:v>
                </c:pt>
                <c:pt idx="275">
                  <c:v>9.3427000006797787</c:v>
                </c:pt>
                <c:pt idx="276">
                  <c:v>10.452848865544972</c:v>
                </c:pt>
                <c:pt idx="277">
                  <c:v>11.031039884987962</c:v>
                </c:pt>
                <c:pt idx="278">
                  <c:v>10.268196529920681</c:v>
                </c:pt>
                <c:pt idx="279">
                  <c:v>9.6448613143850466</c:v>
                </c:pt>
                <c:pt idx="280">
                  <c:v>9.7223810404355664</c:v>
                </c:pt>
                <c:pt idx="281">
                  <c:v>9.3364546743305805</c:v>
                </c:pt>
                <c:pt idx="282">
                  <c:v>9.446426221589812</c:v>
                </c:pt>
                <c:pt idx="283">
                  <c:v>9.6979850223268951</c:v>
                </c:pt>
                <c:pt idx="284">
                  <c:v>9.3238958334537365</c:v>
                </c:pt>
                <c:pt idx="285">
                  <c:v>8.7117227480171486</c:v>
                </c:pt>
                <c:pt idx="286">
                  <c:v>9.6083757835917805</c:v>
                </c:pt>
                <c:pt idx="287">
                  <c:v>9.2919438808679207</c:v>
                </c:pt>
                <c:pt idx="288">
                  <c:v>8.6829366316229741</c:v>
                </c:pt>
                <c:pt idx="289">
                  <c:v>8.6965268185195193</c:v>
                </c:pt>
                <c:pt idx="290">
                  <c:v>8.3983888332160834</c:v>
                </c:pt>
                <c:pt idx="291">
                  <c:v>9.9590226486595856</c:v>
                </c:pt>
                <c:pt idx="292">
                  <c:v>10.661475672137003</c:v>
                </c:pt>
                <c:pt idx="293">
                  <c:v>9.9329477735080847</c:v>
                </c:pt>
                <c:pt idx="294">
                  <c:v>9.6547148424473122</c:v>
                </c:pt>
                <c:pt idx="295">
                  <c:v>9.0147682683702151</c:v>
                </c:pt>
                <c:pt idx="296">
                  <c:v>8.4310729596400584</c:v>
                </c:pt>
                <c:pt idx="297">
                  <c:v>7.8986805415952697</c:v>
                </c:pt>
                <c:pt idx="298">
                  <c:v>7.413077944595126</c:v>
                </c:pt>
                <c:pt idx="299">
                  <c:v>6.9701491105446163</c:v>
                </c:pt>
                <c:pt idx="300">
                  <c:v>6.5661400680692736</c:v>
                </c:pt>
                <c:pt idx="301">
                  <c:v>6.1976270800021771</c:v>
                </c:pt>
                <c:pt idx="302">
                  <c:v>6.0293649562768756</c:v>
                </c:pt>
                <c:pt idx="303">
                  <c:v>7.296699043194141</c:v>
                </c:pt>
                <c:pt idx="304">
                  <c:v>6.8642685476640963</c:v>
                </c:pt>
                <c:pt idx="305">
                  <c:v>6.6906354463890088</c:v>
                </c:pt>
                <c:pt idx="306">
                  <c:v>6.4060448521334976</c:v>
                </c:pt>
                <c:pt idx="307">
                  <c:v>6.6793607871581102</c:v>
                </c:pt>
                <c:pt idx="308">
                  <c:v>6.6420755118276</c:v>
                </c:pt>
                <c:pt idx="309">
                  <c:v>6.4381046768243326</c:v>
                </c:pt>
                <c:pt idx="310">
                  <c:v>6.0813369354454565</c:v>
                </c:pt>
                <c:pt idx="311">
                  <c:v>5.7559093718048047</c:v>
                </c:pt>
                <c:pt idx="312">
                  <c:v>5.459065022027211</c:v>
                </c:pt>
                <c:pt idx="313">
                  <c:v>5.8533222737964286</c:v>
                </c:pt>
                <c:pt idx="314">
                  <c:v>5.5480023358070065</c:v>
                </c:pt>
                <c:pt idx="315">
                  <c:v>5.4471039508917896</c:v>
                </c:pt>
                <c:pt idx="316">
                  <c:v>5.2337366157727825</c:v>
                </c:pt>
                <c:pt idx="317">
                  <c:v>4.9828521209150392</c:v>
                </c:pt>
                <c:pt idx="318">
                  <c:v>4.7539933430087471</c:v>
                </c:pt>
                <c:pt idx="319">
                  <c:v>4.5452227047103921</c:v>
                </c:pt>
                <c:pt idx="320">
                  <c:v>4.3547730759844345</c:v>
                </c:pt>
                <c:pt idx="321">
                  <c:v>4.1810327799740472</c:v>
                </c:pt>
                <c:pt idx="322">
                  <c:v>4.0225319178948187</c:v>
                </c:pt>
                <c:pt idx="323">
                  <c:v>3.8779298969178901</c:v>
                </c:pt>
                <c:pt idx="324">
                  <c:v>3.7460040552164058</c:v>
                </c:pt>
                <c:pt idx="325">
                  <c:v>3.6256392876585872</c:v>
                </c:pt>
                <c:pt idx="326">
                  <c:v>3.5158185841212584</c:v>
                </c:pt>
                <c:pt idx="327">
                  <c:v>3.490000975423047</c:v>
                </c:pt>
                <c:pt idx="328">
                  <c:v>3.4894264600194105</c:v>
                </c:pt>
                <c:pt idx="329">
                  <c:v>3.4886891417897403</c:v>
                </c:pt>
                <c:pt idx="330">
                  <c:v>3.4879518617016401</c:v>
                </c:pt>
                <c:pt idx="331">
                  <c:v>3.4875608687006636</c:v>
                </c:pt>
                <c:pt idx="332">
                  <c:v>3.4868236906598393</c:v>
                </c:pt>
                <c:pt idx="333">
                  <c:v>3.486557696780991</c:v>
                </c:pt>
                <c:pt idx="334">
                  <c:v>3.5160391249311105</c:v>
                </c:pt>
                <c:pt idx="335">
                  <c:v>3.7810832194514337</c:v>
                </c:pt>
                <c:pt idx="336">
                  <c:v>4.2370786683868218</c:v>
                </c:pt>
                <c:pt idx="337">
                  <c:v>4.7152810423942251</c:v>
                </c:pt>
                <c:pt idx="338">
                  <c:v>6.0365633803599206</c:v>
                </c:pt>
                <c:pt idx="339">
                  <c:v>8.120681076158732</c:v>
                </c:pt>
                <c:pt idx="340">
                  <c:v>9.0312656245167826</c:v>
                </c:pt>
                <c:pt idx="341">
                  <c:v>9.8500837789765754</c:v>
                </c:pt>
                <c:pt idx="342">
                  <c:v>9.4510772151865599</c:v>
                </c:pt>
                <c:pt idx="343">
                  <c:v>9.4084084290005663</c:v>
                </c:pt>
                <c:pt idx="344">
                  <c:v>8.9396672766718286</c:v>
                </c:pt>
                <c:pt idx="345">
                  <c:v>8.6255872348754341</c:v>
                </c:pt>
                <c:pt idx="346">
                  <c:v>8.7012039415411682</c:v>
                </c:pt>
                <c:pt idx="347">
                  <c:v>9.1361719074484693</c:v>
                </c:pt>
                <c:pt idx="348">
                  <c:v>9.2942182267304272</c:v>
                </c:pt>
                <c:pt idx="349">
                  <c:v>8.9746597742758585</c:v>
                </c:pt>
                <c:pt idx="350">
                  <c:v>10.850271047290674</c:v>
                </c:pt>
                <c:pt idx="351">
                  <c:v>11.90186006396573</c:v>
                </c:pt>
                <c:pt idx="352">
                  <c:v>11.661966762146925</c:v>
                </c:pt>
                <c:pt idx="353">
                  <c:v>10.955411154011928</c:v>
                </c:pt>
                <c:pt idx="354">
                  <c:v>10.20443356305387</c:v>
                </c:pt>
                <c:pt idx="355">
                  <c:v>10.962593023313147</c:v>
                </c:pt>
                <c:pt idx="356">
                  <c:v>10.78333618156214</c:v>
                </c:pt>
                <c:pt idx="357">
                  <c:v>10.316464571659298</c:v>
                </c:pt>
                <c:pt idx="358">
                  <c:v>10.261414725149329</c:v>
                </c:pt>
                <c:pt idx="359">
                  <c:v>12.544702826682181</c:v>
                </c:pt>
                <c:pt idx="360">
                  <c:v>11.7073319519502</c:v>
                </c:pt>
                <c:pt idx="361">
                  <c:v>10.891524833610571</c:v>
                </c:pt>
                <c:pt idx="362">
                  <c:v>10.147438310714334</c:v>
                </c:pt>
                <c:pt idx="363">
                  <c:v>9.4687631827722551</c:v>
                </c:pt>
                <c:pt idx="364">
                  <c:v>9.0864268812422413</c:v>
                </c:pt>
                <c:pt idx="365">
                  <c:v>8.5010624406188118</c:v>
                </c:pt>
                <c:pt idx="366">
                  <c:v>11.205981292961887</c:v>
                </c:pt>
                <c:pt idx="367">
                  <c:v>13.053249893073662</c:v>
                </c:pt>
                <c:pt idx="368">
                  <c:v>13.216546530247136</c:v>
                </c:pt>
                <c:pt idx="369">
                  <c:v>14.155216535623314</c:v>
                </c:pt>
                <c:pt idx="370">
                  <c:v>14.593512208378533</c:v>
                </c:pt>
                <c:pt idx="371">
                  <c:v>14.446331613038188</c:v>
                </c:pt>
                <c:pt idx="372">
                  <c:v>14.695813958892428</c:v>
                </c:pt>
                <c:pt idx="373">
                  <c:v>14.582490566138885</c:v>
                </c:pt>
                <c:pt idx="374">
                  <c:v>13.859252338628222</c:v>
                </c:pt>
                <c:pt idx="375">
                  <c:v>15.67475275839462</c:v>
                </c:pt>
                <c:pt idx="376">
                  <c:v>15.419651789911816</c:v>
                </c:pt>
                <c:pt idx="377">
                  <c:v>16.182891013269561</c:v>
                </c:pt>
                <c:pt idx="378">
                  <c:v>16.502591851222373</c:v>
                </c:pt>
                <c:pt idx="379">
                  <c:v>16.08236645936584</c:v>
                </c:pt>
                <c:pt idx="380">
                  <c:v>15.961605789015181</c:v>
                </c:pt>
                <c:pt idx="381">
                  <c:v>15.636478660796172</c:v>
                </c:pt>
                <c:pt idx="382">
                  <c:v>15.083550487470916</c:v>
                </c:pt>
                <c:pt idx="383">
                  <c:v>15.344637790082825</c:v>
                </c:pt>
                <c:pt idx="384">
                  <c:v>14.462781909176748</c:v>
                </c:pt>
                <c:pt idx="385">
                  <c:v>13.410665470275198</c:v>
                </c:pt>
                <c:pt idx="386">
                  <c:v>15.809266155090755</c:v>
                </c:pt>
                <c:pt idx="387">
                  <c:v>15.832659274822252</c:v>
                </c:pt>
                <c:pt idx="388">
                  <c:v>15.962688424349269</c:v>
                </c:pt>
                <c:pt idx="389">
                  <c:v>15.605854601369071</c:v>
                </c:pt>
                <c:pt idx="390">
                  <c:v>14.984598769597605</c:v>
                </c:pt>
                <c:pt idx="391">
                  <c:v>14.495542627745053</c:v>
                </c:pt>
                <c:pt idx="392">
                  <c:v>14.880796607940558</c:v>
                </c:pt>
                <c:pt idx="393">
                  <c:v>14.397552052935142</c:v>
                </c:pt>
                <c:pt idx="394">
                  <c:v>13.968246403205566</c:v>
                </c:pt>
                <c:pt idx="395">
                  <c:v>14.48209821320739</c:v>
                </c:pt>
                <c:pt idx="396">
                  <c:v>14.254209165753641</c:v>
                </c:pt>
                <c:pt idx="397">
                  <c:v>13.22339503069662</c:v>
                </c:pt>
                <c:pt idx="398">
                  <c:v>12.832986151235053</c:v>
                </c:pt>
                <c:pt idx="399">
                  <c:v>13.363254625924895</c:v>
                </c:pt>
                <c:pt idx="400">
                  <c:v>12.951223883655521</c:v>
                </c:pt>
                <c:pt idx="401">
                  <c:v>12.297645181732474</c:v>
                </c:pt>
                <c:pt idx="402">
                  <c:v>11.439477254809795</c:v>
                </c:pt>
                <c:pt idx="403">
                  <c:v>10.656754345375186</c:v>
                </c:pt>
                <c:pt idx="404">
                  <c:v>9.9428396185934993</c:v>
                </c:pt>
                <c:pt idx="405">
                  <c:v>9.6137048085461174</c:v>
                </c:pt>
                <c:pt idx="406">
                  <c:v>8.9915400480161747</c:v>
                </c:pt>
                <c:pt idx="407">
                  <c:v>8.42405929461464</c:v>
                </c:pt>
                <c:pt idx="408">
                  <c:v>7.9064520449150439</c:v>
                </c:pt>
                <c:pt idx="409">
                  <c:v>7.4343309720764941</c:v>
                </c:pt>
                <c:pt idx="410">
                  <c:v>7.0036946992984088</c:v>
                </c:pt>
                <c:pt idx="411">
                  <c:v>6.6108938480681685</c:v>
                </c:pt>
                <c:pt idx="412">
                  <c:v>6.2526000731204165</c:v>
                </c:pt>
                <c:pt idx="413">
                  <c:v>5.925777821369107</c:v>
                </c:pt>
                <c:pt idx="414">
                  <c:v>5.6276585751863655</c:v>
                </c:pt>
                <c:pt idx="415">
                  <c:v>5.4464073828341704</c:v>
                </c:pt>
                <c:pt idx="416">
                  <c:v>5.1903883078541719</c:v>
                </c:pt>
                <c:pt idx="417">
                  <c:v>4.9568437578130542</c:v>
                </c:pt>
                <c:pt idx="418">
                  <c:v>4.7437966746556919</c:v>
                </c:pt>
                <c:pt idx="419">
                  <c:v>4.5494439207251105</c:v>
                </c:pt>
                <c:pt idx="420">
                  <c:v>4.3721409791079386</c:v>
                </c:pt>
                <c:pt idx="421">
                  <c:v>4.2813739435017517</c:v>
                </c:pt>
                <c:pt idx="422">
                  <c:v>4.5972250435143582</c:v>
                </c:pt>
                <c:pt idx="423">
                  <c:v>5.116306752590873</c:v>
                </c:pt>
                <c:pt idx="424">
                  <c:v>5.4877820329992133</c:v>
                </c:pt>
                <c:pt idx="425">
                  <c:v>5.444548692193778</c:v>
                </c:pt>
                <c:pt idx="426">
                  <c:v>5.7908979651316335</c:v>
                </c:pt>
                <c:pt idx="427">
                  <c:v>6.3303905489890733</c:v>
                </c:pt>
                <c:pt idx="428">
                  <c:v>7.8038546795872765</c:v>
                </c:pt>
                <c:pt idx="429">
                  <c:v>9.629989845420452</c:v>
                </c:pt>
                <c:pt idx="430">
                  <c:v>10.934337654948298</c:v>
                </c:pt>
                <c:pt idx="431">
                  <c:v>11.258119278594295</c:v>
                </c:pt>
                <c:pt idx="432">
                  <c:v>11.862725974441402</c:v>
                </c:pt>
                <c:pt idx="433">
                  <c:v>12.003301997168455</c:v>
                </c:pt>
                <c:pt idx="434">
                  <c:v>13.029260627796408</c:v>
                </c:pt>
                <c:pt idx="435">
                  <c:v>12.230194928319266</c:v>
                </c:pt>
                <c:pt idx="436">
                  <c:v>11.649405229066357</c:v>
                </c:pt>
                <c:pt idx="437">
                  <c:v>11.225109001468867</c:v>
                </c:pt>
                <c:pt idx="438">
                  <c:v>10.561908641518137</c:v>
                </c:pt>
                <c:pt idx="439">
                  <c:v>11.472044576780085</c:v>
                </c:pt>
                <c:pt idx="440">
                  <c:v>10.68954271552839</c:v>
                </c:pt>
                <c:pt idx="441">
                  <c:v>9.975828937312853</c:v>
                </c:pt>
                <c:pt idx="442">
                  <c:v>9.3248520132553292</c:v>
                </c:pt>
                <c:pt idx="443">
                  <c:v>9.3838464210400137</c:v>
                </c:pt>
                <c:pt idx="444">
                  <c:v>8.8783528556330431</c:v>
                </c:pt>
                <c:pt idx="445">
                  <c:v>8.6678700466936398</c:v>
                </c:pt>
                <c:pt idx="446">
                  <c:v>8.2787722624904259</c:v>
                </c:pt>
                <c:pt idx="447">
                  <c:v>7.8053171660184661</c:v>
                </c:pt>
                <c:pt idx="448">
                  <c:v>7.3453375879364025</c:v>
                </c:pt>
                <c:pt idx="449">
                  <c:v>7.4708103240500243</c:v>
                </c:pt>
                <c:pt idx="450">
                  <c:v>7.0686310312281178</c:v>
                </c:pt>
                <c:pt idx="451">
                  <c:v>6.7000431810333616</c:v>
                </c:pt>
                <c:pt idx="452">
                  <c:v>6.4005250416016279</c:v>
                </c:pt>
                <c:pt idx="453">
                  <c:v>6.0640658704655568</c:v>
                </c:pt>
                <c:pt idx="454">
                  <c:v>5.779319981459115</c:v>
                </c:pt>
                <c:pt idx="455">
                  <c:v>5.8157375171239289</c:v>
                </c:pt>
                <c:pt idx="456">
                  <c:v>6.748091613830054</c:v>
                </c:pt>
                <c:pt idx="457">
                  <c:v>7.9312042791814168</c:v>
                </c:pt>
                <c:pt idx="458">
                  <c:v>7.4607053252327358</c:v>
                </c:pt>
                <c:pt idx="459">
                  <c:v>7.3593469574118853</c:v>
                </c:pt>
                <c:pt idx="460">
                  <c:v>7.9070994326553059</c:v>
                </c:pt>
                <c:pt idx="461">
                  <c:v>8.2093515613197496</c:v>
                </c:pt>
                <c:pt idx="462">
                  <c:v>7.714758711763821</c:v>
                </c:pt>
                <c:pt idx="463">
                  <c:v>7.2636266037681709</c:v>
                </c:pt>
                <c:pt idx="464">
                  <c:v>7.1598884361731026</c:v>
                </c:pt>
                <c:pt idx="465">
                  <c:v>6.8907079148061028</c:v>
                </c:pt>
                <c:pt idx="466">
                  <c:v>7.3335090048770954</c:v>
                </c:pt>
                <c:pt idx="467">
                  <c:v>7.1129975590282157</c:v>
                </c:pt>
                <c:pt idx="468">
                  <c:v>7.0317385734796432</c:v>
                </c:pt>
                <c:pt idx="469">
                  <c:v>7.0304511423152061</c:v>
                </c:pt>
                <c:pt idx="470">
                  <c:v>6.6934153466700765</c:v>
                </c:pt>
                <c:pt idx="471">
                  <c:v>6.4343629419036521</c:v>
                </c:pt>
                <c:pt idx="472">
                  <c:v>6.1769490156069997</c:v>
                </c:pt>
                <c:pt idx="473">
                  <c:v>5.8612738347849911</c:v>
                </c:pt>
                <c:pt idx="474">
                  <c:v>5.5733201073422407</c:v>
                </c:pt>
                <c:pt idx="475">
                  <c:v>5.3106492068429123</c:v>
                </c:pt>
                <c:pt idx="476">
                  <c:v>5.0710370310936153</c:v>
                </c:pt>
                <c:pt idx="477">
                  <c:v>4.8524551305973658</c:v>
                </c:pt>
                <c:pt idx="478">
                  <c:v>4.6530534971241151</c:v>
                </c:pt>
                <c:pt idx="479">
                  <c:v>4.4711448663585749</c:v>
                </c:pt>
                <c:pt idx="480">
                  <c:v>4.3051904014330145</c:v>
                </c:pt>
                <c:pt idx="481">
                  <c:v>4.1537866358695652</c:v>
                </c:pt>
                <c:pt idx="482">
                  <c:v>4.0156535651426779</c:v>
                </c:pt>
                <c:pt idx="483">
                  <c:v>3.8896237858183929</c:v>
                </c:pt>
                <c:pt idx="484">
                  <c:v>4.0362333439945814</c:v>
                </c:pt>
                <c:pt idx="485">
                  <c:v>3.9083686672123563</c:v>
                </c:pt>
                <c:pt idx="486">
                  <c:v>3.8579277642095184</c:v>
                </c:pt>
                <c:pt idx="487">
                  <c:v>3.7456703696954765</c:v>
                </c:pt>
                <c:pt idx="488">
                  <c:v>3.6950513061893004</c:v>
                </c:pt>
                <c:pt idx="489">
                  <c:v>3.6942705129975812</c:v>
                </c:pt>
                <c:pt idx="490">
                  <c:v>3.6934897615111408</c:v>
                </c:pt>
                <c:pt idx="491">
                  <c:v>3.6927090578929307</c:v>
                </c:pt>
                <c:pt idx="492">
                  <c:v>3.6919284079969295</c:v>
                </c:pt>
                <c:pt idx="493">
                  <c:v>3.6911478173835488</c:v>
                </c:pt>
                <c:pt idx="494">
                  <c:v>3.6903672913342667</c:v>
                </c:pt>
                <c:pt idx="495">
                  <c:v>3.6895868348655338</c:v>
                </c:pt>
                <c:pt idx="496">
                  <c:v>3.6888064527419866</c:v>
                </c:pt>
                <c:pt idx="497">
                  <c:v>3.6880261494889957</c:v>
                </c:pt>
                <c:pt idx="498">
                  <c:v>3.6872459294046003</c:v>
                </c:pt>
                <c:pt idx="499">
                  <c:v>3.6864657965708401</c:v>
                </c:pt>
                <c:pt idx="500">
                  <c:v>3.6856857548645112</c:v>
                </c:pt>
                <c:pt idx="501">
                  <c:v>3.6849058079674175</c:v>
                </c:pt>
                <c:pt idx="502">
                  <c:v>3.6841259593760776</c:v>
                </c:pt>
                <c:pt idx="503">
                  <c:v>3.6833462124109673</c:v>
                </c:pt>
                <c:pt idx="504">
                  <c:v>3.6825665702252919</c:v>
                </c:pt>
                <c:pt idx="505">
                  <c:v>3.6817870358133256</c:v>
                </c:pt>
                <c:pt idx="506">
                  <c:v>3.681141613476858</c:v>
                </c:pt>
                <c:pt idx="507">
                  <c:v>3.6803623062546711</c:v>
                </c:pt>
                <c:pt idx="508">
                  <c:v>3.6795831133336989</c:v>
                </c:pt>
                <c:pt idx="509">
                  <c:v>3.6788040372268922</c:v>
                </c:pt>
                <c:pt idx="510">
                  <c:v>3.6780250803201895</c:v>
                </c:pt>
                <c:pt idx="511">
                  <c:v>3.6772462448788508</c:v>
                </c:pt>
                <c:pt idx="512">
                  <c:v>3.6764675330534744</c:v>
                </c:pt>
                <c:pt idx="513">
                  <c:v>3.6756889468857104</c:v>
                </c:pt>
                <c:pt idx="514">
                  <c:v>3.6749104883136932</c:v>
                </c:pt>
                <c:pt idx="515">
                  <c:v>3.674132159177204</c:v>
                </c:pt>
                <c:pt idx="516">
                  <c:v>3.673353961222571</c:v>
                </c:pt>
                <c:pt idx="517">
                  <c:v>3.6725758961073303</c:v>
                </c:pt>
                <c:pt idx="518">
                  <c:v>3.6717979654046551</c:v>
                </c:pt>
                <c:pt idx="519">
                  <c:v>3.6710201706075538</c:v>
                </c:pt>
                <c:pt idx="520">
                  <c:v>3.6702425131328749</c:v>
                </c:pt>
                <c:pt idx="521">
                  <c:v>3.6694649943251001</c:v>
                </c:pt>
                <c:pt idx="522">
                  <c:v>3.6686876154599508</c:v>
                </c:pt>
                <c:pt idx="523">
                  <c:v>3.6679103777478201</c:v>
                </c:pt>
                <c:pt idx="524">
                  <c:v>3.6671332823370268</c:v>
                </c:pt>
                <c:pt idx="525">
                  <c:v>3.6663563303169107</c:v>
                </c:pt>
                <c:pt idx="526">
                  <c:v>3.665579522720773</c:v>
                </c:pt>
                <c:pt idx="527">
                  <c:v>3.6648028605286722</c:v>
                </c:pt>
                <c:pt idx="528">
                  <c:v>3.6640263446700745</c:v>
                </c:pt>
                <c:pt idx="529">
                  <c:v>3.663249976026381</c:v>
                </c:pt>
                <c:pt idx="530">
                  <c:v>3.6624737554333211</c:v>
                </c:pt>
                <c:pt idx="531">
                  <c:v>3.6616976836832293</c:v>
                </c:pt>
                <c:pt idx="532">
                  <c:v>3.6609217615272103</c:v>
                </c:pt>
                <c:pt idx="533">
                  <c:v>3.6601459896771948</c:v>
                </c:pt>
                <c:pt idx="534">
                  <c:v>3.6593703688078931</c:v>
                </c:pt>
                <c:pt idx="535">
                  <c:v>3.658594899558647</c:v>
                </c:pt>
                <c:pt idx="536">
                  <c:v>3.657819582535196</c:v>
                </c:pt>
                <c:pt idx="537">
                  <c:v>3.6570444183113575</c:v>
                </c:pt>
                <c:pt idx="538">
                  <c:v>3.6562694074306084</c:v>
                </c:pt>
                <c:pt idx="539">
                  <c:v>3.6554945504076071</c:v>
                </c:pt>
                <c:pt idx="540">
                  <c:v>3.6547198477296234</c:v>
                </c:pt>
                <c:pt idx="541">
                  <c:v>3.6539452998579138</c:v>
                </c:pt>
                <c:pt idx="542">
                  <c:v>3.6531709072290042</c:v>
                </c:pt>
                <c:pt idx="543">
                  <c:v>3.652396670255937</c:v>
                </c:pt>
                <c:pt idx="544">
                  <c:v>3.651622589329433</c:v>
                </c:pt>
                <c:pt idx="545">
                  <c:v>3.6508486648190122</c:v>
                </c:pt>
                <c:pt idx="546">
                  <c:v>3.6500748970740418</c:v>
                </c:pt>
                <c:pt idx="547">
                  <c:v>3.6493012864247509</c:v>
                </c:pt>
                <c:pt idx="548">
                  <c:v>3.648527833183175</c:v>
                </c:pt>
                <c:pt idx="549">
                  <c:v>3.6477545376440719</c:v>
                </c:pt>
                <c:pt idx="550">
                  <c:v>3.6469814000857799</c:v>
                </c:pt>
                <c:pt idx="551">
                  <c:v>3.6462084207710332</c:v>
                </c:pt>
                <c:pt idx="552">
                  <c:v>3.6454355999477492</c:v>
                </c:pt>
                <c:pt idx="553">
                  <c:v>3.6446629378497581</c:v>
                </c:pt>
                <c:pt idx="554">
                  <c:v>3.6439007425016046</c:v>
                </c:pt>
                <c:pt idx="555">
                  <c:v>3.6431283987532974</c:v>
                </c:pt>
                <c:pt idx="556">
                  <c:v>3.6423562142326653</c:v>
                </c:pt>
                <c:pt idx="557">
                  <c:v>3.6415841891299641</c:v>
                </c:pt>
                <c:pt idx="558">
                  <c:v>3.6408123236242464</c:v>
                </c:pt>
                <c:pt idx="559">
                  <c:v>3.640040617883916</c:v>
                </c:pt>
                <c:pt idx="560">
                  <c:v>3.6392690720672571</c:v>
                </c:pt>
                <c:pt idx="561">
                  <c:v>3.6384976863229435</c:v>
                </c:pt>
                <c:pt idx="562">
                  <c:v>3.6377264607905162</c:v>
                </c:pt>
                <c:pt idx="563">
                  <c:v>3.6369553956008405</c:v>
                </c:pt>
                <c:pt idx="564">
                  <c:v>3.6361844908765328</c:v>
                </c:pt>
                <c:pt idx="565">
                  <c:v>3.6354137467323806</c:v>
                </c:pt>
                <c:pt idx="566">
                  <c:v>3.6346431632757299</c:v>
                </c:pt>
                <c:pt idx="567">
                  <c:v>3.6338727406068521</c:v>
                </c:pt>
                <c:pt idx="568">
                  <c:v>3.6331024788193025</c:v>
                </c:pt>
                <c:pt idx="569">
                  <c:v>3.6323323780002554</c:v>
                </c:pt>
                <c:pt idx="570">
                  <c:v>3.6315624382308176</c:v>
                </c:pt>
                <c:pt idx="571">
                  <c:v>3.6307926595863398</c:v>
                </c:pt>
                <c:pt idx="572">
                  <c:v>3.6300230421366919</c:v>
                </c:pt>
                <c:pt idx="573">
                  <c:v>3.629253585946548</c:v>
                </c:pt>
                <c:pt idx="574">
                  <c:v>3.6284842910756412</c:v>
                </c:pt>
                <c:pt idx="575">
                  <c:v>3.627715157579007</c:v>
                </c:pt>
                <c:pt idx="576">
                  <c:v>3.6269461855072245</c:v>
                </c:pt>
                <c:pt idx="577">
                  <c:v>3.6261773749066326</c:v>
                </c:pt>
                <c:pt idx="578">
                  <c:v>3.625408725819546</c:v>
                </c:pt>
                <c:pt idx="579">
                  <c:v>3.6246402382844551</c:v>
                </c:pt>
                <c:pt idx="580">
                  <c:v>3.6238719123362162</c:v>
                </c:pt>
                <c:pt idx="581">
                  <c:v>3.6231037480062334</c:v>
                </c:pt>
                <c:pt idx="582">
                  <c:v>3.6223357453226304</c:v>
                </c:pt>
                <c:pt idx="583">
                  <c:v>3.6215679043104165</c:v>
                </c:pt>
                <c:pt idx="584">
                  <c:v>3.62080022499164</c:v>
                </c:pt>
                <c:pt idx="585">
                  <c:v>3.6200327073855356</c:v>
                </c:pt>
                <c:pt idx="586">
                  <c:v>3.6192653515086701</c:v>
                </c:pt>
                <c:pt idx="587">
                  <c:v>3.618498157375071</c:v>
                </c:pt>
                <c:pt idx="588">
                  <c:v>3.6177311249963497</c:v>
                </c:pt>
                <c:pt idx="589">
                  <c:v>3.6169642543818346</c:v>
                </c:pt>
                <c:pt idx="590">
                  <c:v>3.6161975455386717</c:v>
                </c:pt>
                <c:pt idx="591">
                  <c:v>3.6154309984719433</c:v>
                </c:pt>
                <c:pt idx="592">
                  <c:v>3.6146646131847682</c:v>
                </c:pt>
                <c:pt idx="593">
                  <c:v>3.6138983896783956</c:v>
                </c:pt>
                <c:pt idx="594">
                  <c:v>3.6131323279523064</c:v>
                </c:pt>
                <c:pt idx="595">
                  <c:v>3.6123664280042957</c:v>
                </c:pt>
                <c:pt idx="596">
                  <c:v>3.6116295187968315</c:v>
                </c:pt>
                <c:pt idx="597">
                  <c:v>3.6108639430925495</c:v>
                </c:pt>
                <c:pt idx="598">
                  <c:v>3.610098528810747</c:v>
                </c:pt>
                <c:pt idx="599">
                  <c:v>3.609333275960287</c:v>
                </c:pt>
                <c:pt idx="600">
                  <c:v>3.608568184547881</c:v>
                </c:pt>
                <c:pt idx="601">
                  <c:v>3.6078032545782031</c:v>
                </c:pt>
                <c:pt idx="602">
                  <c:v>3.607038486053983</c:v>
                </c:pt>
                <c:pt idx="603">
                  <c:v>3.6062738789761104</c:v>
                </c:pt>
                <c:pt idx="604">
                  <c:v>3.605509433343725</c:v>
                </c:pt>
                <c:pt idx="605">
                  <c:v>3.6048177345152026</c:v>
                </c:pt>
                <c:pt idx="606">
                  <c:v>3.6040536135283454</c:v>
                </c:pt>
                <c:pt idx="607">
                  <c:v>3.6032896531194241</c:v>
                </c:pt>
                <c:pt idx="608">
                  <c:v>3.6025258533242064</c:v>
                </c:pt>
                <c:pt idx="609">
                  <c:v>3.6017622141749754</c:v>
                </c:pt>
                <c:pt idx="610">
                  <c:v>3.6009987357007009</c:v>
                </c:pt>
                <c:pt idx="611">
                  <c:v>3.6002354179272058</c:v>
                </c:pt>
                <c:pt idx="612">
                  <c:v>3.5994722608773175</c:v>
                </c:pt>
                <c:pt idx="613">
                  <c:v>3.5987092645710295</c:v>
                </c:pt>
                <c:pt idx="614">
                  <c:v>3.5979464290256296</c:v>
                </c:pt>
                <c:pt idx="615">
                  <c:v>3.5971837542558469</c:v>
                </c:pt>
                <c:pt idx="616">
                  <c:v>3.5964212402739699</c:v>
                </c:pt>
                <c:pt idx="617">
                  <c:v>3.5956588870899759</c:v>
                </c:pt>
                <c:pt idx="618">
                  <c:v>3.5948966947116432</c:v>
                </c:pt>
                <c:pt idx="619">
                  <c:v>3.5941346631446587</c:v>
                </c:pt>
                <c:pt idx="620">
                  <c:v>3.5934880614960099</c:v>
                </c:pt>
                <c:pt idx="621">
                  <c:v>3.5927263543618144</c:v>
                </c:pt>
                <c:pt idx="622">
                  <c:v>3.5919648066862342</c:v>
                </c:pt>
                <c:pt idx="623">
                  <c:v>3.5912034185355695</c:v>
                </c:pt>
                <c:pt idx="624">
                  <c:v>3.5904421899711116</c:v>
                </c:pt>
                <c:pt idx="625">
                  <c:v>3.5896811210494035</c:v>
                </c:pt>
                <c:pt idx="626">
                  <c:v>3.5889202118224643</c:v>
                </c:pt>
                <c:pt idx="627">
                  <c:v>3.5896175358002096</c:v>
                </c:pt>
                <c:pt idx="628">
                  <c:v>3.5888569815308236</c:v>
                </c:pt>
                <c:pt idx="629">
                  <c:v>3.5880965699059817</c:v>
                </c:pt>
                <c:pt idx="630">
                  <c:v>3.5877668125209068</c:v>
                </c:pt>
                <c:pt idx="631">
                  <c:v>3.587006699287111</c:v>
                </c:pt>
                <c:pt idx="632">
                  <c:v>3.5862467261757054</c:v>
                </c:pt>
                <c:pt idx="633">
                  <c:v>3.5854868942041556</c:v>
                </c:pt>
                <c:pt idx="634">
                  <c:v>3.58472720433751</c:v>
                </c:pt>
                <c:pt idx="635">
                  <c:v>3.5839676574910113</c:v>
                </c:pt>
                <c:pt idx="636">
                  <c:v>3.583208254532583</c:v>
                </c:pt>
                <c:pt idx="637">
                  <c:v>3.5824489962851875</c:v>
                </c:pt>
                <c:pt idx="638">
                  <c:v>3.5828123017198941</c:v>
                </c:pt>
                <c:pt idx="639">
                  <c:v>3.5836179250049875</c:v>
                </c:pt>
                <c:pt idx="640">
                  <c:v>3.5837042075084451</c:v>
                </c:pt>
                <c:pt idx="641">
                  <c:v>3.5844050340406728</c:v>
                </c:pt>
                <c:pt idx="642">
                  <c:v>3.583716923411401</c:v>
                </c:pt>
                <c:pt idx="643">
                  <c:v>3.5829585331928784</c:v>
                </c:pt>
                <c:pt idx="644">
                  <c:v>3.5822002396351835</c:v>
                </c:pt>
                <c:pt idx="645">
                  <c:v>3.581442045913342</c:v>
                </c:pt>
                <c:pt idx="646">
                  <c:v>3.580683955042415</c:v>
                </c:pt>
                <c:pt idx="647">
                  <c:v>3.5799259698854646</c:v>
                </c:pt>
                <c:pt idx="648">
                  <c:v>3.5791680931611425</c:v>
                </c:pt>
                <c:pt idx="649">
                  <c:v>3.5784542814168181</c:v>
                </c:pt>
                <c:pt idx="650">
                  <c:v>3.5779042220372572</c:v>
                </c:pt>
                <c:pt idx="651">
                  <c:v>3.5771466911786045</c:v>
                </c:pt>
                <c:pt idx="652">
                  <c:v>3.5763892753835029</c:v>
                </c:pt>
                <c:pt idx="653">
                  <c:v>3.5756319768966205</c:v>
                </c:pt>
                <c:pt idx="654">
                  <c:v>3.5748747978490414</c:v>
                </c:pt>
                <c:pt idx="655">
                  <c:v>3.5741177402639233</c:v>
                </c:pt>
                <c:pt idx="656">
                  <c:v>3.5733608060618764</c:v>
                </c:pt>
                <c:pt idx="657">
                  <c:v>3.5726039970660795</c:v>
                </c:pt>
                <c:pt idx="658">
                  <c:v>3.5718473150071359</c:v>
                </c:pt>
                <c:pt idx="659">
                  <c:v>3.5710907615276866</c:v>
                </c:pt>
                <c:pt idx="660">
                  <c:v>3.5703343381867994</c:v>
                </c:pt>
                <c:pt idx="661">
                  <c:v>3.5695780464641338</c:v>
                </c:pt>
                <c:pt idx="662">
                  <c:v>3.5688218877638946</c:v>
                </c:pt>
                <c:pt idx="663">
                  <c:v>3.5680658634186053</c:v>
                </c:pt>
                <c:pt idx="664">
                  <c:v>3.5673099746926704</c:v>
                </c:pt>
                <c:pt idx="665">
                  <c:v>3.5665542227857765</c:v>
                </c:pt>
                <c:pt idx="666">
                  <c:v>3.5657986088361198</c:v>
                </c:pt>
                <c:pt idx="667">
                  <c:v>3.5650431339234698</c:v>
                </c:pt>
                <c:pt idx="668">
                  <c:v>3.5642877990720829</c:v>
                </c:pt>
                <c:pt idx="669">
                  <c:v>3.5635326052534704</c:v>
                </c:pt>
                <c:pt idx="670">
                  <c:v>3.5627775533890249</c:v>
                </c:pt>
                <c:pt idx="671">
                  <c:v>3.562022644352528</c:v>
                </c:pt>
                <c:pt idx="672">
                  <c:v>3.5614862516722323</c:v>
                </c:pt>
                <c:pt idx="673">
                  <c:v>3.5612601785021138</c:v>
                </c:pt>
                <c:pt idx="674">
                  <c:v>3.560505718326497</c:v>
                </c:pt>
                <c:pt idx="675">
                  <c:v>3.5597513953709035</c:v>
                </c:pt>
                <c:pt idx="676">
                  <c:v>3.5592685674499007</c:v>
                </c:pt>
                <c:pt idx="677">
                  <c:v>3.5628333403212848</c:v>
                </c:pt>
                <c:pt idx="678">
                  <c:v>4.9373873598033908</c:v>
                </c:pt>
                <c:pt idx="679">
                  <c:v>6.2373364111655665</c:v>
                </c:pt>
                <c:pt idx="680">
                  <c:v>6.0469621570103351</c:v>
                </c:pt>
                <c:pt idx="681">
                  <c:v>8.1679113306799991</c:v>
                </c:pt>
                <c:pt idx="682">
                  <c:v>7.6665293968651218</c:v>
                </c:pt>
                <c:pt idx="683">
                  <c:v>7.209207647471958</c:v>
                </c:pt>
                <c:pt idx="684">
                  <c:v>6.7920701489638748</c:v>
                </c:pt>
                <c:pt idx="685">
                  <c:v>6.4115819309369568</c:v>
                </c:pt>
                <c:pt idx="686">
                  <c:v>6.0645189918341247</c:v>
                </c:pt>
                <c:pt idx="687">
                  <c:v>10.841255688817204</c:v>
                </c:pt>
                <c:pt idx="688">
                  <c:v>11.361154076321318</c:v>
                </c:pt>
                <c:pt idx="689">
                  <c:v>11.90317336027266</c:v>
                </c:pt>
                <c:pt idx="690">
                  <c:v>12.298466618058766</c:v>
                </c:pt>
                <c:pt idx="691">
                  <c:v>11.517724154826569</c:v>
                </c:pt>
                <c:pt idx="692">
                  <c:v>11.257508102786574</c:v>
                </c:pt>
                <c:pt idx="693">
                  <c:v>11.311068306038271</c:v>
                </c:pt>
                <c:pt idx="694">
                  <c:v>10.535467968887266</c:v>
                </c:pt>
                <c:pt idx="695">
                  <c:v>9.8280501314300786</c:v>
                </c:pt>
                <c:pt idx="696">
                  <c:v>9.182816837201127</c:v>
                </c:pt>
                <c:pt idx="697">
                  <c:v>8.5942977657253259</c:v>
                </c:pt>
                <c:pt idx="698">
                  <c:v>8.0575038167527904</c:v>
                </c:pt>
                <c:pt idx="699">
                  <c:v>7.5678847776556193</c:v>
                </c:pt>
                <c:pt idx="700">
                  <c:v>7.1212907147938731</c:v>
                </c:pt>
                <c:pt idx="701">
                  <c:v>6.7139367612558081</c:v>
                </c:pt>
                <c:pt idx="702">
                  <c:v>6.3423710021957289</c:v>
                </c:pt>
                <c:pt idx="703">
                  <c:v>6.0034451852759698</c:v>
                </c:pt>
                <c:pt idx="704">
                  <c:v>5.6942880076906155</c:v>
                </c:pt>
                <c:pt idx="705">
                  <c:v>5.4122807531108608</c:v>
                </c:pt>
                <c:pt idx="706">
                  <c:v>5.1550350718310769</c:v>
                </c:pt>
                <c:pt idx="707">
                  <c:v>5.3416789968771701</c:v>
                </c:pt>
                <c:pt idx="708">
                  <c:v>5.0906669779918472</c:v>
                </c:pt>
                <c:pt idx="709">
                  <c:v>4.8616899084091374</c:v>
                </c:pt>
                <c:pt idx="710">
                  <c:v>4.6528093990430781</c:v>
                </c:pt>
                <c:pt idx="711">
                  <c:v>4.4622575795240005</c:v>
                </c:pt>
                <c:pt idx="712">
                  <c:v>4.2884220977875298</c:v>
                </c:pt>
                <c:pt idx="713">
                  <c:v>4.8991027134405014</c:v>
                </c:pt>
                <c:pt idx="714">
                  <c:v>4.7620017778393064</c:v>
                </c:pt>
                <c:pt idx="715">
                  <c:v>4.6514908165791669</c:v>
                </c:pt>
                <c:pt idx="716">
                  <c:v>4.588391364381784</c:v>
                </c:pt>
                <c:pt idx="717">
                  <c:v>4.4035194556426376</c:v>
                </c:pt>
                <c:pt idx="718">
                  <c:v>4.4222485740677779</c:v>
                </c:pt>
                <c:pt idx="719">
                  <c:v>5.0316181051029512</c:v>
                </c:pt>
                <c:pt idx="720">
                  <c:v>4.8078822262110217</c:v>
                </c:pt>
                <c:pt idx="721">
                  <c:v>4.6037818337935787</c:v>
                </c:pt>
                <c:pt idx="722">
                  <c:v>4.4175896178143939</c:v>
                </c:pt>
                <c:pt idx="723">
                  <c:v>4.247730218478651</c:v>
                </c:pt>
                <c:pt idx="724">
                  <c:v>4.0927668592775799</c:v>
                </c:pt>
                <c:pt idx="725">
                  <c:v>3.9513891559146805</c:v>
                </c:pt>
                <c:pt idx="726">
                  <c:v>3.822401997672122</c:v>
                </c:pt>
                <c:pt idx="727">
                  <c:v>3.7047154068754664</c:v>
                </c:pt>
                <c:pt idx="728">
                  <c:v>3.8121943224331618</c:v>
                </c:pt>
                <c:pt idx="729">
                  <c:v>3.8618445276359421</c:v>
                </c:pt>
                <c:pt idx="730">
                  <c:v>3.8536356374299254</c:v>
                </c:pt>
                <c:pt idx="731">
                  <c:v>4.3032039539517664</c:v>
                </c:pt>
                <c:pt idx="732">
                  <c:v>4.8455586599060148</c:v>
                </c:pt>
                <c:pt idx="733">
                  <c:v>4.8094944358791656</c:v>
                </c:pt>
                <c:pt idx="734">
                  <c:v>4.605181715130362</c:v>
                </c:pt>
                <c:pt idx="735">
                  <c:v>4.4187958641384117</c:v>
                </c:pt>
                <c:pt idx="736">
                  <c:v>4.2487598786673075</c:v>
                </c:pt>
                <c:pt idx="737">
                  <c:v>4.1713322626237792</c:v>
                </c:pt>
                <c:pt idx="738">
                  <c:v>4.0229941020350726</c:v>
                </c:pt>
                <c:pt idx="739">
                  <c:v>3.8876588034823691</c:v>
                </c:pt>
                <c:pt idx="740">
                  <c:v>3.9478626528978937</c:v>
                </c:pt>
                <c:pt idx="741">
                  <c:v>4.1134888619651999</c:v>
                </c:pt>
                <c:pt idx="742">
                  <c:v>4.3297046423633372</c:v>
                </c:pt>
                <c:pt idx="743">
                  <c:v>4.5701306150260566</c:v>
                </c:pt>
                <c:pt idx="744">
                  <c:v>5.4787837807622104</c:v>
                </c:pt>
                <c:pt idx="745">
                  <c:v>5.2157459594729989</c:v>
                </c:pt>
                <c:pt idx="746">
                  <c:v>5.052991911725992</c:v>
                </c:pt>
                <c:pt idx="747">
                  <c:v>4.8273390844842297</c:v>
                </c:pt>
                <c:pt idx="748">
                  <c:v>4.8805736125780808</c:v>
                </c:pt>
                <c:pt idx="749">
                  <c:v>4.7845558810969449</c:v>
                </c:pt>
                <c:pt idx="750">
                  <c:v>4.5824805710332344</c:v>
                </c:pt>
                <c:pt idx="751">
                  <c:v>4.3981352980503328</c:v>
                </c:pt>
                <c:pt idx="752">
                  <c:v>4.3155256178156165</c:v>
                </c:pt>
                <c:pt idx="753">
                  <c:v>4.1545949320874183</c:v>
                </c:pt>
                <c:pt idx="754">
                  <c:v>4.1249326543832261</c:v>
                </c:pt>
                <c:pt idx="755">
                  <c:v>4.2646275541567995</c:v>
                </c:pt>
                <c:pt idx="756">
                  <c:v>5.6449957007675104</c:v>
                </c:pt>
                <c:pt idx="757">
                  <c:v>5.3674590598145029</c:v>
                </c:pt>
                <c:pt idx="758">
                  <c:v>5.1142906869483094</c:v>
                </c:pt>
                <c:pt idx="759">
                  <c:v>4.8833469326851633</c:v>
                </c:pt>
                <c:pt idx="760">
                  <c:v>4.6726727228697582</c:v>
                </c:pt>
                <c:pt idx="761">
                  <c:v>5.2934938496715569</c:v>
                </c:pt>
                <c:pt idx="762">
                  <c:v>6.6133114540590769</c:v>
                </c:pt>
                <c:pt idx="763">
                  <c:v>8.1831790144522305</c:v>
                </c:pt>
                <c:pt idx="764">
                  <c:v>7.9757238283959788</c:v>
                </c:pt>
                <c:pt idx="765">
                  <c:v>8.2943367104978378</c:v>
                </c:pt>
                <c:pt idx="766">
                  <c:v>7.8778985620051447</c:v>
                </c:pt>
                <c:pt idx="767">
                  <c:v>7.4049793113184892</c:v>
                </c:pt>
                <c:pt idx="768">
                  <c:v>7.2676952969336979</c:v>
                </c:pt>
                <c:pt idx="769">
                  <c:v>7.9646548357058471</c:v>
                </c:pt>
                <c:pt idx="770">
                  <c:v>9.1175954194798479</c:v>
                </c:pt>
                <c:pt idx="771">
                  <c:v>9.0885877711575684</c:v>
                </c:pt>
                <c:pt idx="772">
                  <c:v>8.7129103888866712</c:v>
                </c:pt>
                <c:pt idx="773">
                  <c:v>9.1326134565813106</c:v>
                </c:pt>
                <c:pt idx="774">
                  <c:v>9.4686641339082662</c:v>
                </c:pt>
                <c:pt idx="775">
                  <c:v>11.008629373023714</c:v>
                </c:pt>
                <c:pt idx="776">
                  <c:v>12.268511795860338</c:v>
                </c:pt>
                <c:pt idx="777">
                  <c:v>11.94759337141004</c:v>
                </c:pt>
                <c:pt idx="778">
                  <c:v>11.531952405780395</c:v>
                </c:pt>
                <c:pt idx="779">
                  <c:v>12.92465695588346</c:v>
                </c:pt>
                <c:pt idx="780">
                  <c:v>14.240608778470678</c:v>
                </c:pt>
                <c:pt idx="781">
                  <c:v>14.830280344233365</c:v>
                </c:pt>
                <c:pt idx="782">
                  <c:v>14.427643092495677</c:v>
                </c:pt>
                <c:pt idx="783">
                  <c:v>15.351059183271422</c:v>
                </c:pt>
                <c:pt idx="784">
                  <c:v>17.767879930456786</c:v>
                </c:pt>
                <c:pt idx="785">
                  <c:v>21.01465016327009</c:v>
                </c:pt>
                <c:pt idx="786">
                  <c:v>21.111783090388464</c:v>
                </c:pt>
                <c:pt idx="787">
                  <c:v>21.614487519902838</c:v>
                </c:pt>
                <c:pt idx="788">
                  <c:v>20.31292911231311</c:v>
                </c:pt>
                <c:pt idx="789">
                  <c:v>18.753805334052654</c:v>
                </c:pt>
                <c:pt idx="790">
                  <c:v>17.331788286045875</c:v>
                </c:pt>
                <c:pt idx="791">
                  <c:v>16.034816796337186</c:v>
                </c:pt>
                <c:pt idx="792">
                  <c:v>14.851890705744257</c:v>
                </c:pt>
                <c:pt idx="793">
                  <c:v>14.426447936198338</c:v>
                </c:pt>
                <c:pt idx="794">
                  <c:v>13.71454963722816</c:v>
                </c:pt>
                <c:pt idx="795">
                  <c:v>12.816413079912815</c:v>
                </c:pt>
                <c:pt idx="796">
                  <c:v>12.020173543450587</c:v>
                </c:pt>
                <c:pt idx="797">
                  <c:v>11.632913143182586</c:v>
                </c:pt>
                <c:pt idx="798">
                  <c:v>11.257323395769472</c:v>
                </c:pt>
                <c:pt idx="799">
                  <c:v>11.191026304812114</c:v>
                </c:pt>
                <c:pt idx="800">
                  <c:v>10.930204007363145</c:v>
                </c:pt>
                <c:pt idx="801">
                  <c:v>10.965893187580333</c:v>
                </c:pt>
                <c:pt idx="802">
                  <c:v>11.256263119739298</c:v>
                </c:pt>
                <c:pt idx="803">
                  <c:v>10.896894691431708</c:v>
                </c:pt>
                <c:pt idx="804">
                  <c:v>10.202474165487972</c:v>
                </c:pt>
                <c:pt idx="805">
                  <c:v>9.7511190243291281</c:v>
                </c:pt>
                <c:pt idx="806">
                  <c:v>11.091699090456107</c:v>
                </c:pt>
                <c:pt idx="807">
                  <c:v>10.825689990701779</c:v>
                </c:pt>
                <c:pt idx="808">
                  <c:v>11.166236070893859</c:v>
                </c:pt>
                <c:pt idx="809">
                  <c:v>10.456031106348371</c:v>
                </c:pt>
                <c:pt idx="810">
                  <c:v>9.9640627607030172</c:v>
                </c:pt>
                <c:pt idx="811">
                  <c:v>9.4119767318286645</c:v>
                </c:pt>
                <c:pt idx="812">
                  <c:v>9.4099604109428228</c:v>
                </c:pt>
                <c:pt idx="813">
                  <c:v>8.9059586420229859</c:v>
                </c:pt>
                <c:pt idx="814">
                  <c:v>8.3518920006352904</c:v>
                </c:pt>
                <c:pt idx="815">
                  <c:v>7.8465175853689049</c:v>
                </c:pt>
                <c:pt idx="816">
                  <c:v>7.3855519858015732</c:v>
                </c:pt>
                <c:pt idx="817">
                  <c:v>6.9650886000973751</c:v>
                </c:pt>
                <c:pt idx="818">
                  <c:v>6.5815644874216064</c:v>
                </c:pt>
                <c:pt idx="819">
                  <c:v>6.2317301363253206</c:v>
                </c:pt>
                <c:pt idx="820">
                  <c:v>5.9126218925836902</c:v>
                </c:pt>
                <c:pt idx="821">
                  <c:v>5.6215368125379781</c:v>
                </c:pt>
                <c:pt idx="822">
                  <c:v>5.3560097285712365</c:v>
                </c:pt>
                <c:pt idx="823">
                  <c:v>5.1137923321179004</c:v>
                </c:pt>
                <c:pt idx="824">
                  <c:v>4.8928340967262542</c:v>
                </c:pt>
                <c:pt idx="825">
                  <c:v>4.6912648793056189</c:v>
                </c:pt>
                <c:pt idx="826">
                  <c:v>4.507379051929524</c:v>
                </c:pt>
                <c:pt idx="827">
                  <c:v>4.3396210295529434</c:v>
                </c:pt>
                <c:pt idx="828">
                  <c:v>4.1865720708460286</c:v>
                </c:pt>
                <c:pt idx="829">
                  <c:v>4.0469382401491698</c:v>
                </c:pt>
                <c:pt idx="830">
                  <c:v>3.9195394284063507</c:v>
                </c:pt>
                <c:pt idx="831">
                  <c:v>3.8032993399192701</c:v>
                </c:pt>
                <c:pt idx="832">
                  <c:v>3.7115114911729057</c:v>
                </c:pt>
                <c:pt idx="833">
                  <c:v>3.7107272578394057</c:v>
                </c:pt>
                <c:pt idx="834">
                  <c:v>3.7099430644934204</c:v>
                </c:pt>
                <c:pt idx="835">
                  <c:v>3.7091589174202473</c:v>
                </c:pt>
                <c:pt idx="836">
                  <c:v>3.708374822590105</c:v>
                </c:pt>
                <c:pt idx="837">
                  <c:v>3.707590785673843</c:v>
                </c:pt>
                <c:pt idx="838">
                  <c:v>3.7068068120578666</c:v>
                </c:pt>
                <c:pt idx="839">
                  <c:v>3.7060229068583128</c:v>
                </c:pt>
                <c:pt idx="840">
                  <c:v>3.7052390749345263</c:v>
                </c:pt>
                <c:pt idx="841">
                  <c:v>3.7044553209018605</c:v>
                </c:pt>
                <c:pt idx="842">
                  <c:v>3.7036716491438395</c:v>
                </c:pt>
                <c:pt idx="843">
                  <c:v>3.7028880638237198</c:v>
                </c:pt>
                <c:pt idx="844">
                  <c:v>3.7021045688954644</c:v>
                </c:pt>
                <c:pt idx="845">
                  <c:v>3.7013211681141804</c:v>
                </c:pt>
                <c:pt idx="846">
                  <c:v>3.7005378650460323</c:v>
                </c:pt>
                <c:pt idx="847">
                  <c:v>3.7000000482402511</c:v>
                </c:pt>
                <c:pt idx="848">
                  <c:v>3.6992169565501958</c:v>
                </c:pt>
                <c:pt idx="849">
                  <c:v>3.6984339693384469</c:v>
                </c:pt>
                <c:pt idx="850">
                  <c:v>3.6976510896497046</c:v>
                </c:pt>
                <c:pt idx="851">
                  <c:v>3.6968683203751338</c:v>
                </c:pt>
                <c:pt idx="852">
                  <c:v>3.6960856642600319</c:v>
                </c:pt>
                <c:pt idx="853">
                  <c:v>3.6953031239110898</c:v>
                </c:pt>
                <c:pt idx="854">
                  <c:v>3.6945207018033086</c:v>
                </c:pt>
                <c:pt idx="855">
                  <c:v>3.6937384002865636</c:v>
                </c:pt>
                <c:pt idx="856">
                  <c:v>3.6929562215918379</c:v>
                </c:pt>
                <c:pt idx="857">
                  <c:v>3.6924272408080929</c:v>
                </c:pt>
                <c:pt idx="858">
                  <c:v>3.6916453201534232</c:v>
                </c:pt>
                <c:pt idx="859">
                  <c:v>3.6908635253760886</c:v>
                </c:pt>
                <c:pt idx="860">
                  <c:v>3.6900818584371282</c:v>
                </c:pt>
                <c:pt idx="861">
                  <c:v>3.6893003211980857</c:v>
                </c:pt>
                <c:pt idx="862">
                  <c:v>3.6885189154259548</c:v>
                </c:pt>
                <c:pt idx="863">
                  <c:v>3.6877376427979058</c:v>
                </c:pt>
                <c:pt idx="864">
                  <c:v>3.6869565049057504</c:v>
                </c:pt>
                <c:pt idx="865">
                  <c:v>3.6861755032602095</c:v>
                </c:pt>
                <c:pt idx="866">
                  <c:v>3.6856022908136801</c:v>
                </c:pt>
                <c:pt idx="867">
                  <c:v>3.6849141987798011</c:v>
                </c:pt>
                <c:pt idx="868">
                  <c:v>3.6841336190363245</c:v>
                </c:pt>
                <c:pt idx="869">
                  <c:v>3.6833531774333323</c:v>
                </c:pt>
                <c:pt idx="870">
                  <c:v>3.6825728753037832</c:v>
                </c:pt>
                <c:pt idx="871">
                  <c:v>3.6817927139124396</c:v>
                </c:pt>
                <c:pt idx="872">
                  <c:v>3.6810126944592803</c:v>
                </c:pt>
                <c:pt idx="873">
                  <c:v>3.6802328180827191</c:v>
                </c:pt>
                <c:pt idx="874">
                  <c:v>3.6794530858626806</c:v>
                </c:pt>
                <c:pt idx="875">
                  <c:v>3.678673498823513</c:v>
                </c:pt>
                <c:pt idx="876">
                  <c:v>3.6778940579367623</c:v>
                </c:pt>
                <c:pt idx="877">
                  <c:v>3.6771147641238011</c:v>
                </c:pt>
                <c:pt idx="878">
                  <c:v>3.676335618258332</c:v>
                </c:pt>
                <c:pt idx="879">
                  <c:v>3.6755566211687651</c:v>
                </c:pt>
                <c:pt idx="880">
                  <c:v>3.6747777736404754</c:v>
                </c:pt>
                <c:pt idx="881">
                  <c:v>3.6742266530473651</c:v>
                </c:pt>
                <c:pt idx="882">
                  <c:v>3.673448112365985</c:v>
                </c:pt>
                <c:pt idx="883">
                  <c:v>3.6726697206830425</c:v>
                </c:pt>
                <c:pt idx="884">
                  <c:v>3.6718914787663763</c:v>
                </c:pt>
                <c:pt idx="885">
                  <c:v>3.67111338734381</c:v>
                </c:pt>
                <c:pt idx="886">
                  <c:v>3.6703354471051495</c:v>
                </c:pt>
                <c:pt idx="887">
                  <c:v>3.6698757558243638</c:v>
                </c:pt>
                <c:pt idx="888">
                  <c:v>3.6690981276095012</c:v>
                </c:pt>
                <c:pt idx="889">
                  <c:v>3.6683206486899973</c:v>
                </c:pt>
                <c:pt idx="890">
                  <c:v>3.6675433198091865</c:v>
                </c:pt>
                <c:pt idx="891">
                  <c:v>3.6667661416716073</c:v>
                </c:pt>
                <c:pt idx="892">
                  <c:v>3.6659891149449471</c:v>
                </c:pt>
                <c:pt idx="893">
                  <c:v>3.6652122402618725</c:v>
                </c:pt>
                <c:pt idx="894">
                  <c:v>3.6644355182217772</c:v>
                </c:pt>
                <c:pt idx="895">
                  <c:v>3.6636589493924427</c:v>
                </c:pt>
                <c:pt idx="896">
                  <c:v>3.6628825343116116</c:v>
                </c:pt>
                <c:pt idx="897">
                  <c:v>3.6621062734884888</c:v>
                </c:pt>
                <c:pt idx="898">
                  <c:v>3.6613301674051608</c:v>
                </c:pt>
                <c:pt idx="899">
                  <c:v>3.660554216517951</c:v>
                </c:pt>
                <c:pt idx="900">
                  <c:v>3.6597784212587041</c:v>
                </c:pt>
                <c:pt idx="901">
                  <c:v>3.6590027820360027</c:v>
                </c:pt>
                <c:pt idx="902">
                  <c:v>3.6582272992363349</c:v>
                </c:pt>
                <c:pt idx="903">
                  <c:v>3.657451973225188</c:v>
                </c:pt>
                <c:pt idx="904">
                  <c:v>3.6567219822520221</c:v>
                </c:pt>
                <c:pt idx="905">
                  <c:v>3.6559469719333291</c:v>
                </c:pt>
                <c:pt idx="906">
                  <c:v>3.6551721188514912</c:v>
                </c:pt>
                <c:pt idx="907">
                  <c:v>3.6543974233246108</c:v>
                </c:pt>
                <c:pt idx="908">
                  <c:v>3.6536228856532023</c:v>
                </c:pt>
                <c:pt idx="909">
                  <c:v>3.6528485061210705</c:v>
                </c:pt>
                <c:pt idx="910">
                  <c:v>3.6520742849961461</c:v>
                </c:pt>
                <c:pt idx="911">
                  <c:v>3.6513002225312738</c:v>
                </c:pt>
                <c:pt idx="912">
                  <c:v>3.6505641518315199</c:v>
                </c:pt>
                <c:pt idx="913">
                  <c:v>3.6497904083079549</c:v>
                </c:pt>
                <c:pt idx="914">
                  <c:v>3.6490168236740015</c:v>
                </c:pt>
                <c:pt idx="915">
                  <c:v>3.6483021255061923</c:v>
                </c:pt>
                <c:pt idx="916">
                  <c:v>3.6475288607315774</c:v>
                </c:pt>
                <c:pt idx="917">
                  <c:v>3.6467557547827414</c:v>
                </c:pt>
                <c:pt idx="918">
                  <c:v>3.6459828078797925</c:v>
                </c:pt>
                <c:pt idx="919">
                  <c:v>3.6467901709240107</c:v>
                </c:pt>
                <c:pt idx="920">
                  <c:v>3.6460175811181932</c:v>
                </c:pt>
                <c:pt idx="921">
                  <c:v>3.6452451323250084</c:v>
                </c:pt>
                <c:pt idx="922">
                  <c:v>3.6503252119101788</c:v>
                </c:pt>
                <c:pt idx="923">
                  <c:v>3.6528077984220397</c:v>
                </c:pt>
                <c:pt idx="924">
                  <c:v>5.1895213148797383</c:v>
                </c:pt>
                <c:pt idx="925">
                  <c:v>4.956745584130049</c:v>
                </c:pt>
                <c:pt idx="926">
                  <c:v>4.7443995409674082</c:v>
                </c:pt>
                <c:pt idx="927">
                  <c:v>4.9959728811769226</c:v>
                </c:pt>
                <c:pt idx="928">
                  <c:v>6.6438581655794779</c:v>
                </c:pt>
                <c:pt idx="929">
                  <c:v>7.5632022408282999</c:v>
                </c:pt>
                <c:pt idx="930">
                  <c:v>7.1223634060084748</c:v>
                </c:pt>
                <c:pt idx="931">
                  <c:v>8.6421478030306336</c:v>
                </c:pt>
                <c:pt idx="932">
                  <c:v>8.4445851930831157</c:v>
                </c:pt>
                <c:pt idx="933">
                  <c:v>8.3572042248470026</c:v>
                </c:pt>
                <c:pt idx="934">
                  <c:v>8.0222570607056856</c:v>
                </c:pt>
                <c:pt idx="935">
                  <c:v>7.8072420390281492</c:v>
                </c:pt>
                <c:pt idx="936">
                  <c:v>7.4392304350745597</c:v>
                </c:pt>
                <c:pt idx="937">
                  <c:v>7.190200096824424</c:v>
                </c:pt>
                <c:pt idx="938">
                  <c:v>8.967416920058298</c:v>
                </c:pt>
                <c:pt idx="939">
                  <c:v>9.3327867536974143</c:v>
                </c:pt>
                <c:pt idx="940">
                  <c:v>9.5263762056463914</c:v>
                </c:pt>
                <c:pt idx="941">
                  <c:v>9.283791536274224</c:v>
                </c:pt>
                <c:pt idx="942">
                  <c:v>8.6931284364505927</c:v>
                </c:pt>
                <c:pt idx="943">
                  <c:v>9.2350773035596827</c:v>
                </c:pt>
                <c:pt idx="944">
                  <c:v>8.9189897557336248</c:v>
                </c:pt>
                <c:pt idx="945">
                  <c:v>8.4996570357572683</c:v>
                </c:pt>
                <c:pt idx="946">
                  <c:v>8.5798229959938421</c:v>
                </c:pt>
                <c:pt idx="947">
                  <c:v>8.6929371668434765</c:v>
                </c:pt>
                <c:pt idx="948">
                  <c:v>8.1547136862593259</c:v>
                </c:pt>
                <c:pt idx="949">
                  <c:v>7.6637893340678973</c:v>
                </c:pt>
                <c:pt idx="950">
                  <c:v>7.3077855890522443</c:v>
                </c:pt>
                <c:pt idx="951">
                  <c:v>6.9768973532199947</c:v>
                </c:pt>
                <c:pt idx="952">
                  <c:v>7.1136533505532391</c:v>
                </c:pt>
                <c:pt idx="953">
                  <c:v>6.7143109732429336</c:v>
                </c:pt>
                <c:pt idx="954">
                  <c:v>6.3914341144051088</c:v>
                </c:pt>
                <c:pt idx="955">
                  <c:v>7.8532330397891945</c:v>
                </c:pt>
                <c:pt idx="956">
                  <c:v>8.7548380626399602</c:v>
                </c:pt>
                <c:pt idx="957">
                  <c:v>9.0789656991275649</c:v>
                </c:pt>
                <c:pt idx="958">
                  <c:v>9.0547272818664837</c:v>
                </c:pt>
                <c:pt idx="959">
                  <c:v>10.47263045192336</c:v>
                </c:pt>
                <c:pt idx="960">
                  <c:v>11.050973533548602</c:v>
                </c:pt>
                <c:pt idx="961">
                  <c:v>10.419117049616082</c:v>
                </c:pt>
                <c:pt idx="962">
                  <c:v>10.039237228290986</c:v>
                </c:pt>
                <c:pt idx="963">
                  <c:v>9.4624188500022051</c:v>
                </c:pt>
                <c:pt idx="964">
                  <c:v>8.8582266767838842</c:v>
                </c:pt>
                <c:pt idx="965">
                  <c:v>8.3071364861972157</c:v>
                </c:pt>
                <c:pt idx="966">
                  <c:v>7.8924216539653136</c:v>
                </c:pt>
                <c:pt idx="967">
                  <c:v>7.4262200703899985</c:v>
                </c:pt>
                <c:pt idx="968">
                  <c:v>7.3328317107031706</c:v>
                </c:pt>
                <c:pt idx="969">
                  <c:v>7.9702456283895176</c:v>
                </c:pt>
                <c:pt idx="970">
                  <c:v>8.4992828565321705</c:v>
                </c:pt>
                <c:pt idx="971">
                  <c:v>9.1389788883128258</c:v>
                </c:pt>
                <c:pt idx="972">
                  <c:v>9.2485136924193068</c:v>
                </c:pt>
                <c:pt idx="973">
                  <c:v>12.114107501541948</c:v>
                </c:pt>
                <c:pt idx="974">
                  <c:v>11.278297084923134</c:v>
                </c:pt>
                <c:pt idx="975">
                  <c:v>10.538817706331578</c:v>
                </c:pt>
                <c:pt idx="976">
                  <c:v>10.063375456024165</c:v>
                </c:pt>
                <c:pt idx="977">
                  <c:v>10.825757636850545</c:v>
                </c:pt>
                <c:pt idx="978">
                  <c:v>10.103544012822592</c:v>
                </c:pt>
                <c:pt idx="979">
                  <c:v>9.4448142300817484</c:v>
                </c:pt>
                <c:pt idx="980">
                  <c:v>9.5177148028573324</c:v>
                </c:pt>
                <c:pt idx="981">
                  <c:v>9.9301256686365704</c:v>
                </c:pt>
                <c:pt idx="982">
                  <c:v>9.5306174517654938</c:v>
                </c:pt>
                <c:pt idx="983">
                  <c:v>9.5211446725335236</c:v>
                </c:pt>
                <c:pt idx="984">
                  <c:v>10.148807808325222</c:v>
                </c:pt>
                <c:pt idx="985">
                  <c:v>13.110882854192559</c:v>
                </c:pt>
                <c:pt idx="986">
                  <c:v>14.711277343011172</c:v>
                </c:pt>
                <c:pt idx="987">
                  <c:v>16.152239427630331</c:v>
                </c:pt>
                <c:pt idx="988">
                  <c:v>19.511326524510977</c:v>
                </c:pt>
                <c:pt idx="989">
                  <c:v>19.042382100378223</c:v>
                </c:pt>
                <c:pt idx="990">
                  <c:v>18.161909603139645</c:v>
                </c:pt>
                <c:pt idx="991">
                  <c:v>19.28321997540154</c:v>
                </c:pt>
                <c:pt idx="992">
                  <c:v>20.282094341378237</c:v>
                </c:pt>
                <c:pt idx="993">
                  <c:v>18.782778932370963</c:v>
                </c:pt>
                <c:pt idx="994">
                  <c:v>18.113926359896492</c:v>
                </c:pt>
                <c:pt idx="995">
                  <c:v>16.75640587838436</c:v>
                </c:pt>
                <c:pt idx="996">
                  <c:v>15.518255498093167</c:v>
                </c:pt>
                <c:pt idx="997">
                  <c:v>14.3889743261586</c:v>
                </c:pt>
                <c:pt idx="998">
                  <c:v>13.482740799303258</c:v>
                </c:pt>
                <c:pt idx="999">
                  <c:v>12.532456410992104</c:v>
                </c:pt>
                <c:pt idx="1000">
                  <c:v>11.727732238123249</c:v>
                </c:pt>
                <c:pt idx="1001">
                  <c:v>11.146633500478389</c:v>
                </c:pt>
                <c:pt idx="1002">
                  <c:v>10.594997650311283</c:v>
                </c:pt>
                <c:pt idx="1003">
                  <c:v>10.381802315401591</c:v>
                </c:pt>
                <c:pt idx="1004">
                  <c:v>9.9999626940180342</c:v>
                </c:pt>
                <c:pt idx="1005">
                  <c:v>10.518780784891748</c:v>
                </c:pt>
                <c:pt idx="1006">
                  <c:v>11.970427413553219</c:v>
                </c:pt>
                <c:pt idx="1007">
                  <c:v>12.84217598947613</c:v>
                </c:pt>
                <c:pt idx="1008">
                  <c:v>17.330122544566521</c:v>
                </c:pt>
                <c:pt idx="1009">
                  <c:v>16.843975306244737</c:v>
                </c:pt>
                <c:pt idx="1010">
                  <c:v>16.913764757249968</c:v>
                </c:pt>
                <c:pt idx="1011">
                  <c:v>19.026773565572348</c:v>
                </c:pt>
                <c:pt idx="1012">
                  <c:v>19.328430394545887</c:v>
                </c:pt>
                <c:pt idx="1013">
                  <c:v>18.563236063107169</c:v>
                </c:pt>
                <c:pt idx="1014">
                  <c:v>21.292769337238489</c:v>
                </c:pt>
                <c:pt idx="1015">
                  <c:v>20.621145167066835</c:v>
                </c:pt>
                <c:pt idx="1016">
                  <c:v>19.072554051378493</c:v>
                </c:pt>
                <c:pt idx="1017">
                  <c:v>17.636392629256456</c:v>
                </c:pt>
                <c:pt idx="1018">
                  <c:v>16.326518090414964</c:v>
                </c:pt>
                <c:pt idx="1019">
                  <c:v>15.131821077814418</c:v>
                </c:pt>
                <c:pt idx="1020">
                  <c:v>14.487928461217205</c:v>
                </c:pt>
                <c:pt idx="1021">
                  <c:v>13.486300159475562</c:v>
                </c:pt>
                <c:pt idx="1022">
                  <c:v>12.541432481712459</c:v>
                </c:pt>
                <c:pt idx="1023">
                  <c:v>11.679632950159577</c:v>
                </c:pt>
                <c:pt idx="1024">
                  <c:v>11.736012538806634</c:v>
                </c:pt>
                <c:pt idx="1025">
                  <c:v>11.568984506023311</c:v>
                </c:pt>
                <c:pt idx="1026">
                  <c:v>11.542990441713664</c:v>
                </c:pt>
                <c:pt idx="1027">
                  <c:v>10.769426741389077</c:v>
                </c:pt>
                <c:pt idx="1028">
                  <c:v>10.063861622708925</c:v>
                </c:pt>
                <c:pt idx="1029">
                  <c:v>9.957899546256332</c:v>
                </c:pt>
                <c:pt idx="1030">
                  <c:v>9.4671668524290826</c:v>
                </c:pt>
                <c:pt idx="1031">
                  <c:v>9.1325614905114918</c:v>
                </c:pt>
                <c:pt idx="1032">
                  <c:v>8.5981943536860186</c:v>
                </c:pt>
                <c:pt idx="1033">
                  <c:v>8.3196561905443609</c:v>
                </c:pt>
                <c:pt idx="1034">
                  <c:v>8.8838568552982604</c:v>
                </c:pt>
                <c:pt idx="1035">
                  <c:v>8.4430981795070466</c:v>
                </c:pt>
                <c:pt idx="1036">
                  <c:v>8.4007819950490141</c:v>
                </c:pt>
                <c:pt idx="1037">
                  <c:v>8.0140461537456833</c:v>
                </c:pt>
                <c:pt idx="1038">
                  <c:v>7.5511592658583027</c:v>
                </c:pt>
                <c:pt idx="1039">
                  <c:v>7.5749648576937636</c:v>
                </c:pt>
                <c:pt idx="1040">
                  <c:v>8.0949056315154841</c:v>
                </c:pt>
                <c:pt idx="1041">
                  <c:v>7.6603116099937081</c:v>
                </c:pt>
                <c:pt idx="1042">
                  <c:v>7.2287284728286245</c:v>
                </c:pt>
                <c:pt idx="1043">
                  <c:v>7.3591519212832184</c:v>
                </c:pt>
                <c:pt idx="1044">
                  <c:v>6.954102753590333</c:v>
                </c:pt>
                <c:pt idx="1045">
                  <c:v>6.6627831663213115</c:v>
                </c:pt>
                <c:pt idx="1046">
                  <c:v>6.3429182597994531</c:v>
                </c:pt>
                <c:pt idx="1047">
                  <c:v>6.4029885004793305</c:v>
                </c:pt>
                <c:pt idx="1048">
                  <c:v>6.0819781537812556</c:v>
                </c:pt>
                <c:pt idx="1049">
                  <c:v>5.7891555070608813</c:v>
                </c:pt>
                <c:pt idx="1050">
                  <c:v>5.5220409191523006</c:v>
                </c:pt>
                <c:pt idx="1051">
                  <c:v>5.4844460745049792</c:v>
                </c:pt>
                <c:pt idx="1052">
                  <c:v>5.2440904791572915</c:v>
                </c:pt>
                <c:pt idx="1053">
                  <c:v>5.0248274738331018</c:v>
                </c:pt>
                <c:pt idx="1054">
                  <c:v>4.8248015691696367</c:v>
                </c:pt>
                <c:pt idx="1055">
                  <c:v>4.6423205018901132</c:v>
                </c:pt>
                <c:pt idx="1056">
                  <c:v>4.4758408759202828</c:v>
                </c:pt>
                <c:pt idx="1057">
                  <c:v>4.323955066645798</c:v>
                </c:pt>
                <c:pt idx="1058">
                  <c:v>4.1853792771928129</c:v>
                </c:pt>
                <c:pt idx="1059">
                  <c:v>4.0589426453891395</c:v>
                </c:pt>
                <c:pt idx="1060">
                  <c:v>3.9435773089783317</c:v>
                </c:pt>
                <c:pt idx="1061">
                  <c:v>3.8611354004290894</c:v>
                </c:pt>
                <c:pt idx="1062">
                  <c:v>3.8603194386445994</c:v>
                </c:pt>
                <c:pt idx="1063">
                  <c:v>3.8595035241308606</c:v>
                </c:pt>
                <c:pt idx="1064">
                  <c:v>3.8586876631438369</c:v>
                </c:pt>
                <c:pt idx="1065">
                  <c:v>3.857871861625807</c:v>
                </c:pt>
                <c:pt idx="1066">
                  <c:v>3.8570561252210025</c:v>
                </c:pt>
                <c:pt idx="1067">
                  <c:v>3.856240459290464</c:v>
                </c:pt>
                <c:pt idx="1068">
                  <c:v>3.855424868926161</c:v>
                </c:pt>
                <c:pt idx="1069">
                  <c:v>3.854609358964403</c:v>
                </c:pt>
                <c:pt idx="1070">
                  <c:v>3.8537939339985874</c:v>
                </c:pt>
                <c:pt idx="1071">
                  <c:v>3.8529785983913043</c:v>
                </c:pt>
                <c:pt idx="1072">
                  <c:v>3.8521633562858484</c:v>
                </c:pt>
                <c:pt idx="1073">
                  <c:v>3.8513482116171502</c:v>
                </c:pt>
                <c:pt idx="1074">
                  <c:v>3.8505331681221548</c:v>
                </c:pt>
                <c:pt idx="1075">
                  <c:v>3.8497182293497079</c:v>
                </c:pt>
                <c:pt idx="1076">
                  <c:v>3.8489033986699166</c:v>
                </c:pt>
                <c:pt idx="1077">
                  <c:v>3.8480886792830717</c:v>
                </c:pt>
                <c:pt idx="1078">
                  <c:v>3.8472740742281073</c:v>
                </c:pt>
                <c:pt idx="1079">
                  <c:v>3.846459586390643</c:v>
                </c:pt>
                <c:pt idx="1080">
                  <c:v>3.8456452185106369</c:v>
                </c:pt>
                <c:pt idx="1081">
                  <c:v>3.8448309731896364</c:v>
                </c:pt>
                <c:pt idx="1082">
                  <c:v>3.844016852897683</c:v>
                </c:pt>
                <c:pt idx="1083">
                  <c:v>3.8432028599798684</c:v>
                </c:pt>
                <c:pt idx="1084">
                  <c:v>3.8423889966625651</c:v>
                </c:pt>
                <c:pt idx="1085">
                  <c:v>3.8415752650593391</c:v>
                </c:pt>
                <c:pt idx="1086">
                  <c:v>3.8407616671765816</c:v>
                </c:pt>
                <c:pt idx="1087">
                  <c:v>3.8399482049188456</c:v>
                </c:pt>
                <c:pt idx="1088">
                  <c:v>3.839134880093924</c:v>
                </c:pt>
                <c:pt idx="1089">
                  <c:v>3.8383216944176786</c:v>
                </c:pt>
                <c:pt idx="1090">
                  <c:v>3.8375086495186181</c:v>
                </c:pt>
                <c:pt idx="1091">
                  <c:v>3.8366957469422536</c:v>
                </c:pt>
                <c:pt idx="1092">
                  <c:v>3.8358829881552361</c:v>
                </c:pt>
                <c:pt idx="1093">
                  <c:v>3.835070374549292</c:v>
                </c:pt>
                <c:pt idx="1094">
                  <c:v>3.8342579074449543</c:v>
                </c:pt>
                <c:pt idx="1095">
                  <c:v>3.8334455880951128</c:v>
                </c:pt>
                <c:pt idx="1096">
                  <c:v>3.8326334176883869</c:v>
                </c:pt>
                <c:pt idx="1097">
                  <c:v>3.8318213973523334</c:v>
                </c:pt>
                <c:pt idx="1098">
                  <c:v>3.8310095281564829</c:v>
                </c:pt>
                <c:pt idx="1099">
                  <c:v>3.830197811115239</c:v>
                </c:pt>
                <c:pt idx="1100">
                  <c:v>3.8293862471906257</c:v>
                </c:pt>
                <c:pt idx="1101">
                  <c:v>3.8285748372948993</c:v>
                </c:pt>
                <c:pt idx="1102">
                  <c:v>3.8277635822930267</c:v>
                </c:pt>
                <c:pt idx="1103">
                  <c:v>3.8269524830050439</c:v>
                </c:pt>
                <c:pt idx="1104">
                  <c:v>3.8261415402083023</c:v>
                </c:pt>
                <c:pt idx="1105">
                  <c:v>3.8253307546395874</c:v>
                </c:pt>
                <c:pt idx="1106">
                  <c:v>3.8245201269971498</c:v>
                </c:pt>
                <c:pt idx="1107">
                  <c:v>3.8237096579426186</c:v>
                </c:pt>
                <c:pt idx="1108">
                  <c:v>3.8228993481028368</c:v>
                </c:pt>
                <c:pt idx="1109">
                  <c:v>3.822089198071585</c:v>
                </c:pt>
                <c:pt idx="1110">
                  <c:v>3.8212792084112417</c:v>
                </c:pt>
                <c:pt idx="1111">
                  <c:v>3.8204693796543343</c:v>
                </c:pt>
                <c:pt idx="1112">
                  <c:v>3.8196597123050458</c:v>
                </c:pt>
                <c:pt idx="1113">
                  <c:v>3.818850206840612</c:v>
                </c:pt>
                <c:pt idx="1114">
                  <c:v>3.8180408637126755</c:v>
                </c:pt>
                <c:pt idx="1115">
                  <c:v>3.8172316833485542</c:v>
                </c:pt>
                <c:pt idx="1116">
                  <c:v>3.8164226661524614</c:v>
                </c:pt>
                <c:pt idx="1117">
                  <c:v>3.8156138125066543</c:v>
                </c:pt>
                <c:pt idx="1118">
                  <c:v>3.8148051227725261</c:v>
                </c:pt>
                <c:pt idx="1119">
                  <c:v>3.8139965972916543</c:v>
                </c:pt>
                <c:pt idx="1120">
                  <c:v>3.8131882363867819</c:v>
                </c:pt>
                <c:pt idx="1121">
                  <c:v>3.8123800403627595</c:v>
                </c:pt>
                <c:pt idx="1122">
                  <c:v>3.8115720095074379</c:v>
                </c:pt>
                <c:pt idx="1123">
                  <c:v>3.8107641440925115</c:v>
                </c:pt>
                <c:pt idx="1124">
                  <c:v>3.8099564443743339</c:v>
                </c:pt>
                <c:pt idx="1125">
                  <c:v>3.8091489105946703</c:v>
                </c:pt>
                <c:pt idx="1126">
                  <c:v>3.8083415429814376</c:v>
                </c:pt>
                <c:pt idx="1127">
                  <c:v>3.8075343417493861</c:v>
                </c:pt>
                <c:pt idx="1128">
                  <c:v>3.8067273071007577</c:v>
                </c:pt>
                <c:pt idx="1129">
                  <c:v>3.8059204392259165</c:v>
                </c:pt>
                <c:pt idx="1130">
                  <c:v>3.8051137383039322</c:v>
                </c:pt>
                <c:pt idx="1131">
                  <c:v>3.8043072045031496</c:v>
                </c:pt>
                <c:pt idx="1132">
                  <c:v>3.8035008379817183</c:v>
                </c:pt>
                <c:pt idx="1133">
                  <c:v>3.8026946388881098</c:v>
                </c:pt>
                <c:pt idx="1134">
                  <c:v>3.8018886073615907</c:v>
                </c:pt>
                <c:pt idx="1135">
                  <c:v>3.8010827435326893</c:v>
                </c:pt>
                <c:pt idx="1136">
                  <c:v>3.800277047523628</c:v>
                </c:pt>
                <c:pt idx="1137">
                  <c:v>3.7994715194487356</c:v>
                </c:pt>
                <c:pt idx="1138">
                  <c:v>3.7986661594148488</c:v>
                </c:pt>
                <c:pt idx="1139">
                  <c:v>3.7978609675216775</c:v>
                </c:pt>
                <c:pt idx="1140">
                  <c:v>3.7970559438621656</c:v>
                </c:pt>
                <c:pt idx="1141">
                  <c:v>3.796251088522828</c:v>
                </c:pt>
                <c:pt idx="1142">
                  <c:v>3.7954464015840692</c:v>
                </c:pt>
                <c:pt idx="1143">
                  <c:v>3.7946418831204896</c:v>
                </c:pt>
                <c:pt idx="1144">
                  <c:v>3.7938375332011773</c:v>
                </c:pt>
                <c:pt idx="1145">
                  <c:v>3.793033351889981</c:v>
                </c:pt>
                <c:pt idx="1146">
                  <c:v>3.7922293392457713</c:v>
                </c:pt>
                <c:pt idx="1147">
                  <c:v>3.7914254953226898</c:v>
                </c:pt>
                <c:pt idx="1148">
                  <c:v>3.7906218201703843</c:v>
                </c:pt>
                <c:pt idx="1149">
                  <c:v>3.7898183138342367</c:v>
                </c:pt>
                <c:pt idx="1150">
                  <c:v>3.7890149763555714</c:v>
                </c:pt>
                <c:pt idx="1151">
                  <c:v>3.7882118077718627</c:v>
                </c:pt>
                <c:pt idx="1152">
                  <c:v>3.7874088081169215</c:v>
                </c:pt>
                <c:pt idx="1153">
                  <c:v>3.7866059774210825</c:v>
                </c:pt>
                <c:pt idx="1154">
                  <c:v>3.7858033157113775</c:v>
                </c:pt>
                <c:pt idx="1155">
                  <c:v>3.7850008230116994</c:v>
                </c:pt>
                <c:pt idx="1156">
                  <c:v>3.7841984993429585</c:v>
                </c:pt>
                <c:pt idx="1157">
                  <c:v>3.7833963447232315</c:v>
                </c:pt>
                <c:pt idx="1158">
                  <c:v>3.7825943591679052</c:v>
                </c:pt>
                <c:pt idx="1159">
                  <c:v>3.7817925426898107</c:v>
                </c:pt>
                <c:pt idx="1160">
                  <c:v>3.7809908952993498</c:v>
                </c:pt>
                <c:pt idx="1161">
                  <c:v>3.7801894170046144</c:v>
                </c:pt>
                <c:pt idx="1162">
                  <c:v>3.7793881078115068</c:v>
                </c:pt>
                <c:pt idx="1163">
                  <c:v>3.7785869677238475</c:v>
                </c:pt>
                <c:pt idx="1164">
                  <c:v>3.7777859967434764</c:v>
                </c:pt>
                <c:pt idx="1165">
                  <c:v>3.7769851948703566</c:v>
                </c:pt>
                <c:pt idx="1166">
                  <c:v>3.7761845621026642</c:v>
                </c:pt>
                <c:pt idx="1167">
                  <c:v>3.7753840984368825</c:v>
                </c:pt>
                <c:pt idx="1168">
                  <c:v>3.7745838038678805</c:v>
                </c:pt>
                <c:pt idx="1169">
                  <c:v>3.7737836783889995</c:v>
                </c:pt>
                <c:pt idx="1170">
                  <c:v>3.7729837219921261</c:v>
                </c:pt>
                <c:pt idx="1171">
                  <c:v>3.7721839346677646</c:v>
                </c:pt>
                <c:pt idx="1172">
                  <c:v>3.7713843164051131</c:v>
                </c:pt>
                <c:pt idx="1173">
                  <c:v>3.7705848671921194</c:v>
                </c:pt>
                <c:pt idx="1174">
                  <c:v>3.7697855870155492</c:v>
                </c:pt>
                <c:pt idx="1175">
                  <c:v>3.7689864758610438</c:v>
                </c:pt>
                <c:pt idx="1176">
                  <c:v>3.7681875337131774</c:v>
                </c:pt>
                <c:pt idx="1177">
                  <c:v>3.7673887605555132</c:v>
                </c:pt>
                <c:pt idx="1178">
                  <c:v>3.7665901563706474</c:v>
                </c:pt>
                <c:pt idx="1179">
                  <c:v>3.7657917211402632</c:v>
                </c:pt>
                <c:pt idx="1180">
                  <c:v>3.7649934548451767</c:v>
                </c:pt>
                <c:pt idx="1181">
                  <c:v>3.7641953574653741</c:v>
                </c:pt>
                <c:pt idx="1182">
                  <c:v>3.7633974289800656</c:v>
                </c:pt>
                <c:pt idx="1183">
                  <c:v>3.7625996693677122</c:v>
                </c:pt>
                <c:pt idx="1184">
                  <c:v>3.7618020786060677</c:v>
                </c:pt>
                <c:pt idx="1185">
                  <c:v>3.7610046566722191</c:v>
                </c:pt>
                <c:pt idx="1186">
                  <c:v>3.7602074035426138</c:v>
                </c:pt>
                <c:pt idx="1187">
                  <c:v>3.7594103191930954</c:v>
                </c:pt>
                <c:pt idx="1188">
                  <c:v>3.7586134035989298</c:v>
                </c:pt>
                <c:pt idx="1189">
                  <c:v>3.757816656734843</c:v>
                </c:pt>
                <c:pt idx="1190">
                  <c:v>3.7570200785750374</c:v>
                </c:pt>
                <c:pt idx="1191">
                  <c:v>3.7562236690932269</c:v>
                </c:pt>
                <c:pt idx="1192">
                  <c:v>3.7554274282626601</c:v>
                </c:pt>
                <c:pt idx="1193">
                  <c:v>3.7546313560561391</c:v>
                </c:pt>
                <c:pt idx="1194">
                  <c:v>3.7538354524460456</c:v>
                </c:pt>
                <c:pt idx="1195">
                  <c:v>3.7530397228770354</c:v>
                </c:pt>
                <c:pt idx="1196">
                  <c:v>3.7523122718785991</c:v>
                </c:pt>
                <c:pt idx="1197">
                  <c:v>3.7515602229435001</c:v>
                </c:pt>
                <c:pt idx="1198">
                  <c:v>3.7507649953409965</c:v>
                </c:pt>
                <c:pt idx="1199">
                  <c:v>3.7501024320979641</c:v>
                </c:pt>
                <c:pt idx="1200">
                  <c:v>3.749307542107756</c:v>
                </c:pt>
                <c:pt idx="1201">
                  <c:v>3.7485128178001901</c:v>
                </c:pt>
                <c:pt idx="1202">
                  <c:v>3.7477182592806249</c:v>
                </c:pt>
                <c:pt idx="1203">
                  <c:v>3.7469238666473967</c:v>
                </c:pt>
                <c:pt idx="1204">
                  <c:v>3.7461296399921675</c:v>
                </c:pt>
                <c:pt idx="1205">
                  <c:v>3.7453355794002561</c:v>
                </c:pt>
                <c:pt idx="1206">
                  <c:v>3.7451630617239391</c:v>
                </c:pt>
                <c:pt idx="1207">
                  <c:v>3.744679957120705</c:v>
                </c:pt>
                <c:pt idx="1208">
                  <c:v>3.7439786654462424</c:v>
                </c:pt>
                <c:pt idx="1209">
                  <c:v>3.7444850181903133</c:v>
                </c:pt>
                <c:pt idx="1210">
                  <c:v>3.7436918163537829</c:v>
                </c:pt>
                <c:pt idx="1211">
                  <c:v>3.7428987550479165</c:v>
                </c:pt>
                <c:pt idx="1212">
                  <c:v>3.7452184944954618</c:v>
                </c:pt>
                <c:pt idx="1213">
                  <c:v>3.7480797997021056</c:v>
                </c:pt>
                <c:pt idx="1214">
                  <c:v>3.7487971683159924</c:v>
                </c:pt>
                <c:pt idx="1215">
                  <c:v>3.7483617162269485</c:v>
                </c:pt>
                <c:pt idx="1216">
                  <c:v>3.7476551796896165</c:v>
                </c:pt>
                <c:pt idx="1217">
                  <c:v>3.7470314703558434</c:v>
                </c:pt>
                <c:pt idx="1218">
                  <c:v>3.7478553425010364</c:v>
                </c:pt>
                <c:pt idx="1219">
                  <c:v>3.8752047028704166</c:v>
                </c:pt>
                <c:pt idx="1220">
                  <c:v>4.2752938292971114</c:v>
                </c:pt>
                <c:pt idx="1221">
                  <c:v>4.131018441283028</c:v>
                </c:pt>
                <c:pt idx="1222">
                  <c:v>3.999385716198832</c:v>
                </c:pt>
                <c:pt idx="1223">
                  <c:v>3.879283498335814</c:v>
                </c:pt>
                <c:pt idx="1224">
                  <c:v>3.7696974675349879</c:v>
                </c:pt>
                <c:pt idx="1225">
                  <c:v>3.9381210472398887</c:v>
                </c:pt>
                <c:pt idx="1226">
                  <c:v>3.9627629242177695</c:v>
                </c:pt>
                <c:pt idx="1227">
                  <c:v>3.9389268164963931</c:v>
                </c:pt>
                <c:pt idx="1228">
                  <c:v>3.8703198646406083</c:v>
                </c:pt>
                <c:pt idx="1229">
                  <c:v>3.8821265344634508</c:v>
                </c:pt>
                <c:pt idx="1230">
                  <c:v>4.2408858789424499</c:v>
                </c:pt>
                <c:pt idx="1231">
                  <c:v>4.6520772035125901</c:v>
                </c:pt>
                <c:pt idx="1232">
                  <c:v>4.4745800092174273</c:v>
                </c:pt>
                <c:pt idx="1233">
                  <c:v>4.5293629526065082</c:v>
                </c:pt>
                <c:pt idx="1234">
                  <c:v>4.3626220979190276</c:v>
                </c:pt>
                <c:pt idx="1235">
                  <c:v>7.2143474586629504</c:v>
                </c:pt>
                <c:pt idx="1236">
                  <c:v>7.7157685788949806</c:v>
                </c:pt>
                <c:pt idx="1237">
                  <c:v>7.2938439052923236</c:v>
                </c:pt>
                <c:pt idx="1238">
                  <c:v>6.8847961370780295</c:v>
                </c:pt>
                <c:pt idx="1239">
                  <c:v>6.5116827083521454</c:v>
                </c:pt>
                <c:pt idx="1240">
                  <c:v>6.1713425111096738</c:v>
                </c:pt>
                <c:pt idx="1241">
                  <c:v>5.8608925177812115</c:v>
                </c:pt>
                <c:pt idx="1242">
                  <c:v>5.5777033186934997</c:v>
                </c:pt>
                <c:pt idx="1243">
                  <c:v>5.3193768114822779</c:v>
                </c:pt>
                <c:pt idx="1244">
                  <c:v>5.1214268671019347</c:v>
                </c:pt>
                <c:pt idx="1245">
                  <c:v>4.903150534249396</c:v>
                </c:pt>
                <c:pt idx="1246">
                  <c:v>4.9974145197847974</c:v>
                </c:pt>
                <c:pt idx="1247">
                  <c:v>4.7900295516643849</c:v>
                </c:pt>
                <c:pt idx="1248">
                  <c:v>4.600838863704042</c:v>
                </c:pt>
                <c:pt idx="1249">
                  <c:v>4.428241928368303</c:v>
                </c:pt>
                <c:pt idx="1250">
                  <c:v>4.2707790153959762</c:v>
                </c:pt>
                <c:pt idx="1251">
                  <c:v>4.1271188059634056</c:v>
                </c:pt>
                <c:pt idx="1252">
                  <c:v>3.996047096421032</c:v>
                </c:pt>
                <c:pt idx="1253">
                  <c:v>3.8764564957542786</c:v>
                </c:pt>
                <c:pt idx="1254">
                  <c:v>3.7673370293515114</c:v>
                </c:pt>
                <c:pt idx="1255">
                  <c:v>3.749287666091019</c:v>
                </c:pt>
                <c:pt idx="1256">
                  <c:v>4.0112082913365885</c:v>
                </c:pt>
                <c:pt idx="1257">
                  <c:v>3.903709010502697</c:v>
                </c:pt>
                <c:pt idx="1258">
                  <c:v>3.8441395042674023</c:v>
                </c:pt>
                <c:pt idx="1259">
                  <c:v>4.4397470004332966</c:v>
                </c:pt>
                <c:pt idx="1260">
                  <c:v>4.281110330578211</c:v>
                </c:pt>
                <c:pt idx="1261">
                  <c:v>4.1363796530960588</c:v>
                </c:pt>
                <c:pt idx="1262">
                  <c:v>4.004331678084343</c:v>
                </c:pt>
                <c:pt idx="1263">
                  <c:v>3.8838507275867924</c:v>
                </c:pt>
                <c:pt idx="1264">
                  <c:v>4.0718728753032742</c:v>
                </c:pt>
                <c:pt idx="1265">
                  <c:v>4.0285150347320746</c:v>
                </c:pt>
                <c:pt idx="1266">
                  <c:v>3.9058639110869429</c:v>
                </c:pt>
                <c:pt idx="1267">
                  <c:v>4.1339850062025274</c:v>
                </c:pt>
                <c:pt idx="1268">
                  <c:v>4.0020508739416414</c:v>
                </c:pt>
                <c:pt idx="1269">
                  <c:v>3.881673772050902</c:v>
                </c:pt>
                <c:pt idx="1270">
                  <c:v>3.771837047146831</c:v>
                </c:pt>
                <c:pt idx="1271">
                  <c:v>4.0949182996887439</c:v>
                </c:pt>
                <c:pt idx="1272">
                  <c:v>5.6038832053055279</c:v>
                </c:pt>
                <c:pt idx="1273">
                  <c:v>6.3367085146493887</c:v>
                </c:pt>
                <c:pt idx="1274">
                  <c:v>6.0115461817870042</c:v>
                </c:pt>
                <c:pt idx="1275">
                  <c:v>5.71493891230058</c:v>
                </c:pt>
                <c:pt idx="1276">
                  <c:v>6.4855761292385337</c:v>
                </c:pt>
                <c:pt idx="1277">
                  <c:v>6.4532151724073712</c:v>
                </c:pt>
                <c:pt idx="1278">
                  <c:v>7.6096826297954721</c:v>
                </c:pt>
                <c:pt idx="1279">
                  <c:v>7.2607374708984844</c:v>
                </c:pt>
                <c:pt idx="1280">
                  <c:v>8.4551363530790749</c:v>
                </c:pt>
                <c:pt idx="1281">
                  <c:v>7.9445151717014983</c:v>
                </c:pt>
                <c:pt idx="1282">
                  <c:v>7.4787635472676026</c:v>
                </c:pt>
                <c:pt idx="1283">
                  <c:v>7.0539343470320537</c:v>
                </c:pt>
                <c:pt idx="1284">
                  <c:v>6.6664276647261662</c:v>
                </c:pt>
                <c:pt idx="1285">
                  <c:v>6.3129602752900773</c:v>
                </c:pt>
                <c:pt idx="1286">
                  <c:v>6.4402669074027372</c:v>
                </c:pt>
                <c:pt idx="1287">
                  <c:v>7.7693267424299366</c:v>
                </c:pt>
                <c:pt idx="1288">
                  <c:v>7.3192698298006249</c:v>
                </c:pt>
                <c:pt idx="1289">
                  <c:v>7.0070212642818834</c:v>
                </c:pt>
                <c:pt idx="1290">
                  <c:v>7.0502031183805576</c:v>
                </c:pt>
                <c:pt idx="1291">
                  <c:v>6.6634025882543684</c:v>
                </c:pt>
                <c:pt idx="1292">
                  <c:v>6.3105791511784695</c:v>
                </c:pt>
                <c:pt idx="1293">
                  <c:v>5.9887438767707835</c:v>
                </c:pt>
                <c:pt idx="1294">
                  <c:v>6.6342159241879415</c:v>
                </c:pt>
                <c:pt idx="1295">
                  <c:v>6.9539656703412067</c:v>
                </c:pt>
                <c:pt idx="1296">
                  <c:v>7.6688547109755527</c:v>
                </c:pt>
                <c:pt idx="1297">
                  <c:v>7.9622802811344622</c:v>
                </c:pt>
                <c:pt idx="1298">
                  <c:v>8.5500716138621353</c:v>
                </c:pt>
                <c:pt idx="1299">
                  <c:v>10.571079164838817</c:v>
                </c:pt>
                <c:pt idx="1300">
                  <c:v>10.683461725967133</c:v>
                </c:pt>
                <c:pt idx="1301">
                  <c:v>14.165065472019366</c:v>
                </c:pt>
                <c:pt idx="1302">
                  <c:v>15.893168722756123</c:v>
                </c:pt>
                <c:pt idx="1303">
                  <c:v>16.3704516998604</c:v>
                </c:pt>
                <c:pt idx="1304">
                  <c:v>15.61257474636262</c:v>
                </c:pt>
                <c:pt idx="1305">
                  <c:v>16.411938043315963</c:v>
                </c:pt>
                <c:pt idx="1306">
                  <c:v>16.033024307453342</c:v>
                </c:pt>
                <c:pt idx="1307">
                  <c:v>14.860597341522242</c:v>
                </c:pt>
                <c:pt idx="1308">
                  <c:v>13.963513192467088</c:v>
                </c:pt>
                <c:pt idx="1309">
                  <c:v>12.995777526214439</c:v>
                </c:pt>
                <c:pt idx="1310">
                  <c:v>12.990828065344505</c:v>
                </c:pt>
                <c:pt idx="1311">
                  <c:v>12.637146260305892</c:v>
                </c:pt>
                <c:pt idx="1312">
                  <c:v>13.264490934876585</c:v>
                </c:pt>
                <c:pt idx="1313">
                  <c:v>13.171261525517739</c:v>
                </c:pt>
                <c:pt idx="1314">
                  <c:v>13.475744037694426</c:v>
                </c:pt>
                <c:pt idx="1315">
                  <c:v>12.991603109292736</c:v>
                </c:pt>
                <c:pt idx="1316">
                  <c:v>13.740923363699659</c:v>
                </c:pt>
                <c:pt idx="1317">
                  <c:v>12.862463079139488</c:v>
                </c:pt>
                <c:pt idx="1318">
                  <c:v>13.590767397122079</c:v>
                </c:pt>
                <c:pt idx="1319">
                  <c:v>13.478309544115929</c:v>
                </c:pt>
                <c:pt idx="1320">
                  <c:v>13.396009312166342</c:v>
                </c:pt>
                <c:pt idx="1321">
                  <c:v>12.981088790120317</c:v>
                </c:pt>
                <c:pt idx="1322">
                  <c:v>12.599655114061548</c:v>
                </c:pt>
                <c:pt idx="1323">
                  <c:v>13.13754083524387</c:v>
                </c:pt>
                <c:pt idx="1324">
                  <c:v>12.568906586222599</c:v>
                </c:pt>
                <c:pt idx="1325">
                  <c:v>12.031672968986062</c:v>
                </c:pt>
                <c:pt idx="1326">
                  <c:v>11.233179314989151</c:v>
                </c:pt>
                <c:pt idx="1327">
                  <c:v>10.963706860996229</c:v>
                </c:pt>
                <c:pt idx="1328">
                  <c:v>10.699502306182303</c:v>
                </c:pt>
                <c:pt idx="1329">
                  <c:v>10.444089967635962</c:v>
                </c:pt>
                <c:pt idx="1330">
                  <c:v>11.600625286286792</c:v>
                </c:pt>
                <c:pt idx="1331">
                  <c:v>12.440211078408769</c:v>
                </c:pt>
                <c:pt idx="1332">
                  <c:v>15.000770703192659</c:v>
                </c:pt>
                <c:pt idx="1333">
                  <c:v>15.222283736276562</c:v>
                </c:pt>
                <c:pt idx="1334">
                  <c:v>16.805148619871844</c:v>
                </c:pt>
                <c:pt idx="1335">
                  <c:v>16.184528722724451</c:v>
                </c:pt>
                <c:pt idx="1336">
                  <c:v>15.004633893853381</c:v>
                </c:pt>
                <c:pt idx="1337">
                  <c:v>14.875111912706378</c:v>
                </c:pt>
                <c:pt idx="1338">
                  <c:v>14.383204052076598</c:v>
                </c:pt>
                <c:pt idx="1339">
                  <c:v>13.489259453837489</c:v>
                </c:pt>
                <c:pt idx="1340">
                  <c:v>13.92456140440941</c:v>
                </c:pt>
                <c:pt idx="1341">
                  <c:v>13.048473599479529</c:v>
                </c:pt>
                <c:pt idx="1342">
                  <c:v>12.145003845562881</c:v>
                </c:pt>
                <c:pt idx="1343">
                  <c:v>11.320959880684324</c:v>
                </c:pt>
                <c:pt idx="1344">
                  <c:v>10.569354685280288</c:v>
                </c:pt>
                <c:pt idx="1345">
                  <c:v>9.8838158829593947</c:v>
                </c:pt>
                <c:pt idx="1346">
                  <c:v>9.2585316707768577</c:v>
                </c:pt>
                <c:pt idx="1347">
                  <c:v>8.731042824817898</c:v>
                </c:pt>
                <c:pt idx="1348">
                  <c:v>8.3715353425880785</c:v>
                </c:pt>
                <c:pt idx="1349">
                  <c:v>8.1161358521078935</c:v>
                </c:pt>
                <c:pt idx="1350">
                  <c:v>7.6462681587824877</c:v>
                </c:pt>
                <c:pt idx="1351">
                  <c:v>7.4526469802132187</c:v>
                </c:pt>
                <c:pt idx="1352">
                  <c:v>7.345362274900574</c:v>
                </c:pt>
                <c:pt idx="1353">
                  <c:v>7.2286564110274627</c:v>
                </c:pt>
                <c:pt idx="1354">
                  <c:v>6.9108011866981283</c:v>
                </c:pt>
                <c:pt idx="1355">
                  <c:v>6.6855985685735533</c:v>
                </c:pt>
                <c:pt idx="1356">
                  <c:v>6.9138196646459313</c:v>
                </c:pt>
                <c:pt idx="1357">
                  <c:v>6.5497985075665985</c:v>
                </c:pt>
                <c:pt idx="1358">
                  <c:v>7.4120946916776695</c:v>
                </c:pt>
                <c:pt idx="1359">
                  <c:v>8.0341395731981677</c:v>
                </c:pt>
                <c:pt idx="1360">
                  <c:v>7.8621283227691476</c:v>
                </c:pt>
                <c:pt idx="1361">
                  <c:v>7.8310689605385884</c:v>
                </c:pt>
                <c:pt idx="1362">
                  <c:v>9.2381207180823193</c:v>
                </c:pt>
                <c:pt idx="1363">
                  <c:v>9.603353662896712</c:v>
                </c:pt>
                <c:pt idx="1364">
                  <c:v>9.7641276208215029</c:v>
                </c:pt>
                <c:pt idx="1365">
                  <c:v>9.1507292660101136</c:v>
                </c:pt>
                <c:pt idx="1366">
                  <c:v>8.5912390804640602</c:v>
                </c:pt>
                <c:pt idx="1367">
                  <c:v>8.0809148116540719</c:v>
                </c:pt>
                <c:pt idx="1368">
                  <c:v>7.6154313796530468</c:v>
                </c:pt>
                <c:pt idx="1369">
                  <c:v>7.1908441787569597</c:v>
                </c:pt>
                <c:pt idx="1370">
                  <c:v>7.8076643948271141</c:v>
                </c:pt>
                <c:pt idx="1371">
                  <c:v>7.5577902590155919</c:v>
                </c:pt>
                <c:pt idx="1372">
                  <c:v>7.1384458688162677</c:v>
                </c:pt>
                <c:pt idx="1373">
                  <c:v>7.0968954283050358</c:v>
                </c:pt>
                <c:pt idx="1374">
                  <c:v>6.7834559671838859</c:v>
                </c:pt>
                <c:pt idx="1375">
                  <c:v>6.4321846473231821</c:v>
                </c:pt>
                <c:pt idx="1376">
                  <c:v>6.1117623837355888</c:v>
                </c:pt>
                <c:pt idx="1377">
                  <c:v>5.8194754177663777</c:v>
                </c:pt>
                <c:pt idx="1378">
                  <c:v>6.0476897471711135</c:v>
                </c:pt>
                <c:pt idx="1379">
                  <c:v>5.7610710382133083</c:v>
                </c:pt>
                <c:pt idx="1380">
                  <c:v>6.4110281559120388</c:v>
                </c:pt>
                <c:pt idx="1381">
                  <c:v>8.0804621357548996</c:v>
                </c:pt>
                <c:pt idx="1382">
                  <c:v>8.6584399270102832</c:v>
                </c:pt>
                <c:pt idx="1383">
                  <c:v>10.566230352071232</c:v>
                </c:pt>
                <c:pt idx="1384">
                  <c:v>10.836621052748312</c:v>
                </c:pt>
                <c:pt idx="1385">
                  <c:v>11.693027854614378</c:v>
                </c:pt>
                <c:pt idx="1386">
                  <c:v>11.774994772826615</c:v>
                </c:pt>
                <c:pt idx="1387">
                  <c:v>12.770034006721401</c:v>
                </c:pt>
                <c:pt idx="1388">
                  <c:v>12.937362170184928</c:v>
                </c:pt>
                <c:pt idx="1389">
                  <c:v>12.047591851867123</c:v>
                </c:pt>
                <c:pt idx="1390">
                  <c:v>11.23604136088661</c:v>
                </c:pt>
                <c:pt idx="1391">
                  <c:v>10.495829765454962</c:v>
                </c:pt>
                <c:pt idx="1392">
                  <c:v>9.8206814444892938</c:v>
                </c:pt>
                <c:pt idx="1393">
                  <c:v>9.2048728388571472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9-46E6-B6CC-C5EAC6D4A421}"/>
            </c:ext>
          </c:extLst>
        </c:ser>
        <c:ser>
          <c:idx val="1"/>
          <c:order val="1"/>
          <c:tx>
            <c:strRef>
              <c:f>'HBV Modelo'!$O$29</c:f>
              <c:strCache>
                <c:ptCount val="1"/>
                <c:pt idx="0">
                  <c:v>Q (m3/s) Observado</c:v>
                </c:pt>
              </c:strCache>
            </c:strRef>
          </c:tx>
          <c:marker>
            <c:symbol val="none"/>
          </c:marker>
          <c:val>
            <c:numRef>
              <c:f>'HBV Modelo'!$O$30:$O$2223</c:f>
              <c:numCache>
                <c:formatCode>General</c:formatCode>
                <c:ptCount val="2194"/>
                <c:pt idx="2">
                  <c:v>17.29</c:v>
                </c:pt>
                <c:pt idx="3">
                  <c:v>15.76</c:v>
                </c:pt>
                <c:pt idx="4">
                  <c:v>14.18</c:v>
                </c:pt>
                <c:pt idx="5">
                  <c:v>14.02</c:v>
                </c:pt>
                <c:pt idx="6">
                  <c:v>13.49</c:v>
                </c:pt>
                <c:pt idx="7">
                  <c:v>13.4</c:v>
                </c:pt>
                <c:pt idx="8">
                  <c:v>13.47</c:v>
                </c:pt>
                <c:pt idx="9">
                  <c:v>15.3</c:v>
                </c:pt>
                <c:pt idx="10">
                  <c:v>17.84</c:v>
                </c:pt>
                <c:pt idx="11">
                  <c:v>20.12</c:v>
                </c:pt>
                <c:pt idx="12">
                  <c:v>18.25</c:v>
                </c:pt>
                <c:pt idx="13">
                  <c:v>16.22</c:v>
                </c:pt>
                <c:pt idx="14">
                  <c:v>14.29</c:v>
                </c:pt>
                <c:pt idx="15">
                  <c:v>17.489999999999998</c:v>
                </c:pt>
                <c:pt idx="16">
                  <c:v>18.559999999999999</c:v>
                </c:pt>
                <c:pt idx="17">
                  <c:v>18.62</c:v>
                </c:pt>
                <c:pt idx="18">
                  <c:v>17.09</c:v>
                </c:pt>
                <c:pt idx="19">
                  <c:v>18.12</c:v>
                </c:pt>
                <c:pt idx="20">
                  <c:v>24.29</c:v>
                </c:pt>
                <c:pt idx="21">
                  <c:v>21.67</c:v>
                </c:pt>
                <c:pt idx="22">
                  <c:v>20.07</c:v>
                </c:pt>
                <c:pt idx="23">
                  <c:v>19.25</c:v>
                </c:pt>
                <c:pt idx="24">
                  <c:v>20.07</c:v>
                </c:pt>
                <c:pt idx="25">
                  <c:v>20.53</c:v>
                </c:pt>
                <c:pt idx="26">
                  <c:v>18.39</c:v>
                </c:pt>
                <c:pt idx="27">
                  <c:v>15.96</c:v>
                </c:pt>
                <c:pt idx="28">
                  <c:v>20.260000000000002</c:v>
                </c:pt>
                <c:pt idx="29">
                  <c:v>20.36</c:v>
                </c:pt>
                <c:pt idx="30">
                  <c:v>18.690000000000001</c:v>
                </c:pt>
                <c:pt idx="31">
                  <c:v>18.079999999999998</c:v>
                </c:pt>
                <c:pt idx="32">
                  <c:v>18.64</c:v>
                </c:pt>
                <c:pt idx="33">
                  <c:v>18.25</c:v>
                </c:pt>
                <c:pt idx="34">
                  <c:v>17.32</c:v>
                </c:pt>
                <c:pt idx="35">
                  <c:v>18.37</c:v>
                </c:pt>
                <c:pt idx="36">
                  <c:v>22.26</c:v>
                </c:pt>
                <c:pt idx="37">
                  <c:v>19.760000000000002</c:v>
                </c:pt>
                <c:pt idx="38">
                  <c:v>18.579999999999998</c:v>
                </c:pt>
                <c:pt idx="39">
                  <c:v>16.12</c:v>
                </c:pt>
                <c:pt idx="40">
                  <c:v>14.42</c:v>
                </c:pt>
                <c:pt idx="41">
                  <c:v>15.01</c:v>
                </c:pt>
                <c:pt idx="42">
                  <c:v>15.39</c:v>
                </c:pt>
                <c:pt idx="43">
                  <c:v>13.2</c:v>
                </c:pt>
                <c:pt idx="44">
                  <c:v>11.38</c:v>
                </c:pt>
                <c:pt idx="45">
                  <c:v>11.17</c:v>
                </c:pt>
                <c:pt idx="46">
                  <c:v>12.4</c:v>
                </c:pt>
                <c:pt idx="47">
                  <c:v>10.87</c:v>
                </c:pt>
                <c:pt idx="48">
                  <c:v>9.15</c:v>
                </c:pt>
                <c:pt idx="49">
                  <c:v>7.66</c:v>
                </c:pt>
                <c:pt idx="50">
                  <c:v>6.53</c:v>
                </c:pt>
                <c:pt idx="51">
                  <c:v>6.05</c:v>
                </c:pt>
                <c:pt idx="52">
                  <c:v>4.8600000000000003</c:v>
                </c:pt>
                <c:pt idx="53">
                  <c:v>4.79</c:v>
                </c:pt>
                <c:pt idx="54">
                  <c:v>4.7300000000000004</c:v>
                </c:pt>
                <c:pt idx="55">
                  <c:v>4.72</c:v>
                </c:pt>
                <c:pt idx="56">
                  <c:v>4.18</c:v>
                </c:pt>
                <c:pt idx="57">
                  <c:v>4.0599999999999996</c:v>
                </c:pt>
                <c:pt idx="58">
                  <c:v>4.01</c:v>
                </c:pt>
                <c:pt idx="59">
                  <c:v>4.29</c:v>
                </c:pt>
                <c:pt idx="60">
                  <c:v>4.72</c:v>
                </c:pt>
                <c:pt idx="61">
                  <c:v>4.92</c:v>
                </c:pt>
                <c:pt idx="62">
                  <c:v>4.96</c:v>
                </c:pt>
                <c:pt idx="63">
                  <c:v>4.6500000000000004</c:v>
                </c:pt>
                <c:pt idx="64">
                  <c:v>5.18</c:v>
                </c:pt>
                <c:pt idx="65">
                  <c:v>7.15</c:v>
                </c:pt>
                <c:pt idx="66">
                  <c:v>6.78</c:v>
                </c:pt>
                <c:pt idx="67">
                  <c:v>6.58</c:v>
                </c:pt>
                <c:pt idx="68">
                  <c:v>5.97</c:v>
                </c:pt>
                <c:pt idx="69">
                  <c:v>5.32</c:v>
                </c:pt>
                <c:pt idx="70">
                  <c:v>5.0999999999999996</c:v>
                </c:pt>
                <c:pt idx="71">
                  <c:v>5.28</c:v>
                </c:pt>
                <c:pt idx="72">
                  <c:v>7.07</c:v>
                </c:pt>
                <c:pt idx="73">
                  <c:v>6.53</c:v>
                </c:pt>
                <c:pt idx="74">
                  <c:v>5.83</c:v>
                </c:pt>
                <c:pt idx="75">
                  <c:v>5.28</c:v>
                </c:pt>
                <c:pt idx="76">
                  <c:v>4.88</c:v>
                </c:pt>
                <c:pt idx="77">
                  <c:v>4.58</c:v>
                </c:pt>
                <c:pt idx="78">
                  <c:v>4.43</c:v>
                </c:pt>
                <c:pt idx="79">
                  <c:v>4.43</c:v>
                </c:pt>
                <c:pt idx="80">
                  <c:v>4.5</c:v>
                </c:pt>
                <c:pt idx="81">
                  <c:v>4.0999999999999996</c:v>
                </c:pt>
                <c:pt idx="82">
                  <c:v>3.82</c:v>
                </c:pt>
                <c:pt idx="83">
                  <c:v>3.9</c:v>
                </c:pt>
                <c:pt idx="84">
                  <c:v>4.32</c:v>
                </c:pt>
                <c:pt idx="85">
                  <c:v>4.05</c:v>
                </c:pt>
                <c:pt idx="86">
                  <c:v>3.85</c:v>
                </c:pt>
                <c:pt idx="87">
                  <c:v>3.79</c:v>
                </c:pt>
                <c:pt idx="88">
                  <c:v>3.85</c:v>
                </c:pt>
                <c:pt idx="89">
                  <c:v>4.0199999999999996</c:v>
                </c:pt>
                <c:pt idx="90">
                  <c:v>3.99</c:v>
                </c:pt>
                <c:pt idx="91">
                  <c:v>3.7</c:v>
                </c:pt>
                <c:pt idx="92">
                  <c:v>3.52</c:v>
                </c:pt>
                <c:pt idx="93">
                  <c:v>3.41</c:v>
                </c:pt>
                <c:pt idx="94">
                  <c:v>3.31</c:v>
                </c:pt>
                <c:pt idx="95">
                  <c:v>3.27</c:v>
                </c:pt>
                <c:pt idx="96">
                  <c:v>3.28</c:v>
                </c:pt>
                <c:pt idx="97">
                  <c:v>3.09</c:v>
                </c:pt>
                <c:pt idx="98">
                  <c:v>2.82</c:v>
                </c:pt>
                <c:pt idx="99">
                  <c:v>2.89</c:v>
                </c:pt>
                <c:pt idx="100">
                  <c:v>2.78</c:v>
                </c:pt>
                <c:pt idx="101">
                  <c:v>2.72</c:v>
                </c:pt>
                <c:pt idx="102">
                  <c:v>2.72</c:v>
                </c:pt>
                <c:pt idx="103">
                  <c:v>1.58</c:v>
                </c:pt>
                <c:pt idx="104">
                  <c:v>1.57</c:v>
                </c:pt>
                <c:pt idx="105">
                  <c:v>1.59</c:v>
                </c:pt>
                <c:pt idx="106">
                  <c:v>1.59</c:v>
                </c:pt>
                <c:pt idx="107">
                  <c:v>1.58</c:v>
                </c:pt>
                <c:pt idx="108">
                  <c:v>1.56</c:v>
                </c:pt>
                <c:pt idx="109">
                  <c:v>1.56</c:v>
                </c:pt>
                <c:pt idx="110">
                  <c:v>1.56</c:v>
                </c:pt>
                <c:pt idx="111">
                  <c:v>1.57</c:v>
                </c:pt>
                <c:pt idx="112">
                  <c:v>1.57</c:v>
                </c:pt>
                <c:pt idx="113">
                  <c:v>1.57</c:v>
                </c:pt>
                <c:pt idx="114">
                  <c:v>1.56</c:v>
                </c:pt>
                <c:pt idx="115">
                  <c:v>1.56</c:v>
                </c:pt>
                <c:pt idx="116">
                  <c:v>1.57</c:v>
                </c:pt>
                <c:pt idx="117">
                  <c:v>1.55</c:v>
                </c:pt>
                <c:pt idx="118">
                  <c:v>1.54</c:v>
                </c:pt>
                <c:pt idx="119">
                  <c:v>1.55</c:v>
                </c:pt>
                <c:pt idx="120">
                  <c:v>1.57</c:v>
                </c:pt>
                <c:pt idx="121">
                  <c:v>1.56</c:v>
                </c:pt>
                <c:pt idx="122">
                  <c:v>1.56</c:v>
                </c:pt>
                <c:pt idx="123">
                  <c:v>1.6</c:v>
                </c:pt>
                <c:pt idx="124">
                  <c:v>1.62</c:v>
                </c:pt>
                <c:pt idx="125">
                  <c:v>1.62</c:v>
                </c:pt>
                <c:pt idx="126">
                  <c:v>1.6</c:v>
                </c:pt>
                <c:pt idx="127">
                  <c:v>1.62</c:v>
                </c:pt>
                <c:pt idx="128">
                  <c:v>1.62</c:v>
                </c:pt>
                <c:pt idx="129">
                  <c:v>1.59</c:v>
                </c:pt>
                <c:pt idx="130">
                  <c:v>1.58</c:v>
                </c:pt>
                <c:pt idx="131">
                  <c:v>1.59</c:v>
                </c:pt>
                <c:pt idx="132">
                  <c:v>1.59</c:v>
                </c:pt>
                <c:pt idx="133">
                  <c:v>1.58</c:v>
                </c:pt>
                <c:pt idx="134">
                  <c:v>1.59</c:v>
                </c:pt>
                <c:pt idx="135">
                  <c:v>1.58</c:v>
                </c:pt>
                <c:pt idx="136">
                  <c:v>1.58</c:v>
                </c:pt>
                <c:pt idx="137">
                  <c:v>1.57</c:v>
                </c:pt>
                <c:pt idx="138">
                  <c:v>1.57</c:v>
                </c:pt>
                <c:pt idx="139">
                  <c:v>1.59</c:v>
                </c:pt>
                <c:pt idx="140">
                  <c:v>1.62</c:v>
                </c:pt>
                <c:pt idx="141">
                  <c:v>1.64</c:v>
                </c:pt>
                <c:pt idx="142">
                  <c:v>1.64</c:v>
                </c:pt>
                <c:pt idx="143">
                  <c:v>1.62</c:v>
                </c:pt>
                <c:pt idx="144">
                  <c:v>1.6</c:v>
                </c:pt>
                <c:pt idx="145">
                  <c:v>1.58</c:v>
                </c:pt>
                <c:pt idx="146">
                  <c:v>1.56</c:v>
                </c:pt>
                <c:pt idx="147">
                  <c:v>1.56</c:v>
                </c:pt>
                <c:pt idx="148">
                  <c:v>1.54</c:v>
                </c:pt>
                <c:pt idx="149">
                  <c:v>1.53</c:v>
                </c:pt>
                <c:pt idx="150">
                  <c:v>1.52</c:v>
                </c:pt>
                <c:pt idx="151">
                  <c:v>1.52</c:v>
                </c:pt>
                <c:pt idx="152">
                  <c:v>1.5</c:v>
                </c:pt>
                <c:pt idx="153">
                  <c:v>1.52</c:v>
                </c:pt>
                <c:pt idx="154">
                  <c:v>1.55</c:v>
                </c:pt>
                <c:pt idx="155">
                  <c:v>1.54</c:v>
                </c:pt>
                <c:pt idx="156">
                  <c:v>1.54</c:v>
                </c:pt>
                <c:pt idx="157">
                  <c:v>1.54</c:v>
                </c:pt>
                <c:pt idx="158">
                  <c:v>1.54</c:v>
                </c:pt>
                <c:pt idx="159">
                  <c:v>1.55</c:v>
                </c:pt>
                <c:pt idx="160">
                  <c:v>1.51</c:v>
                </c:pt>
                <c:pt idx="161">
                  <c:v>1.53</c:v>
                </c:pt>
                <c:pt idx="162">
                  <c:v>1.54</c:v>
                </c:pt>
                <c:pt idx="163">
                  <c:v>1.54</c:v>
                </c:pt>
                <c:pt idx="164">
                  <c:v>1.53</c:v>
                </c:pt>
                <c:pt idx="165">
                  <c:v>1.53</c:v>
                </c:pt>
                <c:pt idx="166">
                  <c:v>1.54</c:v>
                </c:pt>
                <c:pt idx="167">
                  <c:v>1.54</c:v>
                </c:pt>
                <c:pt idx="168">
                  <c:v>1.56</c:v>
                </c:pt>
                <c:pt idx="169">
                  <c:v>1.6</c:v>
                </c:pt>
                <c:pt idx="170">
                  <c:v>1.61</c:v>
                </c:pt>
                <c:pt idx="171">
                  <c:v>1.57</c:v>
                </c:pt>
                <c:pt idx="172">
                  <c:v>1.56</c:v>
                </c:pt>
                <c:pt idx="173">
                  <c:v>1.54</c:v>
                </c:pt>
                <c:pt idx="174">
                  <c:v>1.53</c:v>
                </c:pt>
                <c:pt idx="175">
                  <c:v>1.54</c:v>
                </c:pt>
                <c:pt idx="176">
                  <c:v>1.58</c:v>
                </c:pt>
                <c:pt idx="177">
                  <c:v>1.58</c:v>
                </c:pt>
                <c:pt idx="178">
                  <c:v>1.58</c:v>
                </c:pt>
                <c:pt idx="179">
                  <c:v>1.54</c:v>
                </c:pt>
                <c:pt idx="180">
                  <c:v>1.55</c:v>
                </c:pt>
                <c:pt idx="181">
                  <c:v>1.55</c:v>
                </c:pt>
                <c:pt idx="182">
                  <c:v>1.56</c:v>
                </c:pt>
                <c:pt idx="183">
                  <c:v>1.58</c:v>
                </c:pt>
                <c:pt idx="184">
                  <c:v>1.58</c:v>
                </c:pt>
                <c:pt idx="185">
                  <c:v>1.58</c:v>
                </c:pt>
                <c:pt idx="186">
                  <c:v>1.56</c:v>
                </c:pt>
                <c:pt idx="187">
                  <c:v>1.59</c:v>
                </c:pt>
                <c:pt idx="188">
                  <c:v>1.62</c:v>
                </c:pt>
                <c:pt idx="189">
                  <c:v>1.62</c:v>
                </c:pt>
                <c:pt idx="190">
                  <c:v>1.65</c:v>
                </c:pt>
                <c:pt idx="191">
                  <c:v>1.67</c:v>
                </c:pt>
                <c:pt idx="192">
                  <c:v>1.7</c:v>
                </c:pt>
                <c:pt idx="193">
                  <c:v>1.71</c:v>
                </c:pt>
                <c:pt idx="194">
                  <c:v>1.69</c:v>
                </c:pt>
                <c:pt idx="195">
                  <c:v>1.68</c:v>
                </c:pt>
                <c:pt idx="196">
                  <c:v>1.66</c:v>
                </c:pt>
                <c:pt idx="197">
                  <c:v>1.65</c:v>
                </c:pt>
                <c:pt idx="198">
                  <c:v>1.65</c:v>
                </c:pt>
                <c:pt idx="199">
                  <c:v>1.62</c:v>
                </c:pt>
                <c:pt idx="200">
                  <c:v>1.6</c:v>
                </c:pt>
                <c:pt idx="201">
                  <c:v>1.59</c:v>
                </c:pt>
                <c:pt idx="202">
                  <c:v>1.59</c:v>
                </c:pt>
                <c:pt idx="203">
                  <c:v>1.58</c:v>
                </c:pt>
                <c:pt idx="204">
                  <c:v>1.57</c:v>
                </c:pt>
                <c:pt idx="205">
                  <c:v>1.58</c:v>
                </c:pt>
                <c:pt idx="206">
                  <c:v>1.62</c:v>
                </c:pt>
                <c:pt idx="207">
                  <c:v>1.62</c:v>
                </c:pt>
                <c:pt idx="208">
                  <c:v>1.64</c:v>
                </c:pt>
                <c:pt idx="209">
                  <c:v>1.75</c:v>
                </c:pt>
                <c:pt idx="210">
                  <c:v>1.75</c:v>
                </c:pt>
                <c:pt idx="211">
                  <c:v>1.75</c:v>
                </c:pt>
                <c:pt idx="212">
                  <c:v>2.89</c:v>
                </c:pt>
                <c:pt idx="213">
                  <c:v>2.97</c:v>
                </c:pt>
                <c:pt idx="214">
                  <c:v>3.9</c:v>
                </c:pt>
                <c:pt idx="215">
                  <c:v>3.95</c:v>
                </c:pt>
                <c:pt idx="216">
                  <c:v>3.99</c:v>
                </c:pt>
                <c:pt idx="217">
                  <c:v>3.28</c:v>
                </c:pt>
                <c:pt idx="218">
                  <c:v>3.09</c:v>
                </c:pt>
                <c:pt idx="219">
                  <c:v>3.29</c:v>
                </c:pt>
                <c:pt idx="220">
                  <c:v>4</c:v>
                </c:pt>
                <c:pt idx="221">
                  <c:v>7.3</c:v>
                </c:pt>
                <c:pt idx="222">
                  <c:v>8.74</c:v>
                </c:pt>
                <c:pt idx="223">
                  <c:v>10.58</c:v>
                </c:pt>
                <c:pt idx="224">
                  <c:v>11.1</c:v>
                </c:pt>
                <c:pt idx="225">
                  <c:v>12.97</c:v>
                </c:pt>
                <c:pt idx="226">
                  <c:v>13.46</c:v>
                </c:pt>
                <c:pt idx="227">
                  <c:v>14.7</c:v>
                </c:pt>
                <c:pt idx="228">
                  <c:v>13.15</c:v>
                </c:pt>
                <c:pt idx="229">
                  <c:v>11.54</c:v>
                </c:pt>
                <c:pt idx="230">
                  <c:v>11.48</c:v>
                </c:pt>
                <c:pt idx="231">
                  <c:v>12.31</c:v>
                </c:pt>
                <c:pt idx="232">
                  <c:v>14.24</c:v>
                </c:pt>
                <c:pt idx="233">
                  <c:v>14.66</c:v>
                </c:pt>
                <c:pt idx="234">
                  <c:v>12.89</c:v>
                </c:pt>
                <c:pt idx="235">
                  <c:v>11.82</c:v>
                </c:pt>
                <c:pt idx="236">
                  <c:v>10.58</c:v>
                </c:pt>
                <c:pt idx="237">
                  <c:v>8.92</c:v>
                </c:pt>
                <c:pt idx="238">
                  <c:v>8.65</c:v>
                </c:pt>
                <c:pt idx="239">
                  <c:v>7.76</c:v>
                </c:pt>
                <c:pt idx="240">
                  <c:v>7.52</c:v>
                </c:pt>
                <c:pt idx="241">
                  <c:v>7.05</c:v>
                </c:pt>
                <c:pt idx="242">
                  <c:v>6.29</c:v>
                </c:pt>
                <c:pt idx="243">
                  <c:v>5.94</c:v>
                </c:pt>
                <c:pt idx="244">
                  <c:v>5.09</c:v>
                </c:pt>
                <c:pt idx="245">
                  <c:v>4.42</c:v>
                </c:pt>
                <c:pt idx="246">
                  <c:v>3.86</c:v>
                </c:pt>
                <c:pt idx="247">
                  <c:v>3.69</c:v>
                </c:pt>
                <c:pt idx="248">
                  <c:v>3.44</c:v>
                </c:pt>
                <c:pt idx="249">
                  <c:v>3.12</c:v>
                </c:pt>
                <c:pt idx="250">
                  <c:v>2.92</c:v>
                </c:pt>
                <c:pt idx="251">
                  <c:v>2.91</c:v>
                </c:pt>
                <c:pt idx="252">
                  <c:v>2.89</c:v>
                </c:pt>
                <c:pt idx="253">
                  <c:v>2.86</c:v>
                </c:pt>
                <c:pt idx="254">
                  <c:v>3.05</c:v>
                </c:pt>
                <c:pt idx="255">
                  <c:v>3.1</c:v>
                </c:pt>
                <c:pt idx="256">
                  <c:v>3.38</c:v>
                </c:pt>
                <c:pt idx="257">
                  <c:v>4.96</c:v>
                </c:pt>
                <c:pt idx="258">
                  <c:v>6.32</c:v>
                </c:pt>
                <c:pt idx="259">
                  <c:v>7.18</c:v>
                </c:pt>
                <c:pt idx="260">
                  <c:v>5.87</c:v>
                </c:pt>
                <c:pt idx="261">
                  <c:v>5.49</c:v>
                </c:pt>
                <c:pt idx="262">
                  <c:v>6.08</c:v>
                </c:pt>
                <c:pt idx="263">
                  <c:v>7.45</c:v>
                </c:pt>
                <c:pt idx="264">
                  <c:v>8.41</c:v>
                </c:pt>
                <c:pt idx="265">
                  <c:v>8.1300000000000008</c:v>
                </c:pt>
                <c:pt idx="266">
                  <c:v>7.57</c:v>
                </c:pt>
                <c:pt idx="267">
                  <c:v>10.42</c:v>
                </c:pt>
                <c:pt idx="268">
                  <c:v>9.1199999999999992</c:v>
                </c:pt>
                <c:pt idx="269">
                  <c:v>7.99</c:v>
                </c:pt>
                <c:pt idx="270">
                  <c:v>7.02</c:v>
                </c:pt>
                <c:pt idx="271">
                  <c:v>6.36</c:v>
                </c:pt>
                <c:pt idx="272">
                  <c:v>6.32</c:v>
                </c:pt>
                <c:pt idx="273">
                  <c:v>6.6</c:v>
                </c:pt>
                <c:pt idx="274">
                  <c:v>9.1</c:v>
                </c:pt>
                <c:pt idx="275">
                  <c:v>12.44</c:v>
                </c:pt>
                <c:pt idx="276">
                  <c:v>15.1</c:v>
                </c:pt>
                <c:pt idx="277">
                  <c:v>17.39</c:v>
                </c:pt>
                <c:pt idx="278">
                  <c:v>15.11</c:v>
                </c:pt>
                <c:pt idx="279">
                  <c:v>11.91</c:v>
                </c:pt>
                <c:pt idx="280">
                  <c:v>9.39</c:v>
                </c:pt>
                <c:pt idx="281">
                  <c:v>8.48</c:v>
                </c:pt>
                <c:pt idx="282">
                  <c:v>7.46</c:v>
                </c:pt>
                <c:pt idx="283">
                  <c:v>9.06</c:v>
                </c:pt>
                <c:pt idx="284">
                  <c:v>9.0399999999999991</c:v>
                </c:pt>
                <c:pt idx="285">
                  <c:v>10.25</c:v>
                </c:pt>
                <c:pt idx="286">
                  <c:v>11.63</c:v>
                </c:pt>
                <c:pt idx="287">
                  <c:v>13.7</c:v>
                </c:pt>
                <c:pt idx="288">
                  <c:v>12.48</c:v>
                </c:pt>
                <c:pt idx="289">
                  <c:v>10.93</c:v>
                </c:pt>
                <c:pt idx="290">
                  <c:v>10.09</c:v>
                </c:pt>
                <c:pt idx="291">
                  <c:v>10.72</c:v>
                </c:pt>
                <c:pt idx="292">
                  <c:v>13.32</c:v>
                </c:pt>
                <c:pt idx="293">
                  <c:v>13.96</c:v>
                </c:pt>
                <c:pt idx="294">
                  <c:v>11.25</c:v>
                </c:pt>
                <c:pt idx="295">
                  <c:v>9.4600000000000009</c:v>
                </c:pt>
                <c:pt idx="296">
                  <c:v>8.31</c:v>
                </c:pt>
                <c:pt idx="297">
                  <c:v>6.77</c:v>
                </c:pt>
                <c:pt idx="298">
                  <c:v>5.74</c:v>
                </c:pt>
                <c:pt idx="299">
                  <c:v>4.97</c:v>
                </c:pt>
                <c:pt idx="300">
                  <c:v>4.47</c:v>
                </c:pt>
                <c:pt idx="301">
                  <c:v>9.4600000000000009</c:v>
                </c:pt>
                <c:pt idx="302">
                  <c:v>7.34</c:v>
                </c:pt>
                <c:pt idx="303">
                  <c:v>7.43</c:v>
                </c:pt>
                <c:pt idx="304">
                  <c:v>6.96</c:v>
                </c:pt>
                <c:pt idx="305">
                  <c:v>6.94</c:v>
                </c:pt>
                <c:pt idx="306">
                  <c:v>5.83</c:v>
                </c:pt>
                <c:pt idx="307">
                  <c:v>5.53</c:v>
                </c:pt>
                <c:pt idx="308">
                  <c:v>6.4</c:v>
                </c:pt>
                <c:pt idx="309">
                  <c:v>7.54</c:v>
                </c:pt>
                <c:pt idx="310">
                  <c:v>5.46</c:v>
                </c:pt>
                <c:pt idx="311">
                  <c:v>4.55</c:v>
                </c:pt>
                <c:pt idx="312">
                  <c:v>3.9</c:v>
                </c:pt>
                <c:pt idx="313">
                  <c:v>3.89</c:v>
                </c:pt>
                <c:pt idx="314">
                  <c:v>5.44</c:v>
                </c:pt>
                <c:pt idx="315">
                  <c:v>5.71</c:v>
                </c:pt>
                <c:pt idx="316">
                  <c:v>6.49</c:v>
                </c:pt>
                <c:pt idx="317">
                  <c:v>1.81</c:v>
                </c:pt>
                <c:pt idx="318">
                  <c:v>1.83</c:v>
                </c:pt>
                <c:pt idx="319">
                  <c:v>1.82</c:v>
                </c:pt>
                <c:pt idx="320">
                  <c:v>1.79</c:v>
                </c:pt>
                <c:pt idx="321">
                  <c:v>1.78</c:v>
                </c:pt>
                <c:pt idx="322">
                  <c:v>1.79</c:v>
                </c:pt>
                <c:pt idx="323">
                  <c:v>1.81</c:v>
                </c:pt>
                <c:pt idx="324">
                  <c:v>1.84</c:v>
                </c:pt>
                <c:pt idx="325">
                  <c:v>1.84</c:v>
                </c:pt>
                <c:pt idx="326">
                  <c:v>1.82</c:v>
                </c:pt>
                <c:pt idx="327">
                  <c:v>1.83</c:v>
                </c:pt>
                <c:pt idx="328">
                  <c:v>1.82</c:v>
                </c:pt>
                <c:pt idx="329">
                  <c:v>1.82</c:v>
                </c:pt>
                <c:pt idx="330">
                  <c:v>1.79</c:v>
                </c:pt>
                <c:pt idx="331">
                  <c:v>1.8</c:v>
                </c:pt>
                <c:pt idx="332">
                  <c:v>1.85</c:v>
                </c:pt>
                <c:pt idx="333">
                  <c:v>2.06</c:v>
                </c:pt>
                <c:pt idx="334">
                  <c:v>2.12</c:v>
                </c:pt>
                <c:pt idx="335">
                  <c:v>2.23</c:v>
                </c:pt>
                <c:pt idx="336">
                  <c:v>3.25</c:v>
                </c:pt>
                <c:pt idx="337">
                  <c:v>3.75</c:v>
                </c:pt>
                <c:pt idx="338">
                  <c:v>4.51</c:v>
                </c:pt>
                <c:pt idx="339">
                  <c:v>5.56</c:v>
                </c:pt>
                <c:pt idx="340">
                  <c:v>6.18</c:v>
                </c:pt>
                <c:pt idx="341">
                  <c:v>6.41</c:v>
                </c:pt>
                <c:pt idx="342">
                  <c:v>5.03</c:v>
                </c:pt>
                <c:pt idx="343">
                  <c:v>4.47</c:v>
                </c:pt>
                <c:pt idx="344">
                  <c:v>4.04</c:v>
                </c:pt>
                <c:pt idx="345">
                  <c:v>3.64</c:v>
                </c:pt>
                <c:pt idx="346">
                  <c:v>3.51</c:v>
                </c:pt>
                <c:pt idx="347">
                  <c:v>3.62</c:v>
                </c:pt>
                <c:pt idx="348">
                  <c:v>4.1500000000000004</c:v>
                </c:pt>
                <c:pt idx="349">
                  <c:v>5.19</c:v>
                </c:pt>
                <c:pt idx="350">
                  <c:v>8.73</c:v>
                </c:pt>
                <c:pt idx="351">
                  <c:v>10.32</c:v>
                </c:pt>
                <c:pt idx="352">
                  <c:v>9.8800000000000008</c:v>
                </c:pt>
                <c:pt idx="353">
                  <c:v>7.75</c:v>
                </c:pt>
                <c:pt idx="354">
                  <c:v>5.61</c:v>
                </c:pt>
                <c:pt idx="355">
                  <c:v>5.56</c:v>
                </c:pt>
                <c:pt idx="356">
                  <c:v>5.67</c:v>
                </c:pt>
                <c:pt idx="357">
                  <c:v>6.78</c:v>
                </c:pt>
                <c:pt idx="358">
                  <c:v>9.09</c:v>
                </c:pt>
                <c:pt idx="359">
                  <c:v>10.45</c:v>
                </c:pt>
                <c:pt idx="360">
                  <c:v>13.31</c:v>
                </c:pt>
                <c:pt idx="361">
                  <c:v>11.95</c:v>
                </c:pt>
                <c:pt idx="362">
                  <c:v>8.85</c:v>
                </c:pt>
                <c:pt idx="363">
                  <c:v>7.4</c:v>
                </c:pt>
                <c:pt idx="364">
                  <c:v>7.12</c:v>
                </c:pt>
                <c:pt idx="365">
                  <c:v>8.86</c:v>
                </c:pt>
                <c:pt idx="366">
                  <c:v>14.43</c:v>
                </c:pt>
                <c:pt idx="367">
                  <c:v>16</c:v>
                </c:pt>
                <c:pt idx="368">
                  <c:v>16.47</c:v>
                </c:pt>
                <c:pt idx="369">
                  <c:v>17.329999999999998</c:v>
                </c:pt>
                <c:pt idx="370">
                  <c:v>21.07</c:v>
                </c:pt>
                <c:pt idx="371">
                  <c:v>20.079999999999998</c:v>
                </c:pt>
                <c:pt idx="372">
                  <c:v>16.32</c:v>
                </c:pt>
                <c:pt idx="373">
                  <c:v>14.85</c:v>
                </c:pt>
                <c:pt idx="374">
                  <c:v>13.85</c:v>
                </c:pt>
                <c:pt idx="375">
                  <c:v>12.57</c:v>
                </c:pt>
                <c:pt idx="376">
                  <c:v>11.7</c:v>
                </c:pt>
                <c:pt idx="377">
                  <c:v>13.22</c:v>
                </c:pt>
                <c:pt idx="378">
                  <c:v>15.7</c:v>
                </c:pt>
                <c:pt idx="379">
                  <c:v>15.13</c:v>
                </c:pt>
                <c:pt idx="380">
                  <c:v>12.77</c:v>
                </c:pt>
                <c:pt idx="381">
                  <c:v>13.6</c:v>
                </c:pt>
                <c:pt idx="382">
                  <c:v>13.85</c:v>
                </c:pt>
                <c:pt idx="383">
                  <c:v>15.33</c:v>
                </c:pt>
                <c:pt idx="384">
                  <c:v>15.76</c:v>
                </c:pt>
                <c:pt idx="385">
                  <c:v>13.45</c:v>
                </c:pt>
                <c:pt idx="386">
                  <c:v>11.67</c:v>
                </c:pt>
                <c:pt idx="387">
                  <c:v>12.37</c:v>
                </c:pt>
                <c:pt idx="388">
                  <c:v>15.6</c:v>
                </c:pt>
                <c:pt idx="389">
                  <c:v>19.62</c:v>
                </c:pt>
                <c:pt idx="390">
                  <c:v>19.350000000000001</c:v>
                </c:pt>
                <c:pt idx="391">
                  <c:v>18.73</c:v>
                </c:pt>
                <c:pt idx="392">
                  <c:v>16.59</c:v>
                </c:pt>
                <c:pt idx="393">
                  <c:v>15.45</c:v>
                </c:pt>
                <c:pt idx="394">
                  <c:v>18.97</c:v>
                </c:pt>
                <c:pt idx="395">
                  <c:v>21.03</c:v>
                </c:pt>
                <c:pt idx="396">
                  <c:v>19.260000000000002</c:v>
                </c:pt>
                <c:pt idx="397">
                  <c:v>16.78</c:v>
                </c:pt>
                <c:pt idx="398">
                  <c:v>15.04</c:v>
                </c:pt>
                <c:pt idx="399">
                  <c:v>14.12</c:v>
                </c:pt>
                <c:pt idx="400">
                  <c:v>15.55</c:v>
                </c:pt>
                <c:pt idx="401">
                  <c:v>14.6</c:v>
                </c:pt>
                <c:pt idx="402">
                  <c:v>12.34</c:v>
                </c:pt>
                <c:pt idx="403">
                  <c:v>10.64</c:v>
                </c:pt>
                <c:pt idx="404">
                  <c:v>8.91</c:v>
                </c:pt>
                <c:pt idx="405">
                  <c:v>7.52</c:v>
                </c:pt>
                <c:pt idx="406">
                  <c:v>7.17</c:v>
                </c:pt>
                <c:pt idx="407">
                  <c:v>6.38</c:v>
                </c:pt>
                <c:pt idx="408">
                  <c:v>5.65</c:v>
                </c:pt>
                <c:pt idx="409">
                  <c:v>5.09</c:v>
                </c:pt>
                <c:pt idx="410">
                  <c:v>4.71</c:v>
                </c:pt>
                <c:pt idx="411">
                  <c:v>4.4000000000000004</c:v>
                </c:pt>
                <c:pt idx="412">
                  <c:v>4.16</c:v>
                </c:pt>
                <c:pt idx="413">
                  <c:v>3.88</c:v>
                </c:pt>
                <c:pt idx="414">
                  <c:v>3.63</c:v>
                </c:pt>
                <c:pt idx="415">
                  <c:v>3.5</c:v>
                </c:pt>
                <c:pt idx="416">
                  <c:v>3.98</c:v>
                </c:pt>
                <c:pt idx="417">
                  <c:v>4.76</c:v>
                </c:pt>
                <c:pt idx="418">
                  <c:v>4.3</c:v>
                </c:pt>
                <c:pt idx="419">
                  <c:v>3.85</c:v>
                </c:pt>
                <c:pt idx="420">
                  <c:v>3.39</c:v>
                </c:pt>
                <c:pt idx="421">
                  <c:v>3.23</c:v>
                </c:pt>
                <c:pt idx="422">
                  <c:v>3.67</c:v>
                </c:pt>
                <c:pt idx="423">
                  <c:v>4.2</c:v>
                </c:pt>
                <c:pt idx="424">
                  <c:v>5</c:v>
                </c:pt>
                <c:pt idx="425">
                  <c:v>4.55</c:v>
                </c:pt>
                <c:pt idx="426">
                  <c:v>4.13</c:v>
                </c:pt>
                <c:pt idx="427">
                  <c:v>4.38</c:v>
                </c:pt>
                <c:pt idx="428">
                  <c:v>5.43</c:v>
                </c:pt>
                <c:pt idx="429">
                  <c:v>5.18</c:v>
                </c:pt>
                <c:pt idx="430">
                  <c:v>6.86</c:v>
                </c:pt>
                <c:pt idx="431">
                  <c:v>8.7799999999999994</c:v>
                </c:pt>
                <c:pt idx="432">
                  <c:v>11.51</c:v>
                </c:pt>
                <c:pt idx="433">
                  <c:v>12.55</c:v>
                </c:pt>
                <c:pt idx="434">
                  <c:v>12.38</c:v>
                </c:pt>
                <c:pt idx="435">
                  <c:v>12.32</c:v>
                </c:pt>
                <c:pt idx="436">
                  <c:v>10.199999999999999</c:v>
                </c:pt>
                <c:pt idx="437">
                  <c:v>11.24</c:v>
                </c:pt>
                <c:pt idx="438">
                  <c:v>10.84</c:v>
                </c:pt>
                <c:pt idx="439">
                  <c:v>12.08</c:v>
                </c:pt>
                <c:pt idx="440">
                  <c:v>14.08</c:v>
                </c:pt>
                <c:pt idx="441">
                  <c:v>11.83</c:v>
                </c:pt>
                <c:pt idx="442">
                  <c:v>9.15</c:v>
                </c:pt>
                <c:pt idx="443">
                  <c:v>8.2799999999999994</c:v>
                </c:pt>
                <c:pt idx="444">
                  <c:v>8.0299999999999994</c:v>
                </c:pt>
                <c:pt idx="445">
                  <c:v>9.15</c:v>
                </c:pt>
                <c:pt idx="446">
                  <c:v>13.71</c:v>
                </c:pt>
                <c:pt idx="447">
                  <c:v>14.83</c:v>
                </c:pt>
                <c:pt idx="448">
                  <c:v>16.329999999999998</c:v>
                </c:pt>
                <c:pt idx="449">
                  <c:v>15.02</c:v>
                </c:pt>
                <c:pt idx="450">
                  <c:v>13.36</c:v>
                </c:pt>
                <c:pt idx="451">
                  <c:v>11.76</c:v>
                </c:pt>
                <c:pt idx="452">
                  <c:v>11.49</c:v>
                </c:pt>
                <c:pt idx="453">
                  <c:v>12.21</c:v>
                </c:pt>
                <c:pt idx="454">
                  <c:v>13.1</c:v>
                </c:pt>
                <c:pt idx="455">
                  <c:v>12.32</c:v>
                </c:pt>
                <c:pt idx="456">
                  <c:v>12.41</c:v>
                </c:pt>
                <c:pt idx="457">
                  <c:v>12.47</c:v>
                </c:pt>
                <c:pt idx="458">
                  <c:v>12.98</c:v>
                </c:pt>
                <c:pt idx="459">
                  <c:v>13.22</c:v>
                </c:pt>
                <c:pt idx="460">
                  <c:v>13.91</c:v>
                </c:pt>
                <c:pt idx="461">
                  <c:v>14.9</c:v>
                </c:pt>
                <c:pt idx="462">
                  <c:v>14.26</c:v>
                </c:pt>
                <c:pt idx="463">
                  <c:v>12.86</c:v>
                </c:pt>
                <c:pt idx="464">
                  <c:v>12.28</c:v>
                </c:pt>
                <c:pt idx="465">
                  <c:v>10.56</c:v>
                </c:pt>
                <c:pt idx="466">
                  <c:v>9.07</c:v>
                </c:pt>
                <c:pt idx="467">
                  <c:v>9.59</c:v>
                </c:pt>
                <c:pt idx="468">
                  <c:v>8.91</c:v>
                </c:pt>
                <c:pt idx="469">
                  <c:v>7.84</c:v>
                </c:pt>
                <c:pt idx="470">
                  <c:v>6.89</c:v>
                </c:pt>
                <c:pt idx="471">
                  <c:v>6.33</c:v>
                </c:pt>
                <c:pt idx="472">
                  <c:v>5.88</c:v>
                </c:pt>
                <c:pt idx="473">
                  <c:v>5.62</c:v>
                </c:pt>
                <c:pt idx="474">
                  <c:v>5.83</c:v>
                </c:pt>
                <c:pt idx="475">
                  <c:v>5.91</c:v>
                </c:pt>
                <c:pt idx="476">
                  <c:v>5.41</c:v>
                </c:pt>
                <c:pt idx="477">
                  <c:v>4.9000000000000004</c:v>
                </c:pt>
                <c:pt idx="478">
                  <c:v>4.59</c:v>
                </c:pt>
                <c:pt idx="479">
                  <c:v>4.3</c:v>
                </c:pt>
                <c:pt idx="480">
                  <c:v>4.09</c:v>
                </c:pt>
                <c:pt idx="481">
                  <c:v>3.87</c:v>
                </c:pt>
                <c:pt idx="482">
                  <c:v>3.44</c:v>
                </c:pt>
                <c:pt idx="483">
                  <c:v>3.25</c:v>
                </c:pt>
                <c:pt idx="484">
                  <c:v>3.25</c:v>
                </c:pt>
                <c:pt idx="485">
                  <c:v>3.42</c:v>
                </c:pt>
                <c:pt idx="486">
                  <c:v>3.34</c:v>
                </c:pt>
                <c:pt idx="487">
                  <c:v>3.32</c:v>
                </c:pt>
                <c:pt idx="488">
                  <c:v>3.21</c:v>
                </c:pt>
                <c:pt idx="489">
                  <c:v>3.93</c:v>
                </c:pt>
                <c:pt idx="490">
                  <c:v>4.0599999999999996</c:v>
                </c:pt>
                <c:pt idx="491">
                  <c:v>3.87</c:v>
                </c:pt>
                <c:pt idx="492">
                  <c:v>3.8</c:v>
                </c:pt>
                <c:pt idx="493">
                  <c:v>3.71</c:v>
                </c:pt>
                <c:pt idx="494">
                  <c:v>3.66</c:v>
                </c:pt>
                <c:pt idx="495">
                  <c:v>3.26</c:v>
                </c:pt>
                <c:pt idx="496">
                  <c:v>3.04</c:v>
                </c:pt>
                <c:pt idx="497">
                  <c:v>2.97</c:v>
                </c:pt>
                <c:pt idx="498">
                  <c:v>2.89</c:v>
                </c:pt>
                <c:pt idx="499">
                  <c:v>3</c:v>
                </c:pt>
                <c:pt idx="500">
                  <c:v>2.96</c:v>
                </c:pt>
                <c:pt idx="501">
                  <c:v>2.85</c:v>
                </c:pt>
                <c:pt idx="502">
                  <c:v>2.8</c:v>
                </c:pt>
                <c:pt idx="503">
                  <c:v>2.8</c:v>
                </c:pt>
                <c:pt idx="504">
                  <c:v>2.78</c:v>
                </c:pt>
                <c:pt idx="505">
                  <c:v>2.77</c:v>
                </c:pt>
                <c:pt idx="506">
                  <c:v>2.82</c:v>
                </c:pt>
                <c:pt idx="507">
                  <c:v>3.05</c:v>
                </c:pt>
                <c:pt idx="508">
                  <c:v>3.11</c:v>
                </c:pt>
                <c:pt idx="509">
                  <c:v>3.19</c:v>
                </c:pt>
                <c:pt idx="510">
                  <c:v>3.03</c:v>
                </c:pt>
                <c:pt idx="511">
                  <c:v>2.96</c:v>
                </c:pt>
                <c:pt idx="512">
                  <c:v>2.89</c:v>
                </c:pt>
                <c:pt idx="513">
                  <c:v>2.85</c:v>
                </c:pt>
                <c:pt idx="514">
                  <c:v>2.75</c:v>
                </c:pt>
                <c:pt idx="515">
                  <c:v>2.76</c:v>
                </c:pt>
                <c:pt idx="516">
                  <c:v>2.74</c:v>
                </c:pt>
                <c:pt idx="517">
                  <c:v>2.64</c:v>
                </c:pt>
                <c:pt idx="518">
                  <c:v>2.6</c:v>
                </c:pt>
                <c:pt idx="519">
                  <c:v>2.57</c:v>
                </c:pt>
                <c:pt idx="520">
                  <c:v>2.4700000000000002</c:v>
                </c:pt>
                <c:pt idx="521">
                  <c:v>2.4</c:v>
                </c:pt>
                <c:pt idx="522">
                  <c:v>2.39</c:v>
                </c:pt>
                <c:pt idx="523">
                  <c:v>2.38</c:v>
                </c:pt>
                <c:pt idx="524">
                  <c:v>2.36</c:v>
                </c:pt>
                <c:pt idx="525">
                  <c:v>2.36</c:v>
                </c:pt>
                <c:pt idx="526">
                  <c:v>2.31</c:v>
                </c:pt>
                <c:pt idx="527">
                  <c:v>2.34</c:v>
                </c:pt>
                <c:pt idx="528">
                  <c:v>2.29</c:v>
                </c:pt>
                <c:pt idx="529">
                  <c:v>2.2599999999999998</c:v>
                </c:pt>
                <c:pt idx="530">
                  <c:v>2.27</c:v>
                </c:pt>
                <c:pt idx="531">
                  <c:v>2.34</c:v>
                </c:pt>
                <c:pt idx="532">
                  <c:v>2.35</c:v>
                </c:pt>
                <c:pt idx="533">
                  <c:v>2.2999999999999998</c:v>
                </c:pt>
                <c:pt idx="534">
                  <c:v>2.31</c:v>
                </c:pt>
                <c:pt idx="535">
                  <c:v>2.2999999999999998</c:v>
                </c:pt>
                <c:pt idx="536">
                  <c:v>2.16</c:v>
                </c:pt>
                <c:pt idx="537">
                  <c:v>2.1974999999999998</c:v>
                </c:pt>
                <c:pt idx="538">
                  <c:v>2.1724999999999999</c:v>
                </c:pt>
                <c:pt idx="539">
                  <c:v>2.1800000000000002</c:v>
                </c:pt>
                <c:pt idx="540">
                  <c:v>2.15</c:v>
                </c:pt>
                <c:pt idx="541">
                  <c:v>2.1800000000000002</c:v>
                </c:pt>
                <c:pt idx="542">
                  <c:v>2.08</c:v>
                </c:pt>
                <c:pt idx="543">
                  <c:v>2.0499999999999998</c:v>
                </c:pt>
                <c:pt idx="544">
                  <c:v>2.0699999999999998</c:v>
                </c:pt>
                <c:pt idx="545">
                  <c:v>2.0099999999999998</c:v>
                </c:pt>
                <c:pt idx="546">
                  <c:v>1.97</c:v>
                </c:pt>
                <c:pt idx="547">
                  <c:v>2.04</c:v>
                </c:pt>
                <c:pt idx="548">
                  <c:v>2.06</c:v>
                </c:pt>
                <c:pt idx="549">
                  <c:v>2.2000000000000002</c:v>
                </c:pt>
                <c:pt idx="550">
                  <c:v>3.54</c:v>
                </c:pt>
                <c:pt idx="551">
                  <c:v>2.5099999999999998</c:v>
                </c:pt>
                <c:pt idx="552">
                  <c:v>2.5299999999999998</c:v>
                </c:pt>
                <c:pt idx="553">
                  <c:v>2.59</c:v>
                </c:pt>
                <c:pt idx="554">
                  <c:v>2.91</c:v>
                </c:pt>
                <c:pt idx="555">
                  <c:v>2.69</c:v>
                </c:pt>
                <c:pt idx="556">
                  <c:v>2.59</c:v>
                </c:pt>
                <c:pt idx="557">
                  <c:v>2.4900000000000002</c:v>
                </c:pt>
                <c:pt idx="558">
                  <c:v>2.31</c:v>
                </c:pt>
                <c:pt idx="559">
                  <c:v>2.2599999999999998</c:v>
                </c:pt>
                <c:pt idx="560">
                  <c:v>2.2200000000000002</c:v>
                </c:pt>
                <c:pt idx="561">
                  <c:v>2.14</c:v>
                </c:pt>
                <c:pt idx="562">
                  <c:v>2.19</c:v>
                </c:pt>
                <c:pt idx="563">
                  <c:v>2.1800000000000002</c:v>
                </c:pt>
                <c:pt idx="564">
                  <c:v>2.16</c:v>
                </c:pt>
                <c:pt idx="565">
                  <c:v>2.19</c:v>
                </c:pt>
                <c:pt idx="566">
                  <c:v>2.2000000000000002</c:v>
                </c:pt>
                <c:pt idx="567">
                  <c:v>2.15</c:v>
                </c:pt>
                <c:pt idx="568">
                  <c:v>2.11</c:v>
                </c:pt>
                <c:pt idx="569">
                  <c:v>2.04</c:v>
                </c:pt>
                <c:pt idx="570">
                  <c:v>2.1</c:v>
                </c:pt>
                <c:pt idx="571">
                  <c:v>2.12</c:v>
                </c:pt>
                <c:pt idx="572">
                  <c:v>1.71</c:v>
                </c:pt>
                <c:pt idx="573">
                  <c:v>1.67</c:v>
                </c:pt>
                <c:pt idx="574">
                  <c:v>1.61</c:v>
                </c:pt>
                <c:pt idx="575">
                  <c:v>1.64</c:v>
                </c:pt>
                <c:pt idx="576">
                  <c:v>1.59</c:v>
                </c:pt>
                <c:pt idx="577">
                  <c:v>1.62</c:v>
                </c:pt>
                <c:pt idx="578">
                  <c:v>1.7</c:v>
                </c:pt>
                <c:pt idx="579">
                  <c:v>1.79</c:v>
                </c:pt>
                <c:pt idx="580">
                  <c:v>3.5</c:v>
                </c:pt>
                <c:pt idx="581">
                  <c:v>3.94</c:v>
                </c:pt>
                <c:pt idx="582">
                  <c:v>1.61</c:v>
                </c:pt>
                <c:pt idx="583">
                  <c:v>1.63</c:v>
                </c:pt>
                <c:pt idx="584">
                  <c:v>1.62</c:v>
                </c:pt>
                <c:pt idx="585">
                  <c:v>1.67</c:v>
                </c:pt>
                <c:pt idx="586">
                  <c:v>1.64</c:v>
                </c:pt>
                <c:pt idx="587">
                  <c:v>1.67</c:v>
                </c:pt>
                <c:pt idx="588">
                  <c:v>1.93</c:v>
                </c:pt>
                <c:pt idx="589">
                  <c:v>1.97</c:v>
                </c:pt>
                <c:pt idx="590">
                  <c:v>1.89</c:v>
                </c:pt>
                <c:pt idx="591">
                  <c:v>1.88</c:v>
                </c:pt>
                <c:pt idx="592">
                  <c:v>1.83</c:v>
                </c:pt>
                <c:pt idx="593">
                  <c:v>2.0699999999999998</c:v>
                </c:pt>
                <c:pt idx="594">
                  <c:v>2.38</c:v>
                </c:pt>
                <c:pt idx="595">
                  <c:v>2.42</c:v>
                </c:pt>
                <c:pt idx="596">
                  <c:v>2.5</c:v>
                </c:pt>
                <c:pt idx="597">
                  <c:v>2.62</c:v>
                </c:pt>
                <c:pt idx="598">
                  <c:v>2.48</c:v>
                </c:pt>
                <c:pt idx="599">
                  <c:v>2.36</c:v>
                </c:pt>
                <c:pt idx="600">
                  <c:v>2.2999999999999998</c:v>
                </c:pt>
                <c:pt idx="601">
                  <c:v>2.38</c:v>
                </c:pt>
                <c:pt idx="602">
                  <c:v>2.4500000000000002</c:v>
                </c:pt>
                <c:pt idx="603">
                  <c:v>2.54</c:v>
                </c:pt>
                <c:pt idx="604">
                  <c:v>2.4300000000000002</c:v>
                </c:pt>
                <c:pt idx="605">
                  <c:v>2.4300000000000002</c:v>
                </c:pt>
                <c:pt idx="606">
                  <c:v>2.46</c:v>
                </c:pt>
                <c:pt idx="607">
                  <c:v>2.5499999999999998</c:v>
                </c:pt>
                <c:pt idx="608">
                  <c:v>2.75</c:v>
                </c:pt>
                <c:pt idx="609">
                  <c:v>2.88</c:v>
                </c:pt>
                <c:pt idx="610">
                  <c:v>2.68</c:v>
                </c:pt>
                <c:pt idx="611">
                  <c:v>2.5550000000000002</c:v>
                </c:pt>
                <c:pt idx="612">
                  <c:v>2.4567000000000001</c:v>
                </c:pt>
                <c:pt idx="613">
                  <c:v>2.4062999999999999</c:v>
                </c:pt>
                <c:pt idx="614">
                  <c:v>2.3050000000000002</c:v>
                </c:pt>
                <c:pt idx="615">
                  <c:v>2.2204000000000002</c:v>
                </c:pt>
                <c:pt idx="616">
                  <c:v>2.1825000000000001</c:v>
                </c:pt>
                <c:pt idx="617">
                  <c:v>2.2149999999999999</c:v>
                </c:pt>
                <c:pt idx="618">
                  <c:v>2.2528999999999999</c:v>
                </c:pt>
                <c:pt idx="619">
                  <c:v>2.1341999999999999</c:v>
                </c:pt>
                <c:pt idx="620">
                  <c:v>2.1229</c:v>
                </c:pt>
                <c:pt idx="621">
                  <c:v>2.1175000000000002</c:v>
                </c:pt>
                <c:pt idx="622">
                  <c:v>2.0316999999999998</c:v>
                </c:pt>
                <c:pt idx="623">
                  <c:v>2.0741999999999998</c:v>
                </c:pt>
                <c:pt idx="624">
                  <c:v>2.0283000000000002</c:v>
                </c:pt>
                <c:pt idx="625">
                  <c:v>2.08</c:v>
                </c:pt>
                <c:pt idx="626">
                  <c:v>2.0746000000000002</c:v>
                </c:pt>
                <c:pt idx="627">
                  <c:v>2.2563</c:v>
                </c:pt>
                <c:pt idx="628">
                  <c:v>2.5278999999999998</c:v>
                </c:pt>
                <c:pt idx="629">
                  <c:v>2.7250000000000001</c:v>
                </c:pt>
                <c:pt idx="630">
                  <c:v>2.6821000000000002</c:v>
                </c:pt>
                <c:pt idx="631">
                  <c:v>2.6166999999999998</c:v>
                </c:pt>
                <c:pt idx="632">
                  <c:v>2.3746</c:v>
                </c:pt>
                <c:pt idx="633">
                  <c:v>2.3746</c:v>
                </c:pt>
                <c:pt idx="634">
                  <c:v>2.1446000000000001</c:v>
                </c:pt>
                <c:pt idx="635">
                  <c:v>1.8232999999999999</c:v>
                </c:pt>
                <c:pt idx="636">
                  <c:v>1.4282999999999999</c:v>
                </c:pt>
                <c:pt idx="637">
                  <c:v>1.3725000000000001</c:v>
                </c:pt>
                <c:pt idx="638">
                  <c:v>1.2825</c:v>
                </c:pt>
                <c:pt idx="639">
                  <c:v>1.4545999999999999</c:v>
                </c:pt>
                <c:pt idx="640">
                  <c:v>2.1454</c:v>
                </c:pt>
                <c:pt idx="641">
                  <c:v>4.0221</c:v>
                </c:pt>
                <c:pt idx="642">
                  <c:v>4.4112999999999998</c:v>
                </c:pt>
                <c:pt idx="643">
                  <c:v>4.2675000000000001</c:v>
                </c:pt>
                <c:pt idx="644">
                  <c:v>4.0537999999999998</c:v>
                </c:pt>
                <c:pt idx="645">
                  <c:v>3.9904000000000002</c:v>
                </c:pt>
                <c:pt idx="646">
                  <c:v>3.7946</c:v>
                </c:pt>
                <c:pt idx="647">
                  <c:v>3.58</c:v>
                </c:pt>
                <c:pt idx="648">
                  <c:v>3.3864999999999998</c:v>
                </c:pt>
                <c:pt idx="649">
                  <c:v>3.2545999999999999</c:v>
                </c:pt>
                <c:pt idx="650">
                  <c:v>3.2553999999999998</c:v>
                </c:pt>
                <c:pt idx="651">
                  <c:v>3.1867000000000001</c:v>
                </c:pt>
                <c:pt idx="652">
                  <c:v>3.1</c:v>
                </c:pt>
                <c:pt idx="653">
                  <c:v>3.1333000000000002</c:v>
                </c:pt>
                <c:pt idx="654">
                  <c:v>3.26</c:v>
                </c:pt>
                <c:pt idx="655">
                  <c:v>3.2625000000000002</c:v>
                </c:pt>
                <c:pt idx="656">
                  <c:v>3.1566999999999998</c:v>
                </c:pt>
                <c:pt idx="657">
                  <c:v>3.1</c:v>
                </c:pt>
                <c:pt idx="658">
                  <c:v>2.9062999999999999</c:v>
                </c:pt>
                <c:pt idx="659">
                  <c:v>2.9375</c:v>
                </c:pt>
                <c:pt idx="660">
                  <c:v>2.6875</c:v>
                </c:pt>
                <c:pt idx="661">
                  <c:v>2.6133000000000002</c:v>
                </c:pt>
                <c:pt idx="662">
                  <c:v>2.5150000000000001</c:v>
                </c:pt>
                <c:pt idx="663">
                  <c:v>2.4687999999999999</c:v>
                </c:pt>
                <c:pt idx="664">
                  <c:v>2.4396</c:v>
                </c:pt>
                <c:pt idx="665">
                  <c:v>2.3738000000000001</c:v>
                </c:pt>
                <c:pt idx="666">
                  <c:v>2.3774999999999999</c:v>
                </c:pt>
                <c:pt idx="667">
                  <c:v>2.4117000000000002</c:v>
                </c:pt>
                <c:pt idx="668">
                  <c:v>2.4207999999999998</c:v>
                </c:pt>
                <c:pt idx="669">
                  <c:v>2.3466999999999998</c:v>
                </c:pt>
                <c:pt idx="670">
                  <c:v>2.2258</c:v>
                </c:pt>
                <c:pt idx="671">
                  <c:v>2.1554000000000002</c:v>
                </c:pt>
                <c:pt idx="672">
                  <c:v>2.1770999999999998</c:v>
                </c:pt>
                <c:pt idx="673">
                  <c:v>2.4392</c:v>
                </c:pt>
                <c:pt idx="674">
                  <c:v>2.9217</c:v>
                </c:pt>
                <c:pt idx="675">
                  <c:v>3.0283000000000002</c:v>
                </c:pt>
                <c:pt idx="676">
                  <c:v>3.1358000000000001</c:v>
                </c:pt>
                <c:pt idx="677">
                  <c:v>3.6025</c:v>
                </c:pt>
                <c:pt idx="678">
                  <c:v>24.948799999999999</c:v>
                </c:pt>
                <c:pt idx="679">
                  <c:v>29.661300000000001</c:v>
                </c:pt>
                <c:pt idx="680">
                  <c:v>32.378300000000003</c:v>
                </c:pt>
                <c:pt idx="681">
                  <c:v>30.1813</c:v>
                </c:pt>
                <c:pt idx="682">
                  <c:v>6.97</c:v>
                </c:pt>
                <c:pt idx="683">
                  <c:v>5.93</c:v>
                </c:pt>
                <c:pt idx="684">
                  <c:v>5.26</c:v>
                </c:pt>
                <c:pt idx="685">
                  <c:v>5.04</c:v>
                </c:pt>
                <c:pt idx="686">
                  <c:v>4.8600000000000003</c:v>
                </c:pt>
                <c:pt idx="687">
                  <c:v>5.17</c:v>
                </c:pt>
                <c:pt idx="688">
                  <c:v>7.09</c:v>
                </c:pt>
                <c:pt idx="689">
                  <c:v>7.88</c:v>
                </c:pt>
                <c:pt idx="690">
                  <c:v>7.92</c:v>
                </c:pt>
                <c:pt idx="691">
                  <c:v>9.18</c:v>
                </c:pt>
                <c:pt idx="692">
                  <c:v>8.18</c:v>
                </c:pt>
                <c:pt idx="693">
                  <c:v>7.76</c:v>
                </c:pt>
                <c:pt idx="694">
                  <c:v>6.82</c:v>
                </c:pt>
                <c:pt idx="695">
                  <c:v>5.6</c:v>
                </c:pt>
                <c:pt idx="696">
                  <c:v>4.84</c:v>
                </c:pt>
                <c:pt idx="697">
                  <c:v>4.28</c:v>
                </c:pt>
                <c:pt idx="698">
                  <c:v>4.3499999999999996</c:v>
                </c:pt>
                <c:pt idx="699">
                  <c:v>4.32</c:v>
                </c:pt>
                <c:pt idx="700">
                  <c:v>4.01</c:v>
                </c:pt>
                <c:pt idx="701">
                  <c:v>3.7</c:v>
                </c:pt>
                <c:pt idx="702">
                  <c:v>3.54</c:v>
                </c:pt>
                <c:pt idx="703">
                  <c:v>3.38</c:v>
                </c:pt>
                <c:pt idx="704">
                  <c:v>3.17</c:v>
                </c:pt>
                <c:pt idx="705">
                  <c:v>2.99</c:v>
                </c:pt>
                <c:pt idx="706">
                  <c:v>2.96</c:v>
                </c:pt>
                <c:pt idx="707">
                  <c:v>3.22</c:v>
                </c:pt>
                <c:pt idx="708">
                  <c:v>3.36</c:v>
                </c:pt>
                <c:pt idx="709">
                  <c:v>3.29</c:v>
                </c:pt>
                <c:pt idx="710">
                  <c:v>2.86</c:v>
                </c:pt>
                <c:pt idx="711">
                  <c:v>2.78</c:v>
                </c:pt>
                <c:pt idx="712">
                  <c:v>3.07</c:v>
                </c:pt>
                <c:pt idx="713">
                  <c:v>3</c:v>
                </c:pt>
                <c:pt idx="714">
                  <c:v>4.1399999999999997</c:v>
                </c:pt>
                <c:pt idx="715">
                  <c:v>4.0250000000000004</c:v>
                </c:pt>
                <c:pt idx="716">
                  <c:v>3.55</c:v>
                </c:pt>
                <c:pt idx="717">
                  <c:v>3.43</c:v>
                </c:pt>
                <c:pt idx="718">
                  <c:v>3.49</c:v>
                </c:pt>
                <c:pt idx="719">
                  <c:v>3.75</c:v>
                </c:pt>
                <c:pt idx="720">
                  <c:v>4.21</c:v>
                </c:pt>
                <c:pt idx="721">
                  <c:v>4.2</c:v>
                </c:pt>
                <c:pt idx="722">
                  <c:v>3.76</c:v>
                </c:pt>
                <c:pt idx="723">
                  <c:v>3.47</c:v>
                </c:pt>
                <c:pt idx="724">
                  <c:v>3.24</c:v>
                </c:pt>
                <c:pt idx="725">
                  <c:v>3.1</c:v>
                </c:pt>
                <c:pt idx="726">
                  <c:v>3.06</c:v>
                </c:pt>
                <c:pt idx="727">
                  <c:v>2.79</c:v>
                </c:pt>
                <c:pt idx="728">
                  <c:v>2.48</c:v>
                </c:pt>
                <c:pt idx="729">
                  <c:v>2.59</c:v>
                </c:pt>
                <c:pt idx="730">
                  <c:v>2.5</c:v>
                </c:pt>
                <c:pt idx="731">
                  <c:v>2.5</c:v>
                </c:pt>
                <c:pt idx="732">
                  <c:v>2.93</c:v>
                </c:pt>
                <c:pt idx="733">
                  <c:v>3.9</c:v>
                </c:pt>
                <c:pt idx="734">
                  <c:v>3.32</c:v>
                </c:pt>
                <c:pt idx="735">
                  <c:v>3.17</c:v>
                </c:pt>
                <c:pt idx="736">
                  <c:v>3.26</c:v>
                </c:pt>
                <c:pt idx="737">
                  <c:v>2.92</c:v>
                </c:pt>
                <c:pt idx="738">
                  <c:v>2.95</c:v>
                </c:pt>
                <c:pt idx="739">
                  <c:v>2.9</c:v>
                </c:pt>
                <c:pt idx="740">
                  <c:v>3.26</c:v>
                </c:pt>
                <c:pt idx="741">
                  <c:v>4.53</c:v>
                </c:pt>
                <c:pt idx="742">
                  <c:v>5.15</c:v>
                </c:pt>
                <c:pt idx="743">
                  <c:v>4.4000000000000004</c:v>
                </c:pt>
                <c:pt idx="744">
                  <c:v>5.03</c:v>
                </c:pt>
                <c:pt idx="745">
                  <c:v>5.71</c:v>
                </c:pt>
                <c:pt idx="746">
                  <c:v>4.72</c:v>
                </c:pt>
                <c:pt idx="747">
                  <c:v>4.28</c:v>
                </c:pt>
                <c:pt idx="748">
                  <c:v>4.38</c:v>
                </c:pt>
                <c:pt idx="749">
                  <c:v>4.9000000000000004</c:v>
                </c:pt>
                <c:pt idx="750">
                  <c:v>5.6</c:v>
                </c:pt>
                <c:pt idx="751">
                  <c:v>5.2</c:v>
                </c:pt>
                <c:pt idx="752">
                  <c:v>8.0299999999999994</c:v>
                </c:pt>
                <c:pt idx="753">
                  <c:v>9.2899999999999991</c:v>
                </c:pt>
                <c:pt idx="754">
                  <c:v>8.48</c:v>
                </c:pt>
                <c:pt idx="755">
                  <c:v>8.11</c:v>
                </c:pt>
                <c:pt idx="756">
                  <c:v>11.76</c:v>
                </c:pt>
                <c:pt idx="757">
                  <c:v>24.53</c:v>
                </c:pt>
                <c:pt idx="758">
                  <c:v>19.87</c:v>
                </c:pt>
                <c:pt idx="759">
                  <c:v>12.69</c:v>
                </c:pt>
                <c:pt idx="760">
                  <c:v>9.33</c:v>
                </c:pt>
                <c:pt idx="761">
                  <c:v>8.7100000000000009</c:v>
                </c:pt>
                <c:pt idx="762">
                  <c:v>11.11</c:v>
                </c:pt>
                <c:pt idx="763">
                  <c:v>13.36</c:v>
                </c:pt>
                <c:pt idx="764">
                  <c:v>15.94</c:v>
                </c:pt>
                <c:pt idx="765">
                  <c:v>12.95</c:v>
                </c:pt>
                <c:pt idx="766">
                  <c:v>10.69</c:v>
                </c:pt>
                <c:pt idx="767">
                  <c:v>8.69</c:v>
                </c:pt>
                <c:pt idx="768">
                  <c:v>7.27</c:v>
                </c:pt>
                <c:pt idx="769">
                  <c:v>8.02</c:v>
                </c:pt>
                <c:pt idx="770">
                  <c:v>11.99</c:v>
                </c:pt>
                <c:pt idx="771">
                  <c:v>19.23</c:v>
                </c:pt>
                <c:pt idx="772">
                  <c:v>17.62</c:v>
                </c:pt>
                <c:pt idx="773">
                  <c:v>12.94</c:v>
                </c:pt>
                <c:pt idx="774">
                  <c:v>12.29</c:v>
                </c:pt>
                <c:pt idx="775">
                  <c:v>12.55</c:v>
                </c:pt>
                <c:pt idx="776">
                  <c:v>16.23</c:v>
                </c:pt>
                <c:pt idx="777">
                  <c:v>16.7</c:v>
                </c:pt>
                <c:pt idx="778">
                  <c:v>14.49</c:v>
                </c:pt>
                <c:pt idx="779">
                  <c:v>13.62</c:v>
                </c:pt>
                <c:pt idx="780">
                  <c:v>16.32</c:v>
                </c:pt>
                <c:pt idx="781">
                  <c:v>17.649999999999999</c:v>
                </c:pt>
                <c:pt idx="782">
                  <c:v>19.010000000000002</c:v>
                </c:pt>
                <c:pt idx="783">
                  <c:v>18.239999999999998</c:v>
                </c:pt>
                <c:pt idx="784">
                  <c:v>19.010000000000002</c:v>
                </c:pt>
                <c:pt idx="785">
                  <c:v>22.45</c:v>
                </c:pt>
                <c:pt idx="786">
                  <c:v>26.02</c:v>
                </c:pt>
                <c:pt idx="787">
                  <c:v>26.11</c:v>
                </c:pt>
                <c:pt idx="788">
                  <c:v>22.82</c:v>
                </c:pt>
                <c:pt idx="789">
                  <c:v>17.22</c:v>
                </c:pt>
                <c:pt idx="790">
                  <c:v>13.59</c:v>
                </c:pt>
                <c:pt idx="791">
                  <c:v>11.6</c:v>
                </c:pt>
                <c:pt idx="792">
                  <c:v>9.81</c:v>
                </c:pt>
                <c:pt idx="793">
                  <c:v>10.01</c:v>
                </c:pt>
                <c:pt idx="794">
                  <c:v>12.69</c:v>
                </c:pt>
                <c:pt idx="795">
                  <c:v>12.65</c:v>
                </c:pt>
                <c:pt idx="796">
                  <c:v>9.9</c:v>
                </c:pt>
                <c:pt idx="797">
                  <c:v>11.27</c:v>
                </c:pt>
                <c:pt idx="798">
                  <c:v>12.04</c:v>
                </c:pt>
                <c:pt idx="799">
                  <c:v>12.38</c:v>
                </c:pt>
                <c:pt idx="800">
                  <c:v>14.43</c:v>
                </c:pt>
                <c:pt idx="801">
                  <c:v>16.579999999999998</c:v>
                </c:pt>
                <c:pt idx="802">
                  <c:v>17.72</c:v>
                </c:pt>
                <c:pt idx="803">
                  <c:v>20.62</c:v>
                </c:pt>
                <c:pt idx="804">
                  <c:v>23.3</c:v>
                </c:pt>
                <c:pt idx="805">
                  <c:v>22.35</c:v>
                </c:pt>
                <c:pt idx="806">
                  <c:v>27.09</c:v>
                </c:pt>
                <c:pt idx="807">
                  <c:v>24.43</c:v>
                </c:pt>
                <c:pt idx="808">
                  <c:v>19.7</c:v>
                </c:pt>
                <c:pt idx="809">
                  <c:v>17.53</c:v>
                </c:pt>
                <c:pt idx="810">
                  <c:v>13.57</c:v>
                </c:pt>
                <c:pt idx="811">
                  <c:v>11.12</c:v>
                </c:pt>
                <c:pt idx="812">
                  <c:v>9.8699999999999992</c:v>
                </c:pt>
                <c:pt idx="813">
                  <c:v>8.9</c:v>
                </c:pt>
                <c:pt idx="814">
                  <c:v>7.81</c:v>
                </c:pt>
                <c:pt idx="815">
                  <c:v>7.17</c:v>
                </c:pt>
                <c:pt idx="816">
                  <c:v>7.5651000000000002</c:v>
                </c:pt>
                <c:pt idx="817">
                  <c:v>7.9926000000000004</c:v>
                </c:pt>
                <c:pt idx="818">
                  <c:v>9.4324999999999992</c:v>
                </c:pt>
                <c:pt idx="819">
                  <c:v>10.1495</c:v>
                </c:pt>
                <c:pt idx="820">
                  <c:v>6.6155999999999997</c:v>
                </c:pt>
                <c:pt idx="821">
                  <c:v>5.8666999999999998</c:v>
                </c:pt>
                <c:pt idx="822">
                  <c:v>4.319</c:v>
                </c:pt>
                <c:pt idx="823">
                  <c:v>4.6007999999999996</c:v>
                </c:pt>
                <c:pt idx="824">
                  <c:v>4.6863000000000001</c:v>
                </c:pt>
                <c:pt idx="825">
                  <c:v>5.3525999999999998</c:v>
                </c:pt>
                <c:pt idx="826">
                  <c:v>5.8052999999999999</c:v>
                </c:pt>
                <c:pt idx="827">
                  <c:v>6.3521000000000001</c:v>
                </c:pt>
                <c:pt idx="828">
                  <c:v>6.1471</c:v>
                </c:pt>
                <c:pt idx="829">
                  <c:v>6.3692000000000002</c:v>
                </c:pt>
                <c:pt idx="830">
                  <c:v>7.0529999999999999</c:v>
                </c:pt>
                <c:pt idx="831">
                  <c:v>5.7933000000000003</c:v>
                </c:pt>
                <c:pt idx="832">
                  <c:v>5.4466000000000001</c:v>
                </c:pt>
                <c:pt idx="833">
                  <c:v>5.4123999999999999</c:v>
                </c:pt>
                <c:pt idx="834">
                  <c:v>6.1898</c:v>
                </c:pt>
                <c:pt idx="835">
                  <c:v>6.0103999999999997</c:v>
                </c:pt>
                <c:pt idx="836">
                  <c:v>5.2756999999999996</c:v>
                </c:pt>
                <c:pt idx="837">
                  <c:v>5.2073999999999998</c:v>
                </c:pt>
                <c:pt idx="838">
                  <c:v>5.7114000000000003</c:v>
                </c:pt>
                <c:pt idx="839">
                  <c:v>6.8029999999999999</c:v>
                </c:pt>
                <c:pt idx="840">
                  <c:v>7.2918000000000003</c:v>
                </c:pt>
                <c:pt idx="841">
                  <c:v>7.9130000000000003</c:v>
                </c:pt>
                <c:pt idx="842">
                  <c:v>9.2797000000000001</c:v>
                </c:pt>
                <c:pt idx="843">
                  <c:v>9.0722000000000005</c:v>
                </c:pt>
                <c:pt idx="844">
                  <c:v>9.4613999999999994</c:v>
                </c:pt>
                <c:pt idx="845">
                  <c:v>10.931699999999999</c:v>
                </c:pt>
                <c:pt idx="846">
                  <c:v>12.7623</c:v>
                </c:pt>
                <c:pt idx="847">
                  <c:v>15.3858</c:v>
                </c:pt>
                <c:pt idx="848">
                  <c:v>17.274100000000001</c:v>
                </c:pt>
                <c:pt idx="849">
                  <c:v>18.571400000000001</c:v>
                </c:pt>
                <c:pt idx="850">
                  <c:v>13.007400000000001</c:v>
                </c:pt>
                <c:pt idx="851">
                  <c:v>13.050599999999999</c:v>
                </c:pt>
                <c:pt idx="852">
                  <c:v>10.0235</c:v>
                </c:pt>
                <c:pt idx="853">
                  <c:v>9.6199999999999992</c:v>
                </c:pt>
                <c:pt idx="854">
                  <c:v>6.1989999999999998</c:v>
                </c:pt>
                <c:pt idx="855">
                  <c:v>5.2329999999999997</c:v>
                </c:pt>
                <c:pt idx="856">
                  <c:v>4.9425999999999997</c:v>
                </c:pt>
                <c:pt idx="857">
                  <c:v>5.3098999999999998</c:v>
                </c:pt>
                <c:pt idx="858">
                  <c:v>10.081200000000001</c:v>
                </c:pt>
                <c:pt idx="859">
                  <c:v>11.436199999999999</c:v>
                </c:pt>
                <c:pt idx="860">
                  <c:v>13.886699999999999</c:v>
                </c:pt>
                <c:pt idx="861">
                  <c:v>13.411</c:v>
                </c:pt>
                <c:pt idx="862">
                  <c:v>12.517300000000001</c:v>
                </c:pt>
                <c:pt idx="863">
                  <c:v>12.2277</c:v>
                </c:pt>
                <c:pt idx="864">
                  <c:v>13.6128</c:v>
                </c:pt>
                <c:pt idx="865">
                  <c:v>14.3912</c:v>
                </c:pt>
                <c:pt idx="866">
                  <c:v>12.709099999999999</c:v>
                </c:pt>
                <c:pt idx="867">
                  <c:v>12.0128</c:v>
                </c:pt>
                <c:pt idx="868">
                  <c:v>9.5335000000000001</c:v>
                </c:pt>
                <c:pt idx="869">
                  <c:v>9.4182000000000006</c:v>
                </c:pt>
                <c:pt idx="870">
                  <c:v>7.5115999999999996</c:v>
                </c:pt>
                <c:pt idx="871">
                  <c:v>8.0123999999999995</c:v>
                </c:pt>
                <c:pt idx="872">
                  <c:v>7.7736999999999998</c:v>
                </c:pt>
                <c:pt idx="873">
                  <c:v>8.39</c:v>
                </c:pt>
                <c:pt idx="874">
                  <c:v>10.1533</c:v>
                </c:pt>
                <c:pt idx="875">
                  <c:v>11.378500000000001</c:v>
                </c:pt>
                <c:pt idx="876">
                  <c:v>14.6218</c:v>
                </c:pt>
                <c:pt idx="877">
                  <c:v>18.369599999999998</c:v>
                </c:pt>
                <c:pt idx="878">
                  <c:v>20.805700000000002</c:v>
                </c:pt>
                <c:pt idx="879">
                  <c:v>20.3444</c:v>
                </c:pt>
                <c:pt idx="880">
                  <c:v>22.362400000000001</c:v>
                </c:pt>
                <c:pt idx="881">
                  <c:v>25.980499999999999</c:v>
                </c:pt>
                <c:pt idx="882">
                  <c:v>15.5588</c:v>
                </c:pt>
                <c:pt idx="883">
                  <c:v>11.738899999999999</c:v>
                </c:pt>
                <c:pt idx="884">
                  <c:v>10.2974</c:v>
                </c:pt>
                <c:pt idx="885">
                  <c:v>8.6829999999999998</c:v>
                </c:pt>
                <c:pt idx="886">
                  <c:v>8.6252999999999993</c:v>
                </c:pt>
                <c:pt idx="887">
                  <c:v>10.441599999999999</c:v>
                </c:pt>
                <c:pt idx="888">
                  <c:v>9.7640999999999991</c:v>
                </c:pt>
                <c:pt idx="889">
                  <c:v>5.9762000000000004</c:v>
                </c:pt>
                <c:pt idx="890">
                  <c:v>7.6261999999999999</c:v>
                </c:pt>
                <c:pt idx="891">
                  <c:v>9.3605</c:v>
                </c:pt>
                <c:pt idx="892">
                  <c:v>8.2075999999999993</c:v>
                </c:pt>
                <c:pt idx="893">
                  <c:v>7.6896000000000004</c:v>
                </c:pt>
                <c:pt idx="894">
                  <c:v>8.468</c:v>
                </c:pt>
                <c:pt idx="895">
                  <c:v>5.7287999999999997</c:v>
                </c:pt>
                <c:pt idx="896">
                  <c:v>5.5064000000000002</c:v>
                </c:pt>
                <c:pt idx="897">
                  <c:v>5.6260000000000003</c:v>
                </c:pt>
                <c:pt idx="898">
                  <c:v>6.0787000000000004</c:v>
                </c:pt>
                <c:pt idx="899">
                  <c:v>7.0758999999999999</c:v>
                </c:pt>
                <c:pt idx="900">
                  <c:v>10.1244</c:v>
                </c:pt>
                <c:pt idx="901">
                  <c:v>10.383900000000001</c:v>
                </c:pt>
                <c:pt idx="902">
                  <c:v>9.3172999999999995</c:v>
                </c:pt>
                <c:pt idx="903">
                  <c:v>10.0236</c:v>
                </c:pt>
                <c:pt idx="904">
                  <c:v>12.228999999999999</c:v>
                </c:pt>
                <c:pt idx="905">
                  <c:v>13.209199999999999</c:v>
                </c:pt>
                <c:pt idx="906">
                  <c:v>14.059699999999999</c:v>
                </c:pt>
                <c:pt idx="907">
                  <c:v>15.947900000000001</c:v>
                </c:pt>
                <c:pt idx="908">
                  <c:v>17.951599999999999</c:v>
                </c:pt>
                <c:pt idx="909">
                  <c:v>18.888500000000001</c:v>
                </c:pt>
                <c:pt idx="910">
                  <c:v>16.120899999999999</c:v>
                </c:pt>
                <c:pt idx="911">
                  <c:v>15.8903</c:v>
                </c:pt>
                <c:pt idx="912">
                  <c:v>14.189399999999999</c:v>
                </c:pt>
                <c:pt idx="913">
                  <c:v>9.4994999999999994</c:v>
                </c:pt>
                <c:pt idx="914">
                  <c:v>6.2409999999999997</c:v>
                </c:pt>
                <c:pt idx="915">
                  <c:v>6.3007999999999997</c:v>
                </c:pt>
                <c:pt idx="916">
                  <c:v>5.9164000000000003</c:v>
                </c:pt>
                <c:pt idx="917">
                  <c:v>5.4893000000000001</c:v>
                </c:pt>
                <c:pt idx="918">
                  <c:v>5.4806999999999997</c:v>
                </c:pt>
                <c:pt idx="919">
                  <c:v>9.3309999999999995</c:v>
                </c:pt>
                <c:pt idx="920">
                  <c:v>6.2704000000000004</c:v>
                </c:pt>
                <c:pt idx="921">
                  <c:v>6.1726999999999999</c:v>
                </c:pt>
                <c:pt idx="922">
                  <c:v>6.1641000000000004</c:v>
                </c:pt>
                <c:pt idx="923">
                  <c:v>6.1043000000000003</c:v>
                </c:pt>
                <c:pt idx="924">
                  <c:v>6.8902999999999999</c:v>
                </c:pt>
                <c:pt idx="925">
                  <c:v>7.7519</c:v>
                </c:pt>
                <c:pt idx="926">
                  <c:v>10.917299999999999</c:v>
                </c:pt>
                <c:pt idx="927">
                  <c:v>9.3521000000000001</c:v>
                </c:pt>
                <c:pt idx="928">
                  <c:v>6.9348999999999998</c:v>
                </c:pt>
                <c:pt idx="929">
                  <c:v>4.8657000000000004</c:v>
                </c:pt>
                <c:pt idx="930">
                  <c:v>4.9596</c:v>
                </c:pt>
                <c:pt idx="931">
                  <c:v>5.2586000000000004</c:v>
                </c:pt>
                <c:pt idx="932">
                  <c:v>5.2586000000000004</c:v>
                </c:pt>
                <c:pt idx="933">
                  <c:v>4.3872999999999998</c:v>
                </c:pt>
                <c:pt idx="934">
                  <c:v>3.4476</c:v>
                </c:pt>
                <c:pt idx="935">
                  <c:v>2.9094000000000002</c:v>
                </c:pt>
                <c:pt idx="936">
                  <c:v>2.7936999999999999</c:v>
                </c:pt>
                <c:pt idx="937">
                  <c:v>3.3451</c:v>
                </c:pt>
                <c:pt idx="938">
                  <c:v>3.69</c:v>
                </c:pt>
                <c:pt idx="939">
                  <c:v>4.96</c:v>
                </c:pt>
                <c:pt idx="940">
                  <c:v>5.36</c:v>
                </c:pt>
                <c:pt idx="941">
                  <c:v>4.9000000000000004</c:v>
                </c:pt>
                <c:pt idx="942">
                  <c:v>4.43</c:v>
                </c:pt>
                <c:pt idx="943">
                  <c:v>5.88</c:v>
                </c:pt>
                <c:pt idx="944">
                  <c:v>4.6900000000000004</c:v>
                </c:pt>
                <c:pt idx="945">
                  <c:v>4.8099999999999996</c:v>
                </c:pt>
                <c:pt idx="946">
                  <c:v>5.07</c:v>
                </c:pt>
                <c:pt idx="947">
                  <c:v>5.35</c:v>
                </c:pt>
                <c:pt idx="948">
                  <c:v>5.4</c:v>
                </c:pt>
                <c:pt idx="949">
                  <c:v>5.18</c:v>
                </c:pt>
                <c:pt idx="950">
                  <c:v>4.63</c:v>
                </c:pt>
                <c:pt idx="951">
                  <c:v>4.3600000000000003</c:v>
                </c:pt>
                <c:pt idx="952">
                  <c:v>3.55</c:v>
                </c:pt>
                <c:pt idx="953">
                  <c:v>3.25</c:v>
                </c:pt>
                <c:pt idx="954">
                  <c:v>3.07</c:v>
                </c:pt>
                <c:pt idx="955">
                  <c:v>3.08</c:v>
                </c:pt>
                <c:pt idx="956">
                  <c:v>4.6900000000000004</c:v>
                </c:pt>
                <c:pt idx="957">
                  <c:v>5.66</c:v>
                </c:pt>
                <c:pt idx="958">
                  <c:v>5.66</c:v>
                </c:pt>
                <c:pt idx="959">
                  <c:v>5.09</c:v>
                </c:pt>
                <c:pt idx="960">
                  <c:v>4.78</c:v>
                </c:pt>
                <c:pt idx="961">
                  <c:v>4.59</c:v>
                </c:pt>
                <c:pt idx="962">
                  <c:v>4.4400000000000004</c:v>
                </c:pt>
                <c:pt idx="963">
                  <c:v>4.78</c:v>
                </c:pt>
                <c:pt idx="964">
                  <c:v>4.8499999999999996</c:v>
                </c:pt>
                <c:pt idx="965">
                  <c:v>4.8600000000000003</c:v>
                </c:pt>
                <c:pt idx="966">
                  <c:v>5.18</c:v>
                </c:pt>
                <c:pt idx="967">
                  <c:v>4.9000000000000004</c:v>
                </c:pt>
                <c:pt idx="968">
                  <c:v>4.45</c:v>
                </c:pt>
                <c:pt idx="969">
                  <c:v>4.4000000000000004</c:v>
                </c:pt>
                <c:pt idx="970">
                  <c:v>4.95</c:v>
                </c:pt>
                <c:pt idx="971">
                  <c:v>5.76</c:v>
                </c:pt>
                <c:pt idx="972">
                  <c:v>7.3</c:v>
                </c:pt>
                <c:pt idx="973">
                  <c:v>10.95</c:v>
                </c:pt>
                <c:pt idx="974">
                  <c:v>12.21</c:v>
                </c:pt>
                <c:pt idx="975">
                  <c:v>9.08</c:v>
                </c:pt>
                <c:pt idx="976">
                  <c:v>7.04</c:v>
                </c:pt>
                <c:pt idx="977">
                  <c:v>6.71</c:v>
                </c:pt>
                <c:pt idx="978">
                  <c:v>6.82</c:v>
                </c:pt>
                <c:pt idx="979">
                  <c:v>6.25</c:v>
                </c:pt>
                <c:pt idx="980">
                  <c:v>6.25</c:v>
                </c:pt>
                <c:pt idx="981">
                  <c:v>6.72</c:v>
                </c:pt>
                <c:pt idx="982">
                  <c:v>6.45</c:v>
                </c:pt>
                <c:pt idx="983">
                  <c:v>6.97</c:v>
                </c:pt>
                <c:pt idx="984">
                  <c:v>9.43</c:v>
                </c:pt>
                <c:pt idx="985">
                  <c:v>14.16</c:v>
                </c:pt>
                <c:pt idx="986">
                  <c:v>22.26</c:v>
                </c:pt>
                <c:pt idx="987">
                  <c:v>23.13</c:v>
                </c:pt>
                <c:pt idx="988">
                  <c:v>22.45</c:v>
                </c:pt>
                <c:pt idx="989">
                  <c:v>23.93</c:v>
                </c:pt>
                <c:pt idx="990">
                  <c:v>17.23</c:v>
                </c:pt>
                <c:pt idx="991">
                  <c:v>15.2</c:v>
                </c:pt>
                <c:pt idx="992">
                  <c:v>16.55</c:v>
                </c:pt>
                <c:pt idx="993">
                  <c:v>17.27</c:v>
                </c:pt>
                <c:pt idx="994">
                  <c:v>14.19</c:v>
                </c:pt>
                <c:pt idx="995">
                  <c:v>12.17</c:v>
                </c:pt>
                <c:pt idx="996">
                  <c:v>9.26</c:v>
                </c:pt>
                <c:pt idx="997">
                  <c:v>7.69</c:v>
                </c:pt>
                <c:pt idx="998">
                  <c:v>7.18</c:v>
                </c:pt>
                <c:pt idx="999">
                  <c:v>6.8</c:v>
                </c:pt>
                <c:pt idx="1000">
                  <c:v>5.88</c:v>
                </c:pt>
                <c:pt idx="1001">
                  <c:v>5.59</c:v>
                </c:pt>
                <c:pt idx="1002">
                  <c:v>7.15</c:v>
                </c:pt>
                <c:pt idx="1003">
                  <c:v>6.9</c:v>
                </c:pt>
                <c:pt idx="1004">
                  <c:v>6.35</c:v>
                </c:pt>
                <c:pt idx="1005">
                  <c:v>6.43</c:v>
                </c:pt>
                <c:pt idx="1006">
                  <c:v>8.59</c:v>
                </c:pt>
                <c:pt idx="1007">
                  <c:v>11.09</c:v>
                </c:pt>
                <c:pt idx="1008">
                  <c:v>16.14</c:v>
                </c:pt>
                <c:pt idx="1009">
                  <c:v>23</c:v>
                </c:pt>
                <c:pt idx="1010">
                  <c:v>20.73</c:v>
                </c:pt>
                <c:pt idx="1011">
                  <c:v>19.03</c:v>
                </c:pt>
                <c:pt idx="1012">
                  <c:v>18.45</c:v>
                </c:pt>
                <c:pt idx="1013">
                  <c:v>18.28</c:v>
                </c:pt>
                <c:pt idx="1014">
                  <c:v>16.7</c:v>
                </c:pt>
                <c:pt idx="1015">
                  <c:v>19.649999999999999</c:v>
                </c:pt>
                <c:pt idx="1016">
                  <c:v>17.97</c:v>
                </c:pt>
                <c:pt idx="1017">
                  <c:v>14</c:v>
                </c:pt>
                <c:pt idx="1018">
                  <c:v>11.44</c:v>
                </c:pt>
                <c:pt idx="1019">
                  <c:v>9.1199999999999992</c:v>
                </c:pt>
                <c:pt idx="1020">
                  <c:v>8.39</c:v>
                </c:pt>
                <c:pt idx="1021">
                  <c:v>8.57</c:v>
                </c:pt>
                <c:pt idx="1022">
                  <c:v>7.98</c:v>
                </c:pt>
                <c:pt idx="1023">
                  <c:v>7.6</c:v>
                </c:pt>
                <c:pt idx="1024">
                  <c:v>7.44</c:v>
                </c:pt>
                <c:pt idx="1025">
                  <c:v>7.51</c:v>
                </c:pt>
                <c:pt idx="1026">
                  <c:v>7.33</c:v>
                </c:pt>
                <c:pt idx="1027">
                  <c:v>7.2</c:v>
                </c:pt>
                <c:pt idx="1028">
                  <c:v>5.83</c:v>
                </c:pt>
                <c:pt idx="1029">
                  <c:v>5.96</c:v>
                </c:pt>
                <c:pt idx="1030">
                  <c:v>5.21</c:v>
                </c:pt>
                <c:pt idx="1031">
                  <c:v>5.19</c:v>
                </c:pt>
                <c:pt idx="1032">
                  <c:v>5.57</c:v>
                </c:pt>
                <c:pt idx="1033">
                  <c:v>5.47</c:v>
                </c:pt>
                <c:pt idx="1034">
                  <c:v>4.97</c:v>
                </c:pt>
                <c:pt idx="1035">
                  <c:v>4.83</c:v>
                </c:pt>
                <c:pt idx="1036">
                  <c:v>4.84</c:v>
                </c:pt>
                <c:pt idx="1037">
                  <c:v>4.87</c:v>
                </c:pt>
                <c:pt idx="1038">
                  <c:v>4.58</c:v>
                </c:pt>
                <c:pt idx="1039">
                  <c:v>4.6500000000000004</c:v>
                </c:pt>
                <c:pt idx="1040">
                  <c:v>5</c:v>
                </c:pt>
                <c:pt idx="1041">
                  <c:v>5.19</c:v>
                </c:pt>
                <c:pt idx="1042">
                  <c:v>4.87</c:v>
                </c:pt>
                <c:pt idx="1043">
                  <c:v>4.9000000000000004</c:v>
                </c:pt>
                <c:pt idx="1044">
                  <c:v>5.22</c:v>
                </c:pt>
                <c:pt idx="1045">
                  <c:v>4.58</c:v>
                </c:pt>
                <c:pt idx="1046">
                  <c:v>4.18</c:v>
                </c:pt>
                <c:pt idx="1047">
                  <c:v>4.09</c:v>
                </c:pt>
                <c:pt idx="1048">
                  <c:v>3.83</c:v>
                </c:pt>
                <c:pt idx="1049">
                  <c:v>3.51</c:v>
                </c:pt>
                <c:pt idx="1050">
                  <c:v>3.42</c:v>
                </c:pt>
                <c:pt idx="1051">
                  <c:v>3.16</c:v>
                </c:pt>
                <c:pt idx="1052">
                  <c:v>3.22</c:v>
                </c:pt>
                <c:pt idx="1053">
                  <c:v>3.01</c:v>
                </c:pt>
                <c:pt idx="1054">
                  <c:v>2.79</c:v>
                </c:pt>
                <c:pt idx="1055">
                  <c:v>2.66</c:v>
                </c:pt>
                <c:pt idx="1056">
                  <c:v>2.58</c:v>
                </c:pt>
                <c:pt idx="1057">
                  <c:v>2.5099999999999998</c:v>
                </c:pt>
                <c:pt idx="1058">
                  <c:v>2.48</c:v>
                </c:pt>
                <c:pt idx="1059">
                  <c:v>2.42</c:v>
                </c:pt>
                <c:pt idx="1060">
                  <c:v>2.39</c:v>
                </c:pt>
                <c:pt idx="1061">
                  <c:v>2.38</c:v>
                </c:pt>
                <c:pt idx="1062">
                  <c:v>2.38</c:v>
                </c:pt>
                <c:pt idx="1063">
                  <c:v>2.37</c:v>
                </c:pt>
                <c:pt idx="1064">
                  <c:v>2.37</c:v>
                </c:pt>
                <c:pt idx="1065">
                  <c:v>2.48</c:v>
                </c:pt>
                <c:pt idx="1066">
                  <c:v>2.56</c:v>
                </c:pt>
                <c:pt idx="1067">
                  <c:v>2.4700000000000002</c:v>
                </c:pt>
                <c:pt idx="1068">
                  <c:v>2.41</c:v>
                </c:pt>
                <c:pt idx="1069">
                  <c:v>2.31</c:v>
                </c:pt>
                <c:pt idx="1070">
                  <c:v>2.4900000000000002</c:v>
                </c:pt>
                <c:pt idx="1071">
                  <c:v>2.42</c:v>
                </c:pt>
                <c:pt idx="1072">
                  <c:v>2.35</c:v>
                </c:pt>
                <c:pt idx="1073">
                  <c:v>2.2999999999999998</c:v>
                </c:pt>
                <c:pt idx="1074">
                  <c:v>2.17</c:v>
                </c:pt>
                <c:pt idx="1075">
                  <c:v>2.12</c:v>
                </c:pt>
                <c:pt idx="1076">
                  <c:v>2.08</c:v>
                </c:pt>
                <c:pt idx="1077">
                  <c:v>2.09</c:v>
                </c:pt>
                <c:pt idx="1078">
                  <c:v>2.02</c:v>
                </c:pt>
                <c:pt idx="1079">
                  <c:v>2.02</c:v>
                </c:pt>
                <c:pt idx="1080">
                  <c:v>1.98</c:v>
                </c:pt>
                <c:pt idx="1081">
                  <c:v>1.96</c:v>
                </c:pt>
                <c:pt idx="1082">
                  <c:v>1.9</c:v>
                </c:pt>
                <c:pt idx="1083">
                  <c:v>1.94</c:v>
                </c:pt>
                <c:pt idx="1084">
                  <c:v>1.91</c:v>
                </c:pt>
                <c:pt idx="1085">
                  <c:v>1.86</c:v>
                </c:pt>
                <c:pt idx="1086">
                  <c:v>1.85</c:v>
                </c:pt>
                <c:pt idx="1087">
                  <c:v>1.78</c:v>
                </c:pt>
                <c:pt idx="1088">
                  <c:v>1.79</c:v>
                </c:pt>
                <c:pt idx="1089">
                  <c:v>1.75</c:v>
                </c:pt>
                <c:pt idx="1090">
                  <c:v>1.77</c:v>
                </c:pt>
                <c:pt idx="1091">
                  <c:v>1.74</c:v>
                </c:pt>
                <c:pt idx="1092">
                  <c:v>1.71</c:v>
                </c:pt>
                <c:pt idx="1093">
                  <c:v>1.72</c:v>
                </c:pt>
                <c:pt idx="1094">
                  <c:v>1.71</c:v>
                </c:pt>
                <c:pt idx="1095">
                  <c:v>1.74</c:v>
                </c:pt>
                <c:pt idx="1096">
                  <c:v>1.71</c:v>
                </c:pt>
                <c:pt idx="1097">
                  <c:v>1.75</c:v>
                </c:pt>
                <c:pt idx="1098">
                  <c:v>1.74</c:v>
                </c:pt>
                <c:pt idx="1099">
                  <c:v>1.54</c:v>
                </c:pt>
                <c:pt idx="1100">
                  <c:v>1.55</c:v>
                </c:pt>
                <c:pt idx="1101">
                  <c:v>1.58</c:v>
                </c:pt>
                <c:pt idx="1102">
                  <c:v>1.51</c:v>
                </c:pt>
                <c:pt idx="1103">
                  <c:v>1.51</c:v>
                </c:pt>
                <c:pt idx="1104">
                  <c:v>1.54</c:v>
                </c:pt>
                <c:pt idx="1105">
                  <c:v>1.47</c:v>
                </c:pt>
                <c:pt idx="1106">
                  <c:v>1.44</c:v>
                </c:pt>
                <c:pt idx="1107">
                  <c:v>1.48</c:v>
                </c:pt>
                <c:pt idx="1108">
                  <c:v>1.51</c:v>
                </c:pt>
                <c:pt idx="1109">
                  <c:v>1.48</c:v>
                </c:pt>
                <c:pt idx="1110">
                  <c:v>1.48</c:v>
                </c:pt>
                <c:pt idx="1111">
                  <c:v>1.5</c:v>
                </c:pt>
                <c:pt idx="1112">
                  <c:v>1.47</c:v>
                </c:pt>
                <c:pt idx="1113">
                  <c:v>1.39</c:v>
                </c:pt>
                <c:pt idx="1114">
                  <c:v>1.39</c:v>
                </c:pt>
                <c:pt idx="1115">
                  <c:v>1.38</c:v>
                </c:pt>
                <c:pt idx="1116">
                  <c:v>1.37</c:v>
                </c:pt>
                <c:pt idx="1117">
                  <c:v>1.34</c:v>
                </c:pt>
                <c:pt idx="1118">
                  <c:v>1.36</c:v>
                </c:pt>
                <c:pt idx="1119">
                  <c:v>1.32</c:v>
                </c:pt>
                <c:pt idx="1120">
                  <c:v>1.27</c:v>
                </c:pt>
                <c:pt idx="1121">
                  <c:v>1.28</c:v>
                </c:pt>
                <c:pt idx="1122">
                  <c:v>1.32</c:v>
                </c:pt>
                <c:pt idx="1123">
                  <c:v>1.3</c:v>
                </c:pt>
                <c:pt idx="1124">
                  <c:v>1.23</c:v>
                </c:pt>
                <c:pt idx="1125">
                  <c:v>1.23</c:v>
                </c:pt>
                <c:pt idx="1126">
                  <c:v>1.21</c:v>
                </c:pt>
                <c:pt idx="1127">
                  <c:v>1.23</c:v>
                </c:pt>
                <c:pt idx="1128">
                  <c:v>1.18</c:v>
                </c:pt>
                <c:pt idx="1129">
                  <c:v>1.1399999999999999</c:v>
                </c:pt>
                <c:pt idx="1130">
                  <c:v>1.1399999999999999</c:v>
                </c:pt>
                <c:pt idx="1131">
                  <c:v>1.1399999999999999</c:v>
                </c:pt>
                <c:pt idx="1132">
                  <c:v>1.1200000000000001</c:v>
                </c:pt>
                <c:pt idx="1133">
                  <c:v>1.22</c:v>
                </c:pt>
                <c:pt idx="1134">
                  <c:v>1.73</c:v>
                </c:pt>
                <c:pt idx="1135">
                  <c:v>1.86</c:v>
                </c:pt>
                <c:pt idx="1136">
                  <c:v>1.86</c:v>
                </c:pt>
                <c:pt idx="1137">
                  <c:v>1.82</c:v>
                </c:pt>
                <c:pt idx="1138">
                  <c:v>1.72</c:v>
                </c:pt>
                <c:pt idx="1139">
                  <c:v>1.56</c:v>
                </c:pt>
                <c:pt idx="1140">
                  <c:v>1.66</c:v>
                </c:pt>
                <c:pt idx="1141">
                  <c:v>1.74</c:v>
                </c:pt>
                <c:pt idx="1142">
                  <c:v>1.74</c:v>
                </c:pt>
                <c:pt idx="1143">
                  <c:v>1.73</c:v>
                </c:pt>
                <c:pt idx="1144">
                  <c:v>1.71</c:v>
                </c:pt>
                <c:pt idx="1145">
                  <c:v>1.72</c:v>
                </c:pt>
                <c:pt idx="1146">
                  <c:v>1.69</c:v>
                </c:pt>
                <c:pt idx="1147">
                  <c:v>1.71</c:v>
                </c:pt>
                <c:pt idx="1148">
                  <c:v>1.66</c:v>
                </c:pt>
                <c:pt idx="1149">
                  <c:v>1.7</c:v>
                </c:pt>
                <c:pt idx="1150">
                  <c:v>1.55</c:v>
                </c:pt>
                <c:pt idx="1151">
                  <c:v>1.48</c:v>
                </c:pt>
                <c:pt idx="1152">
                  <c:v>1.4</c:v>
                </c:pt>
                <c:pt idx="1153">
                  <c:v>1.48</c:v>
                </c:pt>
                <c:pt idx="1154">
                  <c:v>1.61</c:v>
                </c:pt>
                <c:pt idx="1155">
                  <c:v>1.63</c:v>
                </c:pt>
                <c:pt idx="1156">
                  <c:v>1.53</c:v>
                </c:pt>
                <c:pt idx="1157">
                  <c:v>1.59</c:v>
                </c:pt>
                <c:pt idx="1158">
                  <c:v>1.56</c:v>
                </c:pt>
                <c:pt idx="1159">
                  <c:v>1.5</c:v>
                </c:pt>
                <c:pt idx="1160">
                  <c:v>1.46</c:v>
                </c:pt>
                <c:pt idx="1161">
                  <c:v>1.53</c:v>
                </c:pt>
                <c:pt idx="1162">
                  <c:v>1.53</c:v>
                </c:pt>
                <c:pt idx="1163">
                  <c:v>1.51</c:v>
                </c:pt>
                <c:pt idx="1164">
                  <c:v>1.48</c:v>
                </c:pt>
                <c:pt idx="1165">
                  <c:v>1.46</c:v>
                </c:pt>
                <c:pt idx="1166">
                  <c:v>1.43</c:v>
                </c:pt>
                <c:pt idx="1167">
                  <c:v>1.39</c:v>
                </c:pt>
                <c:pt idx="1168">
                  <c:v>1.5</c:v>
                </c:pt>
                <c:pt idx="1169">
                  <c:v>1.38</c:v>
                </c:pt>
                <c:pt idx="1170">
                  <c:v>1.39</c:v>
                </c:pt>
                <c:pt idx="1171">
                  <c:v>1.39</c:v>
                </c:pt>
                <c:pt idx="1172">
                  <c:v>1.37</c:v>
                </c:pt>
                <c:pt idx="1173">
                  <c:v>1.41</c:v>
                </c:pt>
                <c:pt idx="1174">
                  <c:v>1.39</c:v>
                </c:pt>
                <c:pt idx="1175">
                  <c:v>1.36</c:v>
                </c:pt>
                <c:pt idx="1176">
                  <c:v>1.4</c:v>
                </c:pt>
                <c:pt idx="1177">
                  <c:v>1.48</c:v>
                </c:pt>
                <c:pt idx="1178">
                  <c:v>1.56</c:v>
                </c:pt>
                <c:pt idx="1179">
                  <c:v>1.6</c:v>
                </c:pt>
                <c:pt idx="1180">
                  <c:v>1.55</c:v>
                </c:pt>
                <c:pt idx="1181">
                  <c:v>1.55</c:v>
                </c:pt>
                <c:pt idx="1182">
                  <c:v>1.6</c:v>
                </c:pt>
                <c:pt idx="1183">
                  <c:v>1.55</c:v>
                </c:pt>
                <c:pt idx="1184">
                  <c:v>1.5</c:v>
                </c:pt>
                <c:pt idx="1185">
                  <c:v>1.6</c:v>
                </c:pt>
                <c:pt idx="1186">
                  <c:v>1.63</c:v>
                </c:pt>
                <c:pt idx="1187">
                  <c:v>1.7</c:v>
                </c:pt>
                <c:pt idx="1188">
                  <c:v>1.78</c:v>
                </c:pt>
                <c:pt idx="1189">
                  <c:v>1.89</c:v>
                </c:pt>
                <c:pt idx="1190">
                  <c:v>1.89</c:v>
                </c:pt>
                <c:pt idx="1191">
                  <c:v>1.81</c:v>
                </c:pt>
                <c:pt idx="1192">
                  <c:v>1.75</c:v>
                </c:pt>
                <c:pt idx="1193">
                  <c:v>1.78</c:v>
                </c:pt>
                <c:pt idx="1194">
                  <c:v>1.79</c:v>
                </c:pt>
                <c:pt idx="1195">
                  <c:v>1.79</c:v>
                </c:pt>
                <c:pt idx="1196">
                  <c:v>1.87</c:v>
                </c:pt>
                <c:pt idx="1197">
                  <c:v>1.96</c:v>
                </c:pt>
                <c:pt idx="1198">
                  <c:v>2.02</c:v>
                </c:pt>
                <c:pt idx="1199">
                  <c:v>1.98</c:v>
                </c:pt>
                <c:pt idx="1200">
                  <c:v>1.96</c:v>
                </c:pt>
                <c:pt idx="1201">
                  <c:v>1.98</c:v>
                </c:pt>
                <c:pt idx="1202">
                  <c:v>1.91</c:v>
                </c:pt>
                <c:pt idx="1203">
                  <c:v>1.8</c:v>
                </c:pt>
                <c:pt idx="1204">
                  <c:v>1.78</c:v>
                </c:pt>
                <c:pt idx="1205">
                  <c:v>1.69</c:v>
                </c:pt>
                <c:pt idx="1206">
                  <c:v>1.65</c:v>
                </c:pt>
                <c:pt idx="1207">
                  <c:v>1.76</c:v>
                </c:pt>
                <c:pt idx="1208">
                  <c:v>1.79</c:v>
                </c:pt>
                <c:pt idx="1209">
                  <c:v>1.88</c:v>
                </c:pt>
                <c:pt idx="1210">
                  <c:v>1.84</c:v>
                </c:pt>
                <c:pt idx="1211">
                  <c:v>1.92</c:v>
                </c:pt>
                <c:pt idx="1212">
                  <c:v>2.0699999999999998</c:v>
                </c:pt>
                <c:pt idx="1213">
                  <c:v>2.35</c:v>
                </c:pt>
                <c:pt idx="1214">
                  <c:v>2.39</c:v>
                </c:pt>
                <c:pt idx="1215">
                  <c:v>2.2999999999999998</c:v>
                </c:pt>
                <c:pt idx="1216">
                  <c:v>2.27</c:v>
                </c:pt>
                <c:pt idx="1217">
                  <c:v>2.27</c:v>
                </c:pt>
                <c:pt idx="1218">
                  <c:v>2.2999999999999998</c:v>
                </c:pt>
                <c:pt idx="1219">
                  <c:v>2.35</c:v>
                </c:pt>
                <c:pt idx="1220">
                  <c:v>2.33</c:v>
                </c:pt>
                <c:pt idx="1221">
                  <c:v>2.38</c:v>
                </c:pt>
                <c:pt idx="1222">
                  <c:v>2.2200000000000002</c:v>
                </c:pt>
                <c:pt idx="1223">
                  <c:v>2.11</c:v>
                </c:pt>
                <c:pt idx="1224">
                  <c:v>2.0699999999999998</c:v>
                </c:pt>
                <c:pt idx="1225">
                  <c:v>2.08</c:v>
                </c:pt>
                <c:pt idx="1226">
                  <c:v>2.14</c:v>
                </c:pt>
                <c:pt idx="1227">
                  <c:v>2.21</c:v>
                </c:pt>
                <c:pt idx="1228">
                  <c:v>2.3199999999999998</c:v>
                </c:pt>
                <c:pt idx="1229">
                  <c:v>2.21</c:v>
                </c:pt>
                <c:pt idx="1230">
                  <c:v>2.23</c:v>
                </c:pt>
                <c:pt idx="1231">
                  <c:v>2.2200000000000002</c:v>
                </c:pt>
                <c:pt idx="1232">
                  <c:v>2.21</c:v>
                </c:pt>
                <c:pt idx="1233">
                  <c:v>2.1800000000000002</c:v>
                </c:pt>
                <c:pt idx="1234">
                  <c:v>2.1800000000000002</c:v>
                </c:pt>
                <c:pt idx="1235">
                  <c:v>2.21</c:v>
                </c:pt>
                <c:pt idx="1236">
                  <c:v>2.79</c:v>
                </c:pt>
                <c:pt idx="1237">
                  <c:v>3.07</c:v>
                </c:pt>
                <c:pt idx="1238">
                  <c:v>2.52</c:v>
                </c:pt>
                <c:pt idx="1239">
                  <c:v>2.3199999999999998</c:v>
                </c:pt>
                <c:pt idx="1240">
                  <c:v>2.2599999999999998</c:v>
                </c:pt>
                <c:pt idx="1241">
                  <c:v>2.17</c:v>
                </c:pt>
                <c:pt idx="1242">
                  <c:v>2</c:v>
                </c:pt>
                <c:pt idx="1243">
                  <c:v>1.92</c:v>
                </c:pt>
                <c:pt idx="1244">
                  <c:v>1.96</c:v>
                </c:pt>
                <c:pt idx="1245">
                  <c:v>1.98</c:v>
                </c:pt>
                <c:pt idx="1246">
                  <c:v>1.97</c:v>
                </c:pt>
                <c:pt idx="1247">
                  <c:v>1.95</c:v>
                </c:pt>
                <c:pt idx="1248">
                  <c:v>2.0299999999999998</c:v>
                </c:pt>
                <c:pt idx="1249">
                  <c:v>2.0499999999999998</c:v>
                </c:pt>
                <c:pt idx="1250">
                  <c:v>2.0499999999999998</c:v>
                </c:pt>
                <c:pt idx="1251">
                  <c:v>1.91</c:v>
                </c:pt>
                <c:pt idx="1252">
                  <c:v>1.87</c:v>
                </c:pt>
                <c:pt idx="1253">
                  <c:v>1.89</c:v>
                </c:pt>
                <c:pt idx="1254">
                  <c:v>2.02</c:v>
                </c:pt>
                <c:pt idx="1255">
                  <c:v>1.93</c:v>
                </c:pt>
                <c:pt idx="1256">
                  <c:v>2.19</c:v>
                </c:pt>
                <c:pt idx="1257">
                  <c:v>2.35</c:v>
                </c:pt>
                <c:pt idx="1258">
                  <c:v>2.4300000000000002</c:v>
                </c:pt>
                <c:pt idx="1259">
                  <c:v>3.19</c:v>
                </c:pt>
                <c:pt idx="1260">
                  <c:v>4.4400000000000004</c:v>
                </c:pt>
                <c:pt idx="1261">
                  <c:v>4.47</c:v>
                </c:pt>
                <c:pt idx="1262">
                  <c:v>4.49</c:v>
                </c:pt>
                <c:pt idx="1263">
                  <c:v>3.35</c:v>
                </c:pt>
                <c:pt idx="1264">
                  <c:v>2.79</c:v>
                </c:pt>
                <c:pt idx="1265">
                  <c:v>2.91</c:v>
                </c:pt>
                <c:pt idx="1266">
                  <c:v>3.45</c:v>
                </c:pt>
                <c:pt idx="1267">
                  <c:v>4.3899999999999997</c:v>
                </c:pt>
                <c:pt idx="1268">
                  <c:v>5.26</c:v>
                </c:pt>
                <c:pt idx="1269">
                  <c:v>5.26</c:v>
                </c:pt>
                <c:pt idx="1270">
                  <c:v>4.96</c:v>
                </c:pt>
                <c:pt idx="1271">
                  <c:v>4.87</c:v>
                </c:pt>
                <c:pt idx="1272">
                  <c:v>6.93</c:v>
                </c:pt>
                <c:pt idx="1273">
                  <c:v>9.35</c:v>
                </c:pt>
                <c:pt idx="1274">
                  <c:v>10.92</c:v>
                </c:pt>
                <c:pt idx="1275">
                  <c:v>7.75</c:v>
                </c:pt>
                <c:pt idx="1276">
                  <c:v>6.89</c:v>
                </c:pt>
                <c:pt idx="1277">
                  <c:v>6.1</c:v>
                </c:pt>
                <c:pt idx="1278">
                  <c:v>6.16</c:v>
                </c:pt>
                <c:pt idx="1279">
                  <c:v>6.17</c:v>
                </c:pt>
                <c:pt idx="1280">
                  <c:v>6.27</c:v>
                </c:pt>
                <c:pt idx="1281">
                  <c:v>9.33</c:v>
                </c:pt>
                <c:pt idx="1282">
                  <c:v>10.119999999999999</c:v>
                </c:pt>
                <c:pt idx="1283">
                  <c:v>7.08</c:v>
                </c:pt>
                <c:pt idx="1284">
                  <c:v>6.08</c:v>
                </c:pt>
                <c:pt idx="1285">
                  <c:v>5.63</c:v>
                </c:pt>
                <c:pt idx="1286">
                  <c:v>5.51</c:v>
                </c:pt>
                <c:pt idx="1287">
                  <c:v>5.73</c:v>
                </c:pt>
                <c:pt idx="1288">
                  <c:v>8.4700000000000006</c:v>
                </c:pt>
                <c:pt idx="1289">
                  <c:v>7.69</c:v>
                </c:pt>
                <c:pt idx="1290">
                  <c:v>8.2100000000000009</c:v>
                </c:pt>
                <c:pt idx="1291">
                  <c:v>9.36</c:v>
                </c:pt>
                <c:pt idx="1292">
                  <c:v>7.63</c:v>
                </c:pt>
                <c:pt idx="1293">
                  <c:v>5.98</c:v>
                </c:pt>
                <c:pt idx="1294">
                  <c:v>5.48</c:v>
                </c:pt>
                <c:pt idx="1295">
                  <c:v>5.49</c:v>
                </c:pt>
                <c:pt idx="1296">
                  <c:v>5.92</c:v>
                </c:pt>
                <c:pt idx="1297">
                  <c:v>6.3</c:v>
                </c:pt>
                <c:pt idx="1298">
                  <c:v>6.24</c:v>
                </c:pt>
                <c:pt idx="1299">
                  <c:v>9.5</c:v>
                </c:pt>
                <c:pt idx="1300">
                  <c:v>14.19</c:v>
                </c:pt>
                <c:pt idx="1301">
                  <c:v>15.89</c:v>
                </c:pt>
                <c:pt idx="1302">
                  <c:v>16.12</c:v>
                </c:pt>
                <c:pt idx="1303">
                  <c:v>18.89</c:v>
                </c:pt>
                <c:pt idx="1304">
                  <c:v>17.95</c:v>
                </c:pt>
                <c:pt idx="1305">
                  <c:v>15.95</c:v>
                </c:pt>
                <c:pt idx="1306">
                  <c:v>14.06</c:v>
                </c:pt>
                <c:pt idx="1307">
                  <c:v>13.21</c:v>
                </c:pt>
                <c:pt idx="1308">
                  <c:v>12.23</c:v>
                </c:pt>
                <c:pt idx="1309">
                  <c:v>10.02</c:v>
                </c:pt>
                <c:pt idx="1310">
                  <c:v>9.32</c:v>
                </c:pt>
                <c:pt idx="1311">
                  <c:v>10.38</c:v>
                </c:pt>
                <c:pt idx="1312">
                  <c:v>9.42</c:v>
                </c:pt>
                <c:pt idx="1313">
                  <c:v>9.5299999999999994</c:v>
                </c:pt>
                <c:pt idx="1314">
                  <c:v>12.01</c:v>
                </c:pt>
                <c:pt idx="1315">
                  <c:v>12.71</c:v>
                </c:pt>
                <c:pt idx="1316">
                  <c:v>14.39</c:v>
                </c:pt>
                <c:pt idx="1317">
                  <c:v>13.61</c:v>
                </c:pt>
                <c:pt idx="1318">
                  <c:v>12.23</c:v>
                </c:pt>
                <c:pt idx="1319">
                  <c:v>12.52</c:v>
                </c:pt>
                <c:pt idx="1320">
                  <c:v>13.41</c:v>
                </c:pt>
                <c:pt idx="1321">
                  <c:v>13.89</c:v>
                </c:pt>
                <c:pt idx="1322">
                  <c:v>11.44</c:v>
                </c:pt>
                <c:pt idx="1323">
                  <c:v>10.08</c:v>
                </c:pt>
                <c:pt idx="1324">
                  <c:v>9.76</c:v>
                </c:pt>
                <c:pt idx="1325">
                  <c:v>10.44</c:v>
                </c:pt>
                <c:pt idx="1326">
                  <c:v>8.6300000000000008</c:v>
                </c:pt>
                <c:pt idx="1327">
                  <c:v>8.68</c:v>
                </c:pt>
                <c:pt idx="1328">
                  <c:v>10.3</c:v>
                </c:pt>
                <c:pt idx="1329">
                  <c:v>11.74</c:v>
                </c:pt>
                <c:pt idx="1330">
                  <c:v>15.56</c:v>
                </c:pt>
                <c:pt idx="1331">
                  <c:v>25.98</c:v>
                </c:pt>
                <c:pt idx="1332">
                  <c:v>22.36</c:v>
                </c:pt>
                <c:pt idx="1333">
                  <c:v>20.34</c:v>
                </c:pt>
                <c:pt idx="1334">
                  <c:v>20.81</c:v>
                </c:pt>
                <c:pt idx="1335">
                  <c:v>18.37</c:v>
                </c:pt>
                <c:pt idx="1336">
                  <c:v>14.62</c:v>
                </c:pt>
                <c:pt idx="1337">
                  <c:v>11.38</c:v>
                </c:pt>
                <c:pt idx="1338">
                  <c:v>10.15</c:v>
                </c:pt>
                <c:pt idx="1339">
                  <c:v>8.39</c:v>
                </c:pt>
                <c:pt idx="1340">
                  <c:v>7.77</c:v>
                </c:pt>
                <c:pt idx="1341">
                  <c:v>8.01</c:v>
                </c:pt>
                <c:pt idx="1342">
                  <c:v>7.51</c:v>
                </c:pt>
                <c:pt idx="1343">
                  <c:v>6.8</c:v>
                </c:pt>
                <c:pt idx="1344">
                  <c:v>5.71</c:v>
                </c:pt>
                <c:pt idx="1345">
                  <c:v>5.21</c:v>
                </c:pt>
                <c:pt idx="1346">
                  <c:v>5.28</c:v>
                </c:pt>
                <c:pt idx="1347">
                  <c:v>6.01</c:v>
                </c:pt>
                <c:pt idx="1348">
                  <c:v>6.19</c:v>
                </c:pt>
                <c:pt idx="1349">
                  <c:v>5.41</c:v>
                </c:pt>
                <c:pt idx="1350">
                  <c:v>5.45</c:v>
                </c:pt>
                <c:pt idx="1351">
                  <c:v>5.79</c:v>
                </c:pt>
                <c:pt idx="1352">
                  <c:v>7.05</c:v>
                </c:pt>
                <c:pt idx="1353">
                  <c:v>6.37</c:v>
                </c:pt>
                <c:pt idx="1354">
                  <c:v>6.15</c:v>
                </c:pt>
                <c:pt idx="1355">
                  <c:v>5.31</c:v>
                </c:pt>
                <c:pt idx="1356">
                  <c:v>4.9400000000000004</c:v>
                </c:pt>
                <c:pt idx="1357">
                  <c:v>5.23</c:v>
                </c:pt>
                <c:pt idx="1358">
                  <c:v>6.2</c:v>
                </c:pt>
                <c:pt idx="1359">
                  <c:v>9.6199999999999992</c:v>
                </c:pt>
                <c:pt idx="1360">
                  <c:v>10.02</c:v>
                </c:pt>
                <c:pt idx="1361">
                  <c:v>13.05</c:v>
                </c:pt>
                <c:pt idx="1362">
                  <c:v>13.01</c:v>
                </c:pt>
                <c:pt idx="1363">
                  <c:v>18.57</c:v>
                </c:pt>
                <c:pt idx="1364">
                  <c:v>17.27</c:v>
                </c:pt>
                <c:pt idx="1365">
                  <c:v>15.39</c:v>
                </c:pt>
                <c:pt idx="1366">
                  <c:v>12.76</c:v>
                </c:pt>
                <c:pt idx="1367">
                  <c:v>10.93</c:v>
                </c:pt>
                <c:pt idx="1368">
                  <c:v>9.4600000000000009</c:v>
                </c:pt>
                <c:pt idx="1369">
                  <c:v>9.07</c:v>
                </c:pt>
                <c:pt idx="1370">
                  <c:v>9.2799999999999994</c:v>
                </c:pt>
                <c:pt idx="1371">
                  <c:v>7.93</c:v>
                </c:pt>
                <c:pt idx="1372">
                  <c:v>7.3</c:v>
                </c:pt>
                <c:pt idx="1373">
                  <c:v>6.35</c:v>
                </c:pt>
                <c:pt idx="1374">
                  <c:v>5.81</c:v>
                </c:pt>
                <c:pt idx="1375">
                  <c:v>5.35</c:v>
                </c:pt>
                <c:pt idx="1376">
                  <c:v>4.6900000000000004</c:v>
                </c:pt>
                <c:pt idx="1377">
                  <c:v>4.5999999999999996</c:v>
                </c:pt>
                <c:pt idx="1378">
                  <c:v>4.32</c:v>
                </c:pt>
                <c:pt idx="1379">
                  <c:v>5.87</c:v>
                </c:pt>
                <c:pt idx="1380">
                  <c:v>6.62</c:v>
                </c:pt>
                <c:pt idx="1381">
                  <c:v>10.15</c:v>
                </c:pt>
                <c:pt idx="1382">
                  <c:v>9.43</c:v>
                </c:pt>
                <c:pt idx="1383">
                  <c:v>7.99</c:v>
                </c:pt>
                <c:pt idx="1384">
                  <c:v>8.76</c:v>
                </c:pt>
                <c:pt idx="1385">
                  <c:v>12.23</c:v>
                </c:pt>
                <c:pt idx="1386">
                  <c:v>13.38</c:v>
                </c:pt>
                <c:pt idx="1387">
                  <c:v>12.83</c:v>
                </c:pt>
                <c:pt idx="1388">
                  <c:v>14.22</c:v>
                </c:pt>
                <c:pt idx="1389">
                  <c:v>15.43</c:v>
                </c:pt>
                <c:pt idx="1390">
                  <c:v>13.47</c:v>
                </c:pt>
                <c:pt idx="1391">
                  <c:v>11.03</c:v>
                </c:pt>
                <c:pt idx="1392">
                  <c:v>9.17</c:v>
                </c:pt>
                <c:pt idx="1393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9-46E6-B6CC-C5EAC6D4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568444672"/>
        <c:axId val="1"/>
      </c:lineChart>
      <c:catAx>
        <c:axId val="56844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Tiempo (día)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3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 sz="1400" b="1" i="0" u="none" strike="noStrike" baseline="0">
                    <a:solidFill>
                      <a:srgbClr val="000000"/>
                    </a:solidFill>
                    <a:latin typeface="Calibri"/>
                  </a:rPr>
                  <a:t>Q (m</a:t>
                </a:r>
                <a:r>
                  <a:rPr lang="es-CO" sz="1400" b="1" i="0" u="none" strike="noStrike" baseline="30000">
                    <a:solidFill>
                      <a:srgbClr val="000000"/>
                    </a:solidFill>
                    <a:latin typeface="Calibri"/>
                  </a:rPr>
                  <a:t>3</a:t>
                </a:r>
                <a:r>
                  <a:rPr lang="es-CO" sz="1400" b="1" i="0" u="none" strike="noStrike" baseline="0">
                    <a:solidFill>
                      <a:srgbClr val="000000"/>
                    </a:solidFill>
                    <a:latin typeface="Calibri"/>
                  </a:rPr>
                  <a:t>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56844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187510936132982"/>
          <c:y val="0.11894296252615999"/>
          <c:w val="0.16979188538932632"/>
          <c:h val="0.1057268722466960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307522</xdr:colOff>
      <xdr:row>6</xdr:row>
      <xdr:rowOff>61232</xdr:rowOff>
    </xdr:from>
    <xdr:to>
      <xdr:col>18</xdr:col>
      <xdr:colOff>8165</xdr:colOff>
      <xdr:row>26</xdr:row>
      <xdr:rowOff>42182</xdr:rowOff>
    </xdr:to>
    <xdr:graphicFrame macro="">
      <xdr:nvGraphicFramePr>
        <xdr:cNvPr id="1064" name="Chart 6">
          <a:extLst>
            <a:ext uri="{FF2B5EF4-FFF2-40B4-BE49-F238E27FC236}">
              <a16:creationId xmlns:a16="http://schemas.microsoft.com/office/drawing/2014/main" id="{9E685A6E-256E-4FC0-9F13-74C7D8A56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C54D2-CC7F-48DA-ABD3-8009355786F5}">
  <dimension ref="A1:E29"/>
  <sheetViews>
    <sheetView showGridLines="0" topLeftCell="A11" workbookViewId="0"/>
  </sheetViews>
  <sheetFormatPr baseColWidth="10" defaultRowHeight="12.75" x14ac:dyDescent="0.2"/>
  <cols>
    <col min="1" max="1" width="2.28515625" customWidth="1"/>
    <col min="2" max="2" width="6.42578125" bestFit="1" customWidth="1"/>
    <col min="3" max="3" width="40.42578125" bestFit="1" customWidth="1"/>
    <col min="4" max="4" width="12" bestFit="1" customWidth="1"/>
    <col min="5" max="5" width="13" bestFit="1" customWidth="1"/>
  </cols>
  <sheetData>
    <row r="1" spans="1:5" x14ac:dyDescent="0.2">
      <c r="A1" s="48" t="s">
        <v>46</v>
      </c>
    </row>
    <row r="2" spans="1:5" x14ac:dyDescent="0.2">
      <c r="A2" s="48" t="s">
        <v>47</v>
      </c>
    </row>
    <row r="3" spans="1:5" x14ac:dyDescent="0.2">
      <c r="A3" s="48" t="s">
        <v>48</v>
      </c>
    </row>
    <row r="6" spans="1:5" ht="13.5" thickBot="1" x14ac:dyDescent="0.25">
      <c r="A6" t="s">
        <v>49</v>
      </c>
    </row>
    <row r="7" spans="1:5" x14ac:dyDescent="0.2">
      <c r="B7" s="51"/>
      <c r="C7" s="51"/>
      <c r="D7" s="51" t="s">
        <v>52</v>
      </c>
      <c r="E7" s="51" t="s">
        <v>54</v>
      </c>
    </row>
    <row r="8" spans="1:5" ht="13.5" thickBot="1" x14ac:dyDescent="0.25">
      <c r="B8" s="52" t="s">
        <v>50</v>
      </c>
      <c r="C8" s="52" t="s">
        <v>51</v>
      </c>
      <c r="D8" s="52" t="s">
        <v>53</v>
      </c>
      <c r="E8" s="52" t="s">
        <v>55</v>
      </c>
    </row>
    <row r="9" spans="1:5" x14ac:dyDescent="0.2">
      <c r="B9" s="49" t="s">
        <v>59</v>
      </c>
      <c r="C9" s="49" t="s">
        <v>8</v>
      </c>
      <c r="D9" s="49">
        <v>414.49693724815336</v>
      </c>
      <c r="E9" s="49">
        <v>0</v>
      </c>
    </row>
    <row r="10" spans="1:5" x14ac:dyDescent="0.2">
      <c r="B10" s="49" t="s">
        <v>60</v>
      </c>
      <c r="C10" s="49" t="s">
        <v>10</v>
      </c>
      <c r="D10" s="49">
        <v>0.68374785006065675</v>
      </c>
      <c r="E10" s="49">
        <v>0</v>
      </c>
    </row>
    <row r="11" spans="1:5" x14ac:dyDescent="0.2">
      <c r="B11" s="49" t="s">
        <v>61</v>
      </c>
      <c r="C11" s="49" t="s">
        <v>62</v>
      </c>
      <c r="D11" s="49">
        <v>0.18852622788661938</v>
      </c>
      <c r="E11" s="49">
        <v>0</v>
      </c>
    </row>
    <row r="12" spans="1:5" x14ac:dyDescent="0.2">
      <c r="B12" s="49" t="s">
        <v>63</v>
      </c>
      <c r="C12" s="49" t="s">
        <v>64</v>
      </c>
      <c r="D12" s="49">
        <v>6.7604475823202684E-2</v>
      </c>
      <c r="E12" s="49">
        <v>0</v>
      </c>
    </row>
    <row r="13" spans="1:5" x14ac:dyDescent="0.2">
      <c r="B13" s="49" t="s">
        <v>65</v>
      </c>
      <c r="C13" s="49" t="s">
        <v>66</v>
      </c>
      <c r="D13" s="49">
        <v>2</v>
      </c>
      <c r="E13" s="49">
        <v>-9.4425387214869261E-4</v>
      </c>
    </row>
    <row r="14" spans="1:5" x14ac:dyDescent="0.2">
      <c r="B14" s="49" t="s">
        <v>67</v>
      </c>
      <c r="C14" s="49" t="s">
        <v>68</v>
      </c>
      <c r="D14" s="49">
        <v>2.3765588605710796E-3</v>
      </c>
      <c r="E14" s="49">
        <v>0</v>
      </c>
    </row>
    <row r="15" spans="1:5" x14ac:dyDescent="0.2">
      <c r="B15" s="49" t="s">
        <v>69</v>
      </c>
      <c r="C15" s="49" t="s">
        <v>70</v>
      </c>
      <c r="D15" s="49">
        <v>2.3765588605710766E-3</v>
      </c>
      <c r="E15" s="49">
        <v>0</v>
      </c>
    </row>
    <row r="16" spans="1:5" x14ac:dyDescent="0.2">
      <c r="B16" s="49" t="s">
        <v>71</v>
      </c>
      <c r="C16" s="49" t="s">
        <v>72</v>
      </c>
      <c r="D16" s="49">
        <v>3.731524856297367E-2</v>
      </c>
      <c r="E16" s="49">
        <v>0</v>
      </c>
    </row>
    <row r="17" spans="1:5" x14ac:dyDescent="0.2">
      <c r="B17" s="49" t="s">
        <v>73</v>
      </c>
      <c r="C17" s="49" t="s">
        <v>13</v>
      </c>
      <c r="D17" s="49">
        <v>71.422920428980191</v>
      </c>
      <c r="E17" s="49">
        <v>0</v>
      </c>
    </row>
    <row r="18" spans="1:5" x14ac:dyDescent="0.2">
      <c r="B18" s="49" t="s">
        <v>74</v>
      </c>
      <c r="C18" s="49" t="s">
        <v>35</v>
      </c>
      <c r="D18" s="49">
        <v>261.91840114274015</v>
      </c>
      <c r="E18" s="49">
        <v>0</v>
      </c>
    </row>
    <row r="19" spans="1:5" x14ac:dyDescent="0.2">
      <c r="B19" s="49" t="s">
        <v>75</v>
      </c>
      <c r="C19" s="49" t="s">
        <v>76</v>
      </c>
      <c r="D19" s="49">
        <v>0</v>
      </c>
      <c r="E19" s="49">
        <v>-8.66029440658167E-5</v>
      </c>
    </row>
    <row r="20" spans="1:5" ht="13.5" thickBot="1" x14ac:dyDescent="0.25">
      <c r="B20" s="50" t="s">
        <v>77</v>
      </c>
      <c r="C20" s="50" t="s">
        <v>78</v>
      </c>
      <c r="D20" s="50">
        <v>622.26250019686336</v>
      </c>
      <c r="E20" s="50">
        <v>0</v>
      </c>
    </row>
    <row r="22" spans="1:5" ht="13.5" thickBot="1" x14ac:dyDescent="0.25">
      <c r="A22" t="s">
        <v>56</v>
      </c>
    </row>
    <row r="23" spans="1:5" x14ac:dyDescent="0.2">
      <c r="B23" s="51"/>
      <c r="C23" s="51"/>
      <c r="D23" s="51" t="s">
        <v>52</v>
      </c>
      <c r="E23" s="51" t="s">
        <v>57</v>
      </c>
    </row>
    <row r="24" spans="1:5" ht="13.5" thickBot="1" x14ac:dyDescent="0.25">
      <c r="B24" s="52" t="s">
        <v>50</v>
      </c>
      <c r="C24" s="52" t="s">
        <v>51</v>
      </c>
      <c r="D24" s="52" t="s">
        <v>53</v>
      </c>
      <c r="E24" s="52" t="s">
        <v>58</v>
      </c>
    </row>
    <row r="25" spans="1:5" x14ac:dyDescent="0.2">
      <c r="B25" s="49" t="s">
        <v>67</v>
      </c>
      <c r="C25" s="49" t="s">
        <v>68</v>
      </c>
      <c r="D25" s="49">
        <v>2.3765588605710796E-3</v>
      </c>
      <c r="E25" s="49">
        <v>-1.4478929340839386E-2</v>
      </c>
    </row>
    <row r="26" spans="1:5" x14ac:dyDescent="0.2">
      <c r="B26" s="49" t="s">
        <v>73</v>
      </c>
      <c r="C26" s="49" t="s">
        <v>13</v>
      </c>
      <c r="D26" s="49">
        <v>71.422920428980191</v>
      </c>
      <c r="E26" s="49">
        <v>0</v>
      </c>
    </row>
    <row r="27" spans="1:5" x14ac:dyDescent="0.2">
      <c r="B27" s="49" t="s">
        <v>73</v>
      </c>
      <c r="C27" s="49" t="s">
        <v>13</v>
      </c>
      <c r="D27" s="49">
        <v>71.422920428980191</v>
      </c>
      <c r="E27" s="49">
        <v>0</v>
      </c>
    </row>
    <row r="28" spans="1:5" x14ac:dyDescent="0.2">
      <c r="B28" s="49" t="s">
        <v>63</v>
      </c>
      <c r="C28" s="49" t="s">
        <v>64</v>
      </c>
      <c r="D28" s="49">
        <v>6.7604475823202684E-2</v>
      </c>
      <c r="E28" s="49">
        <v>0</v>
      </c>
    </row>
    <row r="29" spans="1:5" ht="13.5" thickBot="1" x14ac:dyDescent="0.25">
      <c r="B29" s="50" t="s">
        <v>63</v>
      </c>
      <c r="C29" s="50" t="s">
        <v>64</v>
      </c>
      <c r="D29" s="50">
        <v>6.7604475823202684E-2</v>
      </c>
      <c r="E29" s="5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6C549-1870-4184-A5CC-8503554CCC05}">
  <dimension ref="A1:J24"/>
  <sheetViews>
    <sheetView showGridLines="0" workbookViewId="0">
      <selection sqref="A1:A3"/>
    </sheetView>
  </sheetViews>
  <sheetFormatPr baseColWidth="10" defaultRowHeight="12.75" x14ac:dyDescent="0.2"/>
  <cols>
    <col min="1" max="1" width="2.28515625" customWidth="1"/>
    <col min="2" max="2" width="6.28515625" bestFit="1" customWidth="1"/>
    <col min="3" max="3" width="8.7109375" bestFit="1" customWidth="1"/>
    <col min="4" max="4" width="7.5703125" bestFit="1" customWidth="1"/>
    <col min="5" max="5" width="2.28515625" customWidth="1"/>
    <col min="6" max="6" width="7.5703125" bestFit="1" customWidth="1"/>
    <col min="7" max="7" width="10" bestFit="1" customWidth="1"/>
    <col min="8" max="8" width="2.28515625" customWidth="1"/>
    <col min="9" max="9" width="8.85546875" bestFit="1" customWidth="1"/>
    <col min="10" max="10" width="10" bestFit="1" customWidth="1"/>
  </cols>
  <sheetData>
    <row r="1" spans="1:10" x14ac:dyDescent="0.2">
      <c r="A1" s="48" t="s">
        <v>79</v>
      </c>
    </row>
    <row r="2" spans="1:10" x14ac:dyDescent="0.2">
      <c r="A2" s="48" t="s">
        <v>47</v>
      </c>
    </row>
    <row r="3" spans="1:10" x14ac:dyDescent="0.2">
      <c r="A3" s="48" t="s">
        <v>80</v>
      </c>
    </row>
    <row r="5" spans="1:10" ht="13.5" thickBot="1" x14ac:dyDescent="0.25"/>
    <row r="6" spans="1:10" x14ac:dyDescent="0.2">
      <c r="B6" s="51"/>
      <c r="C6" s="51" t="s">
        <v>81</v>
      </c>
      <c r="D6" s="51"/>
    </row>
    <row r="7" spans="1:10" ht="13.5" thickBot="1" x14ac:dyDescent="0.25">
      <c r="B7" s="52" t="s">
        <v>50</v>
      </c>
      <c r="C7" s="52" t="s">
        <v>51</v>
      </c>
      <c r="D7" s="52" t="s">
        <v>53</v>
      </c>
    </row>
    <row r="8" spans="1:10" ht="13.5" thickBot="1" x14ac:dyDescent="0.25">
      <c r="B8" s="50" t="s">
        <v>87</v>
      </c>
      <c r="C8" s="50" t="s">
        <v>28</v>
      </c>
      <c r="D8" s="53">
        <v>0.60873782358414097</v>
      </c>
    </row>
    <row r="10" spans="1:10" ht="13.5" thickBot="1" x14ac:dyDescent="0.25"/>
    <row r="11" spans="1:10" x14ac:dyDescent="0.2">
      <c r="B11" s="51"/>
      <c r="C11" s="51" t="s">
        <v>82</v>
      </c>
      <c r="D11" s="51"/>
      <c r="F11" s="51" t="s">
        <v>83</v>
      </c>
      <c r="G11" s="51" t="s">
        <v>81</v>
      </c>
      <c r="I11" s="51" t="s">
        <v>86</v>
      </c>
      <c r="J11" s="51" t="s">
        <v>81</v>
      </c>
    </row>
    <row r="12" spans="1:10" ht="13.5" thickBot="1" x14ac:dyDescent="0.25">
      <c r="B12" s="52" t="s">
        <v>50</v>
      </c>
      <c r="C12" s="52" t="s">
        <v>51</v>
      </c>
      <c r="D12" s="52" t="s">
        <v>53</v>
      </c>
      <c r="F12" s="52" t="s">
        <v>84</v>
      </c>
      <c r="G12" s="52" t="s">
        <v>85</v>
      </c>
      <c r="I12" s="52" t="s">
        <v>84</v>
      </c>
      <c r="J12" s="52" t="s">
        <v>85</v>
      </c>
    </row>
    <row r="13" spans="1:10" x14ac:dyDescent="0.2">
      <c r="B13" s="49" t="s">
        <v>59</v>
      </c>
      <c r="C13" s="49" t="s">
        <v>8</v>
      </c>
      <c r="D13" s="54">
        <v>414.49693724815336</v>
      </c>
      <c r="F13" s="54">
        <v>71.422920428980206</v>
      </c>
      <c r="G13" s="54">
        <v>-0.45893470530164193</v>
      </c>
      <c r="I13" s="49" t="s">
        <v>88</v>
      </c>
      <c r="J13" s="49" t="s">
        <v>88</v>
      </c>
    </row>
    <row r="14" spans="1:10" x14ac:dyDescent="0.2">
      <c r="B14" s="49" t="s">
        <v>60</v>
      </c>
      <c r="C14" s="49" t="s">
        <v>10</v>
      </c>
      <c r="D14" s="54">
        <v>0.68374785006065675</v>
      </c>
      <c r="F14" s="54">
        <v>9.9999999999999978E-2</v>
      </c>
      <c r="G14" s="54">
        <v>-1.1691291437206259</v>
      </c>
      <c r="I14" s="49" t="s">
        <v>88</v>
      </c>
      <c r="J14" s="49" t="s">
        <v>88</v>
      </c>
    </row>
    <row r="15" spans="1:10" x14ac:dyDescent="0.2">
      <c r="B15" s="49" t="s">
        <v>61</v>
      </c>
      <c r="C15" s="49" t="s">
        <v>62</v>
      </c>
      <c r="D15" s="55">
        <v>0.18852622788661938</v>
      </c>
      <c r="F15" s="55">
        <v>0</v>
      </c>
      <c r="G15" s="55">
        <v>0.58547360897157108</v>
      </c>
      <c r="I15" s="55">
        <v>1</v>
      </c>
      <c r="J15" s="55">
        <v>-9.7817447829280759</v>
      </c>
    </row>
    <row r="16" spans="1:10" x14ac:dyDescent="0.2">
      <c r="B16" s="49" t="s">
        <v>63</v>
      </c>
      <c r="C16" s="49" t="s">
        <v>64</v>
      </c>
      <c r="D16" s="55">
        <v>6.7604475823202684E-2</v>
      </c>
      <c r="F16" s="55">
        <v>2.3765588605710736E-3</v>
      </c>
      <c r="G16" s="55">
        <v>0.12569257977356041</v>
      </c>
      <c r="I16" s="49" t="s">
        <v>88</v>
      </c>
      <c r="J16" s="49" t="s">
        <v>88</v>
      </c>
    </row>
    <row r="17" spans="2:10" x14ac:dyDescent="0.2">
      <c r="B17" s="49" t="s">
        <v>65</v>
      </c>
      <c r="C17" s="49" t="s">
        <v>66</v>
      </c>
      <c r="D17" s="55">
        <v>2</v>
      </c>
      <c r="F17" s="55">
        <v>2</v>
      </c>
      <c r="G17" s="55">
        <v>0.60873782358414097</v>
      </c>
      <c r="I17" s="49" t="s">
        <v>88</v>
      </c>
      <c r="J17" s="49" t="s">
        <v>88</v>
      </c>
    </row>
    <row r="18" spans="2:10" x14ac:dyDescent="0.2">
      <c r="B18" s="49" t="s">
        <v>67</v>
      </c>
      <c r="C18" s="49" t="s">
        <v>68</v>
      </c>
      <c r="D18" s="55">
        <v>2.3765588605710796E-3</v>
      </c>
      <c r="F18" s="55">
        <v>2.3765588605710796E-3</v>
      </c>
      <c r="G18" s="55">
        <v>0.60873782358414097</v>
      </c>
      <c r="I18" s="55">
        <v>6.7604475823202684E-2</v>
      </c>
      <c r="J18" s="55">
        <v>0.5149109675686534</v>
      </c>
    </row>
    <row r="19" spans="2:10" x14ac:dyDescent="0.2">
      <c r="B19" s="49" t="s">
        <v>69</v>
      </c>
      <c r="C19" s="49" t="s">
        <v>70</v>
      </c>
      <c r="D19" s="55">
        <v>2.3765588605710766E-3</v>
      </c>
      <c r="F19" s="55">
        <v>0</v>
      </c>
      <c r="G19" s="55">
        <v>0.23688501804870088</v>
      </c>
      <c r="I19" s="55">
        <v>2.3765588605710796E-3</v>
      </c>
      <c r="J19" s="55">
        <v>0.60873782358414097</v>
      </c>
    </row>
    <row r="20" spans="2:10" x14ac:dyDescent="0.2">
      <c r="B20" s="49" t="s">
        <v>71</v>
      </c>
      <c r="C20" s="49" t="s">
        <v>72</v>
      </c>
      <c r="D20" s="55">
        <v>3.731524856297367E-2</v>
      </c>
      <c r="F20" s="55">
        <v>0</v>
      </c>
      <c r="G20" s="55">
        <v>0.509010217074509</v>
      </c>
      <c r="I20" s="49" t="s">
        <v>88</v>
      </c>
      <c r="J20" s="49" t="s">
        <v>88</v>
      </c>
    </row>
    <row r="21" spans="2:10" x14ac:dyDescent="0.2">
      <c r="B21" s="49" t="s">
        <v>73</v>
      </c>
      <c r="C21" s="49" t="s">
        <v>13</v>
      </c>
      <c r="D21" s="55">
        <v>71.422920428980191</v>
      </c>
      <c r="F21" s="49" t="s">
        <v>88</v>
      </c>
      <c r="G21" s="49" t="s">
        <v>88</v>
      </c>
      <c r="I21" s="55">
        <v>414.49693727493286</v>
      </c>
      <c r="J21" s="55">
        <v>-0.12052681824741507</v>
      </c>
    </row>
    <row r="22" spans="2:10" x14ac:dyDescent="0.2">
      <c r="B22" s="49" t="s">
        <v>74</v>
      </c>
      <c r="C22" s="49" t="s">
        <v>35</v>
      </c>
      <c r="D22" s="54">
        <v>261.91840114274015</v>
      </c>
      <c r="F22" s="54">
        <v>0</v>
      </c>
      <c r="G22" s="54">
        <v>0.60500548711362856</v>
      </c>
      <c r="I22" s="49" t="s">
        <v>88</v>
      </c>
      <c r="J22" s="49" t="s">
        <v>88</v>
      </c>
    </row>
    <row r="23" spans="2:10" x14ac:dyDescent="0.2">
      <c r="B23" s="49" t="s">
        <v>75</v>
      </c>
      <c r="C23" s="49" t="s">
        <v>76</v>
      </c>
      <c r="D23" s="56">
        <v>0</v>
      </c>
      <c r="F23" s="56">
        <v>0</v>
      </c>
      <c r="G23" s="56">
        <v>0.60873782358414097</v>
      </c>
      <c r="I23" s="49" t="s">
        <v>88</v>
      </c>
      <c r="J23" s="49" t="s">
        <v>88</v>
      </c>
    </row>
    <row r="24" spans="2:10" ht="13.5" thickBot="1" x14ac:dyDescent="0.25">
      <c r="B24" s="50" t="s">
        <v>77</v>
      </c>
      <c r="C24" s="50" t="s">
        <v>78</v>
      </c>
      <c r="D24" s="57">
        <v>622.26250019686336</v>
      </c>
      <c r="F24" s="57">
        <v>0</v>
      </c>
      <c r="G24" s="57">
        <v>0.40615056948508133</v>
      </c>
      <c r="I24" s="50" t="s">
        <v>88</v>
      </c>
      <c r="J24" s="50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3683"/>
  <sheetViews>
    <sheetView tabSelected="1" topLeftCell="A1240" zoomScale="86" zoomScaleNormal="85" workbookViewId="0">
      <selection activeCell="G23" sqref="G23"/>
    </sheetView>
  </sheetViews>
  <sheetFormatPr baseColWidth="10" defaultColWidth="11.42578125" defaultRowHeight="15.75" x14ac:dyDescent="0.25"/>
  <cols>
    <col min="1" max="1" width="23.28515625" style="1" customWidth="1"/>
    <col min="2" max="2" width="19.140625" style="1" bestFit="1" customWidth="1"/>
    <col min="3" max="3" width="20.140625" style="1" bestFit="1" customWidth="1"/>
    <col min="4" max="4" width="15.28515625" style="1" bestFit="1" customWidth="1"/>
    <col min="5" max="5" width="41.7109375" style="1" bestFit="1" customWidth="1"/>
    <col min="6" max="6" width="24" style="1" bestFit="1" customWidth="1"/>
    <col min="7" max="7" width="25.140625" style="1" bestFit="1" customWidth="1"/>
    <col min="8" max="8" width="15.140625" style="1" bestFit="1" customWidth="1"/>
    <col min="9" max="9" width="14.5703125" style="1" bestFit="1" customWidth="1"/>
    <col min="10" max="10" width="9.28515625" style="1" bestFit="1" customWidth="1"/>
    <col min="11" max="11" width="10.42578125" style="1" customWidth="1"/>
    <col min="12" max="12" width="18.140625" style="1" customWidth="1"/>
    <col min="13" max="13" width="14.140625" style="1" customWidth="1"/>
    <col min="14" max="14" width="13.85546875" style="1" customWidth="1"/>
    <col min="15" max="15" width="13.7109375" style="1" bestFit="1" customWidth="1"/>
    <col min="16" max="16" width="12.7109375" style="1" bestFit="1" customWidth="1"/>
    <col min="17" max="16384" width="11.42578125" style="1"/>
  </cols>
  <sheetData>
    <row r="1" spans="1:8" x14ac:dyDescent="0.25">
      <c r="A1" s="65" t="s">
        <v>0</v>
      </c>
      <c r="B1" s="66"/>
      <c r="C1" s="66"/>
      <c r="D1" s="66"/>
      <c r="E1" s="66"/>
      <c r="G1" s="63"/>
      <c r="H1" s="63"/>
    </row>
    <row r="2" spans="1:8" x14ac:dyDescent="0.25">
      <c r="A2" s="66"/>
      <c r="B2" s="66"/>
      <c r="C2" s="66"/>
      <c r="D2" s="66"/>
      <c r="E2" s="66"/>
      <c r="G2" s="64"/>
      <c r="H2" s="64"/>
    </row>
    <row r="3" spans="1:8" x14ac:dyDescent="0.25">
      <c r="A3" s="66"/>
      <c r="B3" s="66"/>
      <c r="C3" s="66"/>
      <c r="D3" s="66"/>
      <c r="E3" s="66"/>
      <c r="G3" s="64"/>
      <c r="H3" s="64"/>
    </row>
    <row r="4" spans="1:8" x14ac:dyDescent="0.25">
      <c r="A4" s="66"/>
      <c r="B4" s="66"/>
      <c r="C4" s="66"/>
      <c r="D4" s="66"/>
      <c r="E4" s="66"/>
      <c r="G4" s="64"/>
      <c r="H4" s="64"/>
    </row>
    <row r="6" spans="1:8" ht="18.75" x14ac:dyDescent="0.3">
      <c r="A6" s="67" t="s">
        <v>1</v>
      </c>
      <c r="B6" s="68"/>
      <c r="C6" s="68"/>
      <c r="D6" s="68"/>
      <c r="E6" s="68"/>
      <c r="F6" s="68"/>
    </row>
    <row r="7" spans="1:8" x14ac:dyDescent="0.25">
      <c r="D7" s="2"/>
      <c r="E7" s="2"/>
      <c r="F7" s="2"/>
      <c r="G7" s="2"/>
    </row>
    <row r="8" spans="1:8" ht="19.5" x14ac:dyDescent="0.3">
      <c r="A8" s="9" t="s">
        <v>2</v>
      </c>
      <c r="B8" s="10"/>
      <c r="C8" s="11">
        <v>2211</v>
      </c>
      <c r="D8" s="10"/>
      <c r="E8" s="29" t="s">
        <v>3</v>
      </c>
      <c r="F8" s="30">
        <v>3.8119293415240972E-2</v>
      </c>
      <c r="G8" s="2"/>
    </row>
    <row r="9" spans="1:8" ht="17.25" x14ac:dyDescent="0.3">
      <c r="A9" s="19" t="s">
        <v>4</v>
      </c>
      <c r="B9" s="20"/>
      <c r="C9" s="21">
        <v>0</v>
      </c>
      <c r="D9" s="20"/>
      <c r="E9" s="31" t="s">
        <v>5</v>
      </c>
      <c r="F9" s="32">
        <v>2</v>
      </c>
      <c r="G9" s="2"/>
    </row>
    <row r="10" spans="1:8" ht="19.5" x14ac:dyDescent="0.3">
      <c r="A10" s="19" t="s">
        <v>6</v>
      </c>
      <c r="B10" s="20"/>
      <c r="C10" s="21">
        <v>6</v>
      </c>
      <c r="D10" s="20"/>
      <c r="E10" s="31" t="s">
        <v>7</v>
      </c>
      <c r="F10" s="32">
        <v>2.109799488579059E-4</v>
      </c>
      <c r="G10" s="2"/>
    </row>
    <row r="11" spans="1:8" ht="19.5" x14ac:dyDescent="0.3">
      <c r="A11" s="19" t="s">
        <v>8</v>
      </c>
      <c r="B11" s="20"/>
      <c r="C11" s="42">
        <v>400.00002014420886</v>
      </c>
      <c r="D11" s="20"/>
      <c r="E11" s="31" t="s">
        <v>9</v>
      </c>
      <c r="F11" s="32">
        <v>2.1197994885790566E-4</v>
      </c>
      <c r="G11" s="2"/>
    </row>
    <row r="12" spans="1:8" ht="19.5" x14ac:dyDescent="0.3">
      <c r="A12" s="19" t="s">
        <v>10</v>
      </c>
      <c r="B12" s="20"/>
      <c r="C12" s="42">
        <v>0.53157872419933172</v>
      </c>
      <c r="D12" s="20"/>
      <c r="E12" s="31" t="s">
        <v>11</v>
      </c>
      <c r="F12" s="32">
        <v>4.9639020113695718E-2</v>
      </c>
      <c r="G12" s="2"/>
    </row>
    <row r="13" spans="1:8" ht="18.75" x14ac:dyDescent="0.25">
      <c r="A13" s="19" t="s">
        <v>12</v>
      </c>
      <c r="B13" s="20"/>
      <c r="C13" s="41">
        <v>0.19213664030989969</v>
      </c>
      <c r="D13" s="33"/>
      <c r="E13" s="34" t="s">
        <v>13</v>
      </c>
      <c r="F13" s="35">
        <v>69.999943471631738</v>
      </c>
      <c r="G13" s="2"/>
    </row>
    <row r="14" spans="1:8" x14ac:dyDescent="0.25">
      <c r="A14" s="22"/>
      <c r="B14" s="20"/>
      <c r="C14" s="23"/>
      <c r="D14" s="2"/>
      <c r="E14" s="2"/>
      <c r="F14" s="2"/>
      <c r="G14" s="2"/>
    </row>
    <row r="15" spans="1:8" x14ac:dyDescent="0.25">
      <c r="A15" s="24" t="s">
        <v>14</v>
      </c>
      <c r="B15" s="25" t="s">
        <v>15</v>
      </c>
      <c r="C15" s="26" t="s">
        <v>16</v>
      </c>
      <c r="D15" s="2"/>
      <c r="E15" s="69" t="s">
        <v>17</v>
      </c>
      <c r="F15" s="70"/>
      <c r="G15" s="2"/>
    </row>
    <row r="16" spans="1:8" x14ac:dyDescent="0.25">
      <c r="A16" s="44">
        <v>16.903080425000006</v>
      </c>
      <c r="B16" s="46">
        <v>321.22379541397095</v>
      </c>
      <c r="C16" s="27">
        <f>B16/31</f>
        <v>10.362057916579708</v>
      </c>
      <c r="D16" s="2"/>
      <c r="E16" s="36" t="s">
        <v>18</v>
      </c>
      <c r="F16" s="37">
        <f>SUM(J32:J3683)</f>
        <v>2117.6887935370619</v>
      </c>
    </row>
    <row r="17" spans="1:24" x14ac:dyDescent="0.25">
      <c r="A17" s="44">
        <v>15.995197870353982</v>
      </c>
      <c r="B17" s="46">
        <v>299.47577571868896</v>
      </c>
      <c r="C17" s="27">
        <f>B17/28</f>
        <v>10.695563418524605</v>
      </c>
      <c r="D17" s="2"/>
      <c r="E17" s="36" t="s">
        <v>19</v>
      </c>
      <c r="F17" s="37">
        <f>SUM(D32:D3683)</f>
        <v>2322.5000000000009</v>
      </c>
    </row>
    <row r="18" spans="1:24" x14ac:dyDescent="0.25">
      <c r="A18" s="44">
        <v>15.554442667258064</v>
      </c>
      <c r="B18" s="46">
        <v>327.85140454769135</v>
      </c>
      <c r="C18" s="27">
        <f>B18/31</f>
        <v>10.575851759602946</v>
      </c>
      <c r="E18" s="36" t="s">
        <v>20</v>
      </c>
      <c r="F18" s="37">
        <f>F17-F16</f>
        <v>204.81120646293903</v>
      </c>
    </row>
    <row r="19" spans="1:24" x14ac:dyDescent="0.25">
      <c r="A19" s="44">
        <v>16.028482699583339</v>
      </c>
      <c r="B19" s="46">
        <v>306.31719934940338</v>
      </c>
      <c r="C19" s="27">
        <f>B19/30</f>
        <v>10.21057331164678</v>
      </c>
      <c r="E19" s="36" t="s">
        <v>21</v>
      </c>
      <c r="F19" s="37">
        <f>SUM(N32:N3683)*3600*24/(C8*1000)</f>
        <v>355.86846020673397</v>
      </c>
    </row>
    <row r="20" spans="1:24" x14ac:dyDescent="0.25">
      <c r="A20" s="44">
        <v>16.251113491935492</v>
      </c>
      <c r="B20" s="46">
        <v>307.29245686531073</v>
      </c>
      <c r="C20" s="27">
        <f>B20/31</f>
        <v>9.9126598988809906</v>
      </c>
      <c r="E20" s="36" t="s">
        <v>22</v>
      </c>
      <c r="F20" s="37">
        <f>SUM(O32:O3683)*3600*24/(C8*1000)</f>
        <v>355.40213666214362</v>
      </c>
    </row>
    <row r="21" spans="1:24" x14ac:dyDescent="0.25">
      <c r="A21" s="44">
        <v>16.489199583166659</v>
      </c>
      <c r="B21" s="46">
        <v>281.46627330780029</v>
      </c>
      <c r="C21" s="27">
        <f>B21/30</f>
        <v>9.3822091102600105</v>
      </c>
      <c r="E21" s="36" t="s">
        <v>23</v>
      </c>
      <c r="F21" s="18">
        <f>+ABS((F20-F19))*100/F20</f>
        <v>0.13121011285130629</v>
      </c>
    </row>
    <row r="22" spans="1:24" x14ac:dyDescent="0.25">
      <c r="A22" s="44">
        <v>16.500240933225804</v>
      </c>
      <c r="B22" s="46">
        <v>273.53627038002014</v>
      </c>
      <c r="C22" s="27">
        <f>B22/31</f>
        <v>8.8237506574200051</v>
      </c>
      <c r="E22" s="36" t="s">
        <v>24</v>
      </c>
      <c r="F22" s="37">
        <f>SUM(P32:P3683)</f>
        <v>19793.845146512456</v>
      </c>
      <c r="I22" s="64"/>
      <c r="J22" s="64"/>
    </row>
    <row r="23" spans="1:24" ht="19.5" x14ac:dyDescent="0.3">
      <c r="A23" s="44">
        <v>17.103250365161287</v>
      </c>
      <c r="B23" s="46">
        <v>250.65412282943728</v>
      </c>
      <c r="C23" s="27">
        <f>B23/31</f>
        <v>8.0856168654657186</v>
      </c>
      <c r="E23" s="36" t="s">
        <v>25</v>
      </c>
      <c r="F23" s="37">
        <f>AVERAGE(O32:O3683)</f>
        <v>6.5336489942528688</v>
      </c>
    </row>
    <row r="24" spans="1:24" ht="19.5" x14ac:dyDescent="0.3">
      <c r="A24" s="44">
        <v>18.077820078750005</v>
      </c>
      <c r="B24" s="46">
        <v>232.37053596973419</v>
      </c>
      <c r="C24" s="27">
        <f>B24/30</f>
        <v>7.7456845323244732</v>
      </c>
      <c r="E24" s="36" t="s">
        <v>26</v>
      </c>
      <c r="F24" s="37">
        <f>SUM(Q32:Q3683)</f>
        <v>42319.893824518607</v>
      </c>
    </row>
    <row r="25" spans="1:24" x14ac:dyDescent="0.25">
      <c r="A25" s="44">
        <v>17.769069219568966</v>
      </c>
      <c r="B25" s="46">
        <v>227.45950496196747</v>
      </c>
      <c r="C25" s="27">
        <f>B25/31</f>
        <v>7.3374033858699184</v>
      </c>
      <c r="E25" s="36"/>
      <c r="F25" s="18"/>
    </row>
    <row r="26" spans="1:24" x14ac:dyDescent="0.25">
      <c r="A26" s="44">
        <v>17.840206729222224</v>
      </c>
      <c r="B26" s="46">
        <v>193.62843871116644</v>
      </c>
      <c r="C26" s="27">
        <f>B26/30</f>
        <v>6.4542812903722142</v>
      </c>
      <c r="E26" s="36" t="s">
        <v>27</v>
      </c>
      <c r="F26" s="37">
        <f>CORREL(N32:N3683,O32:O3683)</f>
        <v>0.72959666050626171</v>
      </c>
    </row>
    <row r="27" spans="1:24" x14ac:dyDescent="0.25">
      <c r="A27" s="45">
        <v>17.217635575483875</v>
      </c>
      <c r="B27" s="47">
        <v>222.64388132095337</v>
      </c>
      <c r="C27" s="28">
        <f>B27/31</f>
        <v>7.1820606877726894</v>
      </c>
      <c r="E27" s="38" t="s">
        <v>28</v>
      </c>
      <c r="F27" s="43">
        <f>1-F22/F24</f>
        <v>0.5322803684577152</v>
      </c>
      <c r="J27" s="2"/>
    </row>
    <row r="29" spans="1:24" s="3" customFormat="1" ht="15.75" customHeight="1" x14ac:dyDescent="0.25">
      <c r="A29" s="61" t="s">
        <v>29</v>
      </c>
      <c r="B29" s="61" t="s">
        <v>30</v>
      </c>
      <c r="C29" s="61" t="s">
        <v>31</v>
      </c>
      <c r="D29" s="61" t="s">
        <v>32</v>
      </c>
      <c r="E29" s="59" t="s">
        <v>33</v>
      </c>
      <c r="F29" s="59" t="s">
        <v>34</v>
      </c>
      <c r="G29" s="59" t="s">
        <v>35</v>
      </c>
      <c r="H29" s="59" t="s">
        <v>36</v>
      </c>
      <c r="I29" s="59" t="s">
        <v>37</v>
      </c>
      <c r="J29" s="59" t="s">
        <v>38</v>
      </c>
      <c r="K29" s="59" t="s">
        <v>39</v>
      </c>
      <c r="L29" s="59" t="s">
        <v>40</v>
      </c>
      <c r="M29" s="59" t="s">
        <v>41</v>
      </c>
      <c r="N29" s="59" t="s">
        <v>42</v>
      </c>
      <c r="O29" s="61" t="s">
        <v>43</v>
      </c>
      <c r="P29" s="59" t="s">
        <v>44</v>
      </c>
      <c r="Q29" s="59" t="s">
        <v>45</v>
      </c>
      <c r="S29" s="39"/>
      <c r="T29" s="40"/>
      <c r="U29" s="1"/>
      <c r="V29" s="1"/>
      <c r="X29" s="1"/>
    </row>
    <row r="30" spans="1:24" s="3" customFormat="1" ht="18.75" customHeight="1" x14ac:dyDescent="0.25">
      <c r="A30" s="62"/>
      <c r="B30" s="62"/>
      <c r="C30" s="62"/>
      <c r="D30" s="62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2"/>
      <c r="P30" s="60"/>
      <c r="Q30" s="60"/>
      <c r="S30" s="39"/>
      <c r="T30" s="40"/>
      <c r="U30" s="1"/>
      <c r="V30" s="1"/>
      <c r="X30" s="1"/>
    </row>
    <row r="31" spans="1:24" x14ac:dyDescent="0.25">
      <c r="A31" s="4"/>
      <c r="B31" s="4"/>
      <c r="C31" s="4"/>
      <c r="D31" s="4"/>
      <c r="E31" s="12">
        <v>0</v>
      </c>
      <c r="F31" s="12"/>
      <c r="G31" s="16">
        <v>262.65591662420911</v>
      </c>
      <c r="H31" s="14"/>
      <c r="I31" s="14"/>
      <c r="J31" s="14"/>
      <c r="K31" s="14">
        <v>9.6939123263701353E-10</v>
      </c>
      <c r="L31" s="14">
        <v>622.44857050802136</v>
      </c>
      <c r="M31" s="14">
        <f>MAX(0,K31-$F$9)*$F$8+K31*$F$10+L31*$F$11</f>
        <v>0.13194661614317138</v>
      </c>
      <c r="N31" s="14"/>
      <c r="O31" s="4"/>
      <c r="P31" s="12"/>
      <c r="Q31" s="12"/>
      <c r="S31" s="39"/>
      <c r="T31" s="40"/>
    </row>
    <row r="32" spans="1:24" x14ac:dyDescent="0.25">
      <c r="A32" s="5" t="s">
        <v>89</v>
      </c>
      <c r="B32" s="6">
        <f>MONTH(A32)</f>
        <v>2</v>
      </c>
      <c r="C32" s="58">
        <v>15.70797348</v>
      </c>
      <c r="D32" s="4">
        <v>0.7</v>
      </c>
      <c r="E32" s="12">
        <f>IF(C32&gt;$C$9,MAX(E31-$C$10*(C32-$C$9),0),E31+D32)</f>
        <v>0</v>
      </c>
      <c r="F32" s="12">
        <f>IF(C32&gt;$C$9,D32+MIN(E31,$C$10*(C32-$C$9)),0)</f>
        <v>0.7</v>
      </c>
      <c r="G32" s="16">
        <f>G31+F32-H32-J32</f>
        <v>252.6908534440239</v>
      </c>
      <c r="H32" s="14">
        <f t="shared" ref="H32:H95" si="0">(F32*(G31/$C$11)^$C$12)</f>
        <v>0.559748647355086</v>
      </c>
      <c r="I32" s="14">
        <f>(1+$C$13*(C32-INDEX($A$16:$A$27,B32)))*INDEX($C$16:$C$27,B32)</f>
        <v>10.105314532830112</v>
      </c>
      <c r="J32" s="14">
        <f>IF(G31&gt;$F$13,I32,I32*(G31/$F$13))</f>
        <v>10.105314532830112</v>
      </c>
      <c r="K32" s="14">
        <f>K31+H32-MAX(0,K31-$F$9)*$F$8-K31*$F$10-K31*$F$12</f>
        <v>0.55974864827615312</v>
      </c>
      <c r="L32" s="14">
        <f>L31+K31*$F$12-L31*$F$11</f>
        <v>622.3166238919265</v>
      </c>
      <c r="M32" s="14">
        <f t="shared" ref="M32:M94" si="1">MAX(0,K32-$F$9)*$F$8+K32*$F$10+L32*$F$11</f>
        <v>0.13203674184722169</v>
      </c>
      <c r="N32" s="14">
        <f>M32*$C$8*1000/(24*3600)</f>
        <v>3.3788569007431382</v>
      </c>
      <c r="O32" s="4">
        <v>17.29</v>
      </c>
      <c r="P32" s="14">
        <f>(O32-N32)^2</f>
        <v>193.51990232800179</v>
      </c>
      <c r="Q32" s="14">
        <f t="shared" ref="Q32:Q95" si="2">(O32-$F$23)^2</f>
        <v>115.69908695883733</v>
      </c>
      <c r="S32" s="39"/>
      <c r="T32" s="40"/>
    </row>
    <row r="33" spans="1:20" x14ac:dyDescent="0.25">
      <c r="A33" s="5" t="s">
        <v>90</v>
      </c>
      <c r="B33" s="6">
        <f t="shared" ref="B33:B96" si="3">MONTH(A33)</f>
        <v>2</v>
      </c>
      <c r="C33" s="58">
        <v>14.993233679999999</v>
      </c>
      <c r="D33" s="4">
        <v>0.7</v>
      </c>
      <c r="E33" s="12">
        <f t="shared" ref="E33:E90" si="4">IF(C33&gt;$C$9,MAX(E32-$C$10*(C33-$C$9),0),E32+D33)</f>
        <v>0</v>
      </c>
      <c r="F33" s="12">
        <f t="shared" ref="F33:F90" si="5">IF(C33&gt;$C$9,D33+MIN(E32,$C$10*(C33-$C$9)),0)</f>
        <v>0.7</v>
      </c>
      <c r="G33" s="16">
        <f t="shared" ref="G33:G95" si="6">G32+F33-H33-J33</f>
        <v>244.20597859835027</v>
      </c>
      <c r="H33" s="14">
        <f t="shared" si="0"/>
        <v>0.54835747868158247</v>
      </c>
      <c r="I33" s="14">
        <f t="shared" ref="I33:I95" si="7">(1+$C$13*(C33-INDEX($A$16:$A$27,B33)))*INDEX($C$16:$C$27,B33)</f>
        <v>8.6365173669920168</v>
      </c>
      <c r="J33" s="14">
        <f t="shared" ref="J33:J95" si="8">IF(G32&gt;$F$13,I33,I33*(G32/$F$13))</f>
        <v>8.6365173669920168</v>
      </c>
      <c r="K33" s="14">
        <f>K32+H33-MAX(0,K32-$F$9)*$F$8-K32*$F$10-K32*$F$12</f>
        <v>1.0802026568061551</v>
      </c>
      <c r="L33" s="14">
        <f>L32+K32*$F$12-L32*$F$11</f>
        <v>622.21249062023094</v>
      </c>
      <c r="M33" s="14">
        <f t="shared" si="1"/>
        <v>0.13212447304171579</v>
      </c>
      <c r="N33" s="14">
        <f t="shared" ref="N33:N95" si="9">M33*$C$8*1000/(24*3600)</f>
        <v>3.3811019663800179</v>
      </c>
      <c r="O33" s="4">
        <v>15.76</v>
      </c>
      <c r="P33" s="14">
        <f t="shared" ref="P33:P96" si="10">(O33-N33)^2</f>
        <v>153.23711652676067</v>
      </c>
      <c r="Q33" s="14">
        <f t="shared" si="2"/>
        <v>85.125552881251082</v>
      </c>
      <c r="S33" s="39"/>
      <c r="T33" s="40"/>
    </row>
    <row r="34" spans="1:20" x14ac:dyDescent="0.25">
      <c r="A34" s="5" t="s">
        <v>91</v>
      </c>
      <c r="B34" s="6">
        <f t="shared" si="3"/>
        <v>2</v>
      </c>
      <c r="C34" s="58">
        <v>13.329474449999999</v>
      </c>
      <c r="D34" s="4">
        <v>1.4</v>
      </c>
      <c r="E34" s="12">
        <f t="shared" si="4"/>
        <v>0</v>
      </c>
      <c r="F34" s="12">
        <f t="shared" si="5"/>
        <v>1.4</v>
      </c>
      <c r="G34" s="16">
        <f>G33+F34-H34-J34</f>
        <v>239.31151973228157</v>
      </c>
      <c r="H34" s="14">
        <f>(F34*(G33/$C$11)^$C$12)</f>
        <v>1.0769827245142019</v>
      </c>
      <c r="I34" s="14">
        <f t="shared" si="7"/>
        <v>5.2174761415544859</v>
      </c>
      <c r="J34" s="14">
        <f t="shared" si="8"/>
        <v>5.2174761415544859</v>
      </c>
      <c r="K34" s="14">
        <f t="shared" ref="K34:K95" si="11">K33+H34-MAX(0,K33-$F$9)*$F$8-K33*$F$10-K33*$F$12</f>
        <v>2.103337278810999</v>
      </c>
      <c r="L34" s="14">
        <f t="shared" ref="L34:L95" si="12">L33+K33*$F$12-L33*$F$11</f>
        <v>622.13421424969863</v>
      </c>
      <c r="M34" s="14">
        <f t="shared" si="1"/>
        <v>0.13626288496264793</v>
      </c>
      <c r="N34" s="14">
        <f t="shared" si="9"/>
        <v>3.4870050769955392</v>
      </c>
      <c r="O34" s="4">
        <v>14.18</v>
      </c>
      <c r="P34" s="14">
        <f t="shared" si="10"/>
        <v>114.34014042339918</v>
      </c>
      <c r="Q34" s="14">
        <f t="shared" si="2"/>
        <v>58.466683703090162</v>
      </c>
      <c r="S34" s="39"/>
      <c r="T34" s="40"/>
    </row>
    <row r="35" spans="1:20" x14ac:dyDescent="0.25">
      <c r="A35" s="5" t="s">
        <v>92</v>
      </c>
      <c r="B35" s="6">
        <f t="shared" si="3"/>
        <v>2</v>
      </c>
      <c r="C35" s="58">
        <v>14.62580204</v>
      </c>
      <c r="D35" s="4">
        <v>1.1000000000000001</v>
      </c>
      <c r="E35" s="12">
        <f t="shared" si="4"/>
        <v>0</v>
      </c>
      <c r="F35" s="12">
        <f t="shared" si="5"/>
        <v>1.1000000000000001</v>
      </c>
      <c r="G35" s="16">
        <f t="shared" si="6"/>
        <v>231.69293543950991</v>
      </c>
      <c r="H35" s="14">
        <f t="shared" si="0"/>
        <v>0.83714248120726664</v>
      </c>
      <c r="I35" s="14">
        <f t="shared" si="7"/>
        <v>7.8814418115643718</v>
      </c>
      <c r="J35" s="14">
        <f t="shared" si="8"/>
        <v>7.8814418115643718</v>
      </c>
      <c r="K35" s="14">
        <f t="shared" si="11"/>
        <v>2.8316892524862367</v>
      </c>
      <c r="L35" s="14">
        <f t="shared" si="12"/>
        <v>622.106741872268</v>
      </c>
      <c r="M35" s="14">
        <f t="shared" si="1"/>
        <v>0.16417499162573801</v>
      </c>
      <c r="N35" s="14">
        <f t="shared" si="9"/>
        <v>4.2012836398669764</v>
      </c>
      <c r="O35" s="4">
        <v>14.02</v>
      </c>
      <c r="P35" s="14">
        <f t="shared" si="10"/>
        <v>96.407190960743904</v>
      </c>
      <c r="Q35" s="14">
        <f t="shared" si="2"/>
        <v>56.045451381251077</v>
      </c>
      <c r="S35" s="39"/>
      <c r="T35" s="40"/>
    </row>
    <row r="36" spans="1:20" x14ac:dyDescent="0.25">
      <c r="A36" s="5" t="s">
        <v>93</v>
      </c>
      <c r="B36" s="6">
        <f t="shared" si="3"/>
        <v>2</v>
      </c>
      <c r="C36" s="58">
        <v>13.49022293</v>
      </c>
      <c r="D36" s="4">
        <v>5.0999999999999996</v>
      </c>
      <c r="E36" s="12">
        <f t="shared" si="4"/>
        <v>0</v>
      </c>
      <c r="F36" s="12">
        <f t="shared" si="5"/>
        <v>5.0999999999999996</v>
      </c>
      <c r="G36" s="16">
        <f t="shared" si="6"/>
        <v>227.43000352498183</v>
      </c>
      <c r="H36" s="14">
        <f t="shared" si="0"/>
        <v>3.815116099939059</v>
      </c>
      <c r="I36" s="14">
        <f t="shared" si="7"/>
        <v>5.5478158145890397</v>
      </c>
      <c r="J36" s="14">
        <f t="shared" si="8"/>
        <v>5.5478158145890397</v>
      </c>
      <c r="K36" s="14">
        <f t="shared" si="11"/>
        <v>6.4739422363658985</v>
      </c>
      <c r="L36" s="14">
        <f t="shared" si="12"/>
        <v>622.11542999670166</v>
      </c>
      <c r="M36" s="14">
        <f t="shared" si="1"/>
        <v>0.30378538586722337</v>
      </c>
      <c r="N36" s="14">
        <f t="shared" si="9"/>
        <v>7.7739524091716534</v>
      </c>
      <c r="O36" s="4">
        <v>13.49</v>
      </c>
      <c r="P36" s="14">
        <f t="shared" si="10"/>
        <v>32.673200060614548</v>
      </c>
      <c r="Q36" s="14">
        <f t="shared" si="2"/>
        <v>48.390819315159128</v>
      </c>
      <c r="S36" s="39"/>
      <c r="T36" s="40"/>
    </row>
    <row r="37" spans="1:20" x14ac:dyDescent="0.25">
      <c r="A37" s="5" t="s">
        <v>94</v>
      </c>
      <c r="B37" s="6">
        <f t="shared" si="3"/>
        <v>2</v>
      </c>
      <c r="C37" s="58">
        <v>15.83044529</v>
      </c>
      <c r="D37" s="4">
        <v>0.2</v>
      </c>
      <c r="E37" s="12">
        <f t="shared" si="4"/>
        <v>0</v>
      </c>
      <c r="F37" s="12">
        <f t="shared" si="5"/>
        <v>0.2</v>
      </c>
      <c r="G37" s="16">
        <f>G36+F37-H37-J37</f>
        <v>217.12486550254721</v>
      </c>
      <c r="H37" s="14">
        <f t="shared" si="0"/>
        <v>0.14814274169725689</v>
      </c>
      <c r="I37" s="14">
        <f t="shared" si="7"/>
        <v>10.35699528073734</v>
      </c>
      <c r="J37" s="14">
        <f t="shared" si="8"/>
        <v>10.35699528073734</v>
      </c>
      <c r="K37" s="14">
        <f t="shared" si="11"/>
        <v>6.1288154403444759</v>
      </c>
      <c r="L37" s="14">
        <f t="shared" si="12"/>
        <v>622.30491414855317</v>
      </c>
      <c r="M37" s="14">
        <f t="shared" si="1"/>
        <v>0.29059674827126553</v>
      </c>
      <c r="N37" s="14">
        <f t="shared" si="9"/>
        <v>7.4364515095806496</v>
      </c>
      <c r="O37" s="4">
        <v>13.4</v>
      </c>
      <c r="P37" s="14">
        <f t="shared" si="10"/>
        <v>35.563910597582918</v>
      </c>
      <c r="Q37" s="14">
        <f t="shared" si="2"/>
        <v>47.146776134124643</v>
      </c>
      <c r="S37" s="39"/>
      <c r="T37" s="40"/>
    </row>
    <row r="38" spans="1:20" x14ac:dyDescent="0.25">
      <c r="A38" s="5" t="s">
        <v>95</v>
      </c>
      <c r="B38" s="6">
        <f t="shared" si="3"/>
        <v>2</v>
      </c>
      <c r="C38" s="58">
        <v>14.10404778</v>
      </c>
      <c r="D38" s="4">
        <v>9.8000000000000007</v>
      </c>
      <c r="E38" s="12">
        <f t="shared" si="4"/>
        <v>0</v>
      </c>
      <c r="F38" s="12">
        <f t="shared" si="5"/>
        <v>9.8000000000000007</v>
      </c>
      <c r="G38" s="16">
        <f t="shared" si="6"/>
        <v>213.03338096701199</v>
      </c>
      <c r="H38" s="14">
        <f>(F38*(G37/$C$11)^$C$12)</f>
        <v>7.0822527483069209</v>
      </c>
      <c r="I38" s="14">
        <f t="shared" si="7"/>
        <v>6.809231787228307</v>
      </c>
      <c r="J38" s="14">
        <f t="shared" si="8"/>
        <v>6.809231787228307</v>
      </c>
      <c r="K38" s="14">
        <f t="shared" si="11"/>
        <v>12.748159211338976</v>
      </c>
      <c r="L38" s="14">
        <f t="shared" si="12"/>
        <v>622.47722637759432</v>
      </c>
      <c r="M38" s="14">
        <f t="shared" si="1"/>
        <v>0.54435453124192956</v>
      </c>
      <c r="N38" s="14">
        <f t="shared" si="9"/>
        <v>13.930183664072988</v>
      </c>
      <c r="O38" s="4">
        <v>13.47</v>
      </c>
      <c r="P38" s="14">
        <f t="shared" si="10"/>
        <v>0.21176900467964022</v>
      </c>
      <c r="Q38" s="14">
        <f t="shared" si="2"/>
        <v>48.112965274929245</v>
      </c>
      <c r="S38" s="39"/>
      <c r="T38" s="40"/>
    </row>
    <row r="39" spans="1:20" x14ac:dyDescent="0.25">
      <c r="A39" s="5" t="s">
        <v>96</v>
      </c>
      <c r="B39" s="6">
        <f t="shared" si="3"/>
        <v>2</v>
      </c>
      <c r="C39" s="58">
        <v>14.576776499999999</v>
      </c>
      <c r="D39" s="4">
        <v>10.9</v>
      </c>
      <c r="E39" s="12">
        <f t="shared" si="4"/>
        <v>0</v>
      </c>
      <c r="F39" s="12">
        <f>IF(C39&gt;$C$9,D39+MIN(E38,$C$10*(C39-$C$9)),0)</f>
        <v>10.9</v>
      </c>
      <c r="G39" s="16">
        <f t="shared" si="6"/>
        <v>208.35474526221665</v>
      </c>
      <c r="H39" s="14">
        <f t="shared" si="0"/>
        <v>7.7979418496281117</v>
      </c>
      <c r="I39" s="14">
        <f t="shared" si="7"/>
        <v>7.7806938551672555</v>
      </c>
      <c r="J39" s="14">
        <f t="shared" si="8"/>
        <v>7.7806938551672555</v>
      </c>
      <c r="K39" s="14">
        <f t="shared" si="11"/>
        <v>19.500893088833646</v>
      </c>
      <c r="L39" s="14">
        <f t="shared" si="12"/>
        <v>622.97807981848587</v>
      </c>
      <c r="M39" s="14">
        <f t="shared" si="1"/>
        <v>0.80329483760809728</v>
      </c>
      <c r="N39" s="14">
        <f t="shared" si="9"/>
        <v>20.556538031846102</v>
      </c>
      <c r="O39" s="4">
        <v>15.3</v>
      </c>
      <c r="P39" s="14">
        <f t="shared" si="10"/>
        <v>27.631192080244489</v>
      </c>
      <c r="Q39" s="14">
        <f t="shared" si="2"/>
        <v>76.848909955963762</v>
      </c>
      <c r="S39" s="39"/>
      <c r="T39" s="40"/>
    </row>
    <row r="40" spans="1:20" x14ac:dyDescent="0.25">
      <c r="A40" s="5" t="s">
        <v>97</v>
      </c>
      <c r="B40" s="6">
        <f t="shared" si="3"/>
        <v>2</v>
      </c>
      <c r="C40" s="58">
        <v>15.133091930000001</v>
      </c>
      <c r="D40" s="4">
        <v>0.8</v>
      </c>
      <c r="E40" s="12">
        <f t="shared" si="4"/>
        <v>0</v>
      </c>
      <c r="F40" s="12">
        <f t="shared" si="5"/>
        <v>0.8</v>
      </c>
      <c r="G40" s="16">
        <f t="shared" si="6"/>
        <v>199.66520821496826</v>
      </c>
      <c r="H40" s="14">
        <f t="shared" si="0"/>
        <v>0.56560963086628424</v>
      </c>
      <c r="I40" s="14">
        <f t="shared" si="7"/>
        <v>8.9239274163821261</v>
      </c>
      <c r="J40" s="14">
        <f t="shared" si="8"/>
        <v>8.9239274163821261</v>
      </c>
      <c r="K40" s="14">
        <f t="shared" si="11"/>
        <v>18.42726151931971</v>
      </c>
      <c r="L40" s="14">
        <f t="shared" si="12"/>
        <v>623.81402618125799</v>
      </c>
      <c r="M40" s="14">
        <f t="shared" si="1"/>
        <v>0.76231944992352985</v>
      </c>
      <c r="N40" s="14">
        <f t="shared" si="9"/>
        <v>19.507966478945885</v>
      </c>
      <c r="O40" s="4">
        <v>17.84</v>
      </c>
      <c r="P40" s="14">
        <f t="shared" si="10"/>
        <v>2.7821121748871351</v>
      </c>
      <c r="Q40" s="14">
        <f t="shared" si="2"/>
        <v>127.83357306515919</v>
      </c>
      <c r="S40" s="39"/>
      <c r="T40" s="40"/>
    </row>
    <row r="41" spans="1:20" x14ac:dyDescent="0.25">
      <c r="A41" s="5" t="s">
        <v>98</v>
      </c>
      <c r="B41" s="6">
        <f t="shared" si="3"/>
        <v>2</v>
      </c>
      <c r="C41" s="58">
        <v>17.469867709999999</v>
      </c>
      <c r="D41" s="4">
        <v>3.4</v>
      </c>
      <c r="E41" s="12">
        <f t="shared" si="4"/>
        <v>0</v>
      </c>
      <c r="F41" s="12">
        <f t="shared" si="5"/>
        <v>3.4</v>
      </c>
      <c r="G41" s="16">
        <f t="shared" si="6"/>
        <v>186.98916717634353</v>
      </c>
      <c r="H41" s="14">
        <f t="shared" si="0"/>
        <v>2.3500169111554099</v>
      </c>
      <c r="I41" s="14">
        <f t="shared" si="7"/>
        <v>13.726024127469303</v>
      </c>
      <c r="J41" s="14">
        <f t="shared" si="8"/>
        <v>13.726024127469303</v>
      </c>
      <c r="K41" s="14">
        <f t="shared" si="11"/>
        <v>19.232483840720494</v>
      </c>
      <c r="L41" s="14">
        <f t="shared" si="12"/>
        <v>624.59650132108902</v>
      </c>
      <c r="M41" s="14">
        <f t="shared" si="1"/>
        <v>0.79334971066182014</v>
      </c>
      <c r="N41" s="14">
        <f t="shared" si="9"/>
        <v>20.302039470755606</v>
      </c>
      <c r="O41" s="4">
        <v>20.12</v>
      </c>
      <c r="P41" s="14">
        <f t="shared" si="10"/>
        <v>3.3138368912980685E-2</v>
      </c>
      <c r="Q41" s="14">
        <f t="shared" si="2"/>
        <v>184.58893365136615</v>
      </c>
      <c r="S41" s="39"/>
      <c r="T41" s="40"/>
    </row>
    <row r="42" spans="1:20" x14ac:dyDescent="0.25">
      <c r="A42" s="5" t="s">
        <v>99</v>
      </c>
      <c r="B42" s="6">
        <f t="shared" si="3"/>
        <v>2</v>
      </c>
      <c r="C42" s="58">
        <v>15.92387772</v>
      </c>
      <c r="D42" s="4">
        <v>4.4000000000000004</v>
      </c>
      <c r="E42" s="12">
        <f t="shared" si="4"/>
        <v>0</v>
      </c>
      <c r="F42" s="12">
        <f t="shared" si="5"/>
        <v>4.4000000000000004</v>
      </c>
      <c r="G42" s="16">
        <f t="shared" si="6"/>
        <v>177.9031790081865</v>
      </c>
      <c r="H42" s="14">
        <f t="shared" si="0"/>
        <v>2.9369883448136158</v>
      </c>
      <c r="I42" s="14">
        <f t="shared" si="7"/>
        <v>10.548999823343427</v>
      </c>
      <c r="J42" s="14">
        <f t="shared" si="8"/>
        <v>10.548999823343427</v>
      </c>
      <c r="K42" s="14">
        <f t="shared" si="11"/>
        <v>20.553842757073308</v>
      </c>
      <c r="L42" s="14">
        <f t="shared" si="12"/>
        <v>625.41878103888803</v>
      </c>
      <c r="M42" s="14">
        <f t="shared" si="1"/>
        <v>0.84417206595023886</v>
      </c>
      <c r="N42" s="14">
        <f t="shared" si="9"/>
        <v>21.602597659907151</v>
      </c>
      <c r="O42" s="4">
        <v>18.25</v>
      </c>
      <c r="P42" s="14">
        <f t="shared" si="10"/>
        <v>11.239911069214902</v>
      </c>
      <c r="Q42" s="14">
        <f t="shared" si="2"/>
        <v>137.27288088987183</v>
      </c>
      <c r="S42" s="39"/>
      <c r="T42" s="40"/>
    </row>
    <row r="43" spans="1:20" x14ac:dyDescent="0.25">
      <c r="A43" s="5" t="s">
        <v>100</v>
      </c>
      <c r="B43" s="6">
        <f t="shared" si="3"/>
        <v>2</v>
      </c>
      <c r="C43" s="58">
        <v>17.785274510000001</v>
      </c>
      <c r="D43" s="4">
        <v>0.2</v>
      </c>
      <c r="E43" s="12">
        <f t="shared" si="4"/>
        <v>0</v>
      </c>
      <c r="F43" s="12">
        <f t="shared" si="5"/>
        <v>0.2</v>
      </c>
      <c r="G43" s="16">
        <f t="shared" si="6"/>
        <v>163.59897989003744</v>
      </c>
      <c r="H43" s="14">
        <f t="shared" si="0"/>
        <v>0.13001098200682573</v>
      </c>
      <c r="I43" s="14">
        <f t="shared" si="7"/>
        <v>14.374188136142202</v>
      </c>
      <c r="J43" s="14">
        <f t="shared" si="8"/>
        <v>14.374188136142202</v>
      </c>
      <c r="K43" s="14">
        <f t="shared" si="11"/>
        <v>18.95198530031719</v>
      </c>
      <c r="L43" s="14">
        <f t="shared" si="12"/>
        <v>626.30647741170071</v>
      </c>
      <c r="M43" s="14">
        <f t="shared" si="1"/>
        <v>0.78296060557416691</v>
      </c>
      <c r="N43" s="14">
        <f t="shared" si="9"/>
        <v>20.036179385700034</v>
      </c>
      <c r="O43" s="4">
        <v>16.22</v>
      </c>
      <c r="P43" s="14">
        <f t="shared" si="10"/>
        <v>14.5632251038419</v>
      </c>
      <c r="Q43" s="14">
        <f t="shared" si="2"/>
        <v>93.825395806538452</v>
      </c>
      <c r="S43" s="39"/>
      <c r="T43" s="40"/>
    </row>
    <row r="44" spans="1:20" x14ac:dyDescent="0.25">
      <c r="A44" s="5" t="s">
        <v>101</v>
      </c>
      <c r="B44" s="6">
        <f t="shared" si="3"/>
        <v>3</v>
      </c>
      <c r="C44" s="58">
        <v>15.98917007</v>
      </c>
      <c r="D44" s="4">
        <v>3.7</v>
      </c>
      <c r="E44" s="12">
        <f t="shared" si="4"/>
        <v>0</v>
      </c>
      <c r="F44" s="12">
        <f t="shared" si="5"/>
        <v>3.7</v>
      </c>
      <c r="G44" s="16">
        <f t="shared" si="6"/>
        <v>153.53937267698078</v>
      </c>
      <c r="H44" s="14">
        <f t="shared" si="0"/>
        <v>2.3003856213384224</v>
      </c>
      <c r="I44" s="14">
        <f t="shared" si="7"/>
        <v>11.459221591718229</v>
      </c>
      <c r="J44" s="14">
        <f t="shared" si="8"/>
        <v>11.459221591718229</v>
      </c>
      <c r="K44" s="14">
        <f t="shared" si="11"/>
        <v>19.661416751615644</v>
      </c>
      <c r="L44" s="14">
        <f t="shared" si="12"/>
        <v>627.11447097616644</v>
      </c>
      <c r="M44" s="14">
        <f t="shared" si="1"/>
        <v>0.81032458546999897</v>
      </c>
      <c r="N44" s="14">
        <f t="shared" si="9"/>
        <v>20.736431232339903</v>
      </c>
      <c r="O44" s="4">
        <v>14.29</v>
      </c>
      <c r="P44" s="14">
        <f t="shared" si="10"/>
        <v>41.556475633287377</v>
      </c>
      <c r="Q44" s="14">
        <f t="shared" si="2"/>
        <v>60.160980924354519</v>
      </c>
      <c r="S44" s="39"/>
      <c r="T44" s="40"/>
    </row>
    <row r="45" spans="1:20" x14ac:dyDescent="0.25">
      <c r="A45" s="5" t="s">
        <v>102</v>
      </c>
      <c r="B45" s="6">
        <f t="shared" si="3"/>
        <v>3</v>
      </c>
      <c r="C45" s="58">
        <v>15.94149494</v>
      </c>
      <c r="D45" s="4">
        <v>3.8</v>
      </c>
      <c r="E45" s="12">
        <f t="shared" si="4"/>
        <v>0</v>
      </c>
      <c r="F45" s="12">
        <f t="shared" si="5"/>
        <v>3.8</v>
      </c>
      <c r="G45" s="16">
        <f t="shared" si="6"/>
        <v>143.69283977770925</v>
      </c>
      <c r="H45" s="14">
        <f t="shared" si="0"/>
        <v>2.2841875829353881</v>
      </c>
      <c r="I45" s="14">
        <f t="shared" si="7"/>
        <v>11.362345316336127</v>
      </c>
      <c r="J45" s="14">
        <f t="shared" si="8"/>
        <v>11.362345316336127</v>
      </c>
      <c r="K45" s="14">
        <f t="shared" si="11"/>
        <v>20.292241980969411</v>
      </c>
      <c r="L45" s="14">
        <f t="shared" si="12"/>
        <v>627.95750874427802</v>
      </c>
      <c r="M45" s="14">
        <f t="shared" si="1"/>
        <v>0.8346829960590687</v>
      </c>
      <c r="N45" s="14">
        <f t="shared" si="9"/>
        <v>21.359769725539365</v>
      </c>
      <c r="O45" s="4">
        <v>17.489999999999998</v>
      </c>
      <c r="P45" s="14">
        <f t="shared" si="10"/>
        <v>14.975117728701028</v>
      </c>
      <c r="Q45" s="14">
        <f t="shared" si="2"/>
        <v>120.04162736113616</v>
      </c>
      <c r="S45" s="39"/>
      <c r="T45" s="40"/>
    </row>
    <row r="46" spans="1:20" x14ac:dyDescent="0.25">
      <c r="A46" s="5" t="s">
        <v>103</v>
      </c>
      <c r="B46" s="6">
        <f t="shared" si="3"/>
        <v>3</v>
      </c>
      <c r="C46" s="58">
        <v>16.243556980000001</v>
      </c>
      <c r="D46" s="4">
        <v>4.5</v>
      </c>
      <c r="E46" s="12">
        <f t="shared" si="4"/>
        <v>0</v>
      </c>
      <c r="F46" s="12">
        <f t="shared" si="5"/>
        <v>4.5</v>
      </c>
      <c r="G46" s="16">
        <f t="shared" si="6"/>
        <v>133.60538606320395</v>
      </c>
      <c r="H46" s="14">
        <f t="shared" si="0"/>
        <v>2.6113157274513377</v>
      </c>
      <c r="I46" s="14">
        <f t="shared" si="7"/>
        <v>11.976137987053962</v>
      </c>
      <c r="J46" s="14">
        <f t="shared" si="8"/>
        <v>11.976137987053962</v>
      </c>
      <c r="K46" s="14">
        <f t="shared" si="11"/>
        <v>21.194702105104909</v>
      </c>
      <c r="L46" s="14">
        <f t="shared" si="12"/>
        <v>628.83168135153483</v>
      </c>
      <c r="M46" s="14">
        <f t="shared" si="1"/>
        <v>0.86945984638196028</v>
      </c>
      <c r="N46" s="14">
        <f t="shared" si="9"/>
        <v>22.249718985538358</v>
      </c>
      <c r="O46" s="4">
        <v>18.559999999999999</v>
      </c>
      <c r="P46" s="14">
        <f t="shared" si="10"/>
        <v>13.614026192242219</v>
      </c>
      <c r="Q46" s="14">
        <f t="shared" si="2"/>
        <v>144.63311851343502</v>
      </c>
      <c r="S46" s="39"/>
      <c r="T46" s="40"/>
    </row>
    <row r="47" spans="1:20" x14ac:dyDescent="0.25">
      <c r="A47" s="5" t="s">
        <v>104</v>
      </c>
      <c r="B47" s="6">
        <f t="shared" si="3"/>
        <v>3</v>
      </c>
      <c r="C47" s="58">
        <v>16.48568916</v>
      </c>
      <c r="D47" s="4">
        <v>1.8</v>
      </c>
      <c r="E47" s="12">
        <f t="shared" si="4"/>
        <v>0</v>
      </c>
      <c r="F47" s="12">
        <f t="shared" si="5"/>
        <v>1.8</v>
      </c>
      <c r="G47" s="16">
        <f t="shared" si="6"/>
        <v>121.93235026895499</v>
      </c>
      <c r="H47" s="14">
        <f t="shared" si="0"/>
        <v>1.0048831289225328</v>
      </c>
      <c r="I47" s="14">
        <f t="shared" si="7"/>
        <v>12.468152665326445</v>
      </c>
      <c r="J47" s="14">
        <f t="shared" si="8"/>
        <v>12.468152665326445</v>
      </c>
      <c r="K47" s="14">
        <f t="shared" si="11"/>
        <v>20.411340851199519</v>
      </c>
      <c r="L47" s="14">
        <f t="shared" si="12"/>
        <v>629.75046588798079</v>
      </c>
      <c r="M47" s="14">
        <f t="shared" si="1"/>
        <v>0.83962815927597068</v>
      </c>
      <c r="N47" s="14">
        <f t="shared" si="9"/>
        <v>21.486317825916331</v>
      </c>
      <c r="O47" s="4">
        <v>18.62</v>
      </c>
      <c r="P47" s="14">
        <f t="shared" si="10"/>
        <v>8.2157778791657137</v>
      </c>
      <c r="Q47" s="14">
        <f t="shared" si="2"/>
        <v>146.07988063412475</v>
      </c>
      <c r="S47" s="39"/>
      <c r="T47" s="40"/>
    </row>
    <row r="48" spans="1:20" x14ac:dyDescent="0.25">
      <c r="A48" s="5" t="s">
        <v>105</v>
      </c>
      <c r="B48" s="6">
        <f t="shared" si="3"/>
        <v>3</v>
      </c>
      <c r="C48" s="58">
        <v>17.347646709999999</v>
      </c>
      <c r="D48" s="4">
        <v>0.2</v>
      </c>
      <c r="E48" s="12">
        <f t="shared" si="4"/>
        <v>0</v>
      </c>
      <c r="F48" s="12">
        <f t="shared" si="5"/>
        <v>0.2</v>
      </c>
      <c r="G48" s="16">
        <f t="shared" si="6"/>
        <v>107.80633527485236</v>
      </c>
      <c r="H48" s="14">
        <f t="shared" si="0"/>
        <v>0.10635715235647097</v>
      </c>
      <c r="I48" s="14">
        <f t="shared" si="7"/>
        <v>14.219657841746162</v>
      </c>
      <c r="J48" s="14">
        <f t="shared" si="8"/>
        <v>14.219657841746162</v>
      </c>
      <c r="K48" s="14">
        <f t="shared" si="11"/>
        <v>18.798365356772006</v>
      </c>
      <c r="L48" s="14">
        <f t="shared" si="12"/>
        <v>630.63017037548889</v>
      </c>
      <c r="M48" s="14">
        <f t="shared" si="1"/>
        <v>0.77798884735724361</v>
      </c>
      <c r="N48" s="14">
        <f t="shared" si="9"/>
        <v>19.908950711885019</v>
      </c>
      <c r="O48" s="4">
        <v>17.09</v>
      </c>
      <c r="P48" s="14">
        <f t="shared" si="10"/>
        <v>7.9464831160370579</v>
      </c>
      <c r="Q48" s="14">
        <f t="shared" si="2"/>
        <v>111.43654655653849</v>
      </c>
      <c r="S48" s="39"/>
      <c r="T48" s="40"/>
    </row>
    <row r="49" spans="1:20" x14ac:dyDescent="0.25">
      <c r="A49" s="5" t="s">
        <v>106</v>
      </c>
      <c r="B49" s="6">
        <f t="shared" si="3"/>
        <v>3</v>
      </c>
      <c r="C49" s="58">
        <v>16.946430209999999</v>
      </c>
      <c r="D49" s="4">
        <v>2.2999999999999998</v>
      </c>
      <c r="E49" s="12">
        <f t="shared" si="4"/>
        <v>0</v>
      </c>
      <c r="F49" s="12">
        <f t="shared" si="5"/>
        <v>2.2999999999999998</v>
      </c>
      <c r="G49" s="16">
        <f t="shared" si="6"/>
        <v>95.556338198340825</v>
      </c>
      <c r="H49" s="14">
        <f t="shared" si="0"/>
        <v>1.1456146234605669</v>
      </c>
      <c r="I49" s="14">
        <f t="shared" si="7"/>
        <v>13.404382453050975</v>
      </c>
      <c r="J49" s="14">
        <f t="shared" si="8"/>
        <v>13.404382453050975</v>
      </c>
      <c r="K49" s="14">
        <f t="shared" si="11"/>
        <v>18.366539648090374</v>
      </c>
      <c r="L49" s="14">
        <f t="shared" si="12"/>
        <v>631.42962186027387</v>
      </c>
      <c r="M49" s="14">
        <f t="shared" si="1"/>
        <v>0.76160631758269004</v>
      </c>
      <c r="N49" s="14">
        <f t="shared" si="9"/>
        <v>19.489717224251475</v>
      </c>
      <c r="O49" s="4">
        <v>18.12</v>
      </c>
      <c r="P49" s="14">
        <f t="shared" si="10"/>
        <v>1.8761252744111625</v>
      </c>
      <c r="Q49" s="14">
        <f t="shared" si="2"/>
        <v>134.24352962837762</v>
      </c>
      <c r="S49" s="39"/>
      <c r="T49" s="40"/>
    </row>
    <row r="50" spans="1:20" x14ac:dyDescent="0.25">
      <c r="A50" s="5" t="s">
        <v>107</v>
      </c>
      <c r="B50" s="6">
        <f t="shared" si="3"/>
        <v>3</v>
      </c>
      <c r="C50" s="58">
        <v>15.401979450000001</v>
      </c>
      <c r="D50" s="4">
        <v>1.2</v>
      </c>
      <c r="E50" s="12">
        <f t="shared" si="4"/>
        <v>0</v>
      </c>
      <c r="F50" s="12">
        <f t="shared" si="5"/>
        <v>1.2</v>
      </c>
      <c r="G50" s="16">
        <f t="shared" si="6"/>
        <v>85.9297030428651</v>
      </c>
      <c r="H50" s="14">
        <f t="shared" si="0"/>
        <v>0.56058996841350461</v>
      </c>
      <c r="I50" s="14">
        <f t="shared" si="7"/>
        <v>10.26604518706222</v>
      </c>
      <c r="J50" s="14">
        <f t="shared" si="8"/>
        <v>10.26604518706222</v>
      </c>
      <c r="K50" s="14">
        <f t="shared" si="11"/>
        <v>17.387676686859951</v>
      </c>
      <c r="L50" s="14">
        <f t="shared" si="12"/>
        <v>632.20746847233511</v>
      </c>
      <c r="M50" s="14">
        <f t="shared" si="1"/>
        <v>0.72425112057778063</v>
      </c>
      <c r="N50" s="14">
        <f t="shared" si="9"/>
        <v>18.533787356452233</v>
      </c>
      <c r="O50" s="4">
        <v>24.29</v>
      </c>
      <c r="P50" s="14">
        <f t="shared" si="10"/>
        <v>33.133983997739158</v>
      </c>
      <c r="Q50" s="14">
        <f t="shared" si="2"/>
        <v>315.28800103929717</v>
      </c>
      <c r="S50" s="39"/>
      <c r="T50" s="40"/>
    </row>
    <row r="51" spans="1:20" x14ac:dyDescent="0.25">
      <c r="A51" s="5" t="s">
        <v>108</v>
      </c>
      <c r="B51" s="6">
        <f t="shared" si="3"/>
        <v>3</v>
      </c>
      <c r="C51" s="58">
        <v>12.627311710000001</v>
      </c>
      <c r="D51" s="4">
        <v>4.2</v>
      </c>
      <c r="E51" s="12">
        <f t="shared" si="4"/>
        <v>0</v>
      </c>
      <c r="F51" s="12">
        <f t="shared" si="5"/>
        <v>4.2</v>
      </c>
      <c r="G51" s="16">
        <f t="shared" si="6"/>
        <v>83.647425580508312</v>
      </c>
      <c r="H51" s="14">
        <f t="shared" si="0"/>
        <v>1.8543810558868421</v>
      </c>
      <c r="I51" s="14">
        <f t="shared" si="7"/>
        <v>4.627896406469949</v>
      </c>
      <c r="J51" s="14">
        <f t="shared" si="8"/>
        <v>4.627896406469949</v>
      </c>
      <c r="K51" s="14">
        <f t="shared" si="11"/>
        <v>17.788714696213891</v>
      </c>
      <c r="L51" s="14">
        <f t="shared" si="12"/>
        <v>632.93656039829023</v>
      </c>
      <c r="M51" s="14">
        <f t="shared" si="1"/>
        <v>0.73977756997488786</v>
      </c>
      <c r="N51" s="14">
        <f t="shared" si="9"/>
        <v>18.931113509426819</v>
      </c>
      <c r="O51" s="4">
        <v>21.67</v>
      </c>
      <c r="P51" s="14">
        <f t="shared" si="10"/>
        <v>7.5014992082442857</v>
      </c>
      <c r="Q51" s="14">
        <f t="shared" si="2"/>
        <v>229.10912176918228</v>
      </c>
      <c r="S51" s="39"/>
      <c r="T51" s="40"/>
    </row>
    <row r="52" spans="1:20" x14ac:dyDescent="0.25">
      <c r="A52" s="5" t="s">
        <v>109</v>
      </c>
      <c r="B52" s="6">
        <f t="shared" si="3"/>
        <v>3</v>
      </c>
      <c r="C52" s="58">
        <v>13.81168079</v>
      </c>
      <c r="D52" s="4">
        <v>0.8</v>
      </c>
      <c r="E52" s="12">
        <f t="shared" si="4"/>
        <v>0</v>
      </c>
      <c r="F52" s="12">
        <f t="shared" si="5"/>
        <v>0.8</v>
      </c>
      <c r="G52" s="16">
        <f t="shared" si="6"/>
        <v>77.064683900082727</v>
      </c>
      <c r="H52" s="14">
        <f t="shared" si="0"/>
        <v>0.34819708761343987</v>
      </c>
      <c r="I52" s="14">
        <f t="shared" si="7"/>
        <v>7.0345445928121411</v>
      </c>
      <c r="J52" s="14">
        <f t="shared" si="8"/>
        <v>7.0345445928121411</v>
      </c>
      <c r="K52" s="14">
        <f t="shared" si="11"/>
        <v>16.648289706953818</v>
      </c>
      <c r="L52" s="14">
        <f t="shared" si="12"/>
        <v>633.68540490518888</v>
      </c>
      <c r="M52" s="14">
        <f t="shared" si="1"/>
        <v>0.69622350840557468</v>
      </c>
      <c r="N52" s="14">
        <f t="shared" si="9"/>
        <v>17.816552975517656</v>
      </c>
      <c r="O52" s="4">
        <v>20.07</v>
      </c>
      <c r="P52" s="14">
        <f t="shared" si="10"/>
        <v>5.0780234921483327</v>
      </c>
      <c r="Q52" s="14">
        <f t="shared" si="2"/>
        <v>183.23279855079141</v>
      </c>
      <c r="S52" s="39"/>
      <c r="T52" s="40"/>
    </row>
    <row r="53" spans="1:20" x14ac:dyDescent="0.25">
      <c r="A53" s="5" t="s">
        <v>110</v>
      </c>
      <c r="B53" s="6">
        <f t="shared" si="3"/>
        <v>3</v>
      </c>
      <c r="C53" s="58">
        <v>14.792552949999999</v>
      </c>
      <c r="D53" s="4">
        <v>5.2</v>
      </c>
      <c r="E53" s="12">
        <f t="shared" si="4"/>
        <v>0</v>
      </c>
      <c r="F53" s="12">
        <f t="shared" si="5"/>
        <v>5.2</v>
      </c>
      <c r="G53" s="16">
        <f t="shared" si="6"/>
        <v>71.070213776747053</v>
      </c>
      <c r="H53" s="14">
        <f t="shared" si="0"/>
        <v>2.1667848408851884</v>
      </c>
      <c r="I53" s="14">
        <f t="shared" si="7"/>
        <v>9.0276852824504967</v>
      </c>
      <c r="J53" s="14">
        <f t="shared" si="8"/>
        <v>9.0276852824504967</v>
      </c>
      <c r="K53" s="14">
        <f t="shared" si="11"/>
        <v>17.426774851535125</v>
      </c>
      <c r="L53" s="14">
        <f t="shared" si="12"/>
        <v>634.37748109308711</v>
      </c>
      <c r="M53" s="14">
        <f t="shared" si="1"/>
        <v>0.72620976308218266</v>
      </c>
      <c r="N53" s="14">
        <f t="shared" si="9"/>
        <v>18.583909562207246</v>
      </c>
      <c r="O53" s="4">
        <v>19.25</v>
      </c>
      <c r="P53" s="14">
        <f t="shared" si="10"/>
        <v>0.44367647131894228</v>
      </c>
      <c r="Q53" s="14">
        <f t="shared" si="2"/>
        <v>161.70558290136609</v>
      </c>
      <c r="S53" s="39"/>
      <c r="T53" s="40"/>
    </row>
    <row r="54" spans="1:20" x14ac:dyDescent="0.25">
      <c r="A54" s="5" t="s">
        <v>111</v>
      </c>
      <c r="B54" s="6">
        <f t="shared" si="3"/>
        <v>3</v>
      </c>
      <c r="C54" s="58">
        <v>15.963013650000001</v>
      </c>
      <c r="D54" s="4">
        <v>7.2</v>
      </c>
      <c r="E54" s="12">
        <f t="shared" si="4"/>
        <v>0</v>
      </c>
      <c r="F54" s="12">
        <f t="shared" si="5"/>
        <v>7.2</v>
      </c>
      <c r="G54" s="16">
        <f t="shared" si="6"/>
        <v>63.990382240142189</v>
      </c>
      <c r="H54" s="14">
        <f t="shared" si="0"/>
        <v>2.8737600159389838</v>
      </c>
      <c r="I54" s="14">
        <f t="shared" si="7"/>
        <v>11.406071520665883</v>
      </c>
      <c r="J54" s="14">
        <f t="shared" si="8"/>
        <v>11.406071520665883</v>
      </c>
      <c r="K54" s="14">
        <f t="shared" si="11"/>
        <v>18.843752383018444</v>
      </c>
      <c r="L54" s="14">
        <f t="shared" si="12"/>
        <v>635.1080538144605</v>
      </c>
      <c r="M54" s="14">
        <f t="shared" si="1"/>
        <v>0.780677765982838</v>
      </c>
      <c r="N54" s="14">
        <f t="shared" si="9"/>
        <v>19.977760886435821</v>
      </c>
      <c r="O54" s="4">
        <v>20.07</v>
      </c>
      <c r="P54" s="14">
        <f t="shared" si="10"/>
        <v>8.5080540711056172E-3</v>
      </c>
      <c r="Q54" s="14">
        <f t="shared" si="2"/>
        <v>183.23279855079141</v>
      </c>
      <c r="S54" s="39"/>
      <c r="T54" s="40"/>
    </row>
    <row r="55" spans="1:20" x14ac:dyDescent="0.25">
      <c r="A55" s="5" t="s">
        <v>112</v>
      </c>
      <c r="B55" s="6">
        <f t="shared" si="3"/>
        <v>3</v>
      </c>
      <c r="C55" s="58">
        <v>17.074131009999999</v>
      </c>
      <c r="D55" s="4">
        <v>1.5</v>
      </c>
      <c r="E55" s="12">
        <f t="shared" si="4"/>
        <v>0</v>
      </c>
      <c r="F55" s="12">
        <f t="shared" si="5"/>
        <v>1.5</v>
      </c>
      <c r="G55" s="16">
        <f t="shared" si="6"/>
        <v>52.433348940145059</v>
      </c>
      <c r="H55" s="14">
        <f t="shared" si="0"/>
        <v>0.56621799459058142</v>
      </c>
      <c r="I55" s="14">
        <f t="shared" si="7"/>
        <v>13.663871580134947</v>
      </c>
      <c r="J55" s="14">
        <f t="shared" si="8"/>
        <v>12.490815305406549</v>
      </c>
      <c r="K55" s="14">
        <f t="shared" si="11"/>
        <v>17.828537380834863</v>
      </c>
      <c r="L55" s="14">
        <f t="shared" si="12"/>
        <v>635.90880904525181</v>
      </c>
      <c r="M55" s="14">
        <f t="shared" si="1"/>
        <v>0.74193404147867792</v>
      </c>
      <c r="N55" s="14">
        <f t="shared" si="9"/>
        <v>18.986298214228665</v>
      </c>
      <c r="O55" s="4">
        <v>20.53</v>
      </c>
      <c r="P55" s="14">
        <f t="shared" si="10"/>
        <v>2.3830152033936129</v>
      </c>
      <c r="Q55" s="14">
        <f t="shared" si="2"/>
        <v>195.89784147607878</v>
      </c>
      <c r="S55" s="39"/>
      <c r="T55" s="40"/>
    </row>
    <row r="56" spans="1:20" x14ac:dyDescent="0.25">
      <c r="A56" s="5" t="s">
        <v>113</v>
      </c>
      <c r="B56" s="6">
        <f t="shared" si="3"/>
        <v>3</v>
      </c>
      <c r="C56" s="58">
        <v>14.017099379999999</v>
      </c>
      <c r="D56" s="4">
        <v>0.2</v>
      </c>
      <c r="E56" s="12">
        <f t="shared" si="4"/>
        <v>0</v>
      </c>
      <c r="F56" s="12">
        <f t="shared" si="5"/>
        <v>0.2</v>
      </c>
      <c r="G56" s="16">
        <f t="shared" si="6"/>
        <v>46.983561646659155</v>
      </c>
      <c r="H56" s="14">
        <f t="shared" si="0"/>
        <v>6.7910521603502111E-2</v>
      </c>
      <c r="I56" s="14">
        <f t="shared" si="7"/>
        <v>7.451956939531347</v>
      </c>
      <c r="J56" s="14">
        <f t="shared" si="8"/>
        <v>5.5818767718824045</v>
      </c>
      <c r="K56" s="14">
        <f t="shared" si="11"/>
        <v>16.404322652134354</v>
      </c>
      <c r="L56" s="14">
        <f t="shared" si="12"/>
        <v>636.65900025407711</v>
      </c>
      <c r="M56" s="14">
        <f t="shared" si="1"/>
        <v>0.68750252709249193</v>
      </c>
      <c r="N56" s="14">
        <f t="shared" si="9"/>
        <v>17.59338064122106</v>
      </c>
      <c r="O56" s="4">
        <v>18.39</v>
      </c>
      <c r="P56" s="14">
        <f t="shared" si="10"/>
        <v>0.63460240278137037</v>
      </c>
      <c r="Q56" s="14">
        <f t="shared" si="2"/>
        <v>140.57305917148105</v>
      </c>
      <c r="S56" s="39"/>
      <c r="T56" s="40"/>
    </row>
    <row r="57" spans="1:20" x14ac:dyDescent="0.25">
      <c r="A57" s="5" t="s">
        <v>114</v>
      </c>
      <c r="B57" s="6">
        <f t="shared" si="3"/>
        <v>3</v>
      </c>
      <c r="C57" s="58">
        <v>15.63336563</v>
      </c>
      <c r="D57" s="4">
        <v>0.2</v>
      </c>
      <c r="E57" s="12">
        <f t="shared" si="4"/>
        <v>0</v>
      </c>
      <c r="F57" s="12">
        <f t="shared" si="5"/>
        <v>0.2</v>
      </c>
      <c r="G57" s="16">
        <f t="shared" si="6"/>
        <v>39.913407481975675</v>
      </c>
      <c r="H57" s="14">
        <f t="shared" si="0"/>
        <v>6.4062095584669618E-2</v>
      </c>
      <c r="I57" s="14">
        <f t="shared" si="7"/>
        <v>10.736223900645022</v>
      </c>
      <c r="J57" s="14">
        <f t="shared" si="8"/>
        <v>7.2060920690988155</v>
      </c>
      <c r="K57" s="14">
        <f t="shared" si="11"/>
        <v>15.101546660859464</v>
      </c>
      <c r="L57" s="14">
        <f t="shared" si="12"/>
        <v>637.3383358138442</v>
      </c>
      <c r="M57" s="14">
        <f t="shared" si="1"/>
        <v>0.63771077273195731</v>
      </c>
      <c r="N57" s="14">
        <f t="shared" si="9"/>
        <v>16.319195816092105</v>
      </c>
      <c r="O57" s="4">
        <v>15.96</v>
      </c>
      <c r="P57" s="14">
        <f t="shared" si="10"/>
        <v>0.12902163429807248</v>
      </c>
      <c r="Q57" s="14">
        <f t="shared" si="2"/>
        <v>88.856093283549981</v>
      </c>
      <c r="S57" s="39"/>
      <c r="T57" s="40"/>
    </row>
    <row r="58" spans="1:20" x14ac:dyDescent="0.25">
      <c r="A58" s="5" t="s">
        <v>115</v>
      </c>
      <c r="B58" s="6">
        <f t="shared" si="3"/>
        <v>3</v>
      </c>
      <c r="C58" s="58">
        <v>14.141470910000001</v>
      </c>
      <c r="D58" s="4">
        <v>0</v>
      </c>
      <c r="E58" s="12">
        <f t="shared" si="4"/>
        <v>0</v>
      </c>
      <c r="F58" s="12">
        <f t="shared" si="5"/>
        <v>0</v>
      </c>
      <c r="G58" s="16">
        <f t="shared" si="6"/>
        <v>35.520260066792922</v>
      </c>
      <c r="H58" s="14">
        <f t="shared" si="0"/>
        <v>0</v>
      </c>
      <c r="I58" s="14">
        <f t="shared" si="7"/>
        <v>7.7046809612586848</v>
      </c>
      <c r="J58" s="14">
        <f t="shared" si="8"/>
        <v>4.3931474151827548</v>
      </c>
      <c r="K58" s="14">
        <f t="shared" si="11"/>
        <v>13.84931285751219</v>
      </c>
      <c r="L58" s="14">
        <f t="shared" si="12"/>
        <v>637.95285884445946</v>
      </c>
      <c r="M58" s="14">
        <f t="shared" si="1"/>
        <v>0.58984257529449291</v>
      </c>
      <c r="N58" s="14">
        <f t="shared" si="9"/>
        <v>15.094235346945879</v>
      </c>
      <c r="O58" s="4">
        <v>20.260000000000002</v>
      </c>
      <c r="P58" s="14">
        <f t="shared" si="10"/>
        <v>26.685124450743373</v>
      </c>
      <c r="Q58" s="14">
        <f t="shared" si="2"/>
        <v>188.41271193297536</v>
      </c>
      <c r="S58" s="39"/>
      <c r="T58" s="40"/>
    </row>
    <row r="59" spans="1:20" x14ac:dyDescent="0.25">
      <c r="A59" s="5" t="s">
        <v>116</v>
      </c>
      <c r="B59" s="6">
        <f t="shared" si="3"/>
        <v>3</v>
      </c>
      <c r="C59" s="58">
        <v>16.019004819999999</v>
      </c>
      <c r="D59" s="4">
        <v>0</v>
      </c>
      <c r="E59" s="12">
        <f t="shared" si="4"/>
        <v>0</v>
      </c>
      <c r="F59" s="12">
        <f t="shared" si="5"/>
        <v>0</v>
      </c>
      <c r="G59" s="16">
        <f t="shared" si="6"/>
        <v>29.674713517401358</v>
      </c>
      <c r="H59" s="14">
        <f t="shared" si="0"/>
        <v>0</v>
      </c>
      <c r="I59" s="14">
        <f t="shared" si="7"/>
        <v>11.519846061058033</v>
      </c>
      <c r="J59" s="14">
        <f t="shared" si="8"/>
        <v>5.845546549391563</v>
      </c>
      <c r="K59" s="14">
        <f t="shared" si="11"/>
        <v>12.707237177114388</v>
      </c>
      <c r="L59" s="14">
        <f t="shared" si="12"/>
        <v>638.50509194956271</v>
      </c>
      <c r="M59" s="14">
        <f t="shared" si="1"/>
        <v>0.54618356460773343</v>
      </c>
      <c r="N59" s="14">
        <f t="shared" si="9"/>
        <v>13.976989135968735</v>
      </c>
      <c r="O59" s="4">
        <v>20.36</v>
      </c>
      <c r="P59" s="14">
        <f t="shared" si="10"/>
        <v>40.742827690341151</v>
      </c>
      <c r="Q59" s="14">
        <f t="shared" si="2"/>
        <v>191.16798213412471</v>
      </c>
      <c r="S59" s="39"/>
      <c r="T59" s="40"/>
    </row>
    <row r="60" spans="1:20" x14ac:dyDescent="0.25">
      <c r="A60" s="5" t="s">
        <v>117</v>
      </c>
      <c r="B60" s="6">
        <f t="shared" si="3"/>
        <v>3</v>
      </c>
      <c r="C60" s="58">
        <v>15.192344670000001</v>
      </c>
      <c r="D60" s="4">
        <v>2.2000000000000002</v>
      </c>
      <c r="E60" s="12">
        <f t="shared" si="4"/>
        <v>0</v>
      </c>
      <c r="F60" s="12">
        <f t="shared" si="5"/>
        <v>2.2000000000000002</v>
      </c>
      <c r="G60" s="16">
        <f t="shared" si="6"/>
        <v>27.15129954879751</v>
      </c>
      <c r="H60" s="14">
        <f t="shared" si="0"/>
        <v>0.55196595881694421</v>
      </c>
      <c r="I60" s="14">
        <f t="shared" si="7"/>
        <v>9.8400655058962396</v>
      </c>
      <c r="J60" s="14">
        <f t="shared" si="8"/>
        <v>4.1714480097869036</v>
      </c>
      <c r="K60" s="14">
        <f t="shared" si="11"/>
        <v>12.217595046236298</v>
      </c>
      <c r="L60" s="14">
        <f t="shared" si="12"/>
        <v>639.00051647465</v>
      </c>
      <c r="M60" s="14">
        <f t="shared" si="1"/>
        <v>0.5275204679460872</v>
      </c>
      <c r="N60" s="14">
        <f t="shared" si="9"/>
        <v>13.499395308203692</v>
      </c>
      <c r="O60" s="4">
        <v>18.690000000000001</v>
      </c>
      <c r="P60" s="14">
        <f t="shared" si="10"/>
        <v>26.942377066497862</v>
      </c>
      <c r="Q60" s="14">
        <f t="shared" si="2"/>
        <v>147.77686977492934</v>
      </c>
    </row>
    <row r="61" spans="1:20" x14ac:dyDescent="0.25">
      <c r="A61" s="5" t="s">
        <v>118</v>
      </c>
      <c r="B61" s="6">
        <f t="shared" si="3"/>
        <v>3</v>
      </c>
      <c r="C61" s="58">
        <v>13.860508919999999</v>
      </c>
      <c r="D61" s="4">
        <v>10.5</v>
      </c>
      <c r="E61" s="12">
        <f t="shared" si="4"/>
        <v>0</v>
      </c>
      <c r="F61" s="12">
        <f t="shared" si="5"/>
        <v>10.5</v>
      </c>
      <c r="G61" s="16">
        <f t="shared" si="6"/>
        <v>32.371459208238811</v>
      </c>
      <c r="H61" s="14">
        <f t="shared" si="0"/>
        <v>2.5128244326027778</v>
      </c>
      <c r="I61" s="14">
        <f t="shared" si="7"/>
        <v>7.1337637741394486</v>
      </c>
      <c r="J61" s="14">
        <f t="shared" si="8"/>
        <v>2.7670159079559236</v>
      </c>
      <c r="K61" s="14">
        <f t="shared" si="11"/>
        <v>13.731884861454347</v>
      </c>
      <c r="L61" s="14">
        <f t="shared" si="12"/>
        <v>639.4715306240887</v>
      </c>
      <c r="M61" s="14">
        <f t="shared" si="1"/>
        <v>0.5856634560711752</v>
      </c>
      <c r="N61" s="14">
        <f t="shared" si="9"/>
        <v>14.987290525154728</v>
      </c>
      <c r="O61" s="4">
        <v>18.079999999999998</v>
      </c>
      <c r="P61" s="14">
        <f t="shared" si="10"/>
        <v>9.5648518957977053</v>
      </c>
      <c r="Q61" s="14">
        <f t="shared" si="2"/>
        <v>133.31822154791777</v>
      </c>
    </row>
    <row r="62" spans="1:20" x14ac:dyDescent="0.25">
      <c r="A62" s="5" t="s">
        <v>119</v>
      </c>
      <c r="B62" s="6">
        <f t="shared" si="3"/>
        <v>3</v>
      </c>
      <c r="C62" s="58">
        <v>16.254608149999999</v>
      </c>
      <c r="D62" s="4">
        <v>4.7</v>
      </c>
      <c r="E62" s="12">
        <f t="shared" si="4"/>
        <v>0</v>
      </c>
      <c r="F62" s="12">
        <f t="shared" si="5"/>
        <v>4.7</v>
      </c>
      <c r="G62" s="16">
        <f t="shared" si="6"/>
        <v>30.287708215204439</v>
      </c>
      <c r="H62" s="14">
        <f t="shared" si="0"/>
        <v>1.2350036812461191</v>
      </c>
      <c r="I62" s="14">
        <f t="shared" si="7"/>
        <v>11.998594059815888</v>
      </c>
      <c r="J62" s="14">
        <f t="shared" si="8"/>
        <v>5.5487473117882562</v>
      </c>
      <c r="K62" s="14">
        <f t="shared" si="11"/>
        <v>13.835142920150387</v>
      </c>
      <c r="L62" s="14">
        <f t="shared" si="12"/>
        <v>640.01761279056757</v>
      </c>
      <c r="M62" s="14">
        <f t="shared" si="1"/>
        <v>0.58973712415776303</v>
      </c>
      <c r="N62" s="14">
        <f t="shared" si="9"/>
        <v>15.091536823064978</v>
      </c>
      <c r="O62" s="4">
        <v>18.64</v>
      </c>
      <c r="P62" s="14">
        <f t="shared" si="10"/>
        <v>12.591590918063796</v>
      </c>
      <c r="Q62" s="14">
        <f t="shared" si="2"/>
        <v>146.56373467435461</v>
      </c>
    </row>
    <row r="63" spans="1:20" x14ac:dyDescent="0.25">
      <c r="A63" s="5" t="s">
        <v>120</v>
      </c>
      <c r="B63" s="6">
        <f t="shared" si="3"/>
        <v>3</v>
      </c>
      <c r="C63" s="58">
        <v>15.763070109999999</v>
      </c>
      <c r="D63" s="4">
        <v>1.1000000000000001</v>
      </c>
      <c r="E63" s="12">
        <f t="shared" si="4"/>
        <v>0</v>
      </c>
      <c r="F63" s="12">
        <f t="shared" si="5"/>
        <v>1.1000000000000001</v>
      </c>
      <c r="G63" s="16">
        <f t="shared" si="6"/>
        <v>26.349301595493678</v>
      </c>
      <c r="H63" s="14">
        <f t="shared" si="0"/>
        <v>0.27899900403392569</v>
      </c>
      <c r="I63" s="14">
        <f t="shared" si="7"/>
        <v>10.999784522771744</v>
      </c>
      <c r="J63" s="14">
        <f t="shared" si="8"/>
        <v>4.7594076156768397</v>
      </c>
      <c r="K63" s="14">
        <f t="shared" si="11"/>
        <v>12.973312763164856</v>
      </c>
      <c r="L63" s="14">
        <f t="shared" si="12"/>
        <v>640.56870482742931</v>
      </c>
      <c r="M63" s="14">
        <f t="shared" si="1"/>
        <v>0.55681975910887327</v>
      </c>
      <c r="N63" s="14">
        <f t="shared" si="9"/>
        <v>14.249172307751376</v>
      </c>
      <c r="O63" s="4">
        <v>18.25</v>
      </c>
      <c r="P63" s="14">
        <f t="shared" si="10"/>
        <v>16.006622223063449</v>
      </c>
      <c r="Q63" s="14">
        <f t="shared" si="2"/>
        <v>137.27288088987183</v>
      </c>
    </row>
    <row r="64" spans="1:20" x14ac:dyDescent="0.25">
      <c r="A64" s="5" t="s">
        <v>121</v>
      </c>
      <c r="B64" s="6">
        <f t="shared" si="3"/>
        <v>3</v>
      </c>
      <c r="C64" s="58">
        <v>17.026670459999998</v>
      </c>
      <c r="D64" s="4">
        <v>1.1000000000000001</v>
      </c>
      <c r="E64" s="12">
        <f t="shared" si="4"/>
        <v>0</v>
      </c>
      <c r="F64" s="12">
        <f t="shared" si="5"/>
        <v>1.1000000000000001</v>
      </c>
      <c r="G64" s="16">
        <f t="shared" si="6"/>
        <v>22.083178264167337</v>
      </c>
      <c r="H64" s="14">
        <f t="shared" si="0"/>
        <v>0.25908577752375633</v>
      </c>
      <c r="I64" s="14">
        <f t="shared" si="7"/>
        <v>13.567431333163702</v>
      </c>
      <c r="J64" s="14">
        <f t="shared" si="8"/>
        <v>5.1070375538025825</v>
      </c>
      <c r="K64" s="14">
        <f t="shared" si="11"/>
        <v>12.167383969677028</v>
      </c>
      <c r="L64" s="14">
        <f t="shared" si="12"/>
        <v>641.07689963933205</v>
      </c>
      <c r="M64" s="14">
        <f t="shared" si="1"/>
        <v>0.52603601525272348</v>
      </c>
      <c r="N64" s="14">
        <f t="shared" si="9"/>
        <v>13.461407751432541</v>
      </c>
      <c r="O64" s="4">
        <v>17.32</v>
      </c>
      <c r="P64" s="14">
        <f t="shared" si="10"/>
        <v>14.888734140704885</v>
      </c>
      <c r="Q64" s="14">
        <f t="shared" si="2"/>
        <v>116.34536801918217</v>
      </c>
    </row>
    <row r="65" spans="1:17" x14ac:dyDescent="0.25">
      <c r="A65" s="5" t="s">
        <v>122</v>
      </c>
      <c r="B65" s="6">
        <f t="shared" si="3"/>
        <v>3</v>
      </c>
      <c r="C65" s="58">
        <v>17.428184510000001</v>
      </c>
      <c r="D65" s="4">
        <v>2.5</v>
      </c>
      <c r="E65" s="12">
        <f t="shared" si="4"/>
        <v>0</v>
      </c>
      <c r="F65" s="12">
        <f t="shared" si="5"/>
        <v>2.5</v>
      </c>
      <c r="G65" s="16">
        <f t="shared" si="6"/>
        <v>19.509552460514243</v>
      </c>
      <c r="H65" s="14">
        <f t="shared" si="0"/>
        <v>0.53606173244748156</v>
      </c>
      <c r="I65" s="14">
        <f t="shared" si="7"/>
        <v>14.383311346025417</v>
      </c>
      <c r="J65" s="14">
        <f t="shared" si="8"/>
        <v>4.5375640712056109</v>
      </c>
      <c r="K65" s="14">
        <f t="shared" si="11"/>
        <v>11.709328117669459</v>
      </c>
      <c r="L65" s="14">
        <f t="shared" si="12"/>
        <v>641.54498120853441</v>
      </c>
      <c r="M65" s="14">
        <f t="shared" si="1"/>
        <v>0.50857783313634897</v>
      </c>
      <c r="N65" s="14">
        <f t="shared" si="9"/>
        <v>13.014648021579488</v>
      </c>
      <c r="O65" s="4">
        <v>18.37</v>
      </c>
      <c r="P65" s="14">
        <f t="shared" si="10"/>
        <v>28.679794812772506</v>
      </c>
      <c r="Q65" s="14">
        <f t="shared" si="2"/>
        <v>140.09920513125118</v>
      </c>
    </row>
    <row r="66" spans="1:17" x14ac:dyDescent="0.25">
      <c r="A66" s="5" t="s">
        <v>123</v>
      </c>
      <c r="B66" s="6">
        <f t="shared" si="3"/>
        <v>3</v>
      </c>
      <c r="C66" s="58">
        <v>16.75618553</v>
      </c>
      <c r="D66" s="4">
        <v>0</v>
      </c>
      <c r="E66" s="12">
        <f t="shared" si="4"/>
        <v>0</v>
      </c>
      <c r="F66" s="12">
        <f t="shared" si="5"/>
        <v>0</v>
      </c>
      <c r="G66" s="16">
        <f t="shared" si="6"/>
        <v>15.88138492072858</v>
      </c>
      <c r="H66" s="14">
        <f t="shared" si="0"/>
        <v>0</v>
      </c>
      <c r="I66" s="14">
        <f t="shared" si="7"/>
        <v>13.017803622334412</v>
      </c>
      <c r="J66" s="14">
        <f t="shared" si="8"/>
        <v>3.6281675397856623</v>
      </c>
      <c r="K66" s="14">
        <f t="shared" si="11"/>
        <v>10.755505382888884</v>
      </c>
      <c r="L66" s="14">
        <f t="shared" si="12"/>
        <v>641.99022611017858</v>
      </c>
      <c r="M66" s="14">
        <f t="shared" si="1"/>
        <v>0.47211192996279688</v>
      </c>
      <c r="N66" s="14">
        <f t="shared" si="9"/>
        <v>12.081475429950741</v>
      </c>
      <c r="O66" s="4">
        <v>22.26</v>
      </c>
      <c r="P66" s="14">
        <f t="shared" si="10"/>
        <v>103.60236242309648</v>
      </c>
      <c r="Q66" s="14">
        <f t="shared" si="2"/>
        <v>247.31811595596389</v>
      </c>
    </row>
    <row r="67" spans="1:17" x14ac:dyDescent="0.25">
      <c r="A67" s="5" t="s">
        <v>124</v>
      </c>
      <c r="B67" s="6">
        <f t="shared" si="3"/>
        <v>3</v>
      </c>
      <c r="C67" s="58">
        <v>17.12905121</v>
      </c>
      <c r="D67" s="4">
        <v>0</v>
      </c>
      <c r="E67" s="12">
        <f t="shared" si="4"/>
        <v>0</v>
      </c>
      <c r="F67" s="12">
        <f t="shared" si="5"/>
        <v>0</v>
      </c>
      <c r="G67" s="16">
        <f t="shared" si="6"/>
        <v>12.756046111870365</v>
      </c>
      <c r="H67" s="14">
        <f t="shared" si="0"/>
        <v>0</v>
      </c>
      <c r="I67" s="14">
        <f t="shared" si="7"/>
        <v>13.775469900249442</v>
      </c>
      <c r="J67" s="14">
        <f t="shared" si="8"/>
        <v>3.1253388088582152</v>
      </c>
      <c r="K67" s="14">
        <f t="shared" si="11"/>
        <v>9.8855897601900136</v>
      </c>
      <c r="L67" s="14">
        <f t="shared" si="12"/>
        <v>642.38802980291462</v>
      </c>
      <c r="M67" s="14">
        <f t="shared" si="1"/>
        <v>0.43885215274749056</v>
      </c>
      <c r="N67" s="14">
        <f t="shared" si="9"/>
        <v>11.230348492184046</v>
      </c>
      <c r="O67" s="4">
        <v>19.760000000000002</v>
      </c>
      <c r="P67" s="14">
        <f t="shared" si="10"/>
        <v>72.754954844787008</v>
      </c>
      <c r="Q67" s="14">
        <f t="shared" si="2"/>
        <v>174.93636092722821</v>
      </c>
    </row>
    <row r="68" spans="1:17" x14ac:dyDescent="0.25">
      <c r="A68" s="5" t="s">
        <v>125</v>
      </c>
      <c r="B68" s="6">
        <f t="shared" si="3"/>
        <v>3</v>
      </c>
      <c r="C68" s="58">
        <v>14.23642731</v>
      </c>
      <c r="D68" s="4">
        <v>0</v>
      </c>
      <c r="E68" s="12">
        <f t="shared" si="4"/>
        <v>0</v>
      </c>
      <c r="F68" s="12">
        <f t="shared" si="5"/>
        <v>0</v>
      </c>
      <c r="G68" s="16">
        <f t="shared" si="6"/>
        <v>11.316865334179132</v>
      </c>
      <c r="H68" s="14">
        <f t="shared" si="0"/>
        <v>0</v>
      </c>
      <c r="I68" s="14">
        <f t="shared" si="7"/>
        <v>7.897633185105648</v>
      </c>
      <c r="J68" s="14">
        <f t="shared" si="8"/>
        <v>1.4391807776912324</v>
      </c>
      <c r="K68" s="14">
        <f t="shared" si="11"/>
        <v>9.0922000002052581</v>
      </c>
      <c r="L68" s="14">
        <f t="shared" si="12"/>
        <v>642.74256741015188</v>
      </c>
      <c r="M68" s="14">
        <f t="shared" si="1"/>
        <v>0.40851646122684843</v>
      </c>
      <c r="N68" s="14">
        <f t="shared" si="9"/>
        <v>10.454049719589836</v>
      </c>
      <c r="O68" s="4">
        <v>18.579999999999998</v>
      </c>
      <c r="P68" s="14">
        <f t="shared" si="10"/>
        <v>66.031067959697992</v>
      </c>
      <c r="Q68" s="14">
        <f t="shared" si="2"/>
        <v>145.11457255366489</v>
      </c>
    </row>
    <row r="69" spans="1:17" x14ac:dyDescent="0.25">
      <c r="A69" s="5" t="s">
        <v>126</v>
      </c>
      <c r="B69" s="6">
        <f t="shared" si="3"/>
        <v>3</v>
      </c>
      <c r="C69" s="58">
        <v>14.283098219999999</v>
      </c>
      <c r="D69" s="4">
        <v>0</v>
      </c>
      <c r="E69" s="12">
        <f t="shared" si="4"/>
        <v>0</v>
      </c>
      <c r="F69" s="12">
        <f t="shared" si="5"/>
        <v>0</v>
      </c>
      <c r="G69" s="16">
        <f t="shared" si="6"/>
        <v>10.024725805482811</v>
      </c>
      <c r="H69" s="14">
        <f t="shared" si="0"/>
        <v>0</v>
      </c>
      <c r="I69" s="14">
        <f t="shared" si="7"/>
        <v>7.9924688767858445</v>
      </c>
      <c r="J69" s="14">
        <f t="shared" si="8"/>
        <v>1.2921395286963211</v>
      </c>
      <c r="K69" s="14">
        <f t="shared" si="11"/>
        <v>8.3686041768588773</v>
      </c>
      <c r="L69" s="14">
        <f t="shared" si="12"/>
        <v>643.05764677227148</v>
      </c>
      <c r="M69" s="14">
        <f t="shared" si="1"/>
        <v>0.38084762601992983</v>
      </c>
      <c r="N69" s="14">
        <f t="shared" si="9"/>
        <v>9.7459965408572309</v>
      </c>
      <c r="O69" s="4">
        <v>16.12</v>
      </c>
      <c r="P69" s="14">
        <f t="shared" si="10"/>
        <v>40.627920097164001</v>
      </c>
      <c r="Q69" s="14">
        <f t="shared" si="2"/>
        <v>91.898125605389069</v>
      </c>
    </row>
    <row r="70" spans="1:17" x14ac:dyDescent="0.25">
      <c r="A70" s="5" t="s">
        <v>127</v>
      </c>
      <c r="B70" s="6">
        <f t="shared" si="3"/>
        <v>3</v>
      </c>
      <c r="C70" s="58">
        <v>13.519224169999999</v>
      </c>
      <c r="D70" s="4">
        <v>0</v>
      </c>
      <c r="E70" s="12">
        <f t="shared" si="4"/>
        <v>0</v>
      </c>
      <c r="F70" s="12">
        <f t="shared" si="5"/>
        <v>0</v>
      </c>
      <c r="G70" s="16">
        <f t="shared" si="6"/>
        <v>9.1024115884906198</v>
      </c>
      <c r="H70" s="14">
        <f t="shared" si="0"/>
        <v>0</v>
      </c>
      <c r="I70" s="14">
        <f t="shared" si="7"/>
        <v>6.4402702183859102</v>
      </c>
      <c r="J70" s="14">
        <f t="shared" si="8"/>
        <v>0.92231421699219085</v>
      </c>
      <c r="K70" s="14">
        <f t="shared" si="11"/>
        <v>7.7086625668557618</v>
      </c>
      <c r="L70" s="14">
        <f t="shared" si="12"/>
        <v>643.33674075625458</v>
      </c>
      <c r="M70" s="14">
        <f t="shared" si="1"/>
        <v>0.35561104603261806</v>
      </c>
      <c r="N70" s="14">
        <f t="shared" si="9"/>
        <v>9.1001854488208167</v>
      </c>
      <c r="O70" s="4">
        <v>14.42</v>
      </c>
      <c r="P70" s="14">
        <f t="shared" si="10"/>
        <v>28.300426858937776</v>
      </c>
      <c r="Q70" s="14">
        <f t="shared" si="2"/>
        <v>62.194532185848786</v>
      </c>
    </row>
    <row r="71" spans="1:17" x14ac:dyDescent="0.25">
      <c r="A71" s="5" t="s">
        <v>128</v>
      </c>
      <c r="B71" s="6">
        <f t="shared" si="3"/>
        <v>3</v>
      </c>
      <c r="C71" s="58">
        <v>16.899753570000001</v>
      </c>
      <c r="D71" s="4">
        <v>1.7</v>
      </c>
      <c r="E71" s="12">
        <f t="shared" si="4"/>
        <v>0</v>
      </c>
      <c r="F71" s="12">
        <f t="shared" si="5"/>
        <v>1.7</v>
      </c>
      <c r="G71" s="16">
        <f t="shared" si="6"/>
        <v>8.8441413919945813</v>
      </c>
      <c r="H71" s="14">
        <f t="shared" si="0"/>
        <v>0.22757070322785874</v>
      </c>
      <c r="I71" s="14">
        <f t="shared" si="7"/>
        <v>13.309535117961357</v>
      </c>
      <c r="J71" s="14">
        <f t="shared" si="8"/>
        <v>1.7306994932681803</v>
      </c>
      <c r="K71" s="14">
        <f t="shared" si="11"/>
        <v>7.334346257249079</v>
      </c>
      <c r="L71" s="14">
        <f t="shared" si="12"/>
        <v>643.58301672305652</v>
      </c>
      <c r="M71" s="14">
        <f t="shared" si="1"/>
        <v>0.3413156051276009</v>
      </c>
      <c r="N71" s="14">
        <f t="shared" si="9"/>
        <v>8.7343611451056198</v>
      </c>
      <c r="O71" s="4">
        <v>15.01</v>
      </c>
      <c r="P71" s="14">
        <f t="shared" si="10"/>
        <v>39.383643037060047</v>
      </c>
      <c r="Q71" s="14">
        <f t="shared" si="2"/>
        <v>71.848526372630388</v>
      </c>
    </row>
    <row r="72" spans="1:17" x14ac:dyDescent="0.25">
      <c r="A72" s="5" t="s">
        <v>129</v>
      </c>
      <c r="B72" s="6">
        <f t="shared" si="3"/>
        <v>3</v>
      </c>
      <c r="C72" s="58">
        <v>14.069246290000001</v>
      </c>
      <c r="D72" s="4">
        <v>0</v>
      </c>
      <c r="E72" s="12">
        <f t="shared" si="4"/>
        <v>0</v>
      </c>
      <c r="F72" s="12">
        <f t="shared" si="5"/>
        <v>0</v>
      </c>
      <c r="G72" s="16">
        <f t="shared" si="6"/>
        <v>7.8892361591863009</v>
      </c>
      <c r="H72" s="14">
        <f t="shared" si="0"/>
        <v>0</v>
      </c>
      <c r="I72" s="14">
        <f t="shared" si="7"/>
        <v>7.5579199104448165</v>
      </c>
      <c r="J72" s="14">
        <f t="shared" si="8"/>
        <v>0.95490523280828044</v>
      </c>
      <c r="K72" s="14">
        <f t="shared" si="11"/>
        <v>6.7653875857078516</v>
      </c>
      <c r="L72" s="14">
        <f t="shared" si="12"/>
        <v>643.81065978947015</v>
      </c>
      <c r="M72" s="14">
        <f t="shared" si="1"/>
        <v>0.31955551948012728</v>
      </c>
      <c r="N72" s="14">
        <f t="shared" si="9"/>
        <v>8.1775145089185344</v>
      </c>
      <c r="O72" s="4">
        <v>15.39</v>
      </c>
      <c r="P72" s="14">
        <f t="shared" si="10"/>
        <v>52.019946959060661</v>
      </c>
      <c r="Q72" s="14">
        <f t="shared" si="2"/>
        <v>78.434953136998246</v>
      </c>
    </row>
    <row r="73" spans="1:17" x14ac:dyDescent="0.25">
      <c r="A73" s="5" t="s">
        <v>130</v>
      </c>
      <c r="B73" s="6">
        <f t="shared" si="3"/>
        <v>3</v>
      </c>
      <c r="C73" s="58">
        <v>15.32808971</v>
      </c>
      <c r="D73" s="4">
        <v>0</v>
      </c>
      <c r="E73" s="12">
        <f t="shared" si="4"/>
        <v>0</v>
      </c>
      <c r="F73" s="12">
        <f t="shared" si="5"/>
        <v>0</v>
      </c>
      <c r="G73" s="16">
        <f t="shared" si="6"/>
        <v>6.7491391130625393</v>
      </c>
      <c r="H73" s="14">
        <f t="shared" si="0"/>
        <v>0</v>
      </c>
      <c r="I73" s="14">
        <f t="shared" si="7"/>
        <v>10.115900598045849</v>
      </c>
      <c r="J73" s="14">
        <f t="shared" si="8"/>
        <v>1.1400970461237616</v>
      </c>
      <c r="K73" s="14">
        <f t="shared" si="11"/>
        <v>6.2464798065201714</v>
      </c>
      <c r="L73" s="14">
        <f t="shared" si="12"/>
        <v>644.0100120491777</v>
      </c>
      <c r="M73" s="14">
        <f t="shared" si="1"/>
        <v>0.29970790113492357</v>
      </c>
      <c r="N73" s="14">
        <f t="shared" si="9"/>
        <v>7.669608442237454</v>
      </c>
      <c r="O73" s="4">
        <v>13.2</v>
      </c>
      <c r="P73" s="14">
        <f t="shared" si="10"/>
        <v>30.585230782171234</v>
      </c>
      <c r="Q73" s="14">
        <f t="shared" si="2"/>
        <v>44.44023573182578</v>
      </c>
    </row>
    <row r="74" spans="1:17" x14ac:dyDescent="0.25">
      <c r="A74" s="5" t="s">
        <v>131</v>
      </c>
      <c r="B74" s="6">
        <f t="shared" si="3"/>
        <v>3</v>
      </c>
      <c r="C74" s="58">
        <v>14.40535259</v>
      </c>
      <c r="D74" s="4">
        <v>0</v>
      </c>
      <c r="E74" s="12">
        <f t="shared" si="4"/>
        <v>0</v>
      </c>
      <c r="F74" s="12">
        <f t="shared" si="5"/>
        <v>0</v>
      </c>
      <c r="G74" s="16">
        <f t="shared" si="6"/>
        <v>5.9545824928500366</v>
      </c>
      <c r="H74" s="14">
        <f t="shared" si="0"/>
        <v>0</v>
      </c>
      <c r="I74" s="14">
        <f t="shared" si="7"/>
        <v>8.2408908111316048</v>
      </c>
      <c r="J74" s="14">
        <f t="shared" si="8"/>
        <v>0.79455662021250317</v>
      </c>
      <c r="K74" s="14">
        <f t="shared" si="11"/>
        <v>5.7732199780477629</v>
      </c>
      <c r="L74" s="14">
        <f t="shared" si="12"/>
        <v>644.18356397651519</v>
      </c>
      <c r="M74" s="14">
        <f t="shared" si="1"/>
        <v>0.28160451206601078</v>
      </c>
      <c r="N74" s="14">
        <f t="shared" si="9"/>
        <v>7.2063376872447904</v>
      </c>
      <c r="O74" s="4">
        <v>11.38</v>
      </c>
      <c r="P74" s="14">
        <f t="shared" si="10"/>
        <v>17.419457100913171</v>
      </c>
      <c r="Q74" s="14">
        <f t="shared" si="2"/>
        <v>23.487118070906238</v>
      </c>
    </row>
    <row r="75" spans="1:17" x14ac:dyDescent="0.25">
      <c r="A75" s="5" t="s">
        <v>132</v>
      </c>
      <c r="B75" s="6">
        <f t="shared" si="3"/>
        <v>4</v>
      </c>
      <c r="C75" s="58">
        <v>16.04876518</v>
      </c>
      <c r="D75" s="4">
        <v>3.6</v>
      </c>
      <c r="E75" s="12">
        <f t="shared" si="4"/>
        <v>0</v>
      </c>
      <c r="F75" s="12">
        <f t="shared" si="5"/>
        <v>3.6</v>
      </c>
      <c r="G75" s="16">
        <f t="shared" si="6"/>
        <v>8.2980404859908639</v>
      </c>
      <c r="H75" s="14">
        <f t="shared" si="0"/>
        <v>0.38458933152408958</v>
      </c>
      <c r="I75" s="14">
        <f t="shared" si="7"/>
        <v>10.250363993896061</v>
      </c>
      <c r="J75" s="14">
        <f t="shared" si="8"/>
        <v>0.87195267533508292</v>
      </c>
      <c r="K75" s="14">
        <f t="shared" si="11"/>
        <v>5.7261818138415839</v>
      </c>
      <c r="L75" s="14">
        <f t="shared" si="12"/>
        <v>644.33358696017945</v>
      </c>
      <c r="M75" s="14">
        <f t="shared" si="1"/>
        <v>0.27983332823784723</v>
      </c>
      <c r="N75" s="14">
        <f t="shared" si="9"/>
        <v>7.1610126010865782</v>
      </c>
      <c r="O75" s="4">
        <v>11.17</v>
      </c>
      <c r="P75" s="14">
        <f t="shared" si="10"/>
        <v>16.071979964646602</v>
      </c>
      <c r="Q75" s="14">
        <f t="shared" si="2"/>
        <v>21.495750648492436</v>
      </c>
    </row>
    <row r="76" spans="1:17" x14ac:dyDescent="0.25">
      <c r="A76" s="5" t="s">
        <v>133</v>
      </c>
      <c r="B76" s="6">
        <f t="shared" si="3"/>
        <v>4</v>
      </c>
      <c r="C76" s="58">
        <v>13.902050020000001</v>
      </c>
      <c r="D76" s="4">
        <v>0</v>
      </c>
      <c r="E76" s="12">
        <f t="shared" si="4"/>
        <v>0</v>
      </c>
      <c r="F76" s="12">
        <f t="shared" si="5"/>
        <v>0</v>
      </c>
      <c r="G76" s="16">
        <f t="shared" si="6"/>
        <v>7.5821698536707807</v>
      </c>
      <c r="H76" s="14">
        <f t="shared" si="0"/>
        <v>0</v>
      </c>
      <c r="I76" s="14">
        <f t="shared" si="7"/>
        <v>6.0388839847198428</v>
      </c>
      <c r="J76" s="14">
        <f t="shared" si="8"/>
        <v>0.71587063232008308</v>
      </c>
      <c r="K76" s="14">
        <f t="shared" si="11"/>
        <v>5.2986922321830257</v>
      </c>
      <c r="L76" s="14">
        <f t="shared" si="12"/>
        <v>644.48124321360012</v>
      </c>
      <c r="M76" s="14">
        <f t="shared" si="1"/>
        <v>0.26347883587761911</v>
      </c>
      <c r="N76" s="14">
        <f t="shared" si="9"/>
        <v>6.742496598673795</v>
      </c>
      <c r="O76" s="4">
        <v>12.4</v>
      </c>
      <c r="P76" s="14">
        <f t="shared" si="10"/>
        <v>32.007344736017579</v>
      </c>
      <c r="Q76" s="14">
        <f t="shared" si="2"/>
        <v>34.414074122630382</v>
      </c>
    </row>
    <row r="77" spans="1:17" x14ac:dyDescent="0.25">
      <c r="A77" s="5" t="s">
        <v>134</v>
      </c>
      <c r="B77" s="6">
        <f t="shared" si="3"/>
        <v>4</v>
      </c>
      <c r="C77" s="58">
        <v>16.45782852</v>
      </c>
      <c r="D77" s="4">
        <v>0</v>
      </c>
      <c r="E77" s="12">
        <f t="shared" si="4"/>
        <v>0</v>
      </c>
      <c r="F77" s="12">
        <f t="shared" si="5"/>
        <v>0</v>
      </c>
      <c r="G77" s="16">
        <f t="shared" si="6"/>
        <v>6.3849578299695535</v>
      </c>
      <c r="H77" s="14">
        <f t="shared" si="0"/>
        <v>0</v>
      </c>
      <c r="I77" s="14">
        <f t="shared" si="7"/>
        <v>11.052874783868241</v>
      </c>
      <c r="J77" s="14">
        <f t="shared" si="8"/>
        <v>1.1972120237012269</v>
      </c>
      <c r="K77" s="14">
        <f t="shared" si="11"/>
        <v>4.9088086069920882</v>
      </c>
      <c r="L77" s="14">
        <f t="shared" si="12"/>
        <v>644.60764800291338</v>
      </c>
      <c r="M77" s="14">
        <f t="shared" si="1"/>
        <v>0.24856128522463866</v>
      </c>
      <c r="N77" s="14">
        <f t="shared" si="9"/>
        <v>6.3607523336999545</v>
      </c>
      <c r="O77" s="4">
        <v>10.87</v>
      </c>
      <c r="P77" s="14">
        <f t="shared" si="10"/>
        <v>20.333314516032399</v>
      </c>
      <c r="Q77" s="14">
        <f t="shared" si="2"/>
        <v>18.803940045044151</v>
      </c>
    </row>
    <row r="78" spans="1:17" x14ac:dyDescent="0.25">
      <c r="A78" s="5" t="s">
        <v>135</v>
      </c>
      <c r="B78" s="6">
        <f t="shared" si="3"/>
        <v>4</v>
      </c>
      <c r="C78" s="58">
        <v>17.09195137</v>
      </c>
      <c r="D78" s="4">
        <v>0</v>
      </c>
      <c r="E78" s="12">
        <f t="shared" si="4"/>
        <v>0</v>
      </c>
      <c r="F78" s="12">
        <f t="shared" si="5"/>
        <v>0</v>
      </c>
      <c r="G78" s="16">
        <f t="shared" si="6"/>
        <v>5.2633101960787974</v>
      </c>
      <c r="H78" s="14">
        <f t="shared" si="0"/>
        <v>0</v>
      </c>
      <c r="I78" s="14">
        <f t="shared" si="7"/>
        <v>12.296913003702144</v>
      </c>
      <c r="J78" s="14">
        <f t="shared" si="8"/>
        <v>1.1216476338907562</v>
      </c>
      <c r="K78" s="14">
        <f t="shared" si="11"/>
        <v>4.5532227688477596</v>
      </c>
      <c r="L78" s="14">
        <f t="shared" si="12"/>
        <v>644.71467255583309</v>
      </c>
      <c r="M78" s="14">
        <f t="shared" si="1"/>
        <v>0.23495426990341878</v>
      </c>
      <c r="N78" s="14">
        <f t="shared" si="9"/>
        <v>6.0125450319034597</v>
      </c>
      <c r="O78" s="4">
        <v>9.15</v>
      </c>
      <c r="P78" s="14">
        <f t="shared" si="10"/>
        <v>9.8436236768336656</v>
      </c>
      <c r="Q78" s="14">
        <f t="shared" si="2"/>
        <v>6.8452925852740263</v>
      </c>
    </row>
    <row r="79" spans="1:17" x14ac:dyDescent="0.25">
      <c r="A79" s="5" t="s">
        <v>136</v>
      </c>
      <c r="B79" s="6">
        <f t="shared" si="3"/>
        <v>4</v>
      </c>
      <c r="C79" s="58">
        <v>15.144786829999999</v>
      </c>
      <c r="D79" s="4">
        <v>0</v>
      </c>
      <c r="E79" s="12">
        <f t="shared" si="4"/>
        <v>0</v>
      </c>
      <c r="F79" s="12">
        <f t="shared" si="5"/>
        <v>0</v>
      </c>
      <c r="G79" s="16">
        <f t="shared" si="6"/>
        <v>4.6259290995182134</v>
      </c>
      <c r="H79" s="14">
        <f t="shared" si="0"/>
        <v>0</v>
      </c>
      <c r="I79" s="14">
        <f t="shared" si="7"/>
        <v>8.476916439841844</v>
      </c>
      <c r="J79" s="14">
        <f t="shared" si="8"/>
        <v>0.63738109656058439</v>
      </c>
      <c r="K79" s="14">
        <f t="shared" si="11"/>
        <v>4.2289175656556965</v>
      </c>
      <c r="L79" s="14">
        <f t="shared" si="12"/>
        <v>644.80402348912173</v>
      </c>
      <c r="M79" s="14">
        <f t="shared" si="1"/>
        <v>0.2225425034179363</v>
      </c>
      <c r="N79" s="14">
        <f t="shared" si="9"/>
        <v>5.6949244798270504</v>
      </c>
      <c r="O79" s="4">
        <v>7.66</v>
      </c>
      <c r="P79" s="14">
        <f t="shared" si="10"/>
        <v>3.8615217999829889</v>
      </c>
      <c r="Q79" s="14">
        <f t="shared" si="2"/>
        <v>1.2686665881475743</v>
      </c>
    </row>
    <row r="80" spans="1:17" x14ac:dyDescent="0.25">
      <c r="A80" s="5" t="s">
        <v>137</v>
      </c>
      <c r="B80" s="6">
        <f t="shared" si="3"/>
        <v>4</v>
      </c>
      <c r="C80" s="58">
        <v>13.498634340000001</v>
      </c>
      <c r="D80" s="4">
        <v>0</v>
      </c>
      <c r="E80" s="12">
        <f t="shared" si="4"/>
        <v>0</v>
      </c>
      <c r="F80" s="12">
        <f t="shared" si="5"/>
        <v>0</v>
      </c>
      <c r="G80" s="16">
        <f t="shared" si="6"/>
        <v>4.2791524602516704</v>
      </c>
      <c r="H80" s="14">
        <f t="shared" si="0"/>
        <v>0</v>
      </c>
      <c r="I80" s="14">
        <f t="shared" si="7"/>
        <v>5.2474529167488928</v>
      </c>
      <c r="J80" s="14">
        <f t="shared" si="8"/>
        <v>0.34677663926654284</v>
      </c>
      <c r="K80" s="14">
        <f t="shared" si="11"/>
        <v>3.9331412620596118</v>
      </c>
      <c r="L80" s="14">
        <f t="shared" si="12"/>
        <v>644.87725728929991</v>
      </c>
      <c r="M80" s="14">
        <f t="shared" si="1"/>
        <v>0.21122084094369209</v>
      </c>
      <c r="N80" s="14">
        <f t="shared" si="9"/>
        <v>5.4051999922048974</v>
      </c>
      <c r="O80" s="4">
        <v>6.53</v>
      </c>
      <c r="P80" s="14">
        <f t="shared" si="10"/>
        <v>1.2651750575358633</v>
      </c>
      <c r="Q80" s="14">
        <f t="shared" si="2"/>
        <v>1.3315159057467896E-5</v>
      </c>
    </row>
    <row r="81" spans="1:17" x14ac:dyDescent="0.25">
      <c r="A81" s="5" t="s">
        <v>138</v>
      </c>
      <c r="B81" s="6">
        <f t="shared" si="3"/>
        <v>4</v>
      </c>
      <c r="C81" s="58">
        <v>16.508287429999999</v>
      </c>
      <c r="D81" s="4">
        <v>0</v>
      </c>
      <c r="E81" s="12">
        <f t="shared" si="4"/>
        <v>0</v>
      </c>
      <c r="F81" s="12">
        <f t="shared" si="5"/>
        <v>0</v>
      </c>
      <c r="G81" s="16">
        <f t="shared" si="6"/>
        <v>3.5974299623268262</v>
      </c>
      <c r="H81" s="14">
        <f t="shared" si="0"/>
        <v>0</v>
      </c>
      <c r="I81" s="14">
        <f t="shared" si="7"/>
        <v>11.151866347681402</v>
      </c>
      <c r="J81" s="14">
        <f t="shared" si="8"/>
        <v>0.68172249792484418</v>
      </c>
      <c r="K81" s="14">
        <f t="shared" si="11"/>
        <v>3.6633841909183484</v>
      </c>
      <c r="L81" s="14">
        <f t="shared" si="12"/>
        <v>644.93579351949745</v>
      </c>
      <c r="M81" s="14">
        <f t="shared" si="1"/>
        <v>0.20089338717203242</v>
      </c>
      <c r="N81" s="14">
        <f t="shared" si="9"/>
        <v>5.1409175814509682</v>
      </c>
      <c r="O81" s="4">
        <v>6.05</v>
      </c>
      <c r="P81" s="14">
        <f t="shared" si="10"/>
        <v>0.82643084371495668</v>
      </c>
      <c r="Q81" s="14">
        <f t="shared" si="2"/>
        <v>0.23391634964181171</v>
      </c>
    </row>
    <row r="82" spans="1:17" x14ac:dyDescent="0.25">
      <c r="A82" s="5" t="s">
        <v>139</v>
      </c>
      <c r="B82" s="6">
        <f t="shared" si="3"/>
        <v>4</v>
      </c>
      <c r="C82" s="58">
        <v>15.747227669999999</v>
      </c>
      <c r="D82" s="4">
        <v>0</v>
      </c>
      <c r="E82" s="12">
        <f t="shared" si="4"/>
        <v>0</v>
      </c>
      <c r="F82" s="12">
        <f t="shared" si="5"/>
        <v>0</v>
      </c>
      <c r="G82" s="16">
        <f t="shared" si="6"/>
        <v>3.1010458921493793</v>
      </c>
      <c r="H82" s="14">
        <f t="shared" si="0"/>
        <v>0</v>
      </c>
      <c r="I82" s="14">
        <f t="shared" si="7"/>
        <v>9.6588000924319388</v>
      </c>
      <c r="J82" s="14">
        <f t="shared" si="8"/>
        <v>0.49638407017744707</v>
      </c>
      <c r="K82" s="14">
        <f t="shared" si="11"/>
        <v>3.4173574587360211</v>
      </c>
      <c r="L82" s="14">
        <f t="shared" si="12"/>
        <v>644.98092686450775</v>
      </c>
      <c r="M82" s="14">
        <f t="shared" si="1"/>
        <v>0.19147268263677494</v>
      </c>
      <c r="N82" s="14">
        <f t="shared" si="9"/>
        <v>4.8998391355313586</v>
      </c>
      <c r="O82" s="4">
        <v>4.8600000000000003</v>
      </c>
      <c r="P82" s="14">
        <f t="shared" si="10"/>
        <v>1.5871567198859366E-3</v>
      </c>
      <c r="Q82" s="14">
        <f t="shared" si="2"/>
        <v>2.8011009559636384</v>
      </c>
    </row>
    <row r="83" spans="1:17" x14ac:dyDescent="0.25">
      <c r="A83" s="5" t="s">
        <v>140</v>
      </c>
      <c r="B83" s="6">
        <f t="shared" si="3"/>
        <v>4</v>
      </c>
      <c r="C83" s="58">
        <v>15.73812962</v>
      </c>
      <c r="D83" s="4">
        <v>0</v>
      </c>
      <c r="E83" s="12">
        <f t="shared" si="4"/>
        <v>0</v>
      </c>
      <c r="F83" s="12">
        <f t="shared" si="5"/>
        <v>0</v>
      </c>
      <c r="G83" s="16">
        <f t="shared" si="6"/>
        <v>2.6739450836633978</v>
      </c>
      <c r="H83" s="14">
        <f t="shared" si="0"/>
        <v>0</v>
      </c>
      <c r="I83" s="14">
        <f t="shared" si="7"/>
        <v>9.6409513082003677</v>
      </c>
      <c r="J83" s="14">
        <f t="shared" si="8"/>
        <v>0.42710080848598175</v>
      </c>
      <c r="K83" s="14">
        <f t="shared" si="11"/>
        <v>3.1929735243604234</v>
      </c>
      <c r="L83" s="14">
        <f t="shared" si="12"/>
        <v>645.01383811624657</v>
      </c>
      <c r="M83" s="14">
        <f t="shared" si="1"/>
        <v>0.18287896161910672</v>
      </c>
      <c r="N83" s="14">
        <f t="shared" si="9"/>
        <v>4.6799234275445016</v>
      </c>
      <c r="O83" s="4">
        <v>4.79</v>
      </c>
      <c r="P83" s="14">
        <f t="shared" si="10"/>
        <v>1.2116851803550589E-2</v>
      </c>
      <c r="Q83" s="14">
        <f t="shared" si="2"/>
        <v>3.0403118151590407</v>
      </c>
    </row>
    <row r="84" spans="1:17" x14ac:dyDescent="0.25">
      <c r="A84" s="5" t="s">
        <v>141</v>
      </c>
      <c r="B84" s="6">
        <f t="shared" si="3"/>
        <v>4</v>
      </c>
      <c r="C84" s="58">
        <v>14.921898840000001</v>
      </c>
      <c r="D84" s="4">
        <v>0</v>
      </c>
      <c r="E84" s="12">
        <f t="shared" si="4"/>
        <v>0</v>
      </c>
      <c r="F84" s="12">
        <f t="shared" si="5"/>
        <v>0</v>
      </c>
      <c r="G84" s="16">
        <f t="shared" si="6"/>
        <v>2.366836545281668</v>
      </c>
      <c r="H84" s="14">
        <f t="shared" si="0"/>
        <v>0</v>
      </c>
      <c r="I84" s="14">
        <f t="shared" si="7"/>
        <v>8.0396491527507781</v>
      </c>
      <c r="J84" s="14">
        <f t="shared" si="8"/>
        <v>0.30710853838172997</v>
      </c>
      <c r="K84" s="14">
        <f t="shared" si="11"/>
        <v>2.9883284861596149</v>
      </c>
      <c r="L84" s="14">
        <f t="shared" si="12"/>
        <v>645.03560419282826</v>
      </c>
      <c r="M84" s="14">
        <f t="shared" si="1"/>
        <v>0.17503947533406389</v>
      </c>
      <c r="N84" s="14">
        <f t="shared" si="9"/>
        <v>4.4793087958751761</v>
      </c>
      <c r="O84" s="4">
        <v>4.7300000000000004</v>
      </c>
      <c r="P84" s="14">
        <f t="shared" si="10"/>
        <v>6.284607982555436E-2</v>
      </c>
      <c r="Q84" s="14">
        <f t="shared" si="2"/>
        <v>3.2531496944693838</v>
      </c>
    </row>
    <row r="85" spans="1:17" x14ac:dyDescent="0.25">
      <c r="A85" s="5" t="s">
        <v>142</v>
      </c>
      <c r="B85" s="6">
        <f t="shared" si="3"/>
        <v>4</v>
      </c>
      <c r="C85" s="58">
        <v>13.687007899999999</v>
      </c>
      <c r="D85" s="4">
        <v>0</v>
      </c>
      <c r="E85" s="12">
        <f t="shared" si="4"/>
        <v>0</v>
      </c>
      <c r="F85" s="12">
        <f t="shared" si="5"/>
        <v>0</v>
      </c>
      <c r="G85" s="16">
        <f t="shared" si="6"/>
        <v>2.1769143634053334</v>
      </c>
      <c r="H85" s="14">
        <f t="shared" si="0"/>
        <v>0</v>
      </c>
      <c r="I85" s="14">
        <f t="shared" si="7"/>
        <v>5.6170089235166225</v>
      </c>
      <c r="J85" s="14">
        <f t="shared" si="8"/>
        <v>0.18992218187633458</v>
      </c>
      <c r="K85" s="14">
        <f t="shared" si="11"/>
        <v>2.8016859273830681</v>
      </c>
      <c r="L85" s="14">
        <f t="shared" si="12"/>
        <v>645.0472072762708</v>
      </c>
      <c r="M85" s="14">
        <f t="shared" si="1"/>
        <v>0.16788787465581867</v>
      </c>
      <c r="N85" s="14">
        <f t="shared" si="9"/>
        <v>4.2962973479631374</v>
      </c>
      <c r="O85" s="4">
        <v>4.72</v>
      </c>
      <c r="P85" s="14">
        <f t="shared" si="10"/>
        <v>0.17952393734307043</v>
      </c>
      <c r="Q85" s="14">
        <f t="shared" si="2"/>
        <v>3.2893226743544437</v>
      </c>
    </row>
    <row r="86" spans="1:17" x14ac:dyDescent="0.25">
      <c r="A86" s="5" t="s">
        <v>143</v>
      </c>
      <c r="B86" s="6">
        <f t="shared" si="3"/>
        <v>4</v>
      </c>
      <c r="C86" s="58">
        <v>15.06829643</v>
      </c>
      <c r="D86" s="4">
        <v>0</v>
      </c>
      <c r="E86" s="12">
        <f t="shared" si="4"/>
        <v>0</v>
      </c>
      <c r="F86" s="12">
        <f t="shared" si="5"/>
        <v>0</v>
      </c>
      <c r="G86" s="16">
        <f t="shared" si="6"/>
        <v>1.9179591307405863</v>
      </c>
      <c r="H86" s="14">
        <f t="shared" si="0"/>
        <v>0</v>
      </c>
      <c r="I86" s="14">
        <f t="shared" si="7"/>
        <v>8.3268556416063255</v>
      </c>
      <c r="J86" s="14">
        <f t="shared" si="8"/>
        <v>0.25895523266474713</v>
      </c>
      <c r="K86" s="14">
        <f t="shared" si="11"/>
        <v>2.6314621826349818</v>
      </c>
      <c r="L86" s="14">
        <f t="shared" si="12"/>
        <v>645.04954314636302</v>
      </c>
      <c r="M86" s="14">
        <f t="shared" si="1"/>
        <v>0.16136364714418663</v>
      </c>
      <c r="N86" s="14">
        <f t="shared" si="9"/>
        <v>4.1293405536550543</v>
      </c>
      <c r="O86" s="4">
        <v>4.18</v>
      </c>
      <c r="P86" s="14">
        <f t="shared" si="10"/>
        <v>2.5663795039764076E-3</v>
      </c>
      <c r="Q86" s="14">
        <f t="shared" si="2"/>
        <v>5.5396635881475422</v>
      </c>
    </row>
    <row r="87" spans="1:17" x14ac:dyDescent="0.25">
      <c r="A87" s="5" t="s">
        <v>144</v>
      </c>
      <c r="B87" s="6">
        <f t="shared" si="3"/>
        <v>4</v>
      </c>
      <c r="C87" s="58">
        <v>13.368787770000001</v>
      </c>
      <c r="D87" s="4">
        <v>0</v>
      </c>
      <c r="E87" s="12">
        <f t="shared" si="4"/>
        <v>0</v>
      </c>
      <c r="F87" s="12">
        <f t="shared" si="5"/>
        <v>0</v>
      </c>
      <c r="G87" s="16">
        <f t="shared" si="6"/>
        <v>1.7811614994000902</v>
      </c>
      <c r="H87" s="14">
        <f t="shared" si="0"/>
        <v>0</v>
      </c>
      <c r="I87" s="14">
        <f t="shared" si="7"/>
        <v>4.9927166368713598</v>
      </c>
      <c r="J87" s="14">
        <f t="shared" si="8"/>
        <v>0.13679763134049627</v>
      </c>
      <c r="K87" s="14">
        <f t="shared" si="11"/>
        <v>2.4762129004455291</v>
      </c>
      <c r="L87" s="14">
        <f t="shared" si="12"/>
        <v>645.04342878140835</v>
      </c>
      <c r="M87" s="14">
        <f t="shared" si="1"/>
        <v>0.1554116035955144</v>
      </c>
      <c r="N87" s="14">
        <f t="shared" si="9"/>
        <v>3.9770261058991014</v>
      </c>
      <c r="O87" s="4">
        <v>4.0599999999999996</v>
      </c>
      <c r="P87" s="14">
        <f t="shared" si="10"/>
        <v>6.8846671022670643E-3</v>
      </c>
      <c r="Q87" s="14">
        <f t="shared" si="2"/>
        <v>6.1189393467682311</v>
      </c>
    </row>
    <row r="88" spans="1:17" x14ac:dyDescent="0.25">
      <c r="A88" s="5" t="s">
        <v>145</v>
      </c>
      <c r="B88" s="6">
        <f t="shared" si="3"/>
        <v>4</v>
      </c>
      <c r="C88" s="58">
        <v>17.887578959999999</v>
      </c>
      <c r="D88" s="4">
        <v>0</v>
      </c>
      <c r="E88" s="12">
        <f t="shared" si="4"/>
        <v>0</v>
      </c>
      <c r="F88" s="12">
        <f t="shared" si="5"/>
        <v>0</v>
      </c>
      <c r="G88" s="16">
        <f t="shared" si="6"/>
        <v>1.4285473367007351</v>
      </c>
      <c r="H88" s="14">
        <f t="shared" si="0"/>
        <v>0</v>
      </c>
      <c r="I88" s="14">
        <f t="shared" si="7"/>
        <v>13.857795300743383</v>
      </c>
      <c r="J88" s="14">
        <f t="shared" si="8"/>
        <v>0.35261416269935503</v>
      </c>
      <c r="K88" s="14">
        <f t="shared" si="11"/>
        <v>2.3346207879232175</v>
      </c>
      <c r="L88" s="14">
        <f t="shared" si="12"/>
        <v>645.02960929033509</v>
      </c>
      <c r="M88" s="14">
        <f t="shared" si="1"/>
        <v>0.14998140976132301</v>
      </c>
      <c r="N88" s="14">
        <f t="shared" si="9"/>
        <v>3.8380659372949668</v>
      </c>
      <c r="O88" s="4">
        <v>4.01</v>
      </c>
      <c r="P88" s="14">
        <f t="shared" si="10"/>
        <v>2.9561321918258211E-2</v>
      </c>
      <c r="Q88" s="14">
        <f t="shared" si="2"/>
        <v>6.368804246193517</v>
      </c>
    </row>
    <row r="89" spans="1:17" x14ac:dyDescent="0.25">
      <c r="A89" s="5" t="s">
        <v>146</v>
      </c>
      <c r="B89" s="6">
        <f t="shared" si="3"/>
        <v>4</v>
      </c>
      <c r="C89" s="58">
        <v>16.240768429999999</v>
      </c>
      <c r="D89" s="4">
        <v>0</v>
      </c>
      <c r="E89" s="12">
        <f t="shared" si="4"/>
        <v>0</v>
      </c>
      <c r="F89" s="12">
        <f t="shared" si="5"/>
        <v>0</v>
      </c>
      <c r="G89" s="16">
        <f t="shared" si="6"/>
        <v>1.2116724350238877</v>
      </c>
      <c r="H89" s="14">
        <f t="shared" si="0"/>
        <v>0</v>
      </c>
      <c r="I89" s="14">
        <f t="shared" si="7"/>
        <v>10.627040818161774</v>
      </c>
      <c r="J89" s="14">
        <f t="shared" si="8"/>
        <v>0.21687490167684734</v>
      </c>
      <c r="K89" s="14">
        <f t="shared" si="11"/>
        <v>2.205484433501522</v>
      </c>
      <c r="L89" s="14">
        <f t="shared" si="12"/>
        <v>645.00876423499551</v>
      </c>
      <c r="M89" s="14">
        <f t="shared" si="1"/>
        <v>0.14502715926133142</v>
      </c>
      <c r="N89" s="14">
        <f t="shared" si="9"/>
        <v>3.7112852908194878</v>
      </c>
      <c r="O89" s="4">
        <v>4.29</v>
      </c>
      <c r="P89" s="14">
        <f t="shared" si="10"/>
        <v>0.33491071462188488</v>
      </c>
      <c r="Q89" s="14">
        <f t="shared" si="2"/>
        <v>5.0339608094119095</v>
      </c>
    </row>
    <row r="90" spans="1:17" x14ac:dyDescent="0.25">
      <c r="A90" s="5" t="s">
        <v>147</v>
      </c>
      <c r="B90" s="6">
        <f t="shared" si="3"/>
        <v>4</v>
      </c>
      <c r="C90" s="58">
        <v>15.260728840000001</v>
      </c>
      <c r="D90" s="4">
        <v>0</v>
      </c>
      <c r="E90" s="12">
        <f t="shared" si="4"/>
        <v>0</v>
      </c>
      <c r="F90" s="12">
        <f t="shared" si="5"/>
        <v>0</v>
      </c>
      <c r="G90" s="16">
        <f t="shared" si="6"/>
        <v>1.0610030200939891</v>
      </c>
      <c r="H90" s="14">
        <f t="shared" si="0"/>
        <v>0</v>
      </c>
      <c r="I90" s="14">
        <f t="shared" si="7"/>
        <v>8.7043744027970771</v>
      </c>
      <c r="J90" s="14">
        <f t="shared" si="8"/>
        <v>0.15066941492989863</v>
      </c>
      <c r="K90" s="14">
        <f t="shared" si="11"/>
        <v>2.087708112940601</v>
      </c>
      <c r="L90" s="14">
        <f t="shared" si="12"/>
        <v>644.9815133962951</v>
      </c>
      <c r="M90" s="14">
        <f t="shared" si="1"/>
        <v>0.14050698406701953</v>
      </c>
      <c r="N90" s="14">
        <f t="shared" si="9"/>
        <v>3.5956127519928263</v>
      </c>
      <c r="O90" s="4">
        <v>4.72</v>
      </c>
      <c r="P90" s="14">
        <f t="shared" si="10"/>
        <v>1.264246683481145</v>
      </c>
      <c r="Q90" s="14">
        <f t="shared" si="2"/>
        <v>3.2893226743544437</v>
      </c>
    </row>
    <row r="91" spans="1:17" x14ac:dyDescent="0.25">
      <c r="A91" s="5" t="s">
        <v>148</v>
      </c>
      <c r="B91" s="6">
        <f t="shared" si="3"/>
        <v>4</v>
      </c>
      <c r="C91" s="58">
        <v>15.22852325</v>
      </c>
      <c r="D91" s="4">
        <v>0</v>
      </c>
      <c r="E91" s="12">
        <f t="shared" ref="E91:E154" si="13">IF(C91&gt;$C$9,MAX(E90-$C$10*(C91-$C$9),0),E90+D91)</f>
        <v>0</v>
      </c>
      <c r="F91" s="12">
        <f t="shared" ref="F91:F154" si="14">IF(C91&gt;$C$9,D91+MIN(E90,$C$10*(C91-$C$9)),0)</f>
        <v>0</v>
      </c>
      <c r="G91" s="16">
        <f t="shared" si="6"/>
        <v>0.93002674985648637</v>
      </c>
      <c r="H91" s="14">
        <f t="shared" si="0"/>
        <v>0</v>
      </c>
      <c r="I91" s="14">
        <f t="shared" si="7"/>
        <v>8.6411926630879634</v>
      </c>
      <c r="J91" s="14">
        <f t="shared" si="8"/>
        <v>0.13097627023750266</v>
      </c>
      <c r="K91" s="14">
        <f t="shared" si="11"/>
        <v>1.9802924920878384</v>
      </c>
      <c r="L91" s="14">
        <f t="shared" si="12"/>
        <v>644.94842203308087</v>
      </c>
      <c r="M91" s="14">
        <f t="shared" si="1"/>
        <v>0.13713393552726383</v>
      </c>
      <c r="N91" s="14">
        <f t="shared" si="9"/>
        <v>3.5092955029025501</v>
      </c>
      <c r="O91" s="4">
        <v>4.92</v>
      </c>
      <c r="P91" s="14">
        <f t="shared" si="10"/>
        <v>1.9900871781309688</v>
      </c>
      <c r="Q91" s="14">
        <f t="shared" si="2"/>
        <v>2.6038630766532953</v>
      </c>
    </row>
    <row r="92" spans="1:17" x14ac:dyDescent="0.25">
      <c r="A92" s="5" t="s">
        <v>149</v>
      </c>
      <c r="B92" s="6">
        <f t="shared" si="3"/>
        <v>4</v>
      </c>
      <c r="C92" s="58">
        <v>16.282989499999999</v>
      </c>
      <c r="D92" s="4">
        <v>0</v>
      </c>
      <c r="E92" s="12">
        <f t="shared" si="13"/>
        <v>0</v>
      </c>
      <c r="F92" s="12">
        <f t="shared" si="14"/>
        <v>0</v>
      </c>
      <c r="G92" s="16">
        <f t="shared" si="6"/>
        <v>0.78773425374274642</v>
      </c>
      <c r="H92" s="14">
        <f t="shared" si="0"/>
        <v>0</v>
      </c>
      <c r="I92" s="14">
        <f t="shared" si="7"/>
        <v>10.70987117944316</v>
      </c>
      <c r="J92" s="14">
        <f t="shared" si="8"/>
        <v>0.14229249611373998</v>
      </c>
      <c r="K92" s="14">
        <f t="shared" si="11"/>
        <v>1.8815749112333851</v>
      </c>
      <c r="L92" s="14">
        <f t="shared" si="12"/>
        <v>644.91000567840808</v>
      </c>
      <c r="M92" s="14">
        <f t="shared" si="1"/>
        <v>0.13710496460020494</v>
      </c>
      <c r="N92" s="14">
        <f t="shared" si="9"/>
        <v>3.5085541288316335</v>
      </c>
      <c r="O92" s="4">
        <v>4.96</v>
      </c>
      <c r="P92" s="14">
        <f t="shared" si="10"/>
        <v>2.1066951169316983</v>
      </c>
      <c r="Q92" s="14">
        <f t="shared" si="2"/>
        <v>2.4763711571130655</v>
      </c>
    </row>
    <row r="93" spans="1:17" x14ac:dyDescent="0.25">
      <c r="A93" s="5" t="s">
        <v>150</v>
      </c>
      <c r="B93" s="6">
        <f t="shared" si="3"/>
        <v>4</v>
      </c>
      <c r="C93" s="58">
        <v>15.594314580000001</v>
      </c>
      <c r="D93" s="4">
        <v>1.3</v>
      </c>
      <c r="E93" s="12">
        <f t="shared" si="13"/>
        <v>0</v>
      </c>
      <c r="F93" s="12">
        <f t="shared" si="14"/>
        <v>1.3</v>
      </c>
      <c r="G93" s="16">
        <f t="shared" si="6"/>
        <v>1.9350289968492245</v>
      </c>
      <c r="H93" s="14">
        <f t="shared" si="0"/>
        <v>4.7387225274692892E-2</v>
      </c>
      <c r="I93" s="14">
        <f t="shared" si="7"/>
        <v>9.3588113311486953</v>
      </c>
      <c r="J93" s="14">
        <f t="shared" si="8"/>
        <v>0.10531803161882931</v>
      </c>
      <c r="K93" s="14">
        <f t="shared" si="11"/>
        <v>1.8351656270653944</v>
      </c>
      <c r="L93" s="14">
        <f t="shared" si="12"/>
        <v>644.86669722325053</v>
      </c>
      <c r="M93" s="14">
        <f t="shared" si="1"/>
        <v>0.13708599264769522</v>
      </c>
      <c r="N93" s="14">
        <f t="shared" si="9"/>
        <v>3.5080686312969234</v>
      </c>
      <c r="O93" s="4">
        <v>4.6500000000000004</v>
      </c>
      <c r="P93" s="14">
        <f t="shared" si="10"/>
        <v>1.3040072508280827</v>
      </c>
      <c r="Q93" s="14">
        <f t="shared" si="2"/>
        <v>3.548133533549843</v>
      </c>
    </row>
    <row r="94" spans="1:17" x14ac:dyDescent="0.25">
      <c r="A94" s="5" t="s">
        <v>151</v>
      </c>
      <c r="B94" s="6">
        <f t="shared" si="3"/>
        <v>4</v>
      </c>
      <c r="C94" s="58">
        <v>14.245369910000001</v>
      </c>
      <c r="D94" s="4">
        <v>0</v>
      </c>
      <c r="E94" s="12">
        <f t="shared" si="13"/>
        <v>0</v>
      </c>
      <c r="F94" s="12">
        <f t="shared" si="14"/>
        <v>0</v>
      </c>
      <c r="G94" s="16">
        <f t="shared" si="6"/>
        <v>1.7494756652528327</v>
      </c>
      <c r="H94" s="14">
        <f t="shared" si="0"/>
        <v>0</v>
      </c>
      <c r="I94" s="14">
        <f t="shared" si="7"/>
        <v>6.7124176143456653</v>
      </c>
      <c r="J94" s="14">
        <f t="shared" si="8"/>
        <v>0.18555333159639167</v>
      </c>
      <c r="K94" s="14">
        <f t="shared" si="11"/>
        <v>1.7436826204413882</v>
      </c>
      <c r="L94" s="14">
        <f t="shared" si="12"/>
        <v>644.82109423722682</v>
      </c>
      <c r="M94" s="14">
        <f t="shared" si="1"/>
        <v>0.13705702464899125</v>
      </c>
      <c r="N94" s="14">
        <f t="shared" si="9"/>
        <v>3.5073273321634222</v>
      </c>
      <c r="O94" s="4">
        <v>5.18</v>
      </c>
      <c r="P94" s="14">
        <f t="shared" si="10"/>
        <v>2.7978338537275338</v>
      </c>
      <c r="Q94" s="14">
        <f t="shared" si="2"/>
        <v>1.832365599641804</v>
      </c>
    </row>
    <row r="95" spans="1:17" x14ac:dyDescent="0.25">
      <c r="A95" s="5" t="s">
        <v>152</v>
      </c>
      <c r="B95" s="6">
        <f t="shared" si="3"/>
        <v>4</v>
      </c>
      <c r="C95" s="58">
        <v>15.513616559999999</v>
      </c>
      <c r="D95" s="4">
        <v>0.7</v>
      </c>
      <c r="E95" s="12">
        <f t="shared" si="13"/>
        <v>0</v>
      </c>
      <c r="F95" s="12">
        <f t="shared" si="14"/>
        <v>0.7</v>
      </c>
      <c r="G95" s="16">
        <f t="shared" si="6"/>
        <v>2.180535736522387</v>
      </c>
      <c r="H95" s="14">
        <f t="shared" si="0"/>
        <v>3.8996261377624242E-2</v>
      </c>
      <c r="I95" s="14">
        <f t="shared" si="7"/>
        <v>9.2004959177474568</v>
      </c>
      <c r="J95" s="14">
        <f t="shared" si="8"/>
        <v>0.22994366735282157</v>
      </c>
      <c r="K95" s="14">
        <f t="shared" si="11"/>
        <v>1.6957563030809355</v>
      </c>
      <c r="L95" s="14">
        <f t="shared" si="12"/>
        <v>644.77095979131593</v>
      </c>
      <c r="M95" s="14">
        <f t="shared" ref="M95:M158" si="15">MAX(0,K95-$F$9)*$F$8+K95*$F$10+L95*$F$11</f>
        <v>0.13703628565972539</v>
      </c>
      <c r="N95" s="14">
        <f t="shared" si="9"/>
        <v>3.5067966156672785</v>
      </c>
      <c r="O95" s="4">
        <v>7.15</v>
      </c>
      <c r="P95" s="14">
        <f t="shared" si="10"/>
        <v>13.272930899613398</v>
      </c>
      <c r="Q95" s="14">
        <f t="shared" si="2"/>
        <v>0.37988856228550055</v>
      </c>
    </row>
    <row r="96" spans="1:17" x14ac:dyDescent="0.25">
      <c r="A96" s="5" t="s">
        <v>153</v>
      </c>
      <c r="B96" s="6">
        <f t="shared" si="3"/>
        <v>4</v>
      </c>
      <c r="C96" s="58">
        <v>14.35655403</v>
      </c>
      <c r="D96" s="4">
        <v>0.2</v>
      </c>
      <c r="E96" s="12">
        <f t="shared" si="13"/>
        <v>0</v>
      </c>
      <c r="F96" s="12">
        <f t="shared" si="14"/>
        <v>0.2</v>
      </c>
      <c r="G96" s="16">
        <f t="shared" ref="G96:G159" si="16">G95+F96-H96-J96</f>
        <v>2.1521199225447836</v>
      </c>
      <c r="H96" s="14">
        <f t="shared" ref="H96:H159" si="17">(F96*(G95/$C$11)^$C$12)</f>
        <v>1.25257359443959E-2</v>
      </c>
      <c r="I96" s="14">
        <f t="shared" ref="I96:I159" si="18">(1+$C$13*(C96-INDEX($A$16:$A$27,B96)))*INDEX($C$16:$C$27,B96)</f>
        <v>6.9305414285539024</v>
      </c>
      <c r="J96" s="14">
        <f t="shared" ref="J96:J159" si="19">IF(G95&gt;$F$13,I96,I96*(G95/$F$13))</f>
        <v>0.21589007803320764</v>
      </c>
      <c r="K96" s="14">
        <f t="shared" ref="K96:K159" si="20">K95+H96-MAX(0,K95-$F$9)*$F$8-K95*$F$10-K95*$F$12</f>
        <v>1.6237485872106712</v>
      </c>
      <c r="L96" s="14">
        <f t="shared" ref="L96:L159" si="21">L95+K95*$F$12-L95*$F$11</f>
        <v>644.71845695747095</v>
      </c>
      <c r="M96" s="14">
        <f t="shared" si="15"/>
        <v>0.13700996392748033</v>
      </c>
      <c r="N96" s="14">
        <f t="shared" ref="N96:N159" si="22">M96*$C$8*1000/(24*3600)</f>
        <v>3.5061230352275343</v>
      </c>
      <c r="O96" s="4">
        <v>6.78</v>
      </c>
      <c r="P96" s="14">
        <f t="shared" si="10"/>
        <v>10.718270380467773</v>
      </c>
      <c r="Q96" s="14">
        <f t="shared" ref="Q96:Q159" si="23">(O96-$F$23)^2</f>
        <v>6.068881803262318E-2</v>
      </c>
    </row>
    <row r="97" spans="1:17" x14ac:dyDescent="0.25">
      <c r="A97" s="5" t="s">
        <v>154</v>
      </c>
      <c r="B97" s="6">
        <f t="shared" ref="B97:B160" si="24">MONTH(A97)</f>
        <v>4</v>
      </c>
      <c r="C97" s="58">
        <v>15.670347209999999</v>
      </c>
      <c r="D97" s="4">
        <v>0</v>
      </c>
      <c r="E97" s="12">
        <f t="shared" si="13"/>
        <v>0</v>
      </c>
      <c r="F97" s="12">
        <f t="shared" si="14"/>
        <v>0</v>
      </c>
      <c r="G97" s="16">
        <f t="shared" si="16"/>
        <v>1.8598011092325888</v>
      </c>
      <c r="H97" s="14">
        <f t="shared" si="17"/>
        <v>0</v>
      </c>
      <c r="I97" s="14">
        <f t="shared" si="18"/>
        <v>9.5079740646387254</v>
      </c>
      <c r="J97" s="14">
        <f t="shared" si="19"/>
        <v>0.29231881331219478</v>
      </c>
      <c r="K97" s="14">
        <f t="shared" si="20"/>
        <v>1.5428047200366479</v>
      </c>
      <c r="L97" s="14">
        <f t="shared" si="21"/>
        <v>644.66239086071755</v>
      </c>
      <c r="M97" s="14">
        <f t="shared" si="15"/>
        <v>0.13698100150620116</v>
      </c>
      <c r="N97" s="14">
        <f t="shared" si="22"/>
        <v>3.505381878821884</v>
      </c>
      <c r="O97" s="4">
        <v>6.58</v>
      </c>
      <c r="P97" s="14">
        <f t="shared" ref="P97:P160" si="25">(O97-N97)^2</f>
        <v>9.4532765910768486</v>
      </c>
      <c r="Q97" s="14">
        <f t="shared" si="23"/>
        <v>2.1484157337705936E-3</v>
      </c>
    </row>
    <row r="98" spans="1:17" x14ac:dyDescent="0.25">
      <c r="A98" s="5" t="s">
        <v>155</v>
      </c>
      <c r="B98" s="6">
        <f t="shared" si="24"/>
        <v>4</v>
      </c>
      <c r="C98" s="58">
        <v>12.50934601</v>
      </c>
      <c r="D98" s="4">
        <v>0</v>
      </c>
      <c r="E98" s="12">
        <f t="shared" si="13"/>
        <v>0</v>
      </c>
      <c r="F98" s="12">
        <f t="shared" si="14"/>
        <v>0</v>
      </c>
      <c r="G98" s="16">
        <f t="shared" si="16"/>
        <v>1.7719482293404563</v>
      </c>
      <c r="H98" s="14">
        <f t="shared" si="17"/>
        <v>0</v>
      </c>
      <c r="I98" s="14">
        <f t="shared" si="18"/>
        <v>3.3066420897054325</v>
      </c>
      <c r="J98" s="14">
        <f t="shared" si="19"/>
        <v>8.7852879892132515E-2</v>
      </c>
      <c r="K98" s="14">
        <f t="shared" si="20"/>
        <v>1.4658959046463129</v>
      </c>
      <c r="L98" s="14">
        <f t="shared" si="21"/>
        <v>644.60231867460175</v>
      </c>
      <c r="M98" s="14">
        <f t="shared" si="15"/>
        <v>0.13695204118932278</v>
      </c>
      <c r="N98" s="14">
        <f t="shared" si="22"/>
        <v>3.5046407762684337</v>
      </c>
      <c r="O98" s="4">
        <v>5.97</v>
      </c>
      <c r="P98" s="14">
        <f t="shared" si="25"/>
        <v>6.07799610203831</v>
      </c>
      <c r="Q98" s="14">
        <f t="shared" si="23"/>
        <v>0.31770018872227085</v>
      </c>
    </row>
    <row r="99" spans="1:17" x14ac:dyDescent="0.25">
      <c r="A99" s="5" t="s">
        <v>156</v>
      </c>
      <c r="B99" s="6">
        <f t="shared" si="24"/>
        <v>4</v>
      </c>
      <c r="C99" s="58">
        <v>14.22353268</v>
      </c>
      <c r="D99" s="4">
        <v>0</v>
      </c>
      <c r="E99" s="12">
        <f t="shared" si="13"/>
        <v>0</v>
      </c>
      <c r="F99" s="12">
        <f t="shared" si="14"/>
        <v>0</v>
      </c>
      <c r="G99" s="16">
        <f t="shared" si="16"/>
        <v>1.6031174533612718</v>
      </c>
      <c r="H99" s="14">
        <f t="shared" si="17"/>
        <v>0</v>
      </c>
      <c r="I99" s="14">
        <f t="shared" si="18"/>
        <v>6.6695767851036587</v>
      </c>
      <c r="J99" s="14">
        <f t="shared" si="19"/>
        <v>0.16883077597918456</v>
      </c>
      <c r="K99" s="14">
        <f t="shared" si="20"/>
        <v>1.3928209937079972</v>
      </c>
      <c r="L99" s="14">
        <f t="shared" si="21"/>
        <v>644.5384415443508</v>
      </c>
      <c r="M99" s="14">
        <f t="shared" si="15"/>
        <v>0.13692308317754642</v>
      </c>
      <c r="N99" s="14">
        <f t="shared" si="22"/>
        <v>3.5038997327031844</v>
      </c>
      <c r="O99" s="4">
        <v>5.32</v>
      </c>
      <c r="P99" s="14">
        <f t="shared" si="25"/>
        <v>3.2982201808755658</v>
      </c>
      <c r="Q99" s="14">
        <f t="shared" si="23"/>
        <v>1.4729438812509994</v>
      </c>
    </row>
    <row r="100" spans="1:17" x14ac:dyDescent="0.25">
      <c r="A100" s="5" t="s">
        <v>157</v>
      </c>
      <c r="B100" s="6">
        <f t="shared" si="24"/>
        <v>4</v>
      </c>
      <c r="C100" s="58">
        <v>14.814882280000001</v>
      </c>
      <c r="D100" s="4">
        <v>0</v>
      </c>
      <c r="E100" s="12">
        <f t="shared" si="13"/>
        <v>0</v>
      </c>
      <c r="F100" s="12">
        <f t="shared" si="14"/>
        <v>0</v>
      </c>
      <c r="G100" s="16">
        <f t="shared" si="16"/>
        <v>1.4238040098482712</v>
      </c>
      <c r="H100" s="14">
        <f t="shared" si="17"/>
        <v>0</v>
      </c>
      <c r="I100" s="14">
        <f t="shared" si="18"/>
        <v>7.8297013629886711</v>
      </c>
      <c r="J100" s="14">
        <f t="shared" si="19"/>
        <v>0.17931344351300066</v>
      </c>
      <c r="K100" s="14">
        <f t="shared" si="20"/>
        <v>1.3233888670845275</v>
      </c>
      <c r="L100" s="14">
        <f t="shared" si="21"/>
        <v>644.47095058779678</v>
      </c>
      <c r="M100" s="14">
        <f t="shared" si="15"/>
        <v>0.13689412766150363</v>
      </c>
      <c r="N100" s="14">
        <f t="shared" si="22"/>
        <v>3.5031587530044508</v>
      </c>
      <c r="O100" s="4">
        <v>5.0999999999999996</v>
      </c>
      <c r="P100" s="14">
        <f t="shared" si="25"/>
        <v>2.5499019681062993</v>
      </c>
      <c r="Q100" s="14">
        <f t="shared" si="23"/>
        <v>2.0553494387222635</v>
      </c>
    </row>
    <row r="101" spans="1:17" x14ac:dyDescent="0.25">
      <c r="A101" s="5" t="s">
        <v>158</v>
      </c>
      <c r="B101" s="6">
        <f t="shared" si="24"/>
        <v>4</v>
      </c>
      <c r="C101" s="58">
        <v>12.21696854</v>
      </c>
      <c r="D101" s="4">
        <v>2.2000000000000002</v>
      </c>
      <c r="E101" s="12">
        <f t="shared" si="13"/>
        <v>0</v>
      </c>
      <c r="F101" s="12">
        <f t="shared" si="14"/>
        <v>2.2000000000000002</v>
      </c>
      <c r="G101" s="16">
        <f t="shared" si="16"/>
        <v>3.4583651822231265</v>
      </c>
      <c r="H101" s="14">
        <f t="shared" si="17"/>
        <v>0.10984841793484633</v>
      </c>
      <c r="I101" s="14">
        <f t="shared" si="18"/>
        <v>2.7330485860202396</v>
      </c>
      <c r="J101" s="14">
        <f t="shared" si="19"/>
        <v>5.5590409690298798E-2</v>
      </c>
      <c r="K101" s="14">
        <f t="shared" si="20"/>
        <v>1.3672663499124273</v>
      </c>
      <c r="L101" s="14">
        <f t="shared" si="21"/>
        <v>644.4000273952422</v>
      </c>
      <c r="M101" s="14">
        <f t="shared" si="15"/>
        <v>0.13688835063585611</v>
      </c>
      <c r="N101" s="14">
        <f t="shared" si="22"/>
        <v>3.5030109173134014</v>
      </c>
      <c r="O101" s="4">
        <v>5.28</v>
      </c>
      <c r="P101" s="14">
        <f t="shared" si="25"/>
        <v>3.1576901999873601</v>
      </c>
      <c r="Q101" s="14">
        <f t="shared" si="23"/>
        <v>1.571635800791229</v>
      </c>
    </row>
    <row r="102" spans="1:17" x14ac:dyDescent="0.25">
      <c r="A102" s="5" t="s">
        <v>159</v>
      </c>
      <c r="B102" s="6">
        <f t="shared" si="24"/>
        <v>4</v>
      </c>
      <c r="C102" s="58">
        <v>13.77723312</v>
      </c>
      <c r="D102" s="4">
        <v>0</v>
      </c>
      <c r="E102" s="12">
        <f t="shared" si="13"/>
        <v>0</v>
      </c>
      <c r="F102" s="12">
        <f t="shared" si="14"/>
        <v>0</v>
      </c>
      <c r="G102" s="16">
        <f t="shared" si="16"/>
        <v>3.1721103814261129</v>
      </c>
      <c r="H102" s="14">
        <f t="shared" si="17"/>
        <v>0</v>
      </c>
      <c r="I102" s="14">
        <f t="shared" si="18"/>
        <v>5.7940150384562177</v>
      </c>
      <c r="J102" s="14">
        <f t="shared" si="19"/>
        <v>0.28625480079701382</v>
      </c>
      <c r="K102" s="14">
        <f t="shared" si="20"/>
        <v>1.2991081222837655</v>
      </c>
      <c r="L102" s="14">
        <f t="shared" si="21"/>
        <v>644.33129727223502</v>
      </c>
      <c r="M102" s="14">
        <f t="shared" si="15"/>
        <v>0.13685940120851672</v>
      </c>
      <c r="N102" s="14">
        <f t="shared" si="22"/>
        <v>3.5022700934262785</v>
      </c>
      <c r="O102" s="4">
        <v>7.07</v>
      </c>
      <c r="P102" s="14">
        <f t="shared" si="25"/>
        <v>12.728696686260538</v>
      </c>
      <c r="Q102" s="14">
        <f t="shared" si="23"/>
        <v>0.28767240136595945</v>
      </c>
    </row>
    <row r="103" spans="1:17" x14ac:dyDescent="0.25">
      <c r="A103" s="5" t="s">
        <v>160</v>
      </c>
      <c r="B103" s="6">
        <f t="shared" si="24"/>
        <v>4</v>
      </c>
      <c r="C103" s="58">
        <v>13.952455520000001</v>
      </c>
      <c r="D103" s="4">
        <v>1.6</v>
      </c>
      <c r="E103" s="12">
        <f t="shared" si="13"/>
        <v>0</v>
      </c>
      <c r="F103" s="12">
        <f t="shared" si="14"/>
        <v>1.6</v>
      </c>
      <c r="G103" s="16">
        <f t="shared" si="16"/>
        <v>4.3716718171125102</v>
      </c>
      <c r="H103" s="14">
        <f t="shared" si="17"/>
        <v>0.12229996298572597</v>
      </c>
      <c r="I103" s="14">
        <f t="shared" si="18"/>
        <v>6.1377707674463089</v>
      </c>
      <c r="J103" s="14">
        <f t="shared" si="19"/>
        <v>0.27813860132787771</v>
      </c>
      <c r="K103" s="14">
        <f t="shared" si="20"/>
        <v>1.3566475452923819</v>
      </c>
      <c r="L103" s="14">
        <f t="shared" si="21"/>
        <v>644.25919841100358</v>
      </c>
      <c r="M103" s="14">
        <f t="shared" si="15"/>
        <v>0.1368562573601238</v>
      </c>
      <c r="N103" s="14">
        <f t="shared" si="22"/>
        <v>3.5021896414726124</v>
      </c>
      <c r="O103" s="4">
        <v>6.53</v>
      </c>
      <c r="P103" s="14">
        <f t="shared" si="25"/>
        <v>9.1676355672057497</v>
      </c>
      <c r="Q103" s="14">
        <f t="shared" si="23"/>
        <v>1.3315159057467896E-5</v>
      </c>
    </row>
    <row r="104" spans="1:17" x14ac:dyDescent="0.25">
      <c r="A104" s="5" t="s">
        <v>161</v>
      </c>
      <c r="B104" s="6">
        <f t="shared" si="24"/>
        <v>4</v>
      </c>
      <c r="C104" s="58">
        <v>13.0038929</v>
      </c>
      <c r="D104" s="4">
        <v>0</v>
      </c>
      <c r="E104" s="12">
        <f t="shared" si="13"/>
        <v>0</v>
      </c>
      <c r="F104" s="12">
        <f t="shared" si="14"/>
        <v>0</v>
      </c>
      <c r="G104" s="16">
        <f t="shared" si="16"/>
        <v>4.1045714049084125</v>
      </c>
      <c r="H104" s="14">
        <f t="shared" si="17"/>
        <v>0</v>
      </c>
      <c r="I104" s="14">
        <f t="shared" si="18"/>
        <v>4.2768566666757994</v>
      </c>
      <c r="J104" s="14">
        <f t="shared" si="19"/>
        <v>0.2671004122040973</v>
      </c>
      <c r="K104" s="14">
        <f t="shared" si="20"/>
        <v>1.2890186650746933</v>
      </c>
      <c r="L104" s="14">
        <f t="shared" si="21"/>
        <v>644.18997103386107</v>
      </c>
      <c r="M104" s="14">
        <f t="shared" si="15"/>
        <v>0.13682731420656793</v>
      </c>
      <c r="N104" s="14">
        <f t="shared" si="22"/>
        <v>3.5014489781333529</v>
      </c>
      <c r="O104" s="4">
        <v>5.83</v>
      </c>
      <c r="P104" s="14">
        <f t="shared" si="25"/>
        <v>5.4221498614362069</v>
      </c>
      <c r="Q104" s="14">
        <f t="shared" si="23"/>
        <v>0.49512190711307374</v>
      </c>
    </row>
    <row r="105" spans="1:17" x14ac:dyDescent="0.25">
      <c r="A105" s="5" t="s">
        <v>162</v>
      </c>
      <c r="B105" s="6">
        <f t="shared" si="24"/>
        <v>5</v>
      </c>
      <c r="C105" s="58">
        <v>14.66759014</v>
      </c>
      <c r="D105" s="4">
        <v>0</v>
      </c>
      <c r="E105" s="12">
        <f t="shared" si="13"/>
        <v>0</v>
      </c>
      <c r="F105" s="12">
        <f t="shared" si="14"/>
        <v>0</v>
      </c>
      <c r="G105" s="16">
        <f t="shared" si="16"/>
        <v>3.7001708306239971</v>
      </c>
      <c r="H105" s="14">
        <f t="shared" si="17"/>
        <v>0</v>
      </c>
      <c r="I105" s="14">
        <f t="shared" si="18"/>
        <v>6.8967048072187556</v>
      </c>
      <c r="J105" s="14">
        <f t="shared" si="19"/>
        <v>0.40440057428441539</v>
      </c>
      <c r="K105" s="14">
        <f t="shared" si="20"/>
        <v>1.2247610845400869</v>
      </c>
      <c r="L105" s="14">
        <f t="shared" si="21"/>
        <v>644.11740130018916</v>
      </c>
      <c r="M105" s="14">
        <f t="shared" si="15"/>
        <v>0.13679837381708063</v>
      </c>
      <c r="N105" s="14">
        <f t="shared" si="22"/>
        <v>3.5007083855273757</v>
      </c>
      <c r="O105" s="4">
        <v>5.28</v>
      </c>
      <c r="P105" s="14">
        <f t="shared" si="25"/>
        <v>3.1658786493325985</v>
      </c>
      <c r="Q105" s="14">
        <f t="shared" si="23"/>
        <v>1.571635800791229</v>
      </c>
    </row>
    <row r="106" spans="1:17" x14ac:dyDescent="0.25">
      <c r="A106" s="5" t="s">
        <v>163</v>
      </c>
      <c r="B106" s="6">
        <f t="shared" si="24"/>
        <v>5</v>
      </c>
      <c r="C106" s="58">
        <v>16.308668140000002</v>
      </c>
      <c r="D106" s="4">
        <v>0</v>
      </c>
      <c r="E106" s="12">
        <f t="shared" si="13"/>
        <v>0</v>
      </c>
      <c r="F106" s="12">
        <f t="shared" si="14"/>
        <v>0</v>
      </c>
      <c r="G106" s="16">
        <f t="shared" si="16"/>
        <v>3.1703969837258681</v>
      </c>
      <c r="H106" s="14">
        <f t="shared" si="17"/>
        <v>0</v>
      </c>
      <c r="I106" s="14">
        <f t="shared" si="18"/>
        <v>10.022277628020774</v>
      </c>
      <c r="J106" s="14">
        <f t="shared" si="19"/>
        <v>0.52977384689812923</v>
      </c>
      <c r="K106" s="14">
        <f t="shared" si="20"/>
        <v>1.1637067443991505</v>
      </c>
      <c r="L106" s="14">
        <f t="shared" si="21"/>
        <v>644.04165726651308</v>
      </c>
      <c r="M106" s="14">
        <f t="shared" si="15"/>
        <v>0.13676943635913516</v>
      </c>
      <c r="N106" s="14">
        <f t="shared" si="22"/>
        <v>3.4999678679403687</v>
      </c>
      <c r="O106" s="4">
        <v>4.88</v>
      </c>
      <c r="P106" s="14">
        <f t="shared" si="25"/>
        <v>1.9044886855170513</v>
      </c>
      <c r="Q106" s="14">
        <f t="shared" si="23"/>
        <v>2.7345549961935252</v>
      </c>
    </row>
    <row r="107" spans="1:17" x14ac:dyDescent="0.25">
      <c r="A107" s="5" t="s">
        <v>164</v>
      </c>
      <c r="B107" s="6">
        <f t="shared" si="24"/>
        <v>5</v>
      </c>
      <c r="C107" s="58">
        <v>14.618888849999999</v>
      </c>
      <c r="D107" s="4">
        <v>0</v>
      </c>
      <c r="E107" s="12">
        <f t="shared" si="13"/>
        <v>0</v>
      </c>
      <c r="F107" s="12">
        <f t="shared" si="14"/>
        <v>0</v>
      </c>
      <c r="G107" s="16">
        <f t="shared" si="16"/>
        <v>2.8622364555339033</v>
      </c>
      <c r="H107" s="14">
        <f t="shared" si="17"/>
        <v>0</v>
      </c>
      <c r="I107" s="14">
        <f t="shared" si="18"/>
        <v>6.803949052548961</v>
      </c>
      <c r="J107" s="14">
        <f t="shared" si="19"/>
        <v>0.30816052819196466</v>
      </c>
      <c r="K107" s="14">
        <f t="shared" si="20"/>
        <v>1.1056959631180587</v>
      </c>
      <c r="L107" s="14">
        <f t="shared" si="21"/>
        <v>643.96289861143509</v>
      </c>
      <c r="M107" s="14">
        <f t="shared" si="15"/>
        <v>0.13674050199179175</v>
      </c>
      <c r="N107" s="14">
        <f t="shared" si="22"/>
        <v>3.4992274294427261</v>
      </c>
      <c r="O107" s="4">
        <v>4.58</v>
      </c>
      <c r="P107" s="14">
        <f t="shared" si="25"/>
        <v>1.1680693492689778</v>
      </c>
      <c r="Q107" s="14">
        <f t="shared" si="23"/>
        <v>3.8167443927452456</v>
      </c>
    </row>
    <row r="108" spans="1:17" x14ac:dyDescent="0.25">
      <c r="A108" s="5" t="s">
        <v>165</v>
      </c>
      <c r="B108" s="6">
        <f t="shared" si="24"/>
        <v>5</v>
      </c>
      <c r="C108" s="58">
        <v>16.006595610000002</v>
      </c>
      <c r="D108" s="4">
        <v>0</v>
      </c>
      <c r="E108" s="12">
        <f t="shared" si="13"/>
        <v>0</v>
      </c>
      <c r="F108" s="12">
        <f t="shared" si="14"/>
        <v>0</v>
      </c>
      <c r="G108" s="16">
        <f t="shared" si="16"/>
        <v>2.4759587389010105</v>
      </c>
      <c r="H108" s="14">
        <f t="shared" si="17"/>
        <v>0</v>
      </c>
      <c r="I108" s="14">
        <f t="shared" si="18"/>
        <v>9.4469547672677194</v>
      </c>
      <c r="J108" s="14">
        <f t="shared" si="19"/>
        <v>0.38627771663289262</v>
      </c>
      <c r="K108" s="14">
        <f t="shared" si="20"/>
        <v>1.0505770192874582</v>
      </c>
      <c r="L108" s="14">
        <f t="shared" si="21"/>
        <v>643.88127705327383</v>
      </c>
      <c r="M108" s="14">
        <f t="shared" si="15"/>
        <v>0.13671157086611654</v>
      </c>
      <c r="N108" s="14">
        <f t="shared" si="22"/>
        <v>3.4984870739002742</v>
      </c>
      <c r="O108" s="4">
        <v>4.43</v>
      </c>
      <c r="P108" s="14">
        <f t="shared" si="25"/>
        <v>0.86771633149087257</v>
      </c>
      <c r="Q108" s="14">
        <f t="shared" si="23"/>
        <v>4.4253390910211081</v>
      </c>
    </row>
    <row r="109" spans="1:17" x14ac:dyDescent="0.25">
      <c r="A109" s="5" t="s">
        <v>166</v>
      </c>
      <c r="B109" s="6">
        <f t="shared" si="24"/>
        <v>5</v>
      </c>
      <c r="C109" s="58">
        <v>13.891276360000001</v>
      </c>
      <c r="D109" s="4">
        <v>0</v>
      </c>
      <c r="E109" s="12">
        <f t="shared" si="13"/>
        <v>0</v>
      </c>
      <c r="F109" s="12">
        <f t="shared" si="14"/>
        <v>0</v>
      </c>
      <c r="G109" s="16">
        <f t="shared" si="16"/>
        <v>2.2843141041343924</v>
      </c>
      <c r="H109" s="14">
        <f t="shared" si="17"/>
        <v>0</v>
      </c>
      <c r="I109" s="14">
        <f t="shared" si="18"/>
        <v>5.4181490949478741</v>
      </c>
      <c r="J109" s="14">
        <f t="shared" si="19"/>
        <v>0.19164463476661828</v>
      </c>
      <c r="K109" s="14">
        <f t="shared" si="20"/>
        <v>0.99820575481026097</v>
      </c>
      <c r="L109" s="14">
        <f t="shared" si="21"/>
        <v>643.79693674688485</v>
      </c>
      <c r="M109" s="14">
        <f t="shared" si="15"/>
        <v>0.13668264312558051</v>
      </c>
      <c r="N109" s="14">
        <f t="shared" si="22"/>
        <v>3.4977468049844731</v>
      </c>
      <c r="O109" s="4">
        <v>4.43</v>
      </c>
      <c r="P109" s="14">
        <f t="shared" si="25"/>
        <v>0.8690960196166575</v>
      </c>
      <c r="Q109" s="14">
        <f t="shared" si="23"/>
        <v>4.4253390910211081</v>
      </c>
    </row>
    <row r="110" spans="1:17" x14ac:dyDescent="0.25">
      <c r="A110" s="5" t="s">
        <v>167</v>
      </c>
      <c r="B110" s="6">
        <f t="shared" si="24"/>
        <v>5</v>
      </c>
      <c r="C110" s="58">
        <v>13.806555749999999</v>
      </c>
      <c r="D110" s="4">
        <v>0</v>
      </c>
      <c r="E110" s="12">
        <f t="shared" si="13"/>
        <v>0</v>
      </c>
      <c r="F110" s="12">
        <f t="shared" si="14"/>
        <v>0</v>
      </c>
      <c r="G110" s="16">
        <f t="shared" si="16"/>
        <v>2.1127687811068152</v>
      </c>
      <c r="H110" s="14">
        <f t="shared" si="17"/>
        <v>0</v>
      </c>
      <c r="I110" s="14">
        <f t="shared" si="18"/>
        <v>5.256791477590399</v>
      </c>
      <c r="J110" s="14">
        <f t="shared" si="19"/>
        <v>0.17154532302757733</v>
      </c>
      <c r="K110" s="14">
        <f t="shared" si="20"/>
        <v>0.94844519787052806</v>
      </c>
      <c r="L110" s="14">
        <f t="shared" si="21"/>
        <v>643.71001466069902</v>
      </c>
      <c r="M110" s="14">
        <f t="shared" si="15"/>
        <v>0.13665371890643793</v>
      </c>
      <c r="N110" s="14">
        <f t="shared" si="22"/>
        <v>3.49700662618211</v>
      </c>
      <c r="O110" s="4">
        <v>4.5</v>
      </c>
      <c r="P110" s="14">
        <f t="shared" si="25"/>
        <v>1.0059957079225936</v>
      </c>
      <c r="Q110" s="14">
        <f t="shared" si="23"/>
        <v>4.1357282318257047</v>
      </c>
    </row>
    <row r="111" spans="1:17" x14ac:dyDescent="0.25">
      <c r="A111" s="5" t="s">
        <v>168</v>
      </c>
      <c r="B111" s="6">
        <f t="shared" si="24"/>
        <v>5</v>
      </c>
      <c r="C111" s="58">
        <v>14.593930240000001</v>
      </c>
      <c r="D111" s="4">
        <v>0</v>
      </c>
      <c r="E111" s="12">
        <f t="shared" si="13"/>
        <v>0</v>
      </c>
      <c r="F111" s="12">
        <f t="shared" si="14"/>
        <v>0</v>
      </c>
      <c r="G111" s="16">
        <f t="shared" si="16"/>
        <v>1.9088437736346906</v>
      </c>
      <c r="H111" s="14">
        <f t="shared" si="17"/>
        <v>0</v>
      </c>
      <c r="I111" s="14">
        <f t="shared" si="18"/>
        <v>6.7564132540914859</v>
      </c>
      <c r="J111" s="14">
        <f t="shared" si="19"/>
        <v>0.20392500747212455</v>
      </c>
      <c r="K111" s="14">
        <f t="shared" si="20"/>
        <v>0.90116520469735351</v>
      </c>
      <c r="L111" s="14">
        <f t="shared" si="21"/>
        <v>643.62064093496576</v>
      </c>
      <c r="M111" s="14">
        <f t="shared" si="15"/>
        <v>0.13662479833808608</v>
      </c>
      <c r="N111" s="14">
        <f t="shared" si="22"/>
        <v>3.4962665408044948</v>
      </c>
      <c r="O111" s="4">
        <v>4.0999999999999996</v>
      </c>
      <c r="P111" s="14">
        <f t="shared" si="25"/>
        <v>0.36449408975217029</v>
      </c>
      <c r="Q111" s="14">
        <f t="shared" si="23"/>
        <v>5.9226474272280019</v>
      </c>
    </row>
    <row r="112" spans="1:17" x14ac:dyDescent="0.25">
      <c r="A112" s="5" t="s">
        <v>169</v>
      </c>
      <c r="B112" s="6">
        <f t="shared" si="24"/>
        <v>5</v>
      </c>
      <c r="C112" s="58">
        <v>14.697124479999999</v>
      </c>
      <c r="D112" s="4">
        <v>0</v>
      </c>
      <c r="E112" s="12">
        <f t="shared" si="13"/>
        <v>0</v>
      </c>
      <c r="F112" s="12">
        <f t="shared" si="14"/>
        <v>0</v>
      </c>
      <c r="G112" s="16">
        <f t="shared" si="16"/>
        <v>1.719242109617549</v>
      </c>
      <c r="H112" s="14">
        <f t="shared" si="17"/>
        <v>0</v>
      </c>
      <c r="I112" s="14">
        <f t="shared" si="18"/>
        <v>6.9529554731738923</v>
      </c>
      <c r="J112" s="14">
        <f t="shared" si="19"/>
        <v>0.18960166401714165</v>
      </c>
      <c r="K112" s="14">
        <f t="shared" si="20"/>
        <v>0.85624211918681925</v>
      </c>
      <c r="L112" s="14">
        <f t="shared" si="21"/>
        <v>643.52893922213821</v>
      </c>
      <c r="M112" s="14">
        <f t="shared" si="15"/>
        <v>0.13659588154340715</v>
      </c>
      <c r="N112" s="14">
        <f t="shared" si="22"/>
        <v>3.4955265519962175</v>
      </c>
      <c r="O112" s="4">
        <v>3.82</v>
      </c>
      <c r="P112" s="14">
        <f t="shared" si="25"/>
        <v>0.10528301845946322</v>
      </c>
      <c r="Q112" s="14">
        <f t="shared" si="23"/>
        <v>7.3638908640096075</v>
      </c>
    </row>
    <row r="113" spans="1:17" x14ac:dyDescent="0.25">
      <c r="A113" s="5" t="s">
        <v>170</v>
      </c>
      <c r="B113" s="6">
        <f t="shared" si="24"/>
        <v>5</v>
      </c>
      <c r="C113" s="58">
        <v>15.24744797</v>
      </c>
      <c r="D113" s="4">
        <v>0.6</v>
      </c>
      <c r="E113" s="12">
        <f t="shared" si="13"/>
        <v>0</v>
      </c>
      <c r="F113" s="12">
        <f t="shared" si="14"/>
        <v>0.6</v>
      </c>
      <c r="G113" s="16">
        <f t="shared" si="16"/>
        <v>2.0896132309536961</v>
      </c>
      <c r="H113" s="14">
        <f t="shared" si="17"/>
        <v>3.3117052128634035E-2</v>
      </c>
      <c r="I113" s="14">
        <f t="shared" si="18"/>
        <v>8.0010934306584911</v>
      </c>
      <c r="J113" s="14">
        <f t="shared" si="19"/>
        <v>0.19651182653521879</v>
      </c>
      <c r="K113" s="14">
        <f t="shared" si="20"/>
        <v>0.84667550162042926</v>
      </c>
      <c r="L113" s="14">
        <f t="shared" si="21"/>
        <v>643.43502701028979</v>
      </c>
      <c r="M113" s="14">
        <f t="shared" si="15"/>
        <v>0.1365739556730575</v>
      </c>
      <c r="N113" s="14">
        <f t="shared" si="22"/>
        <v>3.4949654628834503</v>
      </c>
      <c r="O113" s="4">
        <v>3.9</v>
      </c>
      <c r="P113" s="14">
        <f t="shared" si="25"/>
        <v>0.16405297625721757</v>
      </c>
      <c r="Q113" s="14">
        <f t="shared" si="23"/>
        <v>6.9361070249291483</v>
      </c>
    </row>
    <row r="114" spans="1:17" x14ac:dyDescent="0.25">
      <c r="A114" s="5" t="s">
        <v>171</v>
      </c>
      <c r="B114" s="6">
        <f t="shared" si="24"/>
        <v>5</v>
      </c>
      <c r="C114" s="58">
        <v>14.98232937</v>
      </c>
      <c r="D114" s="4">
        <v>0</v>
      </c>
      <c r="E114" s="12">
        <f t="shared" si="13"/>
        <v>0</v>
      </c>
      <c r="F114" s="12">
        <f t="shared" si="14"/>
        <v>0</v>
      </c>
      <c r="G114" s="16">
        <f t="shared" si="16"/>
        <v>1.8658407731458577</v>
      </c>
      <c r="H114" s="14">
        <f t="shared" si="17"/>
        <v>0</v>
      </c>
      <c r="I114" s="14">
        <f t="shared" si="18"/>
        <v>7.4961524769383887</v>
      </c>
      <c r="J114" s="14">
        <f t="shared" si="19"/>
        <v>0.2237724578078383</v>
      </c>
      <c r="K114" s="14">
        <f t="shared" si="20"/>
        <v>0.80446872781168832</v>
      </c>
      <c r="L114" s="14">
        <f t="shared" si="21"/>
        <v>643.34065982842549</v>
      </c>
      <c r="M114" s="14">
        <f t="shared" si="15"/>
        <v>0.13654504693969238</v>
      </c>
      <c r="N114" s="14">
        <f t="shared" si="22"/>
        <v>3.4942256803664336</v>
      </c>
      <c r="O114" s="4">
        <v>4.32</v>
      </c>
      <c r="P114" s="14">
        <f t="shared" si="25"/>
        <v>0.68190322696628003</v>
      </c>
      <c r="Q114" s="14">
        <f t="shared" si="23"/>
        <v>4.9002418697567363</v>
      </c>
    </row>
    <row r="115" spans="1:17" x14ac:dyDescent="0.25">
      <c r="A115" s="5" t="s">
        <v>172</v>
      </c>
      <c r="B115" s="6">
        <f t="shared" si="24"/>
        <v>5</v>
      </c>
      <c r="C115" s="58">
        <v>16.062139510000002</v>
      </c>
      <c r="D115" s="4">
        <v>0</v>
      </c>
      <c r="E115" s="12">
        <f t="shared" si="13"/>
        <v>0</v>
      </c>
      <c r="F115" s="12">
        <f t="shared" si="14"/>
        <v>0</v>
      </c>
      <c r="G115" s="16">
        <f t="shared" si="16"/>
        <v>1.6112134658777273</v>
      </c>
      <c r="H115" s="14">
        <f t="shared" si="17"/>
        <v>0</v>
      </c>
      <c r="I115" s="14">
        <f t="shared" si="18"/>
        <v>9.5527428554642242</v>
      </c>
      <c r="J115" s="14">
        <f t="shared" si="19"/>
        <v>0.25462730726813043</v>
      </c>
      <c r="K115" s="14">
        <f t="shared" si="20"/>
        <v>0.76436596167995319</v>
      </c>
      <c r="L115" s="14">
        <f t="shared" si="21"/>
        <v>643.2442175476175</v>
      </c>
      <c r="M115" s="14">
        <f t="shared" si="15"/>
        <v>0.13651614223039144</v>
      </c>
      <c r="N115" s="14">
        <f t="shared" si="22"/>
        <v>3.4934860008263362</v>
      </c>
      <c r="O115" s="4">
        <v>4.05</v>
      </c>
      <c r="P115" s="14">
        <f t="shared" si="25"/>
        <v>0.3097078312762645</v>
      </c>
      <c r="Q115" s="14">
        <f t="shared" si="23"/>
        <v>6.1685123266532873</v>
      </c>
    </row>
    <row r="116" spans="1:17" x14ac:dyDescent="0.25">
      <c r="A116" s="5" t="s">
        <v>173</v>
      </c>
      <c r="B116" s="6">
        <f t="shared" si="24"/>
        <v>5</v>
      </c>
      <c r="C116" s="58">
        <v>16.602117539999998</v>
      </c>
      <c r="D116" s="4">
        <v>0.5</v>
      </c>
      <c r="E116" s="12">
        <f t="shared" si="13"/>
        <v>0</v>
      </c>
      <c r="F116" s="12">
        <f t="shared" si="14"/>
        <v>0.5</v>
      </c>
      <c r="G116" s="16">
        <f t="shared" si="16"/>
        <v>1.8410010344098469</v>
      </c>
      <c r="H116" s="14">
        <f t="shared" si="17"/>
        <v>2.6661736610546168E-2</v>
      </c>
      <c r="I116" s="14">
        <f t="shared" si="18"/>
        <v>10.581177003261104</v>
      </c>
      <c r="J116" s="14">
        <f t="shared" si="19"/>
        <v>0.24355069485733424</v>
      </c>
      <c r="K116" s="14">
        <f t="shared" si="20"/>
        <v>0.7529240550529398</v>
      </c>
      <c r="L116" s="14">
        <f t="shared" si="21"/>
        <v>643.14580504862465</v>
      </c>
      <c r="M116" s="14">
        <f t="shared" si="15"/>
        <v>0.13649286674101299</v>
      </c>
      <c r="N116" s="14">
        <f t="shared" si="22"/>
        <v>3.4928903745877284</v>
      </c>
      <c r="O116" s="4">
        <v>3.85</v>
      </c>
      <c r="P116" s="14">
        <f t="shared" si="25"/>
        <v>0.12752728456209297</v>
      </c>
      <c r="Q116" s="14">
        <f t="shared" si="23"/>
        <v>7.2019719243544342</v>
      </c>
    </row>
    <row r="117" spans="1:17" x14ac:dyDescent="0.25">
      <c r="A117" s="5" t="s">
        <v>174</v>
      </c>
      <c r="B117" s="6">
        <f t="shared" si="24"/>
        <v>5</v>
      </c>
      <c r="C117" s="58">
        <v>14.92906666</v>
      </c>
      <c r="D117" s="4">
        <v>0.4</v>
      </c>
      <c r="E117" s="12">
        <f t="shared" si="13"/>
        <v>0</v>
      </c>
      <c r="F117" s="12">
        <f t="shared" si="14"/>
        <v>0.4</v>
      </c>
      <c r="G117" s="16">
        <f t="shared" si="16"/>
        <v>2.0236240388522719</v>
      </c>
      <c r="H117" s="14">
        <f t="shared" si="17"/>
        <v>2.2895879654184631E-2</v>
      </c>
      <c r="I117" s="14">
        <f t="shared" si="18"/>
        <v>7.3947091093847064</v>
      </c>
      <c r="J117" s="14">
        <f t="shared" si="19"/>
        <v>0.19448111590339001</v>
      </c>
      <c r="K117" s="14">
        <f t="shared" si="20"/>
        <v>0.73828667051563723</v>
      </c>
      <c r="L117" s="14">
        <f t="shared" si="21"/>
        <v>643.04684544607505</v>
      </c>
      <c r="M117" s="14">
        <f t="shared" si="15"/>
        <v>0.13646880109488443</v>
      </c>
      <c r="N117" s="14">
        <f t="shared" si="22"/>
        <v>3.4922745280183967</v>
      </c>
      <c r="O117" s="4">
        <v>3.79</v>
      </c>
      <c r="P117" s="14">
        <f t="shared" si="25"/>
        <v>8.8640456666668491E-2</v>
      </c>
      <c r="Q117" s="14">
        <f t="shared" si="23"/>
        <v>7.5276098036647783</v>
      </c>
    </row>
    <row r="118" spans="1:17" x14ac:dyDescent="0.25">
      <c r="A118" s="5" t="s">
        <v>175</v>
      </c>
      <c r="B118" s="6">
        <f t="shared" si="24"/>
        <v>5</v>
      </c>
      <c r="C118" s="58">
        <v>15.87209511</v>
      </c>
      <c r="D118" s="4">
        <v>0</v>
      </c>
      <c r="E118" s="12">
        <f t="shared" si="13"/>
        <v>0</v>
      </c>
      <c r="F118" s="12">
        <f t="shared" si="14"/>
        <v>0</v>
      </c>
      <c r="G118" s="16">
        <f t="shared" si="16"/>
        <v>1.7579281424169766</v>
      </c>
      <c r="H118" s="14">
        <f t="shared" si="17"/>
        <v>0</v>
      </c>
      <c r="I118" s="14">
        <f t="shared" si="18"/>
        <v>9.19078710967662</v>
      </c>
      <c r="J118" s="14">
        <f t="shared" si="19"/>
        <v>0.26569589643529545</v>
      </c>
      <c r="K118" s="14">
        <f t="shared" si="20"/>
        <v>0.70148307994425019</v>
      </c>
      <c r="L118" s="14">
        <f t="shared" si="21"/>
        <v>642.94718023555151</v>
      </c>
      <c r="M118" s="14">
        <f t="shared" si="15"/>
        <v>0.13643990924899818</v>
      </c>
      <c r="N118" s="14">
        <f t="shared" si="22"/>
        <v>3.491535177656655</v>
      </c>
      <c r="O118" s="4">
        <v>3.85</v>
      </c>
      <c r="P118" s="14">
        <f t="shared" si="25"/>
        <v>0.12849702885764597</v>
      </c>
      <c r="Q118" s="14">
        <f t="shared" si="23"/>
        <v>7.2019719243544342</v>
      </c>
    </row>
    <row r="119" spans="1:17" x14ac:dyDescent="0.25">
      <c r="A119" s="5" t="s">
        <v>176</v>
      </c>
      <c r="B119" s="6">
        <f t="shared" si="24"/>
        <v>5</v>
      </c>
      <c r="C119" s="58">
        <v>16.51985741</v>
      </c>
      <c r="D119" s="4">
        <v>0</v>
      </c>
      <c r="E119" s="12">
        <f t="shared" si="13"/>
        <v>0</v>
      </c>
      <c r="F119" s="12">
        <f t="shared" si="14"/>
        <v>0</v>
      </c>
      <c r="G119" s="16">
        <f t="shared" si="16"/>
        <v>1.4961346205889761</v>
      </c>
      <c r="H119" s="14">
        <f t="shared" si="17"/>
        <v>0</v>
      </c>
      <c r="I119" s="14">
        <f t="shared" si="18"/>
        <v>10.424505579621499</v>
      </c>
      <c r="J119" s="14">
        <f t="shared" si="19"/>
        <v>0.26179352182800059</v>
      </c>
      <c r="K119" s="14">
        <f t="shared" si="20"/>
        <v>0.666514148365149</v>
      </c>
      <c r="L119" s="14">
        <f t="shared" si="21"/>
        <v>642.84570925788159</v>
      </c>
      <c r="M119" s="14">
        <f t="shared" si="15"/>
        <v>0.136411021692945</v>
      </c>
      <c r="N119" s="14">
        <f t="shared" si="22"/>
        <v>3.4907959370729325</v>
      </c>
      <c r="O119" s="4">
        <v>4.0199999999999996</v>
      </c>
      <c r="P119" s="14">
        <f t="shared" si="25"/>
        <v>0.28005694021851524</v>
      </c>
      <c r="Q119" s="14">
        <f t="shared" si="23"/>
        <v>6.318431266308461</v>
      </c>
    </row>
    <row r="120" spans="1:17" x14ac:dyDescent="0.25">
      <c r="A120" s="5" t="s">
        <v>177</v>
      </c>
      <c r="B120" s="6">
        <f t="shared" si="24"/>
        <v>5</v>
      </c>
      <c r="C120" s="58">
        <v>14.02449322</v>
      </c>
      <c r="D120" s="4">
        <v>0</v>
      </c>
      <c r="E120" s="12">
        <f t="shared" si="13"/>
        <v>0</v>
      </c>
      <c r="F120" s="12">
        <f t="shared" si="14"/>
        <v>0</v>
      </c>
      <c r="G120" s="16">
        <f t="shared" si="16"/>
        <v>1.3749076085610838</v>
      </c>
      <c r="H120" s="14">
        <f t="shared" si="17"/>
        <v>0</v>
      </c>
      <c r="I120" s="14">
        <f t="shared" si="18"/>
        <v>5.6718719508319868</v>
      </c>
      <c r="J120" s="14">
        <f t="shared" si="19"/>
        <v>0.12122701202789213</v>
      </c>
      <c r="K120" s="14">
        <f t="shared" si="20"/>
        <v>0.63328841802745339</v>
      </c>
      <c r="L120" s="14">
        <f t="shared" si="21"/>
        <v>642.74252396652639</v>
      </c>
      <c r="M120" s="14">
        <f t="shared" si="15"/>
        <v>0.13638213851727321</v>
      </c>
      <c r="N120" s="14">
        <f t="shared" si="22"/>
        <v>3.490056808584387</v>
      </c>
      <c r="O120" s="4">
        <v>3.99</v>
      </c>
      <c r="P120" s="14">
        <f t="shared" si="25"/>
        <v>0.24994319464282844</v>
      </c>
      <c r="Q120" s="14">
        <f t="shared" si="23"/>
        <v>6.4701502059636304</v>
      </c>
    </row>
    <row r="121" spans="1:17" x14ac:dyDescent="0.25">
      <c r="A121" s="5" t="s">
        <v>178</v>
      </c>
      <c r="B121" s="6">
        <f t="shared" si="24"/>
        <v>5</v>
      </c>
      <c r="C121" s="58">
        <v>15.38195419</v>
      </c>
      <c r="D121" s="4">
        <v>0</v>
      </c>
      <c r="E121" s="12">
        <f t="shared" si="13"/>
        <v>0</v>
      </c>
      <c r="F121" s="12">
        <f t="shared" si="14"/>
        <v>0</v>
      </c>
      <c r="G121" s="16">
        <f t="shared" si="16"/>
        <v>1.2127219622360053</v>
      </c>
      <c r="H121" s="14">
        <f t="shared" si="17"/>
        <v>0</v>
      </c>
      <c r="I121" s="14">
        <f t="shared" si="18"/>
        <v>8.2572719824767589</v>
      </c>
      <c r="J121" s="14">
        <f t="shared" si="19"/>
        <v>0.16218564632507862</v>
      </c>
      <c r="K121" s="14">
        <f t="shared" si="20"/>
        <v>0.60171899034917031</v>
      </c>
      <c r="L121" s="14">
        <f t="shared" si="21"/>
        <v>642.63771125568735</v>
      </c>
      <c r="M121" s="14">
        <f t="shared" si="15"/>
        <v>0.13635325980795285</v>
      </c>
      <c r="N121" s="14">
        <f t="shared" si="22"/>
        <v>3.4893177943910154</v>
      </c>
      <c r="O121" s="4">
        <v>3.7</v>
      </c>
      <c r="P121" s="14">
        <f t="shared" si="25"/>
        <v>4.4386991760266531E-2</v>
      </c>
      <c r="Q121" s="14">
        <f t="shared" si="23"/>
        <v>8.0295666226302949</v>
      </c>
    </row>
    <row r="122" spans="1:17" x14ac:dyDescent="0.25">
      <c r="A122" s="5" t="s">
        <v>179</v>
      </c>
      <c r="B122" s="6">
        <f t="shared" si="24"/>
        <v>5</v>
      </c>
      <c r="C122" s="58">
        <v>15.652105329999999</v>
      </c>
      <c r="D122" s="4">
        <v>0</v>
      </c>
      <c r="E122" s="12">
        <f t="shared" si="13"/>
        <v>0</v>
      </c>
      <c r="F122" s="12">
        <f t="shared" si="14"/>
        <v>0</v>
      </c>
      <c r="G122" s="16">
        <f t="shared" si="16"/>
        <v>1.0607539554356378</v>
      </c>
      <c r="H122" s="14">
        <f t="shared" si="17"/>
        <v>0</v>
      </c>
      <c r="I122" s="14">
        <f t="shared" si="18"/>
        <v>8.7717978372458045</v>
      </c>
      <c r="J122" s="14">
        <f t="shared" si="19"/>
        <v>0.15196800680036759</v>
      </c>
      <c r="K122" s="14">
        <f t="shared" si="20"/>
        <v>0.5717232986426245</v>
      </c>
      <c r="L122" s="14">
        <f t="shared" si="21"/>
        <v>642.53135368758603</v>
      </c>
      <c r="M122" s="14">
        <f t="shared" si="15"/>
        <v>0.13632438564660387</v>
      </c>
      <c r="N122" s="14">
        <f t="shared" si="22"/>
        <v>3.4885788965814948</v>
      </c>
      <c r="O122" s="4">
        <v>3.52</v>
      </c>
      <c r="P122" s="14">
        <f t="shared" si="25"/>
        <v>9.8728574003640137E-4</v>
      </c>
      <c r="Q122" s="14">
        <f t="shared" si="23"/>
        <v>9.0820802605613284</v>
      </c>
    </row>
    <row r="123" spans="1:17" x14ac:dyDescent="0.25">
      <c r="A123" s="5" t="s">
        <v>180</v>
      </c>
      <c r="B123" s="6">
        <f t="shared" si="24"/>
        <v>5</v>
      </c>
      <c r="C123" s="58">
        <v>15.64684963</v>
      </c>
      <c r="D123" s="4">
        <v>0</v>
      </c>
      <c r="E123" s="12">
        <f t="shared" si="13"/>
        <v>0</v>
      </c>
      <c r="F123" s="12">
        <f t="shared" si="14"/>
        <v>0</v>
      </c>
      <c r="G123" s="16">
        <f t="shared" si="16"/>
        <v>0.92798097419894476</v>
      </c>
      <c r="H123" s="14">
        <f t="shared" si="17"/>
        <v>0</v>
      </c>
      <c r="I123" s="14">
        <f t="shared" si="18"/>
        <v>8.7617879089704349</v>
      </c>
      <c r="J123" s="14">
        <f t="shared" si="19"/>
        <v>0.13277298123669304</v>
      </c>
      <c r="K123" s="14">
        <f t="shared" si="20"/>
        <v>0.54322289216952635</v>
      </c>
      <c r="L123" s="14">
        <f t="shared" si="21"/>
        <v>642.4235297084125</v>
      </c>
      <c r="M123" s="14">
        <f t="shared" si="15"/>
        <v>0.13629551611071289</v>
      </c>
      <c r="N123" s="14">
        <f t="shared" si="22"/>
        <v>3.4878401171387292</v>
      </c>
      <c r="O123" s="4">
        <v>3.41</v>
      </c>
      <c r="P123" s="14">
        <f t="shared" si="25"/>
        <v>6.0590838361710628E-3</v>
      </c>
      <c r="Q123" s="14">
        <f t="shared" si="23"/>
        <v>9.7571830392969581</v>
      </c>
    </row>
    <row r="124" spans="1:17" x14ac:dyDescent="0.25">
      <c r="A124" s="5" t="s">
        <v>181</v>
      </c>
      <c r="B124" s="6">
        <f t="shared" si="24"/>
        <v>5</v>
      </c>
      <c r="C124" s="58">
        <v>15.05647469</v>
      </c>
      <c r="D124" s="4">
        <v>0</v>
      </c>
      <c r="E124" s="12">
        <f t="shared" si="13"/>
        <v>0</v>
      </c>
      <c r="F124" s="12">
        <f t="shared" si="14"/>
        <v>0</v>
      </c>
      <c r="G124" s="16">
        <f t="shared" si="16"/>
        <v>0.82673328228126963</v>
      </c>
      <c r="H124" s="14">
        <f t="shared" si="17"/>
        <v>0</v>
      </c>
      <c r="I124" s="14">
        <f t="shared" si="18"/>
        <v>7.6373685537986393</v>
      </c>
      <c r="J124" s="14">
        <f t="shared" si="19"/>
        <v>0.10124769191767516</v>
      </c>
      <c r="K124" s="14">
        <f t="shared" si="20"/>
        <v>0.51614323096089487</v>
      </c>
      <c r="L124" s="14">
        <f t="shared" si="21"/>
        <v>642.31431385351038</v>
      </c>
      <c r="M124" s="14">
        <f t="shared" si="15"/>
        <v>0.13626665127383938</v>
      </c>
      <c r="N124" s="14">
        <f t="shared" si="22"/>
        <v>3.4871014579451258</v>
      </c>
      <c r="O124" s="4">
        <v>3.31</v>
      </c>
      <c r="P124" s="14">
        <f t="shared" si="25"/>
        <v>3.1364926406289149E-2</v>
      </c>
      <c r="Q124" s="14">
        <f t="shared" si="23"/>
        <v>10.391912838147533</v>
      </c>
    </row>
    <row r="125" spans="1:17" x14ac:dyDescent="0.25">
      <c r="A125" s="5" t="s">
        <v>182</v>
      </c>
      <c r="B125" s="6">
        <f t="shared" si="24"/>
        <v>5</v>
      </c>
      <c r="C125" s="58">
        <v>15.32737446</v>
      </c>
      <c r="D125" s="4">
        <v>0</v>
      </c>
      <c r="E125" s="12">
        <f t="shared" si="13"/>
        <v>0</v>
      </c>
      <c r="F125" s="12">
        <f t="shared" si="14"/>
        <v>0</v>
      </c>
      <c r="G125" s="16">
        <f t="shared" si="16"/>
        <v>0.73043861591888004</v>
      </c>
      <c r="H125" s="14">
        <f t="shared" si="17"/>
        <v>0</v>
      </c>
      <c r="I125" s="14">
        <f t="shared" si="18"/>
        <v>8.1533202381631344</v>
      </c>
      <c r="J125" s="14">
        <f t="shared" si="19"/>
        <v>9.6294666362389605E-2</v>
      </c>
      <c r="K125" s="14">
        <f t="shared" si="20"/>
        <v>0.49041349086520758</v>
      </c>
      <c r="L125" s="14">
        <f t="shared" si="21"/>
        <v>642.2037769423323</v>
      </c>
      <c r="M125" s="14">
        <f t="shared" si="15"/>
        <v>0.13623779120581142</v>
      </c>
      <c r="N125" s="14">
        <f t="shared" si="22"/>
        <v>3.4863629207876055</v>
      </c>
      <c r="O125" s="4">
        <v>3.27</v>
      </c>
      <c r="P125" s="14">
        <f t="shared" si="25"/>
        <v>4.6812913491743623E-2</v>
      </c>
      <c r="Q125" s="14">
        <f t="shared" si="23"/>
        <v>10.651404757687763</v>
      </c>
    </row>
    <row r="126" spans="1:17" x14ac:dyDescent="0.25">
      <c r="A126" s="5" t="s">
        <v>183</v>
      </c>
      <c r="B126" s="6">
        <f t="shared" si="24"/>
        <v>5</v>
      </c>
      <c r="C126" s="58">
        <v>15.70037842</v>
      </c>
      <c r="D126" s="4">
        <v>0</v>
      </c>
      <c r="E126" s="12">
        <f t="shared" si="13"/>
        <v>0</v>
      </c>
      <c r="F126" s="12">
        <f t="shared" si="14"/>
        <v>0</v>
      </c>
      <c r="G126" s="16">
        <f t="shared" si="16"/>
        <v>0.6379468761981002</v>
      </c>
      <c r="H126" s="14">
        <f t="shared" si="17"/>
        <v>0</v>
      </c>
      <c r="I126" s="14">
        <f t="shared" si="18"/>
        <v>8.8637380485460184</v>
      </c>
      <c r="J126" s="14">
        <f t="shared" si="19"/>
        <v>9.2491739720779897E-2</v>
      </c>
      <c r="K126" s="14">
        <f t="shared" si="20"/>
        <v>0.46596637831489984</v>
      </c>
      <c r="L126" s="14">
        <f t="shared" si="21"/>
        <v>642.09198626367674</v>
      </c>
      <c r="M126" s="14">
        <f t="shared" si="15"/>
        <v>0.13620893597291164</v>
      </c>
      <c r="N126" s="14">
        <f t="shared" si="22"/>
        <v>3.4856245073623575</v>
      </c>
      <c r="O126" s="4">
        <v>3.28</v>
      </c>
      <c r="P126" s="14">
        <f t="shared" si="25"/>
        <v>4.2281438028012298E-2</v>
      </c>
      <c r="Q126" s="14">
        <f t="shared" si="23"/>
        <v>10.586231777802706</v>
      </c>
    </row>
    <row r="127" spans="1:17" x14ac:dyDescent="0.25">
      <c r="A127" s="5" t="s">
        <v>184</v>
      </c>
      <c r="B127" s="6">
        <f t="shared" si="24"/>
        <v>5</v>
      </c>
      <c r="C127" s="58">
        <v>13.391432760000001</v>
      </c>
      <c r="D127" s="4">
        <v>0</v>
      </c>
      <c r="E127" s="12">
        <f t="shared" si="13"/>
        <v>0</v>
      </c>
      <c r="F127" s="12">
        <f t="shared" si="14"/>
        <v>0</v>
      </c>
      <c r="G127" s="16">
        <f t="shared" si="16"/>
        <v>0.59724442561453572</v>
      </c>
      <c r="H127" s="14">
        <f t="shared" si="17"/>
        <v>0</v>
      </c>
      <c r="I127" s="14">
        <f t="shared" si="18"/>
        <v>4.4661543873155534</v>
      </c>
      <c r="J127" s="14">
        <f t="shared" si="19"/>
        <v>4.0702450583564476E-2</v>
      </c>
      <c r="K127" s="14">
        <f t="shared" si="20"/>
        <v>0.44273795432675422</v>
      </c>
      <c r="L127" s="14">
        <f t="shared" si="21"/>
        <v>641.97900575169194</v>
      </c>
      <c r="M127" s="14">
        <f t="shared" si="15"/>
        <v>0.13618008563805409</v>
      </c>
      <c r="N127" s="14">
        <f t="shared" si="22"/>
        <v>3.4848862192793706</v>
      </c>
      <c r="O127" s="4">
        <v>3.09</v>
      </c>
      <c r="P127" s="14">
        <f t="shared" si="25"/>
        <v>0.15593512617675526</v>
      </c>
      <c r="Q127" s="14">
        <f t="shared" si="23"/>
        <v>11.858718395618796</v>
      </c>
    </row>
    <row r="128" spans="1:17" x14ac:dyDescent="0.25">
      <c r="A128" s="5" t="s">
        <v>185</v>
      </c>
      <c r="B128" s="6">
        <f t="shared" si="24"/>
        <v>5</v>
      </c>
      <c r="C128" s="58">
        <v>14.11914539</v>
      </c>
      <c r="D128" s="4">
        <v>0</v>
      </c>
      <c r="E128" s="12">
        <f t="shared" si="13"/>
        <v>0</v>
      </c>
      <c r="F128" s="12">
        <f t="shared" si="14"/>
        <v>0</v>
      </c>
      <c r="G128" s="16">
        <f t="shared" si="16"/>
        <v>0.54731351356449043</v>
      </c>
      <c r="H128" s="14">
        <f t="shared" si="17"/>
        <v>0</v>
      </c>
      <c r="I128" s="14">
        <f t="shared" si="18"/>
        <v>5.8521450700755153</v>
      </c>
      <c r="J128" s="14">
        <f t="shared" si="19"/>
        <v>4.9930912050045316E-2</v>
      </c>
      <c r="K128" s="14">
        <f t="shared" si="20"/>
        <v>0.42066746727587068</v>
      </c>
      <c r="L128" s="14">
        <f t="shared" si="21"/>
        <v>641.86489615310484</v>
      </c>
      <c r="M128" s="14">
        <f t="shared" si="15"/>
        <v>0.13615124026095216</v>
      </c>
      <c r="N128" s="14">
        <f t="shared" si="22"/>
        <v>3.4841480580667268</v>
      </c>
      <c r="O128" s="4">
        <v>2.82</v>
      </c>
      <c r="P128" s="14">
        <f t="shared" si="25"/>
        <v>0.44109264303380452</v>
      </c>
      <c r="Q128" s="14">
        <f t="shared" si="23"/>
        <v>13.791188852515345</v>
      </c>
    </row>
    <row r="129" spans="1:17" x14ac:dyDescent="0.25">
      <c r="A129" s="5" t="s">
        <v>186</v>
      </c>
      <c r="B129" s="6">
        <f t="shared" si="24"/>
        <v>5</v>
      </c>
      <c r="C129" s="58">
        <v>13.18481064</v>
      </c>
      <c r="D129" s="4">
        <v>0</v>
      </c>
      <c r="E129" s="12">
        <f t="shared" si="13"/>
        <v>0</v>
      </c>
      <c r="F129" s="12">
        <f t="shared" si="14"/>
        <v>0</v>
      </c>
      <c r="G129" s="16">
        <f t="shared" si="16"/>
        <v>0.51547059245962135</v>
      </c>
      <c r="H129" s="14">
        <f t="shared" si="17"/>
        <v>0</v>
      </c>
      <c r="I129" s="14">
        <f t="shared" si="18"/>
        <v>4.0726249618717327</v>
      </c>
      <c r="J129" s="14">
        <f t="shared" si="19"/>
        <v>3.184292110486911E-2</v>
      </c>
      <c r="K129" s="14">
        <f t="shared" si="20"/>
        <v>0.39969719400585424</v>
      </c>
      <c r="L129" s="14">
        <f t="shared" si="21"/>
        <v>641.7497151861138</v>
      </c>
      <c r="M129" s="14">
        <f t="shared" si="15"/>
        <v>0.13612239989827793</v>
      </c>
      <c r="N129" s="14">
        <f t="shared" si="22"/>
        <v>3.483410025174682</v>
      </c>
      <c r="O129" s="4">
        <v>2.89</v>
      </c>
      <c r="P129" s="14">
        <f t="shared" si="25"/>
        <v>0.35213545797781659</v>
      </c>
      <c r="Q129" s="14">
        <f t="shared" si="23"/>
        <v>13.276177993319942</v>
      </c>
    </row>
    <row r="130" spans="1:17" x14ac:dyDescent="0.25">
      <c r="A130" s="5" t="s">
        <v>187</v>
      </c>
      <c r="B130" s="6">
        <f t="shared" si="24"/>
        <v>5</v>
      </c>
      <c r="C130" s="58">
        <v>14.9279089</v>
      </c>
      <c r="D130" s="4">
        <v>0</v>
      </c>
      <c r="E130" s="12">
        <f t="shared" si="13"/>
        <v>0</v>
      </c>
      <c r="F130" s="12">
        <f t="shared" si="14"/>
        <v>0</v>
      </c>
      <c r="G130" s="16">
        <f t="shared" si="16"/>
        <v>0.46103314212805802</v>
      </c>
      <c r="H130" s="14">
        <f t="shared" si="17"/>
        <v>0</v>
      </c>
      <c r="I130" s="14">
        <f t="shared" si="18"/>
        <v>7.3925040568588614</v>
      </c>
      <c r="J130" s="14">
        <f t="shared" si="19"/>
        <v>5.4437450331563303E-2</v>
      </c>
      <c r="K130" s="14">
        <f t="shared" si="20"/>
        <v>0.37977228885965986</v>
      </c>
      <c r="L130" s="14">
        <f t="shared" si="21"/>
        <v>641.6335176913617</v>
      </c>
      <c r="M130" s="14">
        <f t="shared" si="15"/>
        <v>0.13609356460381422</v>
      </c>
      <c r="N130" s="14">
        <f t="shared" si="22"/>
        <v>3.4826721219795513</v>
      </c>
      <c r="O130" s="4">
        <v>2.78</v>
      </c>
      <c r="P130" s="14">
        <f t="shared" si="25"/>
        <v>0.49374811100724575</v>
      </c>
      <c r="Q130" s="14">
        <f t="shared" si="23"/>
        <v>14.089880772055576</v>
      </c>
    </row>
    <row r="131" spans="1:17" x14ac:dyDescent="0.25">
      <c r="A131" s="5" t="s">
        <v>188</v>
      </c>
      <c r="B131" s="6">
        <f t="shared" si="24"/>
        <v>5</v>
      </c>
      <c r="C131" s="58">
        <v>13.14687157</v>
      </c>
      <c r="D131" s="4">
        <v>0</v>
      </c>
      <c r="E131" s="12">
        <f t="shared" si="13"/>
        <v>0</v>
      </c>
      <c r="F131" s="12">
        <f t="shared" si="14"/>
        <v>0</v>
      </c>
      <c r="G131" s="16">
        <f t="shared" si="16"/>
        <v>0.43468595424472334</v>
      </c>
      <c r="H131" s="14">
        <f t="shared" si="17"/>
        <v>0</v>
      </c>
      <c r="I131" s="14">
        <f t="shared" si="18"/>
        <v>4.0003667718048961</v>
      </c>
      <c r="J131" s="14">
        <f t="shared" si="19"/>
        <v>2.6347187883334667E-2</v>
      </c>
      <c r="K131" s="14">
        <f t="shared" si="20"/>
        <v>0.36084064023624968</v>
      </c>
      <c r="L131" s="14">
        <f t="shared" si="21"/>
        <v>641.51635577538127</v>
      </c>
      <c r="M131" s="14">
        <f t="shared" si="15"/>
        <v>0.13606473442859823</v>
      </c>
      <c r="N131" s="14">
        <f t="shared" si="22"/>
        <v>3.4819343497873927</v>
      </c>
      <c r="O131" s="4">
        <v>2.72</v>
      </c>
      <c r="P131" s="14">
        <f t="shared" si="25"/>
        <v>0.58054395338593656</v>
      </c>
      <c r="Q131" s="14">
        <f t="shared" si="23"/>
        <v>14.543918651365916</v>
      </c>
    </row>
    <row r="132" spans="1:17" x14ac:dyDescent="0.25">
      <c r="A132" s="5" t="s">
        <v>189</v>
      </c>
      <c r="B132" s="6">
        <f t="shared" si="24"/>
        <v>5</v>
      </c>
      <c r="C132" s="58">
        <v>15.93209362</v>
      </c>
      <c r="D132" s="4">
        <v>0</v>
      </c>
      <c r="E132" s="12">
        <f t="shared" si="13"/>
        <v>0</v>
      </c>
      <c r="F132" s="12">
        <f t="shared" si="14"/>
        <v>0</v>
      </c>
      <c r="G132" s="16">
        <f t="shared" si="16"/>
        <v>0.37690335591428009</v>
      </c>
      <c r="H132" s="14">
        <f t="shared" si="17"/>
        <v>0</v>
      </c>
      <c r="I132" s="14">
        <f t="shared" si="18"/>
        <v>9.3050593820150578</v>
      </c>
      <c r="J132" s="14">
        <f t="shared" si="19"/>
        <v>5.7782598330443267E-2</v>
      </c>
      <c r="K132" s="14">
        <f t="shared" si="20"/>
        <v>0.34285273429790075</v>
      </c>
      <c r="L132" s="14">
        <f t="shared" si="21"/>
        <v>641.39827894689108</v>
      </c>
      <c r="M132" s="14">
        <f t="shared" si="15"/>
        <v>0.13603590942105864</v>
      </c>
      <c r="N132" s="14">
        <f t="shared" si="22"/>
        <v>3.4811967098375081</v>
      </c>
      <c r="O132" s="4">
        <v>2.72</v>
      </c>
      <c r="P132" s="14">
        <f t="shared" si="25"/>
        <v>0.57942043106744712</v>
      </c>
      <c r="Q132" s="14">
        <f t="shared" si="23"/>
        <v>14.543918651365916</v>
      </c>
    </row>
    <row r="133" spans="1:17" x14ac:dyDescent="0.25">
      <c r="A133" s="5" t="s">
        <v>190</v>
      </c>
      <c r="B133" s="6">
        <f t="shared" si="24"/>
        <v>8</v>
      </c>
      <c r="C133" s="58">
        <v>14.677695269999999</v>
      </c>
      <c r="D133" s="4">
        <v>0</v>
      </c>
      <c r="E133" s="12">
        <f t="shared" si="13"/>
        <v>0</v>
      </c>
      <c r="F133" s="12">
        <f t="shared" si="14"/>
        <v>0</v>
      </c>
      <c r="G133" s="16">
        <f t="shared" si="16"/>
        <v>0.35365694988046648</v>
      </c>
      <c r="H133" s="14">
        <f t="shared" si="17"/>
        <v>0</v>
      </c>
      <c r="I133" s="14">
        <f t="shared" si="18"/>
        <v>4.3174120971627534</v>
      </c>
      <c r="J133" s="14">
        <f t="shared" si="19"/>
        <v>2.3246406033813609E-2</v>
      </c>
      <c r="K133" s="14">
        <f t="shared" si="20"/>
        <v>0.32576152547170373</v>
      </c>
      <c r="L133" s="14">
        <f t="shared" si="21"/>
        <v>641.27933424629623</v>
      </c>
      <c r="M133" s="14">
        <f t="shared" si="15"/>
        <v>0.13600708962714556</v>
      </c>
      <c r="N133" s="14">
        <f t="shared" si="22"/>
        <v>3.4804592033057733</v>
      </c>
      <c r="O133" s="4">
        <v>1.58</v>
      </c>
      <c r="P133" s="14">
        <f t="shared" si="25"/>
        <v>3.6117451834296141</v>
      </c>
      <c r="Q133" s="14">
        <f t="shared" si="23"/>
        <v>24.538638358262457</v>
      </c>
    </row>
    <row r="134" spans="1:17" x14ac:dyDescent="0.25">
      <c r="A134" s="5" t="s">
        <v>191</v>
      </c>
      <c r="B134" s="6">
        <f t="shared" si="24"/>
        <v>8</v>
      </c>
      <c r="C134" s="58">
        <v>15.154330249999999</v>
      </c>
      <c r="D134" s="4">
        <v>0</v>
      </c>
      <c r="E134" s="12">
        <f t="shared" si="13"/>
        <v>0</v>
      </c>
      <c r="F134" s="12">
        <f t="shared" si="14"/>
        <v>0</v>
      </c>
      <c r="G134" s="16">
        <f t="shared" si="16"/>
        <v>0.32810326870672879</v>
      </c>
      <c r="H134" s="14">
        <f t="shared" si="17"/>
        <v>0</v>
      </c>
      <c r="I134" s="14">
        <f t="shared" si="18"/>
        <v>5.0578851575186805</v>
      </c>
      <c r="J134" s="14">
        <f t="shared" si="19"/>
        <v>2.5553681173737703E-2</v>
      </c>
      <c r="K134" s="14">
        <f t="shared" si="20"/>
        <v>0.30952231340656172</v>
      </c>
      <c r="L134" s="14">
        <f t="shared" si="21"/>
        <v>641.1595663687342</v>
      </c>
      <c r="M134" s="14">
        <f t="shared" si="15"/>
        <v>0.13597827509045413</v>
      </c>
      <c r="N134" s="14">
        <f t="shared" si="22"/>
        <v>3.4797218313078022</v>
      </c>
      <c r="O134" s="4">
        <v>1.57</v>
      </c>
      <c r="P134" s="14">
        <f t="shared" si="25"/>
        <v>3.6470374729736257</v>
      </c>
      <c r="Q134" s="14">
        <f t="shared" si="23"/>
        <v>24.637811338147515</v>
      </c>
    </row>
    <row r="135" spans="1:17" x14ac:dyDescent="0.25">
      <c r="A135" s="5" t="s">
        <v>192</v>
      </c>
      <c r="B135" s="6">
        <f t="shared" si="24"/>
        <v>8</v>
      </c>
      <c r="C135" s="58">
        <v>15.99878979</v>
      </c>
      <c r="D135" s="4">
        <v>0</v>
      </c>
      <c r="E135" s="12">
        <f t="shared" si="13"/>
        <v>0</v>
      </c>
      <c r="F135" s="12">
        <f t="shared" si="14"/>
        <v>0</v>
      </c>
      <c r="G135" s="16">
        <f t="shared" si="16"/>
        <v>0.29824683340503361</v>
      </c>
      <c r="H135" s="14">
        <f t="shared" si="17"/>
        <v>0</v>
      </c>
      <c r="I135" s="14">
        <f t="shared" si="18"/>
        <v>6.3697895836910066</v>
      </c>
      <c r="J135" s="14">
        <f t="shared" si="19"/>
        <v>2.9856435301695173E-2</v>
      </c>
      <c r="K135" s="14">
        <f t="shared" si="20"/>
        <v>0.29409262606388287</v>
      </c>
      <c r="L135" s="14">
        <f t="shared" si="21"/>
        <v>641.03901778098646</v>
      </c>
      <c r="M135" s="14">
        <f t="shared" si="15"/>
        <v>0.13594946585234202</v>
      </c>
      <c r="N135" s="14">
        <f t="shared" si="22"/>
        <v>3.4789845949019469</v>
      </c>
      <c r="O135" s="4">
        <v>1.59</v>
      </c>
      <c r="P135" s="14">
        <f t="shared" si="25"/>
        <v>3.5682627997768721</v>
      </c>
      <c r="Q135" s="14">
        <f t="shared" si="23"/>
        <v>24.439665378377402</v>
      </c>
    </row>
    <row r="136" spans="1:17" x14ac:dyDescent="0.25">
      <c r="A136" s="5" t="s">
        <v>193</v>
      </c>
      <c r="B136" s="6">
        <f t="shared" si="24"/>
        <v>8</v>
      </c>
      <c r="C136" s="58">
        <v>15.45656586</v>
      </c>
      <c r="D136" s="4">
        <v>0</v>
      </c>
      <c r="E136" s="12">
        <f t="shared" si="13"/>
        <v>0</v>
      </c>
      <c r="F136" s="12">
        <f t="shared" si="14"/>
        <v>0</v>
      </c>
      <c r="G136" s="16">
        <f t="shared" si="16"/>
        <v>0.27469630173889559</v>
      </c>
      <c r="H136" s="14">
        <f t="shared" si="17"/>
        <v>0</v>
      </c>
      <c r="I136" s="14">
        <f t="shared" si="18"/>
        <v>5.5274212521738404</v>
      </c>
      <c r="J136" s="14">
        <f t="shared" si="19"/>
        <v>2.3550531666138009E-2</v>
      </c>
      <c r="K136" s="14">
        <f t="shared" si="20"/>
        <v>0.27943210863620171</v>
      </c>
      <c r="L136" s="14">
        <f t="shared" si="21"/>
        <v>640.91772883256181</v>
      </c>
      <c r="M136" s="14">
        <f t="shared" si="15"/>
        <v>0.13592066195204081</v>
      </c>
      <c r="N136" s="14">
        <f t="shared" si="22"/>
        <v>3.4782474950921554</v>
      </c>
      <c r="O136" s="4">
        <v>1.59</v>
      </c>
      <c r="P136" s="14">
        <f t="shared" si="25"/>
        <v>3.5654786027217988</v>
      </c>
      <c r="Q136" s="14">
        <f t="shared" si="23"/>
        <v>24.439665378377402</v>
      </c>
    </row>
    <row r="137" spans="1:17" x14ac:dyDescent="0.25">
      <c r="A137" s="5" t="s">
        <v>194</v>
      </c>
      <c r="B137" s="6">
        <f t="shared" si="24"/>
        <v>8</v>
      </c>
      <c r="C137" s="58">
        <v>13.574708940000001</v>
      </c>
      <c r="D137" s="4">
        <v>0</v>
      </c>
      <c r="E137" s="12">
        <f t="shared" si="13"/>
        <v>0</v>
      </c>
      <c r="F137" s="12">
        <f t="shared" si="14"/>
        <v>0</v>
      </c>
      <c r="G137" s="16">
        <f t="shared" si="16"/>
        <v>0.2644780811245479</v>
      </c>
      <c r="H137" s="14">
        <f t="shared" si="17"/>
        <v>0</v>
      </c>
      <c r="I137" s="14">
        <f t="shared" si="18"/>
        <v>2.6038751190210121</v>
      </c>
      <c r="J137" s="14">
        <f t="shared" si="19"/>
        <v>1.0218220614347663E-2</v>
      </c>
      <c r="K137" s="14">
        <f t="shared" si="20"/>
        <v>0.26550241800320756</v>
      </c>
      <c r="L137" s="14">
        <f t="shared" si="21"/>
        <v>640.79573786124274</v>
      </c>
      <c r="M137" s="14">
        <f t="shared" si="15"/>
        <v>0.13589186342676213</v>
      </c>
      <c r="N137" s="14">
        <f t="shared" si="22"/>
        <v>3.4775105328306832</v>
      </c>
      <c r="O137" s="4">
        <v>1.58</v>
      </c>
      <c r="P137" s="14">
        <f t="shared" si="25"/>
        <v>3.6005462222033833</v>
      </c>
      <c r="Q137" s="14">
        <f t="shared" si="23"/>
        <v>24.538638358262457</v>
      </c>
    </row>
    <row r="138" spans="1:17" x14ac:dyDescent="0.25">
      <c r="A138" s="5" t="s">
        <v>195</v>
      </c>
      <c r="B138" s="6">
        <f t="shared" si="24"/>
        <v>8</v>
      </c>
      <c r="C138" s="58">
        <v>16.1754055</v>
      </c>
      <c r="D138" s="4">
        <v>0</v>
      </c>
      <c r="E138" s="12">
        <f t="shared" si="13"/>
        <v>0</v>
      </c>
      <c r="F138" s="12">
        <f t="shared" si="14"/>
        <v>0</v>
      </c>
      <c r="G138" s="16">
        <f t="shared" si="16"/>
        <v>0.23937467141357688</v>
      </c>
      <c r="H138" s="14">
        <f t="shared" si="17"/>
        <v>0</v>
      </c>
      <c r="I138" s="14">
        <f t="shared" si="18"/>
        <v>6.6441697294592306</v>
      </c>
      <c r="J138" s="14">
        <f t="shared" si="19"/>
        <v>2.5103409710971039E-2</v>
      </c>
      <c r="K138" s="14">
        <f t="shared" si="20"/>
        <v>0.25226712244913951</v>
      </c>
      <c r="L138" s="14">
        <f t="shared" si="21"/>
        <v>640.67308129337005</v>
      </c>
      <c r="M138" s="14">
        <f t="shared" si="15"/>
        <v>0.13586307031179826</v>
      </c>
      <c r="N138" s="14">
        <f t="shared" si="22"/>
        <v>3.4767737090206712</v>
      </c>
      <c r="O138" s="4">
        <v>1.56</v>
      </c>
      <c r="P138" s="14">
        <f t="shared" si="25"/>
        <v>3.6740214515928602</v>
      </c>
      <c r="Q138" s="14">
        <f t="shared" si="23"/>
        <v>24.737184318032579</v>
      </c>
    </row>
    <row r="139" spans="1:17" x14ac:dyDescent="0.25">
      <c r="A139" s="5" t="s">
        <v>196</v>
      </c>
      <c r="B139" s="6">
        <f t="shared" si="24"/>
        <v>8</v>
      </c>
      <c r="C139" s="58">
        <v>14.78514957</v>
      </c>
      <c r="D139" s="4">
        <v>0</v>
      </c>
      <c r="E139" s="12">
        <f t="shared" si="13"/>
        <v>0</v>
      </c>
      <c r="F139" s="12">
        <f t="shared" si="14"/>
        <v>0</v>
      </c>
      <c r="G139" s="16">
        <f t="shared" si="16"/>
        <v>0.22403981489026739</v>
      </c>
      <c r="H139" s="14">
        <f t="shared" si="17"/>
        <v>0</v>
      </c>
      <c r="I139" s="14">
        <f t="shared" si="18"/>
        <v>4.4843470006173947</v>
      </c>
      <c r="J139" s="14">
        <f t="shared" si="19"/>
        <v>1.5334856523309494E-2</v>
      </c>
      <c r="K139" s="14">
        <f t="shared" si="20"/>
        <v>0.2396916063792697</v>
      </c>
      <c r="L139" s="14">
        <f t="shared" si="21"/>
        <v>640.54979373912818</v>
      </c>
      <c r="M139" s="14">
        <f t="shared" si="15"/>
        <v>0.13583428264061798</v>
      </c>
      <c r="N139" s="14">
        <f t="shared" si="22"/>
        <v>3.4760370245185919</v>
      </c>
      <c r="O139" s="4">
        <v>1.56</v>
      </c>
      <c r="P139" s="14">
        <f t="shared" si="25"/>
        <v>3.6711978793260589</v>
      </c>
      <c r="Q139" s="14">
        <f t="shared" si="23"/>
        <v>24.737184318032579</v>
      </c>
    </row>
    <row r="140" spans="1:17" x14ac:dyDescent="0.25">
      <c r="A140" s="5" t="s">
        <v>197</v>
      </c>
      <c r="B140" s="6">
        <f t="shared" si="24"/>
        <v>8</v>
      </c>
      <c r="C140" s="58">
        <v>15.04221821</v>
      </c>
      <c r="D140" s="4">
        <v>0</v>
      </c>
      <c r="E140" s="12">
        <f t="shared" si="13"/>
        <v>0</v>
      </c>
      <c r="F140" s="12">
        <f t="shared" si="14"/>
        <v>0</v>
      </c>
      <c r="G140" s="16">
        <f t="shared" si="16"/>
        <v>0.20840913887735396</v>
      </c>
      <c r="H140" s="14">
        <f t="shared" si="17"/>
        <v>0</v>
      </c>
      <c r="I140" s="14">
        <f t="shared" si="18"/>
        <v>4.8837142534831735</v>
      </c>
      <c r="J140" s="14">
        <f t="shared" si="19"/>
        <v>1.5630676012913434E-2</v>
      </c>
      <c r="K140" s="14">
        <f t="shared" si="20"/>
        <v>0.22774297978626953</v>
      </c>
      <c r="L140" s="14">
        <f t="shared" si="21"/>
        <v>640.42590808308057</v>
      </c>
      <c r="M140" s="14">
        <f t="shared" si="15"/>
        <v>0.13580550044495726</v>
      </c>
      <c r="N140" s="14">
        <f t="shared" si="22"/>
        <v>3.4753004801365797</v>
      </c>
      <c r="O140" s="4">
        <v>1.56</v>
      </c>
      <c r="P140" s="14">
        <f t="shared" si="25"/>
        <v>3.6683759292114124</v>
      </c>
      <c r="Q140" s="14">
        <f t="shared" si="23"/>
        <v>24.737184318032579</v>
      </c>
    </row>
    <row r="141" spans="1:17" x14ac:dyDescent="0.25">
      <c r="A141" s="5" t="s">
        <v>198</v>
      </c>
      <c r="B141" s="6">
        <f t="shared" si="24"/>
        <v>8</v>
      </c>
      <c r="C141" s="58">
        <v>15.85122013</v>
      </c>
      <c r="D141" s="4">
        <v>0</v>
      </c>
      <c r="E141" s="12">
        <f t="shared" si="13"/>
        <v>0</v>
      </c>
      <c r="F141" s="12">
        <f t="shared" si="14"/>
        <v>0</v>
      </c>
      <c r="G141" s="16">
        <f t="shared" si="16"/>
        <v>0.19012707629135023</v>
      </c>
      <c r="H141" s="14">
        <f t="shared" si="17"/>
        <v>0</v>
      </c>
      <c r="I141" s="14">
        <f t="shared" si="18"/>
        <v>6.1405337331114209</v>
      </c>
      <c r="J141" s="14">
        <f t="shared" si="19"/>
        <v>1.8282062586003733E-2</v>
      </c>
      <c r="K141" s="14">
        <f t="shared" si="20"/>
        <v>0.21638999222967784</v>
      </c>
      <c r="L141" s="14">
        <f t="shared" si="21"/>
        <v>640.30145557019216</v>
      </c>
      <c r="M141" s="14">
        <f t="shared" si="15"/>
        <v>0.13577672375490588</v>
      </c>
      <c r="N141" s="14">
        <f t="shared" si="22"/>
        <v>3.4745640766446404</v>
      </c>
      <c r="O141" s="4">
        <v>1.57</v>
      </c>
      <c r="P141" s="14">
        <f t="shared" si="25"/>
        <v>3.6273643220452514</v>
      </c>
      <c r="Q141" s="14">
        <f t="shared" si="23"/>
        <v>24.637811338147515</v>
      </c>
    </row>
    <row r="142" spans="1:17" x14ac:dyDescent="0.25">
      <c r="A142" s="5" t="s">
        <v>199</v>
      </c>
      <c r="B142" s="6">
        <f t="shared" si="24"/>
        <v>8</v>
      </c>
      <c r="C142" s="58">
        <v>15.74283028</v>
      </c>
      <c r="D142" s="4">
        <v>0</v>
      </c>
      <c r="E142" s="12">
        <f t="shared" si="13"/>
        <v>0</v>
      </c>
      <c r="F142" s="12">
        <f t="shared" si="14"/>
        <v>0</v>
      </c>
      <c r="G142" s="16">
        <f t="shared" si="16"/>
        <v>0.17390611252900023</v>
      </c>
      <c r="H142" s="14">
        <f t="shared" si="17"/>
        <v>0</v>
      </c>
      <c r="I142" s="14">
        <f t="shared" si="18"/>
        <v>5.9721454122604847</v>
      </c>
      <c r="J142" s="14">
        <f t="shared" si="19"/>
        <v>1.6220963762349994E-2</v>
      </c>
      <c r="K142" s="14">
        <f t="shared" si="20"/>
        <v>0.20560295110349242</v>
      </c>
      <c r="L142" s="14">
        <f t="shared" si="21"/>
        <v>640.1764658875635</v>
      </c>
      <c r="M142" s="14">
        <f t="shared" si="15"/>
        <v>0.13574795259898934</v>
      </c>
      <c r="N142" s="14">
        <f t="shared" si="22"/>
        <v>3.4738278147727484</v>
      </c>
      <c r="O142" s="4">
        <v>1.57</v>
      </c>
      <c r="P142" s="14">
        <f t="shared" si="25"/>
        <v>3.6245603483023783</v>
      </c>
      <c r="Q142" s="14">
        <f t="shared" si="23"/>
        <v>24.637811338147515</v>
      </c>
    </row>
    <row r="143" spans="1:17" x14ac:dyDescent="0.25">
      <c r="A143" s="5" t="s">
        <v>200</v>
      </c>
      <c r="B143" s="6">
        <f t="shared" si="24"/>
        <v>8</v>
      </c>
      <c r="C143" s="58">
        <v>15.51464176</v>
      </c>
      <c r="D143" s="4">
        <v>0</v>
      </c>
      <c r="E143" s="12">
        <f t="shared" si="13"/>
        <v>0</v>
      </c>
      <c r="F143" s="12">
        <f t="shared" si="14"/>
        <v>0</v>
      </c>
      <c r="G143" s="16">
        <f t="shared" si="16"/>
        <v>0.15994977630109247</v>
      </c>
      <c r="H143" s="14">
        <f t="shared" si="17"/>
        <v>0</v>
      </c>
      <c r="I143" s="14">
        <f t="shared" si="18"/>
        <v>5.6176446751503182</v>
      </c>
      <c r="J143" s="14">
        <f t="shared" si="19"/>
        <v>1.3956336227907772E-2</v>
      </c>
      <c r="K143" s="14">
        <f t="shared" si="20"/>
        <v>0.1953536439781221</v>
      </c>
      <c r="L143" s="14">
        <f t="shared" si="21"/>
        <v>640.05096724208988</v>
      </c>
      <c r="M143" s="14">
        <f t="shared" si="15"/>
        <v>0.13571918700424696</v>
      </c>
      <c r="N143" s="14">
        <f t="shared" si="22"/>
        <v>3.4730916952128474</v>
      </c>
      <c r="O143" s="4">
        <v>1.57</v>
      </c>
      <c r="P143" s="14">
        <f t="shared" si="25"/>
        <v>3.6217580003881094</v>
      </c>
      <c r="Q143" s="14">
        <f t="shared" si="23"/>
        <v>24.637811338147515</v>
      </c>
    </row>
    <row r="144" spans="1:17" x14ac:dyDescent="0.25">
      <c r="A144" s="5" t="s">
        <v>201</v>
      </c>
      <c r="B144" s="6">
        <f t="shared" si="24"/>
        <v>8</v>
      </c>
      <c r="C144" s="58">
        <v>15.615292549999999</v>
      </c>
      <c r="D144" s="4">
        <v>0</v>
      </c>
      <c r="E144" s="12">
        <f t="shared" si="13"/>
        <v>0</v>
      </c>
      <c r="F144" s="12">
        <f t="shared" si="14"/>
        <v>0</v>
      </c>
      <c r="G144" s="16">
        <f t="shared" si="16"/>
        <v>0.14675617117663006</v>
      </c>
      <c r="H144" s="14">
        <f t="shared" si="17"/>
        <v>0</v>
      </c>
      <c r="I144" s="14">
        <f t="shared" si="18"/>
        <v>5.7740100315044431</v>
      </c>
      <c r="J144" s="14">
        <f t="shared" si="19"/>
        <v>1.3193605124462411E-2</v>
      </c>
      <c r="K144" s="14">
        <f t="shared" si="20"/>
        <v>0.18561526481359264</v>
      </c>
      <c r="L144" s="14">
        <f t="shared" si="21"/>
        <v>639.92498643425017</v>
      </c>
      <c r="M144" s="14">
        <f t="shared" si="15"/>
        <v>0.13569042699630593</v>
      </c>
      <c r="N144" s="14">
        <f t="shared" si="22"/>
        <v>3.4723557186207459</v>
      </c>
      <c r="O144" s="4">
        <v>1.56</v>
      </c>
      <c r="P144" s="14">
        <f t="shared" si="25"/>
        <v>3.6571043945414692</v>
      </c>
      <c r="Q144" s="14">
        <f t="shared" si="23"/>
        <v>24.737184318032579</v>
      </c>
    </row>
    <row r="145" spans="1:17" x14ac:dyDescent="0.25">
      <c r="A145" s="5" t="s">
        <v>202</v>
      </c>
      <c r="B145" s="6">
        <f t="shared" si="24"/>
        <v>8</v>
      </c>
      <c r="C145" s="58">
        <v>16.151554109999999</v>
      </c>
      <c r="D145" s="4">
        <v>0</v>
      </c>
      <c r="E145" s="12">
        <f t="shared" si="13"/>
        <v>0</v>
      </c>
      <c r="F145" s="12">
        <f t="shared" si="14"/>
        <v>0</v>
      </c>
      <c r="G145" s="16">
        <f t="shared" si="16"/>
        <v>0.13290423166779125</v>
      </c>
      <c r="H145" s="14">
        <f t="shared" si="17"/>
        <v>0</v>
      </c>
      <c r="I145" s="14">
        <f t="shared" si="18"/>
        <v>6.6071155632982768</v>
      </c>
      <c r="J145" s="14">
        <f t="shared" si="19"/>
        <v>1.3851939508838802E-2</v>
      </c>
      <c r="K145" s="14">
        <f t="shared" si="20"/>
        <v>0.17636234385102414</v>
      </c>
      <c r="L145" s="14">
        <f t="shared" si="21"/>
        <v>639.79854892821652</v>
      </c>
      <c r="M145" s="14">
        <f t="shared" si="15"/>
        <v>0.13566167259945175</v>
      </c>
      <c r="N145" s="14">
        <f t="shared" si="22"/>
        <v>3.471619885617915</v>
      </c>
      <c r="O145" s="4">
        <v>1.56</v>
      </c>
      <c r="P145" s="14">
        <f t="shared" si="25"/>
        <v>3.6542905870898501</v>
      </c>
      <c r="Q145" s="14">
        <f t="shared" si="23"/>
        <v>24.737184318032579</v>
      </c>
    </row>
    <row r="146" spans="1:17" x14ac:dyDescent="0.25">
      <c r="A146" s="5" t="s">
        <v>203</v>
      </c>
      <c r="B146" s="6">
        <f t="shared" si="24"/>
        <v>8</v>
      </c>
      <c r="C146" s="58">
        <v>16.11795425</v>
      </c>
      <c r="D146" s="4">
        <v>0</v>
      </c>
      <c r="E146" s="12">
        <f t="shared" si="13"/>
        <v>0</v>
      </c>
      <c r="F146" s="12">
        <f t="shared" si="14"/>
        <v>0</v>
      </c>
      <c r="G146" s="16">
        <f t="shared" si="16"/>
        <v>0.12045884774203826</v>
      </c>
      <c r="H146" s="14">
        <f t="shared" si="17"/>
        <v>0</v>
      </c>
      <c r="I146" s="14">
        <f t="shared" si="18"/>
        <v>6.554916727279716</v>
      </c>
      <c r="J146" s="14">
        <f t="shared" si="19"/>
        <v>1.2445383925752987E-2</v>
      </c>
      <c r="K146" s="14">
        <f t="shared" si="20"/>
        <v>0.16757068099901848</v>
      </c>
      <c r="L146" s="14">
        <f t="shared" si="21"/>
        <v>639.67167891846907</v>
      </c>
      <c r="M146" s="14">
        <f t="shared" si="15"/>
        <v>0.13563292383669498</v>
      </c>
      <c r="N146" s="14">
        <f t="shared" si="22"/>
        <v>3.4708841967932016</v>
      </c>
      <c r="O146" s="4">
        <v>1.57</v>
      </c>
      <c r="P146" s="14">
        <f t="shared" si="25"/>
        <v>3.6133607296181349</v>
      </c>
      <c r="Q146" s="14">
        <f t="shared" si="23"/>
        <v>24.637811338147515</v>
      </c>
    </row>
    <row r="147" spans="1:17" x14ac:dyDescent="0.25">
      <c r="A147" s="5" t="s">
        <v>204</v>
      </c>
      <c r="B147" s="6">
        <f t="shared" si="24"/>
        <v>8</v>
      </c>
      <c r="C147" s="58">
        <v>14.273320200000001</v>
      </c>
      <c r="D147" s="4">
        <v>0</v>
      </c>
      <c r="E147" s="12">
        <f t="shared" si="13"/>
        <v>0</v>
      </c>
      <c r="F147" s="12">
        <f t="shared" si="14"/>
        <v>0</v>
      </c>
      <c r="G147" s="16">
        <f t="shared" si="16"/>
        <v>0.11411032072828872</v>
      </c>
      <c r="H147" s="14">
        <f t="shared" si="17"/>
        <v>0</v>
      </c>
      <c r="I147" s="14">
        <f t="shared" si="18"/>
        <v>3.6891979329095541</v>
      </c>
      <c r="J147" s="14">
        <f t="shared" si="19"/>
        <v>6.3485270137495315E-3</v>
      </c>
      <c r="K147" s="14">
        <f t="shared" si="20"/>
        <v>0.15921728254073525</v>
      </c>
      <c r="L147" s="14">
        <f t="shared" si="21"/>
        <v>639.54439939309066</v>
      </c>
      <c r="M147" s="14">
        <f t="shared" si="15"/>
        <v>0.1356041807298351</v>
      </c>
      <c r="N147" s="14">
        <f t="shared" si="22"/>
        <v>3.4701486527044607</v>
      </c>
      <c r="O147" s="4">
        <v>1.55</v>
      </c>
      <c r="P147" s="14">
        <f t="shared" si="25"/>
        <v>3.6869708484827557</v>
      </c>
      <c r="Q147" s="14">
        <f t="shared" si="23"/>
        <v>24.836757297917632</v>
      </c>
    </row>
    <row r="148" spans="1:17" x14ac:dyDescent="0.25">
      <c r="A148" s="5" t="s">
        <v>205</v>
      </c>
      <c r="B148" s="6">
        <f t="shared" si="24"/>
        <v>8</v>
      </c>
      <c r="C148" s="58">
        <v>15.79549694</v>
      </c>
      <c r="D148" s="4">
        <v>0</v>
      </c>
      <c r="E148" s="12">
        <f t="shared" si="13"/>
        <v>0</v>
      </c>
      <c r="F148" s="12">
        <f t="shared" si="14"/>
        <v>0</v>
      </c>
      <c r="G148" s="16">
        <f t="shared" si="16"/>
        <v>0.10424145665281574</v>
      </c>
      <c r="H148" s="14">
        <f t="shared" si="17"/>
        <v>0</v>
      </c>
      <c r="I148" s="14">
        <f t="shared" si="18"/>
        <v>6.053965346896681</v>
      </c>
      <c r="J148" s="14">
        <f t="shared" si="19"/>
        <v>9.8688640754729818E-3</v>
      </c>
      <c r="K148" s="14">
        <f t="shared" si="20"/>
        <v>0.15128030099611997</v>
      </c>
      <c r="L148" s="14">
        <f t="shared" si="21"/>
        <v>639.41673219390555</v>
      </c>
      <c r="M148" s="14">
        <f t="shared" si="15"/>
        <v>0.13557544329952062</v>
      </c>
      <c r="N148" s="14">
        <f t="shared" si="22"/>
        <v>3.4694132538800937</v>
      </c>
      <c r="O148" s="4">
        <v>1.54</v>
      </c>
      <c r="P148" s="14">
        <f t="shared" si="25"/>
        <v>3.7226355042481707</v>
      </c>
      <c r="Q148" s="14">
        <f t="shared" si="23"/>
        <v>24.936530277802689</v>
      </c>
    </row>
    <row r="149" spans="1:17" x14ac:dyDescent="0.25">
      <c r="A149" s="5" t="s">
        <v>206</v>
      </c>
      <c r="B149" s="6">
        <f t="shared" si="24"/>
        <v>8</v>
      </c>
      <c r="C149" s="58">
        <v>16.603763579999999</v>
      </c>
      <c r="D149" s="4">
        <v>0</v>
      </c>
      <c r="E149" s="12">
        <f t="shared" si="13"/>
        <v>0</v>
      </c>
      <c r="F149" s="12">
        <f t="shared" si="14"/>
        <v>0</v>
      </c>
      <c r="G149" s="16">
        <f t="shared" si="16"/>
        <v>9.3356193781113803E-2</v>
      </c>
      <c r="H149" s="14">
        <f t="shared" si="17"/>
        <v>0</v>
      </c>
      <c r="I149" s="14">
        <f t="shared" si="18"/>
        <v>7.309642537237182</v>
      </c>
      <c r="J149" s="14">
        <f t="shared" si="19"/>
        <v>1.0885262871701943E-2</v>
      </c>
      <c r="K149" s="14">
        <f t="shared" si="20"/>
        <v>0.14373897798200025</v>
      </c>
      <c r="L149" s="14">
        <f t="shared" si="21"/>
        <v>639.28869807362014</v>
      </c>
      <c r="M149" s="14">
        <f t="shared" si="15"/>
        <v>0.13554671156530662</v>
      </c>
      <c r="N149" s="14">
        <f t="shared" si="22"/>
        <v>3.4686780008205202</v>
      </c>
      <c r="O149" s="4">
        <v>1.55</v>
      </c>
      <c r="P149" s="14">
        <f t="shared" si="25"/>
        <v>3.6813252708326281</v>
      </c>
      <c r="Q149" s="14">
        <f t="shared" si="23"/>
        <v>24.836757297917632</v>
      </c>
    </row>
    <row r="150" spans="1:17" x14ac:dyDescent="0.25">
      <c r="A150" s="5" t="s">
        <v>207</v>
      </c>
      <c r="B150" s="6">
        <f t="shared" si="24"/>
        <v>8</v>
      </c>
      <c r="C150" s="58">
        <v>16.58129692</v>
      </c>
      <c r="D150" s="4">
        <v>0</v>
      </c>
      <c r="E150" s="12">
        <f t="shared" si="13"/>
        <v>0</v>
      </c>
      <c r="F150" s="12">
        <f t="shared" si="14"/>
        <v>0</v>
      </c>
      <c r="G150" s="16">
        <f t="shared" si="16"/>
        <v>8.3654157365565404E-2</v>
      </c>
      <c r="H150" s="14">
        <f t="shared" si="17"/>
        <v>0</v>
      </c>
      <c r="I150" s="14">
        <f t="shared" si="18"/>
        <v>7.2747396090337686</v>
      </c>
      <c r="J150" s="14">
        <f t="shared" si="19"/>
        <v>9.7020364155484002E-3</v>
      </c>
      <c r="K150" s="14">
        <f t="shared" si="20"/>
        <v>0.13657358992060614</v>
      </c>
      <c r="L150" s="14">
        <f t="shared" si="21"/>
        <v>639.16031675011629</v>
      </c>
      <c r="M150" s="14">
        <f t="shared" si="15"/>
        <v>0.13551798554570924</v>
      </c>
      <c r="N150" s="14">
        <f t="shared" si="22"/>
        <v>3.4679428939995733</v>
      </c>
      <c r="O150" s="4">
        <v>1.57</v>
      </c>
      <c r="P150" s="14">
        <f t="shared" si="25"/>
        <v>3.6021872288834755</v>
      </c>
      <c r="Q150" s="14">
        <f t="shared" si="23"/>
        <v>24.637811338147515</v>
      </c>
    </row>
    <row r="151" spans="1:17" x14ac:dyDescent="0.25">
      <c r="A151" s="5" t="s">
        <v>208</v>
      </c>
      <c r="B151" s="6">
        <f t="shared" si="24"/>
        <v>9</v>
      </c>
      <c r="C151" s="58">
        <v>15.98038197</v>
      </c>
      <c r="D151" s="4">
        <v>0</v>
      </c>
      <c r="E151" s="12">
        <f t="shared" si="13"/>
        <v>0</v>
      </c>
      <c r="F151" s="12">
        <f t="shared" si="14"/>
        <v>0</v>
      </c>
      <c r="G151" s="16">
        <f t="shared" si="16"/>
        <v>7.8127941784717866E-2</v>
      </c>
      <c r="H151" s="14">
        <f t="shared" si="17"/>
        <v>0</v>
      </c>
      <c r="I151" s="14">
        <f t="shared" si="18"/>
        <v>4.6242146290581303</v>
      </c>
      <c r="J151" s="14">
        <f t="shared" si="19"/>
        <v>5.5262155808475421E-3</v>
      </c>
      <c r="K151" s="14">
        <f t="shared" si="20"/>
        <v>0.12976539645452073</v>
      </c>
      <c r="L151" s="14">
        <f t="shared" si="21"/>
        <v>639.0316069580366</v>
      </c>
      <c r="M151" s="14">
        <f t="shared" si="15"/>
        <v>0.13548926525825739</v>
      </c>
      <c r="N151" s="14">
        <f t="shared" si="22"/>
        <v>3.4672079338658222</v>
      </c>
      <c r="O151" s="4">
        <v>1.56</v>
      </c>
      <c r="P151" s="14">
        <f t="shared" si="25"/>
        <v>3.6374421030007382</v>
      </c>
      <c r="Q151" s="14">
        <f t="shared" si="23"/>
        <v>24.737184318032579</v>
      </c>
    </row>
    <row r="152" spans="1:17" x14ac:dyDescent="0.25">
      <c r="A152" s="5" t="s">
        <v>209</v>
      </c>
      <c r="B152" s="6">
        <f t="shared" si="24"/>
        <v>9</v>
      </c>
      <c r="C152" s="58">
        <v>16.696931840000001</v>
      </c>
      <c r="D152" s="4">
        <v>0</v>
      </c>
      <c r="E152" s="12">
        <f t="shared" si="13"/>
        <v>0</v>
      </c>
      <c r="F152" s="12">
        <f t="shared" si="14"/>
        <v>0</v>
      </c>
      <c r="G152" s="16">
        <f t="shared" si="16"/>
        <v>7.1776575294355272E-2</v>
      </c>
      <c r="H152" s="14">
        <f t="shared" si="17"/>
        <v>0</v>
      </c>
      <c r="I152" s="14">
        <f t="shared" si="18"/>
        <v>5.6906055008857619</v>
      </c>
      <c r="J152" s="14">
        <f t="shared" si="19"/>
        <v>6.3513664903625993E-3</v>
      </c>
      <c r="K152" s="14">
        <f t="shared" si="20"/>
        <v>0.12329659143314557</v>
      </c>
      <c r="L152" s="14">
        <f t="shared" si="21"/>
        <v>638.90258649779969</v>
      </c>
      <c r="M152" s="14">
        <f t="shared" si="15"/>
        <v>0.13546055071954213</v>
      </c>
      <c r="N152" s="14">
        <f t="shared" si="22"/>
        <v>3.4664731208438382</v>
      </c>
      <c r="O152" s="4">
        <v>1.56</v>
      </c>
      <c r="P152" s="14">
        <f t="shared" si="25"/>
        <v>3.6346397605000438</v>
      </c>
      <c r="Q152" s="14">
        <f t="shared" si="23"/>
        <v>24.737184318032579</v>
      </c>
    </row>
    <row r="153" spans="1:17" x14ac:dyDescent="0.25">
      <c r="A153" s="5" t="s">
        <v>210</v>
      </c>
      <c r="B153" s="6">
        <f t="shared" si="24"/>
        <v>9</v>
      </c>
      <c r="C153" s="58">
        <v>16.502689360000002</v>
      </c>
      <c r="D153" s="4">
        <v>0</v>
      </c>
      <c r="E153" s="12">
        <f t="shared" si="13"/>
        <v>0</v>
      </c>
      <c r="F153" s="12">
        <f t="shared" si="14"/>
        <v>0</v>
      </c>
      <c r="G153" s="16">
        <f t="shared" si="16"/>
        <v>6.6237953892913745E-2</v>
      </c>
      <c r="H153" s="14">
        <f t="shared" si="17"/>
        <v>0</v>
      </c>
      <c r="I153" s="14">
        <f t="shared" si="18"/>
        <v>5.4015280531525551</v>
      </c>
      <c r="J153" s="14">
        <f t="shared" si="19"/>
        <v>5.5386214014415264E-3</v>
      </c>
      <c r="K153" s="14">
        <f t="shared" si="20"/>
        <v>0.11715025634249061</v>
      </c>
      <c r="L153" s="14">
        <f t="shared" si="21"/>
        <v>638.77327228217075</v>
      </c>
      <c r="M153" s="14">
        <f t="shared" si="15"/>
        <v>0.13543184194526342</v>
      </c>
      <c r="N153" s="14">
        <f t="shared" si="22"/>
        <v>3.4657384553353867</v>
      </c>
      <c r="O153" s="4">
        <v>1.6</v>
      </c>
      <c r="P153" s="14">
        <f t="shared" si="25"/>
        <v>3.4809799837172744</v>
      </c>
      <c r="Q153" s="14">
        <f t="shared" si="23"/>
        <v>24.34089239849234</v>
      </c>
    </row>
    <row r="154" spans="1:17" x14ac:dyDescent="0.25">
      <c r="A154" s="5" t="s">
        <v>211</v>
      </c>
      <c r="B154" s="6">
        <f t="shared" si="24"/>
        <v>9</v>
      </c>
      <c r="C154" s="58">
        <v>17.378078460000001</v>
      </c>
      <c r="D154" s="4">
        <v>0</v>
      </c>
      <c r="E154" s="12">
        <f t="shared" si="13"/>
        <v>0</v>
      </c>
      <c r="F154" s="12">
        <f t="shared" si="14"/>
        <v>0</v>
      </c>
      <c r="G154" s="16">
        <f t="shared" si="16"/>
        <v>5.9893953662715341E-2</v>
      </c>
      <c r="H154" s="14">
        <f t="shared" si="17"/>
        <v>0</v>
      </c>
      <c r="I154" s="14">
        <f t="shared" si="18"/>
        <v>6.7043082009424122</v>
      </c>
      <c r="J154" s="14">
        <f t="shared" si="19"/>
        <v>6.3440002301984036E-3</v>
      </c>
      <c r="K154" s="14">
        <f t="shared" si="20"/>
        <v>0.11131031605648929</v>
      </c>
      <c r="L154" s="14">
        <f t="shared" si="21"/>
        <v>638.64368038051146</v>
      </c>
      <c r="M154" s="14">
        <f t="shared" si="15"/>
        <v>0.13540313895027442</v>
      </c>
      <c r="N154" s="14">
        <f t="shared" si="22"/>
        <v>3.4650039377205641</v>
      </c>
      <c r="O154" s="4">
        <v>1.62</v>
      </c>
      <c r="P154" s="14">
        <f t="shared" si="25"/>
        <v>3.4040395302043871</v>
      </c>
      <c r="Q154" s="14">
        <f t="shared" si="23"/>
        <v>24.143946438722228</v>
      </c>
    </row>
    <row r="155" spans="1:17" x14ac:dyDescent="0.25">
      <c r="A155" s="5" t="s">
        <v>212</v>
      </c>
      <c r="B155" s="6">
        <f t="shared" si="24"/>
        <v>9</v>
      </c>
      <c r="C155" s="58">
        <v>17.39394188</v>
      </c>
      <c r="D155" s="4">
        <v>0</v>
      </c>
      <c r="E155" s="12">
        <f t="shared" ref="E155:E218" si="26">IF(C155&gt;$C$9,MAX(E154-$C$10*(C155-$C$9),0),E154+D155)</f>
        <v>0</v>
      </c>
      <c r="F155" s="12">
        <f t="shared" ref="F155:F218" si="27">IF(C155&gt;$C$9,D155+MIN(E154,$C$10*(C155-$C$9)),0)</f>
        <v>0</v>
      </c>
      <c r="G155" s="16">
        <f t="shared" si="16"/>
        <v>5.41373557853118E-2</v>
      </c>
      <c r="H155" s="14">
        <f t="shared" si="17"/>
        <v>0</v>
      </c>
      <c r="I155" s="14">
        <f t="shared" si="18"/>
        <v>6.7279166153629832</v>
      </c>
      <c r="J155" s="14">
        <f t="shared" si="19"/>
        <v>5.7565978774035418E-3</v>
      </c>
      <c r="K155" s="14">
        <f t="shared" si="20"/>
        <v>0.10576149679411044</v>
      </c>
      <c r="L155" s="14">
        <f t="shared" si="21"/>
        <v>638.51382606082359</v>
      </c>
      <c r="M155" s="14">
        <f t="shared" si="15"/>
        <v>0.13537444174862381</v>
      </c>
      <c r="N155" s="14">
        <f t="shared" si="22"/>
        <v>3.4642695683588802</v>
      </c>
      <c r="O155" s="4">
        <v>1.62</v>
      </c>
      <c r="P155" s="14">
        <f t="shared" si="25"/>
        <v>3.4013302407746502</v>
      </c>
      <c r="Q155" s="14">
        <f t="shared" si="23"/>
        <v>24.143946438722228</v>
      </c>
    </row>
    <row r="156" spans="1:17" x14ac:dyDescent="0.25">
      <c r="A156" s="5" t="s">
        <v>213</v>
      </c>
      <c r="B156" s="6">
        <f t="shared" si="24"/>
        <v>9</v>
      </c>
      <c r="C156" s="58">
        <v>16.79099274</v>
      </c>
      <c r="D156" s="4">
        <v>0</v>
      </c>
      <c r="E156" s="12">
        <f t="shared" si="26"/>
        <v>0</v>
      </c>
      <c r="F156" s="12">
        <f t="shared" si="27"/>
        <v>0</v>
      </c>
      <c r="G156" s="16">
        <f t="shared" si="16"/>
        <v>4.9628027701640265E-2</v>
      </c>
      <c r="H156" s="14">
        <f t="shared" si="17"/>
        <v>0</v>
      </c>
      <c r="I156" s="14">
        <f t="shared" si="18"/>
        <v>5.8305897355572291</v>
      </c>
      <c r="J156" s="14">
        <f t="shared" si="19"/>
        <v>4.5093280836715323E-3</v>
      </c>
      <c r="K156" s="14">
        <f t="shared" si="20"/>
        <v>0.10048928617230828</v>
      </c>
      <c r="L156" s="14">
        <f t="shared" si="21"/>
        <v>638.38372382969681</v>
      </c>
      <c r="M156" s="14">
        <f t="shared" si="15"/>
        <v>0.13534575035359589</v>
      </c>
      <c r="N156" s="14">
        <f t="shared" si="22"/>
        <v>3.4635353475902835</v>
      </c>
      <c r="O156" s="4">
        <v>1.6</v>
      </c>
      <c r="P156" s="14">
        <f t="shared" si="25"/>
        <v>3.4727639917184385</v>
      </c>
      <c r="Q156" s="14">
        <f t="shared" si="23"/>
        <v>24.34089239849234</v>
      </c>
    </row>
    <row r="157" spans="1:17" x14ac:dyDescent="0.25">
      <c r="A157" s="5" t="s">
        <v>214</v>
      </c>
      <c r="B157" s="6">
        <f t="shared" si="24"/>
        <v>9</v>
      </c>
      <c r="C157" s="58">
        <v>16.099229810000001</v>
      </c>
      <c r="D157" s="4">
        <v>0</v>
      </c>
      <c r="E157" s="12">
        <f t="shared" si="26"/>
        <v>0</v>
      </c>
      <c r="F157" s="12">
        <f t="shared" si="27"/>
        <v>0</v>
      </c>
      <c r="G157" s="16">
        <f t="shared" si="16"/>
        <v>4.6224189170502798E-2</v>
      </c>
      <c r="H157" s="14">
        <f t="shared" si="17"/>
        <v>0</v>
      </c>
      <c r="I157" s="14">
        <f t="shared" si="18"/>
        <v>4.8010875265613171</v>
      </c>
      <c r="J157" s="14">
        <f t="shared" si="19"/>
        <v>3.4038385311374653E-3</v>
      </c>
      <c r="K157" s="14">
        <f t="shared" si="20"/>
        <v>9.547989525033275E-2</v>
      </c>
      <c r="L157" s="14">
        <f t="shared" si="21"/>
        <v>638.25338747026524</v>
      </c>
      <c r="M157" s="14">
        <f t="shared" si="15"/>
        <v>0.13531706477774874</v>
      </c>
      <c r="N157" s="14">
        <f t="shared" si="22"/>
        <v>3.4628012757361399</v>
      </c>
      <c r="O157" s="4">
        <v>1.62</v>
      </c>
      <c r="P157" s="14">
        <f t="shared" si="25"/>
        <v>3.3959165418547443</v>
      </c>
      <c r="Q157" s="14">
        <f t="shared" si="23"/>
        <v>24.143946438722228</v>
      </c>
    </row>
    <row r="158" spans="1:17" x14ac:dyDescent="0.25">
      <c r="A158" s="5" t="s">
        <v>215</v>
      </c>
      <c r="B158" s="6">
        <f t="shared" si="24"/>
        <v>9</v>
      </c>
      <c r="C158" s="58">
        <v>15.520197870000001</v>
      </c>
      <c r="D158" s="4">
        <v>0</v>
      </c>
      <c r="E158" s="12">
        <f t="shared" si="26"/>
        <v>0</v>
      </c>
      <c r="F158" s="12">
        <f t="shared" si="27"/>
        <v>0</v>
      </c>
      <c r="G158" s="16">
        <f t="shared" si="16"/>
        <v>4.3622851529810602E-2</v>
      </c>
      <c r="H158" s="14">
        <f t="shared" si="17"/>
        <v>0</v>
      </c>
      <c r="I158" s="14">
        <f t="shared" si="18"/>
        <v>3.939354936598467</v>
      </c>
      <c r="J158" s="14">
        <f t="shared" si="19"/>
        <v>2.6013376406921959E-3</v>
      </c>
      <c r="K158" s="14">
        <f t="shared" si="20"/>
        <v>9.072022246613104E-2</v>
      </c>
      <c r="L158" s="14">
        <f t="shared" si="21"/>
        <v>638.1228300782717</v>
      </c>
      <c r="M158" s="14">
        <f t="shared" si="15"/>
        <v>0.13528838503295035</v>
      </c>
      <c r="N158" s="14">
        <f t="shared" si="22"/>
        <v>3.4620673531001529</v>
      </c>
      <c r="O158" s="4">
        <v>1.62</v>
      </c>
      <c r="P158" s="14">
        <f t="shared" si="25"/>
        <v>3.393212133357403</v>
      </c>
      <c r="Q158" s="14">
        <f t="shared" si="23"/>
        <v>24.143946438722228</v>
      </c>
    </row>
    <row r="159" spans="1:17" x14ac:dyDescent="0.25">
      <c r="A159" s="5" t="s">
        <v>216</v>
      </c>
      <c r="B159" s="6">
        <f t="shared" si="24"/>
        <v>9</v>
      </c>
      <c r="C159" s="58">
        <v>17.543401719999999</v>
      </c>
      <c r="D159" s="4">
        <v>0</v>
      </c>
      <c r="E159" s="12">
        <f t="shared" si="26"/>
        <v>0</v>
      </c>
      <c r="F159" s="12">
        <f t="shared" si="27"/>
        <v>0</v>
      </c>
      <c r="G159" s="16">
        <f t="shared" si="16"/>
        <v>3.9291505687140321E-2</v>
      </c>
      <c r="H159" s="14">
        <f t="shared" si="17"/>
        <v>0</v>
      </c>
      <c r="I159" s="14">
        <f t="shared" si="18"/>
        <v>6.9503472035938021</v>
      </c>
      <c r="J159" s="14">
        <f t="shared" si="19"/>
        <v>4.3313458426702794E-3</v>
      </c>
      <c r="K159" s="14">
        <f t="shared" si="20"/>
        <v>8.6197819370519527E-2</v>
      </c>
      <c r="L159" s="14">
        <f t="shared" si="21"/>
        <v>637.99206409633439</v>
      </c>
      <c r="M159" s="14">
        <f t="shared" ref="M159:M222" si="28">MAX(0,K159-$F$9)*$F$8+K159*$F$10+L159*$F$11</f>
        <v>0.13525971113041307</v>
      </c>
      <c r="N159" s="14">
        <f t="shared" si="22"/>
        <v>3.4613335799692511</v>
      </c>
      <c r="O159" s="4">
        <v>1.59</v>
      </c>
      <c r="P159" s="14">
        <f t="shared" si="25"/>
        <v>3.5018893675205329</v>
      </c>
      <c r="Q159" s="14">
        <f t="shared" si="23"/>
        <v>24.439665378377402</v>
      </c>
    </row>
    <row r="160" spans="1:17" x14ac:dyDescent="0.25">
      <c r="A160" s="5" t="s">
        <v>217</v>
      </c>
      <c r="B160" s="6">
        <f t="shared" si="24"/>
        <v>9</v>
      </c>
      <c r="C160" s="58">
        <v>16.744808200000001</v>
      </c>
      <c r="D160" s="4">
        <v>0</v>
      </c>
      <c r="E160" s="12">
        <f t="shared" si="26"/>
        <v>0</v>
      </c>
      <c r="F160" s="12">
        <f t="shared" si="27"/>
        <v>0</v>
      </c>
      <c r="G160" s="16">
        <f t="shared" ref="G160:G223" si="29">G159+F160-H160-J160</f>
        <v>3.6057331382716266E-2</v>
      </c>
      <c r="H160" s="14">
        <f t="shared" ref="H160:H223" si="30">(F160*(G159/$C$11)^$C$12)</f>
        <v>0</v>
      </c>
      <c r="I160" s="14">
        <f t="shared" ref="I160:I223" si="31">(1+$C$13*(C160-INDEX($A$16:$A$27,B160)))*INDEX($C$16:$C$27,B160)</f>
        <v>5.7618565266941024</v>
      </c>
      <c r="J160" s="14">
        <f t="shared" ref="J160:J223" si="32">IF(G159&gt;$F$13,I160,I160*(G159/$F$13))</f>
        <v>3.234174304424057E-3</v>
      </c>
      <c r="K160" s="14">
        <f t="shared" ref="K160:K223" si="33">K159+H160-MAX(0,K159-$F$9)*$F$8-K159*$F$10-K159*$F$12</f>
        <v>8.1900858069507143E-2</v>
      </c>
      <c r="L160" s="14">
        <f t="shared" ref="L160:L223" si="34">L159+K159*$F$12-L159*$F$11</f>
        <v>637.86110134650494</v>
      </c>
      <c r="M160" s="14">
        <f t="shared" si="28"/>
        <v>0.13523104308072639</v>
      </c>
      <c r="N160" s="14">
        <f t="shared" ref="N160:N223" si="35">M160*$C$8*1000/(24*3600)</f>
        <v>3.4605999566144225</v>
      </c>
      <c r="O160" s="4">
        <v>1.58</v>
      </c>
      <c r="P160" s="14">
        <f t="shared" si="25"/>
        <v>3.5366561968181678</v>
      </c>
      <c r="Q160" s="14">
        <f t="shared" ref="Q160:Q223" si="36">(O160-$F$23)^2</f>
        <v>24.538638358262457</v>
      </c>
    </row>
    <row r="161" spans="1:17" x14ac:dyDescent="0.25">
      <c r="A161" s="5" t="s">
        <v>218</v>
      </c>
      <c r="B161" s="6">
        <f t="shared" ref="B161:B224" si="37">MONTH(A161)</f>
        <v>9</v>
      </c>
      <c r="C161" s="58">
        <v>16.893510819999999</v>
      </c>
      <c r="D161" s="4">
        <v>0</v>
      </c>
      <c r="E161" s="12">
        <f t="shared" si="26"/>
        <v>0</v>
      </c>
      <c r="F161" s="12">
        <f t="shared" si="27"/>
        <v>0</v>
      </c>
      <c r="G161" s="16">
        <f t="shared" si="29"/>
        <v>3.2975374751615619E-2</v>
      </c>
      <c r="H161" s="14">
        <f t="shared" si="30"/>
        <v>0</v>
      </c>
      <c r="I161" s="14">
        <f t="shared" si="31"/>
        <v>5.9831601975535369</v>
      </c>
      <c r="J161" s="14">
        <f t="shared" si="32"/>
        <v>3.0819566311006486E-3</v>
      </c>
      <c r="K161" s="14">
        <f t="shared" si="33"/>
        <v>7.781810028961901E-2</v>
      </c>
      <c r="L161" s="14">
        <f t="shared" si="34"/>
        <v>637.72995306120413</v>
      </c>
      <c r="M161" s="14">
        <f t="shared" si="28"/>
        <v>0.13520238089388795</v>
      </c>
      <c r="N161" s="14">
        <f t="shared" si="35"/>
        <v>3.4598664832915071</v>
      </c>
      <c r="O161" s="4">
        <v>1.59</v>
      </c>
      <c r="P161" s="14">
        <f t="shared" ref="P161:P224" si="38">(O161-N161)^2</f>
        <v>3.4964006653369477</v>
      </c>
      <c r="Q161" s="14">
        <f t="shared" si="36"/>
        <v>24.439665378377402</v>
      </c>
    </row>
    <row r="162" spans="1:17" x14ac:dyDescent="0.25">
      <c r="A162" s="5" t="s">
        <v>219</v>
      </c>
      <c r="B162" s="6">
        <f t="shared" si="37"/>
        <v>9</v>
      </c>
      <c r="C162" s="58">
        <v>17.069137569999999</v>
      </c>
      <c r="D162" s="4">
        <v>0</v>
      </c>
      <c r="E162" s="12">
        <f t="shared" si="26"/>
        <v>0</v>
      </c>
      <c r="F162" s="12">
        <f t="shared" si="27"/>
        <v>0</v>
      </c>
      <c r="G162" s="16">
        <f t="shared" si="29"/>
        <v>3.0033717788427897E-2</v>
      </c>
      <c r="H162" s="14">
        <f t="shared" si="30"/>
        <v>0</v>
      </c>
      <c r="I162" s="14">
        <f t="shared" si="31"/>
        <v>6.2445331610972366</v>
      </c>
      <c r="J162" s="14">
        <f t="shared" si="32"/>
        <v>2.9416569631877201E-3</v>
      </c>
      <c r="K162" s="14">
        <f t="shared" si="33"/>
        <v>7.3938867985313697E-2</v>
      </c>
      <c r="L162" s="14">
        <f t="shared" si="34"/>
        <v>637.59862991261457</v>
      </c>
      <c r="M162" s="14">
        <f t="shared" si="28"/>
        <v>0.13517372457933291</v>
      </c>
      <c r="N162" s="14">
        <f t="shared" si="35"/>
        <v>3.4591331602419566</v>
      </c>
      <c r="O162" s="4">
        <v>1.59</v>
      </c>
      <c r="P162" s="14">
        <f t="shared" si="38"/>
        <v>3.4936587707160833</v>
      </c>
      <c r="Q162" s="14">
        <f t="shared" si="36"/>
        <v>24.439665378377402</v>
      </c>
    </row>
    <row r="163" spans="1:17" x14ac:dyDescent="0.25">
      <c r="A163" s="5" t="s">
        <v>220</v>
      </c>
      <c r="B163" s="6">
        <f t="shared" si="37"/>
        <v>9</v>
      </c>
      <c r="C163" s="58">
        <v>15.308279990000001</v>
      </c>
      <c r="D163" s="4">
        <v>0</v>
      </c>
      <c r="E163" s="12">
        <f t="shared" si="26"/>
        <v>0</v>
      </c>
      <c r="F163" s="12">
        <f t="shared" si="27"/>
        <v>0</v>
      </c>
      <c r="G163" s="16">
        <f t="shared" si="29"/>
        <v>2.8478839885790391E-2</v>
      </c>
      <c r="H163" s="14">
        <f t="shared" si="30"/>
        <v>0</v>
      </c>
      <c r="I163" s="14">
        <f t="shared" si="31"/>
        <v>3.6239724318063549</v>
      </c>
      <c r="J163" s="14">
        <f t="shared" si="32"/>
        <v>1.5548779026375071E-3</v>
      </c>
      <c r="K163" s="14">
        <f t="shared" si="33"/>
        <v>7.0253015411620656E-2</v>
      </c>
      <c r="L163" s="14">
        <f t="shared" si="34"/>
        <v>637.46714204060891</v>
      </c>
      <c r="M163" s="14">
        <f t="shared" si="28"/>
        <v>0.13514507414596222</v>
      </c>
      <c r="N163" s="14">
        <f t="shared" si="35"/>
        <v>3.4583999876935465</v>
      </c>
      <c r="O163" s="4">
        <v>1.58</v>
      </c>
      <c r="P163" s="14">
        <f t="shared" si="38"/>
        <v>3.5283865137671153</v>
      </c>
      <c r="Q163" s="14">
        <f t="shared" si="36"/>
        <v>24.538638358262457</v>
      </c>
    </row>
    <row r="164" spans="1:17" x14ac:dyDescent="0.25">
      <c r="A164" s="5" t="s">
        <v>221</v>
      </c>
      <c r="B164" s="6">
        <f t="shared" si="37"/>
        <v>9</v>
      </c>
      <c r="C164" s="58">
        <v>16.10882187</v>
      </c>
      <c r="D164" s="4">
        <v>0</v>
      </c>
      <c r="E164" s="12">
        <f t="shared" si="26"/>
        <v>0</v>
      </c>
      <c r="F164" s="12">
        <f t="shared" si="27"/>
        <v>0</v>
      </c>
      <c r="G164" s="16">
        <f t="shared" si="29"/>
        <v>2.6519753392526265E-2</v>
      </c>
      <c r="H164" s="14">
        <f t="shared" si="30"/>
        <v>0</v>
      </c>
      <c r="I164" s="14">
        <f t="shared" si="31"/>
        <v>4.8153627161249153</v>
      </c>
      <c r="J164" s="14">
        <f t="shared" si="32"/>
        <v>1.9590864932641275E-3</v>
      </c>
      <c r="K164" s="14">
        <f t="shared" si="33"/>
        <v>6.6750902588956787E-2</v>
      </c>
      <c r="L164" s="14">
        <f t="shared" si="34"/>
        <v>637.33549907928568</v>
      </c>
      <c r="M164" s="14">
        <f t="shared" si="28"/>
        <v>0.13511642960216921</v>
      </c>
      <c r="N164" s="14">
        <f t="shared" si="35"/>
        <v>3.4576669658610659</v>
      </c>
      <c r="O164" s="4">
        <v>1.59</v>
      </c>
      <c r="P164" s="14">
        <f t="shared" si="38"/>
        <v>3.4881798953686798</v>
      </c>
      <c r="Q164" s="14">
        <f t="shared" si="36"/>
        <v>24.439665378377402</v>
      </c>
    </row>
    <row r="165" spans="1:17" x14ac:dyDescent="0.25">
      <c r="A165" s="5" t="s">
        <v>222</v>
      </c>
      <c r="B165" s="6">
        <f t="shared" si="37"/>
        <v>9</v>
      </c>
      <c r="C165" s="58">
        <v>16.037210460000001</v>
      </c>
      <c r="D165" s="4">
        <v>0</v>
      </c>
      <c r="E165" s="12">
        <f t="shared" si="26"/>
        <v>0</v>
      </c>
      <c r="F165" s="12">
        <f t="shared" si="27"/>
        <v>0</v>
      </c>
      <c r="G165" s="16">
        <f t="shared" si="29"/>
        <v>2.4735810390366392E-2</v>
      </c>
      <c r="H165" s="14">
        <f t="shared" si="30"/>
        <v>0</v>
      </c>
      <c r="I165" s="14">
        <f t="shared" si="31"/>
        <v>4.7087884815322765</v>
      </c>
      <c r="J165" s="14">
        <f t="shared" si="32"/>
        <v>1.7839430021598739E-3</v>
      </c>
      <c r="K165" s="14">
        <f t="shared" si="33"/>
        <v>6.3423370090721784E-2</v>
      </c>
      <c r="L165" s="14">
        <f t="shared" si="34"/>
        <v>637.20371018218179</v>
      </c>
      <c r="M165" s="14">
        <f t="shared" si="28"/>
        <v>0.13508779095586479</v>
      </c>
      <c r="N165" s="14">
        <f t="shared" si="35"/>
        <v>3.4569340949469565</v>
      </c>
      <c r="O165" s="4">
        <v>1.58</v>
      </c>
      <c r="P165" s="14">
        <f t="shared" si="38"/>
        <v>3.5228815967743503</v>
      </c>
      <c r="Q165" s="14">
        <f t="shared" si="36"/>
        <v>24.538638358262457</v>
      </c>
    </row>
    <row r="166" spans="1:17" x14ac:dyDescent="0.25">
      <c r="A166" s="5" t="s">
        <v>223</v>
      </c>
      <c r="B166" s="6">
        <f t="shared" si="37"/>
        <v>9</v>
      </c>
      <c r="C166" s="58">
        <v>16.129077909999999</v>
      </c>
      <c r="D166" s="4">
        <v>0</v>
      </c>
      <c r="E166" s="12">
        <f t="shared" si="26"/>
        <v>0</v>
      </c>
      <c r="F166" s="12">
        <f t="shared" si="27"/>
        <v>0</v>
      </c>
      <c r="G166" s="16">
        <f t="shared" si="29"/>
        <v>2.3023557921899529E-2</v>
      </c>
      <c r="H166" s="14">
        <f t="shared" si="30"/>
        <v>0</v>
      </c>
      <c r="I166" s="14">
        <f t="shared" si="31"/>
        <v>4.8455083585424834</v>
      </c>
      <c r="J166" s="14">
        <f t="shared" si="32"/>
        <v>1.7122524684668637E-3</v>
      </c>
      <c r="K166" s="14">
        <f t="shared" si="33"/>
        <v>6.026171508773194E-2</v>
      </c>
      <c r="L166" s="14">
        <f t="shared" si="34"/>
        <v>637.07178404622891</v>
      </c>
      <c r="M166" s="14">
        <f t="shared" si="28"/>
        <v>0.13505915821450162</v>
      </c>
      <c r="N166" s="14">
        <f t="shared" si="35"/>
        <v>3.4562013751419345</v>
      </c>
      <c r="O166" s="4">
        <v>1.58</v>
      </c>
      <c r="P166" s="14">
        <f t="shared" si="38"/>
        <v>3.5201316000844858</v>
      </c>
      <c r="Q166" s="14">
        <f t="shared" si="36"/>
        <v>24.538638358262457</v>
      </c>
    </row>
    <row r="167" spans="1:17" x14ac:dyDescent="0.25">
      <c r="A167" s="5" t="s">
        <v>224</v>
      </c>
      <c r="B167" s="6">
        <f t="shared" si="37"/>
        <v>9</v>
      </c>
      <c r="C167" s="58">
        <v>15.24095535</v>
      </c>
      <c r="D167" s="4">
        <v>0</v>
      </c>
      <c r="E167" s="12">
        <f t="shared" si="26"/>
        <v>0</v>
      </c>
      <c r="F167" s="12">
        <f t="shared" si="27"/>
        <v>0</v>
      </c>
      <c r="G167" s="16">
        <f t="shared" si="29"/>
        <v>2.186455835031665E-2</v>
      </c>
      <c r="H167" s="14">
        <f t="shared" si="30"/>
        <v>0</v>
      </c>
      <c r="I167" s="14">
        <f t="shared" si="31"/>
        <v>3.5237778960860675</v>
      </c>
      <c r="J167" s="14">
        <f t="shared" si="32"/>
        <v>1.1589995715828776E-3</v>
      </c>
      <c r="K167" s="14">
        <f t="shared" si="33"/>
        <v>5.7257668586838915E-2</v>
      </c>
      <c r="L167" s="14">
        <f t="shared" si="34"/>
        <v>636.9397289345153</v>
      </c>
      <c r="M167" s="14">
        <f t="shared" si="28"/>
        <v>0.13503053138509702</v>
      </c>
      <c r="N167" s="14">
        <f t="shared" si="35"/>
        <v>3.4554688066255732</v>
      </c>
      <c r="O167" s="4">
        <v>1.57</v>
      </c>
      <c r="P167" s="14">
        <f t="shared" si="38"/>
        <v>3.5549926207580631</v>
      </c>
      <c r="Q167" s="14">
        <f t="shared" si="36"/>
        <v>24.637811338147515</v>
      </c>
    </row>
    <row r="168" spans="1:17" x14ac:dyDescent="0.25">
      <c r="A168" s="5" t="s">
        <v>225</v>
      </c>
      <c r="B168" s="6">
        <f t="shared" si="37"/>
        <v>9</v>
      </c>
      <c r="C168" s="58">
        <v>14.605760569999999</v>
      </c>
      <c r="D168" s="4">
        <v>0</v>
      </c>
      <c r="E168" s="12">
        <f t="shared" si="26"/>
        <v>0</v>
      </c>
      <c r="F168" s="12">
        <f t="shared" si="27"/>
        <v>0</v>
      </c>
      <c r="G168" s="16">
        <f t="shared" si="29"/>
        <v>2.1059172915581299E-2</v>
      </c>
      <c r="H168" s="14">
        <f t="shared" si="30"/>
        <v>0</v>
      </c>
      <c r="I168" s="14">
        <f t="shared" si="31"/>
        <v>2.5784620938173997</v>
      </c>
      <c r="J168" s="14">
        <f t="shared" si="32"/>
        <v>8.0538543473535182E-4</v>
      </c>
      <c r="K168" s="14">
        <f t="shared" si="33"/>
        <v>5.440337380420332E-2</v>
      </c>
      <c r="L168" s="14">
        <f t="shared" si="34"/>
        <v>636.8075526979128</v>
      </c>
      <c r="M168" s="14">
        <f t="shared" si="28"/>
        <v>0.13500191047425453</v>
      </c>
      <c r="N168" s="14">
        <f t="shared" si="35"/>
        <v>3.454736389566861</v>
      </c>
      <c r="O168" s="4">
        <v>1.57</v>
      </c>
      <c r="P168" s="14">
        <f t="shared" si="38"/>
        <v>3.5522312581575264</v>
      </c>
      <c r="Q168" s="14">
        <f t="shared" si="36"/>
        <v>24.637811338147515</v>
      </c>
    </row>
    <row r="169" spans="1:17" x14ac:dyDescent="0.25">
      <c r="A169" s="5" t="s">
        <v>226</v>
      </c>
      <c r="B169" s="6">
        <f t="shared" si="37"/>
        <v>9</v>
      </c>
      <c r="C169" s="58">
        <v>15.8097105</v>
      </c>
      <c r="D169" s="4">
        <v>5.6</v>
      </c>
      <c r="E169" s="12">
        <f t="shared" si="26"/>
        <v>0</v>
      </c>
      <c r="F169" s="12">
        <f t="shared" si="27"/>
        <v>5.6</v>
      </c>
      <c r="G169" s="16">
        <f t="shared" si="29"/>
        <v>5.5899753366502747</v>
      </c>
      <c r="H169" s="14">
        <f t="shared" si="30"/>
        <v>2.9769076061909094E-2</v>
      </c>
      <c r="I169" s="14">
        <f t="shared" si="31"/>
        <v>4.3702162608923487</v>
      </c>
      <c r="J169" s="14">
        <f t="shared" si="32"/>
        <v>1.3147602033980869E-3</v>
      </c>
      <c r="K169" s="14">
        <f t="shared" si="33"/>
        <v>8.146044167856975E-2</v>
      </c>
      <c r="L169" s="14">
        <f t="shared" si="34"/>
        <v>636.67526279562605</v>
      </c>
      <c r="M169" s="14">
        <f t="shared" si="28"/>
        <v>0.13497957616632972</v>
      </c>
      <c r="N169" s="14">
        <f t="shared" si="35"/>
        <v>3.45416484842309</v>
      </c>
      <c r="O169" s="4">
        <v>1.59</v>
      </c>
      <c r="P169" s="14">
        <f t="shared" si="38"/>
        <v>3.4751105820962818</v>
      </c>
      <c r="Q169" s="14">
        <f t="shared" si="36"/>
        <v>24.439665378377402</v>
      </c>
    </row>
    <row r="170" spans="1:17" x14ac:dyDescent="0.25">
      <c r="A170" s="5" t="s">
        <v>227</v>
      </c>
      <c r="B170" s="6">
        <f t="shared" si="37"/>
        <v>9</v>
      </c>
      <c r="C170" s="58">
        <v>15.377489089999999</v>
      </c>
      <c r="D170" s="4">
        <v>5.3</v>
      </c>
      <c r="E170" s="12">
        <f t="shared" si="26"/>
        <v>0</v>
      </c>
      <c r="F170" s="12">
        <f t="shared" si="27"/>
        <v>5.3</v>
      </c>
      <c r="G170" s="16">
        <f t="shared" si="29"/>
        <v>10.044852123429047</v>
      </c>
      <c r="H170" s="14">
        <f t="shared" si="30"/>
        <v>0.54749899234433974</v>
      </c>
      <c r="I170" s="14">
        <f t="shared" si="31"/>
        <v>3.7269714770610882</v>
      </c>
      <c r="J170" s="14">
        <f t="shared" si="32"/>
        <v>0.297624220876887</v>
      </c>
      <c r="K170" s="14">
        <f t="shared" si="33"/>
        <v>0.62489863100013709</v>
      </c>
      <c r="L170" s="14">
        <f t="shared" si="34"/>
        <v>636.54434402248251</v>
      </c>
      <c r="M170" s="14">
        <f t="shared" si="28"/>
        <v>0.13506647857288473</v>
      </c>
      <c r="N170" s="14">
        <f t="shared" si="35"/>
        <v>3.4563887051463902</v>
      </c>
      <c r="O170" s="4">
        <v>1.62</v>
      </c>
      <c r="P170" s="14">
        <f t="shared" si="38"/>
        <v>3.3723234763892354</v>
      </c>
      <c r="Q170" s="14">
        <f t="shared" si="36"/>
        <v>24.143946438722228</v>
      </c>
    </row>
    <row r="171" spans="1:17" x14ac:dyDescent="0.25">
      <c r="A171" s="5" t="s">
        <v>228</v>
      </c>
      <c r="B171" s="6">
        <f t="shared" si="37"/>
        <v>9</v>
      </c>
      <c r="C171" s="58">
        <v>16.059118269999999</v>
      </c>
      <c r="D171" s="4">
        <v>1.9</v>
      </c>
      <c r="E171" s="12">
        <f t="shared" si="26"/>
        <v>0</v>
      </c>
      <c r="F171" s="12">
        <f t="shared" si="27"/>
        <v>1.9</v>
      </c>
      <c r="G171" s="16">
        <f t="shared" si="29"/>
        <v>10.99645269785025</v>
      </c>
      <c r="H171" s="14">
        <f t="shared" si="30"/>
        <v>0.2680190920353373</v>
      </c>
      <c r="I171" s="14">
        <f t="shared" si="31"/>
        <v>4.7413923372914466</v>
      </c>
      <c r="J171" s="14">
        <f t="shared" si="32"/>
        <v>0.68038033354346072</v>
      </c>
      <c r="K171" s="14">
        <f t="shared" si="33"/>
        <v>0.86176652624102779</v>
      </c>
      <c r="L171" s="14">
        <f t="shared" si="34"/>
        <v>636.44042874070408</v>
      </c>
      <c r="M171" s="14">
        <f t="shared" si="28"/>
        <v>0.1350944249931918</v>
      </c>
      <c r="N171" s="14">
        <f t="shared" si="35"/>
        <v>3.4571038618049426</v>
      </c>
      <c r="O171" s="4">
        <v>1.64</v>
      </c>
      <c r="P171" s="14">
        <f t="shared" si="38"/>
        <v>3.3018664445864361</v>
      </c>
      <c r="Q171" s="14">
        <f t="shared" si="36"/>
        <v>23.947800478952118</v>
      </c>
    </row>
    <row r="172" spans="1:17" x14ac:dyDescent="0.25">
      <c r="A172" s="5" t="s">
        <v>229</v>
      </c>
      <c r="B172" s="6">
        <f t="shared" si="37"/>
        <v>9</v>
      </c>
      <c r="C172" s="58">
        <v>16.15437317</v>
      </c>
      <c r="D172" s="4">
        <v>2.5</v>
      </c>
      <c r="E172" s="12">
        <f t="shared" si="26"/>
        <v>0</v>
      </c>
      <c r="F172" s="12">
        <f t="shared" si="27"/>
        <v>2.5</v>
      </c>
      <c r="G172" s="16">
        <f t="shared" si="29"/>
        <v>12.3593074122332</v>
      </c>
      <c r="H172" s="14">
        <f t="shared" si="30"/>
        <v>0.37003942784429167</v>
      </c>
      <c r="I172" s="14">
        <f t="shared" si="31"/>
        <v>4.8831535183476289</v>
      </c>
      <c r="J172" s="14">
        <f t="shared" si="32"/>
        <v>0.76710585777275919</v>
      </c>
      <c r="K172" s="14">
        <f t="shared" si="33"/>
        <v>1.1888468926982976</v>
      </c>
      <c r="L172" s="14">
        <f t="shared" si="34"/>
        <v>636.34829337709789</v>
      </c>
      <c r="M172" s="14">
        <f t="shared" si="28"/>
        <v>0.13514390154251413</v>
      </c>
      <c r="N172" s="14">
        <f t="shared" si="35"/>
        <v>3.4583699804455872</v>
      </c>
      <c r="O172" s="4">
        <v>1.64</v>
      </c>
      <c r="P172" s="14">
        <f t="shared" si="38"/>
        <v>3.3064693857856855</v>
      </c>
      <c r="Q172" s="14">
        <f t="shared" si="36"/>
        <v>23.947800478952118</v>
      </c>
    </row>
    <row r="173" spans="1:17" x14ac:dyDescent="0.25">
      <c r="A173" s="5" t="s">
        <v>230</v>
      </c>
      <c r="B173" s="6">
        <f t="shared" si="37"/>
        <v>9</v>
      </c>
      <c r="C173" s="58">
        <v>15.00228882</v>
      </c>
      <c r="D173" s="4">
        <v>0</v>
      </c>
      <c r="E173" s="12">
        <f t="shared" si="26"/>
        <v>0</v>
      </c>
      <c r="F173" s="12">
        <f t="shared" si="27"/>
        <v>0</v>
      </c>
      <c r="G173" s="16">
        <f t="shared" si="29"/>
        <v>11.799856332956965</v>
      </c>
      <c r="H173" s="14">
        <f t="shared" si="30"/>
        <v>0</v>
      </c>
      <c r="I173" s="14">
        <f t="shared" si="31"/>
        <v>3.1685872531755122</v>
      </c>
      <c r="J173" s="14">
        <f t="shared" si="32"/>
        <v>0.55945107927623394</v>
      </c>
      <c r="K173" s="14">
        <f t="shared" si="33"/>
        <v>1.1295828750229207</v>
      </c>
      <c r="L173" s="14">
        <f t="shared" si="34"/>
        <v>636.27241349323072</v>
      </c>
      <c r="M173" s="14">
        <f t="shared" si="28"/>
        <v>0.13511531300919435</v>
      </c>
      <c r="N173" s="14">
        <f t="shared" si="35"/>
        <v>3.4576383919366753</v>
      </c>
      <c r="O173" s="4">
        <v>1.62</v>
      </c>
      <c r="P173" s="14">
        <f t="shared" si="38"/>
        <v>3.3769148595196095</v>
      </c>
      <c r="Q173" s="14">
        <f t="shared" si="36"/>
        <v>24.143946438722228</v>
      </c>
    </row>
    <row r="174" spans="1:17" x14ac:dyDescent="0.25">
      <c r="A174" s="5" t="s">
        <v>231</v>
      </c>
      <c r="B174" s="6">
        <f t="shared" si="37"/>
        <v>9</v>
      </c>
      <c r="C174" s="58">
        <v>16.03435898</v>
      </c>
      <c r="D174" s="4">
        <v>0</v>
      </c>
      <c r="E174" s="12">
        <f t="shared" si="26"/>
        <v>0</v>
      </c>
      <c r="F174" s="12">
        <f t="shared" si="27"/>
        <v>0</v>
      </c>
      <c r="G174" s="16">
        <f t="shared" si="29"/>
        <v>11.006813506317881</v>
      </c>
      <c r="H174" s="14">
        <f t="shared" si="30"/>
        <v>0</v>
      </c>
      <c r="I174" s="14">
        <f t="shared" si="31"/>
        <v>4.7045448240137846</v>
      </c>
      <c r="J174" s="14">
        <f t="shared" si="32"/>
        <v>0.79304282663908454</v>
      </c>
      <c r="K174" s="14">
        <f t="shared" si="33"/>
        <v>1.0732731686323687</v>
      </c>
      <c r="L174" s="14">
        <f t="shared" si="34"/>
        <v>636.19360788661197</v>
      </c>
      <c r="M174" s="14">
        <f t="shared" si="28"/>
        <v>0.1350867275817591</v>
      </c>
      <c r="N174" s="14">
        <f t="shared" si="35"/>
        <v>3.456906882908211</v>
      </c>
      <c r="O174" s="4">
        <v>1.6</v>
      </c>
      <c r="P174" s="14">
        <f t="shared" si="38"/>
        <v>3.448103171791888</v>
      </c>
      <c r="Q174" s="14">
        <f t="shared" si="36"/>
        <v>24.34089239849234</v>
      </c>
    </row>
    <row r="175" spans="1:17" x14ac:dyDescent="0.25">
      <c r="A175" s="5" t="s">
        <v>232</v>
      </c>
      <c r="B175" s="6">
        <f t="shared" si="37"/>
        <v>9</v>
      </c>
      <c r="C175" s="58">
        <v>15.90596867</v>
      </c>
      <c r="D175" s="4">
        <v>0</v>
      </c>
      <c r="E175" s="12">
        <f t="shared" si="26"/>
        <v>0</v>
      </c>
      <c r="F175" s="12">
        <f t="shared" si="27"/>
        <v>0</v>
      </c>
      <c r="G175" s="16">
        <f t="shared" si="29"/>
        <v>10.297113954902484</v>
      </c>
      <c r="H175" s="14">
        <f t="shared" si="30"/>
        <v>0</v>
      </c>
      <c r="I175" s="14">
        <f t="shared" si="31"/>
        <v>4.5134705382629283</v>
      </c>
      <c r="J175" s="14">
        <f t="shared" si="32"/>
        <v>0.70969955141539764</v>
      </c>
      <c r="K175" s="14">
        <f t="shared" si="33"/>
        <v>1.0197705011089078</v>
      </c>
      <c r="L175" s="14">
        <f t="shared" si="34"/>
        <v>636.1120238265537</v>
      </c>
      <c r="M175" s="14">
        <f t="shared" si="28"/>
        <v>0.13505814540682246</v>
      </c>
      <c r="N175" s="14">
        <f t="shared" si="35"/>
        <v>3.4561754571120886</v>
      </c>
      <c r="O175" s="4">
        <v>1.58</v>
      </c>
      <c r="P175" s="14">
        <f t="shared" si="38"/>
        <v>3.5200343458697545</v>
      </c>
      <c r="Q175" s="14">
        <f t="shared" si="36"/>
        <v>24.538638358262457</v>
      </c>
    </row>
    <row r="176" spans="1:17" x14ac:dyDescent="0.25">
      <c r="A176" s="5" t="s">
        <v>233</v>
      </c>
      <c r="B176" s="6">
        <f t="shared" si="37"/>
        <v>9</v>
      </c>
      <c r="C176" s="58">
        <v>16.379121779999998</v>
      </c>
      <c r="D176" s="4">
        <v>0</v>
      </c>
      <c r="E176" s="12">
        <f t="shared" si="26"/>
        <v>0</v>
      </c>
      <c r="F176" s="12">
        <f t="shared" si="27"/>
        <v>0</v>
      </c>
      <c r="G176" s="16">
        <f t="shared" si="29"/>
        <v>9.5295913066636242</v>
      </c>
      <c r="H176" s="14">
        <f t="shared" si="30"/>
        <v>0</v>
      </c>
      <c r="I176" s="14">
        <f t="shared" si="31"/>
        <v>5.2176310979192317</v>
      </c>
      <c r="J176" s="14">
        <f t="shared" si="32"/>
        <v>0.76752264823886007</v>
      </c>
      <c r="K176" s="14">
        <f t="shared" si="33"/>
        <v>0.96893494156483839</v>
      </c>
      <c r="L176" s="14">
        <f t="shared" si="34"/>
        <v>636.02780124069091</v>
      </c>
      <c r="M176" s="14">
        <f t="shared" si="28"/>
        <v>0.13502956662362584</v>
      </c>
      <c r="N176" s="14">
        <f t="shared" si="35"/>
        <v>3.4554441181115361</v>
      </c>
      <c r="O176" s="4">
        <v>1.56</v>
      </c>
      <c r="P176" s="14">
        <f t="shared" si="38"/>
        <v>3.5927084048836186</v>
      </c>
      <c r="Q176" s="14">
        <f t="shared" si="36"/>
        <v>24.737184318032579</v>
      </c>
    </row>
    <row r="177" spans="1:17" x14ac:dyDescent="0.25">
      <c r="A177" s="5" t="s">
        <v>234</v>
      </c>
      <c r="B177" s="6">
        <f t="shared" si="37"/>
        <v>9</v>
      </c>
      <c r="C177" s="58">
        <v>16.504325869999999</v>
      </c>
      <c r="D177" s="4">
        <v>0</v>
      </c>
      <c r="E177" s="12">
        <f t="shared" si="26"/>
        <v>0</v>
      </c>
      <c r="F177" s="12">
        <f t="shared" si="27"/>
        <v>0</v>
      </c>
      <c r="G177" s="16">
        <f t="shared" si="29"/>
        <v>8.7939112250550195</v>
      </c>
      <c r="H177" s="14">
        <f t="shared" si="30"/>
        <v>0</v>
      </c>
      <c r="I177" s="14">
        <f t="shared" si="31"/>
        <v>5.403963556107362</v>
      </c>
      <c r="J177" s="14">
        <f t="shared" si="32"/>
        <v>0.73568008160860476</v>
      </c>
      <c r="K177" s="14">
        <f t="shared" si="33"/>
        <v>0.92063353466722087</v>
      </c>
      <c r="L177" s="14">
        <f t="shared" si="34"/>
        <v>635.94107308096488</v>
      </c>
      <c r="M177" s="14">
        <f t="shared" si="28"/>
        <v>0.13500099136440555</v>
      </c>
      <c r="N177" s="14">
        <f t="shared" si="35"/>
        <v>3.4547128692905171</v>
      </c>
      <c r="O177" s="4">
        <v>1.56</v>
      </c>
      <c r="P177" s="14">
        <f t="shared" si="38"/>
        <v>3.589936857055104</v>
      </c>
      <c r="Q177" s="14">
        <f t="shared" si="36"/>
        <v>24.737184318032579</v>
      </c>
    </row>
    <row r="178" spans="1:17" x14ac:dyDescent="0.25">
      <c r="A178" s="5" t="s">
        <v>235</v>
      </c>
      <c r="B178" s="6">
        <f t="shared" si="37"/>
        <v>9</v>
      </c>
      <c r="C178" s="58">
        <v>15.477892880000001</v>
      </c>
      <c r="D178" s="4">
        <v>0</v>
      </c>
      <c r="E178" s="12">
        <f t="shared" si="26"/>
        <v>0</v>
      </c>
      <c r="F178" s="12">
        <f t="shared" si="27"/>
        <v>0</v>
      </c>
      <c r="G178" s="16">
        <f t="shared" si="29"/>
        <v>8.3069297327947869</v>
      </c>
      <c r="H178" s="14">
        <f t="shared" si="30"/>
        <v>0</v>
      </c>
      <c r="I178" s="14">
        <f t="shared" si="31"/>
        <v>3.876395389667338</v>
      </c>
      <c r="J178" s="14">
        <f t="shared" si="32"/>
        <v>0.4869814922602323</v>
      </c>
      <c r="K178" s="14">
        <f t="shared" si="33"/>
        <v>0.87473995290647089</v>
      </c>
      <c r="L178" s="14">
        <f t="shared" si="34"/>
        <v>635.8519656713612</v>
      </c>
      <c r="M178" s="14">
        <f t="shared" si="28"/>
        <v>0.13497241975474211</v>
      </c>
      <c r="N178" s="14">
        <f t="shared" si="35"/>
        <v>3.4539817138626718</v>
      </c>
      <c r="O178" s="4">
        <v>1.54</v>
      </c>
      <c r="P178" s="14">
        <f t="shared" si="38"/>
        <v>3.6633260010006903</v>
      </c>
      <c r="Q178" s="14">
        <f t="shared" si="36"/>
        <v>24.936530277802689</v>
      </c>
    </row>
    <row r="179" spans="1:17" x14ac:dyDescent="0.25">
      <c r="A179" s="5" t="s">
        <v>236</v>
      </c>
      <c r="B179" s="6">
        <f t="shared" si="37"/>
        <v>9</v>
      </c>
      <c r="C179" s="58">
        <v>17.097667690000002</v>
      </c>
      <c r="D179" s="4">
        <v>0</v>
      </c>
      <c r="E179" s="12">
        <f t="shared" si="26"/>
        <v>0</v>
      </c>
      <c r="F179" s="12">
        <f t="shared" si="27"/>
        <v>0</v>
      </c>
      <c r="G179" s="16">
        <f t="shared" si="29"/>
        <v>7.5608490556294878</v>
      </c>
      <c r="H179" s="14">
        <f t="shared" si="30"/>
        <v>0</v>
      </c>
      <c r="I179" s="14">
        <f t="shared" si="31"/>
        <v>6.2869925359627281</v>
      </c>
      <c r="J179" s="14">
        <f t="shared" si="32"/>
        <v>0.74608067716529936</v>
      </c>
      <c r="K179" s="14">
        <f t="shared" si="33"/>
        <v>0.8311341661993652</v>
      </c>
      <c r="L179" s="14">
        <f t="shared" si="34"/>
        <v>635.76059903831356</v>
      </c>
      <c r="M179" s="14">
        <f t="shared" si="28"/>
        <v>0.13494385191389197</v>
      </c>
      <c r="N179" s="14">
        <f t="shared" si="35"/>
        <v>3.4532506548798043</v>
      </c>
      <c r="O179" s="4">
        <v>1.53</v>
      </c>
      <c r="P179" s="14">
        <f t="shared" si="38"/>
        <v>3.698893081495596</v>
      </c>
      <c r="Q179" s="14">
        <f t="shared" si="36"/>
        <v>25.036503257687745</v>
      </c>
    </row>
    <row r="180" spans="1:17" x14ac:dyDescent="0.25">
      <c r="A180" s="5" t="s">
        <v>237</v>
      </c>
      <c r="B180" s="6">
        <f t="shared" si="37"/>
        <v>9</v>
      </c>
      <c r="C180" s="58">
        <v>17.651390079999999</v>
      </c>
      <c r="D180" s="4">
        <v>0</v>
      </c>
      <c r="E180" s="12">
        <f t="shared" si="26"/>
        <v>0</v>
      </c>
      <c r="F180" s="12">
        <f t="shared" si="27"/>
        <v>0</v>
      </c>
      <c r="G180" s="16">
        <f t="shared" si="29"/>
        <v>6.792767843206188</v>
      </c>
      <c r="H180" s="14">
        <f t="shared" si="30"/>
        <v>0</v>
      </c>
      <c r="I180" s="14">
        <f t="shared" si="31"/>
        <v>7.1110586993165441</v>
      </c>
      <c r="J180" s="14">
        <f t="shared" si="32"/>
        <v>0.76808121242329974</v>
      </c>
      <c r="K180" s="14">
        <f t="shared" si="33"/>
        <v>0.78970212796233641</v>
      </c>
      <c r="L180" s="14">
        <f t="shared" si="34"/>
        <v>635.6670872246367</v>
      </c>
      <c r="M180" s="14">
        <f t="shared" si="28"/>
        <v>0.1349152879551028</v>
      </c>
      <c r="N180" s="14">
        <f t="shared" si="35"/>
        <v>3.4525196952399568</v>
      </c>
      <c r="O180" s="4">
        <v>1.52</v>
      </c>
      <c r="P180" s="14">
        <f t="shared" si="38"/>
        <v>3.7346323724903354</v>
      </c>
      <c r="Q180" s="14">
        <f t="shared" si="36"/>
        <v>25.1366762375728</v>
      </c>
    </row>
    <row r="181" spans="1:17" x14ac:dyDescent="0.25">
      <c r="A181" s="5" t="s">
        <v>238</v>
      </c>
      <c r="B181" s="6">
        <f t="shared" si="37"/>
        <v>10</v>
      </c>
      <c r="C181" s="58">
        <v>17.325122830000002</v>
      </c>
      <c r="D181" s="4">
        <v>0</v>
      </c>
      <c r="E181" s="12">
        <f t="shared" si="26"/>
        <v>0</v>
      </c>
      <c r="F181" s="12">
        <f t="shared" si="27"/>
        <v>0</v>
      </c>
      <c r="G181" s="16">
        <f t="shared" si="29"/>
        <v>6.1414830582529927</v>
      </c>
      <c r="H181" s="14">
        <f t="shared" si="30"/>
        <v>0</v>
      </c>
      <c r="I181" s="14">
        <f t="shared" si="31"/>
        <v>6.7115348533888799</v>
      </c>
      <c r="J181" s="14">
        <f t="shared" si="32"/>
        <v>0.65128478495319575</v>
      </c>
      <c r="K181" s="14">
        <f t="shared" si="33"/>
        <v>0.75033547683401514</v>
      </c>
      <c r="L181" s="14">
        <f t="shared" si="34"/>
        <v>635.57153858780987</v>
      </c>
      <c r="M181" s="14">
        <f t="shared" si="28"/>
        <v>0.13488672798591306</v>
      </c>
      <c r="N181" s="14">
        <f t="shared" si="35"/>
        <v>3.4517888376950672</v>
      </c>
      <c r="O181" s="4">
        <v>1.52</v>
      </c>
      <c r="P181" s="14">
        <f t="shared" si="38"/>
        <v>3.7318081134432584</v>
      </c>
      <c r="Q181" s="14">
        <f t="shared" si="36"/>
        <v>25.1366762375728</v>
      </c>
    </row>
    <row r="182" spans="1:17" x14ac:dyDescent="0.25">
      <c r="A182" s="5" t="s">
        <v>239</v>
      </c>
      <c r="B182" s="6">
        <f t="shared" si="37"/>
        <v>10</v>
      </c>
      <c r="C182" s="58">
        <v>18.070596689999999</v>
      </c>
      <c r="D182" s="4">
        <v>0</v>
      </c>
      <c r="E182" s="12">
        <f t="shared" si="26"/>
        <v>0</v>
      </c>
      <c r="F182" s="12">
        <f t="shared" si="27"/>
        <v>0</v>
      </c>
      <c r="G182" s="16">
        <f t="shared" si="29"/>
        <v>5.4604366067484085</v>
      </c>
      <c r="H182" s="14">
        <f t="shared" si="30"/>
        <v>0</v>
      </c>
      <c r="I182" s="14">
        <f t="shared" si="31"/>
        <v>7.7624919998456248</v>
      </c>
      <c r="J182" s="14">
        <f t="shared" si="32"/>
        <v>0.68104645150458454</v>
      </c>
      <c r="K182" s="14">
        <f t="shared" si="33"/>
        <v>0.71293125326690332</v>
      </c>
      <c r="L182" s="14">
        <f t="shared" si="34"/>
        <v>635.47405608339102</v>
      </c>
      <c r="M182" s="14">
        <f t="shared" si="28"/>
        <v>0.13485817210843656</v>
      </c>
      <c r="N182" s="14">
        <f t="shared" si="35"/>
        <v>3.4510580848582553</v>
      </c>
      <c r="O182" s="4">
        <v>1.5</v>
      </c>
      <c r="P182" s="14">
        <f t="shared" si="38"/>
        <v>3.8066276504907628</v>
      </c>
      <c r="Q182" s="14">
        <f t="shared" si="36"/>
        <v>25.337622197342917</v>
      </c>
    </row>
    <row r="183" spans="1:17" x14ac:dyDescent="0.25">
      <c r="A183" s="5" t="s">
        <v>240</v>
      </c>
      <c r="B183" s="6">
        <f t="shared" si="37"/>
        <v>10</v>
      </c>
      <c r="C183" s="58">
        <v>16.257614140000001</v>
      </c>
      <c r="D183" s="4">
        <v>0</v>
      </c>
      <c r="E183" s="12">
        <f t="shared" si="26"/>
        <v>0</v>
      </c>
      <c r="F183" s="12">
        <f t="shared" si="27"/>
        <v>0</v>
      </c>
      <c r="G183" s="16">
        <f t="shared" si="29"/>
        <v>5.0542907087954623</v>
      </c>
      <c r="H183" s="14">
        <f t="shared" si="30"/>
        <v>0</v>
      </c>
      <c r="I183" s="14">
        <f t="shared" si="31"/>
        <v>5.2065781448328172</v>
      </c>
      <c r="J183" s="14">
        <f t="shared" si="32"/>
        <v>0.40614589795294598</v>
      </c>
      <c r="K183" s="14">
        <f t="shared" si="33"/>
        <v>0.6773916302469517</v>
      </c>
      <c r="L183" s="14">
        <f t="shared" si="34"/>
        <v>635.37473753430254</v>
      </c>
      <c r="M183" s="14">
        <f t="shared" si="28"/>
        <v>0.13482962041963295</v>
      </c>
      <c r="N183" s="14">
        <f t="shared" si="35"/>
        <v>3.4503274392107461</v>
      </c>
      <c r="O183" s="4">
        <v>1.52</v>
      </c>
      <c r="P183" s="14">
        <f t="shared" si="38"/>
        <v>3.7261640225699169</v>
      </c>
      <c r="Q183" s="14">
        <f t="shared" si="36"/>
        <v>25.1366762375728</v>
      </c>
    </row>
    <row r="184" spans="1:17" x14ac:dyDescent="0.25">
      <c r="A184" s="5" t="s">
        <v>241</v>
      </c>
      <c r="B184" s="6">
        <f t="shared" si="37"/>
        <v>10</v>
      </c>
      <c r="C184" s="58">
        <v>16.73157501</v>
      </c>
      <c r="D184" s="4">
        <v>0</v>
      </c>
      <c r="E184" s="12">
        <f t="shared" si="26"/>
        <v>0</v>
      </c>
      <c r="F184" s="12">
        <f t="shared" si="27"/>
        <v>0</v>
      </c>
      <c r="G184" s="16">
        <f t="shared" si="29"/>
        <v>4.6301082522347166</v>
      </c>
      <c r="H184" s="14">
        <f t="shared" si="30"/>
        <v>0</v>
      </c>
      <c r="I184" s="14">
        <f t="shared" si="31"/>
        <v>5.874760612649137</v>
      </c>
      <c r="J184" s="14">
        <f t="shared" si="32"/>
        <v>0.42418245656074549</v>
      </c>
      <c r="K184" s="14">
        <f t="shared" si="33"/>
        <v>0.64362365743676786</v>
      </c>
      <c r="L184" s="14">
        <f t="shared" si="34"/>
        <v>635.27367588669301</v>
      </c>
      <c r="M184" s="14">
        <f t="shared" si="28"/>
        <v>0.13480107301156466</v>
      </c>
      <c r="N184" s="14">
        <f t="shared" si="35"/>
        <v>3.4495969031084428</v>
      </c>
      <c r="O184" s="4">
        <v>1.55</v>
      </c>
      <c r="P184" s="14">
        <f t="shared" si="38"/>
        <v>3.6084683942991864</v>
      </c>
      <c r="Q184" s="14">
        <f t="shared" si="36"/>
        <v>24.836757297917632</v>
      </c>
    </row>
    <row r="185" spans="1:17" x14ac:dyDescent="0.25">
      <c r="A185" s="5" t="s">
        <v>242</v>
      </c>
      <c r="B185" s="6">
        <f t="shared" si="37"/>
        <v>10</v>
      </c>
      <c r="C185" s="58">
        <v>16.180450440000001</v>
      </c>
      <c r="D185" s="4">
        <v>0</v>
      </c>
      <c r="E185" s="12">
        <f t="shared" si="26"/>
        <v>0</v>
      </c>
      <c r="F185" s="12">
        <f t="shared" si="27"/>
        <v>0</v>
      </c>
      <c r="G185" s="16">
        <f t="shared" si="29"/>
        <v>4.2929174366116296</v>
      </c>
      <c r="H185" s="14">
        <f t="shared" si="30"/>
        <v>0</v>
      </c>
      <c r="I185" s="14">
        <f t="shared" si="31"/>
        <v>5.0977939924789784</v>
      </c>
      <c r="J185" s="14">
        <f t="shared" si="32"/>
        <v>0.33719081562308684</v>
      </c>
      <c r="K185" s="14">
        <f t="shared" si="33"/>
        <v>0.61153901807328404</v>
      </c>
      <c r="L185" s="14">
        <f t="shared" si="34"/>
        <v>635.17095945304493</v>
      </c>
      <c r="M185" s="14">
        <f t="shared" si="28"/>
        <v>0.13477252997164105</v>
      </c>
      <c r="N185" s="14">
        <f t="shared" si="35"/>
        <v>3.4488664787881755</v>
      </c>
      <c r="O185" s="4">
        <v>1.54</v>
      </c>
      <c r="P185" s="14">
        <f t="shared" si="38"/>
        <v>3.6437712338411679</v>
      </c>
      <c r="Q185" s="14">
        <f t="shared" si="36"/>
        <v>24.936530277802689</v>
      </c>
    </row>
    <row r="186" spans="1:17" x14ac:dyDescent="0.25">
      <c r="A186" s="5" t="s">
        <v>243</v>
      </c>
      <c r="B186" s="6">
        <f t="shared" si="37"/>
        <v>10</v>
      </c>
      <c r="C186" s="58">
        <v>15.323868750000001</v>
      </c>
      <c r="D186" s="4">
        <v>0</v>
      </c>
      <c r="E186" s="12">
        <f t="shared" si="26"/>
        <v>0</v>
      </c>
      <c r="F186" s="12">
        <f t="shared" si="27"/>
        <v>0</v>
      </c>
      <c r="G186" s="16">
        <f t="shared" si="29"/>
        <v>4.0543414973049652</v>
      </c>
      <c r="H186" s="14">
        <f t="shared" si="30"/>
        <v>0</v>
      </c>
      <c r="I186" s="14">
        <f t="shared" si="31"/>
        <v>3.890198801107009</v>
      </c>
      <c r="J186" s="14">
        <f t="shared" si="32"/>
        <v>0.23857593930666415</v>
      </c>
      <c r="K186" s="14">
        <f t="shared" si="33"/>
        <v>0.58105379798407686</v>
      </c>
      <c r="L186" s="14">
        <f t="shared" si="34"/>
        <v>635.06667214316246</v>
      </c>
      <c r="M186" s="14">
        <f t="shared" si="28"/>
        <v>0.13474399138285029</v>
      </c>
      <c r="N186" s="14">
        <f t="shared" si="35"/>
        <v>3.448136168373634</v>
      </c>
      <c r="O186" s="4">
        <v>1.54</v>
      </c>
      <c r="P186" s="14">
        <f t="shared" si="38"/>
        <v>3.6409836370556135</v>
      </c>
      <c r="Q186" s="14">
        <f t="shared" si="36"/>
        <v>24.936530277802689</v>
      </c>
    </row>
    <row r="187" spans="1:17" x14ac:dyDescent="0.25">
      <c r="A187" s="5" t="s">
        <v>244</v>
      </c>
      <c r="B187" s="6">
        <f t="shared" si="37"/>
        <v>10</v>
      </c>
      <c r="C187" s="58">
        <v>16.159692759999999</v>
      </c>
      <c r="D187" s="4">
        <v>0</v>
      </c>
      <c r="E187" s="12">
        <f t="shared" si="26"/>
        <v>0</v>
      </c>
      <c r="F187" s="12">
        <f t="shared" si="27"/>
        <v>0</v>
      </c>
      <c r="G187" s="16">
        <f t="shared" si="29"/>
        <v>3.7607762301835415</v>
      </c>
      <c r="H187" s="14">
        <f t="shared" si="30"/>
        <v>0</v>
      </c>
      <c r="I187" s="14">
        <f t="shared" si="31"/>
        <v>5.0685301466080244</v>
      </c>
      <c r="J187" s="14">
        <f t="shared" si="32"/>
        <v>0.29356526712142372</v>
      </c>
      <c r="K187" s="14">
        <f t="shared" si="33"/>
        <v>0.55208826611822359</v>
      </c>
      <c r="L187" s="14">
        <f t="shared" si="34"/>
        <v>634.96089368364551</v>
      </c>
      <c r="M187" s="14">
        <f t="shared" si="28"/>
        <v>0.13471545732397991</v>
      </c>
      <c r="N187" s="14">
        <f t="shared" si="35"/>
        <v>3.4474059738810139</v>
      </c>
      <c r="O187" s="4">
        <v>1.54</v>
      </c>
      <c r="P187" s="14">
        <f t="shared" si="38"/>
        <v>3.6381975491969789</v>
      </c>
      <c r="Q187" s="14">
        <f t="shared" si="36"/>
        <v>24.936530277802689</v>
      </c>
    </row>
    <row r="188" spans="1:17" x14ac:dyDescent="0.25">
      <c r="A188" s="5" t="s">
        <v>245</v>
      </c>
      <c r="B188" s="6">
        <f t="shared" si="37"/>
        <v>10</v>
      </c>
      <c r="C188" s="58">
        <v>16.58770561</v>
      </c>
      <c r="D188" s="4">
        <v>0</v>
      </c>
      <c r="E188" s="12">
        <f t="shared" si="26"/>
        <v>0</v>
      </c>
      <c r="F188" s="12">
        <f t="shared" si="27"/>
        <v>0</v>
      </c>
      <c r="G188" s="16">
        <f t="shared" si="29"/>
        <v>3.4560491062979684</v>
      </c>
      <c r="H188" s="14">
        <f t="shared" si="30"/>
        <v>0</v>
      </c>
      <c r="I188" s="14">
        <f t="shared" si="31"/>
        <v>5.671935829381157</v>
      </c>
      <c r="J188" s="14">
        <f t="shared" si="32"/>
        <v>0.30472712388557294</v>
      </c>
      <c r="K188" s="14">
        <f t="shared" si="33"/>
        <v>0.52456666601769497</v>
      </c>
      <c r="L188" s="14">
        <f t="shared" si="34"/>
        <v>634.85369982642203</v>
      </c>
      <c r="M188" s="14">
        <f t="shared" si="28"/>
        <v>0.13468692786982611</v>
      </c>
      <c r="N188" s="14">
        <f t="shared" si="35"/>
        <v>3.4466758972243703</v>
      </c>
      <c r="O188" s="4">
        <v>1.54</v>
      </c>
      <c r="P188" s="14">
        <f t="shared" si="38"/>
        <v>3.6354129770563572</v>
      </c>
      <c r="Q188" s="14">
        <f t="shared" si="36"/>
        <v>24.936530277802689</v>
      </c>
    </row>
    <row r="189" spans="1:17" x14ac:dyDescent="0.25">
      <c r="A189" s="5" t="s">
        <v>246</v>
      </c>
      <c r="B189" s="6">
        <f t="shared" si="37"/>
        <v>10</v>
      </c>
      <c r="C189" s="58">
        <v>16.053213119999999</v>
      </c>
      <c r="D189" s="4">
        <v>0</v>
      </c>
      <c r="E189" s="12">
        <f t="shared" si="26"/>
        <v>0</v>
      </c>
      <c r="F189" s="12">
        <f t="shared" si="27"/>
        <v>0</v>
      </c>
      <c r="G189" s="16">
        <f t="shared" si="29"/>
        <v>3.2132161936405188</v>
      </c>
      <c r="H189" s="14">
        <f t="shared" si="30"/>
        <v>0</v>
      </c>
      <c r="I189" s="14">
        <f t="shared" si="31"/>
        <v>4.9184168500664898</v>
      </c>
      <c r="J189" s="14">
        <f t="shared" si="32"/>
        <v>0.24283291265744963</v>
      </c>
      <c r="K189" s="14">
        <f t="shared" si="33"/>
        <v>0.49841701768389934</v>
      </c>
      <c r="L189" s="14">
        <f t="shared" si="34"/>
        <v>634.74516254688604</v>
      </c>
      <c r="M189" s="14">
        <f t="shared" si="28"/>
        <v>0.13465840309139276</v>
      </c>
      <c r="N189" s="14">
        <f t="shared" si="35"/>
        <v>3.4459459402207102</v>
      </c>
      <c r="O189" s="4">
        <v>1.55</v>
      </c>
      <c r="P189" s="14">
        <f t="shared" si="38"/>
        <v>3.5946110082393927</v>
      </c>
      <c r="Q189" s="14">
        <f t="shared" si="36"/>
        <v>24.836757297917632</v>
      </c>
    </row>
    <row r="190" spans="1:17" x14ac:dyDescent="0.25">
      <c r="A190" s="5" t="s">
        <v>247</v>
      </c>
      <c r="B190" s="6">
        <f t="shared" si="37"/>
        <v>10</v>
      </c>
      <c r="C190" s="58">
        <v>16.949081419999999</v>
      </c>
      <c r="D190" s="4">
        <v>0</v>
      </c>
      <c r="E190" s="12">
        <f t="shared" si="26"/>
        <v>0</v>
      </c>
      <c r="F190" s="12">
        <f t="shared" si="27"/>
        <v>0</v>
      </c>
      <c r="G190" s="16">
        <f t="shared" si="29"/>
        <v>2.9294707200008694</v>
      </c>
      <c r="H190" s="14">
        <f t="shared" si="30"/>
        <v>0</v>
      </c>
      <c r="I190" s="14">
        <f t="shared" si="31"/>
        <v>6.181397677011998</v>
      </c>
      <c r="J190" s="14">
        <f t="shared" si="32"/>
        <v>0.28374547363964947</v>
      </c>
      <c r="K190" s="14">
        <f t="shared" si="33"/>
        <v>0.47357092932117917</v>
      </c>
      <c r="L190" s="14">
        <f t="shared" si="34"/>
        <v>634.63535023215741</v>
      </c>
      <c r="M190" s="14">
        <f t="shared" si="28"/>
        <v>0.13462988305608056</v>
      </c>
      <c r="N190" s="14">
        <f t="shared" si="35"/>
        <v>3.4452161045948397</v>
      </c>
      <c r="O190" s="4">
        <v>1.51</v>
      </c>
      <c r="P190" s="14">
        <f t="shared" si="38"/>
        <v>3.7450613714832257</v>
      </c>
      <c r="Q190" s="14">
        <f t="shared" si="36"/>
        <v>25.237049217457862</v>
      </c>
    </row>
    <row r="191" spans="1:17" x14ac:dyDescent="0.25">
      <c r="A191" s="5" t="s">
        <v>248</v>
      </c>
      <c r="B191" s="6">
        <f t="shared" si="37"/>
        <v>10</v>
      </c>
      <c r="C191" s="58">
        <v>17.667825700000002</v>
      </c>
      <c r="D191" s="4">
        <v>0</v>
      </c>
      <c r="E191" s="12">
        <f t="shared" si="26"/>
        <v>0</v>
      </c>
      <c r="F191" s="12">
        <f t="shared" si="27"/>
        <v>0</v>
      </c>
      <c r="G191" s="16">
        <f t="shared" si="29"/>
        <v>2.628376467755035</v>
      </c>
      <c r="H191" s="14">
        <f t="shared" si="30"/>
        <v>0</v>
      </c>
      <c r="I191" s="14">
        <f t="shared" si="31"/>
        <v>7.194671888318231</v>
      </c>
      <c r="J191" s="14">
        <f t="shared" si="32"/>
        <v>0.30109425224583419</v>
      </c>
      <c r="K191" s="14">
        <f t="shared" si="33"/>
        <v>0.44996341846489479</v>
      </c>
      <c r="L191" s="14">
        <f t="shared" si="34"/>
        <v>634.52432785995757</v>
      </c>
      <c r="M191" s="14">
        <f t="shared" si="28"/>
        <v>0.13460136782786641</v>
      </c>
      <c r="N191" s="14">
        <f t="shared" si="35"/>
        <v>3.4444863919839426</v>
      </c>
      <c r="O191" s="4">
        <v>1.53</v>
      </c>
      <c r="P191" s="14">
        <f t="shared" si="38"/>
        <v>3.6652581450916939</v>
      </c>
      <c r="Q191" s="14">
        <f t="shared" si="36"/>
        <v>25.036503257687745</v>
      </c>
    </row>
    <row r="192" spans="1:17" x14ac:dyDescent="0.25">
      <c r="A192" s="5" t="s">
        <v>249</v>
      </c>
      <c r="B192" s="6">
        <f t="shared" si="37"/>
        <v>10</v>
      </c>
      <c r="C192" s="58">
        <v>17.7496109</v>
      </c>
      <c r="D192" s="4">
        <v>0</v>
      </c>
      <c r="E192" s="12">
        <f t="shared" si="26"/>
        <v>0</v>
      </c>
      <c r="F192" s="12">
        <f t="shared" si="27"/>
        <v>0</v>
      </c>
      <c r="G192" s="16">
        <f t="shared" si="29"/>
        <v>2.3538997218696505</v>
      </c>
      <c r="H192" s="14">
        <f t="shared" si="30"/>
        <v>0</v>
      </c>
      <c r="I192" s="14">
        <f t="shared" si="31"/>
        <v>7.3099713575905589</v>
      </c>
      <c r="J192" s="14">
        <f t="shared" si="32"/>
        <v>0.27447674588538462</v>
      </c>
      <c r="K192" s="14">
        <f t="shared" si="33"/>
        <v>0.42753274202627295</v>
      </c>
      <c r="L192" s="14">
        <f t="shared" si="34"/>
        <v>634.41215716856834</v>
      </c>
      <c r="M192" s="14">
        <f t="shared" si="28"/>
        <v>0.13457285746747449</v>
      </c>
      <c r="N192" s="14">
        <f t="shared" si="35"/>
        <v>3.443756803941969</v>
      </c>
      <c r="O192" s="4">
        <v>1.54</v>
      </c>
      <c r="P192" s="14">
        <f t="shared" si="38"/>
        <v>3.6242899685553405</v>
      </c>
      <c r="Q192" s="14">
        <f t="shared" si="36"/>
        <v>24.936530277802689</v>
      </c>
    </row>
    <row r="193" spans="1:17" x14ac:dyDescent="0.25">
      <c r="A193" s="5" t="s">
        <v>250</v>
      </c>
      <c r="B193" s="6">
        <f t="shared" si="37"/>
        <v>10</v>
      </c>
      <c r="C193" s="58">
        <v>16.95136261</v>
      </c>
      <c r="D193" s="4">
        <v>0</v>
      </c>
      <c r="E193" s="12">
        <f t="shared" si="26"/>
        <v>0</v>
      </c>
      <c r="F193" s="12">
        <f t="shared" si="27"/>
        <v>0</v>
      </c>
      <c r="G193" s="16">
        <f t="shared" si="29"/>
        <v>2.1459286913594124</v>
      </c>
      <c r="H193" s="14">
        <f t="shared" si="30"/>
        <v>0</v>
      </c>
      <c r="I193" s="14">
        <f t="shared" si="31"/>
        <v>6.1846136622551651</v>
      </c>
      <c r="J193" s="14">
        <f t="shared" si="32"/>
        <v>0.20797103051023819</v>
      </c>
      <c r="K193" s="14">
        <f t="shared" si="33"/>
        <v>0.40622023480951952</v>
      </c>
      <c r="L193" s="14">
        <f t="shared" si="34"/>
        <v>634.29889681831753</v>
      </c>
      <c r="M193" s="14">
        <f t="shared" si="28"/>
        <v>0.13454435203253809</v>
      </c>
      <c r="N193" s="14">
        <f t="shared" si="35"/>
        <v>3.4430273419437696</v>
      </c>
      <c r="O193" s="4">
        <v>1.54</v>
      </c>
      <c r="P193" s="14">
        <f t="shared" si="38"/>
        <v>3.6215130641855686</v>
      </c>
      <c r="Q193" s="14">
        <f t="shared" si="36"/>
        <v>24.936530277802689</v>
      </c>
    </row>
    <row r="194" spans="1:17" x14ac:dyDescent="0.25">
      <c r="A194" s="5" t="s">
        <v>251</v>
      </c>
      <c r="B194" s="6">
        <f t="shared" si="37"/>
        <v>10</v>
      </c>
      <c r="C194" s="58">
        <v>18.036863329999999</v>
      </c>
      <c r="D194" s="4">
        <v>0</v>
      </c>
      <c r="E194" s="12">
        <f t="shared" si="26"/>
        <v>0</v>
      </c>
      <c r="F194" s="12">
        <f t="shared" si="27"/>
        <v>0</v>
      </c>
      <c r="G194" s="16">
        <f t="shared" si="29"/>
        <v>1.9094184875158153</v>
      </c>
      <c r="H194" s="14">
        <f t="shared" si="30"/>
        <v>0</v>
      </c>
      <c r="I194" s="14">
        <f t="shared" si="31"/>
        <v>7.7149352474653368</v>
      </c>
      <c r="J194" s="14">
        <f t="shared" si="32"/>
        <v>0.23651020384359708</v>
      </c>
      <c r="K194" s="14">
        <f t="shared" si="33"/>
        <v>0.38597015607885443</v>
      </c>
      <c r="L194" s="14">
        <f t="shared" si="34"/>
        <v>634.18460254501565</v>
      </c>
      <c r="M194" s="14">
        <f t="shared" si="28"/>
        <v>0.13451585157775384</v>
      </c>
      <c r="N194" s="14">
        <f t="shared" si="35"/>
        <v>3.4422980073890481</v>
      </c>
      <c r="O194" s="4">
        <v>1.53</v>
      </c>
      <c r="P194" s="14">
        <f t="shared" si="38"/>
        <v>3.6568836690641238</v>
      </c>
      <c r="Q194" s="14">
        <f t="shared" si="36"/>
        <v>25.036503257687745</v>
      </c>
    </row>
    <row r="195" spans="1:17" x14ac:dyDescent="0.25">
      <c r="A195" s="5" t="s">
        <v>252</v>
      </c>
      <c r="B195" s="6">
        <f t="shared" si="37"/>
        <v>10</v>
      </c>
      <c r="C195" s="58">
        <v>16.30133438</v>
      </c>
      <c r="D195" s="4">
        <v>0</v>
      </c>
      <c r="E195" s="12">
        <f t="shared" si="26"/>
        <v>0</v>
      </c>
      <c r="F195" s="12">
        <f t="shared" si="27"/>
        <v>0</v>
      </c>
      <c r="G195" s="16">
        <f t="shared" si="29"/>
        <v>1.7657151476350554</v>
      </c>
      <c r="H195" s="14">
        <f t="shared" si="30"/>
        <v>0</v>
      </c>
      <c r="I195" s="14">
        <f t="shared" si="31"/>
        <v>5.2682142411981587</v>
      </c>
      <c r="J195" s="14">
        <f t="shared" si="32"/>
        <v>0.14370333988075978</v>
      </c>
      <c r="K195" s="14">
        <f t="shared" si="33"/>
        <v>0.36672954377417971</v>
      </c>
      <c r="L195" s="14">
        <f t="shared" si="34"/>
        <v>634.0693273057426</v>
      </c>
      <c r="M195" s="14">
        <f t="shared" si="28"/>
        <v>0.13448735615502813</v>
      </c>
      <c r="N195" s="14">
        <f t="shared" si="35"/>
        <v>3.4415688016061017</v>
      </c>
      <c r="O195" s="4">
        <v>1.53</v>
      </c>
      <c r="P195" s="14">
        <f t="shared" si="38"/>
        <v>3.6540952832737874</v>
      </c>
      <c r="Q195" s="14">
        <f t="shared" si="36"/>
        <v>25.036503257687745</v>
      </c>
    </row>
    <row r="196" spans="1:17" x14ac:dyDescent="0.25">
      <c r="A196" s="5" t="s">
        <v>253</v>
      </c>
      <c r="B196" s="6">
        <f t="shared" si="37"/>
        <v>10</v>
      </c>
      <c r="C196" s="58">
        <v>17.34312439</v>
      </c>
      <c r="D196" s="4">
        <v>0</v>
      </c>
      <c r="E196" s="12">
        <f t="shared" si="26"/>
        <v>0</v>
      </c>
      <c r="F196" s="12">
        <f t="shared" si="27"/>
        <v>0</v>
      </c>
      <c r="G196" s="16">
        <f t="shared" si="29"/>
        <v>1.5957797300576648</v>
      </c>
      <c r="H196" s="14">
        <f t="shared" si="30"/>
        <v>0</v>
      </c>
      <c r="I196" s="14">
        <f t="shared" si="31"/>
        <v>6.736913165284844</v>
      </c>
      <c r="J196" s="14">
        <f t="shared" si="32"/>
        <v>0.16993541757739061</v>
      </c>
      <c r="K196" s="14">
        <f t="shared" si="33"/>
        <v>0.34844807599409661</v>
      </c>
      <c r="L196" s="14">
        <f t="shared" si="34"/>
        <v>633.9531214173677</v>
      </c>
      <c r="M196" s="14">
        <f t="shared" si="28"/>
        <v>0.13445886581361613</v>
      </c>
      <c r="N196" s="14">
        <f t="shared" si="35"/>
        <v>3.4408397258553851</v>
      </c>
      <c r="O196" s="4">
        <v>1.54</v>
      </c>
      <c r="P196" s="14">
        <f t="shared" si="38"/>
        <v>3.6131916633899754</v>
      </c>
      <c r="Q196" s="14">
        <f t="shared" si="36"/>
        <v>24.936530277802689</v>
      </c>
    </row>
    <row r="197" spans="1:17" x14ac:dyDescent="0.25">
      <c r="A197" s="5" t="s">
        <v>254</v>
      </c>
      <c r="B197" s="6">
        <f t="shared" si="37"/>
        <v>10</v>
      </c>
      <c r="C197" s="58">
        <v>16.321723939999998</v>
      </c>
      <c r="D197" s="4">
        <v>0</v>
      </c>
      <c r="E197" s="12">
        <f t="shared" si="26"/>
        <v>0</v>
      </c>
      <c r="F197" s="12">
        <f t="shared" si="27"/>
        <v>0</v>
      </c>
      <c r="G197" s="16">
        <f t="shared" si="29"/>
        <v>1.4750256326794449</v>
      </c>
      <c r="H197" s="14">
        <f t="shared" si="30"/>
        <v>0</v>
      </c>
      <c r="I197" s="14">
        <f t="shared" si="31"/>
        <v>5.2969591173700836</v>
      </c>
      <c r="J197" s="14">
        <f t="shared" si="32"/>
        <v>0.12075409737822006</v>
      </c>
      <c r="K197" s="14">
        <f t="shared" si="33"/>
        <v>0.33107793938399421</v>
      </c>
      <c r="L197" s="14">
        <f t="shared" si="34"/>
        <v>633.83603268816421</v>
      </c>
      <c r="M197" s="14">
        <f t="shared" si="28"/>
        <v>0.13443038060025408</v>
      </c>
      <c r="N197" s="14">
        <f t="shared" si="35"/>
        <v>3.4401107813328911</v>
      </c>
      <c r="O197" s="4">
        <v>1.54</v>
      </c>
      <c r="P197" s="14">
        <f t="shared" si="38"/>
        <v>3.6104209813374895</v>
      </c>
      <c r="Q197" s="14">
        <f t="shared" si="36"/>
        <v>24.936530277802689</v>
      </c>
    </row>
    <row r="198" spans="1:17" x14ac:dyDescent="0.25">
      <c r="A198" s="5" t="s">
        <v>255</v>
      </c>
      <c r="B198" s="6">
        <f t="shared" si="37"/>
        <v>10</v>
      </c>
      <c r="C198" s="58">
        <v>16.24869919</v>
      </c>
      <c r="D198" s="4">
        <v>5.4</v>
      </c>
      <c r="E198" s="12">
        <f t="shared" si="26"/>
        <v>0</v>
      </c>
      <c r="F198" s="12">
        <f t="shared" si="27"/>
        <v>5.4</v>
      </c>
      <c r="G198" s="16">
        <f t="shared" si="29"/>
        <v>6.4908369246151612</v>
      </c>
      <c r="H198" s="14">
        <f t="shared" si="30"/>
        <v>0.2747415072146922</v>
      </c>
      <c r="I198" s="14">
        <f t="shared" si="31"/>
        <v>5.1940099906485706</v>
      </c>
      <c r="J198" s="14">
        <f t="shared" si="32"/>
        <v>0.109447200849592</v>
      </c>
      <c r="K198" s="14">
        <f t="shared" si="33"/>
        <v>0.58931521129968412</v>
      </c>
      <c r="L198" s="14">
        <f t="shared" si="34"/>
        <v>633.71810654286298</v>
      </c>
      <c r="M198" s="14">
        <f t="shared" si="28"/>
        <v>0.13445986550842609</v>
      </c>
      <c r="N198" s="14">
        <f t="shared" si="35"/>
        <v>3.4408653083232652</v>
      </c>
      <c r="O198" s="4">
        <v>1.56</v>
      </c>
      <c r="P198" s="14">
        <f t="shared" si="38"/>
        <v>3.5376543080539711</v>
      </c>
      <c r="Q198" s="14">
        <f t="shared" si="36"/>
        <v>24.737184318032579</v>
      </c>
    </row>
    <row r="199" spans="1:17" x14ac:dyDescent="0.25">
      <c r="A199" s="5" t="s">
        <v>256</v>
      </c>
      <c r="B199" s="6">
        <f t="shared" si="37"/>
        <v>10</v>
      </c>
      <c r="C199" s="58">
        <v>15.1769228</v>
      </c>
      <c r="D199" s="4">
        <v>0</v>
      </c>
      <c r="E199" s="12">
        <f t="shared" si="26"/>
        <v>0</v>
      </c>
      <c r="F199" s="12">
        <f t="shared" si="27"/>
        <v>0</v>
      </c>
      <c r="G199" s="16">
        <f t="shared" si="29"/>
        <v>6.1493224929598096</v>
      </c>
      <c r="H199" s="14">
        <f t="shared" si="30"/>
        <v>0</v>
      </c>
      <c r="I199" s="14">
        <f t="shared" si="31"/>
        <v>3.6830367467656577</v>
      </c>
      <c r="J199" s="14">
        <f t="shared" si="32"/>
        <v>0.34151443165535128</v>
      </c>
      <c r="K199" s="14">
        <f t="shared" si="33"/>
        <v>0.55993784797953106</v>
      </c>
      <c r="L199" s="14">
        <f t="shared" si="34"/>
        <v>633.61302404067476</v>
      </c>
      <c r="M199" s="14">
        <f t="shared" si="28"/>
        <v>0.13443139209037552</v>
      </c>
      <c r="N199" s="14">
        <f t="shared" si="35"/>
        <v>3.4401366656460675</v>
      </c>
      <c r="O199" s="4">
        <v>1.6</v>
      </c>
      <c r="P199" s="14">
        <f t="shared" si="38"/>
        <v>3.3861029482550267</v>
      </c>
      <c r="Q199" s="14">
        <f t="shared" si="36"/>
        <v>24.34089239849234</v>
      </c>
    </row>
    <row r="200" spans="1:17" x14ac:dyDescent="0.25">
      <c r="A200" s="5" t="s">
        <v>257</v>
      </c>
      <c r="B200" s="6">
        <f t="shared" si="37"/>
        <v>10</v>
      </c>
      <c r="C200" s="58">
        <v>16.11373901</v>
      </c>
      <c r="D200" s="4">
        <v>0</v>
      </c>
      <c r="E200" s="12">
        <f t="shared" si="26"/>
        <v>0</v>
      </c>
      <c r="F200" s="12">
        <f t="shared" si="27"/>
        <v>0</v>
      </c>
      <c r="G200" s="16">
        <f t="shared" si="29"/>
        <v>5.7097558034045237</v>
      </c>
      <c r="H200" s="14">
        <f t="shared" si="30"/>
        <v>0</v>
      </c>
      <c r="I200" s="14">
        <f t="shared" si="31"/>
        <v>5.0037452835023135</v>
      </c>
      <c r="J200" s="14">
        <f t="shared" si="32"/>
        <v>0.43956668955528627</v>
      </c>
      <c r="K200" s="14">
        <f t="shared" si="33"/>
        <v>0.53202494622272523</v>
      </c>
      <c r="L200" s="14">
        <f t="shared" si="34"/>
        <v>633.50650555034122</v>
      </c>
      <c r="M200" s="14">
        <f t="shared" si="28"/>
        <v>0.13440292324365705</v>
      </c>
      <c r="N200" s="14">
        <f t="shared" si="35"/>
        <v>3.4394081399505296</v>
      </c>
      <c r="O200" s="4">
        <v>1.61</v>
      </c>
      <c r="P200" s="14">
        <f t="shared" si="38"/>
        <v>3.3467341425172563</v>
      </c>
      <c r="Q200" s="14">
        <f t="shared" si="36"/>
        <v>24.242319418607284</v>
      </c>
    </row>
    <row r="201" spans="1:17" x14ac:dyDescent="0.25">
      <c r="A201" s="5" t="s">
        <v>258</v>
      </c>
      <c r="B201" s="6">
        <f t="shared" si="37"/>
        <v>10</v>
      </c>
      <c r="C201" s="58">
        <v>15.87523079</v>
      </c>
      <c r="D201" s="4">
        <v>0</v>
      </c>
      <c r="E201" s="12">
        <f t="shared" si="26"/>
        <v>0</v>
      </c>
      <c r="F201" s="12">
        <f t="shared" si="27"/>
        <v>0</v>
      </c>
      <c r="G201" s="16">
        <f t="shared" si="29"/>
        <v>5.3290371192456893</v>
      </c>
      <c r="H201" s="14">
        <f t="shared" si="30"/>
        <v>0</v>
      </c>
      <c r="I201" s="14">
        <f t="shared" si="31"/>
        <v>4.6675002026919969</v>
      </c>
      <c r="J201" s="14">
        <f t="shared" si="32"/>
        <v>0.38071868415883431</v>
      </c>
      <c r="K201" s="14">
        <f t="shared" si="33"/>
        <v>0.50550350262024224</v>
      </c>
      <c r="L201" s="14">
        <f t="shared" si="34"/>
        <v>633.39862407069995</v>
      </c>
      <c r="M201" s="14">
        <f t="shared" si="28"/>
        <v>0.13437445904030512</v>
      </c>
      <c r="N201" s="14">
        <f t="shared" si="35"/>
        <v>3.4386797330800301</v>
      </c>
      <c r="O201" s="4">
        <v>1.57</v>
      </c>
      <c r="P201" s="14">
        <f t="shared" si="38"/>
        <v>3.491963944824052</v>
      </c>
      <c r="Q201" s="14">
        <f t="shared" si="36"/>
        <v>24.637811338147515</v>
      </c>
    </row>
    <row r="202" spans="1:17" x14ac:dyDescent="0.25">
      <c r="A202" s="5" t="s">
        <v>259</v>
      </c>
      <c r="B202" s="6">
        <f t="shared" si="37"/>
        <v>10</v>
      </c>
      <c r="C202" s="58">
        <v>16.205320360000002</v>
      </c>
      <c r="D202" s="4">
        <v>0</v>
      </c>
      <c r="E202" s="12">
        <f t="shared" si="26"/>
        <v>0</v>
      </c>
      <c r="F202" s="12">
        <f t="shared" si="27"/>
        <v>0</v>
      </c>
      <c r="G202" s="16">
        <f t="shared" si="29"/>
        <v>4.938277147479452</v>
      </c>
      <c r="H202" s="14">
        <f t="shared" si="30"/>
        <v>0</v>
      </c>
      <c r="I202" s="14">
        <f t="shared" si="31"/>
        <v>5.1328552086506738</v>
      </c>
      <c r="J202" s="14">
        <f t="shared" si="32"/>
        <v>0.39075997176623717</v>
      </c>
      <c r="K202" s="14">
        <f t="shared" si="33"/>
        <v>0.48030415298300205</v>
      </c>
      <c r="L202" s="14">
        <f t="shared" si="34"/>
        <v>633.2894489612969</v>
      </c>
      <c r="M202" s="14">
        <f t="shared" si="28"/>
        <v>0.13434599954869958</v>
      </c>
      <c r="N202" s="14">
        <f t="shared" si="35"/>
        <v>3.4379514467844299</v>
      </c>
      <c r="O202" s="4">
        <v>1.56</v>
      </c>
      <c r="P202" s="14">
        <f t="shared" si="38"/>
        <v>3.526701636479733</v>
      </c>
      <c r="Q202" s="14">
        <f t="shared" si="36"/>
        <v>24.737184318032579</v>
      </c>
    </row>
    <row r="203" spans="1:17" x14ac:dyDescent="0.25">
      <c r="A203" s="5" t="s">
        <v>260</v>
      </c>
      <c r="B203" s="6">
        <f t="shared" si="37"/>
        <v>10</v>
      </c>
      <c r="C203" s="58">
        <v>15.87618256</v>
      </c>
      <c r="D203" s="4">
        <v>0</v>
      </c>
      <c r="E203" s="12">
        <f t="shared" si="26"/>
        <v>0</v>
      </c>
      <c r="F203" s="12">
        <f t="shared" si="27"/>
        <v>0</v>
      </c>
      <c r="G203" s="16">
        <f t="shared" si="29"/>
        <v>4.6089049426605522</v>
      </c>
      <c r="H203" s="14">
        <f t="shared" si="30"/>
        <v>0</v>
      </c>
      <c r="I203" s="14">
        <f t="shared" si="31"/>
        <v>4.6688419928431415</v>
      </c>
      <c r="J203" s="14">
        <f t="shared" si="32"/>
        <v>0.32937220481889995</v>
      </c>
      <c r="K203" s="14">
        <f t="shared" si="33"/>
        <v>0.45636099092675464</v>
      </c>
      <c r="L203" s="14">
        <f t="shared" si="34"/>
        <v>633.17904612380448</v>
      </c>
      <c r="M203" s="14">
        <f t="shared" si="28"/>
        <v>0.13431754483374803</v>
      </c>
      <c r="N203" s="14">
        <f t="shared" si="35"/>
        <v>3.4372232827247324</v>
      </c>
      <c r="O203" s="4">
        <v>1.54</v>
      </c>
      <c r="P203" s="14">
        <f t="shared" si="38"/>
        <v>3.5994561845128099</v>
      </c>
      <c r="Q203" s="14">
        <f t="shared" si="36"/>
        <v>24.936530277802689</v>
      </c>
    </row>
    <row r="204" spans="1:17" x14ac:dyDescent="0.25">
      <c r="A204" s="5" t="s">
        <v>261</v>
      </c>
      <c r="B204" s="6">
        <f t="shared" si="37"/>
        <v>10</v>
      </c>
      <c r="C204" s="58">
        <v>16.149660109999999</v>
      </c>
      <c r="D204" s="4">
        <v>0</v>
      </c>
      <c r="E204" s="12">
        <f t="shared" si="26"/>
        <v>0</v>
      </c>
      <c r="F204" s="12">
        <f t="shared" si="27"/>
        <v>0</v>
      </c>
      <c r="G204" s="16">
        <f t="shared" si="29"/>
        <v>4.2761163040135051</v>
      </c>
      <c r="H204" s="14">
        <f t="shared" si="30"/>
        <v>0</v>
      </c>
      <c r="I204" s="14">
        <f t="shared" si="31"/>
        <v>5.0543862768076817</v>
      </c>
      <c r="J204" s="14">
        <f t="shared" si="32"/>
        <v>0.33278863864704733</v>
      </c>
      <c r="K204" s="14">
        <f t="shared" si="33"/>
        <v>0.43361139550050887</v>
      </c>
      <c r="L204" s="14">
        <f t="shared" si="34"/>
        <v>633.06747817439691</v>
      </c>
      <c r="M204" s="14">
        <f t="shared" si="28"/>
        <v>0.13428909495705887</v>
      </c>
      <c r="N204" s="14">
        <f t="shared" si="35"/>
        <v>3.4364952424775139</v>
      </c>
      <c r="O204" s="4">
        <v>1.53</v>
      </c>
      <c r="P204" s="14">
        <f t="shared" si="38"/>
        <v>3.6347241095893943</v>
      </c>
      <c r="Q204" s="14">
        <f t="shared" si="36"/>
        <v>25.036503257687745</v>
      </c>
    </row>
    <row r="205" spans="1:17" x14ac:dyDescent="0.25">
      <c r="A205" s="5" t="s">
        <v>262</v>
      </c>
      <c r="B205" s="6">
        <f t="shared" si="37"/>
        <v>10</v>
      </c>
      <c r="C205" s="58">
        <v>16.49484253</v>
      </c>
      <c r="D205" s="4">
        <v>0</v>
      </c>
      <c r="E205" s="12">
        <f t="shared" si="26"/>
        <v>0</v>
      </c>
      <c r="F205" s="12">
        <f t="shared" si="27"/>
        <v>0</v>
      </c>
      <c r="G205" s="16">
        <f t="shared" si="29"/>
        <v>3.9376297244174747</v>
      </c>
      <c r="H205" s="14">
        <f t="shared" si="30"/>
        <v>0</v>
      </c>
      <c r="I205" s="14">
        <f t="shared" si="31"/>
        <v>5.5410189417414131</v>
      </c>
      <c r="J205" s="14">
        <f t="shared" si="32"/>
        <v>0.33848657959603051</v>
      </c>
      <c r="K205" s="14">
        <f t="shared" si="33"/>
        <v>0.41199586740768457</v>
      </c>
      <c r="L205" s="14">
        <f t="shared" si="34"/>
        <v>632.95480460753265</v>
      </c>
      <c r="M205" s="14">
        <f t="shared" si="28"/>
        <v>0.13426064997710579</v>
      </c>
      <c r="N205" s="14">
        <f t="shared" si="35"/>
        <v>3.4357673275391303</v>
      </c>
      <c r="O205" s="4">
        <v>1.54</v>
      </c>
      <c r="P205" s="14">
        <f t="shared" si="38"/>
        <v>3.5939337601648558</v>
      </c>
      <c r="Q205" s="14">
        <f t="shared" si="36"/>
        <v>24.936530277802689</v>
      </c>
    </row>
    <row r="206" spans="1:17" x14ac:dyDescent="0.25">
      <c r="A206" s="5" t="s">
        <v>263</v>
      </c>
      <c r="B206" s="6">
        <f t="shared" si="37"/>
        <v>10</v>
      </c>
      <c r="C206" s="58">
        <v>16.560878750000001</v>
      </c>
      <c r="D206" s="4">
        <v>0</v>
      </c>
      <c r="E206" s="12">
        <f t="shared" si="26"/>
        <v>0</v>
      </c>
      <c r="F206" s="12">
        <f t="shared" si="27"/>
        <v>0</v>
      </c>
      <c r="G206" s="16">
        <f t="shared" si="29"/>
        <v>3.6207000163423424</v>
      </c>
      <c r="H206" s="14">
        <f t="shared" si="30"/>
        <v>0</v>
      </c>
      <c r="I206" s="14">
        <f t="shared" si="31"/>
        <v>5.6341157504396975</v>
      </c>
      <c r="J206" s="14">
        <f t="shared" si="32"/>
        <v>0.31692970807513243</v>
      </c>
      <c r="K206" s="14">
        <f t="shared" si="33"/>
        <v>0.39145787339163968</v>
      </c>
      <c r="L206" s="14">
        <f t="shared" si="34"/>
        <v>632.84108195157148</v>
      </c>
      <c r="M206" s="14">
        <f t="shared" si="28"/>
        <v>0.13423220994938401</v>
      </c>
      <c r="N206" s="14">
        <f t="shared" si="35"/>
        <v>3.4350395393297233</v>
      </c>
      <c r="O206" s="4">
        <v>1.58</v>
      </c>
      <c r="P206" s="14">
        <f t="shared" si="38"/>
        <v>3.4411716924766318</v>
      </c>
      <c r="Q206" s="14">
        <f t="shared" si="36"/>
        <v>24.538638358262457</v>
      </c>
    </row>
    <row r="207" spans="1:17" x14ac:dyDescent="0.25">
      <c r="A207" s="5" t="s">
        <v>264</v>
      </c>
      <c r="B207" s="6">
        <f t="shared" si="37"/>
        <v>10</v>
      </c>
      <c r="C207" s="58">
        <v>16.797470090000001</v>
      </c>
      <c r="D207" s="4">
        <v>0.6</v>
      </c>
      <c r="E207" s="12">
        <f t="shared" si="26"/>
        <v>0</v>
      </c>
      <c r="F207" s="12">
        <f t="shared" si="27"/>
        <v>0.6</v>
      </c>
      <c r="G207" s="16">
        <f t="shared" si="29"/>
        <v>3.8628236513826217</v>
      </c>
      <c r="H207" s="14">
        <f t="shared" si="30"/>
        <v>4.9203243873201394E-2</v>
      </c>
      <c r="I207" s="14">
        <f t="shared" si="31"/>
        <v>5.9676584444286975</v>
      </c>
      <c r="J207" s="14">
        <f t="shared" si="32"/>
        <v>0.30867312108651951</v>
      </c>
      <c r="K207" s="14">
        <f t="shared" si="33"/>
        <v>0.42114694225178073</v>
      </c>
      <c r="L207" s="14">
        <f t="shared" si="34"/>
        <v>632.72636391663514</v>
      </c>
      <c r="M207" s="14">
        <f t="shared" si="28"/>
        <v>0.13421415582443486</v>
      </c>
      <c r="N207" s="14">
        <f t="shared" si="35"/>
        <v>3.4345775292572389</v>
      </c>
      <c r="O207" s="4">
        <v>1.58</v>
      </c>
      <c r="P207" s="14">
        <f t="shared" si="38"/>
        <v>3.4394578120258847</v>
      </c>
      <c r="Q207" s="14">
        <f t="shared" si="36"/>
        <v>24.538638358262457</v>
      </c>
    </row>
    <row r="208" spans="1:17" x14ac:dyDescent="0.25">
      <c r="A208" s="5" t="s">
        <v>265</v>
      </c>
      <c r="B208" s="6">
        <f t="shared" si="37"/>
        <v>10</v>
      </c>
      <c r="C208" s="58">
        <v>16.500814439999999</v>
      </c>
      <c r="D208" s="4">
        <v>0</v>
      </c>
      <c r="E208" s="12">
        <f t="shared" si="26"/>
        <v>0</v>
      </c>
      <c r="F208" s="12">
        <f t="shared" si="27"/>
        <v>0</v>
      </c>
      <c r="G208" s="16">
        <f t="shared" si="29"/>
        <v>3.5565876821885194</v>
      </c>
      <c r="H208" s="14">
        <f t="shared" si="30"/>
        <v>0</v>
      </c>
      <c r="I208" s="14">
        <f t="shared" si="31"/>
        <v>5.5494380451188219</v>
      </c>
      <c r="J208" s="14">
        <f t="shared" si="32"/>
        <v>0.3062359691941024</v>
      </c>
      <c r="K208" s="14">
        <f t="shared" si="33"/>
        <v>0.40015276715418518</v>
      </c>
      <c r="L208" s="14">
        <f t="shared" si="34"/>
        <v>632.61314393590828</v>
      </c>
      <c r="M208" s="14">
        <f t="shared" si="28"/>
        <v>0.13418572610872229</v>
      </c>
      <c r="N208" s="14">
        <f t="shared" si="35"/>
        <v>3.4338500049350116</v>
      </c>
      <c r="O208" s="4">
        <v>1.58</v>
      </c>
      <c r="P208" s="14">
        <f t="shared" si="38"/>
        <v>3.4367598407975422</v>
      </c>
      <c r="Q208" s="14">
        <f t="shared" si="36"/>
        <v>24.538638358262457</v>
      </c>
    </row>
    <row r="209" spans="1:17" x14ac:dyDescent="0.25">
      <c r="A209" s="5" t="s">
        <v>266</v>
      </c>
      <c r="B209" s="6">
        <f t="shared" si="37"/>
        <v>10</v>
      </c>
      <c r="C209" s="58">
        <v>17.512609479999998</v>
      </c>
      <c r="D209" s="4">
        <v>0</v>
      </c>
      <c r="E209" s="12">
        <f t="shared" si="26"/>
        <v>0</v>
      </c>
      <c r="F209" s="12">
        <f t="shared" si="27"/>
        <v>0</v>
      </c>
      <c r="G209" s="16">
        <f t="shared" si="29"/>
        <v>3.2021556230948396</v>
      </c>
      <c r="H209" s="14">
        <f t="shared" si="30"/>
        <v>0</v>
      </c>
      <c r="I209" s="14">
        <f t="shared" si="31"/>
        <v>6.9758505393644183</v>
      </c>
      <c r="J209" s="14">
        <f t="shared" si="32"/>
        <v>0.35443205909367981</v>
      </c>
      <c r="K209" s="14">
        <f t="shared" si="33"/>
        <v>0.38020515168651803</v>
      </c>
      <c r="L209" s="14">
        <f t="shared" si="34"/>
        <v>632.49890582526723</v>
      </c>
      <c r="M209" s="14">
        <f t="shared" si="28"/>
        <v>0.13415730137297976</v>
      </c>
      <c r="N209" s="14">
        <f t="shared" si="35"/>
        <v>3.4331226080516002</v>
      </c>
      <c r="O209" s="4">
        <v>1.54</v>
      </c>
      <c r="P209" s="14">
        <f t="shared" si="38"/>
        <v>3.5839132091160923</v>
      </c>
      <c r="Q209" s="14">
        <f t="shared" si="36"/>
        <v>24.936530277802689</v>
      </c>
    </row>
    <row r="210" spans="1:17" x14ac:dyDescent="0.25">
      <c r="A210" s="5" t="s">
        <v>267</v>
      </c>
      <c r="B210" s="6">
        <f t="shared" si="37"/>
        <v>10</v>
      </c>
      <c r="C210" s="58">
        <v>16.000419619999999</v>
      </c>
      <c r="D210" s="4">
        <v>0</v>
      </c>
      <c r="E210" s="12">
        <f t="shared" si="26"/>
        <v>0</v>
      </c>
      <c r="F210" s="12">
        <f t="shared" si="27"/>
        <v>0</v>
      </c>
      <c r="G210" s="16">
        <f t="shared" si="29"/>
        <v>2.980566759171202</v>
      </c>
      <c r="H210" s="14">
        <f t="shared" si="30"/>
        <v>0</v>
      </c>
      <c r="I210" s="14">
        <f t="shared" si="31"/>
        <v>4.8439894166062949</v>
      </c>
      <c r="J210" s="14">
        <f t="shared" si="32"/>
        <v>0.22158886392363775</v>
      </c>
      <c r="K210" s="14">
        <f t="shared" si="33"/>
        <v>0.36125192485116187</v>
      </c>
      <c r="L210" s="14">
        <f t="shared" si="34"/>
        <v>632.38370175072953</v>
      </c>
      <c r="M210" s="14">
        <f t="shared" si="28"/>
        <v>0.13412888166832262</v>
      </c>
      <c r="N210" s="14">
        <f t="shared" si="35"/>
        <v>3.4323953399150615</v>
      </c>
      <c r="O210" s="4">
        <v>1.55</v>
      </c>
      <c r="P210" s="14">
        <f t="shared" si="38"/>
        <v>3.5434122157339396</v>
      </c>
      <c r="Q210" s="14">
        <f t="shared" si="36"/>
        <v>24.836757297917632</v>
      </c>
    </row>
    <row r="211" spans="1:17" x14ac:dyDescent="0.25">
      <c r="A211" s="5" t="s">
        <v>268</v>
      </c>
      <c r="B211" s="6">
        <f t="shared" si="37"/>
        <v>10</v>
      </c>
      <c r="C211" s="58">
        <v>16.235469819999999</v>
      </c>
      <c r="D211" s="4">
        <v>0</v>
      </c>
      <c r="E211" s="12">
        <f t="shared" si="26"/>
        <v>0</v>
      </c>
      <c r="F211" s="12">
        <f t="shared" si="27"/>
        <v>0</v>
      </c>
      <c r="G211" s="16">
        <f t="shared" si="29"/>
        <v>2.7602022340478709</v>
      </c>
      <c r="H211" s="14">
        <f t="shared" si="30"/>
        <v>0</v>
      </c>
      <c r="I211" s="14">
        <f t="shared" si="31"/>
        <v>5.1753594360273496</v>
      </c>
      <c r="J211" s="14">
        <f t="shared" si="32"/>
        <v>0.22036452512333091</v>
      </c>
      <c r="K211" s="14">
        <f t="shared" si="33"/>
        <v>0.34324351637473383</v>
      </c>
      <c r="L211" s="14">
        <f t="shared" si="34"/>
        <v>632.2675812775376</v>
      </c>
      <c r="M211" s="14">
        <f t="shared" si="28"/>
        <v>0.13410046704325468</v>
      </c>
      <c r="N211" s="14">
        <f t="shared" si="35"/>
        <v>3.4316682017666218</v>
      </c>
      <c r="O211" s="4">
        <v>1.55</v>
      </c>
      <c r="P211" s="14">
        <f t="shared" si="38"/>
        <v>3.5406752215396318</v>
      </c>
      <c r="Q211" s="14">
        <f t="shared" si="36"/>
        <v>24.836757297917632</v>
      </c>
    </row>
    <row r="212" spans="1:17" x14ac:dyDescent="0.25">
      <c r="A212" s="5" t="s">
        <v>269</v>
      </c>
      <c r="B212" s="6">
        <f t="shared" si="37"/>
        <v>11</v>
      </c>
      <c r="C212" s="58">
        <v>15.359095569999999</v>
      </c>
      <c r="D212" s="4">
        <v>0</v>
      </c>
      <c r="E212" s="12">
        <f t="shared" si="26"/>
        <v>0</v>
      </c>
      <c r="F212" s="12">
        <f t="shared" si="27"/>
        <v>0</v>
      </c>
      <c r="G212" s="16">
        <f t="shared" si="29"/>
        <v>2.6270245134222794</v>
      </c>
      <c r="H212" s="14">
        <f t="shared" si="30"/>
        <v>0</v>
      </c>
      <c r="I212" s="14">
        <f t="shared" si="31"/>
        <v>3.3774456090489759</v>
      </c>
      <c r="J212" s="14">
        <f t="shared" si="32"/>
        <v>0.1331777206255913</v>
      </c>
      <c r="K212" s="14">
        <f t="shared" si="33"/>
        <v>0.32613282706198221</v>
      </c>
      <c r="L212" s="14">
        <f t="shared" si="34"/>
        <v>632.15059149980709</v>
      </c>
      <c r="M212" s="14">
        <f t="shared" si="28"/>
        <v>0.13407205754379833</v>
      </c>
      <c r="N212" s="14">
        <f t="shared" si="35"/>
        <v>3.4309411947840056</v>
      </c>
      <c r="O212" s="4">
        <v>1.56</v>
      </c>
      <c r="P212" s="14">
        <f t="shared" si="38"/>
        <v>3.5004209543398024</v>
      </c>
      <c r="Q212" s="14">
        <f t="shared" si="36"/>
        <v>24.737184318032579</v>
      </c>
    </row>
    <row r="213" spans="1:17" x14ac:dyDescent="0.25">
      <c r="A213" s="5" t="s">
        <v>270</v>
      </c>
      <c r="B213" s="6">
        <f t="shared" si="37"/>
        <v>11</v>
      </c>
      <c r="C213" s="58">
        <v>16.002126690000001</v>
      </c>
      <c r="D213" s="4">
        <v>0</v>
      </c>
      <c r="E213" s="12">
        <f t="shared" si="26"/>
        <v>0</v>
      </c>
      <c r="F213" s="12">
        <f t="shared" si="27"/>
        <v>0</v>
      </c>
      <c r="G213" s="16">
        <f t="shared" si="29"/>
        <v>2.4703459794843519</v>
      </c>
      <c r="H213" s="14">
        <f t="shared" si="30"/>
        <v>0</v>
      </c>
      <c r="I213" s="14">
        <f t="shared" si="31"/>
        <v>4.1748710234094784</v>
      </c>
      <c r="J213" s="14">
        <f t="shared" si="32"/>
        <v>0.15667853393792747</v>
      </c>
      <c r="K213" s="14">
        <f t="shared" si="33"/>
        <v>0.30987510561254161</v>
      </c>
      <c r="L213" s="14">
        <f t="shared" si="34"/>
        <v>632.03277716371281</v>
      </c>
      <c r="M213" s="14">
        <f t="shared" si="28"/>
        <v>0.13404365321361841</v>
      </c>
      <c r="N213" s="14">
        <f t="shared" si="35"/>
        <v>3.4302143200846102</v>
      </c>
      <c r="O213" s="4">
        <v>1.58</v>
      </c>
      <c r="P213" s="14">
        <f t="shared" si="38"/>
        <v>3.4232930302461564</v>
      </c>
      <c r="Q213" s="14">
        <f t="shared" si="36"/>
        <v>24.538638358262457</v>
      </c>
    </row>
    <row r="214" spans="1:17" x14ac:dyDescent="0.25">
      <c r="A214" s="5" t="s">
        <v>271</v>
      </c>
      <c r="B214" s="6">
        <f t="shared" si="37"/>
        <v>11</v>
      </c>
      <c r="C214" s="58">
        <v>13.744747159999999</v>
      </c>
      <c r="D214" s="4">
        <v>0</v>
      </c>
      <c r="E214" s="12">
        <f t="shared" si="26"/>
        <v>0</v>
      </c>
      <c r="F214" s="12">
        <f t="shared" si="27"/>
        <v>0</v>
      </c>
      <c r="G214" s="16">
        <f t="shared" si="29"/>
        <v>2.4218041424516703</v>
      </c>
      <c r="H214" s="14">
        <f t="shared" si="30"/>
        <v>0</v>
      </c>
      <c r="I214" s="14">
        <f t="shared" si="31"/>
        <v>1.3754858131273338</v>
      </c>
      <c r="J214" s="14">
        <f t="shared" si="32"/>
        <v>4.8541837032681619E-2</v>
      </c>
      <c r="K214" s="14">
        <f t="shared" si="33"/>
        <v>0.2944278315783726</v>
      </c>
      <c r="L214" s="14">
        <f t="shared" si="34"/>
        <v>631.91418078453341</v>
      </c>
      <c r="M214" s="14">
        <f t="shared" si="28"/>
        <v>0.1340152540941395</v>
      </c>
      <c r="N214" s="14">
        <f t="shared" si="35"/>
        <v>3.4294875787285006</v>
      </c>
      <c r="O214" s="4">
        <v>1.58</v>
      </c>
      <c r="P214" s="14">
        <f t="shared" si="38"/>
        <v>3.4206043038710114</v>
      </c>
      <c r="Q214" s="14">
        <f t="shared" si="36"/>
        <v>24.538638358262457</v>
      </c>
    </row>
    <row r="215" spans="1:17" x14ac:dyDescent="0.25">
      <c r="A215" s="5" t="s">
        <v>272</v>
      </c>
      <c r="B215" s="6">
        <f t="shared" si="37"/>
        <v>11</v>
      </c>
      <c r="C215" s="58">
        <v>12.6579771</v>
      </c>
      <c r="D215" s="4">
        <v>0</v>
      </c>
      <c r="E215" s="12">
        <f t="shared" si="26"/>
        <v>0</v>
      </c>
      <c r="F215" s="12">
        <f t="shared" si="27"/>
        <v>0</v>
      </c>
      <c r="G215" s="16">
        <f t="shared" si="29"/>
        <v>2.4208431006459881</v>
      </c>
      <c r="H215" s="14">
        <f t="shared" si="30"/>
        <v>0</v>
      </c>
      <c r="I215" s="14">
        <f t="shared" si="31"/>
        <v>2.7777998597166991E-2</v>
      </c>
      <c r="J215" s="14">
        <f t="shared" si="32"/>
        <v>9.6104180568229729E-4</v>
      </c>
      <c r="K215" s="14">
        <f t="shared" si="33"/>
        <v>0.27975060415577324</v>
      </c>
      <c r="L215" s="14">
        <f t="shared" si="34"/>
        <v>631.79484275786194</v>
      </c>
      <c r="M215" s="14">
        <f t="shared" si="28"/>
        <v>0.13398686022465786</v>
      </c>
      <c r="N215" s="14">
        <f t="shared" si="35"/>
        <v>3.428760971721279</v>
      </c>
      <c r="O215" s="4">
        <v>1.58</v>
      </c>
      <c r="P215" s="14">
        <f t="shared" si="38"/>
        <v>3.4179171305598075</v>
      </c>
      <c r="Q215" s="14">
        <f t="shared" si="36"/>
        <v>24.538638358262457</v>
      </c>
    </row>
    <row r="216" spans="1:17" x14ac:dyDescent="0.25">
      <c r="A216" s="5" t="s">
        <v>273</v>
      </c>
      <c r="B216" s="6">
        <f t="shared" si="37"/>
        <v>11</v>
      </c>
      <c r="C216" s="58">
        <v>13.161752699999999</v>
      </c>
      <c r="D216" s="4">
        <v>0</v>
      </c>
      <c r="E216" s="12">
        <f t="shared" si="26"/>
        <v>0</v>
      </c>
      <c r="F216" s="12">
        <f t="shared" si="27"/>
        <v>0</v>
      </c>
      <c r="G216" s="16">
        <f t="shared" si="29"/>
        <v>2.3982769480439297</v>
      </c>
      <c r="H216" s="14">
        <f t="shared" si="30"/>
        <v>0</v>
      </c>
      <c r="I216" s="14">
        <f t="shared" si="31"/>
        <v>0.65251209634147067</v>
      </c>
      <c r="J216" s="14">
        <f t="shared" si="32"/>
        <v>2.2566152602058347E-2</v>
      </c>
      <c r="K216" s="14">
        <f t="shared" si="33"/>
        <v>0.26580503652110854</v>
      </c>
      <c r="L216" s="14">
        <f t="shared" si="34"/>
        <v>631.67480146527191</v>
      </c>
      <c r="M216" s="14">
        <f t="shared" si="28"/>
        <v>0.13395847164244745</v>
      </c>
      <c r="N216" s="14">
        <f t="shared" si="35"/>
        <v>3.4280345000167975</v>
      </c>
      <c r="O216" s="4">
        <v>1.56</v>
      </c>
      <c r="P216" s="14">
        <f t="shared" si="38"/>
        <v>3.4895528932530064</v>
      </c>
      <c r="Q216" s="14">
        <f t="shared" si="36"/>
        <v>24.737184318032579</v>
      </c>
    </row>
    <row r="217" spans="1:17" x14ac:dyDescent="0.25">
      <c r="A217" s="5" t="s">
        <v>274</v>
      </c>
      <c r="B217" s="6">
        <f t="shared" si="37"/>
        <v>11</v>
      </c>
      <c r="C217" s="58">
        <v>15.37517929</v>
      </c>
      <c r="D217" s="4">
        <v>0</v>
      </c>
      <c r="E217" s="12">
        <f t="shared" si="26"/>
        <v>0</v>
      </c>
      <c r="F217" s="12">
        <f t="shared" si="27"/>
        <v>0</v>
      </c>
      <c r="G217" s="16">
        <f t="shared" si="29"/>
        <v>2.2818785005811089</v>
      </c>
      <c r="H217" s="14">
        <f t="shared" si="30"/>
        <v>0</v>
      </c>
      <c r="I217" s="14">
        <f t="shared" si="31"/>
        <v>3.3973910933133449</v>
      </c>
      <c r="J217" s="14">
        <f t="shared" si="32"/>
        <v>0.11639844746282088</v>
      </c>
      <c r="K217" s="14">
        <f t="shared" si="33"/>
        <v>0.25255465543390421</v>
      </c>
      <c r="L217" s="14">
        <f t="shared" si="34"/>
        <v>631.55409337471667</v>
      </c>
      <c r="M217" s="14">
        <f t="shared" si="28"/>
        <v>0.13393008838286069</v>
      </c>
      <c r="N217" s="14">
        <f t="shared" si="35"/>
        <v>3.4273081645197334</v>
      </c>
      <c r="O217" s="4">
        <v>1.59</v>
      </c>
      <c r="P217" s="14">
        <f t="shared" si="38"/>
        <v>3.3757012914108713</v>
      </c>
      <c r="Q217" s="14">
        <f t="shared" si="36"/>
        <v>24.439665378377402</v>
      </c>
    </row>
    <row r="218" spans="1:17" x14ac:dyDescent="0.25">
      <c r="A218" s="5" t="s">
        <v>275</v>
      </c>
      <c r="B218" s="6">
        <f t="shared" si="37"/>
        <v>11</v>
      </c>
      <c r="C218" s="58">
        <v>16.193429949999999</v>
      </c>
      <c r="D218" s="4">
        <v>0</v>
      </c>
      <c r="E218" s="12">
        <f t="shared" si="26"/>
        <v>0</v>
      </c>
      <c r="F218" s="12">
        <f t="shared" si="27"/>
        <v>0</v>
      </c>
      <c r="G218" s="16">
        <f t="shared" si="29"/>
        <v>2.1380513560960237</v>
      </c>
      <c r="H218" s="14">
        <f t="shared" si="30"/>
        <v>0</v>
      </c>
      <c r="I218" s="14">
        <f t="shared" si="31"/>
        <v>4.4121069465697964</v>
      </c>
      <c r="J218" s="14">
        <f t="shared" si="32"/>
        <v>0.14382714448508532</v>
      </c>
      <c r="K218" s="14">
        <f t="shared" si="33"/>
        <v>0.23996480584472585</v>
      </c>
      <c r="L218" s="14">
        <f t="shared" si="34"/>
        <v>631.43275313592289</v>
      </c>
      <c r="M218" s="14">
        <f t="shared" si="28"/>
        <v>0.13390171047942431</v>
      </c>
      <c r="N218" s="14">
        <f t="shared" si="35"/>
        <v>3.4265819660880457</v>
      </c>
      <c r="O218" s="4">
        <v>1.62</v>
      </c>
      <c r="P218" s="14">
        <f t="shared" si="38"/>
        <v>3.2637384001945482</v>
      </c>
      <c r="Q218" s="14">
        <f t="shared" si="36"/>
        <v>24.143946438722228</v>
      </c>
    </row>
    <row r="219" spans="1:17" x14ac:dyDescent="0.25">
      <c r="A219" s="5" t="s">
        <v>276</v>
      </c>
      <c r="B219" s="6">
        <f t="shared" si="37"/>
        <v>11</v>
      </c>
      <c r="C219" s="58">
        <v>15.474354740000001</v>
      </c>
      <c r="D219" s="4">
        <v>0.7</v>
      </c>
      <c r="E219" s="12">
        <f t="shared" ref="E219:E282" si="39">IF(C219&gt;$C$9,MAX(E218-$C$10*(C219-$C$9),0),E218+D219)</f>
        <v>0</v>
      </c>
      <c r="F219" s="12">
        <f t="shared" ref="F219:F282" si="40">IF(C219&gt;$C$9,D219+MIN(E218,$C$10*(C219-$C$9)),0)</f>
        <v>0.7</v>
      </c>
      <c r="G219" s="16">
        <f t="shared" si="29"/>
        <v>2.687142322391566</v>
      </c>
      <c r="H219" s="14">
        <f t="shared" si="30"/>
        <v>4.3383932516951558E-2</v>
      </c>
      <c r="I219" s="14">
        <f t="shared" si="31"/>
        <v>3.52037895789856</v>
      </c>
      <c r="J219" s="14">
        <f t="shared" si="32"/>
        <v>0.10752510118750629</v>
      </c>
      <c r="K219" s="14">
        <f t="shared" si="33"/>
        <v>0.27138649277530713</v>
      </c>
      <c r="L219" s="14">
        <f t="shared" si="34"/>
        <v>631.31081367102979</v>
      </c>
      <c r="M219" s="14">
        <f t="shared" si="28"/>
        <v>0.13388249110379416</v>
      </c>
      <c r="N219" s="14">
        <f t="shared" si="35"/>
        <v>3.426090136926955</v>
      </c>
      <c r="O219" s="4">
        <v>1.62</v>
      </c>
      <c r="P219" s="14">
        <f t="shared" si="38"/>
        <v>3.2619615827048265</v>
      </c>
      <c r="Q219" s="14">
        <f t="shared" si="36"/>
        <v>24.143946438722228</v>
      </c>
    </row>
    <row r="220" spans="1:17" x14ac:dyDescent="0.25">
      <c r="A220" s="5" t="s">
        <v>277</v>
      </c>
      <c r="B220" s="6">
        <f t="shared" si="37"/>
        <v>11</v>
      </c>
      <c r="C220" s="58">
        <v>15.944391250000001</v>
      </c>
      <c r="D220" s="4">
        <v>0</v>
      </c>
      <c r="E220" s="12">
        <f t="shared" si="39"/>
        <v>0</v>
      </c>
      <c r="F220" s="12">
        <f t="shared" si="40"/>
        <v>0</v>
      </c>
      <c r="G220" s="16">
        <f t="shared" si="29"/>
        <v>2.5296267845095737</v>
      </c>
      <c r="H220" s="14">
        <f t="shared" si="30"/>
        <v>0</v>
      </c>
      <c r="I220" s="14">
        <f t="shared" si="31"/>
        <v>4.1032730777839452</v>
      </c>
      <c r="J220" s="14">
        <f t="shared" si="32"/>
        <v>0.15751553788199246</v>
      </c>
      <c r="K220" s="14">
        <f t="shared" si="33"/>
        <v>0.25785787609348187</v>
      </c>
      <c r="L220" s="14">
        <f t="shared" si="34"/>
        <v>631.1904597966078</v>
      </c>
      <c r="M220" s="14">
        <f t="shared" si="28"/>
        <v>0.1338541242287937</v>
      </c>
      <c r="N220" s="14">
        <f t="shared" si="35"/>
        <v>3.4253642207160055</v>
      </c>
      <c r="O220" s="4">
        <v>1.65</v>
      </c>
      <c r="P220" s="14">
        <f t="shared" si="38"/>
        <v>3.1519181161985501</v>
      </c>
      <c r="Q220" s="14">
        <f t="shared" si="36"/>
        <v>23.850027499067064</v>
      </c>
    </row>
    <row r="221" spans="1:17" x14ac:dyDescent="0.25">
      <c r="A221" s="5" t="s">
        <v>278</v>
      </c>
      <c r="B221" s="6">
        <f t="shared" si="37"/>
        <v>11</v>
      </c>
      <c r="C221" s="58">
        <v>16.357370379999999</v>
      </c>
      <c r="D221" s="4">
        <v>0</v>
      </c>
      <c r="E221" s="12">
        <f t="shared" si="39"/>
        <v>0</v>
      </c>
      <c r="F221" s="12">
        <f t="shared" si="40"/>
        <v>0</v>
      </c>
      <c r="G221" s="16">
        <f t="shared" si="29"/>
        <v>2.362837149058473</v>
      </c>
      <c r="H221" s="14">
        <f t="shared" si="30"/>
        <v>0</v>
      </c>
      <c r="I221" s="14">
        <f t="shared" si="31"/>
        <v>4.6154101169096533</v>
      </c>
      <c r="J221" s="14">
        <f t="shared" si="32"/>
        <v>0.16678963545110079</v>
      </c>
      <c r="K221" s="14">
        <f t="shared" si="33"/>
        <v>0.24500366095409185</v>
      </c>
      <c r="L221" s="14">
        <f t="shared" si="34"/>
        <v>631.06945988751841</v>
      </c>
      <c r="M221" s="14">
        <f t="shared" si="28"/>
        <v>0.13382576269260038</v>
      </c>
      <c r="N221" s="14">
        <f t="shared" si="35"/>
        <v>3.4246384411266142</v>
      </c>
      <c r="O221" s="4">
        <v>1.67</v>
      </c>
      <c r="P221" s="14">
        <f t="shared" si="38"/>
        <v>3.0787560590792351</v>
      </c>
      <c r="Q221" s="14">
        <f t="shared" si="36"/>
        <v>23.655081539296944</v>
      </c>
    </row>
    <row r="222" spans="1:17" x14ac:dyDescent="0.25">
      <c r="A222" s="5" t="s">
        <v>279</v>
      </c>
      <c r="B222" s="6">
        <f t="shared" si="37"/>
        <v>11</v>
      </c>
      <c r="C222" s="58">
        <v>16.80245781</v>
      </c>
      <c r="D222" s="4">
        <v>0.6</v>
      </c>
      <c r="E222" s="12">
        <f t="shared" si="39"/>
        <v>0</v>
      </c>
      <c r="F222" s="12">
        <f t="shared" si="40"/>
        <v>0.6</v>
      </c>
      <c r="G222" s="16">
        <f t="shared" si="29"/>
        <v>2.74919776873727</v>
      </c>
      <c r="H222" s="14">
        <f t="shared" si="30"/>
        <v>3.9215789804264246E-2</v>
      </c>
      <c r="I222" s="14">
        <f t="shared" si="31"/>
        <v>5.1673647848181066</v>
      </c>
      <c r="J222" s="14">
        <f t="shared" si="32"/>
        <v>0.1744235905169389</v>
      </c>
      <c r="K222" s="14">
        <f t="shared" si="33"/>
        <v>0.27200601824446879</v>
      </c>
      <c r="L222" s="14">
        <f t="shared" si="34"/>
        <v>630.94784755733974</v>
      </c>
      <c r="M222" s="14">
        <f t="shared" si="28"/>
        <v>0.1338056802730288</v>
      </c>
      <c r="N222" s="14">
        <f t="shared" si="35"/>
        <v>3.4241245264313274</v>
      </c>
      <c r="O222" s="4">
        <v>1.7</v>
      </c>
      <c r="P222" s="14">
        <f t="shared" si="38"/>
        <v>2.9726053826420489</v>
      </c>
      <c r="Q222" s="14">
        <f t="shared" si="36"/>
        <v>23.364162599641769</v>
      </c>
    </row>
    <row r="223" spans="1:17" x14ac:dyDescent="0.25">
      <c r="A223" s="5" t="s">
        <v>280</v>
      </c>
      <c r="B223" s="6">
        <f t="shared" si="37"/>
        <v>11</v>
      </c>
      <c r="C223" s="58">
        <v>15.39704895</v>
      </c>
      <c r="D223" s="4">
        <v>0</v>
      </c>
      <c r="E223" s="12">
        <f t="shared" si="39"/>
        <v>0</v>
      </c>
      <c r="F223" s="12">
        <f t="shared" si="40"/>
        <v>0</v>
      </c>
      <c r="G223" s="16">
        <f t="shared" si="29"/>
        <v>2.6147025165986344</v>
      </c>
      <c r="H223" s="14">
        <f t="shared" si="30"/>
        <v>0</v>
      </c>
      <c r="I223" s="14">
        <f t="shared" si="31"/>
        <v>3.4245117444684912</v>
      </c>
      <c r="J223" s="14">
        <f t="shared" si="32"/>
        <v>0.13449525213863564</v>
      </c>
      <c r="K223" s="14">
        <f t="shared" si="33"/>
        <v>0.25844651821796705</v>
      </c>
      <c r="L223" s="14">
        <f t="shared" si="34"/>
        <v>630.82760137709317</v>
      </c>
      <c r="M223" s="14">
        <f t="shared" ref="M223:M286" si="41">MAX(0,K223-$F$9)*$F$8+K223*$F$10+L223*$F$11</f>
        <v>0.13377732971126766</v>
      </c>
      <c r="N223" s="14">
        <f t="shared" si="35"/>
        <v>3.4233990276807043</v>
      </c>
      <c r="O223" s="4">
        <v>1.71</v>
      </c>
      <c r="P223" s="14">
        <f t="shared" si="38"/>
        <v>2.9357362280571828</v>
      </c>
      <c r="Q223" s="14">
        <f t="shared" si="36"/>
        <v>23.267589619756713</v>
      </c>
    </row>
    <row r="224" spans="1:17" x14ac:dyDescent="0.25">
      <c r="A224" s="5" t="s">
        <v>281</v>
      </c>
      <c r="B224" s="6">
        <f t="shared" si="37"/>
        <v>11</v>
      </c>
      <c r="C224" s="58">
        <v>17.004144669999999</v>
      </c>
      <c r="D224" s="4">
        <v>0</v>
      </c>
      <c r="E224" s="12">
        <f t="shared" si="39"/>
        <v>0</v>
      </c>
      <c r="F224" s="12">
        <f t="shared" si="40"/>
        <v>0</v>
      </c>
      <c r="G224" s="16">
        <f t="shared" ref="G224:G287" si="42">G223+F224-H224-J224</f>
        <v>2.412343897113872</v>
      </c>
      <c r="H224" s="14">
        <f t="shared" ref="H224:H287" si="43">(F224*(G223/$C$11)^$C$12)</f>
        <v>0</v>
      </c>
      <c r="I224" s="14">
        <f t="shared" ref="I224:I287" si="44">(1+$C$13*(C224-INDEX($A$16:$A$27,B224)))*INDEX($C$16:$C$27,B224)</f>
        <v>5.4174774510706625</v>
      </c>
      <c r="J224" s="14">
        <f t="shared" ref="J224:J287" si="45">IF(G223&gt;$F$13,I224,I224*(G223/$F$13))</f>
        <v>0.20235861948476258</v>
      </c>
      <c r="K224" s="14">
        <f t="shared" ref="K224:K287" si="46">K223+H224-MAX(0,K223-$F$9)*$F$8-K223*$F$10-K223*$F$12</f>
        <v>0.24556295926863461</v>
      </c>
      <c r="L224" s="14">
        <f t="shared" ref="L224:L287" si="47">L223+K223*$F$12-L223*$F$11</f>
        <v>630.70670760633118</v>
      </c>
      <c r="M224" s="14">
        <f t="shared" si="41"/>
        <v>0.13374898448331604</v>
      </c>
      <c r="N224" s="14">
        <f t="shared" ref="N224:N287" si="48">M224*$C$8*1000/(24*3600)</f>
        <v>3.4226736654237473</v>
      </c>
      <c r="O224" s="4">
        <v>1.69</v>
      </c>
      <c r="P224" s="14">
        <f t="shared" si="38"/>
        <v>3.0021580308529638</v>
      </c>
      <c r="Q224" s="14">
        <f t="shared" ref="Q224:Q287" si="49">(O224-$F$23)^2</f>
        <v>23.460935579526822</v>
      </c>
    </row>
    <row r="225" spans="1:17" x14ac:dyDescent="0.25">
      <c r="A225" s="5" t="s">
        <v>282</v>
      </c>
      <c r="B225" s="6">
        <f t="shared" ref="B225:B288" si="50">MONTH(A225)</f>
        <v>11</v>
      </c>
      <c r="C225" s="58">
        <v>16.535930629999999</v>
      </c>
      <c r="D225" s="4">
        <v>0</v>
      </c>
      <c r="E225" s="12">
        <f t="shared" si="39"/>
        <v>0</v>
      </c>
      <c r="F225" s="12">
        <f t="shared" si="40"/>
        <v>0</v>
      </c>
      <c r="G225" s="16">
        <f t="shared" si="42"/>
        <v>2.2456561965455952</v>
      </c>
      <c r="H225" s="14">
        <f t="shared" si="43"/>
        <v>0</v>
      </c>
      <c r="I225" s="14">
        <f t="shared" si="44"/>
        <v>4.8368433833813675</v>
      </c>
      <c r="J225" s="14">
        <f t="shared" si="45"/>
        <v>0.16668770056827681</v>
      </c>
      <c r="K225" s="14">
        <f t="shared" si="46"/>
        <v>0.23332164573373232</v>
      </c>
      <c r="L225" s="14">
        <f t="shared" si="47"/>
        <v>630.58519993538278</v>
      </c>
      <c r="M225" s="14">
        <f t="shared" si="41"/>
        <v>0.13372064462173899</v>
      </c>
      <c r="N225" s="14">
        <f t="shared" si="48"/>
        <v>3.4219484404938068</v>
      </c>
      <c r="O225" s="4">
        <v>1.68</v>
      </c>
      <c r="P225" s="14">
        <f t="shared" ref="P225:P288" si="51">(O225-N225)^2</f>
        <v>3.0343843693388055</v>
      </c>
      <c r="Q225" s="14">
        <f t="shared" si="49"/>
        <v>23.557908559411889</v>
      </c>
    </row>
    <row r="226" spans="1:17" x14ac:dyDescent="0.25">
      <c r="A226" s="5" t="s">
        <v>283</v>
      </c>
      <c r="B226" s="6">
        <f t="shared" si="50"/>
        <v>11</v>
      </c>
      <c r="C226" s="58">
        <v>16.239482880000001</v>
      </c>
      <c r="D226" s="4">
        <v>0</v>
      </c>
      <c r="E226" s="12">
        <f t="shared" si="39"/>
        <v>0</v>
      </c>
      <c r="F226" s="12">
        <f t="shared" si="40"/>
        <v>0</v>
      </c>
      <c r="G226" s="16">
        <f t="shared" si="42"/>
        <v>2.1022799997476871</v>
      </c>
      <c r="H226" s="14">
        <f t="shared" si="43"/>
        <v>0</v>
      </c>
      <c r="I226" s="14">
        <f t="shared" si="44"/>
        <v>4.4692173657167995</v>
      </c>
      <c r="J226" s="14">
        <f t="shared" si="45"/>
        <v>0.14337619679790808</v>
      </c>
      <c r="K226" s="14">
        <f t="shared" si="46"/>
        <v>0.22169056167931064</v>
      </c>
      <c r="L226" s="14">
        <f t="shared" si="47"/>
        <v>630.46311037481541</v>
      </c>
      <c r="M226" s="14">
        <f t="shared" si="41"/>
        <v>0.1336923101574149</v>
      </c>
      <c r="N226" s="14">
        <f t="shared" si="48"/>
        <v>3.4212233536810688</v>
      </c>
      <c r="O226" s="4">
        <v>1.66</v>
      </c>
      <c r="P226" s="14">
        <f t="shared" si="51"/>
        <v>3.1019077015515912</v>
      </c>
      <c r="Q226" s="14">
        <f t="shared" si="49"/>
        <v>23.752454519181999</v>
      </c>
    </row>
    <row r="227" spans="1:17" x14ac:dyDescent="0.25">
      <c r="A227" s="5" t="s">
        <v>284</v>
      </c>
      <c r="B227" s="6">
        <f t="shared" si="50"/>
        <v>11</v>
      </c>
      <c r="C227" s="58">
        <v>15.237114910000001</v>
      </c>
      <c r="D227" s="4">
        <v>0</v>
      </c>
      <c r="E227" s="12">
        <f t="shared" si="39"/>
        <v>0</v>
      </c>
      <c r="F227" s="12">
        <f t="shared" si="40"/>
        <v>0</v>
      </c>
      <c r="G227" s="16">
        <f t="shared" si="42"/>
        <v>2.0053895329021749</v>
      </c>
      <c r="H227" s="14">
        <f t="shared" si="43"/>
        <v>0</v>
      </c>
      <c r="I227" s="14">
        <f t="shared" si="44"/>
        <v>3.2261769140836902</v>
      </c>
      <c r="J227" s="14">
        <f t="shared" si="45"/>
        <v>9.6890466845512072E-2</v>
      </c>
      <c r="K227" s="14">
        <f t="shared" si="46"/>
        <v>0.21063928716572947</v>
      </c>
      <c r="L227" s="14">
        <f t="shared" si="47"/>
        <v>630.34046933917159</v>
      </c>
      <c r="M227" s="14">
        <f t="shared" si="41"/>
        <v>0.13366398111961952</v>
      </c>
      <c r="N227" s="14">
        <f t="shared" si="48"/>
        <v>3.4204984057347083</v>
      </c>
      <c r="O227" s="4">
        <v>1.65</v>
      </c>
      <c r="P227" s="14">
        <f t="shared" si="51"/>
        <v>3.134664604709144</v>
      </c>
      <c r="Q227" s="14">
        <f t="shared" si="49"/>
        <v>23.850027499067064</v>
      </c>
    </row>
    <row r="228" spans="1:17" x14ac:dyDescent="0.25">
      <c r="A228" s="5" t="s">
        <v>285</v>
      </c>
      <c r="B228" s="6">
        <f t="shared" si="50"/>
        <v>11</v>
      </c>
      <c r="C228" s="58">
        <v>15.74944782</v>
      </c>
      <c r="D228" s="4">
        <v>0</v>
      </c>
      <c r="E228" s="12">
        <f t="shared" si="39"/>
        <v>0</v>
      </c>
      <c r="F228" s="12">
        <f t="shared" si="40"/>
        <v>0</v>
      </c>
      <c r="G228" s="16">
        <f t="shared" si="42"/>
        <v>1.8947629044782845</v>
      </c>
      <c r="H228" s="14">
        <f t="shared" si="43"/>
        <v>0</v>
      </c>
      <c r="I228" s="14">
        <f t="shared" si="44"/>
        <v>3.8615229655271586</v>
      </c>
      <c r="J228" s="14">
        <f t="shared" si="45"/>
        <v>0.1106266284238903</v>
      </c>
      <c r="K228" s="14">
        <f t="shared" si="46"/>
        <v>0.20013891868734163</v>
      </c>
      <c r="L228" s="14">
        <f t="shared" si="47"/>
        <v>630.21730572653041</v>
      </c>
      <c r="M228" s="14">
        <f t="shared" si="41"/>
        <v>0.13363565753610615</v>
      </c>
      <c r="N228" s="14">
        <f t="shared" si="48"/>
        <v>3.419773597364939</v>
      </c>
      <c r="O228" s="4">
        <v>1.65</v>
      </c>
      <c r="P228" s="14">
        <f t="shared" si="51"/>
        <v>3.1320985859300374</v>
      </c>
      <c r="Q228" s="14">
        <f t="shared" si="49"/>
        <v>23.850027499067064</v>
      </c>
    </row>
    <row r="229" spans="1:17" x14ac:dyDescent="0.25">
      <c r="A229" s="5" t="s">
        <v>286</v>
      </c>
      <c r="B229" s="6">
        <f t="shared" si="50"/>
        <v>11</v>
      </c>
      <c r="C229" s="58">
        <v>16.079292299999999</v>
      </c>
      <c r="D229" s="4">
        <v>0</v>
      </c>
      <c r="E229" s="12">
        <f t="shared" si="39"/>
        <v>0</v>
      </c>
      <c r="F229" s="12">
        <f t="shared" si="40"/>
        <v>0</v>
      </c>
      <c r="G229" s="16">
        <f t="shared" si="42"/>
        <v>1.7791669967783617</v>
      </c>
      <c r="H229" s="14">
        <f t="shared" si="43"/>
        <v>0</v>
      </c>
      <c r="I229" s="14">
        <f t="shared" si="44"/>
        <v>4.2705643990716542</v>
      </c>
      <c r="J229" s="14">
        <f t="shared" si="45"/>
        <v>0.11559590769992296</v>
      </c>
      <c r="K229" s="14">
        <f t="shared" si="46"/>
        <v>0.19016199357825822</v>
      </c>
      <c r="L229" s="14">
        <f t="shared" si="47"/>
        <v>630.09364699410344</v>
      </c>
      <c r="M229" s="14">
        <f t="shared" si="41"/>
        <v>0.13360733943318118</v>
      </c>
      <c r="N229" s="14">
        <f t="shared" si="48"/>
        <v>3.4190489292449491</v>
      </c>
      <c r="O229" s="4">
        <v>1.62</v>
      </c>
      <c r="P229" s="14">
        <f t="shared" si="51"/>
        <v>3.2365770498173974</v>
      </c>
      <c r="Q229" s="14">
        <f t="shared" si="49"/>
        <v>24.143946438722228</v>
      </c>
    </row>
    <row r="230" spans="1:17" x14ac:dyDescent="0.25">
      <c r="A230" s="5" t="s">
        <v>287</v>
      </c>
      <c r="B230" s="6">
        <f t="shared" si="50"/>
        <v>11</v>
      </c>
      <c r="C230" s="58">
        <v>16.494087220000001</v>
      </c>
      <c r="D230" s="4">
        <v>0</v>
      </c>
      <c r="E230" s="12">
        <f t="shared" si="39"/>
        <v>0</v>
      </c>
      <c r="F230" s="12">
        <f t="shared" si="40"/>
        <v>0</v>
      </c>
      <c r="G230" s="16">
        <f t="shared" si="42"/>
        <v>1.657549315335771</v>
      </c>
      <c r="H230" s="14">
        <f t="shared" si="43"/>
        <v>0</v>
      </c>
      <c r="I230" s="14">
        <f t="shared" si="44"/>
        <v>4.7849532064992522</v>
      </c>
      <c r="J230" s="14">
        <f t="shared" si="45"/>
        <v>0.12161768144259072</v>
      </c>
      <c r="K230" s="14">
        <f t="shared" si="46"/>
        <v>0.18068241818648673</v>
      </c>
      <c r="L230" s="14">
        <f t="shared" si="47"/>
        <v>629.96951923006202</v>
      </c>
      <c r="M230" s="14">
        <f t="shared" si="41"/>
        <v>0.13357902683577647</v>
      </c>
      <c r="N230" s="14">
        <f t="shared" si="48"/>
        <v>3.4183244020127521</v>
      </c>
      <c r="O230" s="4">
        <v>1.6</v>
      </c>
      <c r="P230" s="14">
        <f t="shared" si="51"/>
        <v>3.3063036309550324</v>
      </c>
      <c r="Q230" s="14">
        <f t="shared" si="49"/>
        <v>24.34089239849234</v>
      </c>
    </row>
    <row r="231" spans="1:17" x14ac:dyDescent="0.25">
      <c r="A231" s="5" t="s">
        <v>288</v>
      </c>
      <c r="B231" s="6">
        <f t="shared" si="50"/>
        <v>11</v>
      </c>
      <c r="C231" s="58">
        <v>15.52402592</v>
      </c>
      <c r="D231" s="4">
        <v>0</v>
      </c>
      <c r="E231" s="12">
        <f t="shared" si="39"/>
        <v>0</v>
      </c>
      <c r="F231" s="12">
        <f t="shared" si="40"/>
        <v>0</v>
      </c>
      <c r="G231" s="16">
        <f t="shared" si="42"/>
        <v>1.5727306396792278</v>
      </c>
      <c r="H231" s="14">
        <f t="shared" si="43"/>
        <v>0</v>
      </c>
      <c r="I231" s="14">
        <f t="shared" si="44"/>
        <v>3.5819763830640392</v>
      </c>
      <c r="J231" s="14">
        <f t="shared" si="45"/>
        <v>8.481867565654333E-2</v>
      </c>
      <c r="K231" s="14">
        <f t="shared" si="46"/>
        <v>0.17167539962858802</v>
      </c>
      <c r="L231" s="14">
        <f t="shared" si="47"/>
        <v>629.8449472217842</v>
      </c>
      <c r="M231" s="14">
        <f t="shared" si="41"/>
        <v>0.13355071976751789</v>
      </c>
      <c r="N231" s="14">
        <f t="shared" si="48"/>
        <v>3.417600016272941</v>
      </c>
      <c r="O231" s="4">
        <v>1.59</v>
      </c>
      <c r="P231" s="14">
        <f t="shared" si="51"/>
        <v>3.3401218194808537</v>
      </c>
      <c r="Q231" s="14">
        <f t="shared" si="49"/>
        <v>24.439665378377402</v>
      </c>
    </row>
    <row r="232" spans="1:17" x14ac:dyDescent="0.25">
      <c r="A232" s="5" t="s">
        <v>289</v>
      </c>
      <c r="B232" s="6">
        <f t="shared" si="50"/>
        <v>11</v>
      </c>
      <c r="C232" s="58">
        <v>17.502202990000001</v>
      </c>
      <c r="D232" s="4">
        <v>0</v>
      </c>
      <c r="E232" s="12">
        <f t="shared" si="39"/>
        <v>0</v>
      </c>
      <c r="F232" s="12">
        <f t="shared" si="40"/>
        <v>0</v>
      </c>
      <c r="G232" s="16">
        <f t="shared" si="42"/>
        <v>1.4371359510310879</v>
      </c>
      <c r="H232" s="14">
        <f t="shared" si="43"/>
        <v>0</v>
      </c>
      <c r="I232" s="14">
        <f t="shared" si="44"/>
        <v>6.035121527459526</v>
      </c>
      <c r="J232" s="14">
        <f t="shared" si="45"/>
        <v>0.13559468864813989</v>
      </c>
      <c r="K232" s="14">
        <f t="shared" si="46"/>
        <v>0.16311738094636399</v>
      </c>
      <c r="L232" s="14">
        <f t="shared" si="47"/>
        <v>629.71995452069893</v>
      </c>
      <c r="M232" s="14">
        <f t="shared" si="41"/>
        <v>0.13352241825079034</v>
      </c>
      <c r="N232" s="14">
        <f t="shared" si="48"/>
        <v>3.4168757725983494</v>
      </c>
      <c r="O232" s="4">
        <v>1.59</v>
      </c>
      <c r="P232" s="14">
        <f t="shared" si="51"/>
        <v>3.3374750885068156</v>
      </c>
      <c r="Q232" s="14">
        <f t="shared" si="49"/>
        <v>24.439665378377402</v>
      </c>
    </row>
    <row r="233" spans="1:17" x14ac:dyDescent="0.25">
      <c r="A233" s="5" t="s">
        <v>290</v>
      </c>
      <c r="B233" s="6">
        <f t="shared" si="50"/>
        <v>11</v>
      </c>
      <c r="C233" s="58">
        <v>17.147035599999999</v>
      </c>
      <c r="D233" s="4">
        <v>0</v>
      </c>
      <c r="E233" s="12">
        <f t="shared" si="39"/>
        <v>0</v>
      </c>
      <c r="F233" s="12">
        <f t="shared" si="40"/>
        <v>0</v>
      </c>
      <c r="G233" s="16">
        <f t="shared" si="42"/>
        <v>1.3222742650097199</v>
      </c>
      <c r="H233" s="14">
        <f t="shared" si="43"/>
        <v>0</v>
      </c>
      <c r="I233" s="14">
        <f t="shared" si="44"/>
        <v>5.5946770538886534</v>
      </c>
      <c r="J233" s="14">
        <f t="shared" si="45"/>
        <v>0.11486168602136802</v>
      </c>
      <c r="K233" s="14">
        <f t="shared" si="46"/>
        <v>0.15498597949598417</v>
      </c>
      <c r="L233" s="14">
        <f t="shared" si="47"/>
        <v>629.59456350389848</v>
      </c>
      <c r="M233" s="14">
        <f t="shared" si="41"/>
        <v>0.13349412230679958</v>
      </c>
      <c r="N233" s="14">
        <f t="shared" si="48"/>
        <v>3.4161516715316416</v>
      </c>
      <c r="O233" s="4">
        <v>1.58</v>
      </c>
      <c r="P233" s="14">
        <f t="shared" si="51"/>
        <v>3.3714529608684409</v>
      </c>
      <c r="Q233" s="14">
        <f t="shared" si="49"/>
        <v>24.538638358262457</v>
      </c>
    </row>
    <row r="234" spans="1:17" x14ac:dyDescent="0.25">
      <c r="A234" s="5" t="s">
        <v>291</v>
      </c>
      <c r="B234" s="6">
        <f t="shared" si="50"/>
        <v>11</v>
      </c>
      <c r="C234" s="58">
        <v>17.986055369999999</v>
      </c>
      <c r="D234" s="4">
        <v>1.5</v>
      </c>
      <c r="E234" s="12">
        <f t="shared" si="39"/>
        <v>0</v>
      </c>
      <c r="F234" s="12">
        <f t="shared" si="40"/>
        <v>1.5</v>
      </c>
      <c r="G234" s="16">
        <f t="shared" si="42"/>
        <v>2.6249301919532226</v>
      </c>
      <c r="H234" s="14">
        <f t="shared" si="43"/>
        <v>7.2008451093257708E-2</v>
      </c>
      <c r="I234" s="14">
        <f t="shared" si="44"/>
        <v>6.6351487619280745</v>
      </c>
      <c r="J234" s="14">
        <f t="shared" si="45"/>
        <v>0.12533562196323988</v>
      </c>
      <c r="K234" s="14">
        <f t="shared" si="46"/>
        <v>0.21926837950167213</v>
      </c>
      <c r="L234" s="14">
        <f t="shared" si="47"/>
        <v>629.46879543267926</v>
      </c>
      <c r="M234" s="14">
        <f t="shared" si="41"/>
        <v>0.13348102429496025</v>
      </c>
      <c r="N234" s="14">
        <f t="shared" si="48"/>
        <v>3.4158164897703371</v>
      </c>
      <c r="O234" s="4">
        <v>1.57</v>
      </c>
      <c r="P234" s="14">
        <f t="shared" si="51"/>
        <v>3.407038513908089</v>
      </c>
      <c r="Q234" s="14">
        <f t="shared" si="49"/>
        <v>24.637811338147515</v>
      </c>
    </row>
    <row r="235" spans="1:17" x14ac:dyDescent="0.25">
      <c r="A235" s="5" t="s">
        <v>292</v>
      </c>
      <c r="B235" s="6">
        <f t="shared" si="50"/>
        <v>11</v>
      </c>
      <c r="C235" s="58">
        <v>17.30678558</v>
      </c>
      <c r="D235" s="4">
        <v>4.0999999999999996</v>
      </c>
      <c r="E235" s="12">
        <f t="shared" si="39"/>
        <v>0</v>
      </c>
      <c r="F235" s="12">
        <f t="shared" si="40"/>
        <v>4.0999999999999996</v>
      </c>
      <c r="G235" s="16">
        <f t="shared" si="42"/>
        <v>6.2243205334696787</v>
      </c>
      <c r="H235" s="14">
        <f t="shared" si="43"/>
        <v>0.28338587381065478</v>
      </c>
      <c r="I235" s="14">
        <f t="shared" si="44"/>
        <v>5.7927836307454346</v>
      </c>
      <c r="J235" s="14">
        <f t="shared" si="45"/>
        <v>0.2172237846728885</v>
      </c>
      <c r="K235" s="14">
        <f t="shared" si="46"/>
        <v>0.49172372458045255</v>
      </c>
      <c r="L235" s="14">
        <f t="shared" si="47"/>
        <v>629.34624493711613</v>
      </c>
      <c r="M235" s="14">
        <f t="shared" si="41"/>
        <v>0.13351252866194907</v>
      </c>
      <c r="N235" s="14">
        <f t="shared" si="48"/>
        <v>3.4166226952727938</v>
      </c>
      <c r="O235" s="4">
        <v>1.58</v>
      </c>
      <c r="P235" s="14">
        <f t="shared" si="51"/>
        <v>3.3731829247911014</v>
      </c>
      <c r="Q235" s="14">
        <f t="shared" si="49"/>
        <v>24.538638358262457</v>
      </c>
    </row>
    <row r="236" spans="1:17" x14ac:dyDescent="0.25">
      <c r="A236" s="5" t="s">
        <v>293</v>
      </c>
      <c r="B236" s="6">
        <f t="shared" si="50"/>
        <v>11</v>
      </c>
      <c r="C236" s="58">
        <v>17.7207756</v>
      </c>
      <c r="D236" s="4">
        <v>4.5</v>
      </c>
      <c r="E236" s="12">
        <f t="shared" si="39"/>
        <v>0</v>
      </c>
      <c r="F236" s="12">
        <f t="shared" si="40"/>
        <v>4.5</v>
      </c>
      <c r="G236" s="16">
        <f t="shared" si="42"/>
        <v>9.6713895353904196</v>
      </c>
      <c r="H236" s="14">
        <f t="shared" si="43"/>
        <v>0.49219268740658711</v>
      </c>
      <c r="I236" s="14">
        <f t="shared" si="44"/>
        <v>6.3061742785256101</v>
      </c>
      <c r="J236" s="14">
        <f t="shared" si="45"/>
        <v>0.56073831067267166</v>
      </c>
      <c r="K236" s="14">
        <f t="shared" si="46"/>
        <v>0.95940398428594498</v>
      </c>
      <c r="L236" s="14">
        <f t="shared" si="47"/>
        <v>629.23724483615536</v>
      </c>
      <c r="M236" s="14">
        <f t="shared" si="41"/>
        <v>0.13358809398339638</v>
      </c>
      <c r="N236" s="14">
        <f t="shared" si="48"/>
        <v>3.4185564328389981</v>
      </c>
      <c r="O236" s="4">
        <v>1.62</v>
      </c>
      <c r="P236" s="14">
        <f t="shared" si="51"/>
        <v>3.2348052421065412</v>
      </c>
      <c r="Q236" s="14">
        <f t="shared" si="49"/>
        <v>24.143946438722228</v>
      </c>
    </row>
    <row r="237" spans="1:17" x14ac:dyDescent="0.25">
      <c r="A237" s="5" t="s">
        <v>294</v>
      </c>
      <c r="B237" s="6">
        <f t="shared" si="50"/>
        <v>11</v>
      </c>
      <c r="C237" s="58">
        <v>18.21348953</v>
      </c>
      <c r="D237" s="4">
        <v>3.7</v>
      </c>
      <c r="E237" s="12">
        <f t="shared" si="39"/>
        <v>0</v>
      </c>
      <c r="F237" s="12">
        <f t="shared" si="40"/>
        <v>3.7</v>
      </c>
      <c r="G237" s="16">
        <f t="shared" si="42"/>
        <v>11.904165915639476</v>
      </c>
      <c r="H237" s="14">
        <f t="shared" si="43"/>
        <v>0.51152504382100272</v>
      </c>
      <c r="I237" s="14">
        <f t="shared" si="44"/>
        <v>6.9171907559107817</v>
      </c>
      <c r="J237" s="14">
        <f t="shared" si="45"/>
        <v>0.95569857592994178</v>
      </c>
      <c r="K237" s="14">
        <f t="shared" si="46"/>
        <v>1.4231027394302793</v>
      </c>
      <c r="L237" s="14">
        <f t="shared" si="47"/>
        <v>629.15148303084868</v>
      </c>
      <c r="M237" s="14">
        <f t="shared" si="41"/>
        <v>0.13366774533993936</v>
      </c>
      <c r="N237" s="14">
        <f t="shared" si="48"/>
        <v>3.4205947331783095</v>
      </c>
      <c r="O237" s="4">
        <v>1.62</v>
      </c>
      <c r="P237" s="14">
        <f t="shared" si="51"/>
        <v>3.2421413931494674</v>
      </c>
      <c r="Q237" s="14">
        <f t="shared" si="49"/>
        <v>24.143946438722228</v>
      </c>
    </row>
    <row r="238" spans="1:17" x14ac:dyDescent="0.25">
      <c r="A238" s="5" t="s">
        <v>295</v>
      </c>
      <c r="B238" s="6">
        <f t="shared" si="50"/>
        <v>11</v>
      </c>
      <c r="C238" s="58">
        <v>18.152627939999999</v>
      </c>
      <c r="D238" s="4">
        <v>0.6</v>
      </c>
      <c r="E238" s="12">
        <f t="shared" si="39"/>
        <v>0</v>
      </c>
      <c r="F238" s="12">
        <f t="shared" si="40"/>
        <v>0.6</v>
      </c>
      <c r="G238" s="16">
        <f t="shared" si="42"/>
        <v>11.248032121827055</v>
      </c>
      <c r="H238" s="14">
        <f t="shared" si="43"/>
        <v>9.2633952532057889E-2</v>
      </c>
      <c r="I238" s="14">
        <f t="shared" si="44"/>
        <v>6.8417160594071502</v>
      </c>
      <c r="J238" s="14">
        <f t="shared" si="45"/>
        <v>1.1634998412803619</v>
      </c>
      <c r="K238" s="14">
        <f t="shared" si="46"/>
        <v>1.4447950203127176</v>
      </c>
      <c r="L238" s="14">
        <f t="shared" si="47"/>
        <v>629.08875695715835</v>
      </c>
      <c r="M238" s="14">
        <f t="shared" si="41"/>
        <v>0.13365902530635759</v>
      </c>
      <c r="N238" s="14">
        <f t="shared" si="48"/>
        <v>3.4203715850967207</v>
      </c>
      <c r="O238" s="4">
        <v>1.64</v>
      </c>
      <c r="P238" s="14">
        <f t="shared" si="51"/>
        <v>3.16972298101981</v>
      </c>
      <c r="Q238" s="14">
        <f t="shared" si="49"/>
        <v>23.947800478952118</v>
      </c>
    </row>
    <row r="239" spans="1:17" x14ac:dyDescent="0.25">
      <c r="A239" s="5" t="s">
        <v>296</v>
      </c>
      <c r="B239" s="6">
        <f t="shared" si="50"/>
        <v>11</v>
      </c>
      <c r="C239" s="58">
        <v>16.75823784</v>
      </c>
      <c r="D239" s="4">
        <v>0</v>
      </c>
      <c r="E239" s="12">
        <f t="shared" si="39"/>
        <v>0</v>
      </c>
      <c r="F239" s="12">
        <f t="shared" si="40"/>
        <v>0</v>
      </c>
      <c r="G239" s="16">
        <f t="shared" si="42"/>
        <v>10.426518991020831</v>
      </c>
      <c r="H239" s="14">
        <f t="shared" si="43"/>
        <v>0</v>
      </c>
      <c r="I239" s="14">
        <f t="shared" si="44"/>
        <v>5.112527426557345</v>
      </c>
      <c r="J239" s="14">
        <f t="shared" si="45"/>
        <v>0.82151313080622312</v>
      </c>
      <c r="K239" s="14">
        <f t="shared" si="46"/>
        <v>1.3727719884597513</v>
      </c>
      <c r="L239" s="14">
        <f t="shared" si="47"/>
        <v>629.02712096370487</v>
      </c>
      <c r="M239" s="14">
        <f t="shared" si="41"/>
        <v>0.13363076429604059</v>
      </c>
      <c r="N239" s="14">
        <f t="shared" si="48"/>
        <v>3.4196483779924272</v>
      </c>
      <c r="O239" s="4">
        <v>1.75</v>
      </c>
      <c r="P239" s="14">
        <f t="shared" si="51"/>
        <v>2.787725706132743</v>
      </c>
      <c r="Q239" s="14">
        <f t="shared" si="49"/>
        <v>22.883297700216485</v>
      </c>
    </row>
    <row r="240" spans="1:17" x14ac:dyDescent="0.25">
      <c r="A240" s="5" t="s">
        <v>297</v>
      </c>
      <c r="B240" s="6">
        <f t="shared" si="50"/>
        <v>11</v>
      </c>
      <c r="C240" s="58">
        <v>17.042087550000002</v>
      </c>
      <c r="D240" s="4">
        <v>0</v>
      </c>
      <c r="E240" s="12">
        <f t="shared" si="39"/>
        <v>0</v>
      </c>
      <c r="F240" s="12">
        <f t="shared" si="40"/>
        <v>0</v>
      </c>
      <c r="G240" s="16">
        <f t="shared" si="42"/>
        <v>9.612575023476964</v>
      </c>
      <c r="H240" s="14">
        <f t="shared" si="43"/>
        <v>0</v>
      </c>
      <c r="I240" s="14">
        <f t="shared" si="44"/>
        <v>5.4645305653989915</v>
      </c>
      <c r="J240" s="14">
        <f t="shared" si="45"/>
        <v>0.81394396754386755</v>
      </c>
      <c r="K240" s="14">
        <f t="shared" si="46"/>
        <v>1.3043393047491609</v>
      </c>
      <c r="L240" s="14">
        <f t="shared" si="47"/>
        <v>628.96192288311943</v>
      </c>
      <c r="M240" s="14">
        <f t="shared" si="41"/>
        <v>0.13360250568614299</v>
      </c>
      <c r="N240" s="14">
        <f t="shared" si="48"/>
        <v>3.4189252323155341</v>
      </c>
      <c r="O240" s="4">
        <v>1.75</v>
      </c>
      <c r="P240" s="14">
        <f t="shared" si="51"/>
        <v>2.7853114310594598</v>
      </c>
      <c r="Q240" s="14">
        <f t="shared" si="49"/>
        <v>22.883297700216485</v>
      </c>
    </row>
    <row r="241" spans="1:17" x14ac:dyDescent="0.25">
      <c r="A241" s="5" t="s">
        <v>298</v>
      </c>
      <c r="B241" s="6">
        <f t="shared" si="50"/>
        <v>11</v>
      </c>
      <c r="C241" s="58">
        <v>16.671823499999999</v>
      </c>
      <c r="D241" s="4">
        <v>0.4</v>
      </c>
      <c r="E241" s="12">
        <f t="shared" si="39"/>
        <v>0</v>
      </c>
      <c r="F241" s="12">
        <f t="shared" si="40"/>
        <v>0.4</v>
      </c>
      <c r="G241" s="16">
        <f t="shared" si="42"/>
        <v>9.2701042956493112</v>
      </c>
      <c r="H241" s="14">
        <f t="shared" si="43"/>
        <v>5.512098193440125E-2</v>
      </c>
      <c r="I241" s="14">
        <f t="shared" si="44"/>
        <v>5.0053646645417365</v>
      </c>
      <c r="J241" s="14">
        <f t="shared" si="45"/>
        <v>0.6873497458932516</v>
      </c>
      <c r="K241" s="14">
        <f t="shared" si="46"/>
        <v>1.2944389722602252</v>
      </c>
      <c r="L241" s="14">
        <f t="shared" si="47"/>
        <v>628.89334169185668</v>
      </c>
      <c r="M241" s="14">
        <f t="shared" si="41"/>
        <v>0.1335858790770843</v>
      </c>
      <c r="N241" s="14">
        <f t="shared" si="48"/>
        <v>3.4184997527712202</v>
      </c>
      <c r="O241" s="4">
        <v>1.75</v>
      </c>
      <c r="P241" s="14">
        <f t="shared" si="51"/>
        <v>2.783891424997623</v>
      </c>
      <c r="Q241" s="14">
        <f t="shared" si="49"/>
        <v>22.883297700216485</v>
      </c>
    </row>
    <row r="242" spans="1:17" x14ac:dyDescent="0.25">
      <c r="A242" s="5" t="s">
        <v>299</v>
      </c>
      <c r="B242" s="6">
        <f t="shared" si="50"/>
        <v>12</v>
      </c>
      <c r="C242" s="58">
        <v>15.993962290000001</v>
      </c>
      <c r="D242" s="4">
        <v>1.4</v>
      </c>
      <c r="E242" s="12">
        <f t="shared" si="39"/>
        <v>0</v>
      </c>
      <c r="F242" s="12">
        <f t="shared" si="40"/>
        <v>1.4</v>
      </c>
      <c r="G242" s="16">
        <f t="shared" si="42"/>
        <v>9.7533646435521195</v>
      </c>
      <c r="H242" s="14">
        <f t="shared" si="43"/>
        <v>0.18923867659465005</v>
      </c>
      <c r="I242" s="14">
        <f t="shared" si="44"/>
        <v>5.4934686316997849</v>
      </c>
      <c r="J242" s="14">
        <f t="shared" si="45"/>
        <v>0.72750097550254245</v>
      </c>
      <c r="K242" s="14">
        <f t="shared" si="46"/>
        <v>1.4191498660067312</v>
      </c>
      <c r="L242" s="14">
        <f t="shared" si="47"/>
        <v>628.82428359562766</v>
      </c>
      <c r="M242" s="14">
        <f t="shared" si="41"/>
        <v>0.13359755164336212</v>
      </c>
      <c r="N242" s="14">
        <f t="shared" si="48"/>
        <v>3.4187984569846486</v>
      </c>
      <c r="O242" s="4">
        <v>2.89</v>
      </c>
      <c r="P242" s="14">
        <f t="shared" si="51"/>
        <v>0.27962780810934507</v>
      </c>
      <c r="Q242" s="14">
        <f t="shared" si="49"/>
        <v>13.276177993319942</v>
      </c>
    </row>
    <row r="243" spans="1:17" x14ac:dyDescent="0.25">
      <c r="A243" s="5" t="s">
        <v>300</v>
      </c>
      <c r="B243" s="6">
        <f t="shared" si="50"/>
        <v>12</v>
      </c>
      <c r="C243" s="58">
        <v>16.433248519999999</v>
      </c>
      <c r="D243" s="4">
        <v>0</v>
      </c>
      <c r="E243" s="12">
        <f t="shared" si="39"/>
        <v>0</v>
      </c>
      <c r="F243" s="12">
        <f t="shared" si="40"/>
        <v>0</v>
      </c>
      <c r="G243" s="16">
        <f t="shared" si="42"/>
        <v>8.9034758319748946</v>
      </c>
      <c r="H243" s="14">
        <f t="shared" si="43"/>
        <v>0</v>
      </c>
      <c r="I243" s="14">
        <f t="shared" si="44"/>
        <v>6.0996559589216046</v>
      </c>
      <c r="J243" s="14">
        <f t="shared" si="45"/>
        <v>0.84988881157722429</v>
      </c>
      <c r="K243" s="14">
        <f t="shared" si="46"/>
        <v>1.3484052450975228</v>
      </c>
      <c r="L243" s="14">
        <f t="shared" si="47"/>
        <v>628.76143066489351</v>
      </c>
      <c r="M243" s="14">
        <f t="shared" si="41"/>
        <v>0.13356930238581813</v>
      </c>
      <c r="N243" s="14">
        <f t="shared" si="48"/>
        <v>3.4180755506370821</v>
      </c>
      <c r="O243" s="4">
        <v>2.97</v>
      </c>
      <c r="P243" s="14">
        <f t="shared" si="51"/>
        <v>0.20077169907872416</v>
      </c>
      <c r="Q243" s="14">
        <f t="shared" si="49"/>
        <v>12.699594154239483</v>
      </c>
    </row>
    <row r="244" spans="1:17" x14ac:dyDescent="0.25">
      <c r="A244" s="5" t="s">
        <v>301</v>
      </c>
      <c r="B244" s="6">
        <f t="shared" si="50"/>
        <v>12</v>
      </c>
      <c r="C244" s="58">
        <v>17.311529159999999</v>
      </c>
      <c r="D244" s="4">
        <v>0</v>
      </c>
      <c r="E244" s="12">
        <f t="shared" si="39"/>
        <v>0</v>
      </c>
      <c r="F244" s="12">
        <f t="shared" si="40"/>
        <v>0</v>
      </c>
      <c r="G244" s="16">
        <f t="shared" si="42"/>
        <v>7.9734907598326448</v>
      </c>
      <c r="H244" s="14">
        <f t="shared" si="43"/>
        <v>0</v>
      </c>
      <c r="I244" s="14">
        <f t="shared" si="44"/>
        <v>7.3116279201466821</v>
      </c>
      <c r="J244" s="14">
        <f t="shared" si="45"/>
        <v>0.92998507214224968</v>
      </c>
      <c r="K244" s="14">
        <f t="shared" si="46"/>
        <v>1.2811872435450635</v>
      </c>
      <c r="L244" s="14">
        <f t="shared" si="47"/>
        <v>628.69507936406023</v>
      </c>
      <c r="M244" s="14">
        <f t="shared" si="41"/>
        <v>0.13354105558993098</v>
      </c>
      <c r="N244" s="14">
        <f t="shared" si="48"/>
        <v>3.4173527072839978</v>
      </c>
      <c r="O244" s="4">
        <v>3.9</v>
      </c>
      <c r="P244" s="14">
        <f t="shared" si="51"/>
        <v>0.23294840916608625</v>
      </c>
      <c r="Q244" s="14">
        <f t="shared" si="49"/>
        <v>6.9361070249291483</v>
      </c>
    </row>
    <row r="245" spans="1:17" x14ac:dyDescent="0.25">
      <c r="A245" s="5" t="s">
        <v>302</v>
      </c>
      <c r="B245" s="6">
        <f t="shared" si="50"/>
        <v>12</v>
      </c>
      <c r="C245" s="58">
        <v>17.740880969999999</v>
      </c>
      <c r="D245" s="4">
        <v>9.4</v>
      </c>
      <c r="E245" s="12">
        <f t="shared" si="39"/>
        <v>0</v>
      </c>
      <c r="F245" s="12">
        <f t="shared" si="40"/>
        <v>9.4</v>
      </c>
      <c r="G245" s="16">
        <f t="shared" si="42"/>
        <v>15.300353361981696</v>
      </c>
      <c r="H245" s="14">
        <f t="shared" si="43"/>
        <v>1.1728035403015609</v>
      </c>
      <c r="I245" s="14">
        <f t="shared" si="44"/>
        <v>7.9041063735271848</v>
      </c>
      <c r="J245" s="14">
        <f t="shared" si="45"/>
        <v>0.90033385754938833</v>
      </c>
      <c r="K245" s="14">
        <f t="shared" si="46"/>
        <v>2.3901235996757597</v>
      </c>
      <c r="L245" s="14">
        <f t="shared" si="47"/>
        <v>628.62540549264111</v>
      </c>
      <c r="M245" s="14">
        <f t="shared" si="41"/>
        <v>0.14863148542618423</v>
      </c>
      <c r="N245" s="14">
        <f t="shared" si="48"/>
        <v>3.8035209985797844</v>
      </c>
      <c r="O245" s="4">
        <v>3.95</v>
      </c>
      <c r="P245" s="14">
        <f t="shared" si="51"/>
        <v>2.1456097857063566E-2</v>
      </c>
      <c r="Q245" s="14">
        <f t="shared" si="49"/>
        <v>6.6752421255038596</v>
      </c>
    </row>
    <row r="246" spans="1:17" x14ac:dyDescent="0.25">
      <c r="A246" s="5" t="s">
        <v>303</v>
      </c>
      <c r="B246" s="6">
        <f t="shared" si="50"/>
        <v>12</v>
      </c>
      <c r="C246" s="58">
        <v>17.987325670000001</v>
      </c>
      <c r="D246" s="4">
        <v>0</v>
      </c>
      <c r="E246" s="12">
        <f t="shared" si="39"/>
        <v>0</v>
      </c>
      <c r="F246" s="12">
        <f t="shared" si="40"/>
        <v>0</v>
      </c>
      <c r="G246" s="16">
        <f t="shared" si="42"/>
        <v>13.498367098422912</v>
      </c>
      <c r="H246" s="14">
        <f t="shared" si="43"/>
        <v>0</v>
      </c>
      <c r="I246" s="14">
        <f t="shared" si="44"/>
        <v>8.2441845362344122</v>
      </c>
      <c r="J246" s="14">
        <f t="shared" si="45"/>
        <v>1.8019862635587829</v>
      </c>
      <c r="K246" s="14">
        <f t="shared" si="46"/>
        <v>2.2561047021181619</v>
      </c>
      <c r="L246" s="14">
        <f t="shared" si="47"/>
        <v>628.61079290477255</v>
      </c>
      <c r="M246" s="14">
        <f t="shared" si="41"/>
        <v>0.14349140687121728</v>
      </c>
      <c r="N246" s="14">
        <f t="shared" si="48"/>
        <v>3.6719849605585813</v>
      </c>
      <c r="O246" s="4">
        <v>3.99</v>
      </c>
      <c r="P246" s="14">
        <f t="shared" si="51"/>
        <v>0.10113356531092725</v>
      </c>
      <c r="Q246" s="14">
        <f t="shared" si="49"/>
        <v>6.4701502059636304</v>
      </c>
    </row>
    <row r="247" spans="1:17" x14ac:dyDescent="0.25">
      <c r="A247" s="5" t="s">
        <v>304</v>
      </c>
      <c r="B247" s="6">
        <f t="shared" si="50"/>
        <v>12</v>
      </c>
      <c r="C247" s="58">
        <v>15.45426655</v>
      </c>
      <c r="D247" s="4">
        <v>0</v>
      </c>
      <c r="E247" s="12">
        <f t="shared" si="39"/>
        <v>0</v>
      </c>
      <c r="F247" s="12">
        <f t="shared" si="40"/>
        <v>0</v>
      </c>
      <c r="G247" s="16">
        <f t="shared" si="42"/>
        <v>12.582652078567637</v>
      </c>
      <c r="H247" s="14">
        <f t="shared" si="43"/>
        <v>0</v>
      </c>
      <c r="I247" s="14">
        <f t="shared" si="44"/>
        <v>4.7487225053675219</v>
      </c>
      <c r="J247" s="14">
        <f t="shared" si="45"/>
        <v>0.91571501985527493</v>
      </c>
      <c r="K247" s="14">
        <f t="shared" si="46"/>
        <v>2.1338753522913789</v>
      </c>
      <c r="L247" s="14">
        <f t="shared" si="47"/>
        <v>628.58953084772804</v>
      </c>
      <c r="M247" s="14">
        <f t="shared" si="41"/>
        <v>0.13880181534947569</v>
      </c>
      <c r="N247" s="14">
        <f t="shared" si="48"/>
        <v>3.5519770108529021</v>
      </c>
      <c r="O247" s="4">
        <v>3.28</v>
      </c>
      <c r="P247" s="14">
        <f t="shared" si="51"/>
        <v>7.3971494432479717E-2</v>
      </c>
      <c r="Q247" s="14">
        <f t="shared" si="49"/>
        <v>10.586231777802706</v>
      </c>
    </row>
    <row r="248" spans="1:17" x14ac:dyDescent="0.25">
      <c r="A248" s="5" t="s">
        <v>305</v>
      </c>
      <c r="B248" s="6">
        <f t="shared" si="50"/>
        <v>12</v>
      </c>
      <c r="C248" s="58">
        <v>17.26185036</v>
      </c>
      <c r="D248" s="4">
        <v>0.2</v>
      </c>
      <c r="E248" s="12">
        <f t="shared" si="39"/>
        <v>0</v>
      </c>
      <c r="F248" s="12">
        <f t="shared" si="40"/>
        <v>0.2</v>
      </c>
      <c r="G248" s="16">
        <f t="shared" si="42"/>
        <v>11.448891320658122</v>
      </c>
      <c r="H248" s="14">
        <f t="shared" si="43"/>
        <v>3.1801364177736165E-2</v>
      </c>
      <c r="I248" s="14">
        <f t="shared" si="44"/>
        <v>7.2430743053621107</v>
      </c>
      <c r="J248" s="14">
        <f t="shared" si="45"/>
        <v>1.3019593937317782</v>
      </c>
      <c r="K248" s="14">
        <f t="shared" si="46"/>
        <v>2.0541997961888443</v>
      </c>
      <c r="L248" s="14">
        <f t="shared" si="47"/>
        <v>628.56220595265881</v>
      </c>
      <c r="M248" s="14">
        <f t="shared" si="41"/>
        <v>0.13574203717376965</v>
      </c>
      <c r="N248" s="14">
        <f t="shared" si="48"/>
        <v>3.4736764373982023</v>
      </c>
      <c r="O248" s="4">
        <v>3.09</v>
      </c>
      <c r="P248" s="14">
        <f t="shared" si="51"/>
        <v>0.14720760861457677</v>
      </c>
      <c r="Q248" s="14">
        <f t="shared" si="49"/>
        <v>11.858718395618796</v>
      </c>
    </row>
    <row r="249" spans="1:17" x14ac:dyDescent="0.25">
      <c r="A249" s="5" t="s">
        <v>306</v>
      </c>
      <c r="B249" s="6">
        <f t="shared" si="50"/>
        <v>12</v>
      </c>
      <c r="C249" s="58">
        <v>17.1270256</v>
      </c>
      <c r="D249" s="4">
        <v>0.3</v>
      </c>
      <c r="E249" s="12">
        <f t="shared" si="39"/>
        <v>0</v>
      </c>
      <c r="F249" s="12">
        <f t="shared" si="40"/>
        <v>0.3</v>
      </c>
      <c r="G249" s="16">
        <f t="shared" si="42"/>
        <v>10.549307813902953</v>
      </c>
      <c r="H249" s="14">
        <f t="shared" si="43"/>
        <v>4.5366745741077061E-2</v>
      </c>
      <c r="I249" s="14">
        <f t="shared" si="44"/>
        <v>7.0570246290321155</v>
      </c>
      <c r="J249" s="14">
        <f t="shared" si="45"/>
        <v>1.154216761014093</v>
      </c>
      <c r="K249" s="14">
        <f t="shared" si="46"/>
        <v>1.9950986240274409</v>
      </c>
      <c r="L249" s="14">
        <f t="shared" si="47"/>
        <v>628.53093183338751</v>
      </c>
      <c r="M249" s="14">
        <f t="shared" si="41"/>
        <v>0.13365688059131706</v>
      </c>
      <c r="N249" s="14">
        <f t="shared" si="48"/>
        <v>3.4203167012430788</v>
      </c>
      <c r="O249" s="4">
        <v>3.29</v>
      </c>
      <c r="P249" s="14">
        <f t="shared" si="51"/>
        <v>1.6982442622877861E-2</v>
      </c>
      <c r="Q249" s="14">
        <f t="shared" si="49"/>
        <v>10.521258797917648</v>
      </c>
    </row>
    <row r="250" spans="1:17" x14ac:dyDescent="0.25">
      <c r="A250" s="5" t="s">
        <v>307</v>
      </c>
      <c r="B250" s="6">
        <f t="shared" si="50"/>
        <v>12</v>
      </c>
      <c r="C250" s="58">
        <v>17.35679245</v>
      </c>
      <c r="D250" s="4">
        <v>4</v>
      </c>
      <c r="E250" s="12">
        <f t="shared" si="39"/>
        <v>0</v>
      </c>
      <c r="F250" s="12">
        <f t="shared" si="40"/>
        <v>4</v>
      </c>
      <c r="G250" s="16">
        <f t="shared" si="42"/>
        <v>12.858858330513959</v>
      </c>
      <c r="H250" s="14">
        <f t="shared" si="43"/>
        <v>0.57914103629375702</v>
      </c>
      <c r="I250" s="14">
        <f t="shared" si="44"/>
        <v>7.3740884092595929</v>
      </c>
      <c r="J250" s="14">
        <f t="shared" si="45"/>
        <v>1.1113084470952368</v>
      </c>
      <c r="K250" s="14">
        <f t="shared" si="46"/>
        <v>2.4747839937886296</v>
      </c>
      <c r="L250" s="14">
        <f t="shared" si="47"/>
        <v>628.49673061932879</v>
      </c>
      <c r="M250" s="14">
        <f t="shared" si="41"/>
        <v>0.15184926498257884</v>
      </c>
      <c r="N250" s="14">
        <f t="shared" si="48"/>
        <v>3.8858648712555763</v>
      </c>
      <c r="O250" s="4">
        <v>4</v>
      </c>
      <c r="P250" s="14">
        <f t="shared" si="51"/>
        <v>1.3026827613506166E-2</v>
      </c>
      <c r="Q250" s="14">
        <f t="shared" si="49"/>
        <v>6.4193772260785735</v>
      </c>
    </row>
    <row r="251" spans="1:17" x14ac:dyDescent="0.25">
      <c r="A251" s="5" t="s">
        <v>308</v>
      </c>
      <c r="B251" s="6">
        <f t="shared" si="50"/>
        <v>12</v>
      </c>
      <c r="C251" s="58">
        <v>18.179258350000001</v>
      </c>
      <c r="D251" s="4">
        <v>2.7</v>
      </c>
      <c r="E251" s="12">
        <f t="shared" si="39"/>
        <v>0</v>
      </c>
      <c r="F251" s="12">
        <f t="shared" si="40"/>
        <v>2.7</v>
      </c>
      <c r="G251" s="16">
        <f t="shared" si="42"/>
        <v>13.561461129269745</v>
      </c>
      <c r="H251" s="14">
        <f t="shared" si="43"/>
        <v>0.43430259557223311</v>
      </c>
      <c r="I251" s="14">
        <f t="shared" si="44"/>
        <v>8.509039544996515</v>
      </c>
      <c r="J251" s="14">
        <f t="shared" si="45"/>
        <v>1.5630946056719808</v>
      </c>
      <c r="K251" s="14">
        <f t="shared" si="46"/>
        <v>2.7676201767476041</v>
      </c>
      <c r="L251" s="14">
        <f t="shared" si="47"/>
        <v>628.4863477669594</v>
      </c>
      <c r="M251" s="14">
        <f t="shared" si="41"/>
        <v>0.16307155496978132</v>
      </c>
      <c r="N251" s="14">
        <f t="shared" si="48"/>
        <v>4.173046389330862</v>
      </c>
      <c r="O251" s="4">
        <v>7.3</v>
      </c>
      <c r="P251" s="14">
        <f t="shared" si="51"/>
        <v>9.7778388832767575</v>
      </c>
      <c r="Q251" s="14">
        <f t="shared" si="49"/>
        <v>0.58729386400963923</v>
      </c>
    </row>
    <row r="252" spans="1:17" x14ac:dyDescent="0.25">
      <c r="A252" s="5" t="s">
        <v>309</v>
      </c>
      <c r="B252" s="6">
        <f t="shared" si="50"/>
        <v>12</v>
      </c>
      <c r="C252" s="58">
        <v>17.775098799999999</v>
      </c>
      <c r="D252" s="4">
        <v>3.9</v>
      </c>
      <c r="E252" s="12">
        <f t="shared" si="39"/>
        <v>0</v>
      </c>
      <c r="F252" s="12">
        <f t="shared" si="40"/>
        <v>3.9</v>
      </c>
      <c r="G252" s="16">
        <f t="shared" si="42"/>
        <v>15.2756890397135</v>
      </c>
      <c r="H252" s="14">
        <f t="shared" si="43"/>
        <v>0.64531966669243102</v>
      </c>
      <c r="I252" s="14">
        <f t="shared" si="44"/>
        <v>7.9513248235820155</v>
      </c>
      <c r="J252" s="14">
        <f t="shared" si="45"/>
        <v>1.5404524228638137</v>
      </c>
      <c r="K252" s="14">
        <f t="shared" si="46"/>
        <v>3.2457128387071412</v>
      </c>
      <c r="L252" s="14">
        <f t="shared" si="47"/>
        <v>628.49050321672257</v>
      </c>
      <c r="M252" s="14">
        <f t="shared" si="41"/>
        <v>0.18139785826808841</v>
      </c>
      <c r="N252" s="14">
        <f t="shared" si="48"/>
        <v>4.6420215813743457</v>
      </c>
      <c r="O252" s="4">
        <v>8.74</v>
      </c>
      <c r="P252" s="14">
        <f t="shared" si="51"/>
        <v>16.79342711952162</v>
      </c>
      <c r="Q252" s="14">
        <f t="shared" si="49"/>
        <v>4.8679847605613782</v>
      </c>
    </row>
    <row r="253" spans="1:17" x14ac:dyDescent="0.25">
      <c r="A253" s="5" t="s">
        <v>310</v>
      </c>
      <c r="B253" s="6">
        <f t="shared" si="50"/>
        <v>12</v>
      </c>
      <c r="C253" s="58">
        <v>16.876489639999999</v>
      </c>
      <c r="D253" s="4">
        <v>3.7</v>
      </c>
      <c r="E253" s="12">
        <f t="shared" si="39"/>
        <v>0</v>
      </c>
      <c r="F253" s="12">
        <f t="shared" si="40"/>
        <v>3.7</v>
      </c>
      <c r="G253" s="16">
        <f t="shared" si="42"/>
        <v>16.85890382812358</v>
      </c>
      <c r="H253" s="14">
        <f t="shared" si="43"/>
        <v>0.65221625963510332</v>
      </c>
      <c r="I253" s="14">
        <f t="shared" si="44"/>
        <v>6.7113007852290592</v>
      </c>
      <c r="J253" s="14">
        <f t="shared" si="45"/>
        <v>1.4645689519548173</v>
      </c>
      <c r="K253" s="14">
        <f t="shared" si="46"/>
        <v>3.6886446199198519</v>
      </c>
      <c r="L253" s="14">
        <f t="shared" si="47"/>
        <v>628.51838983687685</v>
      </c>
      <c r="M253" s="14">
        <f t="shared" si="41"/>
        <v>0.19838146592793293</v>
      </c>
      <c r="N253" s="14">
        <f t="shared" si="48"/>
        <v>5.076636819058562</v>
      </c>
      <c r="O253" s="4">
        <v>10.58</v>
      </c>
      <c r="P253" s="14">
        <f t="shared" si="51"/>
        <v>30.287006301341865</v>
      </c>
      <c r="Q253" s="14">
        <f t="shared" si="49"/>
        <v>16.372956461710821</v>
      </c>
    </row>
    <row r="254" spans="1:17" x14ac:dyDescent="0.25">
      <c r="A254" s="5" t="s">
        <v>311</v>
      </c>
      <c r="B254" s="6">
        <f t="shared" si="50"/>
        <v>12</v>
      </c>
      <c r="C254" s="58">
        <v>17.171602249999999</v>
      </c>
      <c r="D254" s="4">
        <v>3.8</v>
      </c>
      <c r="E254" s="12">
        <f t="shared" si="39"/>
        <v>0</v>
      </c>
      <c r="F254" s="12">
        <f t="shared" si="40"/>
        <v>3.8</v>
      </c>
      <c r="G254" s="16">
        <f t="shared" si="42"/>
        <v>18.238568093877571</v>
      </c>
      <c r="H254" s="14">
        <f t="shared" si="43"/>
        <v>0.70589519596900474</v>
      </c>
      <c r="I254" s="14">
        <f t="shared" si="44"/>
        <v>7.1185375981957568</v>
      </c>
      <c r="J254" s="14">
        <f t="shared" si="45"/>
        <v>1.7144405382770027</v>
      </c>
      <c r="K254" s="14">
        <f t="shared" si="46"/>
        <v>4.1462909416143212</v>
      </c>
      <c r="L254" s="14">
        <f t="shared" si="47"/>
        <v>628.56825724522344</v>
      </c>
      <c r="M254" s="14">
        <f t="shared" si="41"/>
        <v>0.2159337454332273</v>
      </c>
      <c r="N254" s="14">
        <f t="shared" si="48"/>
        <v>5.52580452723224</v>
      </c>
      <c r="O254" s="4">
        <v>11.1</v>
      </c>
      <c r="P254" s="14">
        <f t="shared" si="51"/>
        <v>31.071655168624588</v>
      </c>
      <c r="Q254" s="14">
        <f t="shared" si="49"/>
        <v>20.851561507687833</v>
      </c>
    </row>
    <row r="255" spans="1:17" x14ac:dyDescent="0.25">
      <c r="A255" s="5" t="s">
        <v>312</v>
      </c>
      <c r="B255" s="6">
        <f t="shared" si="50"/>
        <v>12</v>
      </c>
      <c r="C255" s="58">
        <v>17.098239899999999</v>
      </c>
      <c r="D255" s="4">
        <v>8.6999999999999993</v>
      </c>
      <c r="E255" s="12">
        <f t="shared" si="39"/>
        <v>0</v>
      </c>
      <c r="F255" s="12">
        <f t="shared" si="40"/>
        <v>8.6999999999999993</v>
      </c>
      <c r="G255" s="16">
        <f t="shared" si="42"/>
        <v>23.425064148874259</v>
      </c>
      <c r="H255" s="14">
        <f t="shared" si="43"/>
        <v>1.6851375602783598</v>
      </c>
      <c r="I255" s="14">
        <f t="shared" si="44"/>
        <v>7.0173021762131205</v>
      </c>
      <c r="J255" s="14">
        <f t="shared" si="45"/>
        <v>1.8283663847249509</v>
      </c>
      <c r="K255" s="14">
        <f t="shared" si="46"/>
        <v>5.5429208040359725</v>
      </c>
      <c r="L255" s="14">
        <f t="shared" si="47"/>
        <v>628.64083119764689</v>
      </c>
      <c r="M255" s="14">
        <f t="shared" si="41"/>
        <v>0.26948233407103611</v>
      </c>
      <c r="N255" s="14">
        <f t="shared" si="48"/>
        <v>6.8961277850817231</v>
      </c>
      <c r="O255" s="4">
        <v>12.97</v>
      </c>
      <c r="P255" s="14">
        <f t="shared" si="51"/>
        <v>36.891923683156264</v>
      </c>
      <c r="Q255" s="14">
        <f t="shared" si="49"/>
        <v>41.426614269182117</v>
      </c>
    </row>
    <row r="256" spans="1:17" x14ac:dyDescent="0.25">
      <c r="A256" s="5" t="s">
        <v>313</v>
      </c>
      <c r="B256" s="6">
        <f t="shared" si="50"/>
        <v>12</v>
      </c>
      <c r="C256" s="58">
        <v>16.843784329999998</v>
      </c>
      <c r="D256" s="4">
        <v>5.5</v>
      </c>
      <c r="E256" s="12">
        <f t="shared" si="39"/>
        <v>0</v>
      </c>
      <c r="F256" s="12">
        <f t="shared" si="40"/>
        <v>5.5</v>
      </c>
      <c r="G256" s="16">
        <f t="shared" si="42"/>
        <v>25.477366799186392</v>
      </c>
      <c r="H256" s="14">
        <f t="shared" si="43"/>
        <v>1.2169034257178817</v>
      </c>
      <c r="I256" s="14">
        <f t="shared" si="44"/>
        <v>6.6661695175021798</v>
      </c>
      <c r="J256" s="14">
        <f t="shared" si="45"/>
        <v>2.2307939239699883</v>
      </c>
      <c r="K256" s="14">
        <f t="shared" si="46"/>
        <v>6.3484559896499224</v>
      </c>
      <c r="L256" s="14">
        <f t="shared" si="47"/>
        <v>628.78271710367972</v>
      </c>
      <c r="M256" s="14">
        <f t="shared" si="41"/>
        <v>0.30038879490712345</v>
      </c>
      <c r="N256" s="14">
        <f t="shared" si="48"/>
        <v>7.6870327030052081</v>
      </c>
      <c r="O256" s="4">
        <v>13.46</v>
      </c>
      <c r="P256" s="14">
        <f t="shared" si="51"/>
        <v>33.327151412171361</v>
      </c>
      <c r="Q256" s="14">
        <f t="shared" si="49"/>
        <v>47.974338254814306</v>
      </c>
    </row>
    <row r="257" spans="1:17" x14ac:dyDescent="0.25">
      <c r="A257" s="5" t="s">
        <v>314</v>
      </c>
      <c r="B257" s="6">
        <f t="shared" si="50"/>
        <v>12</v>
      </c>
      <c r="C257" s="58">
        <v>16.541385649999999</v>
      </c>
      <c r="D257" s="4">
        <v>1.5</v>
      </c>
      <c r="E257" s="12">
        <f t="shared" si="39"/>
        <v>0</v>
      </c>
      <c r="F257" s="12">
        <f t="shared" si="40"/>
        <v>1.5</v>
      </c>
      <c r="G257" s="16">
        <f t="shared" si="42"/>
        <v>24.355973234256055</v>
      </c>
      <c r="H257" s="14">
        <f t="shared" si="43"/>
        <v>0.34703506047665023</v>
      </c>
      <c r="I257" s="14">
        <f t="shared" si="44"/>
        <v>6.2488783868773776</v>
      </c>
      <c r="J257" s="14">
        <f t="shared" si="45"/>
        <v>2.2743585044536885</v>
      </c>
      <c r="K257" s="14">
        <f t="shared" si="46"/>
        <v>6.2132604488726777</v>
      </c>
      <c r="L257" s="14">
        <f t="shared" si="47"/>
        <v>628.96455891002654</v>
      </c>
      <c r="M257" s="14">
        <f t="shared" si="41"/>
        <v>0.29524525968833415</v>
      </c>
      <c r="N257" s="14">
        <f t="shared" si="48"/>
        <v>7.5554082079966074</v>
      </c>
      <c r="O257" s="4">
        <v>14.7</v>
      </c>
      <c r="P257" s="14">
        <f t="shared" si="51"/>
        <v>51.045191874362239</v>
      </c>
      <c r="Q257" s="14">
        <f t="shared" si="49"/>
        <v>66.689288749067188</v>
      </c>
    </row>
    <row r="258" spans="1:17" x14ac:dyDescent="0.25">
      <c r="A258" s="5" t="s">
        <v>315</v>
      </c>
      <c r="B258" s="6">
        <f t="shared" si="50"/>
        <v>12</v>
      </c>
      <c r="C258" s="58">
        <v>15.471007350000001</v>
      </c>
      <c r="D258" s="4">
        <v>0</v>
      </c>
      <c r="E258" s="12">
        <f t="shared" si="39"/>
        <v>0</v>
      </c>
      <c r="F258" s="12">
        <f t="shared" si="40"/>
        <v>0</v>
      </c>
      <c r="G258" s="16">
        <f t="shared" si="42"/>
        <v>22.695651727002318</v>
      </c>
      <c r="H258" s="14">
        <f t="shared" si="43"/>
        <v>0</v>
      </c>
      <c r="I258" s="14">
        <f t="shared" si="44"/>
        <v>4.7718237548821163</v>
      </c>
      <c r="J258" s="14">
        <f t="shared" si="45"/>
        <v>1.6603215072537376</v>
      </c>
      <c r="K258" s="14">
        <f t="shared" si="46"/>
        <v>5.7429229038223051</v>
      </c>
      <c r="L258" s="14">
        <f t="shared" si="47"/>
        <v>629.13965119538852</v>
      </c>
      <c r="M258" s="14">
        <f t="shared" si="41"/>
        <v>0.27725420906685061</v>
      </c>
      <c r="N258" s="14">
        <f t="shared" si="48"/>
        <v>7.0950122250787819</v>
      </c>
      <c r="O258" s="4">
        <v>13.15</v>
      </c>
      <c r="P258" s="14">
        <f t="shared" si="51"/>
        <v>36.662876954445409</v>
      </c>
      <c r="Q258" s="14">
        <f t="shared" si="49"/>
        <v>43.776100631251076</v>
      </c>
    </row>
    <row r="259" spans="1:17" x14ac:dyDescent="0.25">
      <c r="A259" s="5" t="s">
        <v>316</v>
      </c>
      <c r="B259" s="6">
        <f t="shared" si="50"/>
        <v>12</v>
      </c>
      <c r="C259" s="58">
        <v>16.625455859999999</v>
      </c>
      <c r="D259" s="4">
        <v>0</v>
      </c>
      <c r="E259" s="12">
        <f t="shared" si="39"/>
        <v>0</v>
      </c>
      <c r="F259" s="12">
        <f t="shared" si="40"/>
        <v>0</v>
      </c>
      <c r="G259" s="16">
        <f t="shared" si="42"/>
        <v>20.632002542026026</v>
      </c>
      <c r="H259" s="14">
        <f t="shared" si="43"/>
        <v>0</v>
      </c>
      <c r="I259" s="14">
        <f t="shared" si="44"/>
        <v>6.3648899811831621</v>
      </c>
      <c r="J259" s="14">
        <f t="shared" si="45"/>
        <v>2.0636491849762924</v>
      </c>
      <c r="K259" s="14">
        <f t="shared" si="46"/>
        <v>5.3139606203060952</v>
      </c>
      <c r="L259" s="14">
        <f t="shared" si="47"/>
        <v>629.29135926983781</v>
      </c>
      <c r="M259" s="14">
        <f t="shared" si="41"/>
        <v>0.26084412654664929</v>
      </c>
      <c r="N259" s="14">
        <f t="shared" si="48"/>
        <v>6.675073655030574</v>
      </c>
      <c r="O259" s="4">
        <v>11.54</v>
      </c>
      <c r="P259" s="14">
        <f t="shared" si="51"/>
        <v>23.66750834197757</v>
      </c>
      <c r="Q259" s="14">
        <f t="shared" si="49"/>
        <v>25.063550392745302</v>
      </c>
    </row>
    <row r="260" spans="1:17" x14ac:dyDescent="0.25">
      <c r="A260" s="5" t="s">
        <v>317</v>
      </c>
      <c r="B260" s="6">
        <f t="shared" si="50"/>
        <v>12</v>
      </c>
      <c r="C260" s="58">
        <v>17.897607799999999</v>
      </c>
      <c r="D260" s="4">
        <v>0.4</v>
      </c>
      <c r="E260" s="12">
        <f t="shared" si="39"/>
        <v>0</v>
      </c>
      <c r="F260" s="12">
        <f t="shared" si="40"/>
        <v>0.4</v>
      </c>
      <c r="G260" s="16">
        <f t="shared" si="42"/>
        <v>18.555850364892684</v>
      </c>
      <c r="H260" s="14">
        <f t="shared" si="43"/>
        <v>8.2726086604133525E-2</v>
      </c>
      <c r="I260" s="14">
        <f t="shared" si="44"/>
        <v>8.1203795268687973</v>
      </c>
      <c r="J260" s="14">
        <f t="shared" si="45"/>
        <v>2.3934260905292084</v>
      </c>
      <c r="K260" s="14">
        <f t="shared" si="46"/>
        <v>5.0054599324035598</v>
      </c>
      <c r="L260" s="14">
        <f t="shared" si="47"/>
        <v>629.42174191779782</v>
      </c>
      <c r="M260" s="14">
        <f t="shared" si="41"/>
        <v>0.24904684935337906</v>
      </c>
      <c r="N260" s="14">
        <f t="shared" si="48"/>
        <v>6.373178054633347</v>
      </c>
      <c r="O260" s="4">
        <v>11.48</v>
      </c>
      <c r="P260" s="14">
        <f t="shared" si="51"/>
        <v>26.079630381678452</v>
      </c>
      <c r="Q260" s="14">
        <f t="shared" si="49"/>
        <v>24.46638827205566</v>
      </c>
    </row>
    <row r="261" spans="1:17" x14ac:dyDescent="0.25">
      <c r="A261" s="5" t="s">
        <v>318</v>
      </c>
      <c r="B261" s="6">
        <f t="shared" si="50"/>
        <v>12</v>
      </c>
      <c r="C261" s="58">
        <v>17.755359649999999</v>
      </c>
      <c r="D261" s="4">
        <v>8.1</v>
      </c>
      <c r="E261" s="12">
        <f t="shared" si="39"/>
        <v>0</v>
      </c>
      <c r="F261" s="12">
        <f t="shared" si="40"/>
        <v>8.1</v>
      </c>
      <c r="G261" s="16">
        <f t="shared" si="42"/>
        <v>22.971932495678249</v>
      </c>
      <c r="H261" s="14">
        <f t="shared" si="43"/>
        <v>1.5833711038435274</v>
      </c>
      <c r="I261" s="14">
        <f t="shared" si="44"/>
        <v>7.924086039930339</v>
      </c>
      <c r="J261" s="14">
        <f t="shared" si="45"/>
        <v>2.1005467653709076</v>
      </c>
      <c r="K261" s="14">
        <f t="shared" si="46"/>
        <v>6.2247428492926185</v>
      </c>
      <c r="L261" s="14">
        <f t="shared" si="47"/>
        <v>629.53678325539886</v>
      </c>
      <c r="M261" s="14">
        <f t="shared" si="41"/>
        <v>0.29580668332277377</v>
      </c>
      <c r="N261" s="14">
        <f t="shared" si="48"/>
        <v>7.5697751947529266</v>
      </c>
      <c r="O261" s="4">
        <v>12.31</v>
      </c>
      <c r="P261" s="14">
        <f t="shared" si="51"/>
        <v>22.469731204279661</v>
      </c>
      <c r="Q261" s="14">
        <f t="shared" si="49"/>
        <v>33.366230941595902</v>
      </c>
    </row>
    <row r="262" spans="1:17" x14ac:dyDescent="0.25">
      <c r="A262" s="5" t="s">
        <v>319</v>
      </c>
      <c r="B262" s="6">
        <f t="shared" si="50"/>
        <v>12</v>
      </c>
      <c r="C262" s="58">
        <v>17.400615689999999</v>
      </c>
      <c r="D262" s="4">
        <v>0.5</v>
      </c>
      <c r="E262" s="12">
        <f t="shared" si="39"/>
        <v>0</v>
      </c>
      <c r="F262" s="12">
        <f t="shared" si="40"/>
        <v>0.5</v>
      </c>
      <c r="G262" s="16">
        <f t="shared" si="42"/>
        <v>20.922642134270685</v>
      </c>
      <c r="H262" s="14">
        <f t="shared" si="43"/>
        <v>0.10948482016683107</v>
      </c>
      <c r="I262" s="14">
        <f t="shared" si="44"/>
        <v>7.4345617200797385</v>
      </c>
      <c r="J262" s="14">
        <f t="shared" si="45"/>
        <v>2.4398055412407351</v>
      </c>
      <c r="K262" s="14">
        <f t="shared" si="46"/>
        <v>5.8628800257567057</v>
      </c>
      <c r="L262" s="14">
        <f t="shared" si="47"/>
        <v>629.71232421577884</v>
      </c>
      <c r="M262" s="14">
        <f t="shared" si="41"/>
        <v>0.2819735935401414</v>
      </c>
      <c r="N262" s="14">
        <f t="shared" si="48"/>
        <v>7.2157825846904231</v>
      </c>
      <c r="O262" s="4">
        <v>14.24</v>
      </c>
      <c r="P262" s="14">
        <f t="shared" si="51"/>
        <v>49.339630297538356</v>
      </c>
      <c r="Q262" s="14">
        <f t="shared" si="49"/>
        <v>59.387845823779827</v>
      </c>
    </row>
    <row r="263" spans="1:17" x14ac:dyDescent="0.25">
      <c r="A263" s="5" t="s">
        <v>320</v>
      </c>
      <c r="B263" s="6">
        <f t="shared" si="50"/>
        <v>12</v>
      </c>
      <c r="C263" s="58">
        <v>16.91108131</v>
      </c>
      <c r="D263" s="4">
        <v>0</v>
      </c>
      <c r="E263" s="12">
        <f t="shared" si="39"/>
        <v>0</v>
      </c>
      <c r="F263" s="12">
        <f t="shared" si="40"/>
        <v>0</v>
      </c>
      <c r="G263" s="16">
        <f t="shared" si="42"/>
        <v>18.902399462840567</v>
      </c>
      <c r="H263" s="14">
        <f t="shared" si="43"/>
        <v>0</v>
      </c>
      <c r="I263" s="14">
        <f t="shared" si="44"/>
        <v>6.7590351109361038</v>
      </c>
      <c r="J263" s="14">
        <f t="shared" si="45"/>
        <v>2.0202426714301196</v>
      </c>
      <c r="K263" s="14">
        <f t="shared" si="46"/>
        <v>5.4233651989762963</v>
      </c>
      <c r="L263" s="14">
        <f t="shared" si="47"/>
        <v>629.86986544901913</v>
      </c>
      <c r="M263" s="14">
        <f t="shared" si="41"/>
        <v>0.26516026566463902</v>
      </c>
      <c r="N263" s="14">
        <f t="shared" si="48"/>
        <v>6.7855248539874635</v>
      </c>
      <c r="O263" s="4">
        <v>14.66</v>
      </c>
      <c r="P263" s="14">
        <f t="shared" si="51"/>
        <v>62.007358825169163</v>
      </c>
      <c r="Q263" s="14">
        <f t="shared" si="49"/>
        <v>66.037580668607433</v>
      </c>
    </row>
    <row r="264" spans="1:17" x14ac:dyDescent="0.25">
      <c r="A264" s="5" t="s">
        <v>321</v>
      </c>
      <c r="B264" s="6">
        <f t="shared" si="50"/>
        <v>12</v>
      </c>
      <c r="C264" s="58">
        <v>15.86982822</v>
      </c>
      <c r="D264" s="4">
        <v>0.4</v>
      </c>
      <c r="E264" s="12">
        <f t="shared" si="39"/>
        <v>0</v>
      </c>
      <c r="F264" s="12">
        <f t="shared" si="40"/>
        <v>0.4</v>
      </c>
      <c r="G264" s="16">
        <f t="shared" si="42"/>
        <v>17.786265517040892</v>
      </c>
      <c r="H264" s="14">
        <f t="shared" si="43"/>
        <v>7.8964064380343382E-2</v>
      </c>
      <c r="I264" s="14">
        <f t="shared" si="44"/>
        <v>5.3221714341744573</v>
      </c>
      <c r="J264" s="14">
        <f t="shared" si="45"/>
        <v>1.4371698814193283</v>
      </c>
      <c r="K264" s="14">
        <f t="shared" si="46"/>
        <v>5.1014782453611183</v>
      </c>
      <c r="L264" s="14">
        <f t="shared" si="47"/>
        <v>630.00555620134992</v>
      </c>
      <c r="M264" s="14">
        <f t="shared" si="41"/>
        <v>0.25285101445897173</v>
      </c>
      <c r="N264" s="14">
        <f t="shared" si="48"/>
        <v>6.4705276963979914</v>
      </c>
      <c r="O264" s="4">
        <v>12.89</v>
      </c>
      <c r="P264" s="14">
        <f t="shared" si="51"/>
        <v>41.209624656713288</v>
      </c>
      <c r="Q264" s="14">
        <f t="shared" si="49"/>
        <v>40.403198108262572</v>
      </c>
    </row>
    <row r="265" spans="1:17" x14ac:dyDescent="0.25">
      <c r="A265" s="5" t="s">
        <v>322</v>
      </c>
      <c r="B265" s="6">
        <f t="shared" si="50"/>
        <v>12</v>
      </c>
      <c r="C265" s="58">
        <v>16.995878220000002</v>
      </c>
      <c r="D265" s="4">
        <v>2.1</v>
      </c>
      <c r="E265" s="12">
        <f t="shared" si="39"/>
        <v>0</v>
      </c>
      <c r="F265" s="12">
        <f t="shared" si="40"/>
        <v>2.1</v>
      </c>
      <c r="G265" s="16">
        <f t="shared" si="42"/>
        <v>17.737768440279705</v>
      </c>
      <c r="H265" s="14">
        <f t="shared" si="43"/>
        <v>0.40136363425874699</v>
      </c>
      <c r="I265" s="14">
        <f t="shared" si="44"/>
        <v>6.8760495054678206</v>
      </c>
      <c r="J265" s="14">
        <f t="shared" si="45"/>
        <v>1.7471334425024432</v>
      </c>
      <c r="K265" s="14">
        <f t="shared" si="46"/>
        <v>5.1303070295135909</v>
      </c>
      <c r="L265" s="14">
        <f t="shared" si="47"/>
        <v>630.1252400369973</v>
      </c>
      <c r="M265" s="14">
        <f t="shared" si="41"/>
        <v>0.25398140020965032</v>
      </c>
      <c r="N265" s="14">
        <f t="shared" si="48"/>
        <v>6.4994545817538985</v>
      </c>
      <c r="O265" s="4">
        <v>11.82</v>
      </c>
      <c r="P265" s="14">
        <f t="shared" si="51"/>
        <v>28.308203547619588</v>
      </c>
      <c r="Q265" s="14">
        <f t="shared" si="49"/>
        <v>27.945506955963708</v>
      </c>
    </row>
    <row r="266" spans="1:17" x14ac:dyDescent="0.25">
      <c r="A266" s="5" t="s">
        <v>323</v>
      </c>
      <c r="B266" s="6">
        <f t="shared" si="50"/>
        <v>12</v>
      </c>
      <c r="C266" s="58">
        <v>16.987993240000002</v>
      </c>
      <c r="D266" s="4">
        <v>0</v>
      </c>
      <c r="E266" s="12">
        <f t="shared" si="39"/>
        <v>0</v>
      </c>
      <c r="F266" s="12">
        <f t="shared" si="40"/>
        <v>0</v>
      </c>
      <c r="G266" s="16">
        <f t="shared" si="42"/>
        <v>15.998155989294967</v>
      </c>
      <c r="H266" s="14">
        <f t="shared" si="43"/>
        <v>0</v>
      </c>
      <c r="I266" s="14">
        <f t="shared" si="44"/>
        <v>6.8651687297344273</v>
      </c>
      <c r="J266" s="14">
        <f t="shared" si="45"/>
        <v>1.7396124509847386</v>
      </c>
      <c r="K266" s="14">
        <f t="shared" si="46"/>
        <v>4.7552361316335992</v>
      </c>
      <c r="L266" s="14">
        <f t="shared" si="47"/>
        <v>630.24632953466755</v>
      </c>
      <c r="M266" s="14">
        <f t="shared" si="41"/>
        <v>0.23963049870851555</v>
      </c>
      <c r="N266" s="14">
        <f t="shared" si="48"/>
        <v>6.1322110259783313</v>
      </c>
      <c r="O266" s="4">
        <v>10.58</v>
      </c>
      <c r="P266" s="14">
        <f t="shared" si="51"/>
        <v>19.78282675742873</v>
      </c>
      <c r="Q266" s="14">
        <f t="shared" si="49"/>
        <v>16.372956461710821</v>
      </c>
    </row>
    <row r="267" spans="1:17" x14ac:dyDescent="0.25">
      <c r="A267" s="5" t="s">
        <v>324</v>
      </c>
      <c r="B267" s="6">
        <f t="shared" si="50"/>
        <v>12</v>
      </c>
      <c r="C267" s="58">
        <v>16.867870329999999</v>
      </c>
      <c r="D267" s="4">
        <v>0</v>
      </c>
      <c r="E267" s="12">
        <f t="shared" si="39"/>
        <v>0</v>
      </c>
      <c r="F267" s="12">
        <f t="shared" si="40"/>
        <v>0</v>
      </c>
      <c r="G267" s="16">
        <f t="shared" si="42"/>
        <v>14.467038279872749</v>
      </c>
      <c r="H267" s="14">
        <f t="shared" si="43"/>
        <v>0</v>
      </c>
      <c r="I267" s="14">
        <f t="shared" si="44"/>
        <v>6.6994066803503411</v>
      </c>
      <c r="J267" s="14">
        <f t="shared" si="45"/>
        <v>1.5311177094222179</v>
      </c>
      <c r="K267" s="14">
        <f t="shared" si="46"/>
        <v>4.4131599556441925</v>
      </c>
      <c r="L267" s="14">
        <f t="shared" si="47"/>
        <v>630.34877521194846</v>
      </c>
      <c r="M267" s="14">
        <f t="shared" si="41"/>
        <v>0.22654034180092672</v>
      </c>
      <c r="N267" s="14">
        <f t="shared" si="48"/>
        <v>5.7972302745584363</v>
      </c>
      <c r="O267" s="4">
        <v>8.92</v>
      </c>
      <c r="P267" s="14">
        <f t="shared" si="51"/>
        <v>9.7516907581343784</v>
      </c>
      <c r="Q267" s="14">
        <f t="shared" si="49"/>
        <v>5.6946711226303446</v>
      </c>
    </row>
    <row r="268" spans="1:17" x14ac:dyDescent="0.25">
      <c r="A268" s="5" t="s">
        <v>325</v>
      </c>
      <c r="B268" s="6">
        <f t="shared" si="50"/>
        <v>12</v>
      </c>
      <c r="C268" s="58">
        <v>17.930776600000002</v>
      </c>
      <c r="D268" s="4">
        <v>0</v>
      </c>
      <c r="E268" s="12">
        <f t="shared" si="39"/>
        <v>0</v>
      </c>
      <c r="F268" s="12">
        <f t="shared" si="40"/>
        <v>0</v>
      </c>
      <c r="G268" s="16">
        <f t="shared" si="42"/>
        <v>12.779322485963636</v>
      </c>
      <c r="H268" s="14">
        <f t="shared" si="43"/>
        <v>0</v>
      </c>
      <c r="I268" s="14">
        <f t="shared" si="44"/>
        <v>8.1661503816009287</v>
      </c>
      <c r="J268" s="14">
        <f t="shared" si="45"/>
        <v>1.6877157939091143</v>
      </c>
      <c r="K268" s="14">
        <f t="shared" si="46"/>
        <v>4.1011759791721598</v>
      </c>
      <c r="L268" s="14">
        <f t="shared" si="47"/>
        <v>630.43421884661961</v>
      </c>
      <c r="M268" s="14">
        <f t="shared" si="41"/>
        <v>0.21460002303484296</v>
      </c>
      <c r="N268" s="14">
        <f t="shared" si="48"/>
        <v>5.4916742005791406</v>
      </c>
      <c r="O268" s="4">
        <v>8.65</v>
      </c>
      <c r="P268" s="14">
        <f t="shared" si="51"/>
        <v>9.9750218552874124</v>
      </c>
      <c r="Q268" s="14">
        <f t="shared" si="49"/>
        <v>4.4789415795268948</v>
      </c>
    </row>
    <row r="269" spans="1:17" x14ac:dyDescent="0.25">
      <c r="A269" s="5" t="s">
        <v>326</v>
      </c>
      <c r="B269" s="6">
        <f t="shared" si="50"/>
        <v>12</v>
      </c>
      <c r="C269" s="58">
        <v>17.032892230000002</v>
      </c>
      <c r="D269" s="4">
        <v>0</v>
      </c>
      <c r="E269" s="12">
        <f t="shared" si="39"/>
        <v>0</v>
      </c>
      <c r="F269" s="12">
        <f t="shared" si="40"/>
        <v>0</v>
      </c>
      <c r="G269" s="16">
        <f t="shared" si="42"/>
        <v>11.514693128369302</v>
      </c>
      <c r="H269" s="14">
        <f t="shared" si="43"/>
        <v>0</v>
      </c>
      <c r="I269" s="14">
        <f t="shared" si="44"/>
        <v>6.9271265077942115</v>
      </c>
      <c r="J269" s="14">
        <f t="shared" si="45"/>
        <v>1.2646293575943337</v>
      </c>
      <c r="K269" s="14">
        <f t="shared" si="46"/>
        <v>3.816637012686765</v>
      </c>
      <c r="L269" s="14">
        <f t="shared" si="47"/>
        <v>630.50415779007017</v>
      </c>
      <c r="M269" s="14">
        <f t="shared" si="41"/>
        <v>0.20370839232037541</v>
      </c>
      <c r="N269" s="14">
        <f t="shared" si="48"/>
        <v>5.2129543451429399</v>
      </c>
      <c r="O269" s="4">
        <v>7.76</v>
      </c>
      <c r="P269" s="14">
        <f t="shared" si="51"/>
        <v>6.4874415679262292</v>
      </c>
      <c r="Q269" s="14">
        <f t="shared" si="49"/>
        <v>1.5039367892969997</v>
      </c>
    </row>
    <row r="270" spans="1:17" x14ac:dyDescent="0.25">
      <c r="A270" s="5" t="s">
        <v>327</v>
      </c>
      <c r="B270" s="6">
        <f t="shared" si="50"/>
        <v>12</v>
      </c>
      <c r="C270" s="58">
        <v>17.32007217</v>
      </c>
      <c r="D270" s="4">
        <v>2.2999999999999998</v>
      </c>
      <c r="E270" s="12">
        <f t="shared" si="39"/>
        <v>0</v>
      </c>
      <c r="F270" s="12">
        <f t="shared" si="40"/>
        <v>2.2999999999999998</v>
      </c>
      <c r="G270" s="16">
        <f t="shared" si="42"/>
        <v>12.26114927647526</v>
      </c>
      <c r="H270" s="14">
        <f t="shared" si="43"/>
        <v>0.3488729310034035</v>
      </c>
      <c r="I270" s="14">
        <f t="shared" si="44"/>
        <v>7.3234167358314579</v>
      </c>
      <c r="J270" s="14">
        <f t="shared" si="45"/>
        <v>1.2046709208906383</v>
      </c>
      <c r="K270" s="14">
        <f t="shared" si="46"/>
        <v>3.9060016690533956</v>
      </c>
      <c r="L270" s="14">
        <f t="shared" si="47"/>
        <v>630.55995767238653</v>
      </c>
      <c r="M270" s="14">
        <f t="shared" si="41"/>
        <v>0.20714559248419684</v>
      </c>
      <c r="N270" s="14">
        <f t="shared" si="48"/>
        <v>5.3009132521129541</v>
      </c>
      <c r="O270" s="4">
        <v>7.52</v>
      </c>
      <c r="P270" s="14">
        <f t="shared" si="51"/>
        <v>4.9243459946479042</v>
      </c>
      <c r="Q270" s="14">
        <f t="shared" si="49"/>
        <v>0.97288830653837632</v>
      </c>
    </row>
    <row r="271" spans="1:17" x14ac:dyDescent="0.25">
      <c r="A271" s="5" t="s">
        <v>328</v>
      </c>
      <c r="B271" s="6">
        <f t="shared" si="50"/>
        <v>12</v>
      </c>
      <c r="C271" s="58">
        <v>17.603984830000002</v>
      </c>
      <c r="D271" s="4">
        <v>0.5</v>
      </c>
      <c r="E271" s="12">
        <f t="shared" si="39"/>
        <v>0</v>
      </c>
      <c r="F271" s="12">
        <f t="shared" si="40"/>
        <v>0.5</v>
      </c>
      <c r="G271" s="16">
        <f t="shared" si="42"/>
        <v>11.331342627598429</v>
      </c>
      <c r="H271" s="14">
        <f t="shared" si="43"/>
        <v>7.8417009861237008E-2</v>
      </c>
      <c r="I271" s="14">
        <f t="shared" si="44"/>
        <v>7.7151983232712436</v>
      </c>
      <c r="J271" s="14">
        <f t="shared" si="45"/>
        <v>1.3513896390155933</v>
      </c>
      <c r="K271" s="14">
        <f t="shared" si="46"/>
        <v>3.7170490585954012</v>
      </c>
      <c r="L271" s="14">
        <f t="shared" si="47"/>
        <v>630.62018170022156</v>
      </c>
      <c r="M271" s="14">
        <f t="shared" si="41"/>
        <v>0.1999157535588223</v>
      </c>
      <c r="N271" s="14">
        <f t="shared" si="48"/>
        <v>5.1158996657240294</v>
      </c>
      <c r="O271" s="4">
        <v>7.05</v>
      </c>
      <c r="P271" s="14">
        <f t="shared" si="51"/>
        <v>3.7407441030464206</v>
      </c>
      <c r="Q271" s="14">
        <f t="shared" si="49"/>
        <v>0.26661836113607373</v>
      </c>
    </row>
    <row r="272" spans="1:17" x14ac:dyDescent="0.25">
      <c r="A272" s="5" t="s">
        <v>329</v>
      </c>
      <c r="B272" s="6">
        <f t="shared" si="50"/>
        <v>12</v>
      </c>
      <c r="C272" s="58">
        <v>17.83678055</v>
      </c>
      <c r="D272" s="4">
        <v>0</v>
      </c>
      <c r="E272" s="12">
        <f t="shared" si="39"/>
        <v>0</v>
      </c>
      <c r="F272" s="12">
        <f t="shared" si="40"/>
        <v>0</v>
      </c>
      <c r="G272" s="16">
        <f t="shared" si="42"/>
        <v>10.030431933999994</v>
      </c>
      <c r="H272" s="14">
        <f t="shared" si="43"/>
        <v>0</v>
      </c>
      <c r="I272" s="14">
        <f t="shared" si="44"/>
        <v>8.0364417533133796</v>
      </c>
      <c r="J272" s="14">
        <f t="shared" si="45"/>
        <v>1.300910693598436</v>
      </c>
      <c r="K272" s="14">
        <f t="shared" si="46"/>
        <v>3.4663014659189444</v>
      </c>
      <c r="L272" s="14">
        <f t="shared" si="47"/>
        <v>630.67101353933924</v>
      </c>
      <c r="M272" s="14">
        <f t="shared" si="41"/>
        <v>0.1903153051168005</v>
      </c>
      <c r="N272" s="14">
        <f t="shared" si="48"/>
        <v>4.8702215233014572</v>
      </c>
      <c r="O272" s="4">
        <v>6.29</v>
      </c>
      <c r="P272" s="14">
        <f t="shared" si="51"/>
        <v>2.0157709228964347</v>
      </c>
      <c r="Q272" s="14">
        <f t="shared" si="49"/>
        <v>5.936483240043449E-2</v>
      </c>
    </row>
    <row r="273" spans="1:17" x14ac:dyDescent="0.25">
      <c r="A273" s="5" t="s">
        <v>330</v>
      </c>
      <c r="B273" s="6">
        <f t="shared" si="50"/>
        <v>1</v>
      </c>
      <c r="C273" s="58">
        <v>18.053569790000001</v>
      </c>
      <c r="D273" s="4">
        <v>0</v>
      </c>
      <c r="E273" s="12">
        <f t="shared" si="39"/>
        <v>0</v>
      </c>
      <c r="F273" s="12">
        <f t="shared" si="40"/>
        <v>0</v>
      </c>
      <c r="G273" s="16">
        <f t="shared" si="42"/>
        <v>8.2174151598979872</v>
      </c>
      <c r="H273" s="14">
        <f t="shared" si="43"/>
        <v>0</v>
      </c>
      <c r="I273" s="14">
        <f t="shared" si="44"/>
        <v>12.652602852532421</v>
      </c>
      <c r="J273" s="14">
        <f t="shared" si="45"/>
        <v>1.8130167741020069</v>
      </c>
      <c r="K273" s="14">
        <f t="shared" si="46"/>
        <v>3.2376119618114934</v>
      </c>
      <c r="L273" s="14">
        <f t="shared" si="47"/>
        <v>630.70938773832984</v>
      </c>
      <c r="M273" s="14">
        <f t="shared" si="41"/>
        <v>0.18155770846960123</v>
      </c>
      <c r="N273" s="14">
        <f t="shared" si="48"/>
        <v>4.6461121924338924</v>
      </c>
      <c r="O273" s="4">
        <v>5.94</v>
      </c>
      <c r="P273" s="14">
        <f t="shared" si="51"/>
        <v>1.6741456585682297</v>
      </c>
      <c r="Q273" s="14">
        <f t="shared" si="49"/>
        <v>0.35241912837744221</v>
      </c>
    </row>
    <row r="274" spans="1:17" x14ac:dyDescent="0.25">
      <c r="A274" s="5" t="s">
        <v>331</v>
      </c>
      <c r="B274" s="6">
        <f t="shared" si="50"/>
        <v>1</v>
      </c>
      <c r="C274" s="58">
        <v>17.40297318</v>
      </c>
      <c r="D274" s="4">
        <v>0</v>
      </c>
      <c r="E274" s="12">
        <f t="shared" si="39"/>
        <v>0</v>
      </c>
      <c r="F274" s="12">
        <f t="shared" si="40"/>
        <v>0</v>
      </c>
      <c r="G274" s="16">
        <f t="shared" si="42"/>
        <v>6.884160790090788</v>
      </c>
      <c r="H274" s="14">
        <f t="shared" si="43"/>
        <v>0</v>
      </c>
      <c r="I274" s="14">
        <f t="shared" si="44"/>
        <v>11.357309896579272</v>
      </c>
      <c r="J274" s="14">
        <f t="shared" si="45"/>
        <v>1.3332543698071995</v>
      </c>
      <c r="K274" s="14">
        <f t="shared" si="46"/>
        <v>3.0290401118061618</v>
      </c>
      <c r="L274" s="14">
        <f t="shared" si="47"/>
        <v>630.73640187986553</v>
      </c>
      <c r="M274" s="14">
        <f t="shared" si="41"/>
        <v>0.17356881889918219</v>
      </c>
      <c r="N274" s="14">
        <f t="shared" si="48"/>
        <v>4.4416742891908774</v>
      </c>
      <c r="O274" s="4">
        <v>5.09</v>
      </c>
      <c r="P274" s="14">
        <f t="shared" si="51"/>
        <v>0.42032622729615393</v>
      </c>
      <c r="Q274" s="14">
        <f t="shared" si="49"/>
        <v>2.0841224186073202</v>
      </c>
    </row>
    <row r="275" spans="1:17" x14ac:dyDescent="0.25">
      <c r="A275" s="5" t="s">
        <v>332</v>
      </c>
      <c r="B275" s="6">
        <f t="shared" si="50"/>
        <v>1</v>
      </c>
      <c r="C275" s="58">
        <v>17.943342210000001</v>
      </c>
      <c r="D275" s="4">
        <v>0</v>
      </c>
      <c r="E275" s="12">
        <f t="shared" si="39"/>
        <v>0</v>
      </c>
      <c r="F275" s="12">
        <f t="shared" si="40"/>
        <v>0</v>
      </c>
      <c r="G275" s="16">
        <f t="shared" si="42"/>
        <v>5.6614200103281336</v>
      </c>
      <c r="H275" s="14">
        <f t="shared" si="43"/>
        <v>0</v>
      </c>
      <c r="I275" s="14">
        <f t="shared" si="44"/>
        <v>12.433147347029923</v>
      </c>
      <c r="J275" s="14">
        <f t="shared" si="45"/>
        <v>1.2227407797626542</v>
      </c>
      <c r="K275" s="14">
        <f t="shared" si="46"/>
        <v>2.8388161800851557</v>
      </c>
      <c r="L275" s="14">
        <f t="shared" si="47"/>
        <v>630.75305699268733</v>
      </c>
      <c r="M275" s="14">
        <f t="shared" si="41"/>
        <v>0.16628101414588653</v>
      </c>
      <c r="N275" s="14">
        <f t="shared" si="48"/>
        <v>4.2551773411638321</v>
      </c>
      <c r="O275" s="4">
        <v>4.42</v>
      </c>
      <c r="P275" s="14">
        <f t="shared" si="51"/>
        <v>2.7166508865823787E-2</v>
      </c>
      <c r="Q275" s="14">
        <f t="shared" si="49"/>
        <v>4.4675120709061646</v>
      </c>
    </row>
    <row r="276" spans="1:17" x14ac:dyDescent="0.25">
      <c r="A276" s="5" t="s">
        <v>333</v>
      </c>
      <c r="B276" s="6">
        <f t="shared" si="50"/>
        <v>1</v>
      </c>
      <c r="C276" s="58">
        <v>18.60569954</v>
      </c>
      <c r="D276" s="4">
        <v>0</v>
      </c>
      <c r="E276" s="12">
        <f t="shared" si="39"/>
        <v>0</v>
      </c>
      <c r="F276" s="12">
        <f t="shared" si="40"/>
        <v>0</v>
      </c>
      <c r="G276" s="16">
        <f t="shared" si="42"/>
        <v>4.5492044327736734</v>
      </c>
      <c r="H276" s="14">
        <f t="shared" si="43"/>
        <v>0</v>
      </c>
      <c r="I276" s="14">
        <f t="shared" si="44"/>
        <v>13.751855084952091</v>
      </c>
      <c r="J276" s="14">
        <f t="shared" si="45"/>
        <v>1.1122155775544602</v>
      </c>
      <c r="K276" s="14">
        <f t="shared" si="46"/>
        <v>2.6653261132402148</v>
      </c>
      <c r="L276" s="14">
        <f t="shared" si="47"/>
        <v>630.7602660453864</v>
      </c>
      <c r="M276" s="14">
        <f t="shared" si="41"/>
        <v>0.15963262063238662</v>
      </c>
      <c r="N276" s="14">
        <f t="shared" si="48"/>
        <v>4.0850431043773936</v>
      </c>
      <c r="O276" s="4">
        <v>3.86</v>
      </c>
      <c r="P276" s="14">
        <f t="shared" si="51"/>
        <v>5.0644398827814525E-2</v>
      </c>
      <c r="Q276" s="14">
        <f t="shared" si="49"/>
        <v>7.1483989444693776</v>
      </c>
    </row>
    <row r="277" spans="1:17" x14ac:dyDescent="0.25">
      <c r="A277" s="5" t="s">
        <v>334</v>
      </c>
      <c r="B277" s="6">
        <f t="shared" si="50"/>
        <v>1</v>
      </c>
      <c r="C277" s="58">
        <v>18.026844019999999</v>
      </c>
      <c r="D277" s="4">
        <v>1.2</v>
      </c>
      <c r="E277" s="12">
        <f t="shared" si="39"/>
        <v>0</v>
      </c>
      <c r="F277" s="12">
        <f t="shared" si="40"/>
        <v>1.2</v>
      </c>
      <c r="G277" s="16">
        <f t="shared" si="42"/>
        <v>4.8192833240048492</v>
      </c>
      <c r="H277" s="14">
        <f t="shared" si="43"/>
        <v>0.11110305297951693</v>
      </c>
      <c r="I277" s="14">
        <f t="shared" si="44"/>
        <v>12.599393688679834</v>
      </c>
      <c r="J277" s="14">
        <f t="shared" si="45"/>
        <v>0.81881805578930766</v>
      </c>
      <c r="K277" s="14">
        <f t="shared" si="46"/>
        <v>2.6182008979805551</v>
      </c>
      <c r="L277" s="14">
        <f t="shared" si="47"/>
        <v>630.75886169299326</v>
      </c>
      <c r="M277" s="14">
        <f t="shared" si="41"/>
        <v>0.15782600055459339</v>
      </c>
      <c r="N277" s="14">
        <f t="shared" si="48"/>
        <v>4.0388111947477547</v>
      </c>
      <c r="O277" s="4">
        <v>3.69</v>
      </c>
      <c r="P277" s="14">
        <f t="shared" si="51"/>
        <v>0.12166924958135612</v>
      </c>
      <c r="Q277" s="14">
        <f t="shared" si="49"/>
        <v>8.086339602515352</v>
      </c>
    </row>
    <row r="278" spans="1:17" x14ac:dyDescent="0.25">
      <c r="A278" s="5" t="s">
        <v>335</v>
      </c>
      <c r="B278" s="6">
        <f t="shared" si="50"/>
        <v>1</v>
      </c>
      <c r="C278" s="58">
        <v>18.229375839999999</v>
      </c>
      <c r="D278" s="4">
        <v>2.4</v>
      </c>
      <c r="E278" s="12">
        <f t="shared" si="39"/>
        <v>0</v>
      </c>
      <c r="F278" s="12">
        <f t="shared" si="40"/>
        <v>2.4</v>
      </c>
      <c r="G278" s="16">
        <f t="shared" si="42"/>
        <v>6.0949684961855821</v>
      </c>
      <c r="H278" s="14">
        <f t="shared" si="43"/>
        <v>0.22912392684195859</v>
      </c>
      <c r="I278" s="14">
        <f t="shared" si="44"/>
        <v>13.002620566548705</v>
      </c>
      <c r="J278" s="14">
        <f t="shared" si="45"/>
        <v>0.89519090097730813</v>
      </c>
      <c r="K278" s="14">
        <f t="shared" si="46"/>
        <v>2.693242128474719</v>
      </c>
      <c r="L278" s="14">
        <f t="shared" si="47"/>
        <v>630.75511838878651</v>
      </c>
      <c r="M278" s="14">
        <f t="shared" si="41"/>
        <v>0.16070155792757873</v>
      </c>
      <c r="N278" s="14">
        <f t="shared" si="48"/>
        <v>4.112397506688386</v>
      </c>
      <c r="O278" s="4">
        <v>3.44</v>
      </c>
      <c r="P278" s="14">
        <f t="shared" si="51"/>
        <v>0.45211840700075817</v>
      </c>
      <c r="Q278" s="14">
        <f t="shared" si="49"/>
        <v>9.5706640996417871</v>
      </c>
    </row>
    <row r="279" spans="1:17" x14ac:dyDescent="0.25">
      <c r="A279" s="5" t="s">
        <v>336</v>
      </c>
      <c r="B279" s="6">
        <f t="shared" si="50"/>
        <v>1</v>
      </c>
      <c r="C279" s="58">
        <v>18.364072799999999</v>
      </c>
      <c r="D279" s="4">
        <v>0</v>
      </c>
      <c r="E279" s="12">
        <f t="shared" si="39"/>
        <v>0</v>
      </c>
      <c r="F279" s="12">
        <f t="shared" si="40"/>
        <v>0</v>
      </c>
      <c r="G279" s="16">
        <f t="shared" si="42"/>
        <v>4.9394666378991241</v>
      </c>
      <c r="H279" s="14">
        <f t="shared" si="43"/>
        <v>0</v>
      </c>
      <c r="I279" s="14">
        <f t="shared" si="44"/>
        <v>13.270792919116454</v>
      </c>
      <c r="J279" s="14">
        <f t="shared" si="45"/>
        <v>1.155501858286458</v>
      </c>
      <c r="K279" s="14">
        <f t="shared" si="46"/>
        <v>2.5325581080986481</v>
      </c>
      <c r="L279" s="14">
        <f t="shared" si="47"/>
        <v>630.75510085123494</v>
      </c>
      <c r="M279" s="14">
        <f t="shared" si="41"/>
        <v>0.15454249178371221</v>
      </c>
      <c r="N279" s="14">
        <f t="shared" si="48"/>
        <v>3.9547852932151351</v>
      </c>
      <c r="O279" s="4">
        <v>3.12</v>
      </c>
      <c r="P279" s="14">
        <f t="shared" si="51"/>
        <v>0.69686648576827881</v>
      </c>
      <c r="Q279" s="14">
        <f t="shared" si="49"/>
        <v>11.652999455963622</v>
      </c>
    </row>
    <row r="280" spans="1:17" x14ac:dyDescent="0.25">
      <c r="A280" s="5" t="s">
        <v>337</v>
      </c>
      <c r="B280" s="6">
        <f t="shared" si="50"/>
        <v>1</v>
      </c>
      <c r="C280" s="58">
        <v>18.40358543</v>
      </c>
      <c r="D280" s="4">
        <v>0</v>
      </c>
      <c r="E280" s="12">
        <f t="shared" si="39"/>
        <v>0</v>
      </c>
      <c r="F280" s="12">
        <f t="shared" si="40"/>
        <v>0</v>
      </c>
      <c r="G280" s="16">
        <f t="shared" si="42"/>
        <v>3.9974771413677375</v>
      </c>
      <c r="H280" s="14">
        <f t="shared" si="43"/>
        <v>0</v>
      </c>
      <c r="I280" s="14">
        <f t="shared" si="44"/>
        <v>13.349459838869054</v>
      </c>
      <c r="J280" s="14">
        <f t="shared" si="45"/>
        <v>0.94198949653138675</v>
      </c>
      <c r="K280" s="14">
        <f t="shared" si="46"/>
        <v>2.386009347468232</v>
      </c>
      <c r="L280" s="14">
        <f t="shared" si="47"/>
        <v>630.74710712008164</v>
      </c>
      <c r="M280" s="14">
        <f t="shared" si="41"/>
        <v>0.14892354321685741</v>
      </c>
      <c r="N280" s="14">
        <f t="shared" si="48"/>
        <v>3.8109948385702745</v>
      </c>
      <c r="O280" s="4">
        <v>2.92</v>
      </c>
      <c r="P280" s="14">
        <f t="shared" si="51"/>
        <v>0.79387180235886967</v>
      </c>
      <c r="Q280" s="14">
        <f t="shared" si="49"/>
        <v>13.058459053664771</v>
      </c>
    </row>
    <row r="281" spans="1:17" x14ac:dyDescent="0.25">
      <c r="A281" s="5" t="s">
        <v>338</v>
      </c>
      <c r="B281" s="6">
        <f t="shared" si="50"/>
        <v>1</v>
      </c>
      <c r="C281" s="58">
        <v>18.518865590000001</v>
      </c>
      <c r="D281" s="4">
        <v>0</v>
      </c>
      <c r="E281" s="12">
        <f t="shared" si="39"/>
        <v>0</v>
      </c>
      <c r="F281" s="12">
        <f t="shared" si="40"/>
        <v>0</v>
      </c>
      <c r="G281" s="16">
        <f t="shared" si="42"/>
        <v>3.2220245023453638</v>
      </c>
      <c r="H281" s="14">
        <f t="shared" si="43"/>
        <v>0</v>
      </c>
      <c r="I281" s="14">
        <f t="shared" si="44"/>
        <v>13.578974682497202</v>
      </c>
      <c r="J281" s="14">
        <f t="shared" si="45"/>
        <v>0.77545263902237349</v>
      </c>
      <c r="K281" s="14">
        <f t="shared" si="46"/>
        <v>2.2523523777705199</v>
      </c>
      <c r="L281" s="14">
        <f t="shared" si="47"/>
        <v>630.73184054656258</v>
      </c>
      <c r="M281" s="14">
        <f t="shared" si="41"/>
        <v>0.14379719882385322</v>
      </c>
      <c r="N281" s="14">
        <f t="shared" si="48"/>
        <v>3.6798102615687438</v>
      </c>
      <c r="O281" s="4">
        <v>2.91</v>
      </c>
      <c r="P281" s="14">
        <f t="shared" si="51"/>
        <v>0.59260783881653756</v>
      </c>
      <c r="Q281" s="14">
        <f t="shared" si="49"/>
        <v>13.130832033549826</v>
      </c>
    </row>
    <row r="282" spans="1:17" x14ac:dyDescent="0.25">
      <c r="A282" s="5" t="s">
        <v>339</v>
      </c>
      <c r="B282" s="6">
        <f t="shared" si="50"/>
        <v>1</v>
      </c>
      <c r="C282" s="58">
        <v>18.85099602</v>
      </c>
      <c r="D282" s="4">
        <v>1.2</v>
      </c>
      <c r="E282" s="12">
        <f t="shared" si="39"/>
        <v>0</v>
      </c>
      <c r="F282" s="12">
        <f t="shared" si="40"/>
        <v>1.2</v>
      </c>
      <c r="G282" s="16">
        <f t="shared" si="42"/>
        <v>3.6740724416317532</v>
      </c>
      <c r="H282" s="14">
        <f t="shared" si="43"/>
        <v>9.2489404618266602E-2</v>
      </c>
      <c r="I282" s="14">
        <f t="shared" si="44"/>
        <v>14.240223449896542</v>
      </c>
      <c r="J282" s="14">
        <f t="shared" si="45"/>
        <v>0.65546265609534415</v>
      </c>
      <c r="K282" s="14">
        <f t="shared" si="46"/>
        <v>2.2229425218837648</v>
      </c>
      <c r="L282" s="14">
        <f t="shared" si="47"/>
        <v>630.70994260824375</v>
      </c>
      <c r="M282" s="14">
        <f t="shared" si="41"/>
        <v>0.14266526908427024</v>
      </c>
      <c r="N282" s="14">
        <f t="shared" si="48"/>
        <v>3.6508438651078876</v>
      </c>
      <c r="O282" s="4">
        <v>2.89</v>
      </c>
      <c r="P282" s="14">
        <f t="shared" si="51"/>
        <v>0.57888338707230924</v>
      </c>
      <c r="Q282" s="14">
        <f t="shared" si="49"/>
        <v>13.276177993319942</v>
      </c>
    </row>
    <row r="283" spans="1:17" x14ac:dyDescent="0.25">
      <c r="A283" s="5" t="s">
        <v>340</v>
      </c>
      <c r="B283" s="6">
        <f t="shared" si="50"/>
        <v>1</v>
      </c>
      <c r="C283" s="58">
        <v>17.576938630000001</v>
      </c>
      <c r="D283" s="4">
        <v>4.4000000000000004</v>
      </c>
      <c r="E283" s="12">
        <f t="shared" ref="E283:E346" si="52">IF(C283&gt;$C$9,MAX(E282-$C$10*(C283-$C$9),0),E282+D283)</f>
        <v>0</v>
      </c>
      <c r="F283" s="12">
        <f t="shared" ref="F283:F346" si="53">IF(C283&gt;$C$9,D283+MIN(E282,$C$10*(C283-$C$9)),0)</f>
        <v>4.4000000000000004</v>
      </c>
      <c r="G283" s="16">
        <f t="shared" si="42"/>
        <v>7.0961432199840537</v>
      </c>
      <c r="H283" s="14">
        <f t="shared" si="43"/>
        <v>0.36364149596796347</v>
      </c>
      <c r="I283" s="14">
        <f t="shared" si="44"/>
        <v>11.703663103006555</v>
      </c>
      <c r="J283" s="14">
        <f t="shared" si="45"/>
        <v>0.61428772567973611</v>
      </c>
      <c r="K283" s="14">
        <f t="shared" si="46"/>
        <v>2.4672719215903487</v>
      </c>
      <c r="L283" s="14">
        <f t="shared" si="47"/>
        <v>630.68658943542084</v>
      </c>
      <c r="M283" s="14">
        <f t="shared" si="41"/>
        <v>0.1520255313615291</v>
      </c>
      <c r="N283" s="14">
        <f t="shared" si="48"/>
        <v>3.890375576855797</v>
      </c>
      <c r="O283" s="4">
        <v>2.86</v>
      </c>
      <c r="P283" s="14">
        <f t="shared" si="51"/>
        <v>1.0616738293809167</v>
      </c>
      <c r="Q283" s="14">
        <f t="shared" si="49"/>
        <v>13.495696932975116</v>
      </c>
    </row>
    <row r="284" spans="1:17" x14ac:dyDescent="0.25">
      <c r="A284" s="5" t="s">
        <v>341</v>
      </c>
      <c r="B284" s="6">
        <f t="shared" si="50"/>
        <v>1</v>
      </c>
      <c r="C284" s="58">
        <v>16.62981796</v>
      </c>
      <c r="D284" s="4">
        <v>0</v>
      </c>
      <c r="E284" s="12">
        <f t="shared" si="52"/>
        <v>0</v>
      </c>
      <c r="F284" s="12">
        <f t="shared" si="53"/>
        <v>0</v>
      </c>
      <c r="G284" s="16">
        <f t="shared" si="42"/>
        <v>6.1008565069820033</v>
      </c>
      <c r="H284" s="14">
        <f t="shared" si="43"/>
        <v>0</v>
      </c>
      <c r="I284" s="14">
        <f t="shared" si="44"/>
        <v>9.8180112052989656</v>
      </c>
      <c r="J284" s="14">
        <f t="shared" si="45"/>
        <v>0.99528671300205085</v>
      </c>
      <c r="K284" s="14">
        <f t="shared" si="46"/>
        <v>2.3264663406609269</v>
      </c>
      <c r="L284" s="14">
        <f t="shared" si="47"/>
        <v>630.67536948498878</v>
      </c>
      <c r="M284" s="14">
        <f t="shared" si="41"/>
        <v>0.14662603654879483</v>
      </c>
      <c r="N284" s="14">
        <f t="shared" si="48"/>
        <v>3.7522010047382564</v>
      </c>
      <c r="O284" s="4">
        <v>3.05</v>
      </c>
      <c r="P284" s="14">
        <f t="shared" si="51"/>
        <v>0.49308625105541698</v>
      </c>
      <c r="Q284" s="14">
        <f t="shared" si="49"/>
        <v>12.135810315159025</v>
      </c>
    </row>
    <row r="285" spans="1:17" x14ac:dyDescent="0.25">
      <c r="A285" s="5" t="s">
        <v>342</v>
      </c>
      <c r="B285" s="6">
        <f t="shared" si="50"/>
        <v>1</v>
      </c>
      <c r="C285" s="58">
        <v>17.51444244</v>
      </c>
      <c r="D285" s="4">
        <v>4.2</v>
      </c>
      <c r="E285" s="12">
        <f t="shared" si="52"/>
        <v>0</v>
      </c>
      <c r="F285" s="12">
        <f t="shared" si="53"/>
        <v>4.2</v>
      </c>
      <c r="G285" s="16">
        <f t="shared" si="42"/>
        <v>8.8371528741428094</v>
      </c>
      <c r="H285" s="14">
        <f t="shared" si="43"/>
        <v>0.4545132970755778</v>
      </c>
      <c r="I285" s="14">
        <f t="shared" si="44"/>
        <v>11.57923750127938</v>
      </c>
      <c r="J285" s="14">
        <f t="shared" si="45"/>
        <v>1.0091903357636183</v>
      </c>
      <c r="K285" s="14">
        <f t="shared" si="46"/>
        <v>2.6525606242791748</v>
      </c>
      <c r="L285" s="14">
        <f t="shared" si="47"/>
        <v>630.65716246189731</v>
      </c>
      <c r="M285" s="14">
        <f t="shared" si="41"/>
        <v>0.15912146005852848</v>
      </c>
      <c r="N285" s="14">
        <f t="shared" si="48"/>
        <v>4.0719623633033155</v>
      </c>
      <c r="O285" s="4">
        <v>3.1</v>
      </c>
      <c r="P285" s="14">
        <f t="shared" si="51"/>
        <v>0.94471083567816616</v>
      </c>
      <c r="Q285" s="14">
        <f t="shared" si="49"/>
        <v>11.789945415733737</v>
      </c>
    </row>
    <row r="286" spans="1:17" x14ac:dyDescent="0.25">
      <c r="A286" s="5" t="s">
        <v>343</v>
      </c>
      <c r="B286" s="6">
        <f t="shared" si="50"/>
        <v>1</v>
      </c>
      <c r="C286" s="58">
        <v>17.888519290000001</v>
      </c>
      <c r="D286" s="4">
        <v>8.1999999999999993</v>
      </c>
      <c r="E286" s="12">
        <f t="shared" si="52"/>
        <v>0</v>
      </c>
      <c r="F286" s="12">
        <f t="shared" si="53"/>
        <v>8.1999999999999993</v>
      </c>
      <c r="G286" s="16">
        <f t="shared" si="42"/>
        <v>14.400736091122095</v>
      </c>
      <c r="H286" s="14">
        <f t="shared" si="43"/>
        <v>1.0805718051635831</v>
      </c>
      <c r="I286" s="14">
        <f t="shared" si="44"/>
        <v>12.323998696377126</v>
      </c>
      <c r="J286" s="14">
        <f t="shared" si="45"/>
        <v>1.5558449778571317</v>
      </c>
      <c r="K286" s="14">
        <f t="shared" si="46"/>
        <v>3.5760271322483836</v>
      </c>
      <c r="L286" s="14">
        <f t="shared" si="47"/>
        <v>630.65514629903316</v>
      </c>
      <c r="M286" s="14">
        <f t="shared" si="41"/>
        <v>0.19451775636547725</v>
      </c>
      <c r="N286" s="14">
        <f t="shared" si="48"/>
        <v>4.977763418102664</v>
      </c>
      <c r="O286" s="4">
        <v>3.38</v>
      </c>
      <c r="P286" s="14">
        <f t="shared" si="51"/>
        <v>2.5528479402271085</v>
      </c>
      <c r="Q286" s="14">
        <f t="shared" si="49"/>
        <v>9.9455019789521319</v>
      </c>
    </row>
    <row r="287" spans="1:17" x14ac:dyDescent="0.25">
      <c r="A287" s="5" t="s">
        <v>344</v>
      </c>
      <c r="B287" s="6">
        <f t="shared" si="50"/>
        <v>1</v>
      </c>
      <c r="C287" s="58">
        <v>18.14272308</v>
      </c>
      <c r="D287" s="4">
        <v>0.6</v>
      </c>
      <c r="E287" s="12">
        <f t="shared" si="52"/>
        <v>0</v>
      </c>
      <c r="F287" s="12">
        <f t="shared" si="53"/>
        <v>0.6</v>
      </c>
      <c r="G287" s="16">
        <f t="shared" si="42"/>
        <v>12.258763930454947</v>
      </c>
      <c r="H287" s="14">
        <f t="shared" si="43"/>
        <v>0.10250007065140533</v>
      </c>
      <c r="I287" s="14">
        <f t="shared" si="44"/>
        <v>12.83010090088076</v>
      </c>
      <c r="J287" s="14">
        <f t="shared" si="45"/>
        <v>2.6394720900157425</v>
      </c>
      <c r="K287" s="14">
        <f t="shared" si="46"/>
        <v>3.4401852094489569</v>
      </c>
      <c r="L287" s="14">
        <f t="shared" si="47"/>
        <v>630.69897053611851</v>
      </c>
      <c r="M287" s="14">
        <f t="shared" ref="M287:M350" si="54">MAX(0,K287-$F$9)*$F$8+K287*$F$10+L287*$F$11</f>
        <v>0.18932018818980648</v>
      </c>
      <c r="N287" s="14">
        <f t="shared" si="48"/>
        <v>4.8447562047183119</v>
      </c>
      <c r="O287" s="4">
        <v>4.96</v>
      </c>
      <c r="P287" s="14">
        <f t="shared" si="51"/>
        <v>1.3281132350927623E-2</v>
      </c>
      <c r="Q287" s="14">
        <f t="shared" si="49"/>
        <v>2.4763711571130655</v>
      </c>
    </row>
    <row r="288" spans="1:17" x14ac:dyDescent="0.25">
      <c r="A288" s="5" t="s">
        <v>345</v>
      </c>
      <c r="B288" s="6">
        <f t="shared" si="50"/>
        <v>1</v>
      </c>
      <c r="C288" s="58">
        <v>17.728357320000001</v>
      </c>
      <c r="D288" s="4">
        <v>0</v>
      </c>
      <c r="E288" s="12">
        <f t="shared" si="52"/>
        <v>0</v>
      </c>
      <c r="F288" s="12">
        <f t="shared" si="53"/>
        <v>0</v>
      </c>
      <c r="G288" s="16">
        <f t="shared" ref="G288:G351" si="55">G287+F288-H288-J288</f>
        <v>10.156361931086941</v>
      </c>
      <c r="H288" s="14">
        <f t="shared" ref="H288:H351" si="56">(F288*(G287/$C$11)^$C$12)</f>
        <v>0</v>
      </c>
      <c r="I288" s="14">
        <f t="shared" ref="I288:I351" si="57">(1+$C$13*(C288-INDEX($A$16:$A$27,B288)))*INDEX($C$16:$C$27,B288)</f>
        <v>12.005127266117784</v>
      </c>
      <c r="J288" s="14">
        <f t="shared" ref="J288:J351" si="58">IF(G287&gt;$F$13,I288,I288*(G287/$F$13))</f>
        <v>2.1024019993680052</v>
      </c>
      <c r="K288" s="14">
        <f t="shared" ref="K288:K351" si="59">K287+H288-MAX(0,K287-$F$9)*$F$8-K287*$F$10-K287*$F$12</f>
        <v>3.2137931339714556</v>
      </c>
      <c r="L288" s="14">
        <f t="shared" ref="L288:L351" si="60">L287+K287*$F$12-L287*$F$11</f>
        <v>630.73604242340616</v>
      </c>
      <c r="M288" s="14">
        <f t="shared" si="54"/>
        <v>0.18065037654605945</v>
      </c>
      <c r="N288" s="14">
        <f t="shared" ref="N288:N351" si="61">M288*$C$8*1000/(24*3600)</f>
        <v>4.622893316473812</v>
      </c>
      <c r="O288" s="4">
        <v>6.32</v>
      </c>
      <c r="P288" s="14">
        <f t="shared" si="51"/>
        <v>2.8801710952692581</v>
      </c>
      <c r="Q288" s="14">
        <f t="shared" ref="Q288:Q351" si="62">(O288-$F$23)^2</f>
        <v>4.5645892745262255E-2</v>
      </c>
    </row>
    <row r="289" spans="1:17" x14ac:dyDescent="0.25">
      <c r="A289" s="5" t="s">
        <v>346</v>
      </c>
      <c r="B289" s="6">
        <f t="shared" ref="B289:B352" si="63">MONTH(A289)</f>
        <v>1</v>
      </c>
      <c r="C289" s="58">
        <v>18.502887730000001</v>
      </c>
      <c r="D289" s="4">
        <v>0</v>
      </c>
      <c r="E289" s="12">
        <f t="shared" si="52"/>
        <v>0</v>
      </c>
      <c r="F289" s="12">
        <f t="shared" si="53"/>
        <v>0</v>
      </c>
      <c r="G289" s="16">
        <f t="shared" si="55"/>
        <v>8.1907903529256725</v>
      </c>
      <c r="H289" s="14">
        <f t="shared" si="56"/>
        <v>0</v>
      </c>
      <c r="I289" s="14">
        <f t="shared" si="57"/>
        <v>13.547163865792816</v>
      </c>
      <c r="J289" s="14">
        <f t="shared" si="58"/>
        <v>1.9655715781612682</v>
      </c>
      <c r="K289" s="14">
        <f t="shared" si="59"/>
        <v>3.0073166094226811</v>
      </c>
      <c r="L289" s="14">
        <f t="shared" si="60"/>
        <v>630.76186857140897</v>
      </c>
      <c r="M289" s="14">
        <f t="shared" si="54"/>
        <v>0.1727415495423687</v>
      </c>
      <c r="N289" s="14">
        <f t="shared" si="61"/>
        <v>4.4205042365529774</v>
      </c>
      <c r="O289" s="4">
        <v>7.18</v>
      </c>
      <c r="P289" s="14">
        <f t="shared" ref="P289:P352" si="64">(O289-N289)^2</f>
        <v>7.6148168684820643</v>
      </c>
      <c r="Q289" s="14">
        <f t="shared" si="62"/>
        <v>0.41776962263032763</v>
      </c>
    </row>
    <row r="290" spans="1:17" x14ac:dyDescent="0.25">
      <c r="A290" s="5" t="s">
        <v>347</v>
      </c>
      <c r="B290" s="6">
        <f t="shared" si="63"/>
        <v>1</v>
      </c>
      <c r="C290" s="58">
        <v>18.10128212</v>
      </c>
      <c r="D290" s="4">
        <v>0</v>
      </c>
      <c r="E290" s="12">
        <f t="shared" si="52"/>
        <v>0</v>
      </c>
      <c r="F290" s="12">
        <f t="shared" si="53"/>
        <v>0</v>
      </c>
      <c r="G290" s="16">
        <f t="shared" si="55"/>
        <v>6.6991766257201348</v>
      </c>
      <c r="H290" s="14">
        <f t="shared" si="56"/>
        <v>0</v>
      </c>
      <c r="I290" s="14">
        <f t="shared" si="57"/>
        <v>12.747594809162981</v>
      </c>
      <c r="J290" s="14">
        <f t="shared" si="58"/>
        <v>1.4916137272055372</v>
      </c>
      <c r="K290" s="14">
        <f t="shared" si="59"/>
        <v>2.8190036788582131</v>
      </c>
      <c r="L290" s="14">
        <f t="shared" si="60"/>
        <v>630.77743995243111</v>
      </c>
      <c r="M290" s="14">
        <f t="shared" si="54"/>
        <v>0.16552676425639079</v>
      </c>
      <c r="N290" s="14">
        <f t="shared" si="61"/>
        <v>4.2358758769777776</v>
      </c>
      <c r="O290" s="4">
        <v>5.87</v>
      </c>
      <c r="P290" s="14">
        <f t="shared" si="64"/>
        <v>2.6703616494431479</v>
      </c>
      <c r="Q290" s="14">
        <f t="shared" si="62"/>
        <v>0.44042998757284418</v>
      </c>
    </row>
    <row r="291" spans="1:17" x14ac:dyDescent="0.25">
      <c r="A291" s="5" t="s">
        <v>348</v>
      </c>
      <c r="B291" s="6">
        <f t="shared" si="63"/>
        <v>1</v>
      </c>
      <c r="C291" s="58">
        <v>17.450748440000002</v>
      </c>
      <c r="D291" s="4">
        <v>9.9</v>
      </c>
      <c r="E291" s="12">
        <f t="shared" si="52"/>
        <v>0</v>
      </c>
      <c r="F291" s="12">
        <f t="shared" si="53"/>
        <v>9.9</v>
      </c>
      <c r="G291" s="16">
        <f t="shared" si="55"/>
        <v>14.377169065752316</v>
      </c>
      <c r="H291" s="14">
        <f t="shared" si="56"/>
        <v>1.1259805002906433</v>
      </c>
      <c r="I291" s="14">
        <f t="shared" si="57"/>
        <v>11.452427142497342</v>
      </c>
      <c r="J291" s="14">
        <f t="shared" si="58"/>
        <v>1.0960270596771755</v>
      </c>
      <c r="K291" s="14">
        <f t="shared" si="59"/>
        <v>3.7732370040388776</v>
      </c>
      <c r="L291" s="14">
        <f t="shared" si="60"/>
        <v>630.78366036328464</v>
      </c>
      <c r="M291" s="14">
        <f t="shared" si="54"/>
        <v>0.20210410706607329</v>
      </c>
      <c r="N291" s="14">
        <f t="shared" si="61"/>
        <v>5.1719002398505562</v>
      </c>
      <c r="O291" s="4">
        <v>5.49</v>
      </c>
      <c r="P291" s="14">
        <f t="shared" si="64"/>
        <v>0.10118745740713378</v>
      </c>
      <c r="Q291" s="14">
        <f t="shared" si="62"/>
        <v>1.0892032232050242</v>
      </c>
    </row>
    <row r="292" spans="1:17" x14ac:dyDescent="0.25">
      <c r="A292" s="5" t="s">
        <v>349</v>
      </c>
      <c r="B292" s="6">
        <f t="shared" si="63"/>
        <v>1</v>
      </c>
      <c r="C292" s="58">
        <v>15.158702849999999</v>
      </c>
      <c r="D292" s="4">
        <v>2.7</v>
      </c>
      <c r="E292" s="12">
        <f t="shared" si="52"/>
        <v>0</v>
      </c>
      <c r="F292" s="12">
        <f t="shared" si="53"/>
        <v>2.7</v>
      </c>
      <c r="G292" s="16">
        <f t="shared" si="55"/>
        <v>15.201375026081351</v>
      </c>
      <c r="H292" s="14">
        <f t="shared" si="56"/>
        <v>0.46084890541611884</v>
      </c>
      <c r="I292" s="14">
        <f t="shared" si="57"/>
        <v>6.8891225358986752</v>
      </c>
      <c r="J292" s="14">
        <f t="shared" si="58"/>
        <v>1.4149451342548458</v>
      </c>
      <c r="K292" s="14">
        <f t="shared" si="59"/>
        <v>3.9783955029159079</v>
      </c>
      <c r="L292" s="14">
        <f t="shared" si="60"/>
        <v>630.83724666275759</v>
      </c>
      <c r="M292" s="14">
        <f t="shared" si="54"/>
        <v>0.20997924763201981</v>
      </c>
      <c r="N292" s="14">
        <f t="shared" si="61"/>
        <v>5.3734272744721734</v>
      </c>
      <c r="O292" s="4">
        <v>6.08</v>
      </c>
      <c r="P292" s="14">
        <f t="shared" si="64"/>
        <v>0.4992450164598215</v>
      </c>
      <c r="Q292" s="14">
        <f t="shared" si="62"/>
        <v>0.20579740998663934</v>
      </c>
    </row>
    <row r="293" spans="1:17" x14ac:dyDescent="0.25">
      <c r="A293" s="5" t="s">
        <v>350</v>
      </c>
      <c r="B293" s="6">
        <f t="shared" si="63"/>
        <v>1</v>
      </c>
      <c r="C293" s="58">
        <v>16.875112529999999</v>
      </c>
      <c r="D293" s="4">
        <v>1.9</v>
      </c>
      <c r="E293" s="12">
        <f t="shared" si="52"/>
        <v>0</v>
      </c>
      <c r="F293" s="12">
        <f t="shared" si="53"/>
        <v>1.9</v>
      </c>
      <c r="G293" s="16">
        <f t="shared" si="55"/>
        <v>14.529160139205185</v>
      </c>
      <c r="H293" s="14">
        <f t="shared" si="56"/>
        <v>0.33405474799021467</v>
      </c>
      <c r="I293" s="14">
        <f t="shared" si="57"/>
        <v>10.306375767565212</v>
      </c>
      <c r="J293" s="14">
        <f t="shared" si="58"/>
        <v>2.2381601388859482</v>
      </c>
      <c r="K293" s="14">
        <f t="shared" si="59"/>
        <v>4.0387121961698567</v>
      </c>
      <c r="L293" s="14">
        <f t="shared" si="60"/>
        <v>630.90100546986184</v>
      </c>
      <c r="M293" s="14">
        <f t="shared" si="54"/>
        <v>0.21230471856153138</v>
      </c>
      <c r="N293" s="14">
        <f t="shared" si="61"/>
        <v>5.4329367215225215</v>
      </c>
      <c r="O293" s="4">
        <v>7.45</v>
      </c>
      <c r="P293" s="14">
        <f t="shared" si="64"/>
        <v>4.0685442693823148</v>
      </c>
      <c r="Q293" s="14">
        <f t="shared" si="62"/>
        <v>0.83969916573377912</v>
      </c>
    </row>
    <row r="294" spans="1:17" x14ac:dyDescent="0.25">
      <c r="A294" s="5" t="s">
        <v>351</v>
      </c>
      <c r="B294" s="6">
        <f t="shared" si="63"/>
        <v>1</v>
      </c>
      <c r="C294" s="58">
        <v>17.689655299999998</v>
      </c>
      <c r="D294" s="4">
        <v>11.5</v>
      </c>
      <c r="E294" s="12">
        <f t="shared" si="52"/>
        <v>0</v>
      </c>
      <c r="F294" s="12">
        <f t="shared" si="53"/>
        <v>11.5</v>
      </c>
      <c r="G294" s="16">
        <f t="shared" si="55"/>
        <v>21.579495305258401</v>
      </c>
      <c r="H294" s="14">
        <f t="shared" si="56"/>
        <v>1.9738785428992114</v>
      </c>
      <c r="I294" s="14">
        <f t="shared" si="57"/>
        <v>11.928074214938867</v>
      </c>
      <c r="J294" s="14">
        <f t="shared" si="58"/>
        <v>2.4757862910475739</v>
      </c>
      <c r="K294" s="14">
        <f t="shared" si="59"/>
        <v>5.7335466674423357</v>
      </c>
      <c r="L294" s="14">
        <f t="shared" si="60"/>
        <v>630.96774482292699</v>
      </c>
      <c r="M294" s="14">
        <f t="shared" si="54"/>
        <v>0.277282334556953</v>
      </c>
      <c r="N294" s="14">
        <f t="shared" si="61"/>
        <v>7.0957319641831376</v>
      </c>
      <c r="O294" s="4">
        <v>8.41</v>
      </c>
      <c r="P294" s="14">
        <f t="shared" si="64"/>
        <v>1.7273004699699139</v>
      </c>
      <c r="Q294" s="14">
        <f t="shared" si="62"/>
        <v>3.5206930967682712</v>
      </c>
    </row>
    <row r="295" spans="1:17" x14ac:dyDescent="0.25">
      <c r="A295" s="5" t="s">
        <v>352</v>
      </c>
      <c r="B295" s="6">
        <f t="shared" si="63"/>
        <v>1</v>
      </c>
      <c r="C295" s="58">
        <v>18.847019199999998</v>
      </c>
      <c r="D295" s="4">
        <v>2.5</v>
      </c>
      <c r="E295" s="12">
        <f t="shared" si="52"/>
        <v>0</v>
      </c>
      <c r="F295" s="12">
        <f t="shared" si="53"/>
        <v>2.5</v>
      </c>
      <c r="G295" s="16">
        <f t="shared" si="55"/>
        <v>19.162450645903647</v>
      </c>
      <c r="H295" s="14">
        <f t="shared" si="56"/>
        <v>0.52952714725719874</v>
      </c>
      <c r="I295" s="14">
        <f t="shared" si="57"/>
        <v>14.232305875697845</v>
      </c>
      <c r="J295" s="14">
        <f t="shared" si="58"/>
        <v>4.3875175120975554</v>
      </c>
      <c r="K295" s="14">
        <f t="shared" si="59"/>
        <v>5.834936352073151</v>
      </c>
      <c r="L295" s="14">
        <f t="shared" si="60"/>
        <v>631.11859995099644</v>
      </c>
      <c r="M295" s="14">
        <f t="shared" si="54"/>
        <v>0.28120060714748507</v>
      </c>
      <c r="N295" s="14">
        <f t="shared" si="61"/>
        <v>7.1960016481839055</v>
      </c>
      <c r="O295" s="4">
        <v>8.1300000000000008</v>
      </c>
      <c r="P295" s="14">
        <f t="shared" si="64"/>
        <v>0.87235292119518248</v>
      </c>
      <c r="Q295" s="14">
        <f t="shared" si="62"/>
        <v>2.5483365335498798</v>
      </c>
    </row>
    <row r="296" spans="1:17" x14ac:dyDescent="0.25">
      <c r="A296" s="5" t="s">
        <v>353</v>
      </c>
      <c r="B296" s="6">
        <f t="shared" si="63"/>
        <v>1</v>
      </c>
      <c r="C296" s="58">
        <v>18.92252731</v>
      </c>
      <c r="D296" s="4">
        <v>12.7</v>
      </c>
      <c r="E296" s="12">
        <f t="shared" si="52"/>
        <v>0</v>
      </c>
      <c r="F296" s="12">
        <f t="shared" si="53"/>
        <v>12.7</v>
      </c>
      <c r="G296" s="16">
        <f t="shared" si="55"/>
        <v>25.399825207082397</v>
      </c>
      <c r="H296" s="14">
        <f t="shared" si="56"/>
        <v>2.5253854356817302</v>
      </c>
      <c r="I296" s="14">
        <f t="shared" si="57"/>
        <v>14.382637312254726</v>
      </c>
      <c r="J296" s="14">
        <f t="shared" si="58"/>
        <v>3.9372400031395185</v>
      </c>
      <c r="K296" s="14">
        <f t="shared" si="59"/>
        <v>7.923265146205587</v>
      </c>
      <c r="L296" s="14">
        <f t="shared" si="60"/>
        <v>631.27445598539828</v>
      </c>
      <c r="M296" s="14">
        <f t="shared" si="54"/>
        <v>0.36127985905490201</v>
      </c>
      <c r="N296" s="14">
        <f t="shared" si="61"/>
        <v>9.2452519487313456</v>
      </c>
      <c r="O296" s="4">
        <v>7.57</v>
      </c>
      <c r="P296" s="14">
        <f t="shared" si="64"/>
        <v>2.8064690917281698</v>
      </c>
      <c r="Q296" s="14">
        <f t="shared" si="62"/>
        <v>1.074023407113091</v>
      </c>
    </row>
    <row r="297" spans="1:17" x14ac:dyDescent="0.25">
      <c r="A297" s="5" t="s">
        <v>354</v>
      </c>
      <c r="B297" s="6">
        <f t="shared" si="63"/>
        <v>1</v>
      </c>
      <c r="C297" s="58">
        <v>18.647533419999998</v>
      </c>
      <c r="D297" s="4">
        <v>3.7</v>
      </c>
      <c r="E297" s="12">
        <f t="shared" si="52"/>
        <v>0</v>
      </c>
      <c r="F297" s="12">
        <f t="shared" si="53"/>
        <v>3.7</v>
      </c>
      <c r="G297" s="16">
        <f t="shared" si="55"/>
        <v>23.225041190376032</v>
      </c>
      <c r="H297" s="14">
        <f t="shared" si="56"/>
        <v>0.85463388514886707</v>
      </c>
      <c r="I297" s="14">
        <f t="shared" si="57"/>
        <v>13.83514345327634</v>
      </c>
      <c r="J297" s="14">
        <f t="shared" si="58"/>
        <v>5.0201501315574966</v>
      </c>
      <c r="K297" s="14">
        <f t="shared" si="59"/>
        <v>8.1571335812359962</v>
      </c>
      <c r="L297" s="14">
        <f t="shared" si="60"/>
        <v>631.53394157646187</v>
      </c>
      <c r="M297" s="14">
        <f t="shared" si="54"/>
        <v>0.3702991058431746</v>
      </c>
      <c r="N297" s="14">
        <f t="shared" si="61"/>
        <v>9.4760569793895737</v>
      </c>
      <c r="O297" s="4">
        <v>10.42</v>
      </c>
      <c r="P297" s="14">
        <f t="shared" si="64"/>
        <v>0.89102842615913558</v>
      </c>
      <c r="Q297" s="14">
        <f t="shared" si="62"/>
        <v>15.103724139871737</v>
      </c>
    </row>
    <row r="298" spans="1:17" x14ac:dyDescent="0.25">
      <c r="A298" s="5" t="s">
        <v>355</v>
      </c>
      <c r="B298" s="6">
        <f t="shared" si="63"/>
        <v>1</v>
      </c>
      <c r="C298" s="58">
        <v>16.9660759</v>
      </c>
      <c r="D298" s="4">
        <v>1</v>
      </c>
      <c r="E298" s="12">
        <f t="shared" si="52"/>
        <v>0</v>
      </c>
      <c r="F298" s="12">
        <f t="shared" si="53"/>
        <v>1</v>
      </c>
      <c r="G298" s="16">
        <f t="shared" si="55"/>
        <v>20.52518811660314</v>
      </c>
      <c r="H298" s="14">
        <f t="shared" si="56"/>
        <v>0.22024885924152557</v>
      </c>
      <c r="I298" s="14">
        <f t="shared" si="57"/>
        <v>10.487477560288603</v>
      </c>
      <c r="J298" s="14">
        <f t="shared" si="58"/>
        <v>3.4796042145313657</v>
      </c>
      <c r="K298" s="14">
        <f t="shared" si="59"/>
        <v>7.7360437493626817</v>
      </c>
      <c r="L298" s="14">
        <f t="shared" si="60"/>
        <v>631.80498116173351</v>
      </c>
      <c r="M298" s="14">
        <f t="shared" si="54"/>
        <v>0.3542160724340524</v>
      </c>
      <c r="N298" s="14">
        <f t="shared" si="61"/>
        <v>9.0644876869408559</v>
      </c>
      <c r="O298" s="4">
        <v>9.1199999999999992</v>
      </c>
      <c r="P298" s="14">
        <f t="shared" si="64"/>
        <v>3.0816169011763299E-3</v>
      </c>
      <c r="Q298" s="14">
        <f t="shared" si="62"/>
        <v>6.6892115249291928</v>
      </c>
    </row>
    <row r="299" spans="1:17" x14ac:dyDescent="0.25">
      <c r="A299" s="5" t="s">
        <v>356</v>
      </c>
      <c r="B299" s="6">
        <f t="shared" si="63"/>
        <v>1</v>
      </c>
      <c r="C299" s="58">
        <v>17.846897129999999</v>
      </c>
      <c r="D299" s="4">
        <v>0.7</v>
      </c>
      <c r="E299" s="12">
        <f t="shared" si="52"/>
        <v>0</v>
      </c>
      <c r="F299" s="12">
        <f t="shared" si="53"/>
        <v>0.7</v>
      </c>
      <c r="G299" s="16">
        <f t="shared" si="55"/>
        <v>17.491505839003825</v>
      </c>
      <c r="H299" s="14">
        <f t="shared" si="56"/>
        <v>0.14437175135000743</v>
      </c>
      <c r="I299" s="14">
        <f t="shared" si="57"/>
        <v>12.241131847963088</v>
      </c>
      <c r="J299" s="14">
        <f t="shared" si="58"/>
        <v>3.5893105262493061</v>
      </c>
      <c r="K299" s="14">
        <f t="shared" si="59"/>
        <v>7.2761197845984267</v>
      </c>
      <c r="L299" s="14">
        <f t="shared" si="60"/>
        <v>632.05506080541375</v>
      </c>
      <c r="M299" s="14">
        <f t="shared" si="54"/>
        <v>0.33664007300801602</v>
      </c>
      <c r="N299" s="14">
        <f t="shared" si="61"/>
        <v>8.6147129794065194</v>
      </c>
      <c r="O299" s="4">
        <v>7.99</v>
      </c>
      <c r="P299" s="14">
        <f t="shared" si="64"/>
        <v>0.39026630663897005</v>
      </c>
      <c r="Q299" s="14">
        <f t="shared" si="62"/>
        <v>2.1209582519406811</v>
      </c>
    </row>
    <row r="300" spans="1:17" x14ac:dyDescent="0.25">
      <c r="A300" s="5" t="s">
        <v>357</v>
      </c>
      <c r="B300" s="6">
        <f t="shared" si="63"/>
        <v>1</v>
      </c>
      <c r="C300" s="58">
        <v>19.132982250000001</v>
      </c>
      <c r="D300" s="4">
        <v>0.2</v>
      </c>
      <c r="E300" s="12">
        <f t="shared" si="52"/>
        <v>0</v>
      </c>
      <c r="F300" s="12">
        <f t="shared" si="53"/>
        <v>0.2</v>
      </c>
      <c r="G300" s="16">
        <f t="shared" si="55"/>
        <v>13.955002269058143</v>
      </c>
      <c r="H300" s="14">
        <f t="shared" si="56"/>
        <v>3.7887046466194903E-2</v>
      </c>
      <c r="I300" s="14">
        <f t="shared" si="57"/>
        <v>14.801638575307026</v>
      </c>
      <c r="J300" s="14">
        <f t="shared" si="58"/>
        <v>3.6986165234794854</v>
      </c>
      <c r="K300" s="14">
        <f t="shared" si="59"/>
        <v>6.7501703011841778</v>
      </c>
      <c r="L300" s="14">
        <f t="shared" si="60"/>
        <v>632.28225726228618</v>
      </c>
      <c r="M300" s="14">
        <f t="shared" si="54"/>
        <v>0.31652844662634982</v>
      </c>
      <c r="N300" s="14">
        <f t="shared" si="61"/>
        <v>8.1000508737367998</v>
      </c>
      <c r="O300" s="4">
        <v>7.02</v>
      </c>
      <c r="P300" s="14">
        <f t="shared" si="64"/>
        <v>1.1665098898596256</v>
      </c>
      <c r="Q300" s="14">
        <f t="shared" si="62"/>
        <v>0.2365373007912456</v>
      </c>
    </row>
    <row r="301" spans="1:17" x14ac:dyDescent="0.25">
      <c r="A301" s="5" t="s">
        <v>358</v>
      </c>
      <c r="B301" s="6">
        <f t="shared" si="63"/>
        <v>1</v>
      </c>
      <c r="C301" s="58">
        <v>17.83465576</v>
      </c>
      <c r="D301" s="4">
        <v>6</v>
      </c>
      <c r="E301" s="12">
        <f t="shared" si="52"/>
        <v>0</v>
      </c>
      <c r="F301" s="12">
        <f t="shared" si="53"/>
        <v>6</v>
      </c>
      <c r="G301" s="16">
        <f t="shared" si="55"/>
        <v>16.511489810092453</v>
      </c>
      <c r="H301" s="14">
        <f t="shared" si="56"/>
        <v>1.0080117026805868</v>
      </c>
      <c r="I301" s="14">
        <f t="shared" si="57"/>
        <v>12.216760125011419</v>
      </c>
      <c r="J301" s="14">
        <f t="shared" si="58"/>
        <v>2.4355007562851005</v>
      </c>
      <c r="K301" s="14">
        <f t="shared" si="59"/>
        <v>7.2406128784452823</v>
      </c>
      <c r="L301" s="14">
        <f t="shared" si="60"/>
        <v>632.48329794107929</v>
      </c>
      <c r="M301" s="14">
        <f t="shared" si="54"/>
        <v>0.33536986127497004</v>
      </c>
      <c r="N301" s="14">
        <f t="shared" si="61"/>
        <v>8.5822079083212834</v>
      </c>
      <c r="O301" s="4">
        <v>6.36</v>
      </c>
      <c r="P301" s="14">
        <f t="shared" si="64"/>
        <v>4.9382079878056526</v>
      </c>
      <c r="Q301" s="14">
        <f t="shared" si="62"/>
        <v>3.0153973205032759E-2</v>
      </c>
    </row>
    <row r="302" spans="1:17" x14ac:dyDescent="0.25">
      <c r="A302" s="5" t="s">
        <v>359</v>
      </c>
      <c r="B302" s="6">
        <f t="shared" si="63"/>
        <v>1</v>
      </c>
      <c r="C302" s="58">
        <v>18.423460009999999</v>
      </c>
      <c r="D302" s="4">
        <v>0.6</v>
      </c>
      <c r="E302" s="12">
        <f t="shared" si="52"/>
        <v>0</v>
      </c>
      <c r="F302" s="12">
        <f t="shared" si="53"/>
        <v>0.6</v>
      </c>
      <c r="G302" s="16">
        <f t="shared" si="55"/>
        <v>13.843073987289586</v>
      </c>
      <c r="H302" s="14">
        <f t="shared" si="56"/>
        <v>0.11023024563001947</v>
      </c>
      <c r="I302" s="14">
        <f t="shared" si="57"/>
        <v>13.389028756199451</v>
      </c>
      <c r="J302" s="14">
        <f t="shared" si="58"/>
        <v>3.1581855771728486</v>
      </c>
      <c r="K302" s="14">
        <f t="shared" si="59"/>
        <v>6.7901301116427319</v>
      </c>
      <c r="L302" s="14">
        <f t="shared" si="60"/>
        <v>632.70864109223692</v>
      </c>
      <c r="M302" s="14">
        <f t="shared" si="54"/>
        <v>0.31815050190727057</v>
      </c>
      <c r="N302" s="14">
        <f t="shared" si="61"/>
        <v>8.141559718946473</v>
      </c>
      <c r="O302" s="4">
        <v>6.32</v>
      </c>
      <c r="P302" s="14">
        <f t="shared" si="64"/>
        <v>3.3180798096883528</v>
      </c>
      <c r="Q302" s="14">
        <f t="shared" si="62"/>
        <v>4.5645892745262255E-2</v>
      </c>
    </row>
    <row r="303" spans="1:17" x14ac:dyDescent="0.25">
      <c r="A303" s="5" t="s">
        <v>360</v>
      </c>
      <c r="B303" s="6">
        <f t="shared" si="63"/>
        <v>1</v>
      </c>
      <c r="C303" s="58">
        <v>18.424646379999999</v>
      </c>
      <c r="D303" s="4">
        <v>0</v>
      </c>
      <c r="E303" s="12">
        <f t="shared" si="52"/>
        <v>0</v>
      </c>
      <c r="F303" s="12">
        <f t="shared" si="53"/>
        <v>0</v>
      </c>
      <c r="G303" s="16">
        <f t="shared" si="55"/>
        <v>11.19481452347768</v>
      </c>
      <c r="H303" s="14">
        <f t="shared" si="56"/>
        <v>0</v>
      </c>
      <c r="I303" s="14">
        <f t="shared" si="57"/>
        <v>13.391390737003737</v>
      </c>
      <c r="J303" s="14">
        <f t="shared" si="58"/>
        <v>2.6482594638119052</v>
      </c>
      <c r="K303" s="14">
        <f t="shared" si="59"/>
        <v>6.2690457499297043</v>
      </c>
      <c r="L303" s="14">
        <f t="shared" si="60"/>
        <v>632.91157495204266</v>
      </c>
      <c r="M303" s="14">
        <f t="shared" si="54"/>
        <v>0.29822021378627639</v>
      </c>
      <c r="N303" s="14">
        <f t="shared" si="61"/>
        <v>7.6315381097390871</v>
      </c>
      <c r="O303" s="4">
        <v>6.6</v>
      </c>
      <c r="P303" s="14">
        <f t="shared" si="64"/>
        <v>1.0640708718440897</v>
      </c>
      <c r="Q303" s="14">
        <f t="shared" si="62"/>
        <v>4.4024559636557875E-3</v>
      </c>
    </row>
    <row r="304" spans="1:17" x14ac:dyDescent="0.25">
      <c r="A304" s="5" t="s">
        <v>361</v>
      </c>
      <c r="B304" s="6">
        <f t="shared" si="63"/>
        <v>2</v>
      </c>
      <c r="C304" s="58">
        <v>18.920186999999999</v>
      </c>
      <c r="D304" s="4">
        <v>11.6</v>
      </c>
      <c r="E304" s="12">
        <f t="shared" si="52"/>
        <v>0</v>
      </c>
      <c r="F304" s="12">
        <f t="shared" si="53"/>
        <v>11.6</v>
      </c>
      <c r="G304" s="16">
        <f t="shared" si="55"/>
        <v>18.389640739924506</v>
      </c>
      <c r="H304" s="14">
        <f t="shared" si="56"/>
        <v>1.7333781342514332</v>
      </c>
      <c r="I304" s="14">
        <f t="shared" si="57"/>
        <v>16.706444222603672</v>
      </c>
      <c r="J304" s="14">
        <f t="shared" si="58"/>
        <v>2.671795649301739</v>
      </c>
      <c r="K304" s="14">
        <f t="shared" si="59"/>
        <v>7.5271789456103324</v>
      </c>
      <c r="L304" s="14">
        <f t="shared" si="60"/>
        <v>633.08859967682713</v>
      </c>
      <c r="M304" s="14">
        <f t="shared" si="54"/>
        <v>0.34648232879726859</v>
      </c>
      <c r="N304" s="14">
        <f t="shared" si="61"/>
        <v>8.8665790390134358</v>
      </c>
      <c r="O304" s="4">
        <v>9.1</v>
      </c>
      <c r="P304" s="14">
        <f t="shared" si="64"/>
        <v>5.4485345027890958E-2</v>
      </c>
      <c r="Q304" s="14">
        <f t="shared" si="62"/>
        <v>6.5861574846993101</v>
      </c>
    </row>
    <row r="305" spans="1:17" x14ac:dyDescent="0.25">
      <c r="A305" s="5" t="s">
        <v>362</v>
      </c>
      <c r="B305" s="6">
        <f t="shared" si="63"/>
        <v>2</v>
      </c>
      <c r="C305" s="58">
        <v>18.705507279999999</v>
      </c>
      <c r="D305" s="4">
        <v>5.5</v>
      </c>
      <c r="E305" s="12">
        <f t="shared" si="52"/>
        <v>0</v>
      </c>
      <c r="F305" s="12">
        <f t="shared" si="53"/>
        <v>5.5</v>
      </c>
      <c r="G305" s="16">
        <f t="shared" si="55"/>
        <v>18.546602049943537</v>
      </c>
      <c r="H305" s="14">
        <f t="shared" si="56"/>
        <v>1.0699985264366181</v>
      </c>
      <c r="I305" s="14">
        <f t="shared" si="57"/>
        <v>16.265275332472022</v>
      </c>
      <c r="J305" s="14">
        <f t="shared" si="58"/>
        <v>4.2730401635443513</v>
      </c>
      <c r="K305" s="14">
        <f t="shared" si="59"/>
        <v>8.0112554451511606</v>
      </c>
      <c r="L305" s="14">
        <f t="shared" si="60"/>
        <v>633.32803937492565</v>
      </c>
      <c r="M305" s="14">
        <f t="shared" si="54"/>
        <v>0.36508786976876206</v>
      </c>
      <c r="N305" s="14">
        <f t="shared" si="61"/>
        <v>9.3427000006797787</v>
      </c>
      <c r="O305" s="4">
        <v>12.44</v>
      </c>
      <c r="P305" s="14">
        <f t="shared" si="64"/>
        <v>9.5932672857890395</v>
      </c>
      <c r="Q305" s="14">
        <f t="shared" si="62"/>
        <v>34.884982203090139</v>
      </c>
    </row>
    <row r="306" spans="1:17" x14ac:dyDescent="0.25">
      <c r="A306" s="5" t="s">
        <v>363</v>
      </c>
      <c r="B306" s="6">
        <f t="shared" si="63"/>
        <v>2</v>
      </c>
      <c r="C306" s="58">
        <v>18.38284874</v>
      </c>
      <c r="D306" s="4">
        <v>9</v>
      </c>
      <c r="E306" s="12">
        <f t="shared" si="52"/>
        <v>0</v>
      </c>
      <c r="F306" s="12">
        <f t="shared" si="53"/>
        <v>9</v>
      </c>
      <c r="G306" s="16">
        <f t="shared" si="55"/>
        <v>21.653935649474199</v>
      </c>
      <c r="H306" s="14">
        <f t="shared" si="56"/>
        <v>1.7588350608622827</v>
      </c>
      <c r="I306" s="14">
        <f t="shared" si="57"/>
        <v>15.602208928326826</v>
      </c>
      <c r="J306" s="14">
        <f t="shared" si="58"/>
        <v>4.133831339607057</v>
      </c>
      <c r="K306" s="14">
        <f t="shared" si="59"/>
        <v>9.141584611463843</v>
      </c>
      <c r="L306" s="14">
        <f t="shared" si="60"/>
        <v>633.59145739970643</v>
      </c>
      <c r="M306" s="14">
        <f t="shared" si="54"/>
        <v>0.40846953504436251</v>
      </c>
      <c r="N306" s="14">
        <f t="shared" si="61"/>
        <v>10.452848865544972</v>
      </c>
      <c r="O306" s="4">
        <v>15.1</v>
      </c>
      <c r="P306" s="14">
        <f t="shared" si="64"/>
        <v>21.59601366646665</v>
      </c>
      <c r="Q306" s="14">
        <f t="shared" si="62"/>
        <v>73.382369553664859</v>
      </c>
    </row>
    <row r="307" spans="1:17" x14ac:dyDescent="0.25">
      <c r="A307" s="5" t="s">
        <v>364</v>
      </c>
      <c r="B307" s="6">
        <f t="shared" si="63"/>
        <v>2</v>
      </c>
      <c r="C307" s="58">
        <v>18.629461289999998</v>
      </c>
      <c r="D307" s="4">
        <v>6.2</v>
      </c>
      <c r="E307" s="12">
        <f t="shared" si="52"/>
        <v>0</v>
      </c>
      <c r="F307" s="12">
        <f t="shared" si="53"/>
        <v>6.2</v>
      </c>
      <c r="G307" s="16">
        <f t="shared" si="55"/>
        <v>21.555108836924013</v>
      </c>
      <c r="H307" s="14">
        <f t="shared" si="56"/>
        <v>1.3156334833040584</v>
      </c>
      <c r="I307" s="14">
        <f t="shared" si="57"/>
        <v>16.109000091348815</v>
      </c>
      <c r="J307" s="14">
        <f t="shared" si="58"/>
        <v>4.9831933292461263</v>
      </c>
      <c r="K307" s="14">
        <f t="shared" si="59"/>
        <v>9.7292779420604276</v>
      </c>
      <c r="L307" s="14">
        <f t="shared" si="60"/>
        <v>633.91092801736954</v>
      </c>
      <c r="M307" s="14">
        <f t="shared" si="54"/>
        <v>0.43106370242558112</v>
      </c>
      <c r="N307" s="14">
        <f t="shared" si="61"/>
        <v>11.031039884987962</v>
      </c>
      <c r="O307" s="4">
        <v>17.39</v>
      </c>
      <c r="P307" s="14">
        <f t="shared" si="64"/>
        <v>40.436373744313919</v>
      </c>
      <c r="Q307" s="14">
        <f t="shared" si="62"/>
        <v>117.86035715998678</v>
      </c>
    </row>
    <row r="308" spans="1:17" x14ac:dyDescent="0.25">
      <c r="A308" s="5" t="s">
        <v>365</v>
      </c>
      <c r="B308" s="6">
        <f t="shared" si="63"/>
        <v>2</v>
      </c>
      <c r="C308" s="58">
        <v>18.512870790000001</v>
      </c>
      <c r="D308" s="4">
        <v>0</v>
      </c>
      <c r="E308" s="12">
        <f t="shared" si="52"/>
        <v>0</v>
      </c>
      <c r="F308" s="12">
        <f t="shared" si="53"/>
        <v>0</v>
      </c>
      <c r="G308" s="16">
        <f t="shared" si="55"/>
        <v>16.668436854143696</v>
      </c>
      <c r="H308" s="14">
        <f t="shared" si="56"/>
        <v>0</v>
      </c>
      <c r="I308" s="14">
        <f t="shared" si="57"/>
        <v>15.869405492078366</v>
      </c>
      <c r="J308" s="14">
        <f t="shared" si="58"/>
        <v>4.8866719827803182</v>
      </c>
      <c r="K308" s="14">
        <f t="shared" si="59"/>
        <v>8.9496388222787626</v>
      </c>
      <c r="L308" s="14">
        <f t="shared" si="60"/>
        <v>634.25950343472562</v>
      </c>
      <c r="M308" s="14">
        <f t="shared" si="54"/>
        <v>0.40125381283814876</v>
      </c>
      <c r="N308" s="14">
        <f t="shared" si="61"/>
        <v>10.268196529920681</v>
      </c>
      <c r="O308" s="4">
        <v>15.11</v>
      </c>
      <c r="P308" s="14">
        <f t="shared" si="64"/>
        <v>23.443060842872129</v>
      </c>
      <c r="Q308" s="14">
        <f t="shared" si="62"/>
        <v>73.553796573779834</v>
      </c>
    </row>
    <row r="309" spans="1:17" x14ac:dyDescent="0.25">
      <c r="A309" s="5" t="s">
        <v>366</v>
      </c>
      <c r="B309" s="6">
        <f t="shared" si="63"/>
        <v>2</v>
      </c>
      <c r="C309" s="58">
        <v>18.647932050000001</v>
      </c>
      <c r="D309" s="4">
        <v>0.4</v>
      </c>
      <c r="E309" s="12">
        <f t="shared" si="52"/>
        <v>0</v>
      </c>
      <c r="F309" s="12">
        <f t="shared" si="53"/>
        <v>0.4</v>
      </c>
      <c r="G309" s="16">
        <f t="shared" si="55"/>
        <v>13.149654361160721</v>
      </c>
      <c r="H309" s="14">
        <f t="shared" si="56"/>
        <v>7.3857323877754261E-2</v>
      </c>
      <c r="I309" s="14">
        <f t="shared" si="57"/>
        <v>16.146957680864443</v>
      </c>
      <c r="J309" s="14">
        <f t="shared" si="58"/>
        <v>3.84492516910522</v>
      </c>
      <c r="K309" s="14">
        <f t="shared" si="59"/>
        <v>8.3124413289096957</v>
      </c>
      <c r="L309" s="14">
        <f t="shared" si="60"/>
        <v>634.56930443913427</v>
      </c>
      <c r="M309" s="14">
        <f t="shared" si="54"/>
        <v>0.3768955303314645</v>
      </c>
      <c r="N309" s="14">
        <f t="shared" si="61"/>
        <v>9.6448613143850466</v>
      </c>
      <c r="O309" s="4">
        <v>11.91</v>
      </c>
      <c r="P309" s="14">
        <f t="shared" si="64"/>
        <v>5.1308532650694394</v>
      </c>
      <c r="Q309" s="14">
        <f t="shared" si="62"/>
        <v>28.905150136998191</v>
      </c>
    </row>
    <row r="310" spans="1:17" x14ac:dyDescent="0.25">
      <c r="A310" s="5" t="s">
        <v>367</v>
      </c>
      <c r="B310" s="6">
        <f t="shared" si="63"/>
        <v>2</v>
      </c>
      <c r="C310" s="58">
        <v>18.96616745</v>
      </c>
      <c r="D310" s="4">
        <v>4.5</v>
      </c>
      <c r="E310" s="12">
        <f t="shared" si="52"/>
        <v>0</v>
      </c>
      <c r="F310" s="12">
        <f t="shared" si="53"/>
        <v>4.5</v>
      </c>
      <c r="G310" s="16">
        <f t="shared" si="55"/>
        <v>13.761065631266193</v>
      </c>
      <c r="H310" s="14">
        <f t="shared" si="56"/>
        <v>0.73249358855654123</v>
      </c>
      <c r="I310" s="14">
        <f t="shared" si="57"/>
        <v>16.800934489752589</v>
      </c>
      <c r="J310" s="14">
        <f t="shared" si="58"/>
        <v>3.1560951413379872</v>
      </c>
      <c r="K310" s="14">
        <f t="shared" si="59"/>
        <v>8.3899339135169129</v>
      </c>
      <c r="L310" s="14">
        <f t="shared" si="60"/>
        <v>634.84740991275214</v>
      </c>
      <c r="M310" s="14">
        <f t="shared" si="54"/>
        <v>0.37992479506722432</v>
      </c>
      <c r="N310" s="14">
        <f t="shared" si="61"/>
        <v>9.7223810404355664</v>
      </c>
      <c r="O310" s="4">
        <v>9.39</v>
      </c>
      <c r="P310" s="14">
        <f t="shared" si="64"/>
        <v>0.11047715604102924</v>
      </c>
      <c r="Q310" s="14">
        <f t="shared" si="62"/>
        <v>8.1587410680326506</v>
      </c>
    </row>
    <row r="311" spans="1:17" x14ac:dyDescent="0.25">
      <c r="A311" s="5" t="s">
        <v>368</v>
      </c>
      <c r="B311" s="6">
        <f t="shared" si="63"/>
        <v>2</v>
      </c>
      <c r="C311" s="58">
        <v>16.500787729999999</v>
      </c>
      <c r="D311" s="4">
        <v>1.6</v>
      </c>
      <c r="E311" s="12">
        <f t="shared" si="52"/>
        <v>0</v>
      </c>
      <c r="F311" s="12">
        <f t="shared" si="53"/>
        <v>1.6</v>
      </c>
      <c r="G311" s="16">
        <f t="shared" si="55"/>
        <v>12.78739597268037</v>
      </c>
      <c r="H311" s="14">
        <f t="shared" si="56"/>
        <v>0.26681082958653451</v>
      </c>
      <c r="I311" s="14">
        <f t="shared" si="57"/>
        <v>11.734555444608153</v>
      </c>
      <c r="J311" s="14">
        <f t="shared" si="58"/>
        <v>2.3068588289992893</v>
      </c>
      <c r="K311" s="14">
        <f t="shared" si="59"/>
        <v>7.9949267712364582</v>
      </c>
      <c r="L311" s="14">
        <f t="shared" si="60"/>
        <v>635.12930308955197</v>
      </c>
      <c r="M311" s="14">
        <f t="shared" si="54"/>
        <v>0.36484381902404439</v>
      </c>
      <c r="N311" s="14">
        <f t="shared" si="61"/>
        <v>9.3364546743305805</v>
      </c>
      <c r="O311" s="4">
        <v>8.48</v>
      </c>
      <c r="P311" s="14">
        <f t="shared" si="64"/>
        <v>0.73351460918269995</v>
      </c>
      <c r="Q311" s="14">
        <f t="shared" si="62"/>
        <v>3.7882822375728709</v>
      </c>
    </row>
    <row r="312" spans="1:17" x14ac:dyDescent="0.25">
      <c r="A312" s="5" t="s">
        <v>369</v>
      </c>
      <c r="B312" s="6">
        <f t="shared" si="63"/>
        <v>2</v>
      </c>
      <c r="C312" s="58">
        <v>16.500347139999999</v>
      </c>
      <c r="D312" s="4">
        <v>4.5999999999999996</v>
      </c>
      <c r="E312" s="12">
        <f t="shared" si="52"/>
        <v>0</v>
      </c>
      <c r="F312" s="12">
        <f t="shared" si="53"/>
        <v>4.5999999999999996</v>
      </c>
      <c r="G312" s="16">
        <f t="shared" si="55"/>
        <v>14.506191060329368</v>
      </c>
      <c r="H312" s="14">
        <f t="shared" si="56"/>
        <v>0.73773419408307539</v>
      </c>
      <c r="I312" s="14">
        <f t="shared" si="57"/>
        <v>11.733650027919035</v>
      </c>
      <c r="J312" s="14">
        <f t="shared" si="58"/>
        <v>2.1434707182679271</v>
      </c>
      <c r="K312" s="14">
        <f t="shared" si="59"/>
        <v>8.1055914926776396</v>
      </c>
      <c r="L312" s="14">
        <f t="shared" si="60"/>
        <v>635.39152874316972</v>
      </c>
      <c r="M312" s="14">
        <f t="shared" si="54"/>
        <v>0.36914121462928984</v>
      </c>
      <c r="N312" s="14">
        <f t="shared" si="61"/>
        <v>9.446426221589812</v>
      </c>
      <c r="O312" s="4">
        <v>7.46</v>
      </c>
      <c r="P312" s="14">
        <f t="shared" si="64"/>
        <v>3.9458891338195774</v>
      </c>
      <c r="Q312" s="14">
        <f t="shared" si="62"/>
        <v>0.85812618584872136</v>
      </c>
    </row>
    <row r="313" spans="1:17" x14ac:dyDescent="0.25">
      <c r="A313" s="5" t="s">
        <v>370</v>
      </c>
      <c r="B313" s="6">
        <f t="shared" si="63"/>
        <v>2</v>
      </c>
      <c r="C313" s="58">
        <v>16.004978179999998</v>
      </c>
      <c r="D313" s="4">
        <v>5.2</v>
      </c>
      <c r="E313" s="12">
        <f t="shared" si="52"/>
        <v>0</v>
      </c>
      <c r="F313" s="12">
        <f t="shared" si="53"/>
        <v>5.2</v>
      </c>
      <c r="G313" s="16">
        <f t="shared" si="55"/>
        <v>16.593782635396401</v>
      </c>
      <c r="H313" s="14">
        <f t="shared" si="56"/>
        <v>0.89178604567411368</v>
      </c>
      <c r="I313" s="14">
        <f t="shared" si="57"/>
        <v>10.715662048947994</v>
      </c>
      <c r="J313" s="14">
        <f t="shared" si="58"/>
        <v>2.2206223792588529</v>
      </c>
      <c r="K313" s="14">
        <f t="shared" si="59"/>
        <v>8.3605729683517609</v>
      </c>
      <c r="L313" s="14">
        <f t="shared" si="60"/>
        <v>635.65919209854042</v>
      </c>
      <c r="M313" s="14">
        <f t="shared" si="54"/>
        <v>0.37897146355904288</v>
      </c>
      <c r="N313" s="14">
        <f t="shared" si="61"/>
        <v>9.6979850223268951</v>
      </c>
      <c r="O313" s="4">
        <v>9.06</v>
      </c>
      <c r="P313" s="14">
        <f t="shared" si="64"/>
        <v>0.40702488871344816</v>
      </c>
      <c r="Q313" s="14">
        <f t="shared" si="62"/>
        <v>6.3824494042395434</v>
      </c>
    </row>
    <row r="314" spans="1:17" x14ac:dyDescent="0.25">
      <c r="A314" s="5" t="s">
        <v>371</v>
      </c>
      <c r="B314" s="6">
        <f t="shared" si="63"/>
        <v>2</v>
      </c>
      <c r="C314" s="58">
        <v>16.470199579999999</v>
      </c>
      <c r="D314" s="4">
        <v>1.5</v>
      </c>
      <c r="E314" s="12">
        <f t="shared" si="52"/>
        <v>0</v>
      </c>
      <c r="F314" s="12">
        <f t="shared" si="53"/>
        <v>1.5</v>
      </c>
      <c r="G314" s="16">
        <f t="shared" si="55"/>
        <v>15.050652752211022</v>
      </c>
      <c r="H314" s="14">
        <f t="shared" si="56"/>
        <v>0.27630486682066036</v>
      </c>
      <c r="I314" s="14">
        <f t="shared" si="57"/>
        <v>11.671696502055593</v>
      </c>
      <c r="J314" s="14">
        <f t="shared" si="58"/>
        <v>2.766825016364721</v>
      </c>
      <c r="K314" s="14">
        <f t="shared" si="59"/>
        <v>7.9776427249074517</v>
      </c>
      <c r="L314" s="14">
        <f t="shared" si="60"/>
        <v>635.93945574524639</v>
      </c>
      <c r="M314" s="14">
        <f t="shared" si="54"/>
        <v>0.36435305292193704</v>
      </c>
      <c r="N314" s="14">
        <f t="shared" si="61"/>
        <v>9.3238958334537365</v>
      </c>
      <c r="O314" s="4">
        <v>9.0399999999999991</v>
      </c>
      <c r="P314" s="14">
        <f t="shared" si="64"/>
        <v>8.0596844252392191E-2</v>
      </c>
      <c r="Q314" s="14">
        <f t="shared" si="62"/>
        <v>6.2817953640096515</v>
      </c>
    </row>
    <row r="315" spans="1:17" x14ac:dyDescent="0.25">
      <c r="A315" s="5" t="s">
        <v>372</v>
      </c>
      <c r="B315" s="6">
        <f t="shared" si="63"/>
        <v>2</v>
      </c>
      <c r="C315" s="58">
        <v>17.869602199999999</v>
      </c>
      <c r="D315" s="4">
        <v>0</v>
      </c>
      <c r="E315" s="12">
        <f t="shared" si="52"/>
        <v>0</v>
      </c>
      <c r="F315" s="12">
        <f t="shared" si="53"/>
        <v>0</v>
      </c>
      <c r="G315" s="16">
        <f t="shared" si="55"/>
        <v>11.922805865245543</v>
      </c>
      <c r="H315" s="14">
        <f t="shared" si="56"/>
        <v>0</v>
      </c>
      <c r="I315" s="14">
        <f t="shared" si="57"/>
        <v>14.547482350447423</v>
      </c>
      <c r="J315" s="14">
        <f t="shared" si="58"/>
        <v>3.1278468869654779</v>
      </c>
      <c r="K315" s="14">
        <f t="shared" si="59"/>
        <v>7.3520937176095575</v>
      </c>
      <c r="L315" s="14">
        <f t="shared" si="60"/>
        <v>636.20065169962243</v>
      </c>
      <c r="M315" s="14">
        <f t="shared" si="54"/>
        <v>0.3404309567746186</v>
      </c>
      <c r="N315" s="14">
        <f t="shared" si="61"/>
        <v>8.7117227480171486</v>
      </c>
      <c r="O315" s="4">
        <v>10.25</v>
      </c>
      <c r="P315" s="14">
        <f t="shared" si="64"/>
        <v>2.3662969039679127</v>
      </c>
      <c r="Q315" s="14">
        <f t="shared" si="62"/>
        <v>13.811264797917714</v>
      </c>
    </row>
    <row r="316" spans="1:17" x14ac:dyDescent="0.25">
      <c r="A316" s="5" t="s">
        <v>373</v>
      </c>
      <c r="B316" s="6">
        <f t="shared" si="63"/>
        <v>2</v>
      </c>
      <c r="C316" s="58">
        <v>16.700529100000001</v>
      </c>
      <c r="D316" s="4">
        <v>9.6</v>
      </c>
      <c r="E316" s="12">
        <f t="shared" si="52"/>
        <v>0</v>
      </c>
      <c r="F316" s="12">
        <f t="shared" si="53"/>
        <v>9.6</v>
      </c>
      <c r="G316" s="16">
        <f t="shared" si="55"/>
        <v>17.97081649750514</v>
      </c>
      <c r="H316" s="14">
        <f t="shared" si="56"/>
        <v>1.4833764712842343</v>
      </c>
      <c r="I316" s="14">
        <f t="shared" si="57"/>
        <v>12.145025881761118</v>
      </c>
      <c r="J316" s="14">
        <f t="shared" si="58"/>
        <v>2.068612896456171</v>
      </c>
      <c r="K316" s="14">
        <f t="shared" si="59"/>
        <v>8.2649502858036286</v>
      </c>
      <c r="L316" s="14">
        <f t="shared" si="60"/>
        <v>636.43074064593793</v>
      </c>
      <c r="M316" s="14">
        <f t="shared" si="54"/>
        <v>0.37546977281878324</v>
      </c>
      <c r="N316" s="14">
        <f t="shared" si="61"/>
        <v>9.6083757835917805</v>
      </c>
      <c r="O316" s="4">
        <v>11.63</v>
      </c>
      <c r="P316" s="14">
        <f t="shared" si="64"/>
        <v>4.0869644723681509</v>
      </c>
      <c r="Q316" s="14">
        <f t="shared" si="62"/>
        <v>25.972793573779803</v>
      </c>
    </row>
    <row r="317" spans="1:17" x14ac:dyDescent="0.25">
      <c r="A317" s="5" t="s">
        <v>374</v>
      </c>
      <c r="B317" s="6">
        <f t="shared" si="63"/>
        <v>2</v>
      </c>
      <c r="C317" s="58">
        <v>17.028242110000001</v>
      </c>
      <c r="D317" s="4">
        <v>1.7</v>
      </c>
      <c r="E317" s="12">
        <f t="shared" si="52"/>
        <v>0</v>
      </c>
      <c r="F317" s="12">
        <f t="shared" si="53"/>
        <v>1.7</v>
      </c>
      <c r="G317" s="16">
        <f t="shared" si="55"/>
        <v>16.053276368273814</v>
      </c>
      <c r="H317" s="14">
        <f t="shared" si="56"/>
        <v>0.32670120393182134</v>
      </c>
      <c r="I317" s="14">
        <f t="shared" si="57"/>
        <v>12.818479270387682</v>
      </c>
      <c r="J317" s="14">
        <f t="shared" si="58"/>
        <v>3.2908389252995036</v>
      </c>
      <c r="K317" s="14">
        <f t="shared" si="59"/>
        <v>7.9408282392946887</v>
      </c>
      <c r="L317" s="14">
        <f t="shared" si="60"/>
        <v>636.70609412355998</v>
      </c>
      <c r="M317" s="14">
        <f t="shared" si="54"/>
        <v>0.36310445558886856</v>
      </c>
      <c r="N317" s="14">
        <f t="shared" si="61"/>
        <v>9.2919438808679207</v>
      </c>
      <c r="O317" s="4">
        <v>13.7</v>
      </c>
      <c r="P317" s="14">
        <f t="shared" si="64"/>
        <v>19.430958749417762</v>
      </c>
      <c r="Q317" s="14">
        <f t="shared" si="62"/>
        <v>51.356586737572911</v>
      </c>
    </row>
    <row r="318" spans="1:17" x14ac:dyDescent="0.25">
      <c r="A318" s="5" t="s">
        <v>375</v>
      </c>
      <c r="B318" s="6">
        <f t="shared" si="63"/>
        <v>2</v>
      </c>
      <c r="C318" s="58">
        <v>17.472137450000002</v>
      </c>
      <c r="D318" s="4">
        <v>0</v>
      </c>
      <c r="E318" s="12">
        <f t="shared" si="52"/>
        <v>0</v>
      </c>
      <c r="F318" s="12">
        <f t="shared" si="53"/>
        <v>0</v>
      </c>
      <c r="G318" s="16">
        <f t="shared" si="55"/>
        <v>12.904380444596908</v>
      </c>
      <c r="H318" s="14">
        <f t="shared" si="56"/>
        <v>0</v>
      </c>
      <c r="I318" s="14">
        <f t="shared" si="57"/>
        <v>13.730688465007512</v>
      </c>
      <c r="J318" s="14">
        <f t="shared" si="58"/>
        <v>3.1488959236769047</v>
      </c>
      <c r="K318" s="14">
        <f t="shared" si="59"/>
        <v>7.3185177762858977</v>
      </c>
      <c r="L318" s="14">
        <f t="shared" si="60"/>
        <v>636.96530013097993</v>
      </c>
      <c r="M318" s="14">
        <f t="shared" si="54"/>
        <v>0.33930607190059919</v>
      </c>
      <c r="N318" s="14">
        <f t="shared" si="61"/>
        <v>8.6829366316229741</v>
      </c>
      <c r="O318" s="4">
        <v>12.48</v>
      </c>
      <c r="P318" s="14">
        <f t="shared" si="64"/>
        <v>14.417690223470689</v>
      </c>
      <c r="Q318" s="14">
        <f t="shared" si="62"/>
        <v>35.359090283549925</v>
      </c>
    </row>
    <row r="319" spans="1:17" x14ac:dyDescent="0.25">
      <c r="A319" s="5" t="s">
        <v>376</v>
      </c>
      <c r="B319" s="6">
        <f t="shared" si="63"/>
        <v>2</v>
      </c>
      <c r="C319" s="58">
        <v>17.3540554</v>
      </c>
      <c r="D319" s="4">
        <v>3.6</v>
      </c>
      <c r="E319" s="12">
        <f t="shared" si="52"/>
        <v>0</v>
      </c>
      <c r="F319" s="12">
        <f t="shared" si="53"/>
        <v>3.6</v>
      </c>
      <c r="G319" s="16">
        <f t="shared" si="55"/>
        <v>13.43772442438339</v>
      </c>
      <c r="H319" s="14">
        <f t="shared" si="56"/>
        <v>0.58015895509507742</v>
      </c>
      <c r="I319" s="14">
        <f t="shared" si="57"/>
        <v>13.488028716136169</v>
      </c>
      <c r="J319" s="14">
        <f t="shared" si="58"/>
        <v>2.4864970651184413</v>
      </c>
      <c r="K319" s="14">
        <f t="shared" si="59"/>
        <v>7.331110480126906</v>
      </c>
      <c r="L319" s="14">
        <f t="shared" si="60"/>
        <v>637.1935603103334</v>
      </c>
      <c r="M319" s="14">
        <f t="shared" si="54"/>
        <v>0.33983714026236383</v>
      </c>
      <c r="N319" s="14">
        <f t="shared" si="61"/>
        <v>8.6965268185195193</v>
      </c>
      <c r="O319" s="4">
        <v>10.93</v>
      </c>
      <c r="P319" s="14">
        <f t="shared" si="64"/>
        <v>4.9884024523925392</v>
      </c>
      <c r="Q319" s="14">
        <f t="shared" si="62"/>
        <v>19.327902165733811</v>
      </c>
    </row>
    <row r="320" spans="1:17" x14ac:dyDescent="0.25">
      <c r="A320" s="5" t="s">
        <v>377</v>
      </c>
      <c r="B320" s="6">
        <f t="shared" si="63"/>
        <v>2</v>
      </c>
      <c r="C320" s="58">
        <v>16.761209489999999</v>
      </c>
      <c r="D320" s="4">
        <v>1.6</v>
      </c>
      <c r="E320" s="12">
        <f t="shared" si="52"/>
        <v>0</v>
      </c>
      <c r="F320" s="12">
        <f t="shared" si="53"/>
        <v>1.6</v>
      </c>
      <c r="G320" s="16">
        <f t="shared" si="55"/>
        <v>12.418874553232369</v>
      </c>
      <c r="H320" s="14">
        <f t="shared" si="56"/>
        <v>0.26345969993429125</v>
      </c>
      <c r="I320" s="14">
        <f t="shared" si="57"/>
        <v>12.269724667044862</v>
      </c>
      <c r="J320" s="14">
        <f t="shared" si="58"/>
        <v>2.35539017121673</v>
      </c>
      <c r="K320" s="14">
        <f t="shared" si="59"/>
        <v>7.0258961575472592</v>
      </c>
      <c r="L320" s="14">
        <f t="shared" si="60"/>
        <v>637.42239719258487</v>
      </c>
      <c r="M320" s="14">
        <f t="shared" si="54"/>
        <v>0.3281867006738442</v>
      </c>
      <c r="N320" s="14">
        <f t="shared" si="61"/>
        <v>8.3983888332160834</v>
      </c>
      <c r="O320" s="4">
        <v>10.09</v>
      </c>
      <c r="P320" s="14">
        <f t="shared" si="64"/>
        <v>2.861548339588043</v>
      </c>
      <c r="Q320" s="14">
        <f t="shared" si="62"/>
        <v>12.647632476078631</v>
      </c>
    </row>
    <row r="321" spans="1:17" x14ac:dyDescent="0.25">
      <c r="A321" s="5" t="s">
        <v>378</v>
      </c>
      <c r="B321" s="6">
        <f t="shared" si="63"/>
        <v>2</v>
      </c>
      <c r="C321" s="58">
        <v>15.26393032</v>
      </c>
      <c r="D321" s="4">
        <v>13.5</v>
      </c>
      <c r="E321" s="12">
        <f t="shared" si="52"/>
        <v>0</v>
      </c>
      <c r="F321" s="12">
        <f t="shared" si="53"/>
        <v>13.5</v>
      </c>
      <c r="G321" s="16">
        <f t="shared" si="55"/>
        <v>22.156261362476901</v>
      </c>
      <c r="H321" s="14">
        <f t="shared" si="56"/>
        <v>2.131694024431813</v>
      </c>
      <c r="I321" s="14">
        <f t="shared" si="57"/>
        <v>9.1928015666880398</v>
      </c>
      <c r="J321" s="14">
        <f t="shared" si="58"/>
        <v>1.6309191663236571</v>
      </c>
      <c r="K321" s="14">
        <f t="shared" si="59"/>
        <v>8.615765647781771</v>
      </c>
      <c r="L321" s="14">
        <f t="shared" si="60"/>
        <v>637.63603502610829</v>
      </c>
      <c r="M321" s="14">
        <f t="shared" si="54"/>
        <v>0.38917211978479793</v>
      </c>
      <c r="N321" s="14">
        <f t="shared" si="61"/>
        <v>9.9590226486595856</v>
      </c>
      <c r="O321" s="4">
        <v>10.72</v>
      </c>
      <c r="P321" s="14">
        <f t="shared" si="64"/>
        <v>0.57908652925307336</v>
      </c>
      <c r="Q321" s="14">
        <f t="shared" si="62"/>
        <v>17.525534743320023</v>
      </c>
    </row>
    <row r="322" spans="1:17" x14ac:dyDescent="0.25">
      <c r="A322" s="5" t="s">
        <v>379</v>
      </c>
      <c r="B322" s="6">
        <f t="shared" si="63"/>
        <v>2</v>
      </c>
      <c r="C322" s="58">
        <v>16.387804030000002</v>
      </c>
      <c r="D322" s="4">
        <v>6.5</v>
      </c>
      <c r="E322" s="12">
        <f t="shared" si="52"/>
        <v>0</v>
      </c>
      <c r="F322" s="12">
        <f t="shared" si="53"/>
        <v>6.5</v>
      </c>
      <c r="G322" s="16">
        <f t="shared" si="55"/>
        <v>23.619339593402977</v>
      </c>
      <c r="H322" s="14">
        <f t="shared" si="56"/>
        <v>1.3962105541276069</v>
      </c>
      <c r="I322" s="14">
        <f t="shared" si="57"/>
        <v>11.502372854040374</v>
      </c>
      <c r="J322" s="14">
        <f t="shared" si="58"/>
        <v>3.6407112149463172</v>
      </c>
      <c r="K322" s="14">
        <f t="shared" si="59"/>
        <v>9.3302919719342423</v>
      </c>
      <c r="L322" s="14">
        <f t="shared" si="60"/>
        <v>637.92854713629856</v>
      </c>
      <c r="M322" s="14">
        <f t="shared" si="54"/>
        <v>0.41662211581756536</v>
      </c>
      <c r="N322" s="14">
        <f t="shared" si="61"/>
        <v>10.661475672137003</v>
      </c>
      <c r="O322" s="4">
        <v>13.32</v>
      </c>
      <c r="P322" s="14">
        <f t="shared" si="64"/>
        <v>7.0677516018394</v>
      </c>
      <c r="Q322" s="14">
        <f t="shared" si="62"/>
        <v>46.054559973205102</v>
      </c>
    </row>
    <row r="323" spans="1:17" x14ac:dyDescent="0.25">
      <c r="A323" s="5" t="s">
        <v>380</v>
      </c>
      <c r="B323" s="6">
        <f t="shared" si="63"/>
        <v>2</v>
      </c>
      <c r="C323" s="58">
        <v>17.728237149999998</v>
      </c>
      <c r="D323" s="4">
        <v>0</v>
      </c>
      <c r="E323" s="12">
        <f t="shared" si="52"/>
        <v>0</v>
      </c>
      <c r="F323" s="12">
        <f t="shared" si="53"/>
        <v>0</v>
      </c>
      <c r="G323" s="16">
        <f t="shared" si="55"/>
        <v>18.808759233031004</v>
      </c>
      <c r="H323" s="14">
        <f t="shared" si="56"/>
        <v>0</v>
      </c>
      <c r="I323" s="14">
        <f t="shared" si="57"/>
        <v>14.2569758125597</v>
      </c>
      <c r="J323" s="14">
        <f t="shared" si="58"/>
        <v>4.8105803603719721</v>
      </c>
      <c r="K323" s="14">
        <f t="shared" si="59"/>
        <v>8.585751366052131</v>
      </c>
      <c r="L323" s="14">
        <f t="shared" si="60"/>
        <v>638.25646562636314</v>
      </c>
      <c r="M323" s="14">
        <f t="shared" si="54"/>
        <v>0.38815318300818569</v>
      </c>
      <c r="N323" s="14">
        <f t="shared" si="61"/>
        <v>9.9329477735080847</v>
      </c>
      <c r="O323" s="4">
        <v>13.96</v>
      </c>
      <c r="P323" s="14">
        <f t="shared" si="64"/>
        <v>16.217149634893499</v>
      </c>
      <c r="Q323" s="14">
        <f t="shared" si="62"/>
        <v>55.150689260561442</v>
      </c>
    </row>
    <row r="324" spans="1:17" x14ac:dyDescent="0.25">
      <c r="A324" s="5" t="s">
        <v>381</v>
      </c>
      <c r="B324" s="6">
        <f t="shared" si="63"/>
        <v>2</v>
      </c>
      <c r="C324" s="58">
        <v>17.22692108</v>
      </c>
      <c r="D324" s="4">
        <v>2</v>
      </c>
      <c r="E324" s="12">
        <f t="shared" si="52"/>
        <v>0</v>
      </c>
      <c r="F324" s="12">
        <f t="shared" si="53"/>
        <v>2</v>
      </c>
      <c r="G324" s="16">
        <f t="shared" si="55"/>
        <v>16.860990305937911</v>
      </c>
      <c r="H324" s="14">
        <f t="shared" si="56"/>
        <v>0.39377940167968234</v>
      </c>
      <c r="I324" s="14">
        <f t="shared" si="57"/>
        <v>13.226766465318804</v>
      </c>
      <c r="J324" s="14">
        <f t="shared" si="58"/>
        <v>3.5539895254134088</v>
      </c>
      <c r="K324" s="14">
        <f t="shared" si="59"/>
        <v>8.3004868729146768</v>
      </c>
      <c r="L324" s="14">
        <f t="shared" si="60"/>
        <v>638.54735633817211</v>
      </c>
      <c r="M324" s="14">
        <f t="shared" si="54"/>
        <v>0.3772805800033685</v>
      </c>
      <c r="N324" s="14">
        <f t="shared" si="61"/>
        <v>9.6547148424473122</v>
      </c>
      <c r="O324" s="4">
        <v>11.25</v>
      </c>
      <c r="P324" s="14">
        <f t="shared" si="64"/>
        <v>2.5449347339079043</v>
      </c>
      <c r="Q324" s="14">
        <f t="shared" si="62"/>
        <v>22.243966809411976</v>
      </c>
    </row>
    <row r="325" spans="1:17" x14ac:dyDescent="0.25">
      <c r="A325" s="5" t="s">
        <v>382</v>
      </c>
      <c r="B325" s="6">
        <f t="shared" si="63"/>
        <v>2</v>
      </c>
      <c r="C325" s="58">
        <v>16.606975559999999</v>
      </c>
      <c r="D325" s="4">
        <v>0</v>
      </c>
      <c r="E325" s="12">
        <f t="shared" si="52"/>
        <v>0</v>
      </c>
      <c r="F325" s="12">
        <f t="shared" si="53"/>
        <v>0</v>
      </c>
      <c r="G325" s="16">
        <f t="shared" si="55"/>
        <v>13.981908259147149</v>
      </c>
      <c r="H325" s="14">
        <f t="shared" si="56"/>
        <v>0</v>
      </c>
      <c r="I325" s="14">
        <f t="shared" si="57"/>
        <v>11.952772456939773</v>
      </c>
      <c r="J325" s="14">
        <f t="shared" si="58"/>
        <v>2.8790820467907623</v>
      </c>
      <c r="K325" s="14">
        <f t="shared" si="59"/>
        <v>7.6465374940131472</v>
      </c>
      <c r="L325" s="14">
        <f t="shared" si="60"/>
        <v>638.82402513707018</v>
      </c>
      <c r="M325" s="14">
        <f t="shared" si="54"/>
        <v>0.35227316978163115</v>
      </c>
      <c r="N325" s="14">
        <f t="shared" si="61"/>
        <v>9.0147682683702151</v>
      </c>
      <c r="O325" s="4">
        <v>9.4600000000000009</v>
      </c>
      <c r="P325" s="14">
        <f t="shared" si="64"/>
        <v>0.19823129485005761</v>
      </c>
      <c r="Q325" s="14">
        <f t="shared" si="62"/>
        <v>8.5635302088372516</v>
      </c>
    </row>
    <row r="326" spans="1:17" x14ac:dyDescent="0.25">
      <c r="A326" s="5" t="s">
        <v>383</v>
      </c>
      <c r="B326" s="6">
        <f t="shared" si="63"/>
        <v>2</v>
      </c>
      <c r="C326" s="58">
        <v>17.479600909999998</v>
      </c>
      <c r="D326" s="4">
        <v>0</v>
      </c>
      <c r="E326" s="12">
        <f t="shared" si="52"/>
        <v>0</v>
      </c>
      <c r="F326" s="12">
        <f t="shared" si="53"/>
        <v>0</v>
      </c>
      <c r="G326" s="16">
        <f t="shared" si="55"/>
        <v>11.236253560178231</v>
      </c>
      <c r="H326" s="14">
        <f t="shared" si="56"/>
        <v>0</v>
      </c>
      <c r="I326" s="14">
        <f t="shared" si="57"/>
        <v>13.746025947116863</v>
      </c>
      <c r="J326" s="14">
        <f t="shared" si="58"/>
        <v>2.7456546989689175</v>
      </c>
      <c r="K326" s="14">
        <f t="shared" si="59"/>
        <v>7.0501155799438262</v>
      </c>
      <c r="L326" s="14">
        <f t="shared" si="60"/>
        <v>639.06817388135789</v>
      </c>
      <c r="M326" s="14">
        <f t="shared" si="54"/>
        <v>0.3294639094133428</v>
      </c>
      <c r="N326" s="14">
        <f t="shared" si="61"/>
        <v>8.4310729596400584</v>
      </c>
      <c r="O326" s="4">
        <v>8.31</v>
      </c>
      <c r="P326" s="14">
        <f t="shared" si="64"/>
        <v>1.4658661556003096E-2</v>
      </c>
      <c r="Q326" s="14">
        <f t="shared" si="62"/>
        <v>3.1554228956188464</v>
      </c>
    </row>
    <row r="327" spans="1:17" x14ac:dyDescent="0.25">
      <c r="A327" s="5" t="s">
        <v>384</v>
      </c>
      <c r="B327" s="6">
        <f t="shared" si="63"/>
        <v>2</v>
      </c>
      <c r="C327" s="58">
        <v>17.846721649999999</v>
      </c>
      <c r="D327" s="4">
        <v>0</v>
      </c>
      <c r="E327" s="12">
        <f t="shared" si="52"/>
        <v>0</v>
      </c>
      <c r="F327" s="12">
        <f t="shared" si="53"/>
        <v>0</v>
      </c>
      <c r="G327" s="16">
        <f t="shared" si="55"/>
        <v>8.9086677589109957</v>
      </c>
      <c r="H327" s="14">
        <f t="shared" si="56"/>
        <v>0</v>
      </c>
      <c r="I327" s="14">
        <f t="shared" si="57"/>
        <v>14.500462600053201</v>
      </c>
      <c r="J327" s="14">
        <f t="shared" si="58"/>
        <v>2.3275858012672344</v>
      </c>
      <c r="K327" s="14">
        <f t="shared" si="59"/>
        <v>6.5061604802698572</v>
      </c>
      <c r="L327" s="14">
        <f t="shared" si="60"/>
        <v>639.28266507161857</v>
      </c>
      <c r="M327" s="14">
        <f t="shared" si="54"/>
        <v>0.30865942957658588</v>
      </c>
      <c r="N327" s="14">
        <f t="shared" si="61"/>
        <v>7.8986805415952697</v>
      </c>
      <c r="O327" s="4">
        <v>6.77</v>
      </c>
      <c r="P327" s="14">
        <f t="shared" si="64"/>
        <v>1.2739197649757923</v>
      </c>
      <c r="Q327" s="14">
        <f t="shared" si="62"/>
        <v>5.5861797917680235E-2</v>
      </c>
    </row>
    <row r="328" spans="1:17" x14ac:dyDescent="0.25">
      <c r="A328" s="5" t="s">
        <v>385</v>
      </c>
      <c r="B328" s="6">
        <f t="shared" si="63"/>
        <v>2</v>
      </c>
      <c r="C328" s="58">
        <v>17.628337859999998</v>
      </c>
      <c r="D328" s="4">
        <v>0</v>
      </c>
      <c r="E328" s="12">
        <f t="shared" si="52"/>
        <v>0</v>
      </c>
      <c r="F328" s="12">
        <f t="shared" si="53"/>
        <v>0</v>
      </c>
      <c r="G328" s="16">
        <f t="shared" si="55"/>
        <v>7.1203553904329855</v>
      </c>
      <c r="H328" s="14">
        <f t="shared" si="56"/>
        <v>0</v>
      </c>
      <c r="I328" s="14">
        <f t="shared" si="57"/>
        <v>14.051681810433001</v>
      </c>
      <c r="J328" s="14">
        <f t="shared" si="58"/>
        <v>1.7883123684780098</v>
      </c>
      <c r="K328" s="14">
        <f t="shared" si="59"/>
        <v>6.0100567263978508</v>
      </c>
      <c r="L328" s="14">
        <f t="shared" si="60"/>
        <v>639.47010939591394</v>
      </c>
      <c r="M328" s="14">
        <f t="shared" si="54"/>
        <v>0.28968337151199408</v>
      </c>
      <c r="N328" s="14">
        <f t="shared" si="61"/>
        <v>7.413077944595126</v>
      </c>
      <c r="O328" s="4">
        <v>5.74</v>
      </c>
      <c r="P328" s="14">
        <f t="shared" si="64"/>
        <v>2.799189808690651</v>
      </c>
      <c r="Q328" s="14">
        <f t="shared" si="62"/>
        <v>0.62987872607858986</v>
      </c>
    </row>
    <row r="329" spans="1:17" x14ac:dyDescent="0.25">
      <c r="A329" s="5" t="s">
        <v>386</v>
      </c>
      <c r="B329" s="6">
        <f t="shared" si="63"/>
        <v>2</v>
      </c>
      <c r="C329" s="58">
        <v>18.63766098</v>
      </c>
      <c r="D329" s="4">
        <v>0</v>
      </c>
      <c r="E329" s="12">
        <f t="shared" si="52"/>
        <v>0</v>
      </c>
      <c r="F329" s="12">
        <f t="shared" si="53"/>
        <v>0</v>
      </c>
      <c r="G329" s="16">
        <f t="shared" si="55"/>
        <v>5.4800428262398224</v>
      </c>
      <c r="H329" s="14">
        <f t="shared" si="56"/>
        <v>0</v>
      </c>
      <c r="I329" s="14">
        <f t="shared" si="57"/>
        <v>16.12585053319178</v>
      </c>
      <c r="J329" s="14">
        <f t="shared" si="58"/>
        <v>1.6403125641931631</v>
      </c>
      <c r="K329" s="14">
        <f t="shared" si="59"/>
        <v>5.5575948692456469</v>
      </c>
      <c r="L329" s="14">
        <f t="shared" si="60"/>
        <v>639.63288788155421</v>
      </c>
      <c r="M329" s="14">
        <f t="shared" si="54"/>
        <v>0.2723748906155834</v>
      </c>
      <c r="N329" s="14">
        <f t="shared" si="61"/>
        <v>6.9701491105446163</v>
      </c>
      <c r="O329" s="4">
        <v>4.97</v>
      </c>
      <c r="P329" s="14">
        <f t="shared" si="64"/>
        <v>4.0005964644124203</v>
      </c>
      <c r="Q329" s="14">
        <f t="shared" si="62"/>
        <v>2.4449981772280092</v>
      </c>
    </row>
    <row r="330" spans="1:17" x14ac:dyDescent="0.25">
      <c r="A330" s="5" t="s">
        <v>387</v>
      </c>
      <c r="B330" s="6">
        <f t="shared" si="63"/>
        <v>2</v>
      </c>
      <c r="C330" s="58">
        <v>18.706289290000001</v>
      </c>
      <c r="D330" s="4">
        <v>0</v>
      </c>
      <c r="E330" s="12">
        <f t="shared" si="52"/>
        <v>0</v>
      </c>
      <c r="F330" s="12">
        <f t="shared" si="53"/>
        <v>0</v>
      </c>
      <c r="G330" s="16">
        <f t="shared" si="55"/>
        <v>4.2065673401328301</v>
      </c>
      <c r="H330" s="14">
        <f t="shared" si="56"/>
        <v>0</v>
      </c>
      <c r="I330" s="14">
        <f t="shared" si="57"/>
        <v>16.266882370546103</v>
      </c>
      <c r="J330" s="14">
        <f t="shared" si="58"/>
        <v>1.2734754861069923</v>
      </c>
      <c r="K330" s="14">
        <f t="shared" si="59"/>
        <v>5.1449357619927731</v>
      </c>
      <c r="L330" s="14">
        <f t="shared" si="60"/>
        <v>639.77317209819159</v>
      </c>
      <c r="M330" s="14">
        <f t="shared" si="54"/>
        <v>0.25658729166946415</v>
      </c>
      <c r="N330" s="14">
        <f t="shared" si="61"/>
        <v>6.5661400680692736</v>
      </c>
      <c r="O330" s="4">
        <v>4.47</v>
      </c>
      <c r="P330" s="14">
        <f t="shared" si="64"/>
        <v>4.39380318496546</v>
      </c>
      <c r="Q330" s="14">
        <f t="shared" si="62"/>
        <v>4.2586471714808782</v>
      </c>
    </row>
    <row r="331" spans="1:17" x14ac:dyDescent="0.25">
      <c r="A331" s="5" t="s">
        <v>388</v>
      </c>
      <c r="B331" s="6">
        <f t="shared" si="63"/>
        <v>2</v>
      </c>
      <c r="C331" s="58">
        <v>15.87389374</v>
      </c>
      <c r="D331" s="4">
        <v>0</v>
      </c>
      <c r="E331" s="12">
        <f t="shared" si="52"/>
        <v>0</v>
      </c>
      <c r="F331" s="12">
        <f t="shared" si="53"/>
        <v>0</v>
      </c>
      <c r="G331" s="16">
        <f t="shared" si="55"/>
        <v>3.5788098361091256</v>
      </c>
      <c r="H331" s="14">
        <f t="shared" si="56"/>
        <v>0</v>
      </c>
      <c r="I331" s="14">
        <f t="shared" si="57"/>
        <v>10.446282263524724</v>
      </c>
      <c r="J331" s="14">
        <f t="shared" si="58"/>
        <v>0.62775750402370467</v>
      </c>
      <c r="K331" s="14">
        <f t="shared" si="59"/>
        <v>4.7685779848521124</v>
      </c>
      <c r="L331" s="14">
        <f t="shared" si="60"/>
        <v>639.89294258366283</v>
      </c>
      <c r="M331" s="14">
        <f t="shared" si="54"/>
        <v>0.24218678413034289</v>
      </c>
      <c r="N331" s="14">
        <f t="shared" si="61"/>
        <v>6.1976270800021771</v>
      </c>
      <c r="O331" s="4">
        <v>9.4600000000000009</v>
      </c>
      <c r="P331" s="14">
        <f t="shared" si="64"/>
        <v>10.643077069135128</v>
      </c>
      <c r="Q331" s="14">
        <f t="shared" si="62"/>
        <v>8.5635302088372516</v>
      </c>
    </row>
    <row r="332" spans="1:17" x14ac:dyDescent="0.25">
      <c r="A332" s="5" t="s">
        <v>389</v>
      </c>
      <c r="B332" s="6">
        <f t="shared" si="63"/>
        <v>3</v>
      </c>
      <c r="C332" s="58">
        <v>18.16034698</v>
      </c>
      <c r="D332" s="4">
        <v>2.1</v>
      </c>
      <c r="E332" s="12">
        <f t="shared" si="52"/>
        <v>0</v>
      </c>
      <c r="F332" s="12">
        <f t="shared" si="53"/>
        <v>2.1</v>
      </c>
      <c r="G332" s="16">
        <f t="shared" si="55"/>
        <v>4.6962377306854801</v>
      </c>
      <c r="H332" s="14">
        <f t="shared" si="56"/>
        <v>0.17114933775157429</v>
      </c>
      <c r="I332" s="14">
        <f t="shared" si="57"/>
        <v>15.871071800336935</v>
      </c>
      <c r="J332" s="14">
        <f t="shared" si="58"/>
        <v>0.81142276767207167</v>
      </c>
      <c r="K332" s="14">
        <f t="shared" si="59"/>
        <v>4.5964774732129632</v>
      </c>
      <c r="L332" s="14">
        <f t="shared" si="60"/>
        <v>639.99400564892312</v>
      </c>
      <c r="M332" s="14">
        <f t="shared" si="54"/>
        <v>0.23561154781651833</v>
      </c>
      <c r="N332" s="14">
        <f t="shared" si="61"/>
        <v>6.0293649562768756</v>
      </c>
      <c r="O332" s="4">
        <v>7.34</v>
      </c>
      <c r="P332" s="14">
        <f t="shared" si="64"/>
        <v>1.7177642178351158</v>
      </c>
      <c r="Q332" s="14">
        <f t="shared" si="62"/>
        <v>0.65020194446940971</v>
      </c>
    </row>
    <row r="333" spans="1:17" x14ac:dyDescent="0.25">
      <c r="A333" s="5" t="s">
        <v>390</v>
      </c>
      <c r="B333" s="6">
        <f t="shared" si="63"/>
        <v>3</v>
      </c>
      <c r="C333" s="58">
        <v>18.144813540000001</v>
      </c>
      <c r="D333" s="4">
        <v>17.2</v>
      </c>
      <c r="E333" s="12">
        <f t="shared" si="52"/>
        <v>0</v>
      </c>
      <c r="F333" s="12">
        <f t="shared" si="53"/>
        <v>17.2</v>
      </c>
      <c r="G333" s="16">
        <f t="shared" si="55"/>
        <v>19.213944887013415</v>
      </c>
      <c r="H333" s="14">
        <f t="shared" si="56"/>
        <v>1.6196335030571423</v>
      </c>
      <c r="I333" s="14">
        <f t="shared" si="57"/>
        <v>15.839507716273165</v>
      </c>
      <c r="J333" s="14">
        <f t="shared" si="58"/>
        <v>1.0626593406149198</v>
      </c>
      <c r="K333" s="14">
        <f t="shared" si="59"/>
        <v>5.8880006872954445</v>
      </c>
      <c r="L333" s="14">
        <f t="shared" si="60"/>
        <v>640.08650439008125</v>
      </c>
      <c r="M333" s="14">
        <f t="shared" si="54"/>
        <v>0.28513559354679952</v>
      </c>
      <c r="N333" s="14">
        <f t="shared" si="61"/>
        <v>7.296699043194141</v>
      </c>
      <c r="O333" s="4">
        <v>7.43</v>
      </c>
      <c r="P333" s="14">
        <f t="shared" si="64"/>
        <v>1.7769145085357416E-2</v>
      </c>
      <c r="Q333" s="14">
        <f t="shared" si="62"/>
        <v>0.80344512550389302</v>
      </c>
    </row>
    <row r="334" spans="1:17" x14ac:dyDescent="0.25">
      <c r="A334" s="5" t="s">
        <v>391</v>
      </c>
      <c r="B334" s="6">
        <f t="shared" si="63"/>
        <v>3</v>
      </c>
      <c r="C334" s="58">
        <v>18.314704899999999</v>
      </c>
      <c r="D334" s="4">
        <v>0</v>
      </c>
      <c r="E334" s="12">
        <f t="shared" si="52"/>
        <v>0</v>
      </c>
      <c r="F334" s="12">
        <f t="shared" si="53"/>
        <v>0</v>
      </c>
      <c r="G334" s="16">
        <f t="shared" si="55"/>
        <v>14.771477299893942</v>
      </c>
      <c r="H334" s="14">
        <f t="shared" si="56"/>
        <v>0</v>
      </c>
      <c r="I334" s="14">
        <f t="shared" si="57"/>
        <v>16.184728425192045</v>
      </c>
      <c r="J334" s="14">
        <f t="shared" si="58"/>
        <v>4.4424675871194736</v>
      </c>
      <c r="K334" s="14">
        <f t="shared" si="59"/>
        <v>5.4462760136677772</v>
      </c>
      <c r="L334" s="14">
        <f t="shared" si="60"/>
        <v>640.24309347016208</v>
      </c>
      <c r="M334" s="14">
        <f t="shared" si="54"/>
        <v>0.26823735980017094</v>
      </c>
      <c r="N334" s="14">
        <f t="shared" si="61"/>
        <v>6.8642685476640963</v>
      </c>
      <c r="O334" s="4">
        <v>6.96</v>
      </c>
      <c r="P334" s="14">
        <f t="shared" si="64"/>
        <v>9.1645109663413896E-3</v>
      </c>
      <c r="Q334" s="14">
        <f t="shared" si="62"/>
        <v>0.18177518010159024</v>
      </c>
    </row>
    <row r="335" spans="1:17" x14ac:dyDescent="0.25">
      <c r="A335" s="5" t="s">
        <v>392</v>
      </c>
      <c r="B335" s="6">
        <f t="shared" si="63"/>
        <v>3</v>
      </c>
      <c r="C335" s="58">
        <v>17.384624479999999</v>
      </c>
      <c r="D335" s="4">
        <v>1.3</v>
      </c>
      <c r="E335" s="12">
        <f t="shared" si="52"/>
        <v>0</v>
      </c>
      <c r="F335" s="12">
        <f t="shared" si="53"/>
        <v>1.3</v>
      </c>
      <c r="G335" s="16">
        <f t="shared" si="55"/>
        <v>12.829866354563944</v>
      </c>
      <c r="H335" s="14">
        <f t="shared" si="56"/>
        <v>0.22510466314744926</v>
      </c>
      <c r="I335" s="14">
        <f t="shared" si="57"/>
        <v>14.294796989338128</v>
      </c>
      <c r="J335" s="14">
        <f t="shared" si="58"/>
        <v>3.0165062821825481</v>
      </c>
      <c r="K335" s="14">
        <f t="shared" si="59"/>
        <v>5.2685142106382941</v>
      </c>
      <c r="L335" s="14">
        <f t="shared" si="60"/>
        <v>640.37772257653887</v>
      </c>
      <c r="M335" s="14">
        <f t="shared" si="54"/>
        <v>0.26145223996744027</v>
      </c>
      <c r="N335" s="14">
        <f t="shared" si="61"/>
        <v>6.6906354463890088</v>
      </c>
      <c r="O335" s="4">
        <v>6.94</v>
      </c>
      <c r="P335" s="14">
        <f t="shared" si="64"/>
        <v>6.2182680597609119E-2</v>
      </c>
      <c r="Q335" s="14">
        <f t="shared" si="62"/>
        <v>0.16512113987170535</v>
      </c>
    </row>
    <row r="336" spans="1:17" x14ac:dyDescent="0.25">
      <c r="A336" s="5" t="s">
        <v>393</v>
      </c>
      <c r="B336" s="6">
        <f t="shared" si="63"/>
        <v>3</v>
      </c>
      <c r="C336" s="58">
        <v>18.787710189999999</v>
      </c>
      <c r="D336" s="4">
        <v>0.6</v>
      </c>
      <c r="E336" s="12">
        <f t="shared" si="52"/>
        <v>0</v>
      </c>
      <c r="F336" s="12">
        <f t="shared" si="53"/>
        <v>0.6</v>
      </c>
      <c r="G336" s="16">
        <f t="shared" si="55"/>
        <v>10.190905869681702</v>
      </c>
      <c r="H336" s="14">
        <f t="shared" si="56"/>
        <v>9.6395956178606482E-2</v>
      </c>
      <c r="I336" s="14">
        <f t="shared" si="57"/>
        <v>17.145879254381846</v>
      </c>
      <c r="J336" s="14">
        <f t="shared" si="58"/>
        <v>3.1425645287036357</v>
      </c>
      <c r="K336" s="14">
        <f t="shared" si="59"/>
        <v>4.9776812808598114</v>
      </c>
      <c r="L336" s="14">
        <f t="shared" si="60"/>
        <v>640.50349922252849</v>
      </c>
      <c r="M336" s="14">
        <f t="shared" si="54"/>
        <v>0.25033119639273371</v>
      </c>
      <c r="N336" s="14">
        <f t="shared" si="61"/>
        <v>6.4060448521334976</v>
      </c>
      <c r="O336" s="4">
        <v>5.83</v>
      </c>
      <c r="P336" s="14">
        <f t="shared" si="64"/>
        <v>0.33182767166950305</v>
      </c>
      <c r="Q336" s="14">
        <f t="shared" si="62"/>
        <v>0.49512190711307374</v>
      </c>
    </row>
    <row r="337" spans="1:17" x14ac:dyDescent="0.25">
      <c r="A337" s="5" t="s">
        <v>394</v>
      </c>
      <c r="B337" s="6">
        <f t="shared" si="63"/>
        <v>3</v>
      </c>
      <c r="C337" s="58">
        <v>19.23302078</v>
      </c>
      <c r="D337" s="4">
        <v>4.5</v>
      </c>
      <c r="E337" s="12">
        <f t="shared" si="52"/>
        <v>0</v>
      </c>
      <c r="F337" s="12">
        <f t="shared" si="53"/>
        <v>4.5</v>
      </c>
      <c r="G337" s="16">
        <f t="shared" si="55"/>
        <v>11.423324223231576</v>
      </c>
      <c r="H337" s="14">
        <f t="shared" si="56"/>
        <v>0.6396718517922535</v>
      </c>
      <c r="I337" s="14">
        <f t="shared" si="57"/>
        <v>18.050754214290858</v>
      </c>
      <c r="J337" s="14">
        <f t="shared" si="58"/>
        <v>2.6279097946578722</v>
      </c>
      <c r="K337" s="14">
        <f t="shared" si="59"/>
        <v>5.2557086140476654</v>
      </c>
      <c r="L337" s="14">
        <f t="shared" si="60"/>
        <v>640.61481254474006</v>
      </c>
      <c r="M337" s="14">
        <f t="shared" si="54"/>
        <v>0.26101165626886513</v>
      </c>
      <c r="N337" s="14">
        <f t="shared" si="61"/>
        <v>6.6793607871581102</v>
      </c>
      <c r="O337" s="4">
        <v>5.53</v>
      </c>
      <c r="P337" s="14">
        <f t="shared" si="64"/>
        <v>1.3210302190567103</v>
      </c>
      <c r="Q337" s="14">
        <f t="shared" si="62"/>
        <v>1.0073113036647947</v>
      </c>
    </row>
    <row r="338" spans="1:17" x14ac:dyDescent="0.25">
      <c r="A338" s="5" t="s">
        <v>395</v>
      </c>
      <c r="B338" s="6">
        <f t="shared" si="63"/>
        <v>3</v>
      </c>
      <c r="C338" s="58">
        <v>18.76079369</v>
      </c>
      <c r="D338" s="4">
        <v>2.2999999999999998</v>
      </c>
      <c r="E338" s="12">
        <f t="shared" si="52"/>
        <v>0</v>
      </c>
      <c r="F338" s="12">
        <f t="shared" si="53"/>
        <v>2.2999999999999998</v>
      </c>
      <c r="G338" s="16">
        <f t="shared" si="55"/>
        <v>10.586807010788766</v>
      </c>
      <c r="H338" s="14">
        <f t="shared" si="56"/>
        <v>0.34739861550772128</v>
      </c>
      <c r="I338" s="14">
        <f t="shared" si="57"/>
        <v>17.091184694213425</v>
      </c>
      <c r="J338" s="14">
        <f t="shared" si="58"/>
        <v>2.7891185969350882</v>
      </c>
      <c r="K338" s="14">
        <f t="shared" si="59"/>
        <v>5.2170048428829361</v>
      </c>
      <c r="L338" s="14">
        <f t="shared" si="60"/>
        <v>640.73990327514355</v>
      </c>
      <c r="M338" s="14">
        <f t="shared" si="54"/>
        <v>0.25955464686653307</v>
      </c>
      <c r="N338" s="14">
        <f t="shared" si="61"/>
        <v>6.6420755118276</v>
      </c>
      <c r="O338" s="4">
        <v>6.4</v>
      </c>
      <c r="P338" s="14">
        <f t="shared" si="64"/>
        <v>5.860055342659435E-2</v>
      </c>
      <c r="Q338" s="14">
        <f t="shared" si="62"/>
        <v>1.7862053664803271E-2</v>
      </c>
    </row>
    <row r="339" spans="1:17" x14ac:dyDescent="0.25">
      <c r="A339" s="5" t="s">
        <v>396</v>
      </c>
      <c r="B339" s="6">
        <f t="shared" si="63"/>
        <v>3</v>
      </c>
      <c r="C339" s="58">
        <v>19.408327100000001</v>
      </c>
      <c r="D339" s="4">
        <v>1.2</v>
      </c>
      <c r="E339" s="12">
        <f t="shared" si="52"/>
        <v>0</v>
      </c>
      <c r="F339" s="12">
        <f t="shared" si="53"/>
        <v>1.2</v>
      </c>
      <c r="G339" s="16">
        <f t="shared" si="55"/>
        <v>8.8288612026467597</v>
      </c>
      <c r="H339" s="14">
        <f t="shared" si="56"/>
        <v>0.17407033826922663</v>
      </c>
      <c r="I339" s="14">
        <f t="shared" si="57"/>
        <v>18.406978168636513</v>
      </c>
      <c r="J339" s="14">
        <f t="shared" si="58"/>
        <v>2.7838754698727795</v>
      </c>
      <c r="K339" s="14">
        <f t="shared" si="59"/>
        <v>5.0083775378839999</v>
      </c>
      <c r="L339" s="14">
        <f t="shared" si="60"/>
        <v>640.86304627154516</v>
      </c>
      <c r="M339" s="14">
        <f t="shared" si="54"/>
        <v>0.25158400908078804</v>
      </c>
      <c r="N339" s="14">
        <f t="shared" si="61"/>
        <v>6.4381046768243326</v>
      </c>
      <c r="O339" s="4">
        <v>7.54</v>
      </c>
      <c r="P339" s="14">
        <f t="shared" si="64"/>
        <v>1.2141733032364086</v>
      </c>
      <c r="Q339" s="14">
        <f t="shared" si="62"/>
        <v>1.0127423467682626</v>
      </c>
    </row>
    <row r="340" spans="1:17" x14ac:dyDescent="0.25">
      <c r="A340" s="5" t="s">
        <v>397</v>
      </c>
      <c r="B340" s="6">
        <f t="shared" si="63"/>
        <v>3</v>
      </c>
      <c r="C340" s="58">
        <v>19.484584810000001</v>
      </c>
      <c r="D340" s="4">
        <v>0</v>
      </c>
      <c r="E340" s="12">
        <f t="shared" si="52"/>
        <v>0</v>
      </c>
      <c r="F340" s="12">
        <f t="shared" si="53"/>
        <v>0</v>
      </c>
      <c r="G340" s="16">
        <f t="shared" si="55"/>
        <v>6.4877058364460272</v>
      </c>
      <c r="H340" s="14">
        <f t="shared" si="56"/>
        <v>0</v>
      </c>
      <c r="I340" s="14">
        <f t="shared" si="57"/>
        <v>18.561934493117825</v>
      </c>
      <c r="J340" s="14">
        <f t="shared" si="58"/>
        <v>2.3411553662007329</v>
      </c>
      <c r="K340" s="14">
        <f t="shared" si="59"/>
        <v>4.6440326912367702</v>
      </c>
      <c r="L340" s="14">
        <f t="shared" si="60"/>
        <v>640.97580710911166</v>
      </c>
      <c r="M340" s="14">
        <f t="shared" si="54"/>
        <v>0.23764247454657955</v>
      </c>
      <c r="N340" s="14">
        <f t="shared" si="61"/>
        <v>6.0813369354454565</v>
      </c>
      <c r="O340" s="4">
        <v>5.46</v>
      </c>
      <c r="P340" s="14">
        <f t="shared" si="64"/>
        <v>0.38605958734875145</v>
      </c>
      <c r="Q340" s="14">
        <f t="shared" si="62"/>
        <v>1.1527221628601969</v>
      </c>
    </row>
    <row r="341" spans="1:17" x14ac:dyDescent="0.25">
      <c r="A341" s="5" t="s">
        <v>398</v>
      </c>
      <c r="B341" s="6">
        <f t="shared" si="63"/>
        <v>3</v>
      </c>
      <c r="C341" s="58">
        <v>19.43062973</v>
      </c>
      <c r="D341" s="4">
        <v>0</v>
      </c>
      <c r="E341" s="12">
        <f t="shared" si="52"/>
        <v>0</v>
      </c>
      <c r="F341" s="12">
        <f t="shared" si="53"/>
        <v>0</v>
      </c>
      <c r="G341" s="16">
        <f t="shared" si="55"/>
        <v>4.7775176422071191</v>
      </c>
      <c r="H341" s="14">
        <f t="shared" si="56"/>
        <v>0</v>
      </c>
      <c r="I341" s="14">
        <f t="shared" si="57"/>
        <v>18.452297305167974</v>
      </c>
      <c r="J341" s="14">
        <f t="shared" si="58"/>
        <v>1.7101881942389086</v>
      </c>
      <c r="K341" s="14">
        <f t="shared" si="59"/>
        <v>4.3117390033313727</v>
      </c>
      <c r="L341" s="14">
        <f t="shared" si="60"/>
        <v>641.07045832247047</v>
      </c>
      <c r="M341" s="14">
        <f t="shared" si="54"/>
        <v>0.22492563081136824</v>
      </c>
      <c r="N341" s="14">
        <f t="shared" si="61"/>
        <v>5.7559093718048047</v>
      </c>
      <c r="O341" s="4">
        <v>4.55</v>
      </c>
      <c r="P341" s="14">
        <f t="shared" si="64"/>
        <v>1.454217413006659</v>
      </c>
      <c r="Q341" s="14">
        <f t="shared" si="62"/>
        <v>3.9348633324004187</v>
      </c>
    </row>
    <row r="342" spans="1:17" x14ac:dyDescent="0.25">
      <c r="A342" s="5" t="s">
        <v>399</v>
      </c>
      <c r="B342" s="6">
        <f t="shared" si="63"/>
        <v>3</v>
      </c>
      <c r="C342" s="58">
        <v>17.66516876</v>
      </c>
      <c r="D342" s="4">
        <v>0</v>
      </c>
      <c r="E342" s="12">
        <f t="shared" si="52"/>
        <v>0</v>
      </c>
      <c r="F342" s="12">
        <f t="shared" si="53"/>
        <v>0</v>
      </c>
      <c r="G342" s="16">
        <f t="shared" si="55"/>
        <v>3.7629860139055689</v>
      </c>
      <c r="H342" s="14">
        <f t="shared" si="56"/>
        <v>0</v>
      </c>
      <c r="I342" s="14">
        <f t="shared" si="57"/>
        <v>14.864865386134401</v>
      </c>
      <c r="J342" s="14">
        <f t="shared" si="58"/>
        <v>1.0145316283015504</v>
      </c>
      <c r="K342" s="14">
        <f t="shared" si="59"/>
        <v>4.0086769563781433</v>
      </c>
      <c r="L342" s="14">
        <f t="shared" si="60"/>
        <v>641.14859473861236</v>
      </c>
      <c r="M342" s="14">
        <f t="shared" si="54"/>
        <v>0.21332574305886526</v>
      </c>
      <c r="N342" s="14">
        <f t="shared" si="61"/>
        <v>5.459065022027211</v>
      </c>
      <c r="O342" s="4">
        <v>3.9</v>
      </c>
      <c r="P342" s="14">
        <f t="shared" si="64"/>
        <v>2.430683742908708</v>
      </c>
      <c r="Q342" s="14">
        <f t="shared" si="62"/>
        <v>6.9361070249291483</v>
      </c>
    </row>
    <row r="343" spans="1:17" x14ac:dyDescent="0.25">
      <c r="A343" s="5" t="s">
        <v>400</v>
      </c>
      <c r="B343" s="6">
        <f t="shared" si="63"/>
        <v>3</v>
      </c>
      <c r="C343" s="58">
        <v>19.146678919999999</v>
      </c>
      <c r="D343" s="4">
        <v>8.1</v>
      </c>
      <c r="E343" s="12">
        <f t="shared" si="52"/>
        <v>0</v>
      </c>
      <c r="F343" s="12">
        <f t="shared" si="53"/>
        <v>8.1</v>
      </c>
      <c r="G343" s="16">
        <f t="shared" si="55"/>
        <v>10.224068897910609</v>
      </c>
      <c r="H343" s="14">
        <f t="shared" si="56"/>
        <v>0.67799448971214737</v>
      </c>
      <c r="I343" s="14">
        <f t="shared" si="57"/>
        <v>17.875306810028658</v>
      </c>
      <c r="J343" s="14">
        <f t="shared" si="58"/>
        <v>0.96092262628281278</v>
      </c>
      <c r="K343" s="14">
        <f t="shared" si="59"/>
        <v>4.4102695532874705</v>
      </c>
      <c r="L343" s="14">
        <f t="shared" si="60"/>
        <v>641.21167088835625</v>
      </c>
      <c r="M343" s="14">
        <f t="shared" si="54"/>
        <v>0.22873226795839505</v>
      </c>
      <c r="N343" s="14">
        <f t="shared" si="61"/>
        <v>5.8533222737964286</v>
      </c>
      <c r="O343" s="4">
        <v>3.89</v>
      </c>
      <c r="P343" s="14">
        <f t="shared" si="64"/>
        <v>3.8546343507851777</v>
      </c>
      <c r="Q343" s="14">
        <f t="shared" si="62"/>
        <v>6.9888800048142041</v>
      </c>
    </row>
    <row r="344" spans="1:17" x14ac:dyDescent="0.25">
      <c r="A344" s="5" t="s">
        <v>401</v>
      </c>
      <c r="B344" s="6">
        <f t="shared" si="63"/>
        <v>3</v>
      </c>
      <c r="C344" s="58">
        <v>19.551376340000001</v>
      </c>
      <c r="D344" s="4">
        <v>0</v>
      </c>
      <c r="E344" s="12">
        <f t="shared" si="52"/>
        <v>0</v>
      </c>
      <c r="F344" s="12">
        <f t="shared" si="53"/>
        <v>0</v>
      </c>
      <c r="G344" s="16">
        <f t="shared" si="55"/>
        <v>7.4931221549123626</v>
      </c>
      <c r="H344" s="14">
        <f t="shared" si="56"/>
        <v>0</v>
      </c>
      <c r="I344" s="14">
        <f t="shared" si="57"/>
        <v>18.697655458188546</v>
      </c>
      <c r="J344" s="14">
        <f t="shared" si="58"/>
        <v>2.7309467429982464</v>
      </c>
      <c r="K344" s="14">
        <f t="shared" si="59"/>
        <v>4.0985398434686253</v>
      </c>
      <c r="L344" s="14">
        <f t="shared" si="60"/>
        <v>641.29466833021672</v>
      </c>
      <c r="M344" s="14">
        <f t="shared" si="54"/>
        <v>0.21680117675880839</v>
      </c>
      <c r="N344" s="14">
        <f t="shared" si="61"/>
        <v>5.5480023358070065</v>
      </c>
      <c r="O344" s="4">
        <v>5.44</v>
      </c>
      <c r="P344" s="14">
        <f t="shared" si="64"/>
        <v>1.1664504539769319E-2</v>
      </c>
      <c r="Q344" s="14">
        <f t="shared" si="62"/>
        <v>1.1960681226303107</v>
      </c>
    </row>
    <row r="345" spans="1:17" x14ac:dyDescent="0.25">
      <c r="A345" s="5" t="s">
        <v>402</v>
      </c>
      <c r="B345" s="6">
        <f t="shared" si="63"/>
        <v>3</v>
      </c>
      <c r="C345" s="58">
        <v>19.565719600000001</v>
      </c>
      <c r="D345" s="4">
        <v>1.5</v>
      </c>
      <c r="E345" s="12">
        <f t="shared" si="52"/>
        <v>0</v>
      </c>
      <c r="F345" s="12">
        <f t="shared" si="53"/>
        <v>1.5</v>
      </c>
      <c r="G345" s="16">
        <f t="shared" si="55"/>
        <v>6.8074487482557915</v>
      </c>
      <c r="H345" s="14">
        <f t="shared" si="56"/>
        <v>0.18106881484419257</v>
      </c>
      <c r="I345" s="14">
        <f t="shared" si="57"/>
        <v>18.726801086226413</v>
      </c>
      <c r="J345" s="14">
        <f t="shared" si="58"/>
        <v>2.00460459181238</v>
      </c>
      <c r="K345" s="14">
        <f t="shared" si="59"/>
        <v>3.9953015908227738</v>
      </c>
      <c r="L345" s="14">
        <f t="shared" si="60"/>
        <v>641.36217422094796</v>
      </c>
      <c r="M345" s="14">
        <f t="shared" si="54"/>
        <v>0.21285833620852584</v>
      </c>
      <c r="N345" s="14">
        <f t="shared" si="61"/>
        <v>5.4471039508917896</v>
      </c>
      <c r="O345" s="4">
        <v>5.71</v>
      </c>
      <c r="P345" s="14">
        <f t="shared" si="64"/>
        <v>6.9114332636706577E-2</v>
      </c>
      <c r="Q345" s="14">
        <f t="shared" si="62"/>
        <v>0.67839766573376237</v>
      </c>
    </row>
    <row r="346" spans="1:17" x14ac:dyDescent="0.25">
      <c r="A346" s="5" t="s">
        <v>403</v>
      </c>
      <c r="B346" s="6">
        <f t="shared" si="63"/>
        <v>3</v>
      </c>
      <c r="C346" s="58">
        <v>18.785207750000001</v>
      </c>
      <c r="D346" s="4">
        <v>0.5</v>
      </c>
      <c r="E346" s="12">
        <f t="shared" si="52"/>
        <v>0</v>
      </c>
      <c r="F346" s="12">
        <f t="shared" si="53"/>
        <v>0.5</v>
      </c>
      <c r="G346" s="16">
        <f t="shared" si="55"/>
        <v>5.5831632698186668</v>
      </c>
      <c r="H346" s="14">
        <f t="shared" si="56"/>
        <v>5.7354439031064491E-2</v>
      </c>
      <c r="I346" s="14">
        <f t="shared" si="57"/>
        <v>17.140794274717042</v>
      </c>
      <c r="J346" s="14">
        <f t="shared" si="58"/>
        <v>1.6669310394060604</v>
      </c>
      <c r="K346" s="14">
        <f t="shared" si="59"/>
        <v>3.777430758508932</v>
      </c>
      <c r="L346" s="14">
        <f t="shared" si="60"/>
        <v>641.42454115608439</v>
      </c>
      <c r="M346" s="14">
        <f t="shared" si="54"/>
        <v>0.20452050818759315</v>
      </c>
      <c r="N346" s="14">
        <f t="shared" si="61"/>
        <v>5.2337366157727825</v>
      </c>
      <c r="O346" s="4">
        <v>6.49</v>
      </c>
      <c r="P346" s="14">
        <f t="shared" si="64"/>
        <v>1.5781976905500221</v>
      </c>
      <c r="Q346" s="14">
        <f t="shared" si="62"/>
        <v>1.9052346992869571E-3</v>
      </c>
    </row>
    <row r="347" spans="1:17" x14ac:dyDescent="0.25">
      <c r="A347" s="5" t="s">
        <v>404</v>
      </c>
      <c r="B347" s="6">
        <f t="shared" si="63"/>
        <v>9</v>
      </c>
      <c r="C347" s="58">
        <v>15.648930549999999</v>
      </c>
      <c r="D347" s="4">
        <v>0</v>
      </c>
      <c r="E347" s="12">
        <f t="shared" ref="E347:E410" si="65">IF(C347&gt;$C$9,MAX(E346-$C$10*(C347-$C$9),0),E346+D347)</f>
        <v>0</v>
      </c>
      <c r="F347" s="12">
        <f t="shared" ref="F347:F410" si="66">IF(C347&gt;$C$9,D347+MIN(E346,$C$10*(C347-$C$9)),0)</f>
        <v>0</v>
      </c>
      <c r="G347" s="16">
        <f t="shared" si="55"/>
        <v>5.2536814968120211</v>
      </c>
      <c r="H347" s="14">
        <f t="shared" si="56"/>
        <v>0</v>
      </c>
      <c r="I347" s="14">
        <f t="shared" si="57"/>
        <v>4.1309387475869546</v>
      </c>
      <c r="J347" s="14">
        <f t="shared" si="58"/>
        <v>0.32948177300664583</v>
      </c>
      <c r="K347" s="14">
        <f t="shared" si="59"/>
        <v>3.5213714303520933</v>
      </c>
      <c r="L347" s="14">
        <f t="shared" si="60"/>
        <v>641.47607997605371</v>
      </c>
      <c r="M347" s="14">
        <f t="shared" si="54"/>
        <v>0.19471660933833532</v>
      </c>
      <c r="N347" s="14">
        <f t="shared" si="61"/>
        <v>4.9828521209150392</v>
      </c>
      <c r="O347" s="4">
        <v>1.81</v>
      </c>
      <c r="P347" s="14">
        <f t="shared" si="64"/>
        <v>10.066990581195062</v>
      </c>
      <c r="Q347" s="14">
        <f t="shared" si="62"/>
        <v>22.312859820906144</v>
      </c>
    </row>
    <row r="348" spans="1:17" x14ac:dyDescent="0.25">
      <c r="A348" s="5" t="s">
        <v>405</v>
      </c>
      <c r="B348" s="6">
        <f t="shared" si="63"/>
        <v>9</v>
      </c>
      <c r="C348" s="58">
        <v>17.786622999999999</v>
      </c>
      <c r="D348" s="4">
        <v>0</v>
      </c>
      <c r="E348" s="12">
        <f t="shared" si="65"/>
        <v>0</v>
      </c>
      <c r="F348" s="12">
        <f t="shared" si="66"/>
        <v>0</v>
      </c>
      <c r="G348" s="16">
        <f t="shared" si="55"/>
        <v>4.7048727512558575</v>
      </c>
      <c r="H348" s="14">
        <f t="shared" si="56"/>
        <v>0</v>
      </c>
      <c r="I348" s="14">
        <f t="shared" si="57"/>
        <v>7.3123163611993043</v>
      </c>
      <c r="J348" s="14">
        <f t="shared" si="58"/>
        <v>0.54880874555616377</v>
      </c>
      <c r="K348" s="14">
        <f t="shared" si="59"/>
        <v>3.2878374603816107</v>
      </c>
      <c r="L348" s="14">
        <f t="shared" si="60"/>
        <v>641.51489733668586</v>
      </c>
      <c r="M348" s="14">
        <f t="shared" si="54"/>
        <v>0.18577341693168509</v>
      </c>
      <c r="N348" s="14">
        <f t="shared" si="61"/>
        <v>4.7539933430087471</v>
      </c>
      <c r="O348" s="4">
        <v>1.83</v>
      </c>
      <c r="P348" s="14">
        <f t="shared" si="64"/>
        <v>8.5497370699594679</v>
      </c>
      <c r="Q348" s="14">
        <f t="shared" si="62"/>
        <v>22.124313861136024</v>
      </c>
    </row>
    <row r="349" spans="1:17" x14ac:dyDescent="0.25">
      <c r="A349" s="5" t="s">
        <v>406</v>
      </c>
      <c r="B349" s="6">
        <f t="shared" si="63"/>
        <v>9</v>
      </c>
      <c r="C349" s="58">
        <v>17.599859240000001</v>
      </c>
      <c r="D349" s="4">
        <v>0</v>
      </c>
      <c r="E349" s="12">
        <f t="shared" si="65"/>
        <v>0</v>
      </c>
      <c r="F349" s="12">
        <f t="shared" si="66"/>
        <v>0</v>
      </c>
      <c r="G349" s="16">
        <f t="shared" si="55"/>
        <v>4.2320750712022273</v>
      </c>
      <c r="H349" s="14">
        <f t="shared" si="56"/>
        <v>0</v>
      </c>
      <c r="I349" s="14">
        <f t="shared" si="57"/>
        <v>7.0343689674579526</v>
      </c>
      <c r="J349" s="14">
        <f t="shared" si="58"/>
        <v>0.47279768005362993</v>
      </c>
      <c r="K349" s="14">
        <f t="shared" si="59"/>
        <v>3.0748473087524961</v>
      </c>
      <c r="L349" s="14">
        <f t="shared" si="60"/>
        <v>641.54211407138337</v>
      </c>
      <c r="M349" s="14">
        <f t="shared" si="54"/>
        <v>0.17761521559790949</v>
      </c>
      <c r="N349" s="14">
        <f t="shared" si="61"/>
        <v>4.5452227047103921</v>
      </c>
      <c r="O349" s="4">
        <v>1.82</v>
      </c>
      <c r="P349" s="14">
        <f t="shared" si="64"/>
        <v>7.4268387902690236</v>
      </c>
      <c r="Q349" s="14">
        <f t="shared" si="62"/>
        <v>22.218486841021079</v>
      </c>
    </row>
    <row r="350" spans="1:17" x14ac:dyDescent="0.25">
      <c r="A350" s="5" t="s">
        <v>407</v>
      </c>
      <c r="B350" s="6">
        <f t="shared" si="63"/>
        <v>9</v>
      </c>
      <c r="C350" s="58">
        <v>17.504093170000001</v>
      </c>
      <c r="D350" s="4">
        <v>0</v>
      </c>
      <c r="E350" s="12">
        <f t="shared" si="65"/>
        <v>0</v>
      </c>
      <c r="F350" s="12">
        <f t="shared" si="66"/>
        <v>0</v>
      </c>
      <c r="G350" s="16">
        <f t="shared" si="55"/>
        <v>3.8154059620609169</v>
      </c>
      <c r="H350" s="14">
        <f t="shared" si="56"/>
        <v>0</v>
      </c>
      <c r="I350" s="14">
        <f t="shared" si="57"/>
        <v>6.8918470479734015</v>
      </c>
      <c r="J350" s="14">
        <f t="shared" si="58"/>
        <v>0.4166691091413105</v>
      </c>
      <c r="K350" s="14">
        <f t="shared" si="59"/>
        <v>2.8805937502799228</v>
      </c>
      <c r="L350" s="14">
        <f t="shared" si="60"/>
        <v>641.55875241425804</v>
      </c>
      <c r="M350" s="14">
        <f t="shared" si="54"/>
        <v>0.17017295059477847</v>
      </c>
      <c r="N350" s="14">
        <f t="shared" si="61"/>
        <v>4.3547730759844345</v>
      </c>
      <c r="O350" s="4">
        <v>1.79</v>
      </c>
      <c r="P350" s="14">
        <f t="shared" si="64"/>
        <v>6.5780609312946581</v>
      </c>
      <c r="Q350" s="14">
        <f t="shared" si="62"/>
        <v>22.502205780676253</v>
      </c>
    </row>
    <row r="351" spans="1:17" x14ac:dyDescent="0.25">
      <c r="A351" s="5" t="s">
        <v>408</v>
      </c>
      <c r="B351" s="6">
        <f t="shared" si="63"/>
        <v>9</v>
      </c>
      <c r="C351" s="58">
        <v>17.204877849999999</v>
      </c>
      <c r="D351" s="4">
        <v>0</v>
      </c>
      <c r="E351" s="12">
        <f t="shared" si="65"/>
        <v>0</v>
      </c>
      <c r="F351" s="12">
        <f t="shared" si="66"/>
        <v>0</v>
      </c>
      <c r="G351" s="16">
        <f t="shared" si="55"/>
        <v>3.4640315407636599</v>
      </c>
      <c r="H351" s="14">
        <f t="shared" si="56"/>
        <v>0</v>
      </c>
      <c r="I351" s="14">
        <f t="shared" si="57"/>
        <v>6.4465458912528169</v>
      </c>
      <c r="J351" s="14">
        <f t="shared" si="58"/>
        <v>0.35137442129725699</v>
      </c>
      <c r="K351" s="14">
        <f t="shared" si="59"/>
        <v>2.7034285401017293</v>
      </c>
      <c r="L351" s="14">
        <f t="shared" si="60"/>
        <v>641.56574467384144</v>
      </c>
      <c r="M351" s="14">
        <f t="shared" ref="M351:M414" si="67">MAX(0,K351-$F$9)*$F$8+K351*$F$10+L351*$F$11</f>
        <v>0.16338364187686916</v>
      </c>
      <c r="N351" s="14">
        <f t="shared" si="61"/>
        <v>4.1810327799740472</v>
      </c>
      <c r="O351" s="4">
        <v>1.78</v>
      </c>
      <c r="P351" s="14">
        <f t="shared" si="64"/>
        <v>5.7649584105098999</v>
      </c>
      <c r="Q351" s="14">
        <f t="shared" si="62"/>
        <v>22.597178760561309</v>
      </c>
    </row>
    <row r="352" spans="1:17" x14ac:dyDescent="0.25">
      <c r="A352" s="5" t="s">
        <v>409</v>
      </c>
      <c r="B352" s="6">
        <f t="shared" si="63"/>
        <v>9</v>
      </c>
      <c r="C352" s="58">
        <v>17.30035019</v>
      </c>
      <c r="D352" s="4">
        <v>0</v>
      </c>
      <c r="E352" s="12">
        <f t="shared" si="65"/>
        <v>0</v>
      </c>
      <c r="F352" s="12">
        <f t="shared" si="66"/>
        <v>0</v>
      </c>
      <c r="G352" s="16">
        <f t="shared" ref="G352:G415" si="68">G351+F352-H352-J352</f>
        <v>3.1379852137269091</v>
      </c>
      <c r="H352" s="14">
        <f t="shared" ref="H352:H415" si="69">(F352*(G351/$C$11)^$C$12)</f>
        <v>0</v>
      </c>
      <c r="I352" s="14">
        <f t="shared" ref="I352:I415" si="70">(1+$C$13*(C352-INDEX($A$16:$A$27,B352)))*INDEX($C$16:$C$27,B352)</f>
        <v>6.5886306729973514</v>
      </c>
      <c r="J352" s="14">
        <f t="shared" ref="J352:J415" si="71">IF(G351&gt;$F$13,I352,I352*(G351/$F$13))</f>
        <v>0.32604632703675096</v>
      </c>
      <c r="K352" s="14">
        <f t="shared" ref="K352:K415" si="72">K351+H352-MAX(0,K351-$F$9)*$F$8-K351*$F$10-K351*$F$12</f>
        <v>2.5418484282917566</v>
      </c>
      <c r="L352" s="14">
        <f t="shared" ref="L352:L415" si="73">L351+K351*$F$12-L351*$F$11</f>
        <v>641.56394114377451</v>
      </c>
      <c r="M352" s="14">
        <f t="shared" si="67"/>
        <v>0.15718984970877989</v>
      </c>
      <c r="N352" s="14">
        <f t="shared" ref="N352:N415" si="74">M352*$C$8*1000/(24*3600)</f>
        <v>4.0225319178948187</v>
      </c>
      <c r="O352" s="4">
        <v>1.79</v>
      </c>
      <c r="P352" s="14">
        <f t="shared" si="64"/>
        <v>4.9841987644191175</v>
      </c>
      <c r="Q352" s="14">
        <f t="shared" ref="Q352:Q415" si="75">(O352-$F$23)^2</f>
        <v>22.502205780676253</v>
      </c>
    </row>
    <row r="353" spans="1:17" x14ac:dyDescent="0.25">
      <c r="A353" s="5" t="s">
        <v>410</v>
      </c>
      <c r="B353" s="6">
        <f t="shared" ref="B353:B416" si="76">MONTH(A353)</f>
        <v>9</v>
      </c>
      <c r="C353" s="58">
        <v>15.61724854</v>
      </c>
      <c r="D353" s="4">
        <v>0</v>
      </c>
      <c r="E353" s="12">
        <f t="shared" si="65"/>
        <v>0</v>
      </c>
      <c r="F353" s="12">
        <f t="shared" si="66"/>
        <v>0</v>
      </c>
      <c r="G353" s="16">
        <f t="shared" si="68"/>
        <v>2.9549155179460387</v>
      </c>
      <c r="H353" s="14">
        <f t="shared" si="69"/>
        <v>0</v>
      </c>
      <c r="I353" s="14">
        <f t="shared" si="70"/>
        <v>4.0837886360878768</v>
      </c>
      <c r="J353" s="14">
        <f t="shared" si="71"/>
        <v>0.18306969578087029</v>
      </c>
      <c r="K353" s="14">
        <f t="shared" si="72"/>
        <v>2.3944824047577704</v>
      </c>
      <c r="L353" s="14">
        <f t="shared" si="73"/>
        <v>641.55411731759966</v>
      </c>
      <c r="M353" s="14">
        <f t="shared" si="67"/>
        <v>0.15153918728797183</v>
      </c>
      <c r="N353" s="14">
        <f t="shared" si="74"/>
        <v>3.8779298969178901</v>
      </c>
      <c r="O353" s="4">
        <v>1.81</v>
      </c>
      <c r="P353" s="14">
        <f t="shared" ref="P353:P416" si="77">(O353-N353)^2</f>
        <v>4.2763340585668352</v>
      </c>
      <c r="Q353" s="14">
        <f t="shared" si="75"/>
        <v>22.312859820906144</v>
      </c>
    </row>
    <row r="354" spans="1:17" x14ac:dyDescent="0.25">
      <c r="A354" s="5" t="s">
        <v>411</v>
      </c>
      <c r="B354" s="6">
        <f t="shared" si="76"/>
        <v>9</v>
      </c>
      <c r="C354" s="58">
        <v>16.14885902</v>
      </c>
      <c r="D354" s="4">
        <v>0</v>
      </c>
      <c r="E354" s="12">
        <f t="shared" si="65"/>
        <v>0</v>
      </c>
      <c r="F354" s="12">
        <f t="shared" si="66"/>
        <v>0</v>
      </c>
      <c r="G354" s="16">
        <f t="shared" si="68"/>
        <v>2.7491288214981213</v>
      </c>
      <c r="H354" s="14">
        <f t="shared" si="69"/>
        <v>0</v>
      </c>
      <c r="I354" s="14">
        <f t="shared" si="70"/>
        <v>4.8749471959797406</v>
      </c>
      <c r="J354" s="14">
        <f t="shared" si="71"/>
        <v>0.2057866964479175</v>
      </c>
      <c r="K354" s="14">
        <f t="shared" si="72"/>
        <v>2.2600800661967004</v>
      </c>
      <c r="L354" s="14">
        <f t="shared" si="73"/>
        <v>641.5369804688728</v>
      </c>
      <c r="M354" s="14">
        <f t="shared" si="67"/>
        <v>0.14638387624183513</v>
      </c>
      <c r="N354" s="14">
        <f t="shared" si="74"/>
        <v>3.7460040552164058</v>
      </c>
      <c r="O354" s="4">
        <v>1.84</v>
      </c>
      <c r="P354" s="14">
        <f t="shared" si="77"/>
        <v>3.6328514585013831</v>
      </c>
      <c r="Q354" s="14">
        <f t="shared" si="75"/>
        <v>22.030340881250968</v>
      </c>
    </row>
    <row r="355" spans="1:17" x14ac:dyDescent="0.25">
      <c r="A355" s="5" t="s">
        <v>412</v>
      </c>
      <c r="B355" s="6">
        <f t="shared" si="76"/>
        <v>9</v>
      </c>
      <c r="C355" s="58">
        <v>17.69412041</v>
      </c>
      <c r="D355" s="4">
        <v>0</v>
      </c>
      <c r="E355" s="12">
        <f t="shared" si="65"/>
        <v>0</v>
      </c>
      <c r="F355" s="12">
        <f t="shared" si="66"/>
        <v>0</v>
      </c>
      <c r="G355" s="16">
        <f t="shared" si="68"/>
        <v>2.4673565863059008</v>
      </c>
      <c r="H355" s="14">
        <f t="shared" si="69"/>
        <v>0</v>
      </c>
      <c r="I355" s="14">
        <f t="shared" si="70"/>
        <v>7.1746512499120572</v>
      </c>
      <c r="J355" s="14">
        <f t="shared" si="71"/>
        <v>0.28177223519222044</v>
      </c>
      <c r="K355" s="14">
        <f t="shared" si="72"/>
        <v>2.137501006400611</v>
      </c>
      <c r="L355" s="14">
        <f t="shared" si="73"/>
        <v>641.51317565242698</v>
      </c>
      <c r="M355" s="14">
        <f t="shared" si="67"/>
        <v>0.14168034122736406</v>
      </c>
      <c r="N355" s="14">
        <f t="shared" si="74"/>
        <v>3.6256392876585872</v>
      </c>
      <c r="O355" s="4">
        <v>1.84</v>
      </c>
      <c r="P355" s="14">
        <f t="shared" si="77"/>
        <v>3.1885076656298668</v>
      </c>
      <c r="Q355" s="14">
        <f t="shared" si="75"/>
        <v>22.030340881250968</v>
      </c>
    </row>
    <row r="356" spans="1:17" x14ac:dyDescent="0.25">
      <c r="A356" s="5" t="s">
        <v>413</v>
      </c>
      <c r="B356" s="6">
        <f t="shared" si="76"/>
        <v>9</v>
      </c>
      <c r="C356" s="58">
        <v>18.716814039999999</v>
      </c>
      <c r="D356" s="4">
        <v>0</v>
      </c>
      <c r="E356" s="12">
        <f t="shared" si="65"/>
        <v>0</v>
      </c>
      <c r="F356" s="12">
        <f t="shared" si="66"/>
        <v>0</v>
      </c>
      <c r="G356" s="16">
        <f t="shared" si="68"/>
        <v>2.1608170889547349</v>
      </c>
      <c r="H356" s="14">
        <f t="shared" si="69"/>
        <v>0</v>
      </c>
      <c r="I356" s="14">
        <f t="shared" si="70"/>
        <v>8.6966543893561568</v>
      </c>
      <c r="J356" s="14">
        <f t="shared" si="71"/>
        <v>0.30653949735116615</v>
      </c>
      <c r="K356" s="14">
        <f t="shared" si="72"/>
        <v>2.0257051398899564</v>
      </c>
      <c r="L356" s="14">
        <f t="shared" si="73"/>
        <v>641.48329117771027</v>
      </c>
      <c r="M356" s="14">
        <f t="shared" si="67"/>
        <v>0.13738884019361228</v>
      </c>
      <c r="N356" s="14">
        <f t="shared" si="74"/>
        <v>3.5158185841212584</v>
      </c>
      <c r="O356" s="4">
        <v>1.82</v>
      </c>
      <c r="P356" s="14">
        <f t="shared" si="77"/>
        <v>2.8758006702510293</v>
      </c>
      <c r="Q356" s="14">
        <f t="shared" si="75"/>
        <v>22.218486841021079</v>
      </c>
    </row>
    <row r="357" spans="1:17" x14ac:dyDescent="0.25">
      <c r="A357" s="5" t="s">
        <v>414</v>
      </c>
      <c r="B357" s="6">
        <f t="shared" si="76"/>
        <v>9</v>
      </c>
      <c r="C357" s="58">
        <v>15.67895508</v>
      </c>
      <c r="D357" s="4">
        <v>0</v>
      </c>
      <c r="E357" s="12">
        <f t="shared" si="65"/>
        <v>0</v>
      </c>
      <c r="F357" s="12">
        <f t="shared" si="66"/>
        <v>0</v>
      </c>
      <c r="G357" s="16">
        <f t="shared" si="68"/>
        <v>2.0319204749457582</v>
      </c>
      <c r="H357" s="14">
        <f t="shared" si="69"/>
        <v>0</v>
      </c>
      <c r="I357" s="14">
        <f t="shared" si="70"/>
        <v>4.1756221479522573</v>
      </c>
      <c r="J357" s="14">
        <f t="shared" si="71"/>
        <v>0.12889661400897684</v>
      </c>
      <c r="K357" s="14">
        <f t="shared" si="72"/>
        <v>1.9237438767699817</v>
      </c>
      <c r="L357" s="14">
        <f t="shared" si="73"/>
        <v>641.44786360063665</v>
      </c>
      <c r="M357" s="14">
        <f t="shared" si="67"/>
        <v>0.13637995670581243</v>
      </c>
      <c r="N357" s="14">
        <f t="shared" si="74"/>
        <v>3.490000975423047</v>
      </c>
      <c r="O357" s="4">
        <v>1.83</v>
      </c>
      <c r="P357" s="14">
        <f t="shared" si="77"/>
        <v>2.7556032384054672</v>
      </c>
      <c r="Q357" s="14">
        <f t="shared" si="75"/>
        <v>22.124313861136024</v>
      </c>
    </row>
    <row r="358" spans="1:17" x14ac:dyDescent="0.25">
      <c r="A358" s="5" t="s">
        <v>415</v>
      </c>
      <c r="B358" s="6">
        <f t="shared" si="76"/>
        <v>9</v>
      </c>
      <c r="C358" s="58">
        <v>15.207185750000001</v>
      </c>
      <c r="D358" s="4">
        <v>0.5</v>
      </c>
      <c r="E358" s="12">
        <f t="shared" si="65"/>
        <v>0</v>
      </c>
      <c r="F358" s="12">
        <f t="shared" si="66"/>
        <v>0.5</v>
      </c>
      <c r="G358" s="16">
        <f t="shared" si="68"/>
        <v>2.400931906141849</v>
      </c>
      <c r="H358" s="14">
        <f t="shared" si="69"/>
        <v>3.0161081938125448E-2</v>
      </c>
      <c r="I358" s="14">
        <f t="shared" si="70"/>
        <v>3.473520970932666</v>
      </c>
      <c r="J358" s="14">
        <f t="shared" si="71"/>
        <v>0.10082748686578374</v>
      </c>
      <c r="K358" s="14">
        <f t="shared" si="72"/>
        <v>1.8580063263307864</v>
      </c>
      <c r="L358" s="14">
        <f t="shared" si="73"/>
        <v>641.40738227630811</v>
      </c>
      <c r="M358" s="14">
        <f t="shared" si="67"/>
        <v>0.13635750617172188</v>
      </c>
      <c r="N358" s="14">
        <f t="shared" si="74"/>
        <v>3.4894264600194105</v>
      </c>
      <c r="O358" s="4">
        <v>1.82</v>
      </c>
      <c r="P358" s="14">
        <f t="shared" si="77"/>
        <v>2.78698470541294</v>
      </c>
      <c r="Q358" s="14">
        <f t="shared" si="75"/>
        <v>22.218486841021079</v>
      </c>
    </row>
    <row r="359" spans="1:17" x14ac:dyDescent="0.25">
      <c r="A359" s="5" t="s">
        <v>416</v>
      </c>
      <c r="B359" s="6">
        <f t="shared" si="76"/>
        <v>9</v>
      </c>
      <c r="C359" s="58">
        <v>17.832603450000001</v>
      </c>
      <c r="D359" s="4">
        <v>0</v>
      </c>
      <c r="E359" s="12">
        <f t="shared" si="65"/>
        <v>0</v>
      </c>
      <c r="F359" s="12">
        <f t="shared" si="66"/>
        <v>0</v>
      </c>
      <c r="G359" s="16">
        <f t="shared" si="68"/>
        <v>2.1477792992552542</v>
      </c>
      <c r="H359" s="14">
        <f t="shared" si="69"/>
        <v>0</v>
      </c>
      <c r="I359" s="14">
        <f t="shared" si="70"/>
        <v>7.3807458372419541</v>
      </c>
      <c r="J359" s="14">
        <f t="shared" si="71"/>
        <v>0.25315260688659469</v>
      </c>
      <c r="K359" s="14">
        <f t="shared" si="72"/>
        <v>1.7653847108469716</v>
      </c>
      <c r="L359" s="14">
        <f t="shared" si="73"/>
        <v>641.3636463856202</v>
      </c>
      <c r="M359" s="14">
        <f t="shared" si="67"/>
        <v>0.1363286937361527</v>
      </c>
      <c r="N359" s="14">
        <f t="shared" si="74"/>
        <v>3.4886891417897403</v>
      </c>
      <c r="O359" s="4">
        <v>1.82</v>
      </c>
      <c r="P359" s="14">
        <f t="shared" si="77"/>
        <v>2.7845234519269799</v>
      </c>
      <c r="Q359" s="14">
        <f t="shared" si="75"/>
        <v>22.218486841021079</v>
      </c>
    </row>
    <row r="360" spans="1:17" x14ac:dyDescent="0.25">
      <c r="A360" s="5" t="s">
        <v>417</v>
      </c>
      <c r="B360" s="6">
        <f t="shared" si="76"/>
        <v>9</v>
      </c>
      <c r="C360" s="58">
        <v>18.174486160000001</v>
      </c>
      <c r="D360" s="4">
        <v>0</v>
      </c>
      <c r="E360" s="12">
        <f t="shared" si="65"/>
        <v>0</v>
      </c>
      <c r="F360" s="12">
        <f t="shared" si="66"/>
        <v>0</v>
      </c>
      <c r="G360" s="16">
        <f t="shared" si="68"/>
        <v>1.9057076278899674</v>
      </c>
      <c r="H360" s="14">
        <f t="shared" si="69"/>
        <v>0</v>
      </c>
      <c r="I360" s="14">
        <f t="shared" si="70"/>
        <v>7.8895458753742504</v>
      </c>
      <c r="J360" s="14">
        <f t="shared" si="71"/>
        <v>0.24207167136528676</v>
      </c>
      <c r="K360" s="14">
        <f t="shared" si="72"/>
        <v>1.6773802829008189</v>
      </c>
      <c r="L360" s="14">
        <f t="shared" si="73"/>
        <v>641.31532211983028</v>
      </c>
      <c r="M360" s="14">
        <f t="shared" si="67"/>
        <v>0.13629988279105459</v>
      </c>
      <c r="N360" s="14">
        <f t="shared" si="74"/>
        <v>3.4879518617016401</v>
      </c>
      <c r="O360" s="4">
        <v>1.79</v>
      </c>
      <c r="P360" s="14">
        <f t="shared" si="77"/>
        <v>2.8830405246560655</v>
      </c>
      <c r="Q360" s="14">
        <f t="shared" si="75"/>
        <v>22.502205780676253</v>
      </c>
    </row>
    <row r="361" spans="1:17" x14ac:dyDescent="0.25">
      <c r="A361" s="5" t="s">
        <v>418</v>
      </c>
      <c r="B361" s="6">
        <f t="shared" si="76"/>
        <v>9</v>
      </c>
      <c r="C361" s="58">
        <v>18.235157010000002</v>
      </c>
      <c r="D361" s="4">
        <v>1.1000000000000001</v>
      </c>
      <c r="E361" s="12">
        <f t="shared" si="65"/>
        <v>0</v>
      </c>
      <c r="F361" s="12">
        <f t="shared" si="66"/>
        <v>1.1000000000000001</v>
      </c>
      <c r="G361" s="16">
        <f t="shared" si="68"/>
        <v>2.7243306517497721</v>
      </c>
      <c r="H361" s="14">
        <f t="shared" si="69"/>
        <v>6.413054031830917E-2</v>
      </c>
      <c r="I361" s="14">
        <f t="shared" si="70"/>
        <v>7.9798380425140261</v>
      </c>
      <c r="J361" s="14">
        <f t="shared" si="71"/>
        <v>0.21724643582188646</v>
      </c>
      <c r="K361" s="14">
        <f t="shared" si="72"/>
        <v>1.6578934160115961</v>
      </c>
      <c r="L361" s="14">
        <f t="shared" si="73"/>
        <v>641.26263964424675</v>
      </c>
      <c r="M361" s="14">
        <f t="shared" si="67"/>
        <v>0.136284603824395</v>
      </c>
      <c r="N361" s="14">
        <f t="shared" si="74"/>
        <v>3.4875608687006636</v>
      </c>
      <c r="O361" s="4">
        <v>1.8</v>
      </c>
      <c r="P361" s="14">
        <f t="shared" si="77"/>
        <v>2.8478616855697383</v>
      </c>
      <c r="Q361" s="14">
        <f t="shared" si="75"/>
        <v>22.407432800791199</v>
      </c>
    </row>
    <row r="362" spans="1:17" x14ac:dyDescent="0.25">
      <c r="A362" s="5" t="s">
        <v>419</v>
      </c>
      <c r="B362" s="6">
        <f t="shared" si="76"/>
        <v>9</v>
      </c>
      <c r="C362" s="58">
        <v>17.01696587</v>
      </c>
      <c r="D362" s="4">
        <v>0</v>
      </c>
      <c r="E362" s="12">
        <f t="shared" si="65"/>
        <v>0</v>
      </c>
      <c r="F362" s="12">
        <f t="shared" si="66"/>
        <v>0</v>
      </c>
      <c r="G362" s="16">
        <f t="shared" si="68"/>
        <v>2.4843212209675474</v>
      </c>
      <c r="H362" s="14">
        <f t="shared" si="69"/>
        <v>0</v>
      </c>
      <c r="I362" s="14">
        <f t="shared" si="70"/>
        <v>6.1668896822871311</v>
      </c>
      <c r="J362" s="14">
        <f t="shared" si="71"/>
        <v>0.24000943078222478</v>
      </c>
      <c r="K362" s="14">
        <f t="shared" si="72"/>
        <v>1.5752474291197107</v>
      </c>
      <c r="L362" s="14">
        <f t="shared" si="73"/>
        <v>641.20900102731423</v>
      </c>
      <c r="M362" s="14">
        <f t="shared" si="67"/>
        <v>0.13625579686703307</v>
      </c>
      <c r="N362" s="14">
        <f t="shared" si="74"/>
        <v>3.4868236906598393</v>
      </c>
      <c r="O362" s="4">
        <v>1.85</v>
      </c>
      <c r="P362" s="14">
        <f t="shared" si="77"/>
        <v>2.679191794305297</v>
      </c>
      <c r="Q362" s="14">
        <f t="shared" si="75"/>
        <v>21.936567901365905</v>
      </c>
    </row>
    <row r="363" spans="1:17" x14ac:dyDescent="0.25">
      <c r="A363" s="5" t="s">
        <v>420</v>
      </c>
      <c r="B363" s="6">
        <f t="shared" si="76"/>
        <v>12</v>
      </c>
      <c r="C363" s="58">
        <v>18.17324829</v>
      </c>
      <c r="D363" s="4">
        <v>1.3</v>
      </c>
      <c r="E363" s="12">
        <f t="shared" si="65"/>
        <v>0</v>
      </c>
      <c r="F363" s="12">
        <f t="shared" si="66"/>
        <v>1.3</v>
      </c>
      <c r="G363" s="16">
        <f t="shared" si="68"/>
        <v>3.3953644252497672</v>
      </c>
      <c r="H363" s="14">
        <f t="shared" si="69"/>
        <v>8.7262498040466888E-2</v>
      </c>
      <c r="I363" s="14">
        <f t="shared" si="70"/>
        <v>8.5007460407638806</v>
      </c>
      <c r="J363" s="14">
        <f t="shared" si="71"/>
        <v>0.30169429767731332</v>
      </c>
      <c r="K363" s="14">
        <f t="shared" si="72"/>
        <v>1.5839838427200224</v>
      </c>
      <c r="L363" s="14">
        <f t="shared" si="73"/>
        <v>641.15127131488725</v>
      </c>
      <c r="M363" s="14">
        <f t="shared" si="67"/>
        <v>0.13624540253363981</v>
      </c>
      <c r="N363" s="14">
        <f t="shared" si="74"/>
        <v>3.486557696780991</v>
      </c>
      <c r="O363" s="4">
        <v>2.06</v>
      </c>
      <c r="P363" s="14">
        <f t="shared" si="77"/>
        <v>2.0350668622450856</v>
      </c>
      <c r="Q363" s="14">
        <f t="shared" si="75"/>
        <v>20.01353532377971</v>
      </c>
    </row>
    <row r="364" spans="1:17" x14ac:dyDescent="0.25">
      <c r="A364" s="5" t="s">
        <v>421</v>
      </c>
      <c r="B364" s="6">
        <f t="shared" si="76"/>
        <v>12</v>
      </c>
      <c r="C364" s="58">
        <v>19.06892204</v>
      </c>
      <c r="D364" s="4">
        <v>6.6</v>
      </c>
      <c r="E364" s="12">
        <f t="shared" si="65"/>
        <v>0</v>
      </c>
      <c r="F364" s="12">
        <f t="shared" si="66"/>
        <v>6.6</v>
      </c>
      <c r="G364" s="16">
        <f t="shared" si="68"/>
        <v>9.0000217451272384</v>
      </c>
      <c r="H364" s="14">
        <f t="shared" si="69"/>
        <v>0.52306071782727137</v>
      </c>
      <c r="I364" s="14">
        <f t="shared" si="70"/>
        <v>9.7367193982152287</v>
      </c>
      <c r="J364" s="14">
        <f t="shared" si="71"/>
        <v>0.4722819622952571</v>
      </c>
      <c r="K364" s="14">
        <f t="shared" si="72"/>
        <v>2.0280829658886166</v>
      </c>
      <c r="L364" s="14">
        <f t="shared" si="73"/>
        <v>641.09398750701234</v>
      </c>
      <c r="M364" s="14">
        <f t="shared" si="67"/>
        <v>0.13739745834194841</v>
      </c>
      <c r="N364" s="14">
        <f t="shared" si="74"/>
        <v>3.5160391249311105</v>
      </c>
      <c r="O364" s="4">
        <v>2.12</v>
      </c>
      <c r="P364" s="14">
        <f t="shared" si="77"/>
        <v>1.9489252383384204</v>
      </c>
      <c r="Q364" s="14">
        <f t="shared" si="75"/>
        <v>19.480297444469361</v>
      </c>
    </row>
    <row r="365" spans="1:17" x14ac:dyDescent="0.25">
      <c r="A365" s="5" t="s">
        <v>422</v>
      </c>
      <c r="B365" s="6">
        <f t="shared" si="76"/>
        <v>12</v>
      </c>
      <c r="C365" s="58">
        <v>20.075452800000001</v>
      </c>
      <c r="D365" s="4">
        <v>2.8</v>
      </c>
      <c r="E365" s="12">
        <f t="shared" si="65"/>
        <v>0</v>
      </c>
      <c r="F365" s="12">
        <f t="shared" si="66"/>
        <v>2.8</v>
      </c>
      <c r="G365" s="16">
        <f t="shared" si="68"/>
        <v>9.9969989168853832</v>
      </c>
      <c r="H365" s="14">
        <f t="shared" si="69"/>
        <v>0.37257513095257172</v>
      </c>
      <c r="I365" s="14">
        <f t="shared" si="70"/>
        <v>11.12566844669997</v>
      </c>
      <c r="J365" s="14">
        <f t="shared" si="71"/>
        <v>1.4304476972892846</v>
      </c>
      <c r="K365" s="14">
        <f t="shared" si="72"/>
        <v>2.2984876580480984</v>
      </c>
      <c r="L365" s="14">
        <f t="shared" si="73"/>
        <v>641.05876048746347</v>
      </c>
      <c r="M365" s="14">
        <f t="shared" si="67"/>
        <v>0.14775467668955397</v>
      </c>
      <c r="N365" s="14">
        <f t="shared" si="74"/>
        <v>3.7810832194514337</v>
      </c>
      <c r="O365" s="4">
        <v>2.23</v>
      </c>
      <c r="P365" s="14">
        <f t="shared" si="77"/>
        <v>2.4058591536638243</v>
      </c>
      <c r="Q365" s="14">
        <f t="shared" si="75"/>
        <v>18.521394665733734</v>
      </c>
    </row>
    <row r="366" spans="1:17" x14ac:dyDescent="0.25">
      <c r="A366" s="5" t="s">
        <v>423</v>
      </c>
      <c r="B366" s="6">
        <f t="shared" si="76"/>
        <v>12</v>
      </c>
      <c r="C366" s="58">
        <v>16.75351143</v>
      </c>
      <c r="D366" s="4">
        <v>4.2</v>
      </c>
      <c r="E366" s="12">
        <f t="shared" si="65"/>
        <v>0</v>
      </c>
      <c r="F366" s="12">
        <f t="shared" si="66"/>
        <v>4.2</v>
      </c>
      <c r="G366" s="16">
        <f t="shared" si="68"/>
        <v>12.67180331739098</v>
      </c>
      <c r="H366" s="14">
        <f t="shared" si="69"/>
        <v>0.59096121454279849</v>
      </c>
      <c r="I366" s="14">
        <f t="shared" si="70"/>
        <v>6.5415986016973253</v>
      </c>
      <c r="J366" s="14">
        <f t="shared" si="71"/>
        <v>0.93423438495160649</v>
      </c>
      <c r="K366" s="14">
        <f t="shared" si="72"/>
        <v>2.7634911240754572</v>
      </c>
      <c r="L366" s="14">
        <f t="shared" si="73"/>
        <v>641.03696355928935</v>
      </c>
      <c r="M366" s="14">
        <f t="shared" si="67"/>
        <v>0.16557376614591651</v>
      </c>
      <c r="N366" s="14">
        <f t="shared" si="74"/>
        <v>4.2370786683868218</v>
      </c>
      <c r="O366" s="4">
        <v>3.25</v>
      </c>
      <c r="P366" s="14">
        <f t="shared" si="77"/>
        <v>0.97432429758430128</v>
      </c>
      <c r="Q366" s="14">
        <f t="shared" si="75"/>
        <v>10.782350717457877</v>
      </c>
    </row>
    <row r="367" spans="1:17" x14ac:dyDescent="0.25">
      <c r="A367" s="5" t="s">
        <v>424</v>
      </c>
      <c r="B367" s="6">
        <f t="shared" si="76"/>
        <v>12</v>
      </c>
      <c r="C367" s="58">
        <v>18.741397859999999</v>
      </c>
      <c r="D367" s="4">
        <v>4.0999999999999996</v>
      </c>
      <c r="E367" s="12">
        <f t="shared" si="65"/>
        <v>0</v>
      </c>
      <c r="F367" s="12">
        <f t="shared" si="66"/>
        <v>4.0999999999999996</v>
      </c>
      <c r="G367" s="16">
        <f t="shared" si="68"/>
        <v>14.436642507739631</v>
      </c>
      <c r="H367" s="14">
        <f t="shared" si="69"/>
        <v>0.65437930593748506</v>
      </c>
      <c r="I367" s="14">
        <f t="shared" si="70"/>
        <v>9.2847566602192764</v>
      </c>
      <c r="J367" s="14">
        <f t="shared" si="71"/>
        <v>1.6807815037138634</v>
      </c>
      <c r="K367" s="14">
        <f t="shared" si="72"/>
        <v>3.2510066551263499</v>
      </c>
      <c r="L367" s="14">
        <f t="shared" si="73"/>
        <v>641.03825356802997</v>
      </c>
      <c r="M367" s="14">
        <f t="shared" si="67"/>
        <v>0.18426064317632793</v>
      </c>
      <c r="N367" s="14">
        <f t="shared" si="74"/>
        <v>4.7152810423942251</v>
      </c>
      <c r="O367" s="4">
        <v>3.75</v>
      </c>
      <c r="P367" s="14">
        <f t="shared" si="77"/>
        <v>0.93176749080568178</v>
      </c>
      <c r="Q367" s="14">
        <f t="shared" si="75"/>
        <v>7.7487017232050084</v>
      </c>
    </row>
    <row r="368" spans="1:17" x14ac:dyDescent="0.25">
      <c r="A368" s="5" t="s">
        <v>425</v>
      </c>
      <c r="B368" s="6">
        <f t="shared" si="76"/>
        <v>12</v>
      </c>
      <c r="C368" s="58">
        <v>19.45051003</v>
      </c>
      <c r="D368" s="4">
        <v>9.1</v>
      </c>
      <c r="E368" s="12">
        <f t="shared" si="65"/>
        <v>0</v>
      </c>
      <c r="F368" s="12">
        <f t="shared" si="66"/>
        <v>9.1</v>
      </c>
      <c r="G368" s="16">
        <f t="shared" si="68"/>
        <v>19.863319935208615</v>
      </c>
      <c r="H368" s="14">
        <f t="shared" si="69"/>
        <v>1.5566436871929548</v>
      </c>
      <c r="I368" s="14">
        <f t="shared" si="70"/>
        <v>10.26328678858858</v>
      </c>
      <c r="J368" s="14">
        <f t="shared" si="71"/>
        <v>2.1166788853380569</v>
      </c>
      <c r="K368" s="14">
        <f t="shared" si="72"/>
        <v>4.5979001706067129</v>
      </c>
      <c r="L368" s="14">
        <f t="shared" si="73"/>
        <v>641.06374309656621</v>
      </c>
      <c r="M368" s="14">
        <f t="shared" si="67"/>
        <v>0.23589284308597791</v>
      </c>
      <c r="N368" s="14">
        <f t="shared" si="74"/>
        <v>6.0365633803599206</v>
      </c>
      <c r="O368" s="4">
        <v>4.51</v>
      </c>
      <c r="P368" s="14">
        <f t="shared" si="77"/>
        <v>2.3303957542559082</v>
      </c>
      <c r="Q368" s="14">
        <f t="shared" si="75"/>
        <v>4.095155251940648</v>
      </c>
    </row>
    <row r="369" spans="1:17" x14ac:dyDescent="0.25">
      <c r="A369" s="5" t="s">
        <v>426</v>
      </c>
      <c r="B369" s="6">
        <f t="shared" si="76"/>
        <v>12</v>
      </c>
      <c r="C369" s="58">
        <v>19.59343338</v>
      </c>
      <c r="D369" s="4">
        <v>12.1</v>
      </c>
      <c r="E369" s="12">
        <f t="shared" si="65"/>
        <v>0</v>
      </c>
      <c r="F369" s="12">
        <f t="shared" si="66"/>
        <v>12.1</v>
      </c>
      <c r="G369" s="16">
        <f t="shared" si="68"/>
        <v>26.542562269309695</v>
      </c>
      <c r="H369" s="14">
        <f t="shared" si="69"/>
        <v>2.4524624585606123</v>
      </c>
      <c r="I369" s="14">
        <f t="shared" si="70"/>
        <v>10.460512008996897</v>
      </c>
      <c r="J369" s="14">
        <f t="shared" si="71"/>
        <v>2.9682952073383113</v>
      </c>
      <c r="K369" s="14">
        <f t="shared" si="72"/>
        <v>6.7221271865081036</v>
      </c>
      <c r="L369" s="14">
        <f t="shared" si="73"/>
        <v>641.15608569613948</v>
      </c>
      <c r="M369" s="14">
        <f t="shared" si="67"/>
        <v>0.3173346200724172</v>
      </c>
      <c r="N369" s="14">
        <f t="shared" si="74"/>
        <v>8.120681076158732</v>
      </c>
      <c r="O369" s="4">
        <v>5.56</v>
      </c>
      <c r="P369" s="14">
        <f t="shared" si="77"/>
        <v>6.5570875737974443</v>
      </c>
      <c r="Q369" s="14">
        <f t="shared" si="75"/>
        <v>0.94799236400962372</v>
      </c>
    </row>
    <row r="370" spans="1:17" x14ac:dyDescent="0.25">
      <c r="A370" s="5" t="s">
        <v>427</v>
      </c>
      <c r="B370" s="6">
        <f t="shared" si="76"/>
        <v>12</v>
      </c>
      <c r="C370" s="58">
        <v>16.753501889999999</v>
      </c>
      <c r="D370" s="4">
        <v>6.1</v>
      </c>
      <c r="E370" s="12">
        <f t="shared" si="65"/>
        <v>0</v>
      </c>
      <c r="F370" s="12">
        <f t="shared" si="66"/>
        <v>6.1</v>
      </c>
      <c r="G370" s="16">
        <f t="shared" si="68"/>
        <v>28.719784875269376</v>
      </c>
      <c r="H370" s="14">
        <f t="shared" si="69"/>
        <v>1.4423405509083604</v>
      </c>
      <c r="I370" s="14">
        <f t="shared" si="70"/>
        <v>6.541585437098238</v>
      </c>
      <c r="J370" s="14">
        <f t="shared" si="71"/>
        <v>2.4804368431319541</v>
      </c>
      <c r="K370" s="14">
        <f t="shared" si="72"/>
        <v>7.6493655449819524</v>
      </c>
      <c r="L370" s="14">
        <f t="shared" si="73"/>
        <v>641.35385326850155</v>
      </c>
      <c r="M370" s="14">
        <f t="shared" si="67"/>
        <v>0.35291784258627318</v>
      </c>
      <c r="N370" s="14">
        <f t="shared" si="74"/>
        <v>9.0312656245167826</v>
      </c>
      <c r="O370" s="4">
        <v>6.18</v>
      </c>
      <c r="P370" s="14">
        <f t="shared" si="77"/>
        <v>8.1297156615510797</v>
      </c>
      <c r="Q370" s="14">
        <f t="shared" si="75"/>
        <v>0.12506761113606585</v>
      </c>
    </row>
    <row r="371" spans="1:17" x14ac:dyDescent="0.25">
      <c r="A371" s="5" t="s">
        <v>428</v>
      </c>
      <c r="B371" s="6">
        <f t="shared" si="76"/>
        <v>12</v>
      </c>
      <c r="C371" s="58">
        <v>13.74723053</v>
      </c>
      <c r="D371" s="4">
        <v>5.8</v>
      </c>
      <c r="E371" s="12">
        <f t="shared" si="65"/>
        <v>0</v>
      </c>
      <c r="F371" s="12">
        <f t="shared" si="66"/>
        <v>5.8</v>
      </c>
      <c r="G371" s="16">
        <f t="shared" si="68"/>
        <v>32.107828562117582</v>
      </c>
      <c r="H371" s="14">
        <f t="shared" si="69"/>
        <v>1.4300997940632481</v>
      </c>
      <c r="I371" s="14">
        <f t="shared" si="70"/>
        <v>2.393120322173262</v>
      </c>
      <c r="J371" s="14">
        <f t="shared" si="71"/>
        <v>0.98185651908854743</v>
      </c>
      <c r="K371" s="14">
        <f t="shared" si="72"/>
        <v>8.4827946433302337</v>
      </c>
      <c r="L371" s="14">
        <f t="shared" si="73"/>
        <v>641.59760612163018</v>
      </c>
      <c r="M371" s="14">
        <f t="shared" si="67"/>
        <v>0.38491507847289741</v>
      </c>
      <c r="N371" s="14">
        <f t="shared" si="74"/>
        <v>9.8500837789765754</v>
      </c>
      <c r="O371" s="4">
        <v>6.41</v>
      </c>
      <c r="P371" s="14">
        <f t="shared" si="77"/>
        <v>11.834176406377754</v>
      </c>
      <c r="Q371" s="14">
        <f t="shared" si="75"/>
        <v>1.5289073779745952E-2</v>
      </c>
    </row>
    <row r="372" spans="1:17" x14ac:dyDescent="0.25">
      <c r="A372" s="5" t="s">
        <v>429</v>
      </c>
      <c r="B372" s="6">
        <f t="shared" si="76"/>
        <v>12</v>
      </c>
      <c r="C372" s="58">
        <v>15.16594791</v>
      </c>
      <c r="D372" s="4">
        <v>1</v>
      </c>
      <c r="E372" s="12">
        <f t="shared" si="65"/>
        <v>0</v>
      </c>
      <c r="F372" s="12">
        <f t="shared" si="66"/>
        <v>1</v>
      </c>
      <c r="G372" s="16">
        <f t="shared" si="68"/>
        <v>30.850532837507679</v>
      </c>
      <c r="H372" s="14">
        <f t="shared" si="69"/>
        <v>0.2616270093364112</v>
      </c>
      <c r="I372" s="14">
        <f t="shared" si="70"/>
        <v>4.3508609430557916</v>
      </c>
      <c r="J372" s="14">
        <f t="shared" si="71"/>
        <v>1.9956687152734949</v>
      </c>
      <c r="K372" s="14">
        <f t="shared" si="72"/>
        <v>8.0744347880061476</v>
      </c>
      <c r="L372" s="14">
        <f t="shared" si="73"/>
        <v>641.88267790781777</v>
      </c>
      <c r="M372" s="14">
        <f t="shared" si="67"/>
        <v>0.36932296309005819</v>
      </c>
      <c r="N372" s="14">
        <f t="shared" si="74"/>
        <v>9.4510772151865599</v>
      </c>
      <c r="O372" s="4">
        <v>5.03</v>
      </c>
      <c r="P372" s="14">
        <f t="shared" si="77"/>
        <v>19.545923742641744</v>
      </c>
      <c r="Q372" s="14">
        <f t="shared" si="75"/>
        <v>2.2609602979176633</v>
      </c>
    </row>
    <row r="373" spans="1:17" x14ac:dyDescent="0.25">
      <c r="A373" s="5" t="s">
        <v>430</v>
      </c>
      <c r="B373" s="6">
        <f t="shared" si="76"/>
        <v>12</v>
      </c>
      <c r="C373" s="58">
        <v>16.610958100000001</v>
      </c>
      <c r="D373" s="4">
        <v>2.2999999999999998</v>
      </c>
      <c r="E373" s="12">
        <f t="shared" si="65"/>
        <v>0</v>
      </c>
      <c r="F373" s="12">
        <f t="shared" si="66"/>
        <v>2.2999999999999998</v>
      </c>
      <c r="G373" s="16">
        <f t="shared" si="68"/>
        <v>29.765102054091351</v>
      </c>
      <c r="H373" s="14">
        <f t="shared" si="69"/>
        <v>0.58909921456732606</v>
      </c>
      <c r="I373" s="14">
        <f t="shared" si="70"/>
        <v>6.3448839855818386</v>
      </c>
      <c r="J373" s="14">
        <f t="shared" si="71"/>
        <v>2.7963315688489971</v>
      </c>
      <c r="K373" s="14">
        <f t="shared" si="72"/>
        <v>8.029470265870529</v>
      </c>
      <c r="L373" s="14">
        <f t="shared" si="73"/>
        <v>642.14741868143062</v>
      </c>
      <c r="M373" s="14">
        <f t="shared" si="67"/>
        <v>0.3676555804005649</v>
      </c>
      <c r="N373" s="14">
        <f t="shared" si="74"/>
        <v>9.4084084290005663</v>
      </c>
      <c r="O373" s="4">
        <v>4.47</v>
      </c>
      <c r="P373" s="14">
        <f t="shared" si="77"/>
        <v>24.387877811623845</v>
      </c>
      <c r="Q373" s="14">
        <f t="shared" si="75"/>
        <v>4.2586471714808782</v>
      </c>
    </row>
    <row r="374" spans="1:17" x14ac:dyDescent="0.25">
      <c r="A374" s="5" t="s">
        <v>431</v>
      </c>
      <c r="B374" s="6">
        <f t="shared" si="76"/>
        <v>12</v>
      </c>
      <c r="C374" s="58">
        <v>16.178476329999999</v>
      </c>
      <c r="D374" s="4">
        <v>0.6</v>
      </c>
      <c r="E374" s="12">
        <f t="shared" si="65"/>
        <v>0</v>
      </c>
      <c r="F374" s="12">
        <f t="shared" si="66"/>
        <v>0.6</v>
      </c>
      <c r="G374" s="16">
        <f t="shared" si="68"/>
        <v>27.770143512131998</v>
      </c>
      <c r="H374" s="14">
        <f t="shared" si="69"/>
        <v>0.15077974171036881</v>
      </c>
      <c r="I374" s="14">
        <f t="shared" si="70"/>
        <v>5.7480863845542256</v>
      </c>
      <c r="J374" s="14">
        <f t="shared" si="71"/>
        <v>2.4441788002489835</v>
      </c>
      <c r="K374" s="14">
        <f t="shared" si="72"/>
        <v>7.5501417681217902</v>
      </c>
      <c r="L374" s="14">
        <f t="shared" si="73"/>
        <v>642.40987134048919</v>
      </c>
      <c r="M374" s="14">
        <f t="shared" si="67"/>
        <v>0.34933842275189775</v>
      </c>
      <c r="N374" s="14">
        <f t="shared" si="74"/>
        <v>8.9396672766718286</v>
      </c>
      <c r="O374" s="4">
        <v>4.04</v>
      </c>
      <c r="P374" s="14">
        <f t="shared" si="77"/>
        <v>24.006739422088732</v>
      </c>
      <c r="Q374" s="14">
        <f t="shared" si="75"/>
        <v>6.2182853065383439</v>
      </c>
    </row>
    <row r="375" spans="1:17" x14ac:dyDescent="0.25">
      <c r="A375" s="5" t="s">
        <v>432</v>
      </c>
      <c r="B375" s="6">
        <f t="shared" si="76"/>
        <v>12</v>
      </c>
      <c r="C375" s="58">
        <v>16.19091225</v>
      </c>
      <c r="D375" s="4">
        <v>1.1000000000000001</v>
      </c>
      <c r="E375" s="12">
        <f t="shared" si="65"/>
        <v>0</v>
      </c>
      <c r="F375" s="12">
        <f t="shared" si="66"/>
        <v>1.1000000000000001</v>
      </c>
      <c r="G375" s="16">
        <f t="shared" si="68"/>
        <v>26.316552989403494</v>
      </c>
      <c r="H375" s="14">
        <f t="shared" si="69"/>
        <v>0.26642094263150407</v>
      </c>
      <c r="I375" s="14">
        <f t="shared" si="70"/>
        <v>5.7652471708286903</v>
      </c>
      <c r="J375" s="14">
        <f t="shared" si="71"/>
        <v>2.2871695800970002</v>
      </c>
      <c r="K375" s="14">
        <f t="shared" si="72"/>
        <v>7.2286206605849159</v>
      </c>
      <c r="L375" s="14">
        <f t="shared" si="73"/>
        <v>642.64847496790571</v>
      </c>
      <c r="M375" s="14">
        <f t="shared" si="67"/>
        <v>0.33706500999241862</v>
      </c>
      <c r="N375" s="14">
        <f t="shared" si="74"/>
        <v>8.6255872348754341</v>
      </c>
      <c r="O375" s="4">
        <v>3.64</v>
      </c>
      <c r="P375" s="14">
        <f t="shared" si="77"/>
        <v>24.856080076552871</v>
      </c>
      <c r="Q375" s="14">
        <f t="shared" si="75"/>
        <v>8.3732045019406378</v>
      </c>
    </row>
    <row r="376" spans="1:17" x14ac:dyDescent="0.25">
      <c r="A376" s="5" t="s">
        <v>433</v>
      </c>
      <c r="B376" s="6">
        <f t="shared" si="76"/>
        <v>12</v>
      </c>
      <c r="C376" s="58">
        <v>16.330867770000001</v>
      </c>
      <c r="D376" s="4">
        <v>2.7</v>
      </c>
      <c r="E376" s="12">
        <f t="shared" si="65"/>
        <v>0</v>
      </c>
      <c r="F376" s="12">
        <f t="shared" si="66"/>
        <v>2.7</v>
      </c>
      <c r="G376" s="16">
        <f t="shared" si="68"/>
        <v>26.140977303445446</v>
      </c>
      <c r="H376" s="14">
        <f t="shared" si="69"/>
        <v>0.63551754364701674</v>
      </c>
      <c r="I376" s="14">
        <f t="shared" si="70"/>
        <v>5.9583769727775033</v>
      </c>
      <c r="J376" s="14">
        <f t="shared" si="71"/>
        <v>2.2400581423110335</v>
      </c>
      <c r="K376" s="14">
        <f t="shared" si="72"/>
        <v>7.3044801387317699</v>
      </c>
      <c r="L376" s="14">
        <f t="shared" si="73"/>
        <v>642.8710680234135</v>
      </c>
      <c r="M376" s="14">
        <f t="shared" si="67"/>
        <v>0.34001990979156804</v>
      </c>
      <c r="N376" s="14">
        <f t="shared" si="74"/>
        <v>8.7012039415411682</v>
      </c>
      <c r="O376" s="4">
        <v>3.51</v>
      </c>
      <c r="P376" s="14">
        <f t="shared" si="77"/>
        <v>26.948598362672563</v>
      </c>
      <c r="Q376" s="14">
        <f t="shared" si="75"/>
        <v>9.1424532404463861</v>
      </c>
    </row>
    <row r="377" spans="1:17" x14ac:dyDescent="0.25">
      <c r="A377" s="5" t="s">
        <v>434</v>
      </c>
      <c r="B377" s="6">
        <f t="shared" si="76"/>
        <v>12</v>
      </c>
      <c r="C377" s="58">
        <v>16.54676628</v>
      </c>
      <c r="D377" s="4">
        <v>4.3</v>
      </c>
      <c r="E377" s="12">
        <f t="shared" si="65"/>
        <v>0</v>
      </c>
      <c r="F377" s="12">
        <f t="shared" si="66"/>
        <v>4.3</v>
      </c>
      <c r="G377" s="16">
        <f t="shared" si="68"/>
        <v>27.096080264294283</v>
      </c>
      <c r="H377" s="14">
        <f t="shared" si="69"/>
        <v>1.0085253949543023</v>
      </c>
      <c r="I377" s="14">
        <f t="shared" si="70"/>
        <v>6.2563033173571476</v>
      </c>
      <c r="J377" s="14">
        <f t="shared" si="71"/>
        <v>2.3363716441968618</v>
      </c>
      <c r="K377" s="14">
        <f t="shared" si="72"/>
        <v>7.7466741634897378</v>
      </c>
      <c r="L377" s="14">
        <f t="shared" si="73"/>
        <v>643.09737948381826</v>
      </c>
      <c r="M377" s="14">
        <f t="shared" si="67"/>
        <v>0.35701730113231467</v>
      </c>
      <c r="N377" s="14">
        <f t="shared" si="74"/>
        <v>9.1361719074484693</v>
      </c>
      <c r="O377" s="4">
        <v>3.62</v>
      </c>
      <c r="P377" s="14">
        <f t="shared" si="77"/>
        <v>30.428152512523685</v>
      </c>
      <c r="Q377" s="14">
        <f t="shared" si="75"/>
        <v>8.4893504617107531</v>
      </c>
    </row>
    <row r="378" spans="1:17" x14ac:dyDescent="0.25">
      <c r="A378" s="5" t="s">
        <v>435</v>
      </c>
      <c r="B378" s="6">
        <f t="shared" si="76"/>
        <v>12</v>
      </c>
      <c r="C378" s="58">
        <v>14.82399464</v>
      </c>
      <c r="D378" s="4">
        <v>3.2</v>
      </c>
      <c r="E378" s="12">
        <f t="shared" si="65"/>
        <v>0</v>
      </c>
      <c r="F378" s="12">
        <f t="shared" si="66"/>
        <v>3.2</v>
      </c>
      <c r="G378" s="16">
        <f t="shared" si="68"/>
        <v>28.029589320629032</v>
      </c>
      <c r="H378" s="14">
        <f t="shared" si="69"/>
        <v>0.76498484146912693</v>
      </c>
      <c r="I378" s="14">
        <f t="shared" si="70"/>
        <v>3.8789869697330639</v>
      </c>
      <c r="J378" s="14">
        <f t="shared" si="71"/>
        <v>1.5015061021961236</v>
      </c>
      <c r="K378" s="14">
        <f t="shared" si="72"/>
        <v>7.9064281388244693</v>
      </c>
      <c r="L378" s="14">
        <f t="shared" si="73"/>
        <v>643.34559304882032</v>
      </c>
      <c r="M378" s="14">
        <f t="shared" si="67"/>
        <v>0.36319333097671141</v>
      </c>
      <c r="N378" s="14">
        <f t="shared" si="74"/>
        <v>9.2942182267304272</v>
      </c>
      <c r="O378" s="4">
        <v>4.1500000000000004</v>
      </c>
      <c r="P378" s="14">
        <f t="shared" si="77"/>
        <v>26.462981164225535</v>
      </c>
      <c r="Q378" s="14">
        <f t="shared" si="75"/>
        <v>5.681782527802711</v>
      </c>
    </row>
    <row r="379" spans="1:17" x14ac:dyDescent="0.25">
      <c r="A379" s="5" t="s">
        <v>436</v>
      </c>
      <c r="B379" s="6">
        <f t="shared" si="76"/>
        <v>12</v>
      </c>
      <c r="C379" s="58">
        <v>16.528139110000001</v>
      </c>
      <c r="D379" s="4">
        <v>1.2</v>
      </c>
      <c r="E379" s="12">
        <f t="shared" si="65"/>
        <v>0</v>
      </c>
      <c r="F379" s="12">
        <f t="shared" si="66"/>
        <v>1.2</v>
      </c>
      <c r="G379" s="16">
        <f t="shared" si="68"/>
        <v>26.442632699369245</v>
      </c>
      <c r="H379" s="14">
        <f t="shared" si="69"/>
        <v>0.29208130536835053</v>
      </c>
      <c r="I379" s="14">
        <f t="shared" si="70"/>
        <v>6.2305989960630219</v>
      </c>
      <c r="J379" s="14">
        <f t="shared" si="71"/>
        <v>2.4948753158914383</v>
      </c>
      <c r="K379" s="14">
        <f t="shared" si="72"/>
        <v>7.5792251337179577</v>
      </c>
      <c r="L379" s="14">
        <f t="shared" si="73"/>
        <v>643.60168402831846</v>
      </c>
      <c r="M379" s="14">
        <f t="shared" si="67"/>
        <v>0.35070583649816112</v>
      </c>
      <c r="N379" s="14">
        <f t="shared" si="74"/>
        <v>8.9746597742758585</v>
      </c>
      <c r="O379" s="4">
        <v>5.19</v>
      </c>
      <c r="P379" s="14">
        <f t="shared" si="77"/>
        <v>14.323649607021789</v>
      </c>
      <c r="Q379" s="14">
        <f t="shared" si="75"/>
        <v>1.8053926197567449</v>
      </c>
    </row>
    <row r="380" spans="1:17" x14ac:dyDescent="0.25">
      <c r="A380" s="5" t="s">
        <v>437</v>
      </c>
      <c r="B380" s="6">
        <f t="shared" si="76"/>
        <v>12</v>
      </c>
      <c r="C380" s="58">
        <v>15.157526020000001</v>
      </c>
      <c r="D380" s="4">
        <v>10.6</v>
      </c>
      <c r="E380" s="12">
        <f t="shared" si="65"/>
        <v>0</v>
      </c>
      <c r="F380" s="12">
        <f t="shared" si="66"/>
        <v>10.6</v>
      </c>
      <c r="G380" s="16">
        <f t="shared" si="68"/>
        <v>32.902133738357541</v>
      </c>
      <c r="H380" s="14">
        <f t="shared" si="69"/>
        <v>2.5013417789117711</v>
      </c>
      <c r="I380" s="14">
        <f t="shared" si="70"/>
        <v>4.3392392653417966</v>
      </c>
      <c r="J380" s="14">
        <f t="shared" si="71"/>
        <v>1.6391571820999258</v>
      </c>
      <c r="K380" s="14">
        <f t="shared" si="72"/>
        <v>9.4900664193379001</v>
      </c>
      <c r="L380" s="14">
        <f t="shared" si="73"/>
        <v>643.84147868511207</v>
      </c>
      <c r="M380" s="14">
        <f t="shared" si="67"/>
        <v>0.42399973699046323</v>
      </c>
      <c r="N380" s="14">
        <f t="shared" si="74"/>
        <v>10.850271047290674</v>
      </c>
      <c r="O380" s="4">
        <v>8.73</v>
      </c>
      <c r="P380" s="14">
        <f t="shared" si="77"/>
        <v>4.4955493139790894</v>
      </c>
      <c r="Q380" s="14">
        <f t="shared" si="75"/>
        <v>4.8239577404464367</v>
      </c>
    </row>
    <row r="381" spans="1:17" x14ac:dyDescent="0.25">
      <c r="A381" s="5" t="s">
        <v>438</v>
      </c>
      <c r="B381" s="6">
        <f t="shared" si="76"/>
        <v>12</v>
      </c>
      <c r="C381" s="58">
        <v>16.01475525</v>
      </c>
      <c r="D381" s="4">
        <v>6.9</v>
      </c>
      <c r="E381" s="12">
        <f t="shared" si="65"/>
        <v>0</v>
      </c>
      <c r="F381" s="12">
        <f t="shared" si="66"/>
        <v>6.9</v>
      </c>
      <c r="G381" s="16">
        <f t="shared" si="68"/>
        <v>35.3777171784172</v>
      </c>
      <c r="H381" s="14">
        <f t="shared" si="69"/>
        <v>1.8288301822955786</v>
      </c>
      <c r="I381" s="14">
        <f t="shared" si="70"/>
        <v>5.5221616067730768</v>
      </c>
      <c r="J381" s="14">
        <f t="shared" si="71"/>
        <v>2.5955863776447679</v>
      </c>
      <c r="K381" s="14">
        <f t="shared" si="72"/>
        <v>10.560300750497463</v>
      </c>
      <c r="L381" s="14">
        <f t="shared" si="73"/>
        <v>644.17607479925755</v>
      </c>
      <c r="M381" s="14">
        <f t="shared" si="67"/>
        <v>0.46509303913461741</v>
      </c>
      <c r="N381" s="14">
        <f t="shared" si="74"/>
        <v>11.90186006396573</v>
      </c>
      <c r="O381" s="4">
        <v>10.32</v>
      </c>
      <c r="P381" s="14">
        <f t="shared" si="77"/>
        <v>2.5022812619696615</v>
      </c>
      <c r="Q381" s="14">
        <f t="shared" si="75"/>
        <v>14.336453938722315</v>
      </c>
    </row>
    <row r="382" spans="1:17" x14ac:dyDescent="0.25">
      <c r="A382" s="5" t="s">
        <v>439</v>
      </c>
      <c r="B382" s="6">
        <f t="shared" si="76"/>
        <v>12</v>
      </c>
      <c r="C382" s="58">
        <v>15.631896019999999</v>
      </c>
      <c r="D382" s="4">
        <v>2.2000000000000002</v>
      </c>
      <c r="E382" s="12">
        <f t="shared" si="65"/>
        <v>0</v>
      </c>
      <c r="F382" s="12">
        <f t="shared" si="66"/>
        <v>2.2000000000000002</v>
      </c>
      <c r="G382" s="16">
        <f t="shared" si="68"/>
        <v>34.447817709793554</v>
      </c>
      <c r="H382" s="14">
        <f t="shared" si="69"/>
        <v>0.60603087857420601</v>
      </c>
      <c r="I382" s="14">
        <f t="shared" si="70"/>
        <v>4.9938399852737962</v>
      </c>
      <c r="J382" s="14">
        <f t="shared" si="71"/>
        <v>2.5238685900494371</v>
      </c>
      <c r="K382" s="14">
        <f t="shared" si="72"/>
        <v>10.313588019967865</v>
      </c>
      <c r="L382" s="14">
        <f t="shared" si="73"/>
        <v>644.56372536922674</v>
      </c>
      <c r="M382" s="14">
        <f t="shared" si="67"/>
        <v>0.45571864687901142</v>
      </c>
      <c r="N382" s="14">
        <f t="shared" si="74"/>
        <v>11.661966762146925</v>
      </c>
      <c r="O382" s="4">
        <v>9.8800000000000008</v>
      </c>
      <c r="P382" s="14">
        <f t="shared" si="77"/>
        <v>3.1754055413963918</v>
      </c>
      <c r="Q382" s="14">
        <f t="shared" si="75"/>
        <v>11.198065053664841</v>
      </c>
    </row>
    <row r="383" spans="1:17" x14ac:dyDescent="0.25">
      <c r="A383" s="5" t="s">
        <v>440</v>
      </c>
      <c r="B383" s="6">
        <f t="shared" si="76"/>
        <v>12</v>
      </c>
      <c r="C383" s="58">
        <v>17.69680786</v>
      </c>
      <c r="D383" s="4">
        <v>0.4</v>
      </c>
      <c r="E383" s="12">
        <f t="shared" si="65"/>
        <v>0</v>
      </c>
      <c r="F383" s="12">
        <f t="shared" si="66"/>
        <v>0.4</v>
      </c>
      <c r="G383" s="16">
        <f t="shared" si="68"/>
        <v>30.879402581490947</v>
      </c>
      <c r="H383" s="14">
        <f t="shared" si="69"/>
        <v>0.1086382377520989</v>
      </c>
      <c r="I383" s="14">
        <f t="shared" si="70"/>
        <v>7.8432882578460879</v>
      </c>
      <c r="J383" s="14">
        <f t="shared" si="71"/>
        <v>3.8597768905505112</v>
      </c>
      <c r="K383" s="14">
        <f t="shared" si="72"/>
        <v>9.5911857932128246</v>
      </c>
      <c r="L383" s="14">
        <f t="shared" si="73"/>
        <v>644.93904718685485</v>
      </c>
      <c r="M383" s="14">
        <f t="shared" si="67"/>
        <v>0.42810833274836302</v>
      </c>
      <c r="N383" s="14">
        <f t="shared" si="74"/>
        <v>10.955411154011928</v>
      </c>
      <c r="O383" s="4">
        <v>7.75</v>
      </c>
      <c r="P383" s="14">
        <f t="shared" si="77"/>
        <v>10.274660666264083</v>
      </c>
      <c r="Q383" s="14">
        <f t="shared" si="75"/>
        <v>1.4795097691820576</v>
      </c>
    </row>
    <row r="384" spans="1:17" x14ac:dyDescent="0.25">
      <c r="A384" s="5" t="s">
        <v>441</v>
      </c>
      <c r="B384" s="6">
        <f t="shared" si="76"/>
        <v>12</v>
      </c>
      <c r="C384" s="58">
        <v>17.478988650000002</v>
      </c>
      <c r="D384" s="4">
        <v>0</v>
      </c>
      <c r="E384" s="12">
        <f t="shared" si="65"/>
        <v>0</v>
      </c>
      <c r="F384" s="12">
        <f t="shared" si="66"/>
        <v>0</v>
      </c>
      <c r="G384" s="16">
        <f t="shared" si="68"/>
        <v>27.552050980435862</v>
      </c>
      <c r="H384" s="14">
        <f t="shared" si="69"/>
        <v>0</v>
      </c>
      <c r="I384" s="14">
        <f t="shared" si="70"/>
        <v>7.542711468249319</v>
      </c>
      <c r="J384" s="14">
        <f t="shared" si="71"/>
        <v>3.3273516010550863</v>
      </c>
      <c r="K384" s="14">
        <f t="shared" si="72"/>
        <v>8.8236945422001138</v>
      </c>
      <c r="L384" s="14">
        <f t="shared" si="73"/>
        <v>645.27843010511924</v>
      </c>
      <c r="M384" s="14">
        <f t="shared" si="67"/>
        <v>0.39876212566614855</v>
      </c>
      <c r="N384" s="14">
        <f t="shared" si="74"/>
        <v>10.20443356305387</v>
      </c>
      <c r="O384" s="4">
        <v>5.61</v>
      </c>
      <c r="P384" s="14">
        <f t="shared" si="77"/>
        <v>21.108819765315875</v>
      </c>
      <c r="Q384" s="14">
        <f t="shared" si="75"/>
        <v>0.85312746458433553</v>
      </c>
    </row>
    <row r="385" spans="1:17" x14ac:dyDescent="0.25">
      <c r="A385" s="5" t="s">
        <v>442</v>
      </c>
      <c r="B385" s="6">
        <f t="shared" si="76"/>
        <v>12</v>
      </c>
      <c r="C385" s="58">
        <v>15.528228759999999</v>
      </c>
      <c r="D385" s="4">
        <v>6.1</v>
      </c>
      <c r="E385" s="12">
        <f t="shared" si="65"/>
        <v>0</v>
      </c>
      <c r="F385" s="12">
        <f t="shared" si="66"/>
        <v>6.1</v>
      </c>
      <c r="G385" s="16">
        <f t="shared" si="68"/>
        <v>30.271530695187479</v>
      </c>
      <c r="H385" s="14">
        <f t="shared" si="69"/>
        <v>1.4712459605398573</v>
      </c>
      <c r="I385" s="14">
        <f t="shared" si="70"/>
        <v>4.8507856963656071</v>
      </c>
      <c r="J385" s="14">
        <f t="shared" si="71"/>
        <v>1.9092743247085202</v>
      </c>
      <c r="K385" s="14">
        <f t="shared" si="72"/>
        <v>9.5949649148292373</v>
      </c>
      <c r="L385" s="14">
        <f t="shared" si="73"/>
        <v>645.57964356736386</v>
      </c>
      <c r="M385" s="14">
        <f t="shared" si="67"/>
        <v>0.42838898110097512</v>
      </c>
      <c r="N385" s="14">
        <f t="shared" si="74"/>
        <v>10.962593023313147</v>
      </c>
      <c r="O385" s="4">
        <v>5.56</v>
      </c>
      <c r="P385" s="14">
        <f t="shared" si="77"/>
        <v>29.188011375551895</v>
      </c>
      <c r="Q385" s="14">
        <f t="shared" si="75"/>
        <v>0.94799236400962372</v>
      </c>
    </row>
    <row r="386" spans="1:17" x14ac:dyDescent="0.25">
      <c r="A386" s="5" t="s">
        <v>443</v>
      </c>
      <c r="B386" s="6">
        <f t="shared" si="76"/>
        <v>12</v>
      </c>
      <c r="C386" s="58">
        <v>16.63242722</v>
      </c>
      <c r="D386" s="4">
        <v>2.2999999999999998</v>
      </c>
      <c r="E386" s="12">
        <f t="shared" si="65"/>
        <v>0</v>
      </c>
      <c r="F386" s="12">
        <f t="shared" si="66"/>
        <v>2.2999999999999998</v>
      </c>
      <c r="G386" s="16">
        <f t="shared" si="68"/>
        <v>29.231672917537821</v>
      </c>
      <c r="H386" s="14">
        <f t="shared" si="69"/>
        <v>0.58319589861486543</v>
      </c>
      <c r="I386" s="14">
        <f t="shared" si="70"/>
        <v>6.3745100188645205</v>
      </c>
      <c r="J386" s="14">
        <f t="shared" si="71"/>
        <v>2.7566618790347905</v>
      </c>
      <c r="K386" s="14">
        <f t="shared" si="72"/>
        <v>9.4103371157728297</v>
      </c>
      <c r="L386" s="14">
        <f t="shared" si="73"/>
        <v>645.91907828393414</v>
      </c>
      <c r="M386" s="14">
        <f t="shared" si="67"/>
        <v>0.4213841004463903</v>
      </c>
      <c r="N386" s="14">
        <f t="shared" si="74"/>
        <v>10.78333618156214</v>
      </c>
      <c r="O386" s="4">
        <v>5.67</v>
      </c>
      <c r="P386" s="14">
        <f t="shared" si="77"/>
        <v>26.146206905672486</v>
      </c>
      <c r="Q386" s="14">
        <f t="shared" si="75"/>
        <v>0.74588958527399196</v>
      </c>
    </row>
    <row r="387" spans="1:17" x14ac:dyDescent="0.25">
      <c r="A387" s="5" t="s">
        <v>444</v>
      </c>
      <c r="B387" s="6">
        <f t="shared" si="76"/>
        <v>12</v>
      </c>
      <c r="C387" s="58">
        <v>16.288801190000001</v>
      </c>
      <c r="D387" s="4">
        <v>1.1000000000000001</v>
      </c>
      <c r="E387" s="12">
        <f t="shared" si="65"/>
        <v>0</v>
      </c>
      <c r="F387" s="12">
        <f t="shared" si="66"/>
        <v>1.1000000000000001</v>
      </c>
      <c r="G387" s="16">
        <f t="shared" si="68"/>
        <v>27.593936685170377</v>
      </c>
      <c r="H387" s="14">
        <f t="shared" si="69"/>
        <v>0.27378494741462744</v>
      </c>
      <c r="I387" s="14">
        <f t="shared" si="70"/>
        <v>5.900327742107188</v>
      </c>
      <c r="J387" s="14">
        <f t="shared" si="71"/>
        <v>2.4639512849528198</v>
      </c>
      <c r="K387" s="14">
        <f t="shared" si="72"/>
        <v>8.9325399425555361</v>
      </c>
      <c r="L387" s="14">
        <f t="shared" si="73"/>
        <v>646.24927630411969</v>
      </c>
      <c r="M387" s="14">
        <f t="shared" si="67"/>
        <v>0.40313999954380969</v>
      </c>
      <c r="N387" s="14">
        <f t="shared" si="74"/>
        <v>10.316464571659298</v>
      </c>
      <c r="O387" s="4">
        <v>6.78</v>
      </c>
      <c r="P387" s="14">
        <f t="shared" si="77"/>
        <v>12.506581666601377</v>
      </c>
      <c r="Q387" s="14">
        <f t="shared" si="75"/>
        <v>6.068881803262318E-2</v>
      </c>
    </row>
    <row r="388" spans="1:17" x14ac:dyDescent="0.25">
      <c r="A388" s="5" t="s">
        <v>445</v>
      </c>
      <c r="B388" s="6">
        <f t="shared" si="76"/>
        <v>12</v>
      </c>
      <c r="C388" s="58">
        <v>17.589027399999999</v>
      </c>
      <c r="D388" s="4">
        <v>2.7</v>
      </c>
      <c r="E388" s="12">
        <f t="shared" si="65"/>
        <v>0</v>
      </c>
      <c r="F388" s="12">
        <f t="shared" si="66"/>
        <v>2.7</v>
      </c>
      <c r="G388" s="16">
        <f t="shared" si="68"/>
        <v>26.609013127912078</v>
      </c>
      <c r="H388" s="14">
        <f t="shared" si="69"/>
        <v>0.6517332991803293</v>
      </c>
      <c r="I388" s="14">
        <f t="shared" si="70"/>
        <v>7.6945580120240438</v>
      </c>
      <c r="J388" s="14">
        <f t="shared" si="71"/>
        <v>3.033190258077969</v>
      </c>
      <c r="K388" s="14">
        <f t="shared" si="72"/>
        <v>8.8747226008575577</v>
      </c>
      <c r="L388" s="14">
        <f t="shared" si="73"/>
        <v>646.55568694545423</v>
      </c>
      <c r="M388" s="14">
        <f t="shared" si="67"/>
        <v>0.40098879794342024</v>
      </c>
      <c r="N388" s="14">
        <f t="shared" si="74"/>
        <v>10.261414725149329</v>
      </c>
      <c r="O388" s="4">
        <v>9.09</v>
      </c>
      <c r="P388" s="14">
        <f t="shared" si="77"/>
        <v>1.372212458296679</v>
      </c>
      <c r="Q388" s="14">
        <f t="shared" si="75"/>
        <v>6.5349304645843684</v>
      </c>
    </row>
    <row r="389" spans="1:17" x14ac:dyDescent="0.25">
      <c r="A389" s="5" t="s">
        <v>446</v>
      </c>
      <c r="B389" s="6">
        <f t="shared" si="76"/>
        <v>12</v>
      </c>
      <c r="C389" s="58">
        <v>18.4768486</v>
      </c>
      <c r="D389" s="4">
        <v>12.8</v>
      </c>
      <c r="E389" s="12">
        <f t="shared" si="65"/>
        <v>0</v>
      </c>
      <c r="F389" s="12">
        <f t="shared" si="66"/>
        <v>12.8</v>
      </c>
      <c r="G389" s="16">
        <f t="shared" si="68"/>
        <v>32.987801512547087</v>
      </c>
      <c r="H389" s="14">
        <f t="shared" si="69"/>
        <v>3.0305761553390904</v>
      </c>
      <c r="I389" s="14">
        <f t="shared" si="70"/>
        <v>8.9196953450992691</v>
      </c>
      <c r="J389" s="14">
        <f t="shared" si="71"/>
        <v>3.3906354600258948</v>
      </c>
      <c r="K389" s="14">
        <f t="shared" si="72"/>
        <v>11.200834266018274</v>
      </c>
      <c r="L389" s="14">
        <f t="shared" si="73"/>
        <v>646.85916263768922</v>
      </c>
      <c r="M389" s="14">
        <f t="shared" si="67"/>
        <v>0.49021362470616936</v>
      </c>
      <c r="N389" s="14">
        <f t="shared" si="74"/>
        <v>12.544702826682181</v>
      </c>
      <c r="O389" s="4">
        <v>10.45</v>
      </c>
      <c r="P389" s="14">
        <f t="shared" si="77"/>
        <v>4.3877799321103241</v>
      </c>
      <c r="Q389" s="14">
        <f t="shared" si="75"/>
        <v>15.337805200216561</v>
      </c>
    </row>
    <row r="390" spans="1:17" x14ac:dyDescent="0.25">
      <c r="A390" s="5" t="s">
        <v>447</v>
      </c>
      <c r="B390" s="6">
        <f t="shared" si="76"/>
        <v>12</v>
      </c>
      <c r="C390" s="58">
        <v>17.01703835</v>
      </c>
      <c r="D390" s="4">
        <v>0.2</v>
      </c>
      <c r="E390" s="12">
        <f t="shared" si="65"/>
        <v>0</v>
      </c>
      <c r="F390" s="12">
        <f t="shared" si="66"/>
        <v>0.2</v>
      </c>
      <c r="G390" s="16">
        <f t="shared" si="68"/>
        <v>29.880587583389332</v>
      </c>
      <c r="H390" s="14">
        <f t="shared" si="69"/>
        <v>5.3082895271734182E-2</v>
      </c>
      <c r="I390" s="14">
        <f t="shared" si="70"/>
        <v>6.9052491520134573</v>
      </c>
      <c r="J390" s="14">
        <f t="shared" si="71"/>
        <v>3.2541310338860212</v>
      </c>
      <c r="K390" s="14">
        <f t="shared" si="72"/>
        <v>10.344826271376991</v>
      </c>
      <c r="L390" s="14">
        <f t="shared" si="73"/>
        <v>647.27803990289613</v>
      </c>
      <c r="M390" s="14">
        <f t="shared" si="67"/>
        <v>0.45749139785097115</v>
      </c>
      <c r="N390" s="14">
        <f t="shared" si="74"/>
        <v>11.7073319519502</v>
      </c>
      <c r="O390" s="4">
        <v>13.31</v>
      </c>
      <c r="P390" s="14">
        <f t="shared" si="77"/>
        <v>2.5685448722397566</v>
      </c>
      <c r="Q390" s="14">
        <f t="shared" si="75"/>
        <v>45.918932953090163</v>
      </c>
    </row>
    <row r="391" spans="1:17" x14ac:dyDescent="0.25">
      <c r="A391" s="5" t="s">
        <v>448</v>
      </c>
      <c r="B391" s="6">
        <f t="shared" si="76"/>
        <v>12</v>
      </c>
      <c r="C391" s="58">
        <v>19.339767460000001</v>
      </c>
      <c r="D391" s="4">
        <v>0</v>
      </c>
      <c r="E391" s="12">
        <f t="shared" si="65"/>
        <v>0</v>
      </c>
      <c r="F391" s="12">
        <f t="shared" si="66"/>
        <v>0</v>
      </c>
      <c r="G391" s="16">
        <f t="shared" si="68"/>
        <v>25.564773312619504</v>
      </c>
      <c r="H391" s="14">
        <f t="shared" si="69"/>
        <v>0</v>
      </c>
      <c r="I391" s="14">
        <f t="shared" si="70"/>
        <v>10.110469017546736</v>
      </c>
      <c r="J391" s="14">
        <f t="shared" si="71"/>
        <v>4.3158142707698284</v>
      </c>
      <c r="K391" s="14">
        <f t="shared" si="72"/>
        <v>9.511037799963912</v>
      </c>
      <c r="L391" s="14">
        <f t="shared" si="73"/>
        <v>647.65433697645824</v>
      </c>
      <c r="M391" s="14">
        <f t="shared" si="67"/>
        <v>0.42561182524828284</v>
      </c>
      <c r="N391" s="14">
        <f t="shared" si="74"/>
        <v>10.891524833610571</v>
      </c>
      <c r="O391" s="4">
        <v>11.95</v>
      </c>
      <c r="P391" s="14">
        <f t="shared" si="77"/>
        <v>1.1203696778631274</v>
      </c>
      <c r="Q391" s="14">
        <f t="shared" si="75"/>
        <v>29.336858217457952</v>
      </c>
    </row>
    <row r="392" spans="1:17" x14ac:dyDescent="0.25">
      <c r="A392" s="5" t="s">
        <v>449</v>
      </c>
      <c r="B392" s="6">
        <f t="shared" si="76"/>
        <v>12</v>
      </c>
      <c r="C392" s="58">
        <v>17.843166350000001</v>
      </c>
      <c r="D392" s="4">
        <v>0</v>
      </c>
      <c r="E392" s="12">
        <f t="shared" si="65"/>
        <v>0</v>
      </c>
      <c r="F392" s="12">
        <f t="shared" si="66"/>
        <v>0</v>
      </c>
      <c r="G392" s="16">
        <f t="shared" si="68"/>
        <v>22.626555389994525</v>
      </c>
      <c r="H392" s="14">
        <f t="shared" si="69"/>
        <v>0</v>
      </c>
      <c r="I392" s="14">
        <f t="shared" si="70"/>
        <v>8.0452537550785461</v>
      </c>
      <c r="J392" s="14">
        <f t="shared" si="71"/>
        <v>2.9382179226249803</v>
      </c>
      <c r="K392" s="14">
        <f t="shared" si="72"/>
        <v>8.750597111290972</v>
      </c>
      <c r="L392" s="14">
        <f t="shared" si="73"/>
        <v>647.98916583988296</v>
      </c>
      <c r="M392" s="14">
        <f t="shared" si="67"/>
        <v>0.39653490277961034</v>
      </c>
      <c r="N392" s="14">
        <f t="shared" si="74"/>
        <v>10.147438310714334</v>
      </c>
      <c r="O392" s="4">
        <v>8.85</v>
      </c>
      <c r="P392" s="14">
        <f t="shared" si="77"/>
        <v>1.6833461701092645</v>
      </c>
      <c r="Q392" s="14">
        <f t="shared" si="75"/>
        <v>5.3654819818257442</v>
      </c>
    </row>
    <row r="393" spans="1:17" x14ac:dyDescent="0.25">
      <c r="A393" s="5" t="s">
        <v>450</v>
      </c>
      <c r="B393" s="6">
        <f t="shared" si="76"/>
        <v>12</v>
      </c>
      <c r="C393" s="58">
        <v>18.868616100000001</v>
      </c>
      <c r="D393" s="4">
        <v>0</v>
      </c>
      <c r="E393" s="12">
        <f t="shared" si="65"/>
        <v>0</v>
      </c>
      <c r="F393" s="12">
        <f t="shared" si="66"/>
        <v>0</v>
      </c>
      <c r="G393" s="16">
        <f t="shared" si="68"/>
        <v>19.568635433359802</v>
      </c>
      <c r="H393" s="14">
        <f t="shared" si="69"/>
        <v>0</v>
      </c>
      <c r="I393" s="14">
        <f t="shared" si="70"/>
        <v>9.460309818075979</v>
      </c>
      <c r="J393" s="14">
        <f t="shared" si="71"/>
        <v>3.057919956634723</v>
      </c>
      <c r="K393" s="14">
        <f t="shared" si="72"/>
        <v>8.0570518527323571</v>
      </c>
      <c r="L393" s="14">
        <f t="shared" si="73"/>
        <v>648.28617619566194</v>
      </c>
      <c r="M393" s="14">
        <f t="shared" si="67"/>
        <v>0.37001408366871225</v>
      </c>
      <c r="N393" s="14">
        <f t="shared" si="74"/>
        <v>9.4687631827722551</v>
      </c>
      <c r="O393" s="4">
        <v>7.4</v>
      </c>
      <c r="P393" s="14">
        <f t="shared" si="77"/>
        <v>4.2797811063939895</v>
      </c>
      <c r="Q393" s="14">
        <f t="shared" si="75"/>
        <v>0.75056406515906637</v>
      </c>
    </row>
    <row r="394" spans="1:17" x14ac:dyDescent="0.25">
      <c r="A394" s="5" t="s">
        <v>451</v>
      </c>
      <c r="B394" s="6">
        <f t="shared" si="76"/>
        <v>1</v>
      </c>
      <c r="C394" s="58">
        <v>17.61058426</v>
      </c>
      <c r="D394" s="4">
        <v>1.2</v>
      </c>
      <c r="E394" s="12">
        <f t="shared" si="65"/>
        <v>0</v>
      </c>
      <c r="F394" s="12">
        <f t="shared" si="66"/>
        <v>1.2</v>
      </c>
      <c r="G394" s="16">
        <f t="shared" si="68"/>
        <v>17.236830406705458</v>
      </c>
      <c r="H394" s="14">
        <f t="shared" si="69"/>
        <v>0.24129460358288043</v>
      </c>
      <c r="I394" s="14">
        <f t="shared" si="70"/>
        <v>11.770649230612729</v>
      </c>
      <c r="J394" s="14">
        <f t="shared" si="71"/>
        <v>3.2905104230714644</v>
      </c>
      <c r="K394" s="14">
        <f t="shared" si="72"/>
        <v>7.6658118841468967</v>
      </c>
      <c r="L394" s="14">
        <f t="shared" si="73"/>
        <v>648.54869668416154</v>
      </c>
      <c r="M394" s="14">
        <f t="shared" si="67"/>
        <v>0.35507339780159641</v>
      </c>
      <c r="N394" s="14">
        <f t="shared" si="74"/>
        <v>9.0864268812422413</v>
      </c>
      <c r="O394" s="4">
        <v>7.12</v>
      </c>
      <c r="P394" s="14">
        <f t="shared" si="77"/>
        <v>3.8668346792720873</v>
      </c>
      <c r="Q394" s="14">
        <f t="shared" si="75"/>
        <v>0.34380750194067239</v>
      </c>
    </row>
    <row r="395" spans="1:17" x14ac:dyDescent="0.25">
      <c r="A395" s="5" t="s">
        <v>452</v>
      </c>
      <c r="B395" s="6">
        <f t="shared" si="76"/>
        <v>1</v>
      </c>
      <c r="C395" s="58">
        <v>17.11244774</v>
      </c>
      <c r="D395" s="4">
        <v>0</v>
      </c>
      <c r="E395" s="12">
        <f t="shared" si="65"/>
        <v>0</v>
      </c>
      <c r="F395" s="12">
        <f t="shared" si="66"/>
        <v>0</v>
      </c>
      <c r="G395" s="16">
        <f t="shared" si="68"/>
        <v>14.582628773493443</v>
      </c>
      <c r="H395" s="14">
        <f t="shared" si="69"/>
        <v>0</v>
      </c>
      <c r="I395" s="14">
        <f t="shared" si="70"/>
        <v>10.778893793308786</v>
      </c>
      <c r="J395" s="14">
        <f t="shared" si="71"/>
        <v>2.654201633212014</v>
      </c>
      <c r="K395" s="14">
        <f t="shared" si="72"/>
        <v>7.0676944155952954</v>
      </c>
      <c r="L395" s="14">
        <f t="shared" si="73"/>
        <v>648.79174075491164</v>
      </c>
      <c r="M395" s="14">
        <f t="shared" si="67"/>
        <v>0.33219891219785858</v>
      </c>
      <c r="N395" s="14">
        <f t="shared" si="74"/>
        <v>8.5010624406188118</v>
      </c>
      <c r="O395" s="4">
        <v>8.86</v>
      </c>
      <c r="P395" s="14">
        <f t="shared" si="77"/>
        <v>0.12883617153452362</v>
      </c>
      <c r="Q395" s="14">
        <f t="shared" si="75"/>
        <v>5.4119090019406864</v>
      </c>
    </row>
    <row r="396" spans="1:17" x14ac:dyDescent="0.25">
      <c r="A396" s="5" t="s">
        <v>453</v>
      </c>
      <c r="B396" s="6">
        <f t="shared" si="76"/>
        <v>1</v>
      </c>
      <c r="C396" s="58">
        <v>16.82735443</v>
      </c>
      <c r="D396" s="4">
        <v>19.2</v>
      </c>
      <c r="E396" s="12">
        <f t="shared" si="65"/>
        <v>0</v>
      </c>
      <c r="F396" s="12">
        <f t="shared" si="66"/>
        <v>19.2</v>
      </c>
      <c r="G396" s="16">
        <f t="shared" si="68"/>
        <v>28.353416892994883</v>
      </c>
      <c r="H396" s="14">
        <f t="shared" si="69"/>
        <v>3.3019602978153682</v>
      </c>
      <c r="I396" s="14">
        <f t="shared" si="70"/>
        <v>10.211292686023018</v>
      </c>
      <c r="J396" s="14">
        <f t="shared" si="71"/>
        <v>2.1272515826831895</v>
      </c>
      <c r="K396" s="14">
        <f t="shared" si="72"/>
        <v>9.824153215984273</v>
      </c>
      <c r="L396" s="14">
        <f t="shared" si="73"/>
        <v>649.00504334014022</v>
      </c>
      <c r="M396" s="14">
        <f t="shared" si="67"/>
        <v>0.43789994740475213</v>
      </c>
      <c r="N396" s="14">
        <f t="shared" si="74"/>
        <v>11.205981292961887</v>
      </c>
      <c r="O396" s="4">
        <v>14.43</v>
      </c>
      <c r="P396" s="14">
        <f t="shared" si="77"/>
        <v>10.394296623331703</v>
      </c>
      <c r="Q396" s="14">
        <f t="shared" si="75"/>
        <v>62.352359205963722</v>
      </c>
    </row>
    <row r="397" spans="1:17" x14ac:dyDescent="0.25">
      <c r="A397" s="5" t="s">
        <v>454</v>
      </c>
      <c r="B397" s="6">
        <f t="shared" si="76"/>
        <v>1</v>
      </c>
      <c r="C397" s="58">
        <v>17.746006009999999</v>
      </c>
      <c r="D397" s="4">
        <v>10.9</v>
      </c>
      <c r="E397" s="12">
        <f t="shared" si="65"/>
        <v>0</v>
      </c>
      <c r="F397" s="12">
        <f t="shared" si="66"/>
        <v>10.9</v>
      </c>
      <c r="G397" s="16">
        <f t="shared" si="68"/>
        <v>31.707196586203256</v>
      </c>
      <c r="H397" s="14">
        <f t="shared" si="69"/>
        <v>2.6693214909779241</v>
      </c>
      <c r="I397" s="14">
        <f t="shared" si="70"/>
        <v>12.040264590056189</v>
      </c>
      <c r="J397" s="14">
        <f t="shared" si="71"/>
        <v>4.876898815813707</v>
      </c>
      <c r="K397" s="14">
        <f t="shared" si="72"/>
        <v>11.705489476364939</v>
      </c>
      <c r="L397" s="14">
        <f t="shared" si="73"/>
        <v>649.35512862333269</v>
      </c>
      <c r="M397" s="14">
        <f t="shared" si="67"/>
        <v>0.51008629161536156</v>
      </c>
      <c r="N397" s="14">
        <f t="shared" si="74"/>
        <v>13.053249893073662</v>
      </c>
      <c r="O397" s="4">
        <v>16</v>
      </c>
      <c r="P397" s="14">
        <f t="shared" si="77"/>
        <v>8.6833361926703834</v>
      </c>
      <c r="Q397" s="14">
        <f t="shared" si="75"/>
        <v>89.611801364009736</v>
      </c>
    </row>
    <row r="398" spans="1:17" x14ac:dyDescent="0.25">
      <c r="A398" s="5" t="s">
        <v>455</v>
      </c>
      <c r="B398" s="6">
        <f t="shared" si="76"/>
        <v>1</v>
      </c>
      <c r="C398" s="58">
        <v>17.784898760000001</v>
      </c>
      <c r="D398" s="4">
        <v>4.3</v>
      </c>
      <c r="E398" s="12">
        <f t="shared" si="65"/>
        <v>0</v>
      </c>
      <c r="F398" s="12">
        <f t="shared" si="66"/>
        <v>4.3</v>
      </c>
      <c r="G398" s="16">
        <f t="shared" si="68"/>
        <v>29.400848310802235</v>
      </c>
      <c r="H398" s="14">
        <f t="shared" si="69"/>
        <v>1.1175122324676947</v>
      </c>
      <c r="I398" s="14">
        <f t="shared" si="70"/>
        <v>12.117697371503741</v>
      </c>
      <c r="J398" s="14">
        <f t="shared" si="71"/>
        <v>5.4888360429333254</v>
      </c>
      <c r="K398" s="14">
        <f t="shared" si="72"/>
        <v>11.869516656615531</v>
      </c>
      <c r="L398" s="14">
        <f t="shared" si="73"/>
        <v>649.79852738393447</v>
      </c>
      <c r="M398" s="14">
        <f t="shared" si="67"/>
        <v>0.51646748992010516</v>
      </c>
      <c r="N398" s="14">
        <f t="shared" si="74"/>
        <v>13.216546530247136</v>
      </c>
      <c r="O398" s="4">
        <v>16.47</v>
      </c>
      <c r="P398" s="14">
        <f t="shared" si="77"/>
        <v>10.584959479846942</v>
      </c>
      <c r="Q398" s="14">
        <f t="shared" si="75"/>
        <v>98.731071309412016</v>
      </c>
    </row>
    <row r="399" spans="1:17" x14ac:dyDescent="0.25">
      <c r="A399" s="5" t="s">
        <v>456</v>
      </c>
      <c r="B399" s="6">
        <f t="shared" si="76"/>
        <v>1</v>
      </c>
      <c r="C399" s="58">
        <v>16.386520390000001</v>
      </c>
      <c r="D399" s="4">
        <v>7.7</v>
      </c>
      <c r="E399" s="12">
        <f t="shared" si="65"/>
        <v>0</v>
      </c>
      <c r="F399" s="12">
        <f t="shared" si="66"/>
        <v>7.7</v>
      </c>
      <c r="G399" s="16">
        <f t="shared" si="68"/>
        <v>31.258227890362519</v>
      </c>
      <c r="H399" s="14">
        <f t="shared" si="69"/>
        <v>1.9223826795111094</v>
      </c>
      <c r="I399" s="14">
        <f t="shared" si="70"/>
        <v>9.3336225322293096</v>
      </c>
      <c r="J399" s="14">
        <f t="shared" si="71"/>
        <v>3.9202377409286067</v>
      </c>
      <c r="K399" s="14">
        <f t="shared" si="72"/>
        <v>12.82398492875174</v>
      </c>
      <c r="L399" s="14">
        <f t="shared" si="73"/>
        <v>650.24997430138933</v>
      </c>
      <c r="M399" s="14">
        <f t="shared" si="67"/>
        <v>0.5531482174029192</v>
      </c>
      <c r="N399" s="14">
        <f t="shared" si="74"/>
        <v>14.155216535623314</v>
      </c>
      <c r="O399" s="4">
        <v>17.329999999999998</v>
      </c>
      <c r="P399" s="14">
        <f t="shared" si="77"/>
        <v>10.079250045679622</v>
      </c>
      <c r="Q399" s="14">
        <f t="shared" si="75"/>
        <v>116.56119503929708</v>
      </c>
    </row>
    <row r="400" spans="1:17" x14ac:dyDescent="0.25">
      <c r="A400" s="5" t="s">
        <v>457</v>
      </c>
      <c r="B400" s="6">
        <f t="shared" si="76"/>
        <v>1</v>
      </c>
      <c r="C400" s="58">
        <v>17.66108131</v>
      </c>
      <c r="D400" s="4">
        <v>5.8</v>
      </c>
      <c r="E400" s="12">
        <f t="shared" si="65"/>
        <v>0</v>
      </c>
      <c r="F400" s="12">
        <f t="shared" si="66"/>
        <v>5.8</v>
      </c>
      <c r="G400" s="16">
        <f t="shared" si="68"/>
        <v>30.261233602824621</v>
      </c>
      <c r="H400" s="14">
        <f t="shared" si="69"/>
        <v>1.4959583251882016</v>
      </c>
      <c r="I400" s="14">
        <f t="shared" si="70"/>
        <v>11.871185372603099</v>
      </c>
      <c r="J400" s="14">
        <f t="shared" si="71"/>
        <v>5.3010359623496974</v>
      </c>
      <c r="K400" s="14">
        <f t="shared" si="72"/>
        <v>13.268064947018248</v>
      </c>
      <c r="L400" s="14">
        <f t="shared" si="73"/>
        <v>650.74870439090807</v>
      </c>
      <c r="M400" s="14">
        <f t="shared" si="67"/>
        <v>0.57027564667747865</v>
      </c>
      <c r="N400" s="14">
        <f t="shared" si="74"/>
        <v>14.593512208378533</v>
      </c>
      <c r="O400" s="4">
        <v>21.07</v>
      </c>
      <c r="P400" s="14">
        <f t="shared" si="77"/>
        <v>41.944894115021917</v>
      </c>
      <c r="Q400" s="14">
        <f t="shared" si="75"/>
        <v>211.30550056228566</v>
      </c>
    </row>
    <row r="401" spans="1:17" x14ac:dyDescent="0.25">
      <c r="A401" s="5" t="s">
        <v>458</v>
      </c>
      <c r="B401" s="6">
        <f t="shared" si="76"/>
        <v>1</v>
      </c>
      <c r="C401" s="58">
        <v>14.368373869999999</v>
      </c>
      <c r="D401" s="4">
        <v>3.7</v>
      </c>
      <c r="E401" s="12">
        <f t="shared" si="65"/>
        <v>0</v>
      </c>
      <c r="F401" s="12">
        <f t="shared" si="66"/>
        <v>3.7</v>
      </c>
      <c r="G401" s="16">
        <f t="shared" si="68"/>
        <v>30.725251212613973</v>
      </c>
      <c r="H401" s="14">
        <f t="shared" si="69"/>
        <v>0.93801504986316453</v>
      </c>
      <c r="I401" s="14">
        <f t="shared" si="70"/>
        <v>5.3156320735373122</v>
      </c>
      <c r="J401" s="14">
        <f t="shared" si="71"/>
        <v>2.2979673403474812</v>
      </c>
      <c r="K401" s="14">
        <f t="shared" si="72"/>
        <v>13.115136284505207</v>
      </c>
      <c r="L401" s="14">
        <f t="shared" si="73"/>
        <v>651.26937245660679</v>
      </c>
      <c r="M401" s="14">
        <f t="shared" si="67"/>
        <v>0.56452422042808648</v>
      </c>
      <c r="N401" s="14">
        <f t="shared" si="74"/>
        <v>14.446331613038188</v>
      </c>
      <c r="O401" s="4">
        <v>20.079999999999998</v>
      </c>
      <c r="P401" s="14">
        <f t="shared" si="77"/>
        <v>31.738219494252885</v>
      </c>
      <c r="Q401" s="14">
        <f t="shared" si="75"/>
        <v>183.50362557090628</v>
      </c>
    </row>
    <row r="402" spans="1:17" x14ac:dyDescent="0.25">
      <c r="A402" s="5" t="s">
        <v>459</v>
      </c>
      <c r="B402" s="6">
        <f t="shared" si="76"/>
        <v>1</v>
      </c>
      <c r="C402" s="58">
        <v>17.15421486</v>
      </c>
      <c r="D402" s="4">
        <v>5.2</v>
      </c>
      <c r="E402" s="12">
        <f t="shared" si="65"/>
        <v>0</v>
      </c>
      <c r="F402" s="12">
        <f t="shared" si="66"/>
        <v>5.2</v>
      </c>
      <c r="G402" s="16">
        <f t="shared" si="68"/>
        <v>29.828545999173699</v>
      </c>
      <c r="H402" s="14">
        <f t="shared" si="69"/>
        <v>1.3289986232833317</v>
      </c>
      <c r="I402" s="14">
        <f t="shared" si="70"/>
        <v>10.862049247079824</v>
      </c>
      <c r="J402" s="14">
        <f t="shared" si="71"/>
        <v>4.7677065901569424</v>
      </c>
      <c r="K402" s="14">
        <f t="shared" si="72"/>
        <v>13.366644221806109</v>
      </c>
      <c r="L402" s="14">
        <f t="shared" si="73"/>
        <v>651.7823389221611</v>
      </c>
      <c r="M402" s="14">
        <f t="shared" si="67"/>
        <v>0.57427332702320477</v>
      </c>
      <c r="N402" s="14">
        <f t="shared" si="74"/>
        <v>14.695813958892428</v>
      </c>
      <c r="O402" s="4">
        <v>16.32</v>
      </c>
      <c r="P402" s="14">
        <f t="shared" si="77"/>
        <v>2.6379802961286889</v>
      </c>
      <c r="Q402" s="14">
        <f t="shared" si="75"/>
        <v>95.772666007687903</v>
      </c>
    </row>
    <row r="403" spans="1:17" x14ac:dyDescent="0.25">
      <c r="A403" s="5" t="s">
        <v>460</v>
      </c>
      <c r="B403" s="6">
        <f t="shared" si="76"/>
        <v>1</v>
      </c>
      <c r="C403" s="58">
        <v>15.742555619999999</v>
      </c>
      <c r="D403" s="4">
        <v>3.9</v>
      </c>
      <c r="E403" s="12">
        <f t="shared" si="65"/>
        <v>0</v>
      </c>
      <c r="F403" s="12">
        <f t="shared" si="66"/>
        <v>3.9</v>
      </c>
      <c r="G403" s="16">
        <f t="shared" si="68"/>
        <v>29.316428908585518</v>
      </c>
      <c r="H403" s="14">
        <f t="shared" si="69"/>
        <v>0.98117823711586727</v>
      </c>
      <c r="I403" s="14">
        <f t="shared" si="70"/>
        <v>8.0515331120846358</v>
      </c>
      <c r="J403" s="14">
        <f t="shared" si="71"/>
        <v>3.4309388534723104</v>
      </c>
      <c r="K403" s="14">
        <f t="shared" si="72"/>
        <v>13.248206797391129</v>
      </c>
      <c r="L403" s="14">
        <f t="shared" si="73"/>
        <v>652.30768125666873</v>
      </c>
      <c r="M403" s="14">
        <f t="shared" si="67"/>
        <v>0.56984495021004056</v>
      </c>
      <c r="N403" s="14">
        <f t="shared" si="74"/>
        <v>14.582490566138885</v>
      </c>
      <c r="O403" s="4">
        <v>14.85</v>
      </c>
      <c r="P403" s="14">
        <f t="shared" si="77"/>
        <v>7.1561297204694035E-2</v>
      </c>
      <c r="Q403" s="14">
        <f t="shared" si="75"/>
        <v>69.161694050791297</v>
      </c>
    </row>
    <row r="404" spans="1:17" x14ac:dyDescent="0.25">
      <c r="A404" s="5" t="s">
        <v>461</v>
      </c>
      <c r="B404" s="6">
        <f t="shared" si="76"/>
        <v>1</v>
      </c>
      <c r="C404" s="58">
        <v>17.023429870000001</v>
      </c>
      <c r="D404" s="4">
        <v>1.4</v>
      </c>
      <c r="E404" s="12">
        <f t="shared" si="65"/>
        <v>0</v>
      </c>
      <c r="F404" s="12">
        <f t="shared" si="66"/>
        <v>1.4</v>
      </c>
      <c r="G404" s="16">
        <f t="shared" si="68"/>
        <v>25.927392639174524</v>
      </c>
      <c r="H404" s="14">
        <f t="shared" si="69"/>
        <v>0.34899027319892378</v>
      </c>
      <c r="I404" s="14">
        <f t="shared" si="70"/>
        <v>10.60166535683576</v>
      </c>
      <c r="J404" s="14">
        <f t="shared" si="71"/>
        <v>4.4400459962120662</v>
      </c>
      <c r="K404" s="14">
        <f t="shared" si="72"/>
        <v>12.50800026560632</v>
      </c>
      <c r="L404" s="14">
        <f t="shared" si="73"/>
        <v>652.82703311144246</v>
      </c>
      <c r="M404" s="14">
        <f t="shared" si="67"/>
        <v>0.54158272368045157</v>
      </c>
      <c r="N404" s="14">
        <f t="shared" si="74"/>
        <v>13.859252338628222</v>
      </c>
      <c r="O404" s="4">
        <v>13.85</v>
      </c>
      <c r="P404" s="14">
        <f t="shared" si="77"/>
        <v>8.560577009129617E-5</v>
      </c>
      <c r="Q404" s="14">
        <f t="shared" si="75"/>
        <v>53.528992039297052</v>
      </c>
    </row>
    <row r="405" spans="1:17" x14ac:dyDescent="0.25">
      <c r="A405" s="5" t="s">
        <v>462</v>
      </c>
      <c r="B405" s="6">
        <f t="shared" si="76"/>
        <v>1</v>
      </c>
      <c r="C405" s="58">
        <v>17.691558839999999</v>
      </c>
      <c r="D405" s="4">
        <v>12.3</v>
      </c>
      <c r="E405" s="12">
        <f t="shared" si="65"/>
        <v>0</v>
      </c>
      <c r="F405" s="12">
        <f t="shared" si="66"/>
        <v>12.3</v>
      </c>
      <c r="G405" s="16">
        <f t="shared" si="68"/>
        <v>30.935632184190318</v>
      </c>
      <c r="H405" s="14">
        <f t="shared" si="69"/>
        <v>2.8722979765160326</v>
      </c>
      <c r="I405" s="14">
        <f t="shared" si="70"/>
        <v>11.931864031724688</v>
      </c>
      <c r="J405" s="14">
        <f t="shared" si="71"/>
        <v>4.4194624784681773</v>
      </c>
      <c r="K405" s="14">
        <f t="shared" si="72"/>
        <v>14.356216882767379</v>
      </c>
      <c r="L405" s="14">
        <f t="shared" si="73"/>
        <v>653.30953174711703</v>
      </c>
      <c r="M405" s="14">
        <f t="shared" si="67"/>
        <v>0.61252765188841929</v>
      </c>
      <c r="N405" s="14">
        <f t="shared" si="74"/>
        <v>15.67475275839462</v>
      </c>
      <c r="O405" s="4">
        <v>12.57</v>
      </c>
      <c r="P405" s="14">
        <f t="shared" si="77"/>
        <v>9.6394896907589978</v>
      </c>
      <c r="Q405" s="14">
        <f t="shared" si="75"/>
        <v>36.437533464584405</v>
      </c>
    </row>
    <row r="406" spans="1:17" x14ac:dyDescent="0.25">
      <c r="A406" s="5" t="s">
        <v>463</v>
      </c>
      <c r="B406" s="6">
        <f t="shared" si="76"/>
        <v>1</v>
      </c>
      <c r="C406" s="58">
        <v>18.310094830000001</v>
      </c>
      <c r="D406" s="4">
        <v>3.6</v>
      </c>
      <c r="E406" s="12">
        <f t="shared" si="65"/>
        <v>0</v>
      </c>
      <c r="F406" s="12">
        <f t="shared" si="66"/>
        <v>3.6</v>
      </c>
      <c r="G406" s="16">
        <f t="shared" si="68"/>
        <v>27.794839009641851</v>
      </c>
      <c r="H406" s="14">
        <f t="shared" si="69"/>
        <v>0.92341951819813173</v>
      </c>
      <c r="I406" s="14">
        <f t="shared" si="70"/>
        <v>13.163326505607708</v>
      </c>
      <c r="J406" s="14">
        <f t="shared" si="71"/>
        <v>5.8173736563503375</v>
      </c>
      <c r="K406" s="14">
        <f t="shared" si="72"/>
        <v>14.092968731604959</v>
      </c>
      <c r="L406" s="14">
        <f t="shared" si="73"/>
        <v>653.88367176458917</v>
      </c>
      <c r="M406" s="14">
        <f t="shared" si="67"/>
        <v>0.60255898446331113</v>
      </c>
      <c r="N406" s="14">
        <f t="shared" si="74"/>
        <v>15.419651789911816</v>
      </c>
      <c r="O406" s="4">
        <v>11.7</v>
      </c>
      <c r="P406" s="14">
        <f t="shared" si="77"/>
        <v>13.835809438194181</v>
      </c>
      <c r="Q406" s="14">
        <f t="shared" si="75"/>
        <v>26.691182714584386</v>
      </c>
    </row>
    <row r="407" spans="1:17" x14ac:dyDescent="0.25">
      <c r="A407" s="5" t="s">
        <v>464</v>
      </c>
      <c r="B407" s="6">
        <f t="shared" si="76"/>
        <v>1</v>
      </c>
      <c r="C407" s="58">
        <v>18.155456539999999</v>
      </c>
      <c r="D407" s="4">
        <v>8</v>
      </c>
      <c r="E407" s="12">
        <f t="shared" si="65"/>
        <v>0</v>
      </c>
      <c r="F407" s="12">
        <f t="shared" si="66"/>
        <v>8</v>
      </c>
      <c r="G407" s="16">
        <f t="shared" si="68"/>
        <v>28.751809010058867</v>
      </c>
      <c r="H407" s="14">
        <f t="shared" si="69"/>
        <v>1.9385226172184569</v>
      </c>
      <c r="I407" s="14">
        <f t="shared" si="70"/>
        <v>12.855452341065655</v>
      </c>
      <c r="J407" s="14">
        <f t="shared" si="71"/>
        <v>5.1045073823645204</v>
      </c>
      <c r="K407" s="14">
        <f t="shared" si="72"/>
        <v>14.867981433329957</v>
      </c>
      <c r="L407" s="14">
        <f t="shared" si="73"/>
        <v>654.44462269561939</v>
      </c>
      <c r="M407" s="14">
        <f t="shared" si="67"/>
        <v>0.63238434353075079</v>
      </c>
      <c r="N407" s="14">
        <f t="shared" si="74"/>
        <v>16.182891013269561</v>
      </c>
      <c r="O407" s="4">
        <v>13.22</v>
      </c>
      <c r="P407" s="14">
        <f t="shared" si="77"/>
        <v>8.7787231565135233</v>
      </c>
      <c r="Q407" s="14">
        <f t="shared" si="75"/>
        <v>44.707289772055681</v>
      </c>
    </row>
    <row r="408" spans="1:17" x14ac:dyDescent="0.25">
      <c r="A408" s="5" t="s">
        <v>465</v>
      </c>
      <c r="B408" s="6">
        <f t="shared" si="76"/>
        <v>1</v>
      </c>
      <c r="C408" s="58">
        <v>18.33146477</v>
      </c>
      <c r="D408" s="4">
        <v>6.3</v>
      </c>
      <c r="E408" s="12">
        <f t="shared" si="65"/>
        <v>0</v>
      </c>
      <c r="F408" s="12">
        <f t="shared" si="66"/>
        <v>6.3</v>
      </c>
      <c r="G408" s="16">
        <f t="shared" si="68"/>
        <v>28.073318055014614</v>
      </c>
      <c r="H408" s="14">
        <f t="shared" si="69"/>
        <v>1.5543047708277331</v>
      </c>
      <c r="I408" s="14">
        <f t="shared" si="70"/>
        <v>13.205872581510473</v>
      </c>
      <c r="J408" s="14">
        <f t="shared" si="71"/>
        <v>5.4241861842165191</v>
      </c>
      <c r="K408" s="14">
        <f t="shared" si="72"/>
        <v>15.190598968857167</v>
      </c>
      <c r="L408" s="14">
        <f t="shared" si="73"/>
        <v>655.04392558738925</v>
      </c>
      <c r="M408" s="14">
        <f t="shared" si="67"/>
        <v>0.64487740205590827</v>
      </c>
      <c r="N408" s="14">
        <f t="shared" si="74"/>
        <v>16.502591851222373</v>
      </c>
      <c r="O408" s="4">
        <v>15.7</v>
      </c>
      <c r="P408" s="14">
        <f t="shared" si="77"/>
        <v>0.6441536796485573</v>
      </c>
      <c r="Q408" s="14">
        <f t="shared" si="75"/>
        <v>84.021990760561451</v>
      </c>
    </row>
    <row r="409" spans="1:17" x14ac:dyDescent="0.25">
      <c r="A409" s="5" t="s">
        <v>466</v>
      </c>
      <c r="B409" s="6">
        <f t="shared" si="76"/>
        <v>1</v>
      </c>
      <c r="C409" s="58">
        <v>17.710435870000001</v>
      </c>
      <c r="D409" s="4">
        <v>3.4</v>
      </c>
      <c r="E409" s="12">
        <f t="shared" si="65"/>
        <v>0</v>
      </c>
      <c r="F409" s="12">
        <f t="shared" si="66"/>
        <v>3.4</v>
      </c>
      <c r="G409" s="16">
        <f t="shared" si="68"/>
        <v>25.844748855926284</v>
      </c>
      <c r="H409" s="14">
        <f t="shared" si="69"/>
        <v>0.82824975617713459</v>
      </c>
      <c r="I409" s="14">
        <f t="shared" si="70"/>
        <v>11.969446895841239</v>
      </c>
      <c r="J409" s="14">
        <f t="shared" si="71"/>
        <v>4.8003194429111957</v>
      </c>
      <c r="K409" s="14">
        <f t="shared" si="72"/>
        <v>14.758781053069901</v>
      </c>
      <c r="L409" s="14">
        <f t="shared" si="73"/>
        <v>655.65911585729771</v>
      </c>
      <c r="M409" s="14">
        <f t="shared" si="67"/>
        <v>0.62845611130222001</v>
      </c>
      <c r="N409" s="14">
        <f t="shared" si="74"/>
        <v>16.08236645936584</v>
      </c>
      <c r="O409" s="4">
        <v>15.13</v>
      </c>
      <c r="P409" s="14">
        <f t="shared" si="77"/>
        <v>0.90700187292502465</v>
      </c>
      <c r="Q409" s="14">
        <f t="shared" si="75"/>
        <v>73.897250614009707</v>
      </c>
    </row>
    <row r="410" spans="1:17" x14ac:dyDescent="0.25">
      <c r="A410" s="5" t="s">
        <v>467</v>
      </c>
      <c r="B410" s="6">
        <f t="shared" si="76"/>
        <v>1</v>
      </c>
      <c r="C410" s="58">
        <v>17.316720960000001</v>
      </c>
      <c r="D410" s="4">
        <v>4.7</v>
      </c>
      <c r="E410" s="12">
        <f t="shared" si="65"/>
        <v>0</v>
      </c>
      <c r="F410" s="12">
        <f t="shared" si="66"/>
        <v>4.7</v>
      </c>
      <c r="G410" s="16">
        <f t="shared" si="68"/>
        <v>25.319223215161461</v>
      </c>
      <c r="H410" s="14">
        <f t="shared" si="69"/>
        <v>1.0956836720829808</v>
      </c>
      <c r="I410" s="14">
        <f t="shared" si="70"/>
        <v>11.185587678411983</v>
      </c>
      <c r="J410" s="14">
        <f t="shared" si="71"/>
        <v>4.1298419686818413</v>
      </c>
      <c r="K410" s="14">
        <f t="shared" si="72"/>
        <v>14.632383770151343</v>
      </c>
      <c r="L410" s="14">
        <f t="shared" si="73"/>
        <v>656.25274070099704</v>
      </c>
      <c r="M410" s="14">
        <f t="shared" si="67"/>
        <v>0.62373710545948058</v>
      </c>
      <c r="N410" s="14">
        <f t="shared" si="74"/>
        <v>15.961605789015181</v>
      </c>
      <c r="O410" s="4">
        <v>12.77</v>
      </c>
      <c r="P410" s="14">
        <f t="shared" si="77"/>
        <v>10.186347512475217</v>
      </c>
      <c r="Q410" s="14">
        <f t="shared" si="75"/>
        <v>38.892073866883251</v>
      </c>
    </row>
    <row r="411" spans="1:17" x14ac:dyDescent="0.25">
      <c r="A411" s="5" t="s">
        <v>468</v>
      </c>
      <c r="B411" s="6">
        <f t="shared" si="76"/>
        <v>1</v>
      </c>
      <c r="C411" s="58">
        <v>16.597394940000001</v>
      </c>
      <c r="D411" s="4">
        <v>3.8</v>
      </c>
      <c r="E411" s="12">
        <f t="shared" ref="E411:E474" si="78">IF(C411&gt;$C$9,MAX(E410-$C$10*(C411-$C$9),0),E410+D411)</f>
        <v>0</v>
      </c>
      <c r="F411" s="12">
        <f t="shared" ref="F411:F474" si="79">IF(C411&gt;$C$9,D411+MIN(E410,$C$10*(C411-$C$9)),0)</f>
        <v>3.8</v>
      </c>
      <c r="G411" s="16">
        <f t="shared" si="68"/>
        <v>24.715112695655236</v>
      </c>
      <c r="H411" s="14">
        <f t="shared" si="69"/>
        <v>0.87625037267771433</v>
      </c>
      <c r="I411" s="14">
        <f t="shared" si="70"/>
        <v>9.7534592098363273</v>
      </c>
      <c r="J411" s="14">
        <f t="shared" si="71"/>
        <v>3.527860146828512</v>
      </c>
      <c r="K411" s="14">
        <f t="shared" si="72"/>
        <v>14.297672267503378</v>
      </c>
      <c r="L411" s="14">
        <f t="shared" si="73"/>
        <v>656.83996547086315</v>
      </c>
      <c r="M411" s="14">
        <f t="shared" si="67"/>
        <v>0.61103200194156004</v>
      </c>
      <c r="N411" s="14">
        <f t="shared" si="74"/>
        <v>15.636478660796172</v>
      </c>
      <c r="O411" s="4">
        <v>13.6</v>
      </c>
      <c r="P411" s="14">
        <f t="shared" si="77"/>
        <v>4.1472453358781713</v>
      </c>
      <c r="Q411" s="14">
        <f t="shared" si="75"/>
        <v>49.93331653642349</v>
      </c>
    </row>
    <row r="412" spans="1:17" x14ac:dyDescent="0.25">
      <c r="A412" s="5" t="s">
        <v>469</v>
      </c>
      <c r="B412" s="6">
        <f t="shared" si="76"/>
        <v>1</v>
      </c>
      <c r="C412" s="58">
        <v>16.458806989999999</v>
      </c>
      <c r="D412" s="4">
        <v>2.7</v>
      </c>
      <c r="E412" s="12">
        <f t="shared" si="78"/>
        <v>0</v>
      </c>
      <c r="F412" s="12">
        <f t="shared" si="79"/>
        <v>2.7</v>
      </c>
      <c r="G412" s="16">
        <f t="shared" si="68"/>
        <v>23.454188425681181</v>
      </c>
      <c r="H412" s="14">
        <f t="shared" si="69"/>
        <v>0.61465766416568368</v>
      </c>
      <c r="I412" s="14">
        <f t="shared" si="70"/>
        <v>9.4775401646771638</v>
      </c>
      <c r="J412" s="14">
        <f t="shared" si="71"/>
        <v>3.3462666058083714</v>
      </c>
      <c r="K412" s="14">
        <f t="shared" si="72"/>
        <v>13.730812390750215</v>
      </c>
      <c r="L412" s="14">
        <f t="shared" si="73"/>
        <v>657.41045100984047</v>
      </c>
      <c r="M412" s="14">
        <f t="shared" si="67"/>
        <v>0.58942503940184854</v>
      </c>
      <c r="N412" s="14">
        <f t="shared" si="74"/>
        <v>15.083550487470916</v>
      </c>
      <c r="O412" s="4">
        <v>13.85</v>
      </c>
      <c r="P412" s="14">
        <f t="shared" si="77"/>
        <v>1.5216468051397349</v>
      </c>
      <c r="Q412" s="14">
        <f t="shared" si="75"/>
        <v>53.528992039297052</v>
      </c>
    </row>
    <row r="413" spans="1:17" x14ac:dyDescent="0.25">
      <c r="A413" s="5" t="s">
        <v>470</v>
      </c>
      <c r="B413" s="6">
        <f t="shared" si="76"/>
        <v>1</v>
      </c>
      <c r="C413" s="58">
        <v>16.52628326</v>
      </c>
      <c r="D413" s="4">
        <v>6.3</v>
      </c>
      <c r="E413" s="12">
        <f t="shared" si="78"/>
        <v>0</v>
      </c>
      <c r="F413" s="12">
        <f t="shared" si="79"/>
        <v>6.3</v>
      </c>
      <c r="G413" s="16">
        <f t="shared" si="68"/>
        <v>25.138802107170434</v>
      </c>
      <c r="H413" s="14">
        <f t="shared" si="69"/>
        <v>1.3948285389282489</v>
      </c>
      <c r="I413" s="14">
        <f t="shared" si="70"/>
        <v>9.6118807620328628</v>
      </c>
      <c r="J413" s="14">
        <f t="shared" si="71"/>
        <v>3.2205577795824993</v>
      </c>
      <c r="K413" s="14">
        <f t="shared" si="72"/>
        <v>13.993989651618501</v>
      </c>
      <c r="L413" s="14">
        <f t="shared" si="73"/>
        <v>657.95267724849862</v>
      </c>
      <c r="M413" s="14">
        <f t="shared" si="67"/>
        <v>0.59962763684448483</v>
      </c>
      <c r="N413" s="14">
        <f t="shared" si="74"/>
        <v>15.344637790082825</v>
      </c>
      <c r="O413" s="4">
        <v>15.33</v>
      </c>
      <c r="P413" s="14">
        <f t="shared" si="77"/>
        <v>2.1426489850883554E-4</v>
      </c>
      <c r="Q413" s="14">
        <f t="shared" si="75"/>
        <v>77.375791016308554</v>
      </c>
    </row>
    <row r="414" spans="1:17" x14ac:dyDescent="0.25">
      <c r="A414" s="5" t="s">
        <v>471</v>
      </c>
      <c r="B414" s="6">
        <f t="shared" si="76"/>
        <v>1</v>
      </c>
      <c r="C414" s="58">
        <v>16.490047449999999</v>
      </c>
      <c r="D414" s="4">
        <v>1.1000000000000001</v>
      </c>
      <c r="E414" s="12">
        <f t="shared" si="78"/>
        <v>0</v>
      </c>
      <c r="F414" s="12">
        <f t="shared" si="79"/>
        <v>1.1000000000000001</v>
      </c>
      <c r="G414" s="16">
        <f t="shared" si="68"/>
        <v>22.560144919619624</v>
      </c>
      <c r="H414" s="14">
        <f t="shared" si="69"/>
        <v>0.25268899487135493</v>
      </c>
      <c r="I414" s="14">
        <f t="shared" si="70"/>
        <v>9.539737764782604</v>
      </c>
      <c r="J414" s="14">
        <f t="shared" si="71"/>
        <v>3.4259681926794561</v>
      </c>
      <c r="K414" s="14">
        <f t="shared" si="72"/>
        <v>13.091875850731887</v>
      </c>
      <c r="L414" s="14">
        <f t="shared" si="73"/>
        <v>658.50785240741209</v>
      </c>
      <c r="M414" s="14">
        <f t="shared" si="67"/>
        <v>0.56516705425276836</v>
      </c>
      <c r="N414" s="14">
        <f t="shared" si="74"/>
        <v>14.462781909176748</v>
      </c>
      <c r="O414" s="4">
        <v>15.76</v>
      </c>
      <c r="P414" s="14">
        <f t="shared" si="77"/>
        <v>1.6827747751591229</v>
      </c>
      <c r="Q414" s="14">
        <f t="shared" si="75"/>
        <v>85.125552881251082</v>
      </c>
    </row>
    <row r="415" spans="1:17" x14ac:dyDescent="0.25">
      <c r="A415" s="5" t="s">
        <v>472</v>
      </c>
      <c r="B415" s="6">
        <f t="shared" si="76"/>
        <v>1</v>
      </c>
      <c r="C415" s="58">
        <v>17.894515989999999</v>
      </c>
      <c r="D415" s="4">
        <v>0</v>
      </c>
      <c r="E415" s="12">
        <f t="shared" si="78"/>
        <v>0</v>
      </c>
      <c r="F415" s="12">
        <f t="shared" si="79"/>
        <v>0</v>
      </c>
      <c r="G415" s="16">
        <f t="shared" si="68"/>
        <v>18.584419673197431</v>
      </c>
      <c r="H415" s="14">
        <f t="shared" si="69"/>
        <v>0</v>
      </c>
      <c r="I415" s="14">
        <f t="shared" si="70"/>
        <v>12.335937712273569</v>
      </c>
      <c r="J415" s="14">
        <f t="shared" si="71"/>
        <v>3.975725246422193</v>
      </c>
      <c r="K415" s="14">
        <f t="shared" si="72"/>
        <v>12.016431368674482</v>
      </c>
      <c r="L415" s="14">
        <f t="shared" si="73"/>
        <v>659.01812983521666</v>
      </c>
      <c r="M415" s="14">
        <f t="shared" ref="M415:M478" si="80">MAX(0,K415-$F$9)*$F$8+K415*$F$10+L415*$F$11</f>
        <v>0.52405314185064555</v>
      </c>
      <c r="N415" s="14">
        <f t="shared" si="74"/>
        <v>13.410665470275198</v>
      </c>
      <c r="O415" s="4">
        <v>13.45</v>
      </c>
      <c r="P415" s="14">
        <f t="shared" si="77"/>
        <v>1.5472052286712625E-3</v>
      </c>
      <c r="Q415" s="14">
        <f t="shared" si="75"/>
        <v>47.835911234699346</v>
      </c>
    </row>
    <row r="416" spans="1:17" x14ac:dyDescent="0.25">
      <c r="A416" s="5" t="s">
        <v>473</v>
      </c>
      <c r="B416" s="6">
        <f t="shared" si="76"/>
        <v>1</v>
      </c>
      <c r="C416" s="58">
        <v>16.282268519999999</v>
      </c>
      <c r="D416" s="4">
        <v>17.5</v>
      </c>
      <c r="E416" s="12">
        <f t="shared" si="78"/>
        <v>0</v>
      </c>
      <c r="F416" s="12">
        <f t="shared" si="79"/>
        <v>17.5</v>
      </c>
      <c r="G416" s="16">
        <f t="shared" ref="G416:G479" si="81">G415+F416-H416-J416</f>
        <v>30.237861059878533</v>
      </c>
      <c r="H416" s="14">
        <f t="shared" ref="H416:H479" si="82">(F416*(G415/$C$11)^$C$12)</f>
        <v>3.4236622561138432</v>
      </c>
      <c r="I416" s="14">
        <f t="shared" ref="I416:I479" si="83">(1+$C$13*(C416-INDEX($A$16:$A$27,B416)))*INDEX($C$16:$C$27,B416)</f>
        <v>9.1260642529816725</v>
      </c>
      <c r="J416" s="14">
        <f t="shared" ref="J416:J479" si="84">IF(G415&gt;$F$13,I416,I416*(G415/$F$13))</f>
        <v>2.4228963572050564</v>
      </c>
      <c r="K416" s="14">
        <f t="shared" ref="K416:K479" si="85">K415+H416-MAX(0,K415-$F$9)*$F$8-K415*$F$10-K415*$F$12</f>
        <v>14.459255233992105</v>
      </c>
      <c r="L416" s="14">
        <f t="shared" ref="L416:L479" si="86">L415+K415*$F$12-L415*$F$11</f>
        <v>659.47491508416226</v>
      </c>
      <c r="M416" s="14">
        <f t="shared" si="80"/>
        <v>0.61778407770232535</v>
      </c>
      <c r="N416" s="14">
        <f t="shared" ref="N416:N479" si="87">M416*$C$8*1000/(24*3600)</f>
        <v>15.809266155090755</v>
      </c>
      <c r="O416" s="4">
        <v>11.67</v>
      </c>
      <c r="P416" s="14">
        <f t="shared" si="77"/>
        <v>17.133524302679806</v>
      </c>
      <c r="Q416" s="14">
        <f t="shared" ref="Q416:Q479" si="88">(O416-$F$23)^2</f>
        <v>26.382101654239566</v>
      </c>
    </row>
    <row r="417" spans="1:17" x14ac:dyDescent="0.25">
      <c r="A417" s="5" t="s">
        <v>474</v>
      </c>
      <c r="B417" s="6">
        <f t="shared" ref="B417:B480" si="89">MONTH(A417)</f>
        <v>1</v>
      </c>
      <c r="C417" s="58">
        <v>16.657928470000002</v>
      </c>
      <c r="D417" s="4">
        <v>4.8</v>
      </c>
      <c r="E417" s="12">
        <f t="shared" si="78"/>
        <v>0</v>
      </c>
      <c r="F417" s="12">
        <f t="shared" si="79"/>
        <v>4.8</v>
      </c>
      <c r="G417" s="16">
        <f t="shared" si="81"/>
        <v>29.556216455176859</v>
      </c>
      <c r="H417" s="14">
        <f t="shared" si="82"/>
        <v>1.2163846827025173</v>
      </c>
      <c r="I417" s="14">
        <f t="shared" si="83"/>
        <v>9.8739772909372725</v>
      </c>
      <c r="J417" s="14">
        <f t="shared" si="84"/>
        <v>4.265259921999152</v>
      </c>
      <c r="K417" s="14">
        <f t="shared" si="85"/>
        <v>14.479908036375715</v>
      </c>
      <c r="L417" s="14">
        <f t="shared" si="86"/>
        <v>660.05286288677883</v>
      </c>
      <c r="M417" s="14">
        <f t="shared" si="80"/>
        <v>0.61869821860906493</v>
      </c>
      <c r="N417" s="14">
        <f t="shared" si="87"/>
        <v>15.832659274822252</v>
      </c>
      <c r="O417" s="4">
        <v>12.37</v>
      </c>
      <c r="P417" s="14">
        <f t="shared" ref="P417:P480" si="90">(O417-N417)^2</f>
        <v>11.990009253512568</v>
      </c>
      <c r="Q417" s="14">
        <f t="shared" si="88"/>
        <v>34.062993062285543</v>
      </c>
    </row>
    <row r="418" spans="1:17" x14ac:dyDescent="0.25">
      <c r="A418" s="5" t="s">
        <v>475</v>
      </c>
      <c r="B418" s="6">
        <f t="shared" si="89"/>
        <v>1</v>
      </c>
      <c r="C418" s="58">
        <v>17.145580290000002</v>
      </c>
      <c r="D418" s="4">
        <v>5.3</v>
      </c>
      <c r="E418" s="12">
        <f t="shared" si="78"/>
        <v>0</v>
      </c>
      <c r="F418" s="12">
        <f t="shared" si="79"/>
        <v>5.3</v>
      </c>
      <c r="G418" s="16">
        <f t="shared" si="81"/>
        <v>28.950259249842109</v>
      </c>
      <c r="H418" s="14">
        <f t="shared" si="82"/>
        <v>1.3269108973757018</v>
      </c>
      <c r="I418" s="14">
        <f t="shared" si="83"/>
        <v>10.844858414040159</v>
      </c>
      <c r="J418" s="14">
        <f t="shared" si="84"/>
        <v>4.5790463079590422</v>
      </c>
      <c r="K418" s="14">
        <f t="shared" si="85"/>
        <v>14.609270240998489</v>
      </c>
      <c r="L418" s="14">
        <f t="shared" si="86"/>
        <v>660.63171336092273</v>
      </c>
      <c r="M418" s="14">
        <f t="shared" si="80"/>
        <v>0.62377941196914377</v>
      </c>
      <c r="N418" s="14">
        <f t="shared" si="87"/>
        <v>15.962688424349269</v>
      </c>
      <c r="O418" s="4">
        <v>15.6</v>
      </c>
      <c r="P418" s="14">
        <f t="shared" si="90"/>
        <v>0.13154289315695539</v>
      </c>
      <c r="Q418" s="14">
        <f t="shared" si="88"/>
        <v>82.198720559411996</v>
      </c>
    </row>
    <row r="419" spans="1:17" x14ac:dyDescent="0.25">
      <c r="A419" s="5" t="s">
        <v>476</v>
      </c>
      <c r="B419" s="6">
        <f t="shared" si="89"/>
        <v>1</v>
      </c>
      <c r="C419" s="58">
        <v>18.139575959999998</v>
      </c>
      <c r="D419" s="4">
        <v>3.4</v>
      </c>
      <c r="E419" s="12">
        <f t="shared" si="78"/>
        <v>0</v>
      </c>
      <c r="F419" s="12">
        <f t="shared" si="79"/>
        <v>3.4</v>
      </c>
      <c r="G419" s="16">
        <f t="shared" si="81"/>
        <v>26.204731724723118</v>
      </c>
      <c r="H419" s="14">
        <f t="shared" si="82"/>
        <v>0.84190390391815006</v>
      </c>
      <c r="I419" s="14">
        <f t="shared" si="83"/>
        <v>12.823835202128441</v>
      </c>
      <c r="J419" s="14">
        <f t="shared" si="84"/>
        <v>5.3036236212008419</v>
      </c>
      <c r="K419" s="14">
        <f t="shared" si="85"/>
        <v>14.242245550420314</v>
      </c>
      <c r="L419" s="14">
        <f t="shared" si="86"/>
        <v>661.21686254344991</v>
      </c>
      <c r="M419" s="14">
        <f t="shared" si="80"/>
        <v>0.60983529514169499</v>
      </c>
      <c r="N419" s="14">
        <f t="shared" si="87"/>
        <v>15.605854601369071</v>
      </c>
      <c r="O419" s="4">
        <v>19.62</v>
      </c>
      <c r="P419" s="14">
        <f t="shared" si="90"/>
        <v>16.113363281349869</v>
      </c>
      <c r="Q419" s="14">
        <f t="shared" si="88"/>
        <v>171.25258264561901</v>
      </c>
    </row>
    <row r="420" spans="1:17" x14ac:dyDescent="0.25">
      <c r="A420" s="5" t="s">
        <v>477</v>
      </c>
      <c r="B420" s="6">
        <f t="shared" si="89"/>
        <v>1</v>
      </c>
      <c r="C420" s="58">
        <v>17.828563689999999</v>
      </c>
      <c r="D420" s="4">
        <v>2.2999999999999998</v>
      </c>
      <c r="E420" s="12">
        <f t="shared" si="78"/>
        <v>0</v>
      </c>
      <c r="F420" s="12">
        <f t="shared" si="79"/>
        <v>2.2999999999999998</v>
      </c>
      <c r="G420" s="16">
        <f t="shared" si="81"/>
        <v>23.395741151733027</v>
      </c>
      <c r="H420" s="14">
        <f t="shared" si="82"/>
        <v>0.54014277932811439</v>
      </c>
      <c r="I420" s="14">
        <f t="shared" si="83"/>
        <v>12.204631234025998</v>
      </c>
      <c r="J420" s="14">
        <f t="shared" si="84"/>
        <v>4.568847793661976</v>
      </c>
      <c r="K420" s="14">
        <f t="shared" si="85"/>
        <v>13.605746637971171</v>
      </c>
      <c r="L420" s="14">
        <f t="shared" si="86"/>
        <v>661.78366894008548</v>
      </c>
      <c r="M420" s="14">
        <f t="shared" si="80"/>
        <v>0.58555826942253875</v>
      </c>
      <c r="N420" s="14">
        <f t="shared" si="87"/>
        <v>14.984598769597605</v>
      </c>
      <c r="O420" s="4">
        <v>19.350000000000001</v>
      </c>
      <c r="P420" s="14">
        <f t="shared" si="90"/>
        <v>19.056727902398755</v>
      </c>
      <c r="Q420" s="14">
        <f t="shared" si="88"/>
        <v>164.25885310251556</v>
      </c>
    </row>
    <row r="421" spans="1:17" x14ac:dyDescent="0.25">
      <c r="A421" s="5" t="s">
        <v>478</v>
      </c>
      <c r="B421" s="6">
        <f t="shared" si="89"/>
        <v>1</v>
      </c>
      <c r="C421" s="58">
        <v>14.65079308</v>
      </c>
      <c r="D421" s="4">
        <v>2.8</v>
      </c>
      <c r="E421" s="12">
        <f t="shared" si="78"/>
        <v>0</v>
      </c>
      <c r="F421" s="12">
        <f t="shared" si="79"/>
        <v>2.8</v>
      </c>
      <c r="G421" s="16">
        <f t="shared" si="81"/>
        <v>23.61209398143307</v>
      </c>
      <c r="H421" s="14">
        <f t="shared" si="82"/>
        <v>0.61910211367671042</v>
      </c>
      <c r="I421" s="14">
        <f t="shared" si="83"/>
        <v>5.8779092322499187</v>
      </c>
      <c r="J421" s="14">
        <f t="shared" si="84"/>
        <v>1.9645450566232476</v>
      </c>
      <c r="K421" s="14">
        <f t="shared" si="85"/>
        <v>13.104199419498158</v>
      </c>
      <c r="L421" s="14">
        <f t="shared" si="86"/>
        <v>662.31876000281261</v>
      </c>
      <c r="M421" s="14">
        <f t="shared" si="80"/>
        <v>0.56644725600957602</v>
      </c>
      <c r="N421" s="14">
        <f t="shared" si="87"/>
        <v>14.495542627745053</v>
      </c>
      <c r="O421" s="4">
        <v>18.73</v>
      </c>
      <c r="P421" s="14">
        <f t="shared" si="90"/>
        <v>17.930629237444276</v>
      </c>
      <c r="Q421" s="14">
        <f t="shared" si="88"/>
        <v>148.7509778553891</v>
      </c>
    </row>
    <row r="422" spans="1:17" x14ac:dyDescent="0.25">
      <c r="A422" s="5" t="s">
        <v>479</v>
      </c>
      <c r="B422" s="6">
        <f t="shared" si="89"/>
        <v>1</v>
      </c>
      <c r="C422" s="58">
        <v>17.634323120000001</v>
      </c>
      <c r="D422" s="4">
        <v>6.6</v>
      </c>
      <c r="E422" s="12">
        <f t="shared" si="78"/>
        <v>0</v>
      </c>
      <c r="F422" s="12">
        <f t="shared" si="79"/>
        <v>6.6</v>
      </c>
      <c r="G422" s="16">
        <f t="shared" si="81"/>
        <v>24.759254134047751</v>
      </c>
      <c r="H422" s="14">
        <f t="shared" si="82"/>
        <v>1.466470330406628</v>
      </c>
      <c r="I422" s="14">
        <f t="shared" si="83"/>
        <v>11.817911662767672</v>
      </c>
      <c r="J422" s="14">
        <f t="shared" si="84"/>
        <v>3.9863695169786904</v>
      </c>
      <c r="K422" s="14">
        <f t="shared" si="85"/>
        <v>13.49414117220989</v>
      </c>
      <c r="L422" s="14">
        <f t="shared" si="86"/>
        <v>662.82884132449794</v>
      </c>
      <c r="M422" s="14">
        <f t="shared" si="80"/>
        <v>0.58150195699957674</v>
      </c>
      <c r="N422" s="14">
        <f t="shared" si="87"/>
        <v>14.880796607940558</v>
      </c>
      <c r="O422" s="4">
        <v>16.59</v>
      </c>
      <c r="P422" s="14">
        <f t="shared" si="90"/>
        <v>2.9213762354275006</v>
      </c>
      <c r="Q422" s="14">
        <f t="shared" si="88"/>
        <v>101.13019555079136</v>
      </c>
    </row>
    <row r="423" spans="1:17" x14ac:dyDescent="0.25">
      <c r="A423" s="5" t="s">
        <v>480</v>
      </c>
      <c r="B423" s="6">
        <f t="shared" si="89"/>
        <v>1</v>
      </c>
      <c r="C423" s="58">
        <v>15.816758159999999</v>
      </c>
      <c r="D423" s="4">
        <v>2.7</v>
      </c>
      <c r="E423" s="12">
        <f t="shared" si="78"/>
        <v>0</v>
      </c>
      <c r="F423" s="12">
        <f t="shared" si="79"/>
        <v>2.7</v>
      </c>
      <c r="G423" s="16">
        <f t="shared" si="81"/>
        <v>23.943900926940962</v>
      </c>
      <c r="H423" s="14">
        <f t="shared" si="82"/>
        <v>0.61524097928295085</v>
      </c>
      <c r="I423" s="14">
        <f t="shared" si="83"/>
        <v>8.1992652488626465</v>
      </c>
      <c r="J423" s="14">
        <f t="shared" si="84"/>
        <v>2.9001122278238363</v>
      </c>
      <c r="K423" s="14">
        <f t="shared" si="85"/>
        <v>12.998550673314401</v>
      </c>
      <c r="L423" s="14">
        <f t="shared" si="86"/>
        <v>663.3581708456768</v>
      </c>
      <c r="M423" s="14">
        <f t="shared" si="80"/>
        <v>0.56261804494509104</v>
      </c>
      <c r="N423" s="14">
        <f t="shared" si="87"/>
        <v>14.397552052935142</v>
      </c>
      <c r="O423" s="4">
        <v>15.45</v>
      </c>
      <c r="P423" s="14">
        <f t="shared" si="90"/>
        <v>1.1076466812810333</v>
      </c>
      <c r="Q423" s="14">
        <f t="shared" si="88"/>
        <v>79.501315257687878</v>
      </c>
    </row>
    <row r="424" spans="1:17" x14ac:dyDescent="0.25">
      <c r="A424" s="5" t="s">
        <v>481</v>
      </c>
      <c r="B424" s="6">
        <f t="shared" si="89"/>
        <v>1</v>
      </c>
      <c r="C424" s="58">
        <v>16.520645139999999</v>
      </c>
      <c r="D424" s="4">
        <v>2.8</v>
      </c>
      <c r="E424" s="12">
        <f t="shared" si="78"/>
        <v>0</v>
      </c>
      <c r="F424" s="12">
        <f t="shared" si="79"/>
        <v>2.8</v>
      </c>
      <c r="G424" s="16">
        <f t="shared" si="81"/>
        <v>22.833167927649733</v>
      </c>
      <c r="H424" s="14">
        <f t="shared" si="82"/>
        <v>0.62677109280279486</v>
      </c>
      <c r="I424" s="14">
        <f t="shared" si="83"/>
        <v>9.6006556541725274</v>
      </c>
      <c r="J424" s="14">
        <f t="shared" si="84"/>
        <v>3.2839619064884369</v>
      </c>
      <c r="K424" s="14">
        <f t="shared" si="85"/>
        <v>12.5580870339809</v>
      </c>
      <c r="L424" s="14">
        <f t="shared" si="86"/>
        <v>663.86278753286797</v>
      </c>
      <c r="M424" s="14">
        <f t="shared" si="80"/>
        <v>0.54584192186203573</v>
      </c>
      <c r="N424" s="14">
        <f t="shared" si="87"/>
        <v>13.968246403205566</v>
      </c>
      <c r="O424" s="4">
        <v>18.97</v>
      </c>
      <c r="P424" s="14">
        <f t="shared" si="90"/>
        <v>25.01753904304605</v>
      </c>
      <c r="Q424" s="14">
        <f t="shared" si="88"/>
        <v>154.66282633814768</v>
      </c>
    </row>
    <row r="425" spans="1:17" x14ac:dyDescent="0.25">
      <c r="A425" s="5" t="s">
        <v>482</v>
      </c>
      <c r="B425" s="6">
        <f t="shared" si="89"/>
        <v>2</v>
      </c>
      <c r="C425" s="58">
        <v>16.519153589999998</v>
      </c>
      <c r="D425" s="4">
        <v>7.1</v>
      </c>
      <c r="E425" s="12">
        <f t="shared" si="78"/>
        <v>0</v>
      </c>
      <c r="F425" s="12">
        <f t="shared" si="79"/>
        <v>7.1</v>
      </c>
      <c r="G425" s="16">
        <f t="shared" si="81"/>
        <v>24.543496153437907</v>
      </c>
      <c r="H425" s="14">
        <f t="shared" si="82"/>
        <v>1.5496851749385234</v>
      </c>
      <c r="I425" s="14">
        <f t="shared" si="83"/>
        <v>11.772297463614482</v>
      </c>
      <c r="J425" s="14">
        <f t="shared" si="84"/>
        <v>3.8399865992733009</v>
      </c>
      <c r="K425" s="14">
        <f t="shared" si="85"/>
        <v>13.079284751937953</v>
      </c>
      <c r="L425" s="14">
        <f t="shared" si="86"/>
        <v>664.34543306798741</v>
      </c>
      <c r="M425" s="14">
        <f t="shared" si="80"/>
        <v>0.56592188404392518</v>
      </c>
      <c r="N425" s="14">
        <f t="shared" si="87"/>
        <v>14.48209821320739</v>
      </c>
      <c r="O425" s="4">
        <v>21.03</v>
      </c>
      <c r="P425" s="14">
        <f t="shared" si="90"/>
        <v>42.875017809481868</v>
      </c>
      <c r="Q425" s="14">
        <f t="shared" si="88"/>
        <v>210.14419248182591</v>
      </c>
    </row>
    <row r="426" spans="1:17" x14ac:dyDescent="0.25">
      <c r="A426" s="5" t="s">
        <v>483</v>
      </c>
      <c r="B426" s="6">
        <f t="shared" si="89"/>
        <v>2</v>
      </c>
      <c r="C426" s="58">
        <v>16.03761673</v>
      </c>
      <c r="D426" s="4">
        <v>3.7</v>
      </c>
      <c r="E426" s="12">
        <f t="shared" si="78"/>
        <v>0</v>
      </c>
      <c r="F426" s="12">
        <f t="shared" si="79"/>
        <v>3.7</v>
      </c>
      <c r="G426" s="16">
        <f t="shared" si="81"/>
        <v>23.623641417253978</v>
      </c>
      <c r="H426" s="14">
        <f t="shared" si="82"/>
        <v>0.83919447216158671</v>
      </c>
      <c r="I426" s="14">
        <f t="shared" si="83"/>
        <v>10.782734583228397</v>
      </c>
      <c r="J426" s="14">
        <f t="shared" si="84"/>
        <v>3.7806602640223392</v>
      </c>
      <c r="K426" s="14">
        <f t="shared" si="85"/>
        <v>12.84414237210715</v>
      </c>
      <c r="L426" s="14">
        <f t="shared" si="86"/>
        <v>664.85384803593593</v>
      </c>
      <c r="M426" s="14">
        <f t="shared" si="80"/>
        <v>0.55701658612443006</v>
      </c>
      <c r="N426" s="14">
        <f t="shared" si="87"/>
        <v>14.254209165753641</v>
      </c>
      <c r="O426" s="4">
        <v>19.260000000000002</v>
      </c>
      <c r="P426" s="14">
        <f t="shared" si="90"/>
        <v>25.05794187622487</v>
      </c>
      <c r="Q426" s="14">
        <f t="shared" si="88"/>
        <v>161.96000992148109</v>
      </c>
    </row>
    <row r="427" spans="1:17" x14ac:dyDescent="0.25">
      <c r="A427" s="5" t="s">
        <v>484</v>
      </c>
      <c r="B427" s="6">
        <f t="shared" si="89"/>
        <v>2</v>
      </c>
      <c r="C427" s="58">
        <v>16.87583351</v>
      </c>
      <c r="D427" s="4">
        <v>0</v>
      </c>
      <c r="E427" s="12">
        <f t="shared" si="78"/>
        <v>0</v>
      </c>
      <c r="F427" s="12">
        <f t="shared" si="79"/>
        <v>0</v>
      </c>
      <c r="G427" s="16">
        <f t="shared" si="81"/>
        <v>19.403349346455744</v>
      </c>
      <c r="H427" s="14">
        <f t="shared" si="82"/>
        <v>0</v>
      </c>
      <c r="I427" s="14">
        <f t="shared" si="83"/>
        <v>12.50527813099492</v>
      </c>
      <c r="J427" s="14">
        <f t="shared" si="84"/>
        <v>4.2202920707982345</v>
      </c>
      <c r="K427" s="14">
        <f t="shared" si="85"/>
        <v>11.790490829135161</v>
      </c>
      <c r="L427" s="14">
        <f t="shared" si="86"/>
        <v>665.35048299278344</v>
      </c>
      <c r="M427" s="14">
        <f t="shared" si="80"/>
        <v>0.51673511110456261</v>
      </c>
      <c r="N427" s="14">
        <f t="shared" si="87"/>
        <v>13.22339503069662</v>
      </c>
      <c r="O427" s="4">
        <v>16.78</v>
      </c>
      <c r="P427" s="14">
        <f t="shared" si="90"/>
        <v>12.649438907673503</v>
      </c>
      <c r="Q427" s="14">
        <f t="shared" si="88"/>
        <v>104.98770893297529</v>
      </c>
    </row>
    <row r="428" spans="1:17" x14ac:dyDescent="0.25">
      <c r="A428" s="5" t="s">
        <v>485</v>
      </c>
      <c r="B428" s="6">
        <f t="shared" si="89"/>
        <v>2</v>
      </c>
      <c r="C428" s="58">
        <v>13.704207419999999</v>
      </c>
      <c r="D428" s="4">
        <v>2.8</v>
      </c>
      <c r="E428" s="12">
        <f t="shared" si="78"/>
        <v>0</v>
      </c>
      <c r="F428" s="12">
        <f t="shared" si="79"/>
        <v>2.8</v>
      </c>
      <c r="G428" s="16">
        <f t="shared" si="81"/>
        <v>19.983165363212208</v>
      </c>
      <c r="H428" s="14">
        <f t="shared" si="82"/>
        <v>0.56048777428940133</v>
      </c>
      <c r="I428" s="14">
        <f t="shared" si="83"/>
        <v>5.9875560003815629</v>
      </c>
      <c r="J428" s="14">
        <f t="shared" si="84"/>
        <v>1.6596962089541325</v>
      </c>
      <c r="K428" s="14">
        <f t="shared" si="85"/>
        <v>11.390016042259608</v>
      </c>
      <c r="L428" s="14">
        <f t="shared" si="86"/>
        <v>665.79471044284389</v>
      </c>
      <c r="M428" s="14">
        <f t="shared" si="80"/>
        <v>0.50147897036033862</v>
      </c>
      <c r="N428" s="14">
        <f t="shared" si="87"/>
        <v>12.832986151235053</v>
      </c>
      <c r="O428" s="4">
        <v>15.04</v>
      </c>
      <c r="P428" s="14">
        <f t="shared" si="90"/>
        <v>4.8709101286402605</v>
      </c>
      <c r="Q428" s="14">
        <f t="shared" si="88"/>
        <v>72.358007432975228</v>
      </c>
    </row>
    <row r="429" spans="1:17" x14ac:dyDescent="0.25">
      <c r="A429" s="5" t="s">
        <v>486</v>
      </c>
      <c r="B429" s="6">
        <f t="shared" si="89"/>
        <v>2</v>
      </c>
      <c r="C429" s="58">
        <v>15.05473042</v>
      </c>
      <c r="D429" s="4">
        <v>7.2</v>
      </c>
      <c r="E429" s="12">
        <f t="shared" si="78"/>
        <v>0</v>
      </c>
      <c r="F429" s="12">
        <f t="shared" si="79"/>
        <v>7.2</v>
      </c>
      <c r="G429" s="16">
        <f t="shared" si="81"/>
        <v>23.217596492168479</v>
      </c>
      <c r="H429" s="14">
        <f t="shared" si="82"/>
        <v>1.4639903501279079</v>
      </c>
      <c r="I429" s="14">
        <f t="shared" si="83"/>
        <v>8.7628937593802423</v>
      </c>
      <c r="J429" s="14">
        <f t="shared" si="84"/>
        <v>2.5015785209158219</v>
      </c>
      <c r="K429" s="14">
        <f t="shared" si="85"/>
        <v>11.928273315279673</v>
      </c>
      <c r="L429" s="14">
        <f t="shared" si="86"/>
        <v>666.21896454959131</v>
      </c>
      <c r="M429" s="14">
        <f t="shared" si="80"/>
        <v>0.52220045213926314</v>
      </c>
      <c r="N429" s="14">
        <f t="shared" si="87"/>
        <v>13.363254625924895</v>
      </c>
      <c r="O429" s="4">
        <v>14.12</v>
      </c>
      <c r="P429" s="14">
        <f t="shared" si="90"/>
        <v>0.5726635611840688</v>
      </c>
      <c r="Q429" s="14">
        <f t="shared" si="88"/>
        <v>57.552721582400494</v>
      </c>
    </row>
    <row r="430" spans="1:17" x14ac:dyDescent="0.25">
      <c r="A430" s="5" t="s">
        <v>487</v>
      </c>
      <c r="B430" s="6">
        <f t="shared" si="89"/>
        <v>2</v>
      </c>
      <c r="C430" s="58">
        <v>17.791021350000001</v>
      </c>
      <c r="D430" s="4">
        <v>2.5</v>
      </c>
      <c r="E430" s="12">
        <f t="shared" si="78"/>
        <v>0</v>
      </c>
      <c r="F430" s="12">
        <f t="shared" si="79"/>
        <v>2.5</v>
      </c>
      <c r="G430" s="16">
        <f t="shared" si="81"/>
        <v>20.39551724304248</v>
      </c>
      <c r="H430" s="14">
        <f t="shared" si="82"/>
        <v>0.55052831750677533</v>
      </c>
      <c r="I430" s="14">
        <f t="shared" si="83"/>
        <v>14.385997947635175</v>
      </c>
      <c r="J430" s="14">
        <f t="shared" si="84"/>
        <v>4.7715509316192231</v>
      </c>
      <c r="K430" s="14">
        <f t="shared" si="85"/>
        <v>11.505718443661745</v>
      </c>
      <c r="L430" s="14">
        <f t="shared" si="86"/>
        <v>666.66984728657667</v>
      </c>
      <c r="M430" s="14">
        <f t="shared" si="80"/>
        <v>0.5060993864983433</v>
      </c>
      <c r="N430" s="14">
        <f t="shared" si="87"/>
        <v>12.951223883655521</v>
      </c>
      <c r="O430" s="4">
        <v>15.55</v>
      </c>
      <c r="P430" s="14">
        <f t="shared" si="90"/>
        <v>6.7536373028824972</v>
      </c>
      <c r="Q430" s="14">
        <f t="shared" si="88"/>
        <v>81.294585458837332</v>
      </c>
    </row>
    <row r="431" spans="1:17" x14ac:dyDescent="0.25">
      <c r="A431" s="5" t="s">
        <v>488</v>
      </c>
      <c r="B431" s="6">
        <f t="shared" si="89"/>
        <v>2</v>
      </c>
      <c r="C431" s="58">
        <v>17.477003100000001</v>
      </c>
      <c r="D431" s="4">
        <v>1.3</v>
      </c>
      <c r="E431" s="12">
        <f t="shared" si="78"/>
        <v>0</v>
      </c>
      <c r="F431" s="12">
        <f t="shared" si="79"/>
        <v>1.3</v>
      </c>
      <c r="G431" s="16">
        <f t="shared" si="81"/>
        <v>17.424747849780751</v>
      </c>
      <c r="H431" s="14">
        <f t="shared" si="82"/>
        <v>0.26721719936744237</v>
      </c>
      <c r="I431" s="14">
        <f t="shared" si="83"/>
        <v>13.740687422572153</v>
      </c>
      <c r="J431" s="14">
        <f t="shared" si="84"/>
        <v>4.0035521938942864</v>
      </c>
      <c r="K431" s="14">
        <f t="shared" si="85"/>
        <v>10.837024307416314</v>
      </c>
      <c r="L431" s="14">
        <f t="shared" si="86"/>
        <v>667.09965923569121</v>
      </c>
      <c r="M431" s="14">
        <f t="shared" si="80"/>
        <v>0.48055926897407775</v>
      </c>
      <c r="N431" s="14">
        <f t="shared" si="87"/>
        <v>12.297645181732474</v>
      </c>
      <c r="O431" s="4">
        <v>14.6</v>
      </c>
      <c r="P431" s="14">
        <f t="shared" si="90"/>
        <v>5.3008377091996923</v>
      </c>
      <c r="Q431" s="14">
        <f t="shared" si="88"/>
        <v>65.066018547917736</v>
      </c>
    </row>
    <row r="432" spans="1:17" x14ac:dyDescent="0.25">
      <c r="A432" s="5" t="s">
        <v>489</v>
      </c>
      <c r="B432" s="6">
        <f t="shared" si="89"/>
        <v>2</v>
      </c>
      <c r="C432" s="58">
        <v>16.063713069999999</v>
      </c>
      <c r="D432" s="4">
        <v>0</v>
      </c>
      <c r="E432" s="12">
        <f t="shared" si="78"/>
        <v>0</v>
      </c>
      <c r="F432" s="12">
        <f t="shared" si="79"/>
        <v>0</v>
      </c>
      <c r="G432" s="16">
        <f t="shared" si="81"/>
        <v>14.727304391101136</v>
      </c>
      <c r="H432" s="14">
        <f t="shared" si="82"/>
        <v>0</v>
      </c>
      <c r="I432" s="14">
        <f t="shared" si="83"/>
        <v>10.836362813013203</v>
      </c>
      <c r="J432" s="14">
        <f t="shared" si="84"/>
        <v>2.6974434586796159</v>
      </c>
      <c r="K432" s="14">
        <f t="shared" si="85"/>
        <v>9.9599375225216971</v>
      </c>
      <c r="L432" s="14">
        <f t="shared" si="86"/>
        <v>667.49618675161184</v>
      </c>
      <c r="M432" s="14">
        <f t="shared" si="80"/>
        <v>0.44702434862757412</v>
      </c>
      <c r="N432" s="14">
        <f t="shared" si="87"/>
        <v>11.439477254809795</v>
      </c>
      <c r="O432" s="4">
        <v>12.34</v>
      </c>
      <c r="P432" s="14">
        <f t="shared" si="90"/>
        <v>0.81094121460490309</v>
      </c>
      <c r="Q432" s="14">
        <f t="shared" si="88"/>
        <v>33.713712001940721</v>
      </c>
    </row>
    <row r="433" spans="1:17" x14ac:dyDescent="0.25">
      <c r="A433" s="5" t="s">
        <v>490</v>
      </c>
      <c r="B433" s="6">
        <f t="shared" si="89"/>
        <v>2</v>
      </c>
      <c r="C433" s="58">
        <v>15.688536640000001</v>
      </c>
      <c r="D433" s="4">
        <v>0</v>
      </c>
      <c r="E433" s="12">
        <f t="shared" si="78"/>
        <v>0</v>
      </c>
      <c r="F433" s="12">
        <f t="shared" si="79"/>
        <v>0</v>
      </c>
      <c r="G433" s="16">
        <f t="shared" si="81"/>
        <v>12.609648510331663</v>
      </c>
      <c r="H433" s="14">
        <f t="shared" si="82"/>
        <v>0</v>
      </c>
      <c r="I433" s="14">
        <f t="shared" si="83"/>
        <v>10.0653716396194</v>
      </c>
      <c r="J433" s="14">
        <f t="shared" si="84"/>
        <v>2.117655880769473</v>
      </c>
      <c r="K433" s="14">
        <f t="shared" si="85"/>
        <v>9.1600074424129705</v>
      </c>
      <c r="L433" s="14">
        <f t="shared" si="86"/>
        <v>667.84909248309305</v>
      </c>
      <c r="M433" s="14">
        <f t="shared" si="80"/>
        <v>0.4164376189237522</v>
      </c>
      <c r="N433" s="14">
        <f t="shared" si="87"/>
        <v>10.656754345375186</v>
      </c>
      <c r="O433" s="4">
        <v>10.64</v>
      </c>
      <c r="P433" s="14">
        <f t="shared" si="90"/>
        <v>2.8070808895098477E-4</v>
      </c>
      <c r="Q433" s="14">
        <f t="shared" si="88"/>
        <v>16.86211858240048</v>
      </c>
    </row>
    <row r="434" spans="1:17" x14ac:dyDescent="0.25">
      <c r="A434" s="5" t="s">
        <v>491</v>
      </c>
      <c r="B434" s="6">
        <f t="shared" si="89"/>
        <v>2</v>
      </c>
      <c r="C434" s="58">
        <v>14.68915462</v>
      </c>
      <c r="D434" s="4">
        <v>0</v>
      </c>
      <c r="E434" s="12">
        <f t="shared" si="78"/>
        <v>0</v>
      </c>
      <c r="F434" s="12">
        <f t="shared" si="79"/>
        <v>0</v>
      </c>
      <c r="G434" s="16">
        <f t="shared" si="81"/>
        <v>11.166449299539257</v>
      </c>
      <c r="H434" s="14">
        <f t="shared" si="82"/>
        <v>0</v>
      </c>
      <c r="I434" s="14">
        <f t="shared" si="83"/>
        <v>8.0116319730084822</v>
      </c>
      <c r="J434" s="14">
        <f t="shared" si="84"/>
        <v>1.4431992107924057</v>
      </c>
      <c r="K434" s="14">
        <f t="shared" si="85"/>
        <v>8.430446646283043</v>
      </c>
      <c r="L434" s="14">
        <f t="shared" si="86"/>
        <v>668.16221566029924</v>
      </c>
      <c r="M434" s="14">
        <f t="shared" si="80"/>
        <v>0.3885397300074529</v>
      </c>
      <c r="N434" s="14">
        <f t="shared" si="87"/>
        <v>9.9428396185934993</v>
      </c>
      <c r="O434" s="4">
        <v>8.91</v>
      </c>
      <c r="P434" s="14">
        <f t="shared" si="90"/>
        <v>1.0667576777363648</v>
      </c>
      <c r="Q434" s="14">
        <f t="shared" si="88"/>
        <v>5.6470441025154026</v>
      </c>
    </row>
    <row r="435" spans="1:17" x14ac:dyDescent="0.25">
      <c r="A435" s="5" t="s">
        <v>492</v>
      </c>
      <c r="B435" s="6">
        <f t="shared" si="89"/>
        <v>2</v>
      </c>
      <c r="C435" s="58">
        <v>15.28881741</v>
      </c>
      <c r="D435" s="4">
        <v>2.2000000000000002</v>
      </c>
      <c r="E435" s="12">
        <f t="shared" si="78"/>
        <v>0</v>
      </c>
      <c r="F435" s="12">
        <f t="shared" si="79"/>
        <v>2.2000000000000002</v>
      </c>
      <c r="G435" s="16">
        <f t="shared" si="81"/>
        <v>11.563546448961244</v>
      </c>
      <c r="H435" s="14">
        <f t="shared" si="82"/>
        <v>0.32830107876714915</v>
      </c>
      <c r="I435" s="14">
        <f t="shared" si="83"/>
        <v>9.2439447760881013</v>
      </c>
      <c r="J435" s="14">
        <f t="shared" si="84"/>
        <v>1.474601771810865</v>
      </c>
      <c r="K435" s="14">
        <f t="shared" si="85"/>
        <v>8.0933658767049117</v>
      </c>
      <c r="L435" s="14">
        <f t="shared" si="86"/>
        <v>668.43905777863699</v>
      </c>
      <c r="M435" s="14">
        <f t="shared" si="80"/>
        <v>0.37567801694182923</v>
      </c>
      <c r="N435" s="14">
        <f t="shared" si="87"/>
        <v>9.6137048085461174</v>
      </c>
      <c r="O435" s="4">
        <v>7.52</v>
      </c>
      <c r="P435" s="14">
        <f t="shared" si="90"/>
        <v>4.3835998253291359</v>
      </c>
      <c r="Q435" s="14">
        <f t="shared" si="88"/>
        <v>0.97288830653837632</v>
      </c>
    </row>
    <row r="436" spans="1:17" x14ac:dyDescent="0.25">
      <c r="A436" s="5" t="s">
        <v>493</v>
      </c>
      <c r="B436" s="6">
        <f t="shared" si="89"/>
        <v>2</v>
      </c>
      <c r="C436" s="58">
        <v>16.034837719999999</v>
      </c>
      <c r="D436" s="4">
        <v>0</v>
      </c>
      <c r="E436" s="12">
        <f t="shared" si="78"/>
        <v>0</v>
      </c>
      <c r="F436" s="12">
        <f t="shared" si="79"/>
        <v>0</v>
      </c>
      <c r="G436" s="16">
        <f t="shared" si="81"/>
        <v>9.7832505251188557</v>
      </c>
      <c r="H436" s="14">
        <f t="shared" si="82"/>
        <v>0</v>
      </c>
      <c r="I436" s="14">
        <f t="shared" si="83"/>
        <v>10.77702369094027</v>
      </c>
      <c r="J436" s="14">
        <f t="shared" si="84"/>
        <v>1.7802959238423879</v>
      </c>
      <c r="K436" s="14">
        <f t="shared" si="85"/>
        <v>7.4576367855043717</v>
      </c>
      <c r="L436" s="14">
        <f t="shared" si="86"/>
        <v>668.69910885289573</v>
      </c>
      <c r="M436" s="14">
        <f t="shared" si="80"/>
        <v>0.35136547270402418</v>
      </c>
      <c r="N436" s="14">
        <f t="shared" si="87"/>
        <v>8.9915400480161747</v>
      </c>
      <c r="O436" s="4">
        <v>7.17</v>
      </c>
      <c r="P436" s="14">
        <f t="shared" si="90"/>
        <v>3.3180081465267683</v>
      </c>
      <c r="Q436" s="14">
        <f t="shared" si="88"/>
        <v>0.40494260251538527</v>
      </c>
    </row>
    <row r="437" spans="1:17" x14ac:dyDescent="0.25">
      <c r="A437" s="5" t="s">
        <v>494</v>
      </c>
      <c r="B437" s="6">
        <f t="shared" si="89"/>
        <v>2</v>
      </c>
      <c r="C437" s="58">
        <v>15.62696171</v>
      </c>
      <c r="D437" s="4">
        <v>0</v>
      </c>
      <c r="E437" s="12">
        <f t="shared" si="78"/>
        <v>0</v>
      </c>
      <c r="F437" s="12">
        <f t="shared" si="79"/>
        <v>0</v>
      </c>
      <c r="G437" s="16">
        <f t="shared" si="81"/>
        <v>8.3941907107123406</v>
      </c>
      <c r="H437" s="14">
        <f t="shared" si="82"/>
        <v>0</v>
      </c>
      <c r="I437" s="14">
        <f t="shared" si="83"/>
        <v>9.9388345660288682</v>
      </c>
      <c r="J437" s="14">
        <f t="shared" si="84"/>
        <v>1.3890598144065154</v>
      </c>
      <c r="K437" s="14">
        <f t="shared" si="85"/>
        <v>6.8778323333000229</v>
      </c>
      <c r="L437" s="14">
        <f t="shared" si="86"/>
        <v>668.92754783239604</v>
      </c>
      <c r="M437" s="14">
        <f t="shared" si="80"/>
        <v>0.32918983403650148</v>
      </c>
      <c r="N437" s="14">
        <f t="shared" si="87"/>
        <v>8.42405929461464</v>
      </c>
      <c r="O437" s="4">
        <v>6.38</v>
      </c>
      <c r="P437" s="14">
        <f t="shared" si="90"/>
        <v>4.1781783999005002</v>
      </c>
      <c r="Q437" s="14">
        <f t="shared" si="88"/>
        <v>2.3608013434918151E-2</v>
      </c>
    </row>
    <row r="438" spans="1:17" x14ac:dyDescent="0.25">
      <c r="A438" s="5" t="s">
        <v>495</v>
      </c>
      <c r="B438" s="6">
        <f t="shared" si="89"/>
        <v>2</v>
      </c>
      <c r="C438" s="58">
        <v>15.549680710000001</v>
      </c>
      <c r="D438" s="4">
        <v>0</v>
      </c>
      <c r="E438" s="12">
        <f t="shared" si="78"/>
        <v>0</v>
      </c>
      <c r="F438" s="12">
        <f t="shared" si="79"/>
        <v>0</v>
      </c>
      <c r="G438" s="16">
        <f t="shared" si="81"/>
        <v>7.2213988420063222</v>
      </c>
      <c r="H438" s="14">
        <f t="shared" si="82"/>
        <v>0</v>
      </c>
      <c r="I438" s="14">
        <f t="shared" si="83"/>
        <v>9.7800213674730685</v>
      </c>
      <c r="J438" s="14">
        <f t="shared" si="84"/>
        <v>1.1727918687060181</v>
      </c>
      <c r="K438" s="14">
        <f t="shared" si="85"/>
        <v>6.3490328691113698</v>
      </c>
      <c r="L438" s="14">
        <f t="shared" si="86"/>
        <v>669.12715746254821</v>
      </c>
      <c r="M438" s="14">
        <f t="shared" si="80"/>
        <v>0.30896311925855258</v>
      </c>
      <c r="N438" s="14">
        <f t="shared" si="87"/>
        <v>7.9064520449150439</v>
      </c>
      <c r="O438" s="4">
        <v>5.65</v>
      </c>
      <c r="P438" s="14">
        <f t="shared" si="90"/>
        <v>5.0915758310012817</v>
      </c>
      <c r="Q438" s="14">
        <f t="shared" si="88"/>
        <v>0.78083554504410602</v>
      </c>
    </row>
    <row r="439" spans="1:17" x14ac:dyDescent="0.25">
      <c r="A439" s="5" t="s">
        <v>496</v>
      </c>
      <c r="B439" s="6">
        <f t="shared" si="89"/>
        <v>2</v>
      </c>
      <c r="C439" s="58">
        <v>15.34835625</v>
      </c>
      <c r="D439" s="4">
        <v>0</v>
      </c>
      <c r="E439" s="12">
        <f t="shared" si="78"/>
        <v>0</v>
      </c>
      <c r="F439" s="12">
        <f t="shared" si="79"/>
        <v>0</v>
      </c>
      <c r="G439" s="16">
        <f t="shared" si="81"/>
        <v>6.2551441886675168</v>
      </c>
      <c r="H439" s="14">
        <f t="shared" si="82"/>
        <v>0</v>
      </c>
      <c r="I439" s="14">
        <f t="shared" si="83"/>
        <v>9.3662976651384771</v>
      </c>
      <c r="J439" s="14">
        <f t="shared" si="84"/>
        <v>0.96625465333880567</v>
      </c>
      <c r="K439" s="14">
        <f t="shared" si="85"/>
        <v>5.8667515201788296</v>
      </c>
      <c r="L439" s="14">
        <f t="shared" si="86"/>
        <v>669.30047569222222</v>
      </c>
      <c r="M439" s="14">
        <f t="shared" si="80"/>
        <v>0.29051388330502442</v>
      </c>
      <c r="N439" s="14">
        <f t="shared" si="87"/>
        <v>7.4343309720764941</v>
      </c>
      <c r="O439" s="4">
        <v>5.09</v>
      </c>
      <c r="P439" s="14">
        <f t="shared" si="90"/>
        <v>5.4958877066371201</v>
      </c>
      <c r="Q439" s="14">
        <f t="shared" si="88"/>
        <v>2.0841224186073202</v>
      </c>
    </row>
    <row r="440" spans="1:17" x14ac:dyDescent="0.25">
      <c r="A440" s="5" t="s">
        <v>497</v>
      </c>
      <c r="B440" s="6">
        <f t="shared" si="89"/>
        <v>2</v>
      </c>
      <c r="C440" s="58">
        <v>15.4861393</v>
      </c>
      <c r="D440" s="4">
        <v>0</v>
      </c>
      <c r="E440" s="12">
        <f t="shared" si="78"/>
        <v>0</v>
      </c>
      <c r="F440" s="12">
        <f t="shared" si="79"/>
        <v>0</v>
      </c>
      <c r="G440" s="16">
        <f t="shared" si="81"/>
        <v>5.3928769452429774</v>
      </c>
      <c r="H440" s="14">
        <f t="shared" si="82"/>
        <v>0</v>
      </c>
      <c r="I440" s="14">
        <f t="shared" si="83"/>
        <v>9.6494431585621374</v>
      </c>
      <c r="J440" s="14">
        <f t="shared" si="84"/>
        <v>0.86226724342453942</v>
      </c>
      <c r="K440" s="14">
        <f t="shared" si="85"/>
        <v>5.4268961207694026</v>
      </c>
      <c r="L440" s="14">
        <f t="shared" si="86"/>
        <v>669.44981720832664</v>
      </c>
      <c r="M440" s="14">
        <f t="shared" si="80"/>
        <v>0.27368576301193237</v>
      </c>
      <c r="N440" s="14">
        <f t="shared" si="87"/>
        <v>7.0036946992984088</v>
      </c>
      <c r="O440" s="4">
        <v>4.71</v>
      </c>
      <c r="P440" s="14">
        <f t="shared" si="90"/>
        <v>5.2610353735896185</v>
      </c>
      <c r="Q440" s="14">
        <f t="shared" si="88"/>
        <v>3.3256956542395</v>
      </c>
    </row>
    <row r="441" spans="1:17" x14ac:dyDescent="0.25">
      <c r="A441" s="5" t="s">
        <v>498</v>
      </c>
      <c r="B441" s="6">
        <f t="shared" si="89"/>
        <v>2</v>
      </c>
      <c r="C441" s="58">
        <v>15.87355518</v>
      </c>
      <c r="D441" s="4">
        <v>0</v>
      </c>
      <c r="E441" s="12">
        <f t="shared" si="78"/>
        <v>0</v>
      </c>
      <c r="F441" s="12">
        <f t="shared" si="79"/>
        <v>0</v>
      </c>
      <c r="G441" s="16">
        <f t="shared" si="81"/>
        <v>4.5881368279426678</v>
      </c>
      <c r="H441" s="14">
        <f t="shared" si="82"/>
        <v>0</v>
      </c>
      <c r="I441" s="14">
        <f t="shared" si="83"/>
        <v>10.445586519467284</v>
      </c>
      <c r="J441" s="14">
        <f t="shared" si="84"/>
        <v>0.80474011730030937</v>
      </c>
      <c r="K441" s="14">
        <f t="shared" si="85"/>
        <v>5.0257344900784151</v>
      </c>
      <c r="L441" s="14">
        <f t="shared" si="86"/>
        <v>669.57729307600562</v>
      </c>
      <c r="M441" s="14">
        <f t="shared" si="80"/>
        <v>0.25833615037227037</v>
      </c>
      <c r="N441" s="14">
        <f t="shared" si="87"/>
        <v>6.6108938480681685</v>
      </c>
      <c r="O441" s="4">
        <v>4.4000000000000004</v>
      </c>
      <c r="P441" s="14">
        <f t="shared" si="90"/>
        <v>4.8880516074256724</v>
      </c>
      <c r="Q441" s="14">
        <f t="shared" si="88"/>
        <v>4.5524580306762772</v>
      </c>
    </row>
    <row r="442" spans="1:17" x14ac:dyDescent="0.25">
      <c r="A442" s="5" t="s">
        <v>499</v>
      </c>
      <c r="B442" s="6">
        <f t="shared" si="89"/>
        <v>2</v>
      </c>
      <c r="C442" s="58">
        <v>16.70650101</v>
      </c>
      <c r="D442" s="4">
        <v>0</v>
      </c>
      <c r="E442" s="12">
        <f t="shared" si="78"/>
        <v>0</v>
      </c>
      <c r="F442" s="12">
        <f t="shared" si="79"/>
        <v>0</v>
      </c>
      <c r="G442" s="16">
        <f t="shared" si="81"/>
        <v>3.7912883606610173</v>
      </c>
      <c r="H442" s="14">
        <f t="shared" si="82"/>
        <v>0</v>
      </c>
      <c r="I442" s="14">
        <f t="shared" si="83"/>
        <v>12.157298214269591</v>
      </c>
      <c r="J442" s="14">
        <f t="shared" si="84"/>
        <v>0.7968484672816506</v>
      </c>
      <c r="K442" s="14">
        <f t="shared" si="85"/>
        <v>4.6598627646097146</v>
      </c>
      <c r="L442" s="14">
        <f t="shared" si="86"/>
        <v>669.68482865110195</v>
      </c>
      <c r="M442" s="14">
        <f t="shared" si="80"/>
        <v>0.24433498250456986</v>
      </c>
      <c r="N442" s="14">
        <f t="shared" si="87"/>
        <v>6.2526000731204165</v>
      </c>
      <c r="O442" s="4">
        <v>4.16</v>
      </c>
      <c r="P442" s="14">
        <f t="shared" si="90"/>
        <v>4.378975066023572</v>
      </c>
      <c r="Q442" s="14">
        <f t="shared" si="88"/>
        <v>5.6342095479176546</v>
      </c>
    </row>
    <row r="443" spans="1:17" x14ac:dyDescent="0.25">
      <c r="A443" s="5" t="s">
        <v>500</v>
      </c>
      <c r="B443" s="6">
        <f t="shared" si="89"/>
        <v>2</v>
      </c>
      <c r="C443" s="58">
        <v>14.942276</v>
      </c>
      <c r="D443" s="4">
        <v>0</v>
      </c>
      <c r="E443" s="12">
        <f t="shared" si="78"/>
        <v>0</v>
      </c>
      <c r="F443" s="12">
        <f t="shared" si="79"/>
        <v>0</v>
      </c>
      <c r="G443" s="16">
        <f t="shared" si="81"/>
        <v>3.3291949924424689</v>
      </c>
      <c r="H443" s="14">
        <f t="shared" si="82"/>
        <v>0</v>
      </c>
      <c r="I443" s="14">
        <f t="shared" si="83"/>
        <v>8.5317988443049</v>
      </c>
      <c r="J443" s="14">
        <f t="shared" si="84"/>
        <v>0.46209336821854818</v>
      </c>
      <c r="K443" s="14">
        <f t="shared" si="85"/>
        <v>4.3261765163339971</v>
      </c>
      <c r="L443" s="14">
        <f t="shared" si="86"/>
        <v>669.77417991687309</v>
      </c>
      <c r="M443" s="14">
        <f t="shared" si="80"/>
        <v>0.23156363806706959</v>
      </c>
      <c r="N443" s="14">
        <f t="shared" si="87"/>
        <v>5.925777821369107</v>
      </c>
      <c r="O443" s="4">
        <v>3.88</v>
      </c>
      <c r="P443" s="14">
        <f t="shared" si="90"/>
        <v>4.1852068944057308</v>
      </c>
      <c r="Q443" s="14">
        <f t="shared" si="88"/>
        <v>7.041852984699263</v>
      </c>
    </row>
    <row r="444" spans="1:17" x14ac:dyDescent="0.25">
      <c r="A444" s="5" t="s">
        <v>501</v>
      </c>
      <c r="B444" s="6">
        <f t="shared" si="89"/>
        <v>2</v>
      </c>
      <c r="C444" s="58">
        <v>16.513742449999999</v>
      </c>
      <c r="D444" s="4">
        <v>0</v>
      </c>
      <c r="E444" s="12">
        <f t="shared" si="78"/>
        <v>0</v>
      </c>
      <c r="F444" s="12">
        <f t="shared" si="79"/>
        <v>0</v>
      </c>
      <c r="G444" s="16">
        <f t="shared" si="81"/>
        <v>2.7698337792887004</v>
      </c>
      <c r="H444" s="14">
        <f t="shared" si="82"/>
        <v>0</v>
      </c>
      <c r="I444" s="14">
        <f t="shared" si="83"/>
        <v>11.761177518851435</v>
      </c>
      <c r="J444" s="14">
        <f t="shared" si="84"/>
        <v>0.55936121315376841</v>
      </c>
      <c r="K444" s="14">
        <f t="shared" si="85"/>
        <v>4.0218444115623502</v>
      </c>
      <c r="L444" s="14">
        <f t="shared" si="86"/>
        <v>669.84694838357768</v>
      </c>
      <c r="M444" s="14">
        <f t="shared" si="80"/>
        <v>0.21991393075355128</v>
      </c>
      <c r="N444" s="14">
        <f t="shared" si="87"/>
        <v>5.6276585751863655</v>
      </c>
      <c r="O444" s="4">
        <v>3.63</v>
      </c>
      <c r="P444" s="14">
        <f t="shared" si="90"/>
        <v>3.9906397830156202</v>
      </c>
      <c r="Q444" s="14">
        <f t="shared" si="88"/>
        <v>8.4311774818256975</v>
      </c>
    </row>
    <row r="445" spans="1:17" x14ac:dyDescent="0.25">
      <c r="A445" s="5" t="s">
        <v>502</v>
      </c>
      <c r="B445" s="6">
        <f t="shared" si="89"/>
        <v>2</v>
      </c>
      <c r="C445" s="58">
        <v>14.094885830000001</v>
      </c>
      <c r="D445" s="4">
        <v>1.3</v>
      </c>
      <c r="E445" s="12">
        <f t="shared" si="78"/>
        <v>0</v>
      </c>
      <c r="F445" s="12">
        <f t="shared" si="79"/>
        <v>1.3</v>
      </c>
      <c r="G445" s="16">
        <f t="shared" si="81"/>
        <v>3.7086861101504871</v>
      </c>
      <c r="H445" s="14">
        <f t="shared" si="82"/>
        <v>9.2457593949535843E-2</v>
      </c>
      <c r="I445" s="14">
        <f t="shared" si="83"/>
        <v>6.7904038918270029</v>
      </c>
      <c r="J445" s="14">
        <f t="shared" si="84"/>
        <v>0.26869007518867721</v>
      </c>
      <c r="K445" s="14">
        <f t="shared" si="85"/>
        <v>3.8367417809796116</v>
      </c>
      <c r="L445" s="14">
        <f t="shared" si="86"/>
        <v>669.90459467735639</v>
      </c>
      <c r="M445" s="14">
        <f t="shared" si="80"/>
        <v>0.21283111618130818</v>
      </c>
      <c r="N445" s="14">
        <f t="shared" si="87"/>
        <v>5.4464073828341704</v>
      </c>
      <c r="O445" s="4">
        <v>3.5</v>
      </c>
      <c r="P445" s="14">
        <f t="shared" si="90"/>
        <v>3.7885016999513645</v>
      </c>
      <c r="Q445" s="14">
        <f t="shared" si="88"/>
        <v>9.2030262203314432</v>
      </c>
    </row>
    <row r="446" spans="1:17" x14ac:dyDescent="0.25">
      <c r="A446" s="5" t="s">
        <v>503</v>
      </c>
      <c r="B446" s="6">
        <f t="shared" si="89"/>
        <v>2</v>
      </c>
      <c r="C446" s="58">
        <v>15.463569639999999</v>
      </c>
      <c r="D446" s="4">
        <v>0</v>
      </c>
      <c r="E446" s="12">
        <f t="shared" si="78"/>
        <v>0</v>
      </c>
      <c r="F446" s="12">
        <f t="shared" si="79"/>
        <v>0</v>
      </c>
      <c r="G446" s="16">
        <f t="shared" si="81"/>
        <v>3.1999036459950565</v>
      </c>
      <c r="H446" s="14">
        <f t="shared" si="82"/>
        <v>0</v>
      </c>
      <c r="I446" s="14">
        <f t="shared" si="83"/>
        <v>9.6030622901091274</v>
      </c>
      <c r="J446" s="14">
        <f t="shared" si="84"/>
        <v>0.5087824641554306</v>
      </c>
      <c r="K446" s="14">
        <f t="shared" si="85"/>
        <v>3.5754649040805817</v>
      </c>
      <c r="L446" s="14">
        <f t="shared" si="86"/>
        <v>669.95304043807414</v>
      </c>
      <c r="M446" s="14">
        <f t="shared" si="80"/>
        <v>0.20282657159592968</v>
      </c>
      <c r="N446" s="14">
        <f t="shared" si="87"/>
        <v>5.1903883078541719</v>
      </c>
      <c r="O446" s="4">
        <v>3.98</v>
      </c>
      <c r="P446" s="14">
        <f t="shared" si="90"/>
        <v>1.4650398557900857</v>
      </c>
      <c r="Q446" s="14">
        <f t="shared" si="88"/>
        <v>6.5211231858486887</v>
      </c>
    </row>
    <row r="447" spans="1:17" x14ac:dyDescent="0.25">
      <c r="A447" s="5" t="s">
        <v>504</v>
      </c>
      <c r="B447" s="6">
        <f t="shared" si="89"/>
        <v>2</v>
      </c>
      <c r="C447" s="58">
        <v>15.46099663</v>
      </c>
      <c r="D447" s="4">
        <v>0</v>
      </c>
      <c r="E447" s="12">
        <f t="shared" si="78"/>
        <v>0</v>
      </c>
      <c r="F447" s="12">
        <f t="shared" si="79"/>
        <v>0</v>
      </c>
      <c r="G447" s="16">
        <f t="shared" si="81"/>
        <v>2.7611610866702438</v>
      </c>
      <c r="H447" s="14">
        <f t="shared" si="82"/>
        <v>0</v>
      </c>
      <c r="I447" s="14">
        <f t="shared" si="83"/>
        <v>9.5977747298030263</v>
      </c>
      <c r="J447" s="14">
        <f t="shared" si="84"/>
        <v>0.43874255932481265</v>
      </c>
      <c r="K447" s="14">
        <f t="shared" si="85"/>
        <v>3.3371723694444442</v>
      </c>
      <c r="L447" s="14">
        <f t="shared" si="86"/>
        <v>669.98850640111436</v>
      </c>
      <c r="M447" s="14">
        <f t="shared" si="80"/>
        <v>0.193700271675734</v>
      </c>
      <c r="N447" s="14">
        <f t="shared" si="87"/>
        <v>4.9568437578130542</v>
      </c>
      <c r="O447" s="4">
        <v>4.76</v>
      </c>
      <c r="P447" s="14">
        <f t="shared" si="90"/>
        <v>3.8747464989964418E-2</v>
      </c>
      <c r="Q447" s="14">
        <f t="shared" si="88"/>
        <v>3.1458307548142139</v>
      </c>
    </row>
    <row r="448" spans="1:17" x14ac:dyDescent="0.25">
      <c r="A448" s="5" t="s">
        <v>505</v>
      </c>
      <c r="B448" s="6">
        <f t="shared" si="89"/>
        <v>2</v>
      </c>
      <c r="C448" s="58">
        <v>16.761384960000001</v>
      </c>
      <c r="D448" s="4">
        <v>0</v>
      </c>
      <c r="E448" s="12">
        <f t="shared" si="78"/>
        <v>0</v>
      </c>
      <c r="F448" s="12">
        <f t="shared" si="79"/>
        <v>0</v>
      </c>
      <c r="G448" s="16">
        <f t="shared" si="81"/>
        <v>2.2771652394076347</v>
      </c>
      <c r="H448" s="14">
        <f t="shared" si="82"/>
        <v>0</v>
      </c>
      <c r="I448" s="14">
        <f t="shared" si="83"/>
        <v>12.270085259583144</v>
      </c>
      <c r="J448" s="14">
        <f t="shared" si="84"/>
        <v>0.48399584726260897</v>
      </c>
      <c r="K448" s="14">
        <f t="shared" si="85"/>
        <v>3.1198422607212808</v>
      </c>
      <c r="L448" s="14">
        <f t="shared" si="86"/>
        <v>670.01213623816182</v>
      </c>
      <c r="M448" s="14">
        <f t="shared" si="80"/>
        <v>0.18537495824977465</v>
      </c>
      <c r="N448" s="14">
        <f t="shared" si="87"/>
        <v>4.7437966746556919</v>
      </c>
      <c r="O448" s="4">
        <v>4.3</v>
      </c>
      <c r="P448" s="14">
        <f t="shared" si="90"/>
        <v>0.19695548843545019</v>
      </c>
      <c r="Q448" s="14">
        <f t="shared" si="88"/>
        <v>4.9891878295268528</v>
      </c>
    </row>
    <row r="449" spans="1:17" x14ac:dyDescent="0.25">
      <c r="A449" s="5" t="s">
        <v>506</v>
      </c>
      <c r="B449" s="6">
        <f t="shared" si="89"/>
        <v>2</v>
      </c>
      <c r="C449" s="58">
        <v>15.119963650000001</v>
      </c>
      <c r="D449" s="4">
        <v>0</v>
      </c>
      <c r="E449" s="12">
        <f t="shared" si="78"/>
        <v>0</v>
      </c>
      <c r="F449" s="12">
        <f t="shared" si="79"/>
        <v>0</v>
      </c>
      <c r="G449" s="16">
        <f t="shared" si="81"/>
        <v>1.9877389734141417</v>
      </c>
      <c r="H449" s="14">
        <f t="shared" si="82"/>
        <v>0</v>
      </c>
      <c r="I449" s="14">
        <f t="shared" si="83"/>
        <v>8.8969486746689483</v>
      </c>
      <c r="J449" s="14">
        <f t="shared" si="84"/>
        <v>0.28942626599349291</v>
      </c>
      <c r="K449" s="14">
        <f t="shared" si="85"/>
        <v>2.9216305281139463</v>
      </c>
      <c r="L449" s="14">
        <f t="shared" si="86"/>
        <v>670.02497301251935</v>
      </c>
      <c r="M449" s="14">
        <f t="shared" si="80"/>
        <v>0.17778016949373565</v>
      </c>
      <c r="N449" s="14">
        <f t="shared" si="87"/>
        <v>4.5494439207251105</v>
      </c>
      <c r="O449" s="4">
        <v>3.85</v>
      </c>
      <c r="P449" s="14">
        <f t="shared" si="90"/>
        <v>0.48922179823931455</v>
      </c>
      <c r="Q449" s="14">
        <f t="shared" si="88"/>
        <v>7.2019719243544342</v>
      </c>
    </row>
    <row r="450" spans="1:17" x14ac:dyDescent="0.25">
      <c r="A450" s="5" t="s">
        <v>507</v>
      </c>
      <c r="B450" s="6">
        <f t="shared" si="89"/>
        <v>2</v>
      </c>
      <c r="C450" s="58">
        <v>14.91418839</v>
      </c>
      <c r="D450" s="4">
        <v>0</v>
      </c>
      <c r="E450" s="12">
        <f t="shared" si="78"/>
        <v>0</v>
      </c>
      <c r="F450" s="12">
        <f t="shared" si="79"/>
        <v>0</v>
      </c>
      <c r="G450" s="16">
        <f t="shared" si="81"/>
        <v>1.747106548108911</v>
      </c>
      <c r="H450" s="14">
        <f t="shared" si="82"/>
        <v>0</v>
      </c>
      <c r="I450" s="14">
        <f t="shared" si="83"/>
        <v>8.4740785355111736</v>
      </c>
      <c r="J450" s="14">
        <f t="shared" si="84"/>
        <v>0.24063242530523068</v>
      </c>
      <c r="K450" s="14">
        <f t="shared" si="85"/>
        <v>2.7408553415830883</v>
      </c>
      <c r="L450" s="14">
        <f t="shared" si="86"/>
        <v>670.02796802955652</v>
      </c>
      <c r="M450" s="14">
        <f t="shared" si="80"/>
        <v>0.17085164206012027</v>
      </c>
      <c r="N450" s="14">
        <f t="shared" si="87"/>
        <v>4.3721409791079386</v>
      </c>
      <c r="O450" s="4">
        <v>3.39</v>
      </c>
      <c r="P450" s="14">
        <f t="shared" si="90"/>
        <v>0.96460090284310007</v>
      </c>
      <c r="Q450" s="14">
        <f t="shared" si="88"/>
        <v>9.8825289990670733</v>
      </c>
    </row>
    <row r="451" spans="1:17" x14ac:dyDescent="0.25">
      <c r="A451" s="5" t="s">
        <v>508</v>
      </c>
      <c r="B451" s="6">
        <f t="shared" si="89"/>
        <v>2</v>
      </c>
      <c r="C451" s="58">
        <v>15.79434013</v>
      </c>
      <c r="D451" s="4">
        <v>1.3</v>
      </c>
      <c r="E451" s="12">
        <f t="shared" si="78"/>
        <v>0</v>
      </c>
      <c r="F451" s="12">
        <f t="shared" si="79"/>
        <v>1.3</v>
      </c>
      <c r="G451" s="16">
        <f t="shared" si="81"/>
        <v>2.7180919313718794</v>
      </c>
      <c r="H451" s="14">
        <f t="shared" si="82"/>
        <v>7.2369478512321173E-2</v>
      </c>
      <c r="I451" s="14">
        <f t="shared" si="83"/>
        <v>10.282798829553103</v>
      </c>
      <c r="J451" s="14">
        <f t="shared" si="84"/>
        <v>0.2566451382247108</v>
      </c>
      <c r="K451" s="14">
        <f t="shared" si="85"/>
        <v>2.6483522990019872</v>
      </c>
      <c r="L451" s="14">
        <f t="shared" si="86"/>
        <v>670.02198890858983</v>
      </c>
      <c r="M451" s="14">
        <f t="shared" si="80"/>
        <v>0.16730470769721906</v>
      </c>
      <c r="N451" s="14">
        <f t="shared" si="87"/>
        <v>4.2813739435017517</v>
      </c>
      <c r="O451" s="4">
        <v>3.23</v>
      </c>
      <c r="P451" s="14">
        <f t="shared" si="90"/>
        <v>1.1053871690744246</v>
      </c>
      <c r="Q451" s="14">
        <f t="shared" si="88"/>
        <v>10.914096677227992</v>
      </c>
    </row>
    <row r="452" spans="1:17" x14ac:dyDescent="0.25">
      <c r="A452" s="5" t="s">
        <v>509</v>
      </c>
      <c r="B452" s="6">
        <f t="shared" si="89"/>
        <v>2</v>
      </c>
      <c r="C452" s="58">
        <v>16.333497999999999</v>
      </c>
      <c r="D452" s="4">
        <v>6.8</v>
      </c>
      <c r="E452" s="12">
        <f t="shared" si="78"/>
        <v>0</v>
      </c>
      <c r="F452" s="12">
        <f t="shared" si="79"/>
        <v>6.8</v>
      </c>
      <c r="G452" s="16">
        <f t="shared" si="81"/>
        <v>8.5969884851792902</v>
      </c>
      <c r="H452" s="14">
        <f t="shared" si="82"/>
        <v>0.47880066931120552</v>
      </c>
      <c r="I452" s="14">
        <f t="shared" si="83"/>
        <v>11.390773439887246</v>
      </c>
      <c r="J452" s="14">
        <f t="shared" si="84"/>
        <v>0.44230277688138409</v>
      </c>
      <c r="K452" s="14">
        <f t="shared" si="85"/>
        <v>2.970417874520177</v>
      </c>
      <c r="L452" s="14">
        <f t="shared" si="86"/>
        <v>670.01141929468565</v>
      </c>
      <c r="M452" s="14">
        <f t="shared" si="80"/>
        <v>0.17964732870178224</v>
      </c>
      <c r="N452" s="14">
        <f t="shared" si="87"/>
        <v>4.5972250435143582</v>
      </c>
      <c r="O452" s="4">
        <v>3.67</v>
      </c>
      <c r="P452" s="14">
        <f t="shared" si="90"/>
        <v>0.8597462813202037</v>
      </c>
      <c r="Q452" s="14">
        <f t="shared" si="88"/>
        <v>8.2004855622854684</v>
      </c>
    </row>
    <row r="453" spans="1:17" x14ac:dyDescent="0.25">
      <c r="A453" s="5" t="s">
        <v>510</v>
      </c>
      <c r="B453" s="6">
        <f t="shared" si="89"/>
        <v>3</v>
      </c>
      <c r="C453" s="58">
        <v>15.06979179</v>
      </c>
      <c r="D453" s="4">
        <v>5.5</v>
      </c>
      <c r="E453" s="12">
        <f t="shared" si="78"/>
        <v>0</v>
      </c>
      <c r="F453" s="12">
        <f t="shared" si="79"/>
        <v>5.5</v>
      </c>
      <c r="G453" s="16">
        <f t="shared" si="81"/>
        <v>12.20483700186673</v>
      </c>
      <c r="H453" s="14">
        <f t="shared" si="82"/>
        <v>0.71423575178639331</v>
      </c>
      <c r="I453" s="14">
        <f t="shared" si="83"/>
        <v>9.5910369966556797</v>
      </c>
      <c r="J453" s="14">
        <f t="shared" si="84"/>
        <v>1.177915731526167</v>
      </c>
      <c r="K453" s="14">
        <f t="shared" si="85"/>
        <v>3.4995866513817</v>
      </c>
      <c r="L453" s="14">
        <f t="shared" si="86"/>
        <v>670.01683894090877</v>
      </c>
      <c r="M453" s="14">
        <f t="shared" si="80"/>
        <v>0.19993166143095947</v>
      </c>
      <c r="N453" s="14">
        <f t="shared" si="87"/>
        <v>5.116306752590873</v>
      </c>
      <c r="O453" s="4">
        <v>4.2</v>
      </c>
      <c r="P453" s="14">
        <f t="shared" si="90"/>
        <v>0.839618064843631</v>
      </c>
      <c r="Q453" s="14">
        <f t="shared" si="88"/>
        <v>5.4459176283774253</v>
      </c>
    </row>
    <row r="454" spans="1:17" x14ac:dyDescent="0.25">
      <c r="A454" s="5" t="s">
        <v>511</v>
      </c>
      <c r="B454" s="6">
        <f t="shared" si="89"/>
        <v>3</v>
      </c>
      <c r="C454" s="58">
        <v>13.959643359999999</v>
      </c>
      <c r="D454" s="4">
        <v>3.9</v>
      </c>
      <c r="E454" s="12">
        <f t="shared" si="78"/>
        <v>0</v>
      </c>
      <c r="F454" s="12">
        <f t="shared" si="79"/>
        <v>3.9</v>
      </c>
      <c r="G454" s="16">
        <f t="shared" si="81"/>
        <v>14.215749745589809</v>
      </c>
      <c r="H454" s="14">
        <f t="shared" si="82"/>
        <v>0.61015777630679224</v>
      </c>
      <c r="I454" s="14">
        <f t="shared" si="83"/>
        <v>7.3352058113041227</v>
      </c>
      <c r="J454" s="14">
        <f t="shared" si="84"/>
        <v>1.2789294799701294</v>
      </c>
      <c r="K454" s="14">
        <f t="shared" si="85"/>
        <v>3.8781268493326051</v>
      </c>
      <c r="L454" s="14">
        <f t="shared" si="86"/>
        <v>670.04852485783374</v>
      </c>
      <c r="M454" s="14">
        <f t="shared" si="80"/>
        <v>0.21444792747676705</v>
      </c>
      <c r="N454" s="14">
        <f t="shared" si="87"/>
        <v>5.4877820329992133</v>
      </c>
      <c r="O454" s="4">
        <v>5</v>
      </c>
      <c r="P454" s="14">
        <f t="shared" si="90"/>
        <v>0.23793131171684562</v>
      </c>
      <c r="Q454" s="14">
        <f t="shared" si="88"/>
        <v>2.3520792375728359</v>
      </c>
    </row>
    <row r="455" spans="1:17" x14ac:dyDescent="0.25">
      <c r="A455" s="5" t="s">
        <v>512</v>
      </c>
      <c r="B455" s="6">
        <f t="shared" si="89"/>
        <v>3</v>
      </c>
      <c r="C455" s="58">
        <v>16.003147129999999</v>
      </c>
      <c r="D455" s="4">
        <v>1.3</v>
      </c>
      <c r="E455" s="12">
        <f t="shared" si="78"/>
        <v>0</v>
      </c>
      <c r="F455" s="12">
        <f t="shared" si="79"/>
        <v>1.3</v>
      </c>
      <c r="G455" s="16">
        <f t="shared" si="81"/>
        <v>12.962254380759909</v>
      </c>
      <c r="H455" s="14">
        <f t="shared" si="82"/>
        <v>0.22056240750811318</v>
      </c>
      <c r="I455" s="14">
        <f t="shared" si="83"/>
        <v>11.487623098197437</v>
      </c>
      <c r="J455" s="14">
        <f t="shared" si="84"/>
        <v>2.3329329573217881</v>
      </c>
      <c r="K455" s="14">
        <f t="shared" si="85"/>
        <v>3.8337717647181444</v>
      </c>
      <c r="L455" s="14">
        <f t="shared" si="86"/>
        <v>670.09899442247956</v>
      </c>
      <c r="M455" s="14">
        <f t="shared" si="80"/>
        <v>0.21275848349413951</v>
      </c>
      <c r="N455" s="14">
        <f t="shared" si="87"/>
        <v>5.444548692193778</v>
      </c>
      <c r="O455" s="4">
        <v>4.55</v>
      </c>
      <c r="P455" s="14">
        <f t="shared" si="90"/>
        <v>0.80021736270559896</v>
      </c>
      <c r="Q455" s="14">
        <f t="shared" si="88"/>
        <v>3.9348633324004187</v>
      </c>
    </row>
    <row r="456" spans="1:17" x14ac:dyDescent="0.25">
      <c r="A456" s="5" t="s">
        <v>513</v>
      </c>
      <c r="B456" s="6">
        <f t="shared" si="89"/>
        <v>3</v>
      </c>
      <c r="C456" s="58">
        <v>16.038702010000002</v>
      </c>
      <c r="D456" s="4">
        <v>3.8</v>
      </c>
      <c r="E456" s="12">
        <f t="shared" si="78"/>
        <v>0</v>
      </c>
      <c r="F456" s="12">
        <f t="shared" si="79"/>
        <v>3.8</v>
      </c>
      <c r="G456" s="16">
        <f t="shared" si="81"/>
        <v>14.007804390908207</v>
      </c>
      <c r="H456" s="14">
        <f t="shared" si="82"/>
        <v>0.61384843996692795</v>
      </c>
      <c r="I456" s="14">
        <f t="shared" si="83"/>
        <v>11.559870921036261</v>
      </c>
      <c r="J456" s="14">
        <f t="shared" si="84"/>
        <v>2.1406015498847721</v>
      </c>
      <c r="K456" s="14">
        <f t="shared" si="85"/>
        <v>4.1866045980181816</v>
      </c>
      <c r="L456" s="14">
        <f t="shared" si="86"/>
        <v>670.14725154565224</v>
      </c>
      <c r="M456" s="14">
        <f t="shared" si="80"/>
        <v>0.22629289198886166</v>
      </c>
      <c r="N456" s="14">
        <f t="shared" si="87"/>
        <v>5.7908979651316335</v>
      </c>
      <c r="O456" s="4">
        <v>4.13</v>
      </c>
      <c r="P456" s="14">
        <f t="shared" si="90"/>
        <v>2.7585820505784011</v>
      </c>
      <c r="Q456" s="14">
        <f t="shared" si="88"/>
        <v>5.7775284875728286</v>
      </c>
    </row>
    <row r="457" spans="1:17" x14ac:dyDescent="0.25">
      <c r="A457" s="5" t="s">
        <v>514</v>
      </c>
      <c r="B457" s="6">
        <f t="shared" si="89"/>
        <v>3</v>
      </c>
      <c r="C457" s="58">
        <v>15.707129480000001</v>
      </c>
      <c r="D457" s="4">
        <v>5</v>
      </c>
      <c r="E457" s="12">
        <f t="shared" si="78"/>
        <v>0</v>
      </c>
      <c r="F457" s="12">
        <f t="shared" si="79"/>
        <v>5</v>
      </c>
      <c r="G457" s="16">
        <f t="shared" si="81"/>
        <v>15.987668572051426</v>
      </c>
      <c r="H457" s="14">
        <f t="shared" si="82"/>
        <v>0.84169781680379074</v>
      </c>
      <c r="I457" s="14">
        <f t="shared" si="83"/>
        <v>10.886112680095527</v>
      </c>
      <c r="J457" s="14">
        <f t="shared" si="84"/>
        <v>2.1784380020529897</v>
      </c>
      <c r="K457" s="14">
        <f t="shared" si="85"/>
        <v>4.7362483530939086</v>
      </c>
      <c r="L457" s="14">
        <f t="shared" si="86"/>
        <v>670.21301271539141</v>
      </c>
      <c r="M457" s="14">
        <f t="shared" si="80"/>
        <v>0.24737482742318223</v>
      </c>
      <c r="N457" s="14">
        <f t="shared" si="87"/>
        <v>6.3303905489890733</v>
      </c>
      <c r="O457" s="4">
        <v>4.38</v>
      </c>
      <c r="P457" s="14">
        <f t="shared" si="90"/>
        <v>3.8040232935858991</v>
      </c>
      <c r="Q457" s="14">
        <f t="shared" si="88"/>
        <v>4.6382039904463941</v>
      </c>
    </row>
    <row r="458" spans="1:17" x14ac:dyDescent="0.25">
      <c r="A458" s="5" t="s">
        <v>515</v>
      </c>
      <c r="B458" s="6">
        <f t="shared" si="89"/>
        <v>3</v>
      </c>
      <c r="C458" s="58">
        <v>16.969717030000002</v>
      </c>
      <c r="D458" s="4">
        <v>10.199999999999999</v>
      </c>
      <c r="E458" s="12">
        <f t="shared" si="78"/>
        <v>0</v>
      </c>
      <c r="F458" s="12">
        <f t="shared" si="79"/>
        <v>10.199999999999999</v>
      </c>
      <c r="G458" s="16">
        <f t="shared" si="81"/>
        <v>21.273287486388075</v>
      </c>
      <c r="H458" s="14">
        <f t="shared" si="82"/>
        <v>1.8420736779567752</v>
      </c>
      <c r="I458" s="14">
        <f t="shared" si="83"/>
        <v>13.451701472151578</v>
      </c>
      <c r="J458" s="14">
        <f t="shared" si="84"/>
        <v>3.0723074077065751</v>
      </c>
      <c r="K458" s="14">
        <f t="shared" si="85"/>
        <v>6.2379161965241261</v>
      </c>
      <c r="L458" s="14">
        <f t="shared" si="86"/>
        <v>670.30604372249479</v>
      </c>
      <c r="M458" s="14">
        <f t="shared" si="80"/>
        <v>0.30495388707206728</v>
      </c>
      <c r="N458" s="14">
        <f t="shared" si="87"/>
        <v>7.8038546795872765</v>
      </c>
      <c r="O458" s="4">
        <v>5.43</v>
      </c>
      <c r="P458" s="14">
        <f t="shared" si="90"/>
        <v>5.6351860397984126</v>
      </c>
      <c r="Q458" s="14">
        <f t="shared" si="88"/>
        <v>1.2180411025153695</v>
      </c>
    </row>
    <row r="459" spans="1:17" x14ac:dyDescent="0.25">
      <c r="A459" s="5" t="s">
        <v>516</v>
      </c>
      <c r="B459" s="6">
        <f t="shared" si="89"/>
        <v>3</v>
      </c>
      <c r="C459" s="58">
        <v>16.890096660000001</v>
      </c>
      <c r="D459" s="4">
        <v>11.1</v>
      </c>
      <c r="E459" s="12">
        <f t="shared" si="78"/>
        <v>0</v>
      </c>
      <c r="F459" s="12">
        <f t="shared" si="79"/>
        <v>11.1</v>
      </c>
      <c r="G459" s="16">
        <f t="shared" si="81"/>
        <v>26.001118434436151</v>
      </c>
      <c r="H459" s="14">
        <f t="shared" si="82"/>
        <v>2.3333068937742363</v>
      </c>
      <c r="I459" s="14">
        <f t="shared" si="83"/>
        <v>13.289912193545625</v>
      </c>
      <c r="J459" s="14">
        <f t="shared" si="84"/>
        <v>4.0388621581776842</v>
      </c>
      <c r="K459" s="14">
        <f t="shared" si="85"/>
        <v>8.0987165965469252</v>
      </c>
      <c r="L459" s="14">
        <f t="shared" si="86"/>
        <v>670.47359632917414</v>
      </c>
      <c r="M459" s="14">
        <f t="shared" si="80"/>
        <v>0.37631439287396062</v>
      </c>
      <c r="N459" s="14">
        <f t="shared" si="87"/>
        <v>9.629989845420452</v>
      </c>
      <c r="O459" s="4">
        <v>5.18</v>
      </c>
      <c r="P459" s="14">
        <f t="shared" si="90"/>
        <v>19.802409624345142</v>
      </c>
      <c r="Q459" s="14">
        <f t="shared" si="88"/>
        <v>1.832365599641804</v>
      </c>
    </row>
    <row r="460" spans="1:17" x14ac:dyDescent="0.25">
      <c r="A460" s="5" t="s">
        <v>517</v>
      </c>
      <c r="B460" s="6">
        <f t="shared" si="89"/>
        <v>3</v>
      </c>
      <c r="C460" s="58">
        <v>15.50874043</v>
      </c>
      <c r="D460" s="4">
        <v>8.4</v>
      </c>
      <c r="E460" s="12">
        <f t="shared" si="78"/>
        <v>0</v>
      </c>
      <c r="F460" s="12">
        <f t="shared" si="79"/>
        <v>8.4</v>
      </c>
      <c r="G460" s="16">
        <f t="shared" si="81"/>
        <v>28.542735442608354</v>
      </c>
      <c r="H460" s="14">
        <f t="shared" si="82"/>
        <v>1.9645324268946829</v>
      </c>
      <c r="I460" s="14">
        <f t="shared" si="83"/>
        <v>10.482984419289654</v>
      </c>
      <c r="J460" s="14">
        <f t="shared" si="84"/>
        <v>3.8938505649331123</v>
      </c>
      <c r="K460" s="14">
        <f t="shared" si="85"/>
        <v>9.4270492331969677</v>
      </c>
      <c r="L460" s="14">
        <f t="shared" si="86"/>
        <v>670.73348172654482</v>
      </c>
      <c r="M460" s="14">
        <f t="shared" si="80"/>
        <v>0.4272848364484545</v>
      </c>
      <c r="N460" s="14">
        <f t="shared" si="87"/>
        <v>10.934337654948298</v>
      </c>
      <c r="O460" s="4">
        <v>6.86</v>
      </c>
      <c r="P460" s="14">
        <f t="shared" si="90"/>
        <v>16.600227326529591</v>
      </c>
      <c r="Q460" s="14">
        <f t="shared" si="88"/>
        <v>0.10650497895216425</v>
      </c>
    </row>
    <row r="461" spans="1:17" x14ac:dyDescent="0.25">
      <c r="A461" s="5" t="s">
        <v>518</v>
      </c>
      <c r="B461" s="6">
        <f t="shared" si="89"/>
        <v>3</v>
      </c>
      <c r="C461" s="58">
        <v>15.660676</v>
      </c>
      <c r="D461" s="4">
        <v>4.4000000000000004</v>
      </c>
      <c r="E461" s="12">
        <f t="shared" si="78"/>
        <v>0</v>
      </c>
      <c r="F461" s="12">
        <f t="shared" si="79"/>
        <v>4.4000000000000004</v>
      </c>
      <c r="G461" s="16">
        <f t="shared" si="81"/>
        <v>27.461029369263919</v>
      </c>
      <c r="H461" s="14">
        <f t="shared" si="82"/>
        <v>1.0813428782792176</v>
      </c>
      <c r="I461" s="14">
        <f t="shared" si="83"/>
        <v>10.791718808050774</v>
      </c>
      <c r="J461" s="14">
        <f t="shared" si="84"/>
        <v>4.4003631950652169</v>
      </c>
      <c r="K461" s="14">
        <f t="shared" si="85"/>
        <v>9.7553398376819462</v>
      </c>
      <c r="L461" s="14">
        <f t="shared" si="86"/>
        <v>671.05924916389063</v>
      </c>
      <c r="M461" s="14">
        <f t="shared" si="80"/>
        <v>0.43993736122593718</v>
      </c>
      <c r="N461" s="14">
        <f t="shared" si="87"/>
        <v>11.258119278594295</v>
      </c>
      <c r="O461" s="4">
        <v>8.7799999999999994</v>
      </c>
      <c r="P461" s="14">
        <f t="shared" si="90"/>
        <v>6.141075158940712</v>
      </c>
      <c r="Q461" s="14">
        <f t="shared" si="88"/>
        <v>5.046092841021145</v>
      </c>
    </row>
    <row r="462" spans="1:17" x14ac:dyDescent="0.25">
      <c r="A462" s="5" t="s">
        <v>519</v>
      </c>
      <c r="B462" s="6">
        <f t="shared" si="89"/>
        <v>3</v>
      </c>
      <c r="C462" s="58">
        <v>14.912905690000001</v>
      </c>
      <c r="D462" s="4">
        <v>5.8</v>
      </c>
      <c r="E462" s="12">
        <f t="shared" si="78"/>
        <v>0</v>
      </c>
      <c r="F462" s="12">
        <f t="shared" si="79"/>
        <v>5.8</v>
      </c>
      <c r="G462" s="16">
        <f t="shared" si="81"/>
        <v>28.227090520641553</v>
      </c>
      <c r="H462" s="14">
        <f t="shared" si="82"/>
        <v>1.3964310573749206</v>
      </c>
      <c r="I462" s="14">
        <f t="shared" si="83"/>
        <v>9.2722430882337381</v>
      </c>
      <c r="J462" s="14">
        <f t="shared" si="84"/>
        <v>3.6375077912474434</v>
      </c>
      <c r="K462" s="14">
        <f t="shared" si="85"/>
        <v>10.369839128730685</v>
      </c>
      <c r="L462" s="14">
        <f t="shared" si="86"/>
        <v>671.40124356899094</v>
      </c>
      <c r="M462" s="14">
        <f t="shared" si="80"/>
        <v>0.46356378299038314</v>
      </c>
      <c r="N462" s="14">
        <f t="shared" si="87"/>
        <v>11.862725974441402</v>
      </c>
      <c r="O462" s="4">
        <v>11.51</v>
      </c>
      <c r="P462" s="14">
        <f t="shared" si="90"/>
        <v>0.12441561304563639</v>
      </c>
      <c r="Q462" s="14">
        <f t="shared" si="88"/>
        <v>24.764069332400481</v>
      </c>
    </row>
    <row r="463" spans="1:17" x14ac:dyDescent="0.25">
      <c r="A463" s="5" t="s">
        <v>520</v>
      </c>
      <c r="B463" s="6">
        <f t="shared" si="89"/>
        <v>3</v>
      </c>
      <c r="C463" s="58">
        <v>16.07279587</v>
      </c>
      <c r="D463" s="4">
        <v>4</v>
      </c>
      <c r="E463" s="12">
        <f t="shared" si="78"/>
        <v>0</v>
      </c>
      <c r="F463" s="12">
        <f t="shared" si="79"/>
        <v>4</v>
      </c>
      <c r="G463" s="16">
        <f t="shared" si="81"/>
        <v>26.560454968603874</v>
      </c>
      <c r="H463" s="14">
        <f t="shared" si="82"/>
        <v>0.977245079473399</v>
      </c>
      <c r="I463" s="14">
        <f t="shared" si="83"/>
        <v>11.629149938633041</v>
      </c>
      <c r="J463" s="14">
        <f t="shared" si="84"/>
        <v>4.6893904725642797</v>
      </c>
      <c r="K463" s="14">
        <f t="shared" si="85"/>
        <v>10.511095373401739</v>
      </c>
      <c r="L463" s="14">
        <f t="shared" si="86"/>
        <v>671.77366862080282</v>
      </c>
      <c r="M463" s="14">
        <f t="shared" si="80"/>
        <v>0.46905712010644707</v>
      </c>
      <c r="N463" s="14">
        <f t="shared" si="87"/>
        <v>12.003301997168455</v>
      </c>
      <c r="O463" s="4">
        <v>12.55</v>
      </c>
      <c r="P463" s="14">
        <f t="shared" si="90"/>
        <v>0.29887870630000085</v>
      </c>
      <c r="Q463" s="14">
        <f t="shared" si="88"/>
        <v>36.196479424354528</v>
      </c>
    </row>
    <row r="464" spans="1:17" x14ac:dyDescent="0.25">
      <c r="A464" s="5" t="s">
        <v>521</v>
      </c>
      <c r="B464" s="6">
        <f t="shared" si="89"/>
        <v>3</v>
      </c>
      <c r="C464" s="58">
        <v>15.50827694</v>
      </c>
      <c r="D464" s="4">
        <v>8</v>
      </c>
      <c r="E464" s="12">
        <f t="shared" si="78"/>
        <v>0</v>
      </c>
      <c r="F464" s="12">
        <f t="shared" si="79"/>
        <v>8</v>
      </c>
      <c r="G464" s="16">
        <f t="shared" si="81"/>
        <v>28.690925277163551</v>
      </c>
      <c r="H464" s="14">
        <f t="shared" si="82"/>
        <v>1.8922719002958637</v>
      </c>
      <c r="I464" s="14">
        <f t="shared" si="83"/>
        <v>10.482042603611818</v>
      </c>
      <c r="J464" s="14">
        <f t="shared" si="84"/>
        <v>3.9772577911444582</v>
      </c>
      <c r="K464" s="14">
        <f t="shared" si="85"/>
        <v>11.554952226852217</v>
      </c>
      <c r="L464" s="14">
        <f t="shared" si="86"/>
        <v>672.1530265475418</v>
      </c>
      <c r="M464" s="14">
        <f t="shared" si="80"/>
        <v>0.50914885492610107</v>
      </c>
      <c r="N464" s="14">
        <f t="shared" si="87"/>
        <v>13.029260627796408</v>
      </c>
      <c r="O464" s="4">
        <v>12.38</v>
      </c>
      <c r="P464" s="14">
        <f t="shared" si="90"/>
        <v>0.42153936280658427</v>
      </c>
      <c r="Q464" s="14">
        <f t="shared" si="88"/>
        <v>34.179820082400504</v>
      </c>
    </row>
    <row r="465" spans="1:17" x14ac:dyDescent="0.25">
      <c r="A465" s="5" t="s">
        <v>522</v>
      </c>
      <c r="B465" s="6">
        <f t="shared" si="89"/>
        <v>3</v>
      </c>
      <c r="C465" s="58">
        <v>15.387721060000001</v>
      </c>
      <c r="D465" s="4">
        <v>0.5</v>
      </c>
      <c r="E465" s="12">
        <f t="shared" si="78"/>
        <v>0</v>
      </c>
      <c r="F465" s="12">
        <f t="shared" si="79"/>
        <v>0.5</v>
      </c>
      <c r="G465" s="16">
        <f t="shared" si="81"/>
        <v>24.871830890066981</v>
      </c>
      <c r="H465" s="14">
        <f t="shared" si="82"/>
        <v>0.1232185950618525</v>
      </c>
      <c r="I465" s="14">
        <f t="shared" si="83"/>
        <v>10.237072015596397</v>
      </c>
      <c r="J465" s="14">
        <f t="shared" si="84"/>
        <v>4.1958757920347178</v>
      </c>
      <c r="K465" s="14">
        <f t="shared" si="85"/>
        <v>10.737928425178692</v>
      </c>
      <c r="L465" s="14">
        <f t="shared" si="86"/>
        <v>672.58412008935102</v>
      </c>
      <c r="M465" s="14">
        <f t="shared" si="80"/>
        <v>0.47792349244992516</v>
      </c>
      <c r="N465" s="14">
        <f t="shared" si="87"/>
        <v>12.230194928319266</v>
      </c>
      <c r="O465" s="4">
        <v>12.32</v>
      </c>
      <c r="P465" s="14">
        <f t="shared" si="90"/>
        <v>8.0649508995818391E-3</v>
      </c>
      <c r="Q465" s="14">
        <f t="shared" si="88"/>
        <v>33.481857961710837</v>
      </c>
    </row>
    <row r="466" spans="1:17" x14ac:dyDescent="0.25">
      <c r="A466" s="5" t="s">
        <v>523</v>
      </c>
      <c r="B466" s="6">
        <f t="shared" si="89"/>
        <v>3</v>
      </c>
      <c r="C466" s="58">
        <v>16.15230751</v>
      </c>
      <c r="D466" s="4">
        <v>1.2</v>
      </c>
      <c r="E466" s="12">
        <f t="shared" si="78"/>
        <v>0</v>
      </c>
      <c r="F466" s="12">
        <f t="shared" si="79"/>
        <v>1.2</v>
      </c>
      <c r="G466" s="16">
        <f t="shared" si="81"/>
        <v>21.608344707257082</v>
      </c>
      <c r="H466" s="14">
        <f t="shared" si="82"/>
        <v>0.27410064172946291</v>
      </c>
      <c r="I466" s="14">
        <f t="shared" si="83"/>
        <v>11.79071827694114</v>
      </c>
      <c r="J466" s="14">
        <f t="shared" si="84"/>
        <v>4.1893855410804379</v>
      </c>
      <c r="K466" s="14">
        <f t="shared" si="85"/>
        <v>10.14365967676054</v>
      </c>
      <c r="L466" s="14">
        <f t="shared" si="86"/>
        <v>672.97456598704866</v>
      </c>
      <c r="M466" s="14">
        <f t="shared" si="80"/>
        <v>0.4552277755727423</v>
      </c>
      <c r="N466" s="14">
        <f t="shared" si="87"/>
        <v>11.649405229066357</v>
      </c>
      <c r="O466" s="4">
        <v>10.199999999999999</v>
      </c>
      <c r="P466" s="14">
        <f t="shared" si="90"/>
        <v>2.1007755180449004</v>
      </c>
      <c r="Q466" s="14">
        <f t="shared" si="88"/>
        <v>13.442129697342995</v>
      </c>
    </row>
    <row r="467" spans="1:17" x14ac:dyDescent="0.25">
      <c r="A467" s="5" t="s">
        <v>524</v>
      </c>
      <c r="B467" s="6">
        <f t="shared" si="89"/>
        <v>3</v>
      </c>
      <c r="C467" s="58">
        <v>16.257415770000001</v>
      </c>
      <c r="D467" s="4">
        <v>1.8</v>
      </c>
      <c r="E467" s="12">
        <f t="shared" si="78"/>
        <v>0</v>
      </c>
      <c r="F467" s="12">
        <f t="shared" si="79"/>
        <v>1.8</v>
      </c>
      <c r="G467" s="16">
        <f t="shared" si="81"/>
        <v>19.321196529881753</v>
      </c>
      <c r="H467" s="14">
        <f t="shared" si="82"/>
        <v>0.38153040793295973</v>
      </c>
      <c r="I467" s="14">
        <f t="shared" si="83"/>
        <v>12.004299167873034</v>
      </c>
      <c r="J467" s="14">
        <f t="shared" si="84"/>
        <v>3.7056177694423682</v>
      </c>
      <c r="K467" s="14">
        <f t="shared" si="85"/>
        <v>9.7090980964801634</v>
      </c>
      <c r="L467" s="14">
        <f t="shared" si="86"/>
        <v>673.3354301996892</v>
      </c>
      <c r="M467" s="14">
        <f t="shared" si="80"/>
        <v>0.43864740738440078</v>
      </c>
      <c r="N467" s="14">
        <f t="shared" si="87"/>
        <v>11.225109001468867</v>
      </c>
      <c r="O467" s="4">
        <v>11.24</v>
      </c>
      <c r="P467" s="14">
        <f t="shared" si="90"/>
        <v>2.2174183725419736E-4</v>
      </c>
      <c r="Q467" s="14">
        <f t="shared" si="88"/>
        <v>22.149739789297037</v>
      </c>
    </row>
    <row r="468" spans="1:17" x14ac:dyDescent="0.25">
      <c r="A468" s="5" t="s">
        <v>525</v>
      </c>
      <c r="B468" s="6">
        <f t="shared" si="89"/>
        <v>3</v>
      </c>
      <c r="C468" s="58">
        <v>16.375110630000002</v>
      </c>
      <c r="D468" s="4">
        <v>0.5</v>
      </c>
      <c r="E468" s="12">
        <f t="shared" si="78"/>
        <v>0</v>
      </c>
      <c r="F468" s="12">
        <f t="shared" si="79"/>
        <v>0.5</v>
      </c>
      <c r="G468" s="16">
        <f t="shared" si="81"/>
        <v>16.341929010851452</v>
      </c>
      <c r="H468" s="14">
        <f t="shared" si="82"/>
        <v>9.9861614878679519E-2</v>
      </c>
      <c r="I468" s="14">
        <f t="shared" si="83"/>
        <v>12.243456138570714</v>
      </c>
      <c r="J468" s="14">
        <f t="shared" si="84"/>
        <v>3.37940590415162</v>
      </c>
      <c r="K468" s="14">
        <f t="shared" si="85"/>
        <v>9.0310957983353646</v>
      </c>
      <c r="L468" s="14">
        <f t="shared" si="86"/>
        <v>673.67464670532831</v>
      </c>
      <c r="M468" s="14">
        <f t="shared" si="80"/>
        <v>0.41273130105254052</v>
      </c>
      <c r="N468" s="14">
        <f t="shared" si="87"/>
        <v>10.561908641518137</v>
      </c>
      <c r="O468" s="4">
        <v>10.84</v>
      </c>
      <c r="P468" s="14">
        <f t="shared" si="90"/>
        <v>7.7334803662287885E-2</v>
      </c>
      <c r="Q468" s="14">
        <f t="shared" si="88"/>
        <v>18.544658984699328</v>
      </c>
    </row>
    <row r="469" spans="1:17" x14ac:dyDescent="0.25">
      <c r="A469" s="5" t="s">
        <v>526</v>
      </c>
      <c r="B469" s="6">
        <f t="shared" si="89"/>
        <v>3</v>
      </c>
      <c r="C469" s="58">
        <v>16.491247179999998</v>
      </c>
      <c r="D469" s="4">
        <v>9</v>
      </c>
      <c r="E469" s="12">
        <f t="shared" si="78"/>
        <v>0</v>
      </c>
      <c r="F469" s="12">
        <f t="shared" si="79"/>
        <v>9</v>
      </c>
      <c r="G469" s="16">
        <f t="shared" si="81"/>
        <v>20.784117571074574</v>
      </c>
      <c r="H469" s="14">
        <f t="shared" si="82"/>
        <v>1.6444057928642912</v>
      </c>
      <c r="I469" s="14">
        <f t="shared" si="83"/>
        <v>12.479446609907175</v>
      </c>
      <c r="J469" s="14">
        <f t="shared" si="84"/>
        <v>2.913405646912588</v>
      </c>
      <c r="K469" s="14">
        <f t="shared" si="85"/>
        <v>9.9572810613202947</v>
      </c>
      <c r="L469" s="14">
        <f t="shared" si="86"/>
        <v>673.9801359341551</v>
      </c>
      <c r="M469" s="14">
        <f t="shared" si="80"/>
        <v>0.44829699295965603</v>
      </c>
      <c r="N469" s="14">
        <f t="shared" si="87"/>
        <v>11.472044576780085</v>
      </c>
      <c r="O469" s="4">
        <v>12.08</v>
      </c>
      <c r="P469" s="14">
        <f t="shared" si="90"/>
        <v>0.36960979662250559</v>
      </c>
      <c r="Q469" s="14">
        <f t="shared" si="88"/>
        <v>30.762009478952216</v>
      </c>
    </row>
    <row r="470" spans="1:17" x14ac:dyDescent="0.25">
      <c r="A470" s="5" t="s">
        <v>527</v>
      </c>
      <c r="B470" s="6">
        <f t="shared" si="89"/>
        <v>3</v>
      </c>
      <c r="C470" s="58">
        <v>17.33141518</v>
      </c>
      <c r="D470" s="4">
        <v>0</v>
      </c>
      <c r="E470" s="12">
        <f t="shared" si="78"/>
        <v>0</v>
      </c>
      <c r="F470" s="12">
        <f t="shared" si="79"/>
        <v>0</v>
      </c>
      <c r="G470" s="16">
        <f t="shared" si="81"/>
        <v>16.571863798323079</v>
      </c>
      <c r="H470" s="14">
        <f t="shared" si="82"/>
        <v>0</v>
      </c>
      <c r="I470" s="14">
        <f t="shared" si="83"/>
        <v>14.186675232781012</v>
      </c>
      <c r="J470" s="14">
        <f t="shared" si="84"/>
        <v>4.212253772751497</v>
      </c>
      <c r="K470" s="14">
        <f t="shared" si="85"/>
        <v>9.1575846682266047</v>
      </c>
      <c r="L470" s="14">
        <f t="shared" si="86"/>
        <v>674.33153533428913</v>
      </c>
      <c r="M470" s="14">
        <f t="shared" si="80"/>
        <v>0.41771890123096017</v>
      </c>
      <c r="N470" s="14">
        <f t="shared" si="87"/>
        <v>10.68954271552839</v>
      </c>
      <c r="O470" s="4">
        <v>14.08</v>
      </c>
      <c r="P470" s="14">
        <f t="shared" si="90"/>
        <v>11.495200597826607</v>
      </c>
      <c r="Q470" s="14">
        <f t="shared" si="88"/>
        <v>56.947413501940737</v>
      </c>
    </row>
    <row r="471" spans="1:17" x14ac:dyDescent="0.25">
      <c r="A471" s="5" t="s">
        <v>528</v>
      </c>
      <c r="B471" s="6">
        <f t="shared" si="89"/>
        <v>3</v>
      </c>
      <c r="C471" s="58">
        <v>17.578620910000001</v>
      </c>
      <c r="D471" s="4">
        <v>0</v>
      </c>
      <c r="E471" s="12">
        <f t="shared" si="78"/>
        <v>0</v>
      </c>
      <c r="F471" s="12">
        <f t="shared" si="79"/>
        <v>0</v>
      </c>
      <c r="G471" s="16">
        <f t="shared" si="81"/>
        <v>13.094373882512516</v>
      </c>
      <c r="H471" s="14">
        <f t="shared" si="82"/>
        <v>0</v>
      </c>
      <c r="I471" s="14">
        <f t="shared" si="83"/>
        <v>14.688999408415436</v>
      </c>
      <c r="J471" s="14">
        <f t="shared" si="84"/>
        <v>3.4774899158105641</v>
      </c>
      <c r="K471" s="14">
        <f t="shared" si="85"/>
        <v>8.4282370018301069</v>
      </c>
      <c r="L471" s="14">
        <f t="shared" si="86"/>
        <v>674.64316409945468</v>
      </c>
      <c r="M471" s="14">
        <f t="shared" si="80"/>
        <v>0.38982886485021728</v>
      </c>
      <c r="N471" s="14">
        <f t="shared" si="87"/>
        <v>9.975828937312853</v>
      </c>
      <c r="O471" s="4">
        <v>11.83</v>
      </c>
      <c r="P471" s="14">
        <f t="shared" si="90"/>
        <v>3.4379503297063843</v>
      </c>
      <c r="Q471" s="14">
        <f t="shared" si="88"/>
        <v>28.051333976078649</v>
      </c>
    </row>
    <row r="472" spans="1:17" x14ac:dyDescent="0.25">
      <c r="A472" s="5" t="s">
        <v>529</v>
      </c>
      <c r="B472" s="6">
        <f t="shared" si="89"/>
        <v>3</v>
      </c>
      <c r="C472" s="58">
        <v>15.917634960000001</v>
      </c>
      <c r="D472" s="4">
        <v>0</v>
      </c>
      <c r="E472" s="12">
        <f t="shared" si="78"/>
        <v>0</v>
      </c>
      <c r="F472" s="12">
        <f t="shared" si="79"/>
        <v>0</v>
      </c>
      <c r="G472" s="16">
        <f t="shared" si="81"/>
        <v>10.977973112651691</v>
      </c>
      <c r="H472" s="14">
        <f t="shared" si="82"/>
        <v>0</v>
      </c>
      <c r="I472" s="14">
        <f t="shared" si="83"/>
        <v>11.313861631171735</v>
      </c>
      <c r="J472" s="14">
        <f t="shared" si="84"/>
        <v>2.1164007698608245</v>
      </c>
      <c r="K472" s="14">
        <f t="shared" si="85"/>
        <v>7.7630495343461901</v>
      </c>
      <c r="L472" s="14">
        <f t="shared" si="86"/>
        <v>674.91852270208847</v>
      </c>
      <c r="M472" s="14">
        <f t="shared" si="80"/>
        <v>0.36439041788568999</v>
      </c>
      <c r="N472" s="14">
        <f t="shared" si="87"/>
        <v>9.3248520132553292</v>
      </c>
      <c r="O472" s="4">
        <v>9.15</v>
      </c>
      <c r="P472" s="14">
        <f t="shared" si="90"/>
        <v>3.0573226539441695E-2</v>
      </c>
      <c r="Q472" s="14">
        <f t="shared" si="88"/>
        <v>6.8452925852740263</v>
      </c>
    </row>
    <row r="473" spans="1:17" x14ac:dyDescent="0.25">
      <c r="A473" s="5" t="s">
        <v>530</v>
      </c>
      <c r="B473" s="6">
        <f t="shared" si="89"/>
        <v>3</v>
      </c>
      <c r="C473" s="58">
        <v>17.550170900000001</v>
      </c>
      <c r="D473" s="4">
        <v>4.5</v>
      </c>
      <c r="E473" s="12">
        <f t="shared" si="78"/>
        <v>0</v>
      </c>
      <c r="F473" s="12">
        <f t="shared" si="79"/>
        <v>4.5</v>
      </c>
      <c r="G473" s="16">
        <f t="shared" si="81"/>
        <v>12.517912729736125</v>
      </c>
      <c r="H473" s="14">
        <f t="shared" si="82"/>
        <v>0.66547572102104779</v>
      </c>
      <c r="I473" s="14">
        <f t="shared" si="83"/>
        <v>14.631188742699711</v>
      </c>
      <c r="J473" s="14">
        <f t="shared" si="84"/>
        <v>2.2945846618945187</v>
      </c>
      <c r="K473" s="14">
        <f t="shared" si="85"/>
        <v>7.8218538594281624</v>
      </c>
      <c r="L473" s="14">
        <f t="shared" si="86"/>
        <v>675.16080368014184</v>
      </c>
      <c r="M473" s="14">
        <f t="shared" si="80"/>
        <v>0.3666957624504103</v>
      </c>
      <c r="N473" s="14">
        <f t="shared" si="87"/>
        <v>9.3838464210400137</v>
      </c>
      <c r="O473" s="4">
        <v>8.2799999999999994</v>
      </c>
      <c r="P473" s="14">
        <f t="shared" si="90"/>
        <v>1.2184769212428486</v>
      </c>
      <c r="Q473" s="14">
        <f t="shared" si="88"/>
        <v>3.0497418352740144</v>
      </c>
    </row>
    <row r="474" spans="1:17" x14ac:dyDescent="0.25">
      <c r="A474" s="5" t="s">
        <v>531</v>
      </c>
      <c r="B474" s="6">
        <f t="shared" si="89"/>
        <v>3</v>
      </c>
      <c r="C474" s="58">
        <v>16.666398999999998</v>
      </c>
      <c r="D474" s="4">
        <v>0.6</v>
      </c>
      <c r="E474" s="12">
        <f t="shared" si="78"/>
        <v>0</v>
      </c>
      <c r="F474" s="12">
        <f t="shared" si="79"/>
        <v>0.6</v>
      </c>
      <c r="G474" s="16">
        <f t="shared" si="81"/>
        <v>10.72745554702794</v>
      </c>
      <c r="H474" s="14">
        <f t="shared" si="82"/>
        <v>9.5142843264497193E-2</v>
      </c>
      <c r="I474" s="14">
        <f t="shared" si="83"/>
        <v>12.835356618920189</v>
      </c>
      <c r="J474" s="14">
        <f t="shared" si="84"/>
        <v>2.2953143394436872</v>
      </c>
      <c r="K474" s="14">
        <f t="shared" si="85"/>
        <v>7.3051523318226854</v>
      </c>
      <c r="L474" s="14">
        <f t="shared" si="86"/>
        <v>675.40595228856137</v>
      </c>
      <c r="M474" s="14">
        <f t="shared" si="80"/>
        <v>0.34694241823912025</v>
      </c>
      <c r="N474" s="14">
        <f t="shared" si="87"/>
        <v>8.8783528556330431</v>
      </c>
      <c r="O474" s="4">
        <v>8.0299999999999994</v>
      </c>
      <c r="P474" s="14">
        <f t="shared" si="90"/>
        <v>0.71970256766073992</v>
      </c>
      <c r="Q474" s="14">
        <f t="shared" si="88"/>
        <v>2.2390663324004492</v>
      </c>
    </row>
    <row r="475" spans="1:17" x14ac:dyDescent="0.25">
      <c r="A475" s="5" t="s">
        <v>532</v>
      </c>
      <c r="B475" s="6">
        <f t="shared" si="89"/>
        <v>3</v>
      </c>
      <c r="C475" s="58">
        <v>15.365821840000001</v>
      </c>
      <c r="D475" s="4">
        <v>2.4</v>
      </c>
      <c r="E475" s="12">
        <f t="shared" ref="E475:E538" si="91">IF(C475&gt;$C$9,MAX(E474-$C$10*(C475-$C$9),0),E474+D475)</f>
        <v>0</v>
      </c>
      <c r="F475" s="12">
        <f t="shared" ref="F475:F538" si="92">IF(C475&gt;$C$9,D475+MIN(E474,$C$10*(C475-$C$9)),0)</f>
        <v>2.4</v>
      </c>
      <c r="G475" s="16">
        <f t="shared" si="81"/>
        <v>11.214857303248195</v>
      </c>
      <c r="H475" s="14">
        <f t="shared" si="82"/>
        <v>0.35059170236307541</v>
      </c>
      <c r="I475" s="14">
        <f t="shared" si="83"/>
        <v>10.19257261166455</v>
      </c>
      <c r="J475" s="14">
        <f t="shared" si="84"/>
        <v>1.5620065414166706</v>
      </c>
      <c r="K475" s="14">
        <f t="shared" si="85"/>
        <v>7.089353531638138</v>
      </c>
      <c r="L475" s="14">
        <f t="shared" si="86"/>
        <v>675.62540037286988</v>
      </c>
      <c r="M475" s="14">
        <f t="shared" si="80"/>
        <v>0.33871730983009068</v>
      </c>
      <c r="N475" s="14">
        <f t="shared" si="87"/>
        <v>8.6678700466936398</v>
      </c>
      <c r="O475" s="4">
        <v>9.15</v>
      </c>
      <c r="P475" s="14">
        <f t="shared" si="90"/>
        <v>0.23244929187519339</v>
      </c>
      <c r="Q475" s="14">
        <f t="shared" si="88"/>
        <v>6.8452925852740263</v>
      </c>
    </row>
    <row r="476" spans="1:17" x14ac:dyDescent="0.25">
      <c r="A476" s="5" t="s">
        <v>533</v>
      </c>
      <c r="B476" s="6">
        <f t="shared" si="89"/>
        <v>3</v>
      </c>
      <c r="C476" s="58">
        <v>15.58304882</v>
      </c>
      <c r="D476" s="4">
        <v>1</v>
      </c>
      <c r="E476" s="12">
        <f t="shared" si="91"/>
        <v>0</v>
      </c>
      <c r="F476" s="12">
        <f t="shared" si="92"/>
        <v>1</v>
      </c>
      <c r="G476" s="16">
        <f t="shared" si="81"/>
        <v>10.361590837281945</v>
      </c>
      <c r="H476" s="14">
        <f t="shared" si="82"/>
        <v>0.14957130445187192</v>
      </c>
      <c r="I476" s="14">
        <f t="shared" si="83"/>
        <v>10.633979708717092</v>
      </c>
      <c r="J476" s="14">
        <f t="shared" si="84"/>
        <v>1.7036951615143783</v>
      </c>
      <c r="K476" s="14">
        <f t="shared" si="85"/>
        <v>6.6915180015279763</v>
      </c>
      <c r="L476" s="14">
        <f t="shared" si="86"/>
        <v>675.83408989760176</v>
      </c>
      <c r="M476" s="14">
        <f t="shared" si="80"/>
        <v>0.32351240320179686</v>
      </c>
      <c r="N476" s="14">
        <f t="shared" si="87"/>
        <v>8.2787722624904259</v>
      </c>
      <c r="O476" s="4">
        <v>13.71</v>
      </c>
      <c r="P476" s="14">
        <f t="shared" si="90"/>
        <v>29.498234736693377</v>
      </c>
      <c r="Q476" s="14">
        <f t="shared" si="88"/>
        <v>51.500013757687874</v>
      </c>
    </row>
    <row r="477" spans="1:17" x14ac:dyDescent="0.25">
      <c r="A477" s="5" t="s">
        <v>534</v>
      </c>
      <c r="B477" s="6">
        <f t="shared" si="89"/>
        <v>3</v>
      </c>
      <c r="C477" s="58">
        <v>15.8935709</v>
      </c>
      <c r="D477" s="4">
        <v>0.2</v>
      </c>
      <c r="E477" s="12">
        <f t="shared" si="91"/>
        <v>0</v>
      </c>
      <c r="F477" s="12">
        <f t="shared" si="92"/>
        <v>0.2</v>
      </c>
      <c r="G477" s="16">
        <f t="shared" si="81"/>
        <v>8.8654369245895648</v>
      </c>
      <c r="H477" s="14">
        <f t="shared" si="82"/>
        <v>2.8681994246833639E-2</v>
      </c>
      <c r="I477" s="14">
        <f t="shared" si="83"/>
        <v>11.264963253687048</v>
      </c>
      <c r="J477" s="14">
        <f t="shared" si="84"/>
        <v>1.6674719184455455</v>
      </c>
      <c r="K477" s="14">
        <f t="shared" si="85"/>
        <v>6.2077904717169314</v>
      </c>
      <c r="L477" s="14">
        <f t="shared" si="86"/>
        <v>676.0229870184578</v>
      </c>
      <c r="M477" s="14">
        <f t="shared" si="80"/>
        <v>0.30501103715241767</v>
      </c>
      <c r="N477" s="14">
        <f t="shared" si="87"/>
        <v>7.8053171660184661</v>
      </c>
      <c r="O477" s="4">
        <v>14.83</v>
      </c>
      <c r="P477" s="14">
        <f t="shared" si="90"/>
        <v>49.346168918034834</v>
      </c>
      <c r="Q477" s="14">
        <f t="shared" si="88"/>
        <v>68.829440010561427</v>
      </c>
    </row>
    <row r="478" spans="1:17" x14ac:dyDescent="0.25">
      <c r="A478" s="5" t="s">
        <v>535</v>
      </c>
      <c r="B478" s="6">
        <f t="shared" si="89"/>
        <v>3</v>
      </c>
      <c r="C478" s="58">
        <v>16.800552369999998</v>
      </c>
      <c r="D478" s="4">
        <v>0</v>
      </c>
      <c r="E478" s="12">
        <f t="shared" si="91"/>
        <v>0</v>
      </c>
      <c r="F478" s="12">
        <f t="shared" si="92"/>
        <v>0</v>
      </c>
      <c r="G478" s="16">
        <f t="shared" si="81"/>
        <v>7.2053245875147081</v>
      </c>
      <c r="H478" s="14">
        <f t="shared" si="82"/>
        <v>0</v>
      </c>
      <c r="I478" s="14">
        <f t="shared" si="83"/>
        <v>13.107957423900839</v>
      </c>
      <c r="J478" s="14">
        <f t="shared" si="84"/>
        <v>1.6601123370748563</v>
      </c>
      <c r="K478" s="14">
        <f t="shared" si="85"/>
        <v>5.7379341166922906</v>
      </c>
      <c r="L478" s="14">
        <f t="shared" si="86"/>
        <v>676.18783233632996</v>
      </c>
      <c r="M478" s="14">
        <f t="shared" si="80"/>
        <v>0.28703625852451609</v>
      </c>
      <c r="N478" s="14">
        <f t="shared" si="87"/>
        <v>7.3453375879364025</v>
      </c>
      <c r="O478" s="4">
        <v>16.329999999999998</v>
      </c>
      <c r="P478" s="14">
        <f t="shared" si="90"/>
        <v>80.724158658748436</v>
      </c>
      <c r="Q478" s="14">
        <f t="shared" si="88"/>
        <v>95.968493027802808</v>
      </c>
    </row>
    <row r="479" spans="1:17" x14ac:dyDescent="0.25">
      <c r="A479" s="5" t="s">
        <v>536</v>
      </c>
      <c r="B479" s="6">
        <f t="shared" si="89"/>
        <v>3</v>
      </c>
      <c r="C479" s="58">
        <v>14.453389169999999</v>
      </c>
      <c r="D479" s="4">
        <v>4.7</v>
      </c>
      <c r="E479" s="12">
        <f t="shared" si="91"/>
        <v>0</v>
      </c>
      <c r="F479" s="12">
        <f t="shared" si="92"/>
        <v>4.7</v>
      </c>
      <c r="G479" s="16">
        <f t="shared" si="81"/>
        <v>10.491355993532272</v>
      </c>
      <c r="H479" s="14">
        <f t="shared" si="82"/>
        <v>0.55565918250339252</v>
      </c>
      <c r="I479" s="14">
        <f t="shared" si="83"/>
        <v>8.338501556031396</v>
      </c>
      <c r="J479" s="14">
        <f t="shared" si="84"/>
        <v>0.85830941147904516</v>
      </c>
      <c r="K479" s="14">
        <f t="shared" si="85"/>
        <v>5.8650698757586106</v>
      </c>
      <c r="L479" s="14">
        <f t="shared" si="86"/>
        <v>676.32931950124248</v>
      </c>
      <c r="M479" s="14">
        <f t="shared" ref="M479:M542" si="93">MAX(0,K479-$F$9)*$F$8+K479*$F$10+L479*$F$11</f>
        <v>0.29193939936586255</v>
      </c>
      <c r="N479" s="14">
        <f t="shared" si="87"/>
        <v>7.4708103240500243</v>
      </c>
      <c r="O479" s="4">
        <v>15.02</v>
      </c>
      <c r="P479" s="14">
        <f t="shared" si="90"/>
        <v>56.990264763469689</v>
      </c>
      <c r="Q479" s="14">
        <f t="shared" si="88"/>
        <v>72.018153392745347</v>
      </c>
    </row>
    <row r="480" spans="1:17" x14ac:dyDescent="0.25">
      <c r="A480" s="5" t="s">
        <v>537</v>
      </c>
      <c r="B480" s="6">
        <f t="shared" si="89"/>
        <v>3</v>
      </c>
      <c r="C480" s="58">
        <v>14.80190468</v>
      </c>
      <c r="D480" s="4">
        <v>0.2</v>
      </c>
      <c r="E480" s="12">
        <f t="shared" si="91"/>
        <v>0</v>
      </c>
      <c r="F480" s="12">
        <f t="shared" si="92"/>
        <v>0.2</v>
      </c>
      <c r="G480" s="16">
        <f t="shared" ref="G480:G543" si="94">G479+F480-H480-J480</f>
        <v>9.3065964416825917</v>
      </c>
      <c r="H480" s="14">
        <f t="shared" ref="H480:H543" si="95">(F480*(G479/$C$11)^$C$12)</f>
        <v>2.8872382709632723E-2</v>
      </c>
      <c r="I480" s="14">
        <f t="shared" ref="I480:I543" si="96">(1+$C$13*(C480-INDEX($A$16:$A$27,B480)))*INDEX($C$16:$C$27,B480)</f>
        <v>9.0466880784738972</v>
      </c>
      <c r="J480" s="14">
        <f t="shared" ref="J480:J543" si="97">IF(G479&gt;$F$13,I480,I480*(G479/$F$13))</f>
        <v>1.3558871691400469</v>
      </c>
      <c r="K480" s="14">
        <f t="shared" ref="K480:K543" si="98">K479+H480-MAX(0,K479-$F$9)*$F$8-K479*$F$10-K479*$F$12</f>
        <v>5.454234792130344</v>
      </c>
      <c r="L480" s="14">
        <f t="shared" ref="L480:L543" si="99">L479+K479*$F$12-L479*$F$11</f>
        <v>676.47708756821453</v>
      </c>
      <c r="M480" s="14">
        <f t="shared" si="93"/>
        <v>0.27622330217010826</v>
      </c>
      <c r="N480" s="14">
        <f t="shared" ref="N480:N543" si="100">M480*$C$8*1000/(24*3600)</f>
        <v>7.0686310312281178</v>
      </c>
      <c r="O480" s="4">
        <v>13.36</v>
      </c>
      <c r="P480" s="14">
        <f t="shared" si="90"/>
        <v>39.581323501225768</v>
      </c>
      <c r="Q480" s="14">
        <f t="shared" ref="Q480:Q543" si="101">(O480-$F$23)^2</f>
        <v>46.599068053664858</v>
      </c>
    </row>
    <row r="481" spans="1:17" x14ac:dyDescent="0.25">
      <c r="A481" s="5" t="s">
        <v>538</v>
      </c>
      <c r="B481" s="6">
        <f t="shared" ref="B481:B544" si="102">MONTH(A481)</f>
        <v>3</v>
      </c>
      <c r="C481" s="58">
        <v>14.019860270000001</v>
      </c>
      <c r="D481" s="4">
        <v>0.2</v>
      </c>
      <c r="E481" s="12">
        <f t="shared" si="91"/>
        <v>0</v>
      </c>
      <c r="F481" s="12">
        <f t="shared" si="92"/>
        <v>0.2</v>
      </c>
      <c r="G481" s="16">
        <f t="shared" si="94"/>
        <v>8.4880112059199426</v>
      </c>
      <c r="H481" s="14">
        <f t="shared" si="95"/>
        <v>2.7090615648867063E-2</v>
      </c>
      <c r="I481" s="14">
        <f t="shared" si="96"/>
        <v>7.457567091825422</v>
      </c>
      <c r="J481" s="14">
        <f t="shared" si="97"/>
        <v>0.9914946201137812</v>
      </c>
      <c r="K481" s="14">
        <f t="shared" si="98"/>
        <v>5.0777588134839808</v>
      </c>
      <c r="L481" s="14">
        <f t="shared" si="99"/>
        <v>676.60443086033968</v>
      </c>
      <c r="M481" s="14">
        <f t="shared" si="93"/>
        <v>0.26181986921812861</v>
      </c>
      <c r="N481" s="14">
        <f t="shared" si="100"/>
        <v>6.7000431810333616</v>
      </c>
      <c r="O481" s="4">
        <v>11.76</v>
      </c>
      <c r="P481" s="14">
        <f t="shared" ref="P481:P544" si="103">(O481-N481)^2</f>
        <v>25.60316300980698</v>
      </c>
      <c r="Q481" s="14">
        <f t="shared" si="101"/>
        <v>27.314744835274048</v>
      </c>
    </row>
    <row r="482" spans="1:17" x14ac:dyDescent="0.25">
      <c r="A482" s="5" t="s">
        <v>539</v>
      </c>
      <c r="B482" s="6">
        <f t="shared" si="102"/>
        <v>3</v>
      </c>
      <c r="C482" s="58">
        <v>14.987523080000001</v>
      </c>
      <c r="D482" s="4">
        <v>0.5</v>
      </c>
      <c r="E482" s="12">
        <f t="shared" si="91"/>
        <v>0</v>
      </c>
      <c r="F482" s="12">
        <f t="shared" si="92"/>
        <v>0.5</v>
      </c>
      <c r="G482" s="16">
        <f t="shared" si="94"/>
        <v>7.780805988613821</v>
      </c>
      <c r="H482" s="14">
        <f t="shared" si="95"/>
        <v>6.4491687529305494E-2</v>
      </c>
      <c r="I482" s="14">
        <f t="shared" si="96"/>
        <v>9.4238662683264582</v>
      </c>
      <c r="J482" s="14">
        <f t="shared" si="97"/>
        <v>1.1427135297768167</v>
      </c>
      <c r="K482" s="14">
        <f t="shared" si="98"/>
        <v>4.7718022325709377</v>
      </c>
      <c r="L482" s="14">
        <f t="shared" si="99"/>
        <v>676.71305925956392</v>
      </c>
      <c r="M482" s="14">
        <f t="shared" si="93"/>
        <v>0.25011549687669865</v>
      </c>
      <c r="N482" s="14">
        <f t="shared" si="100"/>
        <v>6.4005250416016279</v>
      </c>
      <c r="O482" s="4">
        <v>11.49</v>
      </c>
      <c r="P482" s="14">
        <f t="shared" si="103"/>
        <v>25.902755352164114</v>
      </c>
      <c r="Q482" s="14">
        <f t="shared" si="101"/>
        <v>24.565415292170602</v>
      </c>
    </row>
    <row r="483" spans="1:17" x14ac:dyDescent="0.25">
      <c r="A483" s="5" t="s">
        <v>540</v>
      </c>
      <c r="B483" s="6">
        <f t="shared" si="102"/>
        <v>3</v>
      </c>
      <c r="C483" s="58">
        <v>15.510038379999999</v>
      </c>
      <c r="D483" s="4">
        <v>0</v>
      </c>
      <c r="E483" s="12">
        <f t="shared" si="91"/>
        <v>0</v>
      </c>
      <c r="F483" s="12">
        <f t="shared" si="92"/>
        <v>0</v>
      </c>
      <c r="G483" s="16">
        <f t="shared" si="94"/>
        <v>6.6152823416739901</v>
      </c>
      <c r="H483" s="14">
        <f t="shared" si="95"/>
        <v>0</v>
      </c>
      <c r="I483" s="14">
        <f t="shared" si="96"/>
        <v>10.485621864885129</v>
      </c>
      <c r="J483" s="14">
        <f t="shared" si="97"/>
        <v>1.1655236469398309</v>
      </c>
      <c r="K483" s="14">
        <f t="shared" si="98"/>
        <v>4.4282687483863912</v>
      </c>
      <c r="L483" s="14">
        <f t="shared" si="99"/>
        <v>676.80647724687174</v>
      </c>
      <c r="M483" s="14">
        <f t="shared" si="93"/>
        <v>0.23696756725835558</v>
      </c>
      <c r="N483" s="14">
        <f t="shared" si="100"/>
        <v>6.0640658704655568</v>
      </c>
      <c r="O483" s="4">
        <v>12.21</v>
      </c>
      <c r="P483" s="14">
        <f t="shared" si="103"/>
        <v>37.772506324576305</v>
      </c>
      <c r="Q483" s="14">
        <f t="shared" si="101"/>
        <v>32.220960740446479</v>
      </c>
    </row>
    <row r="484" spans="1:17" x14ac:dyDescent="0.25">
      <c r="A484" s="5" t="s">
        <v>541</v>
      </c>
      <c r="B484" s="6">
        <f t="shared" si="102"/>
        <v>4</v>
      </c>
      <c r="C484" s="58">
        <v>14.579898829999999</v>
      </c>
      <c r="D484" s="4">
        <v>0.2</v>
      </c>
      <c r="E484" s="12">
        <f t="shared" si="91"/>
        <v>0</v>
      </c>
      <c r="F484" s="12">
        <f t="shared" si="92"/>
        <v>0.2</v>
      </c>
      <c r="G484" s="16">
        <f t="shared" si="94"/>
        <v>6.0963142386089428</v>
      </c>
      <c r="H484" s="14">
        <f t="shared" si="95"/>
        <v>2.2595206619231978E-2</v>
      </c>
      <c r="I484" s="14">
        <f t="shared" si="96"/>
        <v>7.3687048970382163</v>
      </c>
      <c r="J484" s="14">
        <f t="shared" si="97"/>
        <v>0.69637289644581579</v>
      </c>
      <c r="K484" s="14">
        <f t="shared" si="98"/>
        <v>4.1375508687107558</v>
      </c>
      <c r="L484" s="14">
        <f t="shared" si="99"/>
        <v>676.88282276590814</v>
      </c>
      <c r="M484" s="14">
        <f t="shared" si="93"/>
        <v>0.22584045517777815</v>
      </c>
      <c r="N484" s="14">
        <f t="shared" si="100"/>
        <v>5.779319981459115</v>
      </c>
      <c r="O484" s="4">
        <v>13.1</v>
      </c>
      <c r="P484" s="14">
        <f t="shared" si="103"/>
        <v>53.592355933863765</v>
      </c>
      <c r="Q484" s="14">
        <f t="shared" si="101"/>
        <v>43.116965530676353</v>
      </c>
    </row>
    <row r="485" spans="1:17" x14ac:dyDescent="0.25">
      <c r="A485" s="5" t="s">
        <v>542</v>
      </c>
      <c r="B485" s="6">
        <f t="shared" si="102"/>
        <v>4</v>
      </c>
      <c r="C485" s="58">
        <v>16.810522079999998</v>
      </c>
      <c r="D485" s="4">
        <v>3</v>
      </c>
      <c r="E485" s="12">
        <f t="shared" si="91"/>
        <v>0</v>
      </c>
      <c r="F485" s="12">
        <f t="shared" si="92"/>
        <v>3</v>
      </c>
      <c r="G485" s="16">
        <f t="shared" si="94"/>
        <v>7.748932730107942</v>
      </c>
      <c r="H485" s="14">
        <f t="shared" si="95"/>
        <v>0.32452384299558001</v>
      </c>
      <c r="I485" s="14">
        <f t="shared" si="96"/>
        <v>11.744797916001518</v>
      </c>
      <c r="J485" s="14">
        <f t="shared" si="97"/>
        <v>1.0228576655054213</v>
      </c>
      <c r="K485" s="14">
        <f t="shared" si="98"/>
        <v>4.174335871887898</v>
      </c>
      <c r="L485" s="14">
        <f t="shared" si="99"/>
        <v>676.94472115054884</v>
      </c>
      <c r="M485" s="14">
        <f t="shared" si="93"/>
        <v>0.22726355562166778</v>
      </c>
      <c r="N485" s="14">
        <f t="shared" si="100"/>
        <v>5.8157375171239289</v>
      </c>
      <c r="O485" s="4">
        <v>12.32</v>
      </c>
      <c r="P485" s="14">
        <f t="shared" si="103"/>
        <v>42.305430446149195</v>
      </c>
      <c r="Q485" s="14">
        <f t="shared" si="101"/>
        <v>33.481857961710837</v>
      </c>
    </row>
    <row r="486" spans="1:17" x14ac:dyDescent="0.25">
      <c r="A486" s="5" t="s">
        <v>543</v>
      </c>
      <c r="B486" s="6">
        <f t="shared" si="102"/>
        <v>4</v>
      </c>
      <c r="C486" s="58">
        <v>17.486558909999999</v>
      </c>
      <c r="D486" s="4">
        <v>10.1</v>
      </c>
      <c r="E486" s="12">
        <f t="shared" si="91"/>
        <v>0</v>
      </c>
      <c r="F486" s="12">
        <f t="shared" si="92"/>
        <v>10.1</v>
      </c>
      <c r="G486" s="16">
        <f t="shared" si="94"/>
        <v>15.160828963094986</v>
      </c>
      <c r="H486" s="14">
        <f t="shared" si="95"/>
        <v>1.2411483705490673</v>
      </c>
      <c r="I486" s="14">
        <f t="shared" si="96"/>
        <v>13.071064040200254</v>
      </c>
      <c r="J486" s="14">
        <f t="shared" si="97"/>
        <v>1.4469553964638888</v>
      </c>
      <c r="K486" s="14">
        <f t="shared" si="98"/>
        <v>5.1245094518784553</v>
      </c>
      <c r="L486" s="14">
        <f t="shared" si="99"/>
        <v>677.00843238548578</v>
      </c>
      <c r="M486" s="14">
        <f t="shared" si="93"/>
        <v>0.26369747419037393</v>
      </c>
      <c r="N486" s="14">
        <f t="shared" si="100"/>
        <v>6.748091613830054</v>
      </c>
      <c r="O486" s="4">
        <v>12.41</v>
      </c>
      <c r="P486" s="14">
        <f t="shared" si="103"/>
        <v>32.057206573381563</v>
      </c>
      <c r="Q486" s="14">
        <f t="shared" si="101"/>
        <v>34.53150114274532</v>
      </c>
    </row>
    <row r="487" spans="1:17" x14ac:dyDescent="0.25">
      <c r="A487" s="5" t="s">
        <v>544</v>
      </c>
      <c r="B487" s="6">
        <f t="shared" si="102"/>
        <v>4</v>
      </c>
      <c r="C487" s="58">
        <v>17.77691269</v>
      </c>
      <c r="D487" s="4">
        <v>9</v>
      </c>
      <c r="E487" s="12">
        <f t="shared" si="91"/>
        <v>0</v>
      </c>
      <c r="F487" s="12">
        <f t="shared" si="92"/>
        <v>9</v>
      </c>
      <c r="G487" s="16">
        <f t="shared" si="94"/>
        <v>19.626362258453305</v>
      </c>
      <c r="H487" s="14">
        <f t="shared" si="95"/>
        <v>1.5801196205867591</v>
      </c>
      <c r="I487" s="14">
        <f t="shared" si="96"/>
        <v>13.640687417741756</v>
      </c>
      <c r="J487" s="14">
        <f t="shared" si="97"/>
        <v>2.9543470840549215</v>
      </c>
      <c r="K487" s="14">
        <f t="shared" si="98"/>
        <v>6.3300681833936689</v>
      </c>
      <c r="L487" s="14">
        <f t="shared" si="99"/>
        <v>677.1192958003669</v>
      </c>
      <c r="M487" s="14">
        <f t="shared" si="93"/>
        <v>0.30993037074684504</v>
      </c>
      <c r="N487" s="14">
        <f t="shared" si="100"/>
        <v>7.9312042791814168</v>
      </c>
      <c r="O487" s="4">
        <v>12.47</v>
      </c>
      <c r="P487" s="14">
        <f t="shared" si="103"/>
        <v>20.600666595321087</v>
      </c>
      <c r="Q487" s="14">
        <f t="shared" si="101"/>
        <v>35.240263263434983</v>
      </c>
    </row>
    <row r="488" spans="1:17" x14ac:dyDescent="0.25">
      <c r="A488" s="5" t="s">
        <v>545</v>
      </c>
      <c r="B488" s="6">
        <f t="shared" si="102"/>
        <v>4</v>
      </c>
      <c r="C488" s="58">
        <v>15.886722560000001</v>
      </c>
      <c r="D488" s="4">
        <v>0</v>
      </c>
      <c r="E488" s="12">
        <f t="shared" si="91"/>
        <v>0</v>
      </c>
      <c r="F488" s="12">
        <f t="shared" si="92"/>
        <v>0</v>
      </c>
      <c r="G488" s="16">
        <f t="shared" si="94"/>
        <v>16.84152929345759</v>
      </c>
      <c r="H488" s="14">
        <f t="shared" si="95"/>
        <v>0</v>
      </c>
      <c r="I488" s="14">
        <f t="shared" si="96"/>
        <v>9.9324646901223197</v>
      </c>
      <c r="J488" s="14">
        <f t="shared" si="97"/>
        <v>2.7848329649957169</v>
      </c>
      <c r="K488" s="14">
        <f t="shared" si="98"/>
        <v>5.8494551444647422</v>
      </c>
      <c r="L488" s="14">
        <f t="shared" si="99"/>
        <v>677.28997846854895</v>
      </c>
      <c r="M488" s="14">
        <f t="shared" si="93"/>
        <v>0.29154452288562116</v>
      </c>
      <c r="N488" s="14">
        <f t="shared" si="100"/>
        <v>7.4607053252327358</v>
      </c>
      <c r="O488" s="4">
        <v>12.98</v>
      </c>
      <c r="P488" s="14">
        <f t="shared" si="103"/>
        <v>30.462613706914286</v>
      </c>
      <c r="Q488" s="14">
        <f t="shared" si="101"/>
        <v>41.555441289297057</v>
      </c>
    </row>
    <row r="489" spans="1:17" x14ac:dyDescent="0.25">
      <c r="A489" s="5" t="s">
        <v>546</v>
      </c>
      <c r="B489" s="6">
        <f t="shared" si="102"/>
        <v>4</v>
      </c>
      <c r="C489" s="58">
        <v>16.151458739999999</v>
      </c>
      <c r="D489" s="4">
        <v>1.8</v>
      </c>
      <c r="E489" s="12">
        <f t="shared" si="91"/>
        <v>0</v>
      </c>
      <c r="F489" s="12">
        <f t="shared" si="92"/>
        <v>1.8</v>
      </c>
      <c r="G489" s="16">
        <f t="shared" si="94"/>
        <v>15.792698867888994</v>
      </c>
      <c r="H489" s="14">
        <f t="shared" si="95"/>
        <v>0.3341881833168352</v>
      </c>
      <c r="I489" s="14">
        <f t="shared" si="96"/>
        <v>10.451830813094903</v>
      </c>
      <c r="J489" s="14">
        <f t="shared" si="97"/>
        <v>2.5146422422517598</v>
      </c>
      <c r="K489" s="14">
        <f t="shared" si="98"/>
        <v>5.7453094783234455</v>
      </c>
      <c r="L489" s="14">
        <f t="shared" si="99"/>
        <v>677.43676779512145</v>
      </c>
      <c r="M489" s="14">
        <f t="shared" si="93"/>
        <v>0.28758370742667883</v>
      </c>
      <c r="N489" s="14">
        <f t="shared" si="100"/>
        <v>7.3593469574118853</v>
      </c>
      <c r="O489" s="4">
        <v>13.22</v>
      </c>
      <c r="P489" s="14">
        <f t="shared" si="103"/>
        <v>34.347254085597335</v>
      </c>
      <c r="Q489" s="14">
        <f t="shared" si="101"/>
        <v>44.707289772055681</v>
      </c>
    </row>
    <row r="490" spans="1:17" x14ac:dyDescent="0.25">
      <c r="A490" s="5" t="s">
        <v>547</v>
      </c>
      <c r="B490" s="6">
        <f t="shared" si="102"/>
        <v>4</v>
      </c>
      <c r="C490" s="58">
        <v>16.340726849999999</v>
      </c>
      <c r="D490" s="4">
        <v>5.5</v>
      </c>
      <c r="E490" s="12">
        <f t="shared" si="91"/>
        <v>0</v>
      </c>
      <c r="F490" s="12">
        <f t="shared" si="92"/>
        <v>5.5</v>
      </c>
      <c r="G490" s="16">
        <f t="shared" si="94"/>
        <v>17.864070545485177</v>
      </c>
      <c r="H490" s="14">
        <f t="shared" si="95"/>
        <v>0.98681751069247226</v>
      </c>
      <c r="I490" s="14">
        <f t="shared" si="96"/>
        <v>10.823141770641579</v>
      </c>
      <c r="J490" s="14">
        <f t="shared" si="97"/>
        <v>2.4418108117113451</v>
      </c>
      <c r="K490" s="14">
        <f t="shared" si="98"/>
        <v>6.30295476022701</v>
      </c>
      <c r="L490" s="14">
        <f t="shared" si="99"/>
        <v>677.57835631648368</v>
      </c>
      <c r="M490" s="14">
        <f t="shared" si="93"/>
        <v>0.30898841744975958</v>
      </c>
      <c r="N490" s="14">
        <f t="shared" si="100"/>
        <v>7.9070994326553059</v>
      </c>
      <c r="O490" s="4">
        <v>13.91</v>
      </c>
      <c r="P490" s="14">
        <f t="shared" si="103"/>
        <v>36.034815221427252</v>
      </c>
      <c r="Q490" s="14">
        <f t="shared" si="101"/>
        <v>54.410554159986717</v>
      </c>
    </row>
    <row r="491" spans="1:17" x14ac:dyDescent="0.25">
      <c r="A491" s="5" t="s">
        <v>548</v>
      </c>
      <c r="B491" s="6">
        <f t="shared" si="102"/>
        <v>4</v>
      </c>
      <c r="C491" s="58">
        <v>14.892251010000001</v>
      </c>
      <c r="D491" s="4">
        <v>4.0999999999999996</v>
      </c>
      <c r="E491" s="12">
        <f t="shared" si="91"/>
        <v>0</v>
      </c>
      <c r="F491" s="12">
        <f t="shared" si="92"/>
        <v>4.0999999999999996</v>
      </c>
      <c r="G491" s="16">
        <f t="shared" si="94"/>
        <v>19.141750771503165</v>
      </c>
      <c r="H491" s="14">
        <f t="shared" si="95"/>
        <v>0.78543503910378698</v>
      </c>
      <c r="I491" s="14">
        <f t="shared" si="96"/>
        <v>7.9814852911975507</v>
      </c>
      <c r="J491" s="14">
        <f t="shared" si="97"/>
        <v>2.0368847348782246</v>
      </c>
      <c r="K491" s="14">
        <f t="shared" si="98"/>
        <v>6.6101619090816071</v>
      </c>
      <c r="L491" s="14">
        <f t="shared" si="99"/>
        <v>677.74759578928308</v>
      </c>
      <c r="M491" s="14">
        <f t="shared" si="93"/>
        <v>0.32079962681955054</v>
      </c>
      <c r="N491" s="14">
        <f t="shared" si="100"/>
        <v>8.2093515613197496</v>
      </c>
      <c r="O491" s="4">
        <v>14.9</v>
      </c>
      <c r="P491" s="14">
        <f t="shared" si="103"/>
        <v>44.76477653001448</v>
      </c>
      <c r="Q491" s="14">
        <f t="shared" si="101"/>
        <v>69.995829151366024</v>
      </c>
    </row>
    <row r="492" spans="1:17" x14ac:dyDescent="0.25">
      <c r="A492" s="5" t="s">
        <v>549</v>
      </c>
      <c r="B492" s="6">
        <f t="shared" si="102"/>
        <v>4</v>
      </c>
      <c r="C492" s="58">
        <v>14.4821434</v>
      </c>
      <c r="D492" s="4">
        <v>0</v>
      </c>
      <c r="E492" s="12">
        <f t="shared" si="91"/>
        <v>0</v>
      </c>
      <c r="F492" s="12">
        <f t="shared" si="92"/>
        <v>0</v>
      </c>
      <c r="G492" s="16">
        <f t="shared" si="94"/>
        <v>17.179193108553743</v>
      </c>
      <c r="H492" s="14">
        <f t="shared" si="95"/>
        <v>0</v>
      </c>
      <c r="I492" s="14">
        <f t="shared" si="96"/>
        <v>7.1769258259697377</v>
      </c>
      <c r="J492" s="14">
        <f t="shared" si="97"/>
        <v>1.9625576629494217</v>
      </c>
      <c r="K492" s="14">
        <f t="shared" si="98"/>
        <v>6.1049092229963495</v>
      </c>
      <c r="L492" s="14">
        <f t="shared" si="99"/>
        <v>677.93204884854879</v>
      </c>
      <c r="M492" s="14">
        <f t="shared" si="93"/>
        <v>0.30147225359402718</v>
      </c>
      <c r="N492" s="14">
        <f t="shared" si="100"/>
        <v>7.714758711763821</v>
      </c>
      <c r="O492" s="4">
        <v>14.26</v>
      </c>
      <c r="P492" s="14">
        <f t="shared" si="103"/>
        <v>42.840183521231594</v>
      </c>
      <c r="Q492" s="14">
        <f t="shared" si="101"/>
        <v>59.696499864009702</v>
      </c>
    </row>
    <row r="493" spans="1:17" x14ac:dyDescent="0.25">
      <c r="A493" s="5" t="s">
        <v>550</v>
      </c>
      <c r="B493" s="6">
        <f t="shared" si="102"/>
        <v>4</v>
      </c>
      <c r="C493" s="58">
        <v>15.439990999999999</v>
      </c>
      <c r="D493" s="4">
        <v>0</v>
      </c>
      <c r="E493" s="12">
        <f t="shared" si="91"/>
        <v>0</v>
      </c>
      <c r="F493" s="12">
        <f t="shared" si="92"/>
        <v>0</v>
      </c>
      <c r="G493" s="16">
        <f t="shared" si="94"/>
        <v>14.956680954924655</v>
      </c>
      <c r="H493" s="14">
        <f t="shared" si="95"/>
        <v>0</v>
      </c>
      <c r="I493" s="14">
        <f t="shared" si="96"/>
        <v>9.0560554349661242</v>
      </c>
      <c r="J493" s="14">
        <f t="shared" si="97"/>
        <v>2.2225121536290886</v>
      </c>
      <c r="K493" s="14">
        <f t="shared" si="98"/>
        <v>5.6441032587337707</v>
      </c>
      <c r="L493" s="14">
        <f t="shared" si="99"/>
        <v>678.09138255921732</v>
      </c>
      <c r="M493" s="14">
        <f t="shared" si="93"/>
        <v>0.2838432105678742</v>
      </c>
      <c r="N493" s="14">
        <f t="shared" si="100"/>
        <v>7.2636266037681709</v>
      </c>
      <c r="O493" s="4">
        <v>12.86</v>
      </c>
      <c r="P493" s="14">
        <f t="shared" si="103"/>
        <v>31.31939519005137</v>
      </c>
      <c r="Q493" s="14">
        <f t="shared" si="101"/>
        <v>40.02271704791773</v>
      </c>
    </row>
    <row r="494" spans="1:17" x14ac:dyDescent="0.25">
      <c r="A494" s="5" t="s">
        <v>551</v>
      </c>
      <c r="B494" s="6">
        <f t="shared" si="102"/>
        <v>4</v>
      </c>
      <c r="C494" s="58">
        <v>16.129322049999999</v>
      </c>
      <c r="D494" s="4">
        <v>1.8</v>
      </c>
      <c r="E494" s="12">
        <f t="shared" si="91"/>
        <v>0</v>
      </c>
      <c r="F494" s="12">
        <f t="shared" si="92"/>
        <v>1.8</v>
      </c>
      <c r="G494" s="16">
        <f t="shared" si="94"/>
        <v>14.218993714591337</v>
      </c>
      <c r="H494" s="14">
        <f t="shared" si="95"/>
        <v>0.31375465328541241</v>
      </c>
      <c r="I494" s="14">
        <f t="shared" si="96"/>
        <v>10.408402495663013</v>
      </c>
      <c r="J494" s="14">
        <f t="shared" si="97"/>
        <v>2.2239325870479072</v>
      </c>
      <c r="K494" s="14">
        <f t="shared" si="98"/>
        <v>5.5375887228631369</v>
      </c>
      <c r="L494" s="14">
        <f t="shared" si="99"/>
        <v>678.22780853780546</v>
      </c>
      <c r="M494" s="14">
        <f t="shared" si="93"/>
        <v>0.27978939886266668</v>
      </c>
      <c r="N494" s="14">
        <f t="shared" si="100"/>
        <v>7.1598884361731026</v>
      </c>
      <c r="O494" s="4">
        <v>12.28</v>
      </c>
      <c r="P494" s="14">
        <f t="shared" si="103"/>
        <v>26.21554242603391</v>
      </c>
      <c r="Q494" s="14">
        <f t="shared" si="101"/>
        <v>33.020549881251057</v>
      </c>
    </row>
    <row r="495" spans="1:17" x14ac:dyDescent="0.25">
      <c r="A495" s="5" t="s">
        <v>552</v>
      </c>
      <c r="B495" s="6">
        <f t="shared" si="102"/>
        <v>4</v>
      </c>
      <c r="C495" s="58">
        <v>14.62487698</v>
      </c>
      <c r="D495" s="4">
        <v>0.8</v>
      </c>
      <c r="E495" s="12">
        <f t="shared" si="91"/>
        <v>0</v>
      </c>
      <c r="F495" s="12">
        <f t="shared" si="92"/>
        <v>0.8</v>
      </c>
      <c r="G495" s="16">
        <f t="shared" si="94"/>
        <v>13.368527568901509</v>
      </c>
      <c r="H495" s="14">
        <f t="shared" si="95"/>
        <v>0.13574717608819026</v>
      </c>
      <c r="I495" s="14">
        <f t="shared" si="96"/>
        <v>7.4569441674846653</v>
      </c>
      <c r="J495" s="14">
        <f t="shared" si="97"/>
        <v>1.5147189696016388</v>
      </c>
      <c r="K495" s="14">
        <f t="shared" si="98"/>
        <v>5.2624367182609371</v>
      </c>
      <c r="L495" s="14">
        <f t="shared" si="99"/>
        <v>678.35891831963318</v>
      </c>
      <c r="M495" s="14">
        <f t="shared" si="93"/>
        <v>0.26927053995443118</v>
      </c>
      <c r="N495" s="14">
        <f t="shared" si="100"/>
        <v>6.8907079148061028</v>
      </c>
      <c r="O495" s="4">
        <v>10.56</v>
      </c>
      <c r="P495" s="14">
        <f t="shared" si="103"/>
        <v>13.463704406466581</v>
      </c>
      <c r="Q495" s="14">
        <f t="shared" si="101"/>
        <v>16.21150242148094</v>
      </c>
    </row>
    <row r="496" spans="1:17" x14ac:dyDescent="0.25">
      <c r="A496" s="5" t="s">
        <v>553</v>
      </c>
      <c r="B496" s="6">
        <f t="shared" si="102"/>
        <v>4</v>
      </c>
      <c r="C496" s="58">
        <v>14.35269547</v>
      </c>
      <c r="D496" s="4">
        <v>5.0999999999999996</v>
      </c>
      <c r="E496" s="12">
        <f t="shared" si="91"/>
        <v>0</v>
      </c>
      <c r="F496" s="12">
        <f t="shared" si="92"/>
        <v>5.0999999999999996</v>
      </c>
      <c r="G496" s="16">
        <f t="shared" si="94"/>
        <v>16.308908287361049</v>
      </c>
      <c r="H496" s="14">
        <f t="shared" si="95"/>
        <v>0.83747625953565641</v>
      </c>
      <c r="I496" s="14">
        <f t="shared" si="96"/>
        <v>6.9229716081105588</v>
      </c>
      <c r="J496" s="14">
        <f t="shared" si="97"/>
        <v>1.3221430220048007</v>
      </c>
      <c r="K496" s="14">
        <f t="shared" si="98"/>
        <v>5.7132187245500567</v>
      </c>
      <c r="L496" s="14">
        <f t="shared" si="99"/>
        <v>678.47634203292534</v>
      </c>
      <c r="M496" s="14">
        <f t="shared" si="93"/>
        <v>0.28657402895584849</v>
      </c>
      <c r="N496" s="14">
        <f t="shared" si="100"/>
        <v>7.3335090048770954</v>
      </c>
      <c r="O496" s="4">
        <v>9.07</v>
      </c>
      <c r="P496" s="14">
        <f t="shared" si="103"/>
        <v>3.0154009761429363</v>
      </c>
      <c r="Q496" s="14">
        <f t="shared" si="101"/>
        <v>6.4330764243544856</v>
      </c>
    </row>
    <row r="497" spans="1:17" x14ac:dyDescent="0.25">
      <c r="A497" s="5" t="s">
        <v>554</v>
      </c>
      <c r="B497" s="6">
        <f t="shared" si="102"/>
        <v>4</v>
      </c>
      <c r="C497" s="58">
        <v>13.92204285</v>
      </c>
      <c r="D497" s="4">
        <v>1.1000000000000001</v>
      </c>
      <c r="E497" s="12">
        <f t="shared" si="91"/>
        <v>0</v>
      </c>
      <c r="F497" s="12">
        <f t="shared" si="92"/>
        <v>1.1000000000000001</v>
      </c>
      <c r="G497" s="16">
        <f t="shared" si="94"/>
        <v>15.792036191472199</v>
      </c>
      <c r="H497" s="14">
        <f t="shared" si="95"/>
        <v>0.20076694915648916</v>
      </c>
      <c r="I497" s="14">
        <f t="shared" si="96"/>
        <v>6.0781064234675419</v>
      </c>
      <c r="J497" s="14">
        <f t="shared" si="97"/>
        <v>1.4161051467323635</v>
      </c>
      <c r="K497" s="14">
        <f t="shared" si="98"/>
        <v>5.4876364458542524</v>
      </c>
      <c r="L497" s="14">
        <f t="shared" si="99"/>
        <v>678.61611723182182</v>
      </c>
      <c r="M497" s="14">
        <f t="shared" si="93"/>
        <v>0.27795702808685563</v>
      </c>
      <c r="N497" s="14">
        <f t="shared" si="100"/>
        <v>7.1129975590282157</v>
      </c>
      <c r="O497" s="4">
        <v>9.59</v>
      </c>
      <c r="P497" s="14">
        <f t="shared" si="103"/>
        <v>6.1355410925801772</v>
      </c>
      <c r="Q497" s="14">
        <f t="shared" si="101"/>
        <v>9.3412814703314986</v>
      </c>
    </row>
    <row r="498" spans="1:17" x14ac:dyDescent="0.25">
      <c r="A498" s="5" t="s">
        <v>555</v>
      </c>
      <c r="B498" s="6">
        <f t="shared" si="102"/>
        <v>4</v>
      </c>
      <c r="C498" s="58">
        <v>13.74573517</v>
      </c>
      <c r="D498" s="4">
        <v>1.8</v>
      </c>
      <c r="E498" s="12">
        <f t="shared" si="91"/>
        <v>0</v>
      </c>
      <c r="F498" s="12">
        <f t="shared" si="92"/>
        <v>1.8</v>
      </c>
      <c r="G498" s="16">
        <f t="shared" si="94"/>
        <v>15.975891744254604</v>
      </c>
      <c r="H498" s="14">
        <f t="shared" si="95"/>
        <v>0.32295125421104554</v>
      </c>
      <c r="I498" s="14">
        <f t="shared" si="96"/>
        <v>5.7322215647682446</v>
      </c>
      <c r="J498" s="14">
        <f t="shared" si="97"/>
        <v>1.293193193006551</v>
      </c>
      <c r="K498" s="14">
        <f t="shared" si="98"/>
        <v>5.4040827858909868</v>
      </c>
      <c r="L498" s="14">
        <f t="shared" si="99"/>
        <v>678.74466511790922</v>
      </c>
      <c r="M498" s="14">
        <f t="shared" si="93"/>
        <v>0.27478164303421132</v>
      </c>
      <c r="N498" s="14">
        <f t="shared" si="100"/>
        <v>7.0317385734796432</v>
      </c>
      <c r="O498" s="4">
        <v>8.91</v>
      </c>
      <c r="P498" s="14">
        <f t="shared" si="103"/>
        <v>3.5278659863542865</v>
      </c>
      <c r="Q498" s="14">
        <f t="shared" si="101"/>
        <v>5.6470441025154026</v>
      </c>
    </row>
    <row r="499" spans="1:17" x14ac:dyDescent="0.25">
      <c r="A499" s="5" t="s">
        <v>556</v>
      </c>
      <c r="B499" s="6">
        <f t="shared" si="102"/>
        <v>4</v>
      </c>
      <c r="C499" s="58">
        <v>14.1912632</v>
      </c>
      <c r="D499" s="4">
        <v>2.2000000000000002</v>
      </c>
      <c r="E499" s="12">
        <f t="shared" si="91"/>
        <v>0</v>
      </c>
      <c r="F499" s="12">
        <f t="shared" si="92"/>
        <v>2.2000000000000002</v>
      </c>
      <c r="G499" s="16">
        <f t="shared" si="94"/>
        <v>16.271006839302974</v>
      </c>
      <c r="H499" s="14">
        <f t="shared" si="95"/>
        <v>0.39715440695082799</v>
      </c>
      <c r="I499" s="14">
        <f t="shared" si="96"/>
        <v>6.6062697043792138</v>
      </c>
      <c r="J499" s="14">
        <f t="shared" si="97"/>
        <v>1.5077304980008002</v>
      </c>
      <c r="K499" s="14">
        <f t="shared" si="98"/>
        <v>5.4020824351019554</v>
      </c>
      <c r="L499" s="14">
        <f t="shared" si="99"/>
        <v>678.86903823261491</v>
      </c>
      <c r="M499" s="14">
        <f t="shared" si="93"/>
        <v>0.27473133364813829</v>
      </c>
      <c r="N499" s="14">
        <f t="shared" si="100"/>
        <v>7.0304511423152061</v>
      </c>
      <c r="O499" s="4">
        <v>7.84</v>
      </c>
      <c r="P499" s="14">
        <f t="shared" si="103"/>
        <v>0.65536935297875454</v>
      </c>
      <c r="Q499" s="14">
        <f t="shared" si="101"/>
        <v>1.7065529502165409</v>
      </c>
    </row>
    <row r="500" spans="1:17" x14ac:dyDescent="0.25">
      <c r="A500" s="5" t="s">
        <v>557</v>
      </c>
      <c r="B500" s="6">
        <f t="shared" si="102"/>
        <v>4</v>
      </c>
      <c r="C500" s="58">
        <v>14.589515690000001</v>
      </c>
      <c r="D500" s="4">
        <v>0.3</v>
      </c>
      <c r="E500" s="12">
        <f t="shared" si="91"/>
        <v>0</v>
      </c>
      <c r="F500" s="12">
        <f t="shared" si="92"/>
        <v>0.3</v>
      </c>
      <c r="G500" s="16">
        <f t="shared" si="94"/>
        <v>14.79912956176052</v>
      </c>
      <c r="H500" s="14">
        <f t="shared" si="95"/>
        <v>5.4686943193380036E-2</v>
      </c>
      <c r="I500" s="14">
        <f t="shared" si="96"/>
        <v>7.3875714958286451</v>
      </c>
      <c r="J500" s="14">
        <f t="shared" si="97"/>
        <v>1.717190334349074</v>
      </c>
      <c r="K500" s="14">
        <f t="shared" si="98"/>
        <v>5.057790590001094</v>
      </c>
      <c r="L500" s="14">
        <f t="shared" si="99"/>
        <v>678.99328568726094</v>
      </c>
      <c r="M500" s="14">
        <f t="shared" si="93"/>
        <v>0.26156087107747383</v>
      </c>
      <c r="N500" s="14">
        <f t="shared" si="100"/>
        <v>6.6934153466700765</v>
      </c>
      <c r="O500" s="4">
        <v>6.89</v>
      </c>
      <c r="P500" s="14">
        <f t="shared" si="103"/>
        <v>3.8645525924846061E-2</v>
      </c>
      <c r="Q500" s="14">
        <f t="shared" si="101"/>
        <v>0.12698603929699168</v>
      </c>
    </row>
    <row r="501" spans="1:17" x14ac:dyDescent="0.25">
      <c r="A501" s="5" t="s">
        <v>558</v>
      </c>
      <c r="B501" s="6">
        <f t="shared" si="102"/>
        <v>4</v>
      </c>
      <c r="C501" s="58">
        <v>15.209569930000001</v>
      </c>
      <c r="D501" s="4">
        <v>0.6</v>
      </c>
      <c r="E501" s="12">
        <f t="shared" si="91"/>
        <v>0</v>
      </c>
      <c r="F501" s="12">
        <f t="shared" si="92"/>
        <v>0.6</v>
      </c>
      <c r="G501" s="16">
        <f t="shared" si="94"/>
        <v>13.476103830305133</v>
      </c>
      <c r="H501" s="14">
        <f t="shared" si="95"/>
        <v>0.10399780181110591</v>
      </c>
      <c r="I501" s="14">
        <f t="shared" si="96"/>
        <v>8.6040095613076968</v>
      </c>
      <c r="J501" s="14">
        <f t="shared" si="97"/>
        <v>1.81902792964428</v>
      </c>
      <c r="K501" s="14">
        <f t="shared" si="98"/>
        <v>4.7930967138816483</v>
      </c>
      <c r="L501" s="14">
        <f t="shared" si="99"/>
        <v>679.10041649411403</v>
      </c>
      <c r="M501" s="14">
        <f t="shared" si="93"/>
        <v>0.25143779203097039</v>
      </c>
      <c r="N501" s="14">
        <f t="shared" si="100"/>
        <v>6.4343629419036521</v>
      </c>
      <c r="O501" s="4">
        <v>6.33</v>
      </c>
      <c r="P501" s="14">
        <f t="shared" si="103"/>
        <v>1.0891623642785049E-2</v>
      </c>
      <c r="Q501" s="14">
        <f t="shared" si="101"/>
        <v>4.147291286020497E-2</v>
      </c>
    </row>
    <row r="502" spans="1:17" x14ac:dyDescent="0.25">
      <c r="A502" s="5" t="s">
        <v>559</v>
      </c>
      <c r="B502" s="6">
        <f t="shared" si="102"/>
        <v>4</v>
      </c>
      <c r="C502" s="58">
        <v>15.43691349</v>
      </c>
      <c r="D502" s="4">
        <v>0.5</v>
      </c>
      <c r="E502" s="12">
        <f t="shared" si="91"/>
        <v>0</v>
      </c>
      <c r="F502" s="12">
        <f t="shared" si="92"/>
        <v>0.5</v>
      </c>
      <c r="G502" s="16">
        <f t="shared" si="94"/>
        <v>12.151375197079963</v>
      </c>
      <c r="H502" s="14">
        <f t="shared" si="95"/>
        <v>8.2456071093445285E-2</v>
      </c>
      <c r="I502" s="14">
        <f t="shared" si="96"/>
        <v>9.0500178981356498</v>
      </c>
      <c r="J502" s="14">
        <f t="shared" si="97"/>
        <v>1.7422725621317265</v>
      </c>
      <c r="K502" s="14">
        <f t="shared" si="98"/>
        <v>4.5301460403146683</v>
      </c>
      <c r="L502" s="14">
        <f t="shared" si="99"/>
        <v>679.19438544674347</v>
      </c>
      <c r="M502" s="14">
        <f t="shared" si="93"/>
        <v>0.24137874036564672</v>
      </c>
      <c r="N502" s="14">
        <f t="shared" si="100"/>
        <v>6.1769490156069997</v>
      </c>
      <c r="O502" s="4">
        <v>5.88</v>
      </c>
      <c r="P502" s="14">
        <f t="shared" si="103"/>
        <v>8.8178717869966228E-2</v>
      </c>
      <c r="Q502" s="14">
        <f t="shared" si="101"/>
        <v>0.42725700768778707</v>
      </c>
    </row>
    <row r="503" spans="1:17" x14ac:dyDescent="0.25">
      <c r="A503" s="5" t="s">
        <v>560</v>
      </c>
      <c r="B503" s="6">
        <f t="shared" si="102"/>
        <v>4</v>
      </c>
      <c r="C503" s="58">
        <v>15.235130310000001</v>
      </c>
      <c r="D503" s="4">
        <v>0</v>
      </c>
      <c r="E503" s="12">
        <f t="shared" si="91"/>
        <v>0</v>
      </c>
      <c r="F503" s="12">
        <f t="shared" si="92"/>
        <v>0</v>
      </c>
      <c r="G503" s="16">
        <f t="shared" si="94"/>
        <v>10.649089997127453</v>
      </c>
      <c r="H503" s="14">
        <f t="shared" si="95"/>
        <v>0</v>
      </c>
      <c r="I503" s="14">
        <f t="shared" si="96"/>
        <v>8.6541545602357104</v>
      </c>
      <c r="J503" s="14">
        <f t="shared" si="97"/>
        <v>1.5022851999525095</v>
      </c>
      <c r="K503" s="14">
        <f t="shared" si="98"/>
        <v>4.2078708806274401</v>
      </c>
      <c r="L503" s="14">
        <f t="shared" si="99"/>
        <v>679.27528186606503</v>
      </c>
      <c r="M503" s="14">
        <f t="shared" si="93"/>
        <v>0.22904299381520724</v>
      </c>
      <c r="N503" s="14">
        <f t="shared" si="100"/>
        <v>5.8612738347849911</v>
      </c>
      <c r="O503" s="4">
        <v>5.62</v>
      </c>
      <c r="P503" s="14">
        <f t="shared" si="103"/>
        <v>5.8213063351855124E-2</v>
      </c>
      <c r="Q503" s="14">
        <f t="shared" si="101"/>
        <v>0.83475448469927849</v>
      </c>
    </row>
    <row r="504" spans="1:17" x14ac:dyDescent="0.25">
      <c r="A504" s="5" t="s">
        <v>561</v>
      </c>
      <c r="B504" s="6">
        <f t="shared" si="102"/>
        <v>4</v>
      </c>
      <c r="C504" s="58">
        <v>12.51164341</v>
      </c>
      <c r="D504" s="4">
        <v>0</v>
      </c>
      <c r="E504" s="12">
        <f t="shared" si="91"/>
        <v>0</v>
      </c>
      <c r="F504" s="12">
        <f t="shared" si="92"/>
        <v>0</v>
      </c>
      <c r="G504" s="16">
        <f t="shared" si="94"/>
        <v>10.14536493767821</v>
      </c>
      <c r="H504" s="14">
        <f t="shared" si="95"/>
        <v>0</v>
      </c>
      <c r="I504" s="14">
        <f t="shared" si="96"/>
        <v>3.311149187038775</v>
      </c>
      <c r="J504" s="14">
        <f t="shared" si="97"/>
        <v>0.50372505944924262</v>
      </c>
      <c r="K504" s="14">
        <f t="shared" si="98"/>
        <v>3.9139460390433407</v>
      </c>
      <c r="L504" s="14">
        <f t="shared" si="99"/>
        <v>679.34016371383393</v>
      </c>
      <c r="M504" s="14">
        <f t="shared" si="93"/>
        <v>0.21779052793956111</v>
      </c>
      <c r="N504" s="14">
        <f t="shared" si="100"/>
        <v>5.5733201073422407</v>
      </c>
      <c r="O504" s="4">
        <v>5.83</v>
      </c>
      <c r="P504" s="14">
        <f t="shared" si="103"/>
        <v>6.5884567294798871E-2</v>
      </c>
      <c r="Q504" s="14">
        <f t="shared" si="101"/>
        <v>0.49512190711307374</v>
      </c>
    </row>
    <row r="505" spans="1:17" x14ac:dyDescent="0.25">
      <c r="A505" s="5" t="s">
        <v>562</v>
      </c>
      <c r="B505" s="6">
        <f t="shared" si="102"/>
        <v>4</v>
      </c>
      <c r="C505" s="58">
        <v>15.87300873</v>
      </c>
      <c r="D505" s="4">
        <v>0</v>
      </c>
      <c r="E505" s="12">
        <f t="shared" si="91"/>
        <v>0</v>
      </c>
      <c r="F505" s="12">
        <f t="shared" si="92"/>
        <v>0</v>
      </c>
      <c r="G505" s="16">
        <f t="shared" si="94"/>
        <v>8.7097133966972109</v>
      </c>
      <c r="H505" s="14">
        <f t="shared" si="95"/>
        <v>0</v>
      </c>
      <c r="I505" s="14">
        <f t="shared" si="96"/>
        <v>9.9055605521302805</v>
      </c>
      <c r="J505" s="14">
        <f t="shared" si="97"/>
        <v>1.4356515409809993</v>
      </c>
      <c r="K505" s="14">
        <f t="shared" si="98"/>
        <v>3.6458775581089671</v>
      </c>
      <c r="L505" s="14">
        <f t="shared" si="99"/>
        <v>679.39044166682868</v>
      </c>
      <c r="M505" s="14">
        <f t="shared" si="93"/>
        <v>0.20752604770295235</v>
      </c>
      <c r="N505" s="14">
        <f t="shared" si="100"/>
        <v>5.3106492068429123</v>
      </c>
      <c r="O505" s="4">
        <v>5.91</v>
      </c>
      <c r="P505" s="14">
        <f t="shared" si="103"/>
        <v>0.35922137325803027</v>
      </c>
      <c r="Q505" s="14">
        <f t="shared" si="101"/>
        <v>0.38893806803261466</v>
      </c>
    </row>
    <row r="506" spans="1:17" x14ac:dyDescent="0.25">
      <c r="A506" s="5" t="s">
        <v>563</v>
      </c>
      <c r="B506" s="6">
        <f t="shared" si="102"/>
        <v>4</v>
      </c>
      <c r="C506" s="58">
        <v>14.08190727</v>
      </c>
      <c r="D506" s="4">
        <v>0</v>
      </c>
      <c r="E506" s="12">
        <f t="shared" si="91"/>
        <v>0</v>
      </c>
      <c r="F506" s="12">
        <f t="shared" si="92"/>
        <v>0</v>
      </c>
      <c r="G506" s="16">
        <f t="shared" si="94"/>
        <v>7.9144247829689052</v>
      </c>
      <c r="H506" s="14">
        <f t="shared" si="95"/>
        <v>0</v>
      </c>
      <c r="I506" s="14">
        <f t="shared" si="96"/>
        <v>6.3917324794779482</v>
      </c>
      <c r="J506" s="14">
        <f t="shared" si="97"/>
        <v>0.79528861372830562</v>
      </c>
      <c r="K506" s="14">
        <f t="shared" si="98"/>
        <v>3.4013908720460559</v>
      </c>
      <c r="L506" s="14">
        <f t="shared" si="99"/>
        <v>679.42740230518859</v>
      </c>
      <c r="M506" s="14">
        <f t="shared" si="93"/>
        <v>0.19816264110650761</v>
      </c>
      <c r="N506" s="14">
        <f t="shared" si="100"/>
        <v>5.0710370310936153</v>
      </c>
      <c r="O506" s="4">
        <v>5.41</v>
      </c>
      <c r="P506" s="14">
        <f t="shared" si="103"/>
        <v>0.11489589428983085</v>
      </c>
      <c r="Q506" s="14">
        <f t="shared" si="101"/>
        <v>1.2625870622854833</v>
      </c>
    </row>
    <row r="507" spans="1:17" x14ac:dyDescent="0.25">
      <c r="A507" s="5" t="s">
        <v>564</v>
      </c>
      <c r="B507" s="6">
        <f t="shared" si="102"/>
        <v>4</v>
      </c>
      <c r="C507" s="58">
        <v>15.35411549</v>
      </c>
      <c r="D507" s="4">
        <v>0</v>
      </c>
      <c r="E507" s="12">
        <f t="shared" si="91"/>
        <v>0</v>
      </c>
      <c r="F507" s="12">
        <f t="shared" si="92"/>
        <v>0</v>
      </c>
      <c r="G507" s="16">
        <f t="shared" si="94"/>
        <v>6.9095653327839903</v>
      </c>
      <c r="H507" s="14">
        <f t="shared" si="95"/>
        <v>0</v>
      </c>
      <c r="I507" s="14">
        <f t="shared" si="96"/>
        <v>8.8875826909422688</v>
      </c>
      <c r="J507" s="14">
        <f t="shared" si="97"/>
        <v>1.0048594501849146</v>
      </c>
      <c r="K507" s="14">
        <f t="shared" si="98"/>
        <v>3.1784115070208268</v>
      </c>
      <c r="L507" s="14">
        <f t="shared" si="99"/>
        <v>679.45221902910737</v>
      </c>
      <c r="M507" s="14">
        <f t="shared" si="93"/>
        <v>0.18962104173840452</v>
      </c>
      <c r="N507" s="14">
        <f t="shared" si="100"/>
        <v>4.8524551305973658</v>
      </c>
      <c r="O507" s="4">
        <v>4.9000000000000004</v>
      </c>
      <c r="P507" s="14">
        <f t="shared" si="103"/>
        <v>2.260514606513578E-3</v>
      </c>
      <c r="Q507" s="14">
        <f t="shared" si="101"/>
        <v>2.6688090364234087</v>
      </c>
    </row>
    <row r="508" spans="1:17" x14ac:dyDescent="0.25">
      <c r="A508" s="5" t="s">
        <v>565</v>
      </c>
      <c r="B508" s="6">
        <f t="shared" si="102"/>
        <v>4</v>
      </c>
      <c r="C508" s="58">
        <v>16.29063034</v>
      </c>
      <c r="D508" s="4">
        <v>0</v>
      </c>
      <c r="E508" s="12">
        <f t="shared" si="91"/>
        <v>0</v>
      </c>
      <c r="F508" s="12">
        <f t="shared" si="92"/>
        <v>0</v>
      </c>
      <c r="G508" s="16">
        <f t="shared" si="94"/>
        <v>5.850934064244834</v>
      </c>
      <c r="H508" s="14">
        <f t="shared" si="95"/>
        <v>0</v>
      </c>
      <c r="I508" s="14">
        <f t="shared" si="96"/>
        <v>10.724861172299649</v>
      </c>
      <c r="J508" s="14">
        <f t="shared" si="97"/>
        <v>1.0586312685391561</v>
      </c>
      <c r="K508" s="14">
        <f t="shared" si="98"/>
        <v>2.9750474791969941</v>
      </c>
      <c r="L508" s="14">
        <f t="shared" si="99"/>
        <v>679.46596201519287</v>
      </c>
      <c r="M508" s="14">
        <f t="shared" si="93"/>
        <v>0.18182895619698036</v>
      </c>
      <c r="N508" s="14">
        <f t="shared" si="100"/>
        <v>4.6530534971241151</v>
      </c>
      <c r="O508" s="4">
        <v>4.59</v>
      </c>
      <c r="P508" s="14">
        <f t="shared" si="103"/>
        <v>3.9757434995808076E-3</v>
      </c>
      <c r="Q508" s="14">
        <f t="shared" si="101"/>
        <v>3.7777714128601891</v>
      </c>
    </row>
    <row r="509" spans="1:17" x14ac:dyDescent="0.25">
      <c r="A509" s="5" t="s">
        <v>566</v>
      </c>
      <c r="B509" s="6">
        <f t="shared" si="102"/>
        <v>4</v>
      </c>
      <c r="C509" s="58">
        <v>15.99012566</v>
      </c>
      <c r="D509" s="4">
        <v>0</v>
      </c>
      <c r="E509" s="12">
        <f t="shared" si="91"/>
        <v>0</v>
      </c>
      <c r="F509" s="12">
        <f t="shared" si="92"/>
        <v>0</v>
      </c>
      <c r="G509" s="16">
        <f t="shared" si="94"/>
        <v>5.0037746724838055</v>
      </c>
      <c r="H509" s="14">
        <f t="shared" si="95"/>
        <v>0</v>
      </c>
      <c r="I509" s="14">
        <f t="shared" si="96"/>
        <v>10.135323502810282</v>
      </c>
      <c r="J509" s="14">
        <f t="shared" si="97"/>
        <v>0.84715939176102895</v>
      </c>
      <c r="K509" s="14">
        <f t="shared" si="98"/>
        <v>2.7895732412196224</v>
      </c>
      <c r="L509" s="14">
        <f t="shared" si="99"/>
        <v>679.46960729697332</v>
      </c>
      <c r="M509" s="14">
        <f t="shared" si="93"/>
        <v>0.17472045067995515</v>
      </c>
      <c r="N509" s="14">
        <f t="shared" si="100"/>
        <v>4.4711448663585749</v>
      </c>
      <c r="O509" s="4">
        <v>4.3</v>
      </c>
      <c r="P509" s="14">
        <f t="shared" si="103"/>
        <v>2.929056528089452E-2</v>
      </c>
      <c r="Q509" s="14">
        <f t="shared" si="101"/>
        <v>4.9891878295268528</v>
      </c>
    </row>
    <row r="510" spans="1:17" x14ac:dyDescent="0.25">
      <c r="A510" s="5" t="s">
        <v>567</v>
      </c>
      <c r="B510" s="6">
        <f t="shared" si="102"/>
        <v>4</v>
      </c>
      <c r="C510" s="58">
        <v>14.863431930000001</v>
      </c>
      <c r="D510" s="4">
        <v>0</v>
      </c>
      <c r="E510" s="12">
        <f t="shared" si="91"/>
        <v>0</v>
      </c>
      <c r="F510" s="12">
        <f t="shared" si="92"/>
        <v>0</v>
      </c>
      <c r="G510" s="16">
        <f t="shared" si="94"/>
        <v>4.4372792072673377</v>
      </c>
      <c r="H510" s="14">
        <f t="shared" si="95"/>
        <v>0</v>
      </c>
      <c r="I510" s="14">
        <f t="shared" si="96"/>
        <v>7.9249472923217006</v>
      </c>
      <c r="J510" s="14">
        <f t="shared" si="97"/>
        <v>0.56649546521646732</v>
      </c>
      <c r="K510" s="14">
        <f t="shared" si="98"/>
        <v>2.6204150409154527</v>
      </c>
      <c r="L510" s="14">
        <f t="shared" si="99"/>
        <v>679.46404504659756</v>
      </c>
      <c r="M510" s="14">
        <f t="shared" si="93"/>
        <v>0.16823539153496717</v>
      </c>
      <c r="N510" s="14">
        <f t="shared" si="100"/>
        <v>4.3051904014330145</v>
      </c>
      <c r="O510" s="4">
        <v>4.09</v>
      </c>
      <c r="P510" s="14">
        <f t="shared" si="103"/>
        <v>4.6306908868901972E-2</v>
      </c>
      <c r="Q510" s="14">
        <f t="shared" si="101"/>
        <v>5.9714204071130581</v>
      </c>
    </row>
    <row r="511" spans="1:17" x14ac:dyDescent="0.25">
      <c r="A511" s="5" t="s">
        <v>568</v>
      </c>
      <c r="B511" s="6">
        <f t="shared" si="102"/>
        <v>4</v>
      </c>
      <c r="C511" s="58">
        <v>15.395305629999999</v>
      </c>
      <c r="D511" s="4">
        <v>0</v>
      </c>
      <c r="E511" s="12">
        <f t="shared" si="91"/>
        <v>0</v>
      </c>
      <c r="F511" s="12">
        <f t="shared" si="92"/>
        <v>0</v>
      </c>
      <c r="G511" s="16">
        <f t="shared" si="94"/>
        <v>3.8687751353152722</v>
      </c>
      <c r="H511" s="14">
        <f t="shared" si="95"/>
        <v>0</v>
      </c>
      <c r="I511" s="14">
        <f t="shared" si="96"/>
        <v>8.968390547716881</v>
      </c>
      <c r="J511" s="14">
        <f t="shared" si="97"/>
        <v>0.56850407195206554</v>
      </c>
      <c r="K511" s="14">
        <f t="shared" si="98"/>
        <v>2.4661375679780155</v>
      </c>
      <c r="L511" s="14">
        <f t="shared" si="99"/>
        <v>679.45008712799995</v>
      </c>
      <c r="M511" s="14">
        <f t="shared" si="93"/>
        <v>0.16231893502448233</v>
      </c>
      <c r="N511" s="14">
        <f t="shared" si="100"/>
        <v>4.1537866358695652</v>
      </c>
      <c r="O511" s="4">
        <v>3.87</v>
      </c>
      <c r="P511" s="14">
        <f t="shared" si="103"/>
        <v>8.0534854698165126E-2</v>
      </c>
      <c r="Q511" s="14">
        <f t="shared" si="101"/>
        <v>7.0950259645843188</v>
      </c>
    </row>
    <row r="512" spans="1:17" x14ac:dyDescent="0.25">
      <c r="A512" s="5" t="s">
        <v>569</v>
      </c>
      <c r="B512" s="6">
        <f t="shared" si="102"/>
        <v>4</v>
      </c>
      <c r="C512" s="58">
        <v>15.384902</v>
      </c>
      <c r="D512" s="4">
        <v>0</v>
      </c>
      <c r="E512" s="12">
        <f t="shared" si="91"/>
        <v>0</v>
      </c>
      <c r="F512" s="12">
        <f t="shared" si="92"/>
        <v>0</v>
      </c>
      <c r="G512" s="16">
        <f t="shared" si="94"/>
        <v>3.374235818068549</v>
      </c>
      <c r="H512" s="14">
        <f t="shared" si="95"/>
        <v>0</v>
      </c>
      <c r="I512" s="14">
        <f t="shared" si="96"/>
        <v>8.9479804436731456</v>
      </c>
      <c r="J512" s="14">
        <f t="shared" si="97"/>
        <v>0.49453931724672329</v>
      </c>
      <c r="K512" s="14">
        <f t="shared" si="98"/>
        <v>2.3254317753344247</v>
      </c>
      <c r="L512" s="14">
        <f t="shared" si="99"/>
        <v>679.42847398561912</v>
      </c>
      <c r="M512" s="14">
        <f t="shared" si="93"/>
        <v>0.15692106197572475</v>
      </c>
      <c r="N512" s="14">
        <f t="shared" si="100"/>
        <v>4.0156535651426779</v>
      </c>
      <c r="O512" s="4">
        <v>3.44</v>
      </c>
      <c r="P512" s="14">
        <f t="shared" si="103"/>
        <v>0.33137702706147537</v>
      </c>
      <c r="Q512" s="14">
        <f t="shared" si="101"/>
        <v>9.5706640996417871</v>
      </c>
    </row>
    <row r="513" spans="1:17" x14ac:dyDescent="0.25">
      <c r="A513" s="5" t="s">
        <v>570</v>
      </c>
      <c r="B513" s="6">
        <f t="shared" si="102"/>
        <v>4</v>
      </c>
      <c r="C513" s="58">
        <v>16.467210770000001</v>
      </c>
      <c r="D513" s="4">
        <v>0</v>
      </c>
      <c r="E513" s="12">
        <f t="shared" si="91"/>
        <v>0</v>
      </c>
      <c r="F513" s="12">
        <f t="shared" si="92"/>
        <v>0</v>
      </c>
      <c r="G513" s="16">
        <f t="shared" si="94"/>
        <v>2.8405623399146265</v>
      </c>
      <c r="H513" s="14">
        <f t="shared" si="95"/>
        <v>0</v>
      </c>
      <c r="I513" s="14">
        <f t="shared" si="96"/>
        <v>11.07128111883636</v>
      </c>
      <c r="J513" s="14">
        <f t="shared" si="97"/>
        <v>0.53367347815392274</v>
      </c>
      <c r="K513" s="14">
        <f t="shared" si="98"/>
        <v>2.197103771857924</v>
      </c>
      <c r="L513" s="14">
        <f t="shared" si="99"/>
        <v>679.39988092711985</v>
      </c>
      <c r="M513" s="14">
        <f t="shared" si="93"/>
        <v>0.15199615336712308</v>
      </c>
      <c r="N513" s="14">
        <f t="shared" si="100"/>
        <v>3.8896237858183929</v>
      </c>
      <c r="O513" s="4">
        <v>3.25</v>
      </c>
      <c r="P513" s="14">
        <f t="shared" si="103"/>
        <v>0.40911858738465329</v>
      </c>
      <c r="Q513" s="14">
        <f t="shared" si="101"/>
        <v>10.782350717457877</v>
      </c>
    </row>
    <row r="514" spans="1:17" x14ac:dyDescent="0.25">
      <c r="A514" s="5" t="s">
        <v>571</v>
      </c>
      <c r="B514" s="6">
        <f t="shared" si="102"/>
        <v>5</v>
      </c>
      <c r="C514" s="58">
        <v>16.022911069999999</v>
      </c>
      <c r="D514" s="4">
        <v>3.7</v>
      </c>
      <c r="E514" s="12">
        <f t="shared" si="91"/>
        <v>0</v>
      </c>
      <c r="F514" s="12">
        <f t="shared" si="92"/>
        <v>3.7</v>
      </c>
      <c r="G514" s="16">
        <f t="shared" si="94"/>
        <v>5.8892492916686487</v>
      </c>
      <c r="H514" s="14">
        <f t="shared" si="95"/>
        <v>0.26669942203516556</v>
      </c>
      <c r="I514" s="14">
        <f t="shared" si="96"/>
        <v>9.4780289504173769</v>
      </c>
      <c r="J514" s="14">
        <f t="shared" si="97"/>
        <v>0.38461362621081219</v>
      </c>
      <c r="K514" s="14">
        <f t="shared" si="98"/>
        <v>2.3467641142158322</v>
      </c>
      <c r="L514" s="14">
        <f t="shared" si="99"/>
        <v>679.36492385343001</v>
      </c>
      <c r="M514" s="14">
        <f t="shared" si="93"/>
        <v>0.15772526500277334</v>
      </c>
      <c r="N514" s="14">
        <f t="shared" si="100"/>
        <v>4.0362333439945814</v>
      </c>
      <c r="O514" s="4">
        <v>3.25</v>
      </c>
      <c r="P514" s="14">
        <f t="shared" si="103"/>
        <v>0.61816287120890179</v>
      </c>
      <c r="Q514" s="14">
        <f t="shared" si="101"/>
        <v>10.782350717457877</v>
      </c>
    </row>
    <row r="515" spans="1:17" x14ac:dyDescent="0.25">
      <c r="A515" s="5" t="s">
        <v>572</v>
      </c>
      <c r="B515" s="6">
        <f t="shared" si="102"/>
        <v>5</v>
      </c>
      <c r="C515" s="58">
        <v>17.139888760000002</v>
      </c>
      <c r="D515" s="4">
        <v>0</v>
      </c>
      <c r="E515" s="12">
        <f t="shared" si="91"/>
        <v>0</v>
      </c>
      <c r="F515" s="12">
        <f t="shared" si="92"/>
        <v>0</v>
      </c>
      <c r="G515" s="16">
        <f t="shared" si="94"/>
        <v>4.9128607689888586</v>
      </c>
      <c r="H515" s="14">
        <f t="shared" si="95"/>
        <v>0</v>
      </c>
      <c r="I515" s="14">
        <f t="shared" si="96"/>
        <v>11.605408093460076</v>
      </c>
      <c r="J515" s="14">
        <f t="shared" si="97"/>
        <v>0.97638852267979048</v>
      </c>
      <c r="K515" s="14">
        <f t="shared" si="98"/>
        <v>2.2165595199597048</v>
      </c>
      <c r="L515" s="14">
        <f t="shared" si="99"/>
        <v>679.33740318268337</v>
      </c>
      <c r="M515" s="14">
        <f t="shared" si="93"/>
        <v>0.15272865348129697</v>
      </c>
      <c r="N515" s="14">
        <f t="shared" si="100"/>
        <v>3.9083686672123563</v>
      </c>
      <c r="O515" s="4">
        <v>3.42</v>
      </c>
      <c r="P515" s="14">
        <f t="shared" si="103"/>
        <v>0.23850395511477329</v>
      </c>
      <c r="Q515" s="14">
        <f t="shared" si="101"/>
        <v>9.6948100594119015</v>
      </c>
    </row>
    <row r="516" spans="1:17" x14ac:dyDescent="0.25">
      <c r="A516" s="5" t="s">
        <v>573</v>
      </c>
      <c r="B516" s="6">
        <f t="shared" si="102"/>
        <v>5</v>
      </c>
      <c r="C516" s="58">
        <v>16.66994858</v>
      </c>
      <c r="D516" s="4">
        <v>0.7</v>
      </c>
      <c r="E516" s="12">
        <f t="shared" si="91"/>
        <v>0</v>
      </c>
      <c r="F516" s="12">
        <f t="shared" si="92"/>
        <v>0.7</v>
      </c>
      <c r="G516" s="16">
        <f t="shared" si="94"/>
        <v>4.7936522179550778</v>
      </c>
      <c r="H516" s="14">
        <f t="shared" si="95"/>
        <v>6.7514489197499514E-2</v>
      </c>
      <c r="I516" s="14">
        <f t="shared" si="96"/>
        <v>10.71036699607725</v>
      </c>
      <c r="J516" s="14">
        <f t="shared" si="97"/>
        <v>0.75169406183628162</v>
      </c>
      <c r="K516" s="14">
        <f t="shared" si="98"/>
        <v>2.1653234210653514</v>
      </c>
      <c r="L516" s="14">
        <f t="shared" si="99"/>
        <v>679.30342511729395</v>
      </c>
      <c r="M516" s="14">
        <f t="shared" si="93"/>
        <v>0.15075755713600289</v>
      </c>
      <c r="N516" s="14">
        <f t="shared" si="100"/>
        <v>3.8579277642095184</v>
      </c>
      <c r="O516" s="4">
        <v>3.34</v>
      </c>
      <c r="P516" s="14">
        <f t="shared" si="103"/>
        <v>0.26824916893907069</v>
      </c>
      <c r="Q516" s="14">
        <f t="shared" si="101"/>
        <v>10.199393898492362</v>
      </c>
    </row>
    <row r="517" spans="1:17" x14ac:dyDescent="0.25">
      <c r="A517" s="5" t="s">
        <v>574</v>
      </c>
      <c r="B517" s="6">
        <f t="shared" si="102"/>
        <v>5</v>
      </c>
      <c r="C517" s="58">
        <v>16.797386169999999</v>
      </c>
      <c r="D517" s="4">
        <v>0</v>
      </c>
      <c r="E517" s="12">
        <f t="shared" si="91"/>
        <v>0</v>
      </c>
      <c r="F517" s="12">
        <f t="shared" si="92"/>
        <v>0</v>
      </c>
      <c r="G517" s="16">
        <f t="shared" si="94"/>
        <v>4.0435763355157892</v>
      </c>
      <c r="H517" s="14">
        <f t="shared" si="95"/>
        <v>0</v>
      </c>
      <c r="I517" s="14">
        <f t="shared" si="96"/>
        <v>10.953082740028794</v>
      </c>
      <c r="J517" s="14">
        <f t="shared" si="97"/>
        <v>0.7500758824392888</v>
      </c>
      <c r="K517" s="14">
        <f t="shared" si="98"/>
        <v>2.0510800363937931</v>
      </c>
      <c r="L517" s="14">
        <f t="shared" si="99"/>
        <v>679.26691094482953</v>
      </c>
      <c r="M517" s="14">
        <f t="shared" si="93"/>
        <v>0.14637083669909054</v>
      </c>
      <c r="N517" s="14">
        <f t="shared" si="100"/>
        <v>3.7456703696954765</v>
      </c>
      <c r="O517" s="4">
        <v>3.32</v>
      </c>
      <c r="P517" s="14">
        <f t="shared" si="103"/>
        <v>0.18119526363668378</v>
      </c>
      <c r="Q517" s="14">
        <f t="shared" si="101"/>
        <v>10.327539858262476</v>
      </c>
    </row>
    <row r="518" spans="1:17" x14ac:dyDescent="0.25">
      <c r="A518" s="5" t="s">
        <v>575</v>
      </c>
      <c r="B518" s="6">
        <f t="shared" si="102"/>
        <v>5</v>
      </c>
      <c r="C518" s="58">
        <v>14.87045097</v>
      </c>
      <c r="D518" s="4">
        <v>0</v>
      </c>
      <c r="E518" s="12">
        <f t="shared" si="91"/>
        <v>0</v>
      </c>
      <c r="F518" s="12">
        <f t="shared" si="92"/>
        <v>0</v>
      </c>
      <c r="G518" s="16">
        <f t="shared" si="94"/>
        <v>3.6228666862399033</v>
      </c>
      <c r="H518" s="14">
        <f t="shared" si="95"/>
        <v>0</v>
      </c>
      <c r="I518" s="14">
        <f t="shared" si="96"/>
        <v>7.2830705355103662</v>
      </c>
      <c r="J518" s="14">
        <f t="shared" si="97"/>
        <v>0.42070964927588583</v>
      </c>
      <c r="K518" s="14">
        <f t="shared" si="98"/>
        <v>1.946886561556304</v>
      </c>
      <c r="L518" s="14">
        <f t="shared" si="99"/>
        <v>679.22473358296793</v>
      </c>
      <c r="M518" s="14">
        <f t="shared" si="93"/>
        <v>0.14439277831513142</v>
      </c>
      <c r="N518" s="14">
        <f t="shared" si="100"/>
        <v>3.6950513061893004</v>
      </c>
      <c r="O518" s="4">
        <v>3.21</v>
      </c>
      <c r="P518" s="14">
        <f t="shared" si="103"/>
        <v>0.23527476963594651</v>
      </c>
      <c r="Q518" s="14">
        <f t="shared" si="101"/>
        <v>11.046642636998106</v>
      </c>
    </row>
    <row r="519" spans="1:17" x14ac:dyDescent="0.25">
      <c r="A519" s="5" t="s">
        <v>576</v>
      </c>
      <c r="B519" s="6">
        <f t="shared" si="102"/>
        <v>5</v>
      </c>
      <c r="C519" s="58">
        <v>15.777168270000001</v>
      </c>
      <c r="D519" s="4">
        <v>0</v>
      </c>
      <c r="E519" s="12">
        <f t="shared" si="91"/>
        <v>0</v>
      </c>
      <c r="F519" s="12">
        <f t="shared" si="92"/>
        <v>0</v>
      </c>
      <c r="G519" s="16">
        <f t="shared" si="94"/>
        <v>3.1565520850560911</v>
      </c>
      <c r="H519" s="14">
        <f t="shared" si="95"/>
        <v>0</v>
      </c>
      <c r="I519" s="14">
        <f t="shared" si="96"/>
        <v>9.0099908580245849</v>
      </c>
      <c r="J519" s="14">
        <f t="shared" si="97"/>
        <v>0.46631460118381218</v>
      </c>
      <c r="K519" s="14">
        <f t="shared" si="98"/>
        <v>1.8498342663409373</v>
      </c>
      <c r="L519" s="14">
        <f t="shared" si="99"/>
        <v>679.17739309986814</v>
      </c>
      <c r="M519" s="14">
        <f t="shared" si="93"/>
        <v>0.14436226699366395</v>
      </c>
      <c r="N519" s="14">
        <f t="shared" si="100"/>
        <v>3.6942705129975812</v>
      </c>
      <c r="O519" s="4">
        <v>3.93</v>
      </c>
      <c r="P519" s="14">
        <f t="shared" si="103"/>
        <v>5.5568391042423587E-2</v>
      </c>
      <c r="Q519" s="14">
        <f t="shared" si="101"/>
        <v>6.7789880852739746</v>
      </c>
    </row>
    <row r="520" spans="1:17" x14ac:dyDescent="0.25">
      <c r="A520" s="5" t="s">
        <v>577</v>
      </c>
      <c r="B520" s="6">
        <f t="shared" si="102"/>
        <v>5</v>
      </c>
      <c r="C520" s="58">
        <v>17.583909989999999</v>
      </c>
      <c r="D520" s="4">
        <v>0</v>
      </c>
      <c r="E520" s="12">
        <f t="shared" si="91"/>
        <v>0</v>
      </c>
      <c r="F520" s="12">
        <f t="shared" si="92"/>
        <v>0</v>
      </c>
      <c r="G520" s="16">
        <f t="shared" si="94"/>
        <v>2.5950873995848114</v>
      </c>
      <c r="H520" s="14">
        <f t="shared" si="95"/>
        <v>0</v>
      </c>
      <c r="I520" s="14">
        <f t="shared" si="96"/>
        <v>12.451084343063734</v>
      </c>
      <c r="J520" s="14">
        <f t="shared" si="97"/>
        <v>0.56146468547127981</v>
      </c>
      <c r="K520" s="14">
        <f t="shared" si="98"/>
        <v>1.7576200280481278</v>
      </c>
      <c r="L520" s="14">
        <f t="shared" si="99"/>
        <v>679.12524507116723</v>
      </c>
      <c r="M520" s="14">
        <f t="shared" si="93"/>
        <v>0.1443317573019279</v>
      </c>
      <c r="N520" s="14">
        <f t="shared" si="100"/>
        <v>3.6934897615111408</v>
      </c>
      <c r="O520" s="4">
        <v>4.0599999999999996</v>
      </c>
      <c r="P520" s="14">
        <f t="shared" si="103"/>
        <v>0.13432975491716015</v>
      </c>
      <c r="Q520" s="14">
        <f t="shared" si="101"/>
        <v>6.1189393467682311</v>
      </c>
    </row>
    <row r="521" spans="1:17" x14ac:dyDescent="0.25">
      <c r="A521" s="5" t="s">
        <v>578</v>
      </c>
      <c r="B521" s="6">
        <f t="shared" si="102"/>
        <v>5</v>
      </c>
      <c r="C521" s="58">
        <v>16.658761980000001</v>
      </c>
      <c r="D521" s="4">
        <v>0</v>
      </c>
      <c r="E521" s="12">
        <f t="shared" si="91"/>
        <v>0</v>
      </c>
      <c r="F521" s="12">
        <f t="shared" si="92"/>
        <v>0</v>
      </c>
      <c r="G521" s="16">
        <f t="shared" si="94"/>
        <v>2.1988149661600138</v>
      </c>
      <c r="H521" s="14">
        <f t="shared" si="95"/>
        <v>0</v>
      </c>
      <c r="I521" s="14">
        <f t="shared" si="96"/>
        <v>10.689061163620062</v>
      </c>
      <c r="J521" s="14">
        <f t="shared" si="97"/>
        <v>0.39627243342479762</v>
      </c>
      <c r="K521" s="14">
        <f t="shared" si="98"/>
        <v>1.6700026695399832</v>
      </c>
      <c r="L521" s="14">
        <f t="shared" si="99"/>
        <v>679.06853067237341</v>
      </c>
      <c r="M521" s="14">
        <f t="shared" si="93"/>
        <v>0.14430124948075496</v>
      </c>
      <c r="N521" s="14">
        <f t="shared" si="100"/>
        <v>3.6927090578929307</v>
      </c>
      <c r="O521" s="4">
        <v>3.87</v>
      </c>
      <c r="P521" s="14">
        <f t="shared" si="103"/>
        <v>3.1432078153212237E-2</v>
      </c>
      <c r="Q521" s="14">
        <f t="shared" si="101"/>
        <v>7.0950259645843188</v>
      </c>
    </row>
    <row r="522" spans="1:17" x14ac:dyDescent="0.25">
      <c r="A522" s="5" t="s">
        <v>579</v>
      </c>
      <c r="B522" s="6">
        <f t="shared" si="102"/>
        <v>5</v>
      </c>
      <c r="C522" s="58">
        <v>15.965497969999999</v>
      </c>
      <c r="D522" s="4">
        <v>0</v>
      </c>
      <c r="E522" s="12">
        <f t="shared" si="91"/>
        <v>0</v>
      </c>
      <c r="F522" s="12">
        <f t="shared" si="92"/>
        <v>0</v>
      </c>
      <c r="G522" s="16">
        <f t="shared" si="94"/>
        <v>1.9045290773418457</v>
      </c>
      <c r="H522" s="14">
        <f t="shared" si="95"/>
        <v>0</v>
      </c>
      <c r="I522" s="14">
        <f t="shared" si="96"/>
        <v>9.368680811622033</v>
      </c>
      <c r="J522" s="14">
        <f t="shared" si="97"/>
        <v>0.29428588881816808</v>
      </c>
      <c r="K522" s="14">
        <f t="shared" si="98"/>
        <v>1.5867530363589504</v>
      </c>
      <c r="L522" s="14">
        <f t="shared" si="99"/>
        <v>679.00747905607363</v>
      </c>
      <c r="M522" s="14">
        <f t="shared" si="93"/>
        <v>0.14427074375890309</v>
      </c>
      <c r="N522" s="14">
        <f t="shared" si="100"/>
        <v>3.6919284079969295</v>
      </c>
      <c r="O522" s="4">
        <v>3.8</v>
      </c>
      <c r="P522" s="14">
        <f t="shared" si="103"/>
        <v>1.1679468998078105E-2</v>
      </c>
      <c r="Q522" s="14">
        <f t="shared" si="101"/>
        <v>7.4728368237797218</v>
      </c>
    </row>
    <row r="523" spans="1:17" x14ac:dyDescent="0.25">
      <c r="A523" s="5" t="s">
        <v>580</v>
      </c>
      <c r="B523" s="6">
        <f t="shared" si="102"/>
        <v>5</v>
      </c>
      <c r="C523" s="58">
        <v>15.88106537</v>
      </c>
      <c r="D523" s="4">
        <v>0</v>
      </c>
      <c r="E523" s="12">
        <f t="shared" si="91"/>
        <v>0</v>
      </c>
      <c r="F523" s="12">
        <f t="shared" si="92"/>
        <v>0</v>
      </c>
      <c r="G523" s="16">
        <f t="shared" si="94"/>
        <v>1.654005168495579</v>
      </c>
      <c r="H523" s="14">
        <f t="shared" si="95"/>
        <v>0</v>
      </c>
      <c r="I523" s="14">
        <f t="shared" si="96"/>
        <v>9.2078717338392302</v>
      </c>
      <c r="J523" s="14">
        <f t="shared" si="97"/>
        <v>0.25052390884626669</v>
      </c>
      <c r="K523" s="14">
        <f t="shared" si="98"/>
        <v>1.5076533973971995</v>
      </c>
      <c r="L523" s="14">
        <f t="shared" si="99"/>
        <v>678.94230795127646</v>
      </c>
      <c r="M523" s="14">
        <f t="shared" si="93"/>
        <v>0.14424024035365834</v>
      </c>
      <c r="N523" s="14">
        <f t="shared" si="100"/>
        <v>3.6911478173835488</v>
      </c>
      <c r="O523" s="4">
        <v>3.71</v>
      </c>
      <c r="P523" s="14">
        <f t="shared" si="103"/>
        <v>3.5540478940402341E-4</v>
      </c>
      <c r="Q523" s="14">
        <f t="shared" si="101"/>
        <v>7.9729936427452381</v>
      </c>
    </row>
    <row r="524" spans="1:17" x14ac:dyDescent="0.25">
      <c r="A524" s="5" t="s">
        <v>581</v>
      </c>
      <c r="B524" s="6">
        <f t="shared" si="102"/>
        <v>5</v>
      </c>
      <c r="C524" s="58">
        <v>16.938734050000001</v>
      </c>
      <c r="D524" s="4">
        <v>0</v>
      </c>
      <c r="E524" s="12">
        <f t="shared" si="91"/>
        <v>0</v>
      </c>
      <c r="F524" s="12">
        <f t="shared" si="92"/>
        <v>0</v>
      </c>
      <c r="G524" s="16">
        <f t="shared" si="94"/>
        <v>1.3888374019875742</v>
      </c>
      <c r="H524" s="14">
        <f t="shared" si="95"/>
        <v>0</v>
      </c>
      <c r="I524" s="14">
        <f t="shared" si="96"/>
        <v>11.222291816017862</v>
      </c>
      <c r="J524" s="14">
        <f t="shared" si="97"/>
        <v>0.26516776650800483</v>
      </c>
      <c r="K524" s="14">
        <f t="shared" si="98"/>
        <v>1.4324968754426399</v>
      </c>
      <c r="L524" s="14">
        <f t="shared" si="99"/>
        <v>678.87322423287742</v>
      </c>
      <c r="M524" s="14">
        <f t="shared" si="93"/>
        <v>0.14420973947140689</v>
      </c>
      <c r="N524" s="14">
        <f t="shared" si="100"/>
        <v>3.6903672913342667</v>
      </c>
      <c r="O524" s="4">
        <v>3.66</v>
      </c>
      <c r="P524" s="14">
        <f t="shared" si="103"/>
        <v>9.2217238298021858E-4</v>
      </c>
      <c r="Q524" s="14">
        <f t="shared" si="101"/>
        <v>8.2578585421705242</v>
      </c>
    </row>
    <row r="525" spans="1:17" x14ac:dyDescent="0.25">
      <c r="A525" s="5" t="s">
        <v>582</v>
      </c>
      <c r="B525" s="6">
        <f t="shared" si="102"/>
        <v>5</v>
      </c>
      <c r="C525" s="58">
        <v>15.26804733</v>
      </c>
      <c r="D525" s="4">
        <v>0</v>
      </c>
      <c r="E525" s="12">
        <f t="shared" si="91"/>
        <v>0</v>
      </c>
      <c r="F525" s="12">
        <f t="shared" si="92"/>
        <v>0</v>
      </c>
      <c r="G525" s="16">
        <f t="shared" si="94"/>
        <v>1.2293128960461659</v>
      </c>
      <c r="H525" s="14">
        <f t="shared" si="95"/>
        <v>0</v>
      </c>
      <c r="I525" s="14">
        <f t="shared" si="96"/>
        <v>8.0403266662158011</v>
      </c>
      <c r="J525" s="14">
        <f t="shared" si="97"/>
        <v>0.15952450594140838</v>
      </c>
      <c r="K525" s="14">
        <f t="shared" si="98"/>
        <v>1.3610869061122164</v>
      </c>
      <c r="L525" s="14">
        <f t="shared" si="99"/>
        <v>678.80042446273649</v>
      </c>
      <c r="M525" s="14">
        <f t="shared" si="93"/>
        <v>0.14417924130817825</v>
      </c>
      <c r="N525" s="14">
        <f t="shared" si="100"/>
        <v>3.6895868348655338</v>
      </c>
      <c r="O525" s="4">
        <v>3.26</v>
      </c>
      <c r="P525" s="14">
        <f t="shared" si="103"/>
        <v>0.18454484868978763</v>
      </c>
      <c r="Q525" s="14">
        <f t="shared" si="101"/>
        <v>10.716777737572821</v>
      </c>
    </row>
    <row r="526" spans="1:17" x14ac:dyDescent="0.25">
      <c r="A526" s="5" t="s">
        <v>583</v>
      </c>
      <c r="B526" s="6">
        <f t="shared" si="102"/>
        <v>5</v>
      </c>
      <c r="C526" s="58">
        <v>16.726018910000001</v>
      </c>
      <c r="D526" s="4">
        <v>0</v>
      </c>
      <c r="E526" s="12">
        <f t="shared" si="91"/>
        <v>0</v>
      </c>
      <c r="F526" s="12">
        <f t="shared" si="92"/>
        <v>0</v>
      </c>
      <c r="G526" s="16">
        <f t="shared" si="94"/>
        <v>1.0393460072434832</v>
      </c>
      <c r="H526" s="14">
        <f t="shared" si="95"/>
        <v>0</v>
      </c>
      <c r="I526" s="14">
        <f t="shared" si="96"/>
        <v>10.817157715044541</v>
      </c>
      <c r="J526" s="14">
        <f t="shared" si="97"/>
        <v>0.18996688880268253</v>
      </c>
      <c r="K526" s="14">
        <f t="shared" si="98"/>
        <v>1.2932367237573816</v>
      </c>
      <c r="L526" s="14">
        <f t="shared" si="99"/>
        <v>678.72409540378317</v>
      </c>
      <c r="M526" s="14">
        <f t="shared" si="93"/>
        <v>0.14414874605016173</v>
      </c>
      <c r="N526" s="14">
        <f t="shared" si="100"/>
        <v>3.6888064527419866</v>
      </c>
      <c r="O526" s="4">
        <v>3.04</v>
      </c>
      <c r="P526" s="14">
        <f t="shared" si="103"/>
        <v>0.42094981311963964</v>
      </c>
      <c r="Q526" s="14">
        <f t="shared" si="101"/>
        <v>12.205583295044082</v>
      </c>
    </row>
    <row r="527" spans="1:17" x14ac:dyDescent="0.25">
      <c r="A527" s="5" t="s">
        <v>584</v>
      </c>
      <c r="B527" s="6">
        <f t="shared" si="102"/>
        <v>5</v>
      </c>
      <c r="C527" s="58">
        <v>17.017114639999999</v>
      </c>
      <c r="D527" s="4">
        <v>0</v>
      </c>
      <c r="E527" s="12">
        <f t="shared" si="91"/>
        <v>0</v>
      </c>
      <c r="F527" s="12">
        <f t="shared" si="92"/>
        <v>0</v>
      </c>
      <c r="G527" s="16">
        <f t="shared" si="94"/>
        <v>0.87050300845060335</v>
      </c>
      <c r="H527" s="14">
        <f t="shared" si="95"/>
        <v>0</v>
      </c>
      <c r="I527" s="14">
        <f t="shared" si="96"/>
        <v>11.371574325308963</v>
      </c>
      <c r="J527" s="14">
        <f t="shared" si="97"/>
        <v>0.16884299879287987</v>
      </c>
      <c r="K527" s="14">
        <f t="shared" si="98"/>
        <v>1.2287688729971795</v>
      </c>
      <c r="L527" s="14">
        <f t="shared" si="99"/>
        <v>678.64441450849324</v>
      </c>
      <c r="M527" s="14">
        <f t="shared" si="93"/>
        <v>0.14411825387419686</v>
      </c>
      <c r="N527" s="14">
        <f t="shared" si="100"/>
        <v>3.6880261494889957</v>
      </c>
      <c r="O527" s="4">
        <v>2.97</v>
      </c>
      <c r="P527" s="14">
        <f t="shared" si="103"/>
        <v>0.51556155134999326</v>
      </c>
      <c r="Q527" s="14">
        <f t="shared" si="101"/>
        <v>12.699594154239483</v>
      </c>
    </row>
    <row r="528" spans="1:17" x14ac:dyDescent="0.25">
      <c r="A528" s="5" t="s">
        <v>585</v>
      </c>
      <c r="B528" s="6">
        <f t="shared" si="102"/>
        <v>5</v>
      </c>
      <c r="C528" s="58">
        <v>16.661548610000001</v>
      </c>
      <c r="D528" s="4">
        <v>0</v>
      </c>
      <c r="E528" s="12">
        <f t="shared" si="91"/>
        <v>0</v>
      </c>
      <c r="F528" s="12">
        <f t="shared" si="92"/>
        <v>0</v>
      </c>
      <c r="G528" s="16">
        <f t="shared" si="94"/>
        <v>0.73751032982938014</v>
      </c>
      <c r="H528" s="14">
        <f t="shared" si="95"/>
        <v>0</v>
      </c>
      <c r="I528" s="14">
        <f t="shared" si="96"/>
        <v>10.694368537790959</v>
      </c>
      <c r="J528" s="14">
        <f t="shared" si="97"/>
        <v>0.13299267862122319</v>
      </c>
      <c r="K528" s="14">
        <f t="shared" si="98"/>
        <v>1.1675147446014063</v>
      </c>
      <c r="L528" s="14">
        <f t="shared" si="99"/>
        <v>678.56155038301483</v>
      </c>
      <c r="M528" s="14">
        <f t="shared" si="93"/>
        <v>0.14408776494823949</v>
      </c>
      <c r="N528" s="14">
        <f t="shared" si="100"/>
        <v>3.6872459294046003</v>
      </c>
      <c r="O528" s="4">
        <v>2.89</v>
      </c>
      <c r="P528" s="14">
        <f t="shared" si="103"/>
        <v>0.63560107195220472</v>
      </c>
      <c r="Q528" s="14">
        <f t="shared" si="101"/>
        <v>13.276177993319942</v>
      </c>
    </row>
    <row r="529" spans="1:17" x14ac:dyDescent="0.25">
      <c r="A529" s="5" t="s">
        <v>586</v>
      </c>
      <c r="B529" s="6">
        <f t="shared" si="102"/>
        <v>5</v>
      </c>
      <c r="C529" s="58">
        <v>17.035997389999999</v>
      </c>
      <c r="D529" s="4">
        <v>0</v>
      </c>
      <c r="E529" s="12">
        <f t="shared" si="91"/>
        <v>0</v>
      </c>
      <c r="F529" s="12">
        <f t="shared" si="92"/>
        <v>0</v>
      </c>
      <c r="G529" s="16">
        <f t="shared" si="94"/>
        <v>0.61732198692186868</v>
      </c>
      <c r="H529" s="14">
        <f t="shared" si="95"/>
        <v>0</v>
      </c>
      <c r="I529" s="14">
        <f t="shared" si="96"/>
        <v>11.407538130918446</v>
      </c>
      <c r="J529" s="14">
        <f t="shared" si="97"/>
        <v>0.12018834290751146</v>
      </c>
      <c r="K529" s="14">
        <f t="shared" si="98"/>
        <v>1.1093141345099939</v>
      </c>
      <c r="L529" s="14">
        <f t="shared" si="99"/>
        <v>678.47566322815806</v>
      </c>
      <c r="M529" s="14">
        <f t="shared" si="93"/>
        <v>0.14405727943180485</v>
      </c>
      <c r="N529" s="14">
        <f t="shared" si="100"/>
        <v>3.6864657965708401</v>
      </c>
      <c r="O529" s="4">
        <v>3</v>
      </c>
      <c r="P529" s="14">
        <f t="shared" si="103"/>
        <v>0.47123528986163798</v>
      </c>
      <c r="Q529" s="14">
        <f t="shared" si="101"/>
        <v>12.486675214584311</v>
      </c>
    </row>
    <row r="530" spans="1:17" x14ac:dyDescent="0.25">
      <c r="A530" s="5" t="s">
        <v>587</v>
      </c>
      <c r="B530" s="6">
        <f t="shared" si="102"/>
        <v>5</v>
      </c>
      <c r="C530" s="58">
        <v>15.92040443</v>
      </c>
      <c r="D530" s="4">
        <v>0</v>
      </c>
      <c r="E530" s="12">
        <f t="shared" si="91"/>
        <v>0</v>
      </c>
      <c r="F530" s="12">
        <f t="shared" si="92"/>
        <v>0</v>
      </c>
      <c r="G530" s="16">
        <f t="shared" si="94"/>
        <v>0.53545800265586363</v>
      </c>
      <c r="H530" s="14">
        <f t="shared" si="95"/>
        <v>0</v>
      </c>
      <c r="I530" s="14">
        <f t="shared" si="96"/>
        <v>9.2827963240975233</v>
      </c>
      <c r="J530" s="14">
        <f t="shared" si="97"/>
        <v>8.1863984266005038E-2</v>
      </c>
      <c r="K530" s="14">
        <f t="shared" si="98"/>
        <v>1.054014824835279</v>
      </c>
      <c r="L530" s="14">
        <f t="shared" si="99"/>
        <v>678.38690525840093</v>
      </c>
      <c r="M530" s="14">
        <f t="shared" si="93"/>
        <v>0.14402679747638794</v>
      </c>
      <c r="N530" s="14">
        <f t="shared" si="100"/>
        <v>3.6856857548645112</v>
      </c>
      <c r="O530" s="4">
        <v>2.96</v>
      </c>
      <c r="P530" s="14">
        <f t="shared" si="103"/>
        <v>0.52661981481327558</v>
      </c>
      <c r="Q530" s="14">
        <f t="shared" si="101"/>
        <v>12.770967134124541</v>
      </c>
    </row>
    <row r="531" spans="1:17" x14ac:dyDescent="0.25">
      <c r="A531" s="5" t="s">
        <v>588</v>
      </c>
      <c r="B531" s="6">
        <f t="shared" si="102"/>
        <v>5</v>
      </c>
      <c r="C531" s="58">
        <v>17.20967293</v>
      </c>
      <c r="D531" s="4">
        <v>0</v>
      </c>
      <c r="E531" s="12">
        <f t="shared" si="91"/>
        <v>0</v>
      </c>
      <c r="F531" s="12">
        <f t="shared" si="92"/>
        <v>0</v>
      </c>
      <c r="G531" s="16">
        <f t="shared" si="94"/>
        <v>0.44566684007699126</v>
      </c>
      <c r="H531" s="14">
        <f t="shared" si="95"/>
        <v>0</v>
      </c>
      <c r="I531" s="14">
        <f t="shared" si="96"/>
        <v>11.738317988708337</v>
      </c>
      <c r="J531" s="14">
        <f t="shared" si="97"/>
        <v>8.9791162578872361E-2</v>
      </c>
      <c r="K531" s="14">
        <f t="shared" si="98"/>
        <v>1.001472185751308</v>
      </c>
      <c r="L531" s="14">
        <f t="shared" si="99"/>
        <v>678.29542110000853</v>
      </c>
      <c r="M531" s="14">
        <f t="shared" si="93"/>
        <v>0.14399631922586381</v>
      </c>
      <c r="N531" s="14">
        <f t="shared" si="100"/>
        <v>3.6849058079674175</v>
      </c>
      <c r="O531" s="4">
        <v>2.85</v>
      </c>
      <c r="P531" s="14">
        <f t="shared" si="103"/>
        <v>0.69706770817772612</v>
      </c>
      <c r="Q531" s="14">
        <f t="shared" si="101"/>
        <v>13.569269912860172</v>
      </c>
    </row>
    <row r="532" spans="1:17" x14ac:dyDescent="0.25">
      <c r="A532" s="5" t="s">
        <v>589</v>
      </c>
      <c r="B532" s="6">
        <f t="shared" si="102"/>
        <v>5</v>
      </c>
      <c r="C532" s="58">
        <v>16.84094048</v>
      </c>
      <c r="D532" s="4">
        <v>0</v>
      </c>
      <c r="E532" s="12">
        <f t="shared" si="91"/>
        <v>0</v>
      </c>
      <c r="F532" s="12">
        <f t="shared" si="92"/>
        <v>0</v>
      </c>
      <c r="G532" s="16">
        <f t="shared" si="94"/>
        <v>0.37540399580062356</v>
      </c>
      <c r="H532" s="14">
        <f t="shared" si="95"/>
        <v>0</v>
      </c>
      <c r="I532" s="14">
        <f t="shared" si="96"/>
        <v>11.036035632922848</v>
      </c>
      <c r="J532" s="14">
        <f t="shared" si="97"/>
        <v>7.0262844276367725E-2</v>
      </c>
      <c r="K532" s="14">
        <f t="shared" si="98"/>
        <v>0.95154879722895958</v>
      </c>
      <c r="L532" s="14">
        <f t="shared" si="99"/>
        <v>678.20134816930499</v>
      </c>
      <c r="M532" s="14">
        <f t="shared" si="93"/>
        <v>0.14396584481686708</v>
      </c>
      <c r="N532" s="14">
        <f t="shared" si="100"/>
        <v>3.6841259593760776</v>
      </c>
      <c r="O532" s="4">
        <v>2.8</v>
      </c>
      <c r="P532" s="14">
        <f t="shared" si="103"/>
        <v>0.78167871204266992</v>
      </c>
      <c r="Q532" s="14">
        <f t="shared" si="101"/>
        <v>13.940134812285461</v>
      </c>
    </row>
    <row r="533" spans="1:17" x14ac:dyDescent="0.25">
      <c r="A533" s="5" t="s">
        <v>590</v>
      </c>
      <c r="B533" s="6">
        <f t="shared" si="102"/>
        <v>5</v>
      </c>
      <c r="C533" s="58">
        <v>16.90232086</v>
      </c>
      <c r="D533" s="4">
        <v>0</v>
      </c>
      <c r="E533" s="12">
        <f t="shared" si="91"/>
        <v>0</v>
      </c>
      <c r="F533" s="12">
        <f t="shared" si="92"/>
        <v>0</v>
      </c>
      <c r="G533" s="16">
        <f t="shared" si="94"/>
        <v>0.31559168801744863</v>
      </c>
      <c r="H533" s="14">
        <f t="shared" si="95"/>
        <v>0</v>
      </c>
      <c r="I533" s="14">
        <f t="shared" si="96"/>
        <v>11.15293979436947</v>
      </c>
      <c r="J533" s="14">
        <f t="shared" si="97"/>
        <v>5.9812307783174923E-2</v>
      </c>
      <c r="K533" s="14">
        <f t="shared" si="98"/>
        <v>0.90411408962757311</v>
      </c>
      <c r="L533" s="14">
        <f t="shared" si="99"/>
        <v>678.1048170320895</v>
      </c>
      <c r="M533" s="14">
        <f t="shared" si="93"/>
        <v>0.14393537437915313</v>
      </c>
      <c r="N533" s="14">
        <f t="shared" si="100"/>
        <v>3.6833462124109673</v>
      </c>
      <c r="O533" s="4">
        <v>2.8</v>
      </c>
      <c r="P533" s="14">
        <f t="shared" si="103"/>
        <v>0.78030053098080199</v>
      </c>
      <c r="Q533" s="14">
        <f t="shared" si="101"/>
        <v>13.940134812285461</v>
      </c>
    </row>
    <row r="534" spans="1:17" x14ac:dyDescent="0.25">
      <c r="A534" s="5" t="s">
        <v>591</v>
      </c>
      <c r="B534" s="6">
        <f t="shared" si="102"/>
        <v>5</v>
      </c>
      <c r="C534" s="58">
        <v>16.14797974</v>
      </c>
      <c r="D534" s="4">
        <v>0</v>
      </c>
      <c r="E534" s="12">
        <f t="shared" si="91"/>
        <v>0</v>
      </c>
      <c r="F534" s="12">
        <f t="shared" si="92"/>
        <v>0</v>
      </c>
      <c r="G534" s="16">
        <f t="shared" si="94"/>
        <v>0.27178647639719999</v>
      </c>
      <c r="H534" s="14">
        <f t="shared" si="95"/>
        <v>0</v>
      </c>
      <c r="I534" s="14">
        <f t="shared" si="96"/>
        <v>9.7162328844691785</v>
      </c>
      <c r="J534" s="14">
        <f t="shared" si="97"/>
        <v>4.3805211620248662E-2</v>
      </c>
      <c r="K534" s="14">
        <f t="shared" si="98"/>
        <v>0.85904400220308297</v>
      </c>
      <c r="L534" s="14">
        <f t="shared" si="99"/>
        <v>678.00595174513478</v>
      </c>
      <c r="M534" s="14">
        <f t="shared" si="93"/>
        <v>0.14390490803594083</v>
      </c>
      <c r="N534" s="14">
        <f t="shared" si="100"/>
        <v>3.6825665702252919</v>
      </c>
      <c r="O534" s="4">
        <v>2.78</v>
      </c>
      <c r="P534" s="14">
        <f t="shared" si="103"/>
        <v>0.81462641368824706</v>
      </c>
      <c r="Q534" s="14">
        <f t="shared" si="101"/>
        <v>14.089880772055576</v>
      </c>
    </row>
    <row r="535" spans="1:17" x14ac:dyDescent="0.25">
      <c r="A535" s="5" t="s">
        <v>592</v>
      </c>
      <c r="B535" s="6">
        <f t="shared" si="102"/>
        <v>5</v>
      </c>
      <c r="C535" s="58">
        <v>16.243749619999999</v>
      </c>
      <c r="D535" s="4">
        <v>0</v>
      </c>
      <c r="E535" s="12">
        <f t="shared" si="91"/>
        <v>0</v>
      </c>
      <c r="F535" s="12">
        <f t="shared" si="92"/>
        <v>0</v>
      </c>
      <c r="G535" s="16">
        <f t="shared" si="94"/>
        <v>0.23335337296994296</v>
      </c>
      <c r="H535" s="14">
        <f t="shared" si="95"/>
        <v>0</v>
      </c>
      <c r="I535" s="14">
        <f t="shared" si="96"/>
        <v>9.8986347776025116</v>
      </c>
      <c r="J535" s="14">
        <f t="shared" si="97"/>
        <v>3.8433103427257032E-2</v>
      </c>
      <c r="K535" s="14">
        <f t="shared" si="98"/>
        <v>0.81622065863952298</v>
      </c>
      <c r="L535" s="14">
        <f t="shared" si="99"/>
        <v>677.90487018066244</v>
      </c>
      <c r="M535" s="14">
        <f t="shared" si="93"/>
        <v>0.14387444590423851</v>
      </c>
      <c r="N535" s="14">
        <f t="shared" si="100"/>
        <v>3.6817870358133256</v>
      </c>
      <c r="O535" s="4">
        <v>2.77</v>
      </c>
      <c r="P535" s="14">
        <f t="shared" si="103"/>
        <v>0.83135559867725062</v>
      </c>
      <c r="Q535" s="14">
        <f t="shared" si="101"/>
        <v>14.165053751940631</v>
      </c>
    </row>
    <row r="536" spans="1:17" x14ac:dyDescent="0.25">
      <c r="A536" s="5" t="s">
        <v>593</v>
      </c>
      <c r="B536" s="6">
        <f t="shared" si="102"/>
        <v>5</v>
      </c>
      <c r="C536" s="58">
        <v>16.065279010000001</v>
      </c>
      <c r="D536" s="4">
        <v>1.3</v>
      </c>
      <c r="E536" s="12">
        <f t="shared" si="91"/>
        <v>0</v>
      </c>
      <c r="F536" s="12">
        <f t="shared" si="92"/>
        <v>1.3</v>
      </c>
      <c r="G536" s="16">
        <f t="shared" si="94"/>
        <v>1.4766686851259894</v>
      </c>
      <c r="H536" s="14">
        <f t="shared" si="95"/>
        <v>2.4819517966596576E-2</v>
      </c>
      <c r="I536" s="14">
        <f t="shared" si="96"/>
        <v>9.5587223006038862</v>
      </c>
      <c r="J536" s="14">
        <f t="shared" si="97"/>
        <v>3.1865169877356964E-2</v>
      </c>
      <c r="K536" s="14">
        <f t="shared" si="98"/>
        <v>0.80035157672188173</v>
      </c>
      <c r="L536" s="14">
        <f t="shared" si="99"/>
        <v>677.80168433464246</v>
      </c>
      <c r="M536" s="14">
        <f t="shared" si="93"/>
        <v>0.14384922451578494</v>
      </c>
      <c r="N536" s="14">
        <f t="shared" si="100"/>
        <v>3.681141613476858</v>
      </c>
      <c r="O536" s="4">
        <v>2.82</v>
      </c>
      <c r="P536" s="14">
        <f t="shared" si="103"/>
        <v>0.74156487846152652</v>
      </c>
      <c r="Q536" s="14">
        <f t="shared" si="101"/>
        <v>13.791188852515345</v>
      </c>
    </row>
    <row r="537" spans="1:17" x14ac:dyDescent="0.25">
      <c r="A537" s="5" t="s">
        <v>594</v>
      </c>
      <c r="B537" s="6">
        <f t="shared" si="102"/>
        <v>5</v>
      </c>
      <c r="C537" s="58">
        <v>16.05920029</v>
      </c>
      <c r="D537" s="4">
        <v>0</v>
      </c>
      <c r="E537" s="12">
        <f t="shared" si="91"/>
        <v>0</v>
      </c>
      <c r="F537" s="12">
        <f t="shared" si="92"/>
        <v>0</v>
      </c>
      <c r="G537" s="16">
        <f t="shared" si="94"/>
        <v>1.2752689532278432</v>
      </c>
      <c r="H537" s="14">
        <f t="shared" si="95"/>
        <v>0</v>
      </c>
      <c r="I537" s="14">
        <f t="shared" si="96"/>
        <v>9.5471448606423071</v>
      </c>
      <c r="J537" s="14">
        <f t="shared" si="97"/>
        <v>0.20139973189814622</v>
      </c>
      <c r="K537" s="14">
        <f t="shared" si="98"/>
        <v>0.76045405057223103</v>
      </c>
      <c r="L537" s="14">
        <f t="shared" si="99"/>
        <v>677.69773263627633</v>
      </c>
      <c r="M537" s="14">
        <f t="shared" si="93"/>
        <v>0.14381877126205497</v>
      </c>
      <c r="N537" s="14">
        <f t="shared" si="100"/>
        <v>3.6803623062546711</v>
      </c>
      <c r="O537" s="4">
        <v>3.05</v>
      </c>
      <c r="P537" s="14">
        <f t="shared" si="103"/>
        <v>0.39735663714670799</v>
      </c>
      <c r="Q537" s="14">
        <f t="shared" si="101"/>
        <v>12.135810315159025</v>
      </c>
    </row>
    <row r="538" spans="1:17" x14ac:dyDescent="0.25">
      <c r="A538" s="5" t="s">
        <v>595</v>
      </c>
      <c r="B538" s="6">
        <f t="shared" si="102"/>
        <v>5</v>
      </c>
      <c r="C538" s="58">
        <v>15.360702509999999</v>
      </c>
      <c r="D538" s="4">
        <v>0</v>
      </c>
      <c r="E538" s="12">
        <f t="shared" si="91"/>
        <v>0</v>
      </c>
      <c r="F538" s="12">
        <f t="shared" si="92"/>
        <v>0</v>
      </c>
      <c r="G538" s="16">
        <f t="shared" si="94"/>
        <v>1.1255741855206804</v>
      </c>
      <c r="H538" s="14">
        <f t="shared" si="95"/>
        <v>0</v>
      </c>
      <c r="I538" s="14">
        <f t="shared" si="96"/>
        <v>8.2167963479216759</v>
      </c>
      <c r="J538" s="14">
        <f t="shared" si="97"/>
        <v>0.14969476770716281</v>
      </c>
      <c r="K538" s="14">
        <f t="shared" si="98"/>
        <v>0.72254541610363621</v>
      </c>
      <c r="L538" s="14">
        <f t="shared" si="99"/>
        <v>677.59182249948287</v>
      </c>
      <c r="M538" s="14">
        <f t="shared" si="93"/>
        <v>0.14378832247491252</v>
      </c>
      <c r="N538" s="14">
        <f t="shared" si="100"/>
        <v>3.6795831133336989</v>
      </c>
      <c r="O538" s="4">
        <v>3.11</v>
      </c>
      <c r="P538" s="14">
        <f t="shared" si="103"/>
        <v>0.32442492299490944</v>
      </c>
      <c r="Q538" s="14">
        <f t="shared" si="101"/>
        <v>11.72137243584868</v>
      </c>
    </row>
    <row r="539" spans="1:17" x14ac:dyDescent="0.25">
      <c r="A539" s="5" t="s">
        <v>596</v>
      </c>
      <c r="B539" s="6">
        <f t="shared" si="102"/>
        <v>5</v>
      </c>
      <c r="C539" s="58">
        <v>16.076229099999999</v>
      </c>
      <c r="D539" s="4">
        <v>0</v>
      </c>
      <c r="E539" s="12">
        <f t="shared" ref="E539:E602" si="104">IF(C539&gt;$C$9,MAX(E538-$C$10*(C539-$C$9),0),E538+D539)</f>
        <v>0</v>
      </c>
      <c r="F539" s="12">
        <f t="shared" ref="F539:F602" si="105">IF(C539&gt;$C$9,D539+MIN(E538,$C$10*(C539-$C$9)),0)</f>
        <v>0</v>
      </c>
      <c r="G539" s="16">
        <f t="shared" si="94"/>
        <v>0.97153798478084585</v>
      </c>
      <c r="H539" s="14">
        <f t="shared" si="95"/>
        <v>0</v>
      </c>
      <c r="I539" s="14">
        <f t="shared" si="96"/>
        <v>9.579577679622636</v>
      </c>
      <c r="J539" s="14">
        <f t="shared" si="97"/>
        <v>0.15403620073983457</v>
      </c>
      <c r="K539" s="14">
        <f t="shared" si="98"/>
        <v>0.68652652706567208</v>
      </c>
      <c r="L539" s="14">
        <f t="shared" si="99"/>
        <v>677.48405306604593</v>
      </c>
      <c r="M539" s="14">
        <f t="shared" si="93"/>
        <v>0.14375787825255698</v>
      </c>
      <c r="N539" s="14">
        <f t="shared" si="100"/>
        <v>3.6788040372268922</v>
      </c>
      <c r="O539" s="4">
        <v>3.19</v>
      </c>
      <c r="P539" s="14">
        <f t="shared" si="103"/>
        <v>0.23892938680930906</v>
      </c>
      <c r="Q539" s="14">
        <f t="shared" si="101"/>
        <v>11.179988596768222</v>
      </c>
    </row>
    <row r="540" spans="1:17" x14ac:dyDescent="0.25">
      <c r="A540" s="5" t="s">
        <v>597</v>
      </c>
      <c r="B540" s="6">
        <f t="shared" si="102"/>
        <v>5</v>
      </c>
      <c r="C540" s="58">
        <v>15.53089333</v>
      </c>
      <c r="D540" s="4">
        <v>0</v>
      </c>
      <c r="E540" s="12">
        <f t="shared" si="104"/>
        <v>0</v>
      </c>
      <c r="F540" s="12">
        <f t="shared" si="105"/>
        <v>0</v>
      </c>
      <c r="G540" s="16">
        <f t="shared" si="94"/>
        <v>0.85299721881797608</v>
      </c>
      <c r="H540" s="14">
        <f t="shared" si="95"/>
        <v>0</v>
      </c>
      <c r="I540" s="14">
        <f t="shared" si="96"/>
        <v>8.5409392596796856</v>
      </c>
      <c r="J540" s="14">
        <f t="shared" si="97"/>
        <v>0.11854076596286976</v>
      </c>
      <c r="K540" s="14">
        <f t="shared" si="98"/>
        <v>0.65230317964850359</v>
      </c>
      <c r="L540" s="14">
        <f t="shared" si="99"/>
        <v>677.37451853521054</v>
      </c>
      <c r="M540" s="14">
        <f t="shared" si="93"/>
        <v>0.14372743868822449</v>
      </c>
      <c r="N540" s="14">
        <f t="shared" si="100"/>
        <v>3.6780250803201895</v>
      </c>
      <c r="O540" s="4">
        <v>3.03</v>
      </c>
      <c r="P540" s="14">
        <f t="shared" si="103"/>
        <v>0.4199365047239883</v>
      </c>
      <c r="Q540" s="14">
        <f t="shared" si="101"/>
        <v>12.275556274929141</v>
      </c>
    </row>
    <row r="541" spans="1:17" x14ac:dyDescent="0.25">
      <c r="A541" s="5" t="s">
        <v>598</v>
      </c>
      <c r="B541" s="6">
        <f t="shared" si="102"/>
        <v>5</v>
      </c>
      <c r="C541" s="58">
        <v>15.67463875</v>
      </c>
      <c r="D541" s="4">
        <v>0</v>
      </c>
      <c r="E541" s="12">
        <f t="shared" si="104"/>
        <v>0</v>
      </c>
      <c r="F541" s="12">
        <f t="shared" si="105"/>
        <v>0</v>
      </c>
      <c r="G541" s="16">
        <f t="shared" si="94"/>
        <v>0.74558388800204167</v>
      </c>
      <c r="H541" s="14">
        <f t="shared" si="95"/>
        <v>0</v>
      </c>
      <c r="I541" s="14">
        <f t="shared" si="96"/>
        <v>8.8147146547960471</v>
      </c>
      <c r="J541" s="14">
        <f t="shared" si="97"/>
        <v>0.10741333081593436</v>
      </c>
      <c r="K541" s="14">
        <f t="shared" si="98"/>
        <v>0.61978586610222175</v>
      </c>
      <c r="L541" s="14">
        <f t="shared" si="99"/>
        <v>677.26330841006859</v>
      </c>
      <c r="M541" s="14">
        <f t="shared" si="93"/>
        <v>0.14369700387043544</v>
      </c>
      <c r="N541" s="14">
        <f t="shared" si="100"/>
        <v>3.6772462448788508</v>
      </c>
      <c r="O541" s="4">
        <v>2.96</v>
      </c>
      <c r="P541" s="14">
        <f t="shared" si="103"/>
        <v>0.51444217579281237</v>
      </c>
      <c r="Q541" s="14">
        <f t="shared" si="101"/>
        <v>12.770967134124541</v>
      </c>
    </row>
    <row r="542" spans="1:17" x14ac:dyDescent="0.25">
      <c r="A542" s="5" t="s">
        <v>599</v>
      </c>
      <c r="B542" s="6">
        <f t="shared" si="102"/>
        <v>5</v>
      </c>
      <c r="C542" s="58">
        <v>16.69431114</v>
      </c>
      <c r="D542" s="4">
        <v>0</v>
      </c>
      <c r="E542" s="12">
        <f t="shared" si="104"/>
        <v>0</v>
      </c>
      <c r="F542" s="12">
        <f t="shared" si="105"/>
        <v>0</v>
      </c>
      <c r="G542" s="16">
        <f t="shared" si="94"/>
        <v>0.63101132998492426</v>
      </c>
      <c r="H542" s="14">
        <f t="shared" si="95"/>
        <v>0</v>
      </c>
      <c r="I542" s="14">
        <f t="shared" si="96"/>
        <v>10.756767566544445</v>
      </c>
      <c r="J542" s="14">
        <f t="shared" si="97"/>
        <v>0.11457255801711744</v>
      </c>
      <c r="K542" s="14">
        <f t="shared" si="98"/>
        <v>0.58888954063825616</v>
      </c>
      <c r="L542" s="14">
        <f t="shared" si="99"/>
        <v>677.15050773166206</v>
      </c>
      <c r="M542" s="14">
        <f t="shared" si="93"/>
        <v>0.1436665738832294</v>
      </c>
      <c r="N542" s="14">
        <f t="shared" si="100"/>
        <v>3.6764675330534744</v>
      </c>
      <c r="O542" s="4">
        <v>2.89</v>
      </c>
      <c r="P542" s="14">
        <f t="shared" si="103"/>
        <v>0.61853118054721767</v>
      </c>
      <c r="Q542" s="14">
        <f t="shared" si="101"/>
        <v>13.276177993319942</v>
      </c>
    </row>
    <row r="543" spans="1:17" x14ac:dyDescent="0.25">
      <c r="A543" s="5" t="s">
        <v>600</v>
      </c>
      <c r="B543" s="6">
        <f t="shared" si="102"/>
        <v>5</v>
      </c>
      <c r="C543" s="58">
        <v>17.69705772</v>
      </c>
      <c r="D543" s="4">
        <v>0</v>
      </c>
      <c r="E543" s="12">
        <f t="shared" si="104"/>
        <v>0</v>
      </c>
      <c r="F543" s="12">
        <f t="shared" si="105"/>
        <v>0</v>
      </c>
      <c r="G543" s="16">
        <f t="shared" si="94"/>
        <v>0.51682898192098436</v>
      </c>
      <c r="H543" s="14">
        <f t="shared" si="95"/>
        <v>0</v>
      </c>
      <c r="I543" s="14">
        <f t="shared" si="96"/>
        <v>12.666583831584969</v>
      </c>
      <c r="J543" s="14">
        <f t="shared" si="97"/>
        <v>0.11418234806393986</v>
      </c>
      <c r="K543" s="14">
        <f t="shared" si="98"/>
        <v>0.5595333970006019</v>
      </c>
      <c r="L543" s="14">
        <f t="shared" si="99"/>
        <v>677.03619730141656</v>
      </c>
      <c r="M543" s="14">
        <f t="shared" ref="M543:M606" si="106">MAX(0,K543-$F$9)*$F$8+K543*$F$10+L543*$F$11</f>
        <v>0.14363614880638867</v>
      </c>
      <c r="N543" s="14">
        <f t="shared" si="100"/>
        <v>3.6756889468857104</v>
      </c>
      <c r="O543" s="4">
        <v>2.85</v>
      </c>
      <c r="P543" s="14">
        <f t="shared" si="103"/>
        <v>0.68176223700923322</v>
      </c>
      <c r="Q543" s="14">
        <f t="shared" si="101"/>
        <v>13.569269912860172</v>
      </c>
    </row>
    <row r="544" spans="1:17" x14ac:dyDescent="0.25">
      <c r="A544" s="5" t="s">
        <v>601</v>
      </c>
      <c r="B544" s="6">
        <f t="shared" si="102"/>
        <v>5</v>
      </c>
      <c r="C544" s="58">
        <v>17.38077736</v>
      </c>
      <c r="D544" s="4">
        <v>0</v>
      </c>
      <c r="E544" s="12">
        <f t="shared" si="104"/>
        <v>0</v>
      </c>
      <c r="F544" s="12">
        <f t="shared" si="105"/>
        <v>0</v>
      </c>
      <c r="G544" s="16">
        <f t="shared" ref="G544:G607" si="107">G543+F544-H544-J544</f>
        <v>0.42775564293404361</v>
      </c>
      <c r="H544" s="14">
        <f t="shared" ref="H544:H607" si="108">(F544*(G543/$C$11)^$C$12)</f>
        <v>0</v>
      </c>
      <c r="I544" s="14">
        <f t="shared" ref="I544:I607" si="109">(1+$C$13*(C544-INDEX($A$16:$A$27,B544)))*INDEX($C$16:$C$27,B544)</f>
        <v>12.064200948523055</v>
      </c>
      <c r="J544" s="14">
        <f t="shared" ref="J544:J607" si="110">IF(G543&gt;$F$13,I544,I544*(G543/$F$13))</f>
        <v>8.9073338986940753E-2</v>
      </c>
      <c r="K544" s="14">
        <f t="shared" ref="K544:K607" si="111">K543+H544-MAX(0,K543-$F$9)*$F$8-K543*$F$10-K543*$F$12</f>
        <v>0.5316406571251211</v>
      </c>
      <c r="L544" s="14">
        <f t="shared" ref="L544:L607" si="112">L543+K543*$F$12-L543*$F$11</f>
        <v>676.92045389248563</v>
      </c>
      <c r="M544" s="14">
        <f t="shared" si="106"/>
        <v>0.14360572871565042</v>
      </c>
      <c r="N544" s="14">
        <f t="shared" ref="N544:N607" si="113">M544*$C$8*1000/(24*3600)</f>
        <v>3.6749104883136932</v>
      </c>
      <c r="O544" s="4">
        <v>2.75</v>
      </c>
      <c r="P544" s="14">
        <f t="shared" si="103"/>
        <v>0.85545941139267434</v>
      </c>
      <c r="Q544" s="14">
        <f t="shared" ref="Q544:Q607" si="114">(O544-$F$23)^2</f>
        <v>14.315999711710745</v>
      </c>
    </row>
    <row r="545" spans="1:17" x14ac:dyDescent="0.25">
      <c r="A545" s="5" t="s">
        <v>602</v>
      </c>
      <c r="B545" s="6">
        <f t="shared" ref="B545:B608" si="115">MONTH(A545)</f>
        <v>6</v>
      </c>
      <c r="C545" s="58">
        <v>17.967288969999998</v>
      </c>
      <c r="D545" s="4">
        <v>0</v>
      </c>
      <c r="E545" s="12">
        <f t="shared" si="104"/>
        <v>0</v>
      </c>
      <c r="F545" s="12">
        <f t="shared" si="105"/>
        <v>0</v>
      </c>
      <c r="G545" s="16">
        <f t="shared" si="107"/>
        <v>0.35414060460644931</v>
      </c>
      <c r="H545" s="14">
        <f t="shared" si="108"/>
        <v>0</v>
      </c>
      <c r="I545" s="14">
        <f t="shared" si="109"/>
        <v>12.046710795556148</v>
      </c>
      <c r="J545" s="14">
        <f t="shared" si="110"/>
        <v>7.3615038327594293E-2</v>
      </c>
      <c r="K545" s="14">
        <f t="shared" si="111"/>
        <v>0.50513837033417774</v>
      </c>
      <c r="L545" s="14">
        <f t="shared" si="112"/>
        <v>676.80335045056086</v>
      </c>
      <c r="M545" s="14">
        <f t="shared" si="106"/>
        <v>0.14357531368290838</v>
      </c>
      <c r="N545" s="14">
        <f t="shared" si="113"/>
        <v>3.674132159177204</v>
      </c>
      <c r="O545" s="4">
        <v>2.76</v>
      </c>
      <c r="P545" s="14">
        <f t="shared" ref="P545:P608" si="116">(O545-N545)^2</f>
        <v>0.83563760444197754</v>
      </c>
      <c r="Q545" s="14">
        <f t="shared" si="114"/>
        <v>14.240426731825689</v>
      </c>
    </row>
    <row r="546" spans="1:17" x14ac:dyDescent="0.25">
      <c r="A546" s="5" t="s">
        <v>603</v>
      </c>
      <c r="B546" s="6">
        <f t="shared" si="115"/>
        <v>6</v>
      </c>
      <c r="C546" s="58">
        <v>17.568189619999998</v>
      </c>
      <c r="D546" s="4">
        <v>0</v>
      </c>
      <c r="E546" s="12">
        <f t="shared" si="104"/>
        <v>0</v>
      </c>
      <c r="F546" s="12">
        <f t="shared" si="105"/>
        <v>0</v>
      </c>
      <c r="G546" s="16">
        <f t="shared" si="107"/>
        <v>0.29683419394475236</v>
      </c>
      <c r="H546" s="14">
        <f t="shared" si="108"/>
        <v>0</v>
      </c>
      <c r="I546" s="14">
        <f t="shared" si="109"/>
        <v>11.327267911960437</v>
      </c>
      <c r="J546" s="14">
        <f t="shared" si="110"/>
        <v>5.7306410661696963E-2</v>
      </c>
      <c r="K546" s="14">
        <f t="shared" si="111"/>
        <v>0.47995722254142081</v>
      </c>
      <c r="L546" s="14">
        <f t="shared" si="112"/>
        <v>676.68495628467065</v>
      </c>
      <c r="M546" s="14">
        <f t="shared" si="106"/>
        <v>0.14354490377640439</v>
      </c>
      <c r="N546" s="14">
        <f t="shared" si="113"/>
        <v>3.673353961222571</v>
      </c>
      <c r="O546" s="4">
        <v>2.74</v>
      </c>
      <c r="P546" s="14">
        <f t="shared" si="116"/>
        <v>0.87114961692986415</v>
      </c>
      <c r="Q546" s="14">
        <f t="shared" si="114"/>
        <v>14.391772691595802</v>
      </c>
    </row>
    <row r="547" spans="1:17" x14ac:dyDescent="0.25">
      <c r="A547" s="5" t="s">
        <v>604</v>
      </c>
      <c r="B547" s="6">
        <f t="shared" si="115"/>
        <v>6</v>
      </c>
      <c r="C547" s="58">
        <v>17.323394780000001</v>
      </c>
      <c r="D547" s="4">
        <v>0</v>
      </c>
      <c r="E547" s="12">
        <f t="shared" si="104"/>
        <v>0</v>
      </c>
      <c r="F547" s="12">
        <f t="shared" si="105"/>
        <v>0</v>
      </c>
      <c r="G547" s="16">
        <f t="shared" si="107"/>
        <v>0.25067226456363317</v>
      </c>
      <c r="H547" s="14">
        <f t="shared" si="108"/>
        <v>0</v>
      </c>
      <c r="I547" s="14">
        <f t="shared" si="109"/>
        <v>10.885984543348213</v>
      </c>
      <c r="J547" s="14">
        <f t="shared" si="110"/>
        <v>4.6161929381119196E-2</v>
      </c>
      <c r="K547" s="14">
        <f t="shared" si="111"/>
        <v>0.45603135496770791</v>
      </c>
      <c r="L547" s="14">
        <f t="shared" si="112"/>
        <v>676.56533724846793</v>
      </c>
      <c r="M547" s="14">
        <f t="shared" si="106"/>
        <v>0.1435144990609106</v>
      </c>
      <c r="N547" s="14">
        <f t="shared" si="113"/>
        <v>3.6725758961073303</v>
      </c>
      <c r="O547" s="4">
        <v>2.64</v>
      </c>
      <c r="P547" s="14">
        <f t="shared" si="116"/>
        <v>1.0662129812218559</v>
      </c>
      <c r="Q547" s="14">
        <f t="shared" si="114"/>
        <v>15.160502490446376</v>
      </c>
    </row>
    <row r="548" spans="1:17" x14ac:dyDescent="0.25">
      <c r="A548" s="5" t="s">
        <v>605</v>
      </c>
      <c r="B548" s="6">
        <f t="shared" si="115"/>
        <v>6</v>
      </c>
      <c r="C548" s="58">
        <v>16.870828629999998</v>
      </c>
      <c r="D548" s="4">
        <v>0</v>
      </c>
      <c r="E548" s="12">
        <f t="shared" si="104"/>
        <v>0</v>
      </c>
      <c r="F548" s="12">
        <f t="shared" si="105"/>
        <v>0</v>
      </c>
      <c r="G548" s="16">
        <f t="shared" si="107"/>
        <v>0.21461067075014156</v>
      </c>
      <c r="H548" s="14">
        <f t="shared" si="108"/>
        <v>0</v>
      </c>
      <c r="I548" s="14">
        <f t="shared" si="109"/>
        <v>10.070158869931781</v>
      </c>
      <c r="J548" s="14">
        <f t="shared" si="110"/>
        <v>3.6061593813491596E-2</v>
      </c>
      <c r="K548" s="14">
        <f t="shared" si="111"/>
        <v>0.43329819189404123</v>
      </c>
      <c r="L548" s="14">
        <f t="shared" si="112"/>
        <v>676.44455591248072</v>
      </c>
      <c r="M548" s="14">
        <f t="shared" si="106"/>
        <v>0.14348409959790237</v>
      </c>
      <c r="N548" s="14">
        <f t="shared" si="113"/>
        <v>3.6717979654046551</v>
      </c>
      <c r="O548" s="4">
        <v>2.6</v>
      </c>
      <c r="P548" s="14">
        <f t="shared" si="116"/>
        <v>1.148750878645558</v>
      </c>
      <c r="Q548" s="14">
        <f t="shared" si="114"/>
        <v>15.473594409986605</v>
      </c>
    </row>
    <row r="549" spans="1:17" x14ac:dyDescent="0.25">
      <c r="A549" s="5" t="s">
        <v>606</v>
      </c>
      <c r="B549" s="6">
        <f t="shared" si="115"/>
        <v>6</v>
      </c>
      <c r="C549" s="58">
        <v>16.995306020000001</v>
      </c>
      <c r="D549" s="4">
        <v>0</v>
      </c>
      <c r="E549" s="12">
        <f t="shared" si="104"/>
        <v>0</v>
      </c>
      <c r="F549" s="12">
        <f t="shared" si="105"/>
        <v>0</v>
      </c>
      <c r="G549" s="16">
        <f t="shared" si="107"/>
        <v>0.18304892682846402</v>
      </c>
      <c r="H549" s="14">
        <f t="shared" si="108"/>
        <v>0</v>
      </c>
      <c r="I549" s="14">
        <f t="shared" si="109"/>
        <v>10.294550045723145</v>
      </c>
      <c r="J549" s="14">
        <f t="shared" si="110"/>
        <v>3.1561743921677543E-2</v>
      </c>
      <c r="K549" s="14">
        <f t="shared" si="111"/>
        <v>0.41169827700101891</v>
      </c>
      <c r="L549" s="14">
        <f t="shared" si="112"/>
        <v>676.32267172777586</v>
      </c>
      <c r="M549" s="14">
        <f t="shared" si="106"/>
        <v>0.14345370544572258</v>
      </c>
      <c r="N549" s="14">
        <f t="shared" si="113"/>
        <v>3.6710201706075538</v>
      </c>
      <c r="O549" s="4">
        <v>2.57</v>
      </c>
      <c r="P549" s="14">
        <f t="shared" si="116"/>
        <v>1.2122454160846872</v>
      </c>
      <c r="Q549" s="14">
        <f t="shared" si="114"/>
        <v>15.710513349641779</v>
      </c>
    </row>
    <row r="550" spans="1:17" x14ac:dyDescent="0.25">
      <c r="A550" s="5" t="s">
        <v>607</v>
      </c>
      <c r="B550" s="6">
        <f t="shared" si="115"/>
        <v>6</v>
      </c>
      <c r="C550" s="58">
        <v>16.345432280000001</v>
      </c>
      <c r="D550" s="4">
        <v>0</v>
      </c>
      <c r="E550" s="12">
        <f t="shared" si="104"/>
        <v>0</v>
      </c>
      <c r="F550" s="12">
        <f t="shared" si="105"/>
        <v>0</v>
      </c>
      <c r="G550" s="16">
        <f t="shared" si="107"/>
        <v>0.15919228563959917</v>
      </c>
      <c r="H550" s="14">
        <f t="shared" si="108"/>
        <v>0</v>
      </c>
      <c r="I550" s="14">
        <f t="shared" si="109"/>
        <v>9.1230446612149301</v>
      </c>
      <c r="J550" s="14">
        <f t="shared" si="110"/>
        <v>2.3856641188864852E-2</v>
      </c>
      <c r="K550" s="14">
        <f t="shared" si="111"/>
        <v>0.3911751178667649</v>
      </c>
      <c r="L550" s="14">
        <f t="shared" si="112"/>
        <v>676.19974118146433</v>
      </c>
      <c r="M550" s="14">
        <f t="shared" si="106"/>
        <v>0.14342331665973787</v>
      </c>
      <c r="N550" s="14">
        <f t="shared" si="113"/>
        <v>3.6702425131328749</v>
      </c>
      <c r="O550" s="4">
        <v>2.4700000000000002</v>
      </c>
      <c r="P550" s="14">
        <f t="shared" si="116"/>
        <v>1.4405820903315187</v>
      </c>
      <c r="Q550" s="14">
        <f t="shared" si="114"/>
        <v>16.513243148492354</v>
      </c>
    </row>
    <row r="551" spans="1:17" x14ac:dyDescent="0.25">
      <c r="A551" s="5" t="s">
        <v>608</v>
      </c>
      <c r="B551" s="6">
        <f t="shared" si="115"/>
        <v>6</v>
      </c>
      <c r="C551" s="58">
        <v>16.747264860000001</v>
      </c>
      <c r="D551" s="4">
        <v>0</v>
      </c>
      <c r="E551" s="12">
        <f t="shared" si="104"/>
        <v>0</v>
      </c>
      <c r="F551" s="12">
        <f t="shared" si="105"/>
        <v>0</v>
      </c>
      <c r="G551" s="16">
        <f t="shared" si="107"/>
        <v>0.13679751833854864</v>
      </c>
      <c r="H551" s="14">
        <f t="shared" si="108"/>
        <v>0</v>
      </c>
      <c r="I551" s="14">
        <f t="shared" si="109"/>
        <v>9.847414645976631</v>
      </c>
      <c r="J551" s="14">
        <f t="shared" si="110"/>
        <v>2.2394767301050531E-2</v>
      </c>
      <c r="K551" s="14">
        <f t="shared" si="111"/>
        <v>0.37167503821663728</v>
      </c>
      <c r="L551" s="14">
        <f t="shared" si="112"/>
        <v>676.07581794445468</v>
      </c>
      <c r="M551" s="14">
        <f t="shared" si="106"/>
        <v>0.14339293329248695</v>
      </c>
      <c r="N551" s="14">
        <f t="shared" si="113"/>
        <v>3.6694649943251001</v>
      </c>
      <c r="O551" s="4">
        <v>2.4</v>
      </c>
      <c r="P551" s="14">
        <f t="shared" si="116"/>
        <v>1.6115413718168266</v>
      </c>
      <c r="Q551" s="14">
        <f t="shared" si="114"/>
        <v>17.087054007687758</v>
      </c>
    </row>
    <row r="552" spans="1:17" x14ac:dyDescent="0.25">
      <c r="A552" s="5" t="s">
        <v>609</v>
      </c>
      <c r="B552" s="6">
        <f t="shared" si="115"/>
        <v>6</v>
      </c>
      <c r="C552" s="58">
        <v>16.45039177</v>
      </c>
      <c r="D552" s="4">
        <v>0</v>
      </c>
      <c r="E552" s="12">
        <f t="shared" si="104"/>
        <v>0</v>
      </c>
      <c r="F552" s="12">
        <f t="shared" si="105"/>
        <v>0</v>
      </c>
      <c r="G552" s="16">
        <f t="shared" si="107"/>
        <v>0.11859903355332996</v>
      </c>
      <c r="H552" s="14">
        <f t="shared" si="108"/>
        <v>0</v>
      </c>
      <c r="I552" s="14">
        <f t="shared" si="109"/>
        <v>9.3122515796083949</v>
      </c>
      <c r="J552" s="14">
        <f t="shared" si="110"/>
        <v>1.8198484785218679E-2</v>
      </c>
      <c r="K552" s="14">
        <f t="shared" si="111"/>
        <v>0.3531470375382883</v>
      </c>
      <c r="L552" s="14">
        <f t="shared" si="112"/>
        <v>675.95095301184051</v>
      </c>
      <c r="M552" s="14">
        <f t="shared" si="106"/>
        <v>0.14336255539382167</v>
      </c>
      <c r="N552" s="14">
        <f t="shared" si="113"/>
        <v>3.6686876154599508</v>
      </c>
      <c r="O552" s="4">
        <v>2.39</v>
      </c>
      <c r="P552" s="14">
        <f t="shared" si="116"/>
        <v>1.6350420179306546</v>
      </c>
      <c r="Q552" s="14">
        <f t="shared" si="114"/>
        <v>17.169826987572815</v>
      </c>
    </row>
    <row r="553" spans="1:17" x14ac:dyDescent="0.25">
      <c r="A553" s="5" t="s">
        <v>610</v>
      </c>
      <c r="B553" s="6">
        <f t="shared" si="115"/>
        <v>6</v>
      </c>
      <c r="C553" s="58">
        <v>16.362657550000002</v>
      </c>
      <c r="D553" s="4">
        <v>0</v>
      </c>
      <c r="E553" s="12">
        <f t="shared" si="104"/>
        <v>0</v>
      </c>
      <c r="F553" s="12">
        <f t="shared" si="105"/>
        <v>0</v>
      </c>
      <c r="G553" s="16">
        <f t="shared" si="107"/>
        <v>0.10308949321133054</v>
      </c>
      <c r="H553" s="14">
        <f t="shared" si="108"/>
        <v>0</v>
      </c>
      <c r="I553" s="14">
        <f t="shared" si="109"/>
        <v>9.1540960721468583</v>
      </c>
      <c r="J553" s="14">
        <f t="shared" si="110"/>
        <v>1.5509540341999417E-2</v>
      </c>
      <c r="K553" s="14">
        <f t="shared" si="111"/>
        <v>0.33554265769491398</v>
      </c>
      <c r="L553" s="14">
        <f t="shared" si="112"/>
        <v>675.82519483629005</v>
      </c>
      <c r="M553" s="14">
        <f t="shared" si="106"/>
        <v>0.143332183011041</v>
      </c>
      <c r="N553" s="14">
        <f t="shared" si="113"/>
        <v>3.6679103777478201</v>
      </c>
      <c r="O553" s="4">
        <v>2.38</v>
      </c>
      <c r="P553" s="14">
        <f t="shared" si="116"/>
        <v>1.6587131411105331</v>
      </c>
      <c r="Q553" s="14">
        <f t="shared" si="114"/>
        <v>17.252799967457868</v>
      </c>
    </row>
    <row r="554" spans="1:17" x14ac:dyDescent="0.25">
      <c r="A554" s="5" t="s">
        <v>611</v>
      </c>
      <c r="B554" s="6">
        <f t="shared" si="115"/>
        <v>6</v>
      </c>
      <c r="C554" s="58">
        <v>16.834915160000001</v>
      </c>
      <c r="D554" s="4">
        <v>0</v>
      </c>
      <c r="E554" s="12">
        <f t="shared" si="104"/>
        <v>0</v>
      </c>
      <c r="F554" s="12">
        <f t="shared" si="105"/>
        <v>0</v>
      </c>
      <c r="G554" s="16">
        <f t="shared" si="107"/>
        <v>8.8354430439824105E-2</v>
      </c>
      <c r="H554" s="14">
        <f t="shared" si="108"/>
        <v>0</v>
      </c>
      <c r="I554" s="14">
        <f t="shared" si="109"/>
        <v>10.005418873695941</v>
      </c>
      <c r="J554" s="14">
        <f t="shared" si="110"/>
        <v>1.4735062771506442E-2</v>
      </c>
      <c r="K554" s="14">
        <f t="shared" si="111"/>
        <v>0.31881585618783309</v>
      </c>
      <c r="L554" s="14">
        <f t="shared" si="112"/>
        <v>675.69858945478609</v>
      </c>
      <c r="M554" s="14">
        <f t="shared" si="106"/>
        <v>0.14330181618901813</v>
      </c>
      <c r="N554" s="14">
        <f t="shared" si="113"/>
        <v>3.6671332823370268</v>
      </c>
      <c r="O554" s="4">
        <v>2.36</v>
      </c>
      <c r="P554" s="14">
        <f t="shared" si="116"/>
        <v>1.7085974177931698</v>
      </c>
      <c r="Q554" s="14">
        <f t="shared" si="114"/>
        <v>17.41934592722798</v>
      </c>
    </row>
    <row r="555" spans="1:17" x14ac:dyDescent="0.25">
      <c r="A555" s="5" t="s">
        <v>612</v>
      </c>
      <c r="B555" s="6">
        <f t="shared" si="115"/>
        <v>6</v>
      </c>
      <c r="C555" s="58">
        <v>17.3789978</v>
      </c>
      <c r="D555" s="4">
        <v>0</v>
      </c>
      <c r="E555" s="12">
        <f t="shared" si="104"/>
        <v>0</v>
      </c>
      <c r="F555" s="12">
        <f t="shared" si="105"/>
        <v>0</v>
      </c>
      <c r="G555" s="16">
        <f t="shared" si="107"/>
        <v>7.448754704272989E-2</v>
      </c>
      <c r="H555" s="14">
        <f t="shared" si="108"/>
        <v>0</v>
      </c>
      <c r="I555" s="14">
        <f t="shared" si="109"/>
        <v>10.986218224624391</v>
      </c>
      <c r="J555" s="14">
        <f t="shared" si="110"/>
        <v>1.3866883397094213E-2</v>
      </c>
      <c r="K555" s="14">
        <f t="shared" si="111"/>
        <v>0.30292288573692649</v>
      </c>
      <c r="L555" s="14">
        <f t="shared" si="112"/>
        <v>675.57118060904804</v>
      </c>
      <c r="M555" s="14">
        <f t="shared" si="106"/>
        <v>0.14327145497032159</v>
      </c>
      <c r="N555" s="14">
        <f t="shared" si="113"/>
        <v>3.6663563303169107</v>
      </c>
      <c r="O555" s="4">
        <v>2.36</v>
      </c>
      <c r="P555" s="14">
        <f t="shared" si="116"/>
        <v>1.7065668617590657</v>
      </c>
      <c r="Q555" s="14">
        <f t="shared" si="114"/>
        <v>17.41934592722798</v>
      </c>
    </row>
    <row r="556" spans="1:17" x14ac:dyDescent="0.25">
      <c r="A556" s="5" t="s">
        <v>613</v>
      </c>
      <c r="B556" s="6">
        <f t="shared" si="115"/>
        <v>6</v>
      </c>
      <c r="C556" s="58">
        <v>16.632873539999999</v>
      </c>
      <c r="D556" s="4">
        <v>0</v>
      </c>
      <c r="E556" s="12">
        <f t="shared" si="104"/>
        <v>0</v>
      </c>
      <c r="F556" s="12">
        <f t="shared" si="105"/>
        <v>0</v>
      </c>
      <c r="G556" s="16">
        <f t="shared" si="107"/>
        <v>6.4228256866911748E-2</v>
      </c>
      <c r="H556" s="14">
        <f t="shared" si="108"/>
        <v>0</v>
      </c>
      <c r="I556" s="14">
        <f t="shared" si="109"/>
        <v>9.6412052870309921</v>
      </c>
      <c r="J556" s="14">
        <f t="shared" si="110"/>
        <v>1.0259290175818147E-2</v>
      </c>
      <c r="K556" s="14">
        <f t="shared" si="111"/>
        <v>0.28782217986399178</v>
      </c>
      <c r="L556" s="14">
        <f t="shared" si="112"/>
        <v>675.44300985995062</v>
      </c>
      <c r="M556" s="14">
        <f t="shared" si="106"/>
        <v>0.14324109939533008</v>
      </c>
      <c r="N556" s="14">
        <f t="shared" si="113"/>
        <v>3.665579522720773</v>
      </c>
      <c r="O556" s="4">
        <v>2.31</v>
      </c>
      <c r="P556" s="14">
        <f t="shared" si="116"/>
        <v>1.8375958424198786</v>
      </c>
      <c r="Q556" s="14">
        <f t="shared" si="114"/>
        <v>17.839210826653275</v>
      </c>
    </row>
    <row r="557" spans="1:17" x14ac:dyDescent="0.25">
      <c r="A557" s="5" t="s">
        <v>614</v>
      </c>
      <c r="B557" s="6">
        <f t="shared" si="115"/>
        <v>6</v>
      </c>
      <c r="C557" s="58">
        <v>16.679475780000001</v>
      </c>
      <c r="D557" s="4">
        <v>0</v>
      </c>
      <c r="E557" s="12">
        <f t="shared" si="104"/>
        <v>0</v>
      </c>
      <c r="F557" s="12">
        <f t="shared" si="105"/>
        <v>0</v>
      </c>
      <c r="G557" s="16">
        <f t="shared" si="107"/>
        <v>5.5304913731362391E-2</v>
      </c>
      <c r="H557" s="14">
        <f t="shared" si="108"/>
        <v>0</v>
      </c>
      <c r="I557" s="14">
        <f t="shared" si="109"/>
        <v>9.7252135669934123</v>
      </c>
      <c r="J557" s="14">
        <f t="shared" si="110"/>
        <v>8.923343135549355E-3</v>
      </c>
      <c r="K557" s="14">
        <f t="shared" si="111"/>
        <v>0.27347424417976746</v>
      </c>
      <c r="L557" s="14">
        <f t="shared" si="112"/>
        <v>675.31411669623958</v>
      </c>
      <c r="M557" s="14">
        <f t="shared" si="106"/>
        <v>0.14321074950234161</v>
      </c>
      <c r="N557" s="14">
        <f t="shared" si="113"/>
        <v>3.6648028605286722</v>
      </c>
      <c r="O557" s="4">
        <v>2.34</v>
      </c>
      <c r="P557" s="14">
        <f t="shared" si="116"/>
        <v>1.7551026192649528</v>
      </c>
      <c r="Q557" s="14">
        <f t="shared" si="114"/>
        <v>17.5866918869981</v>
      </c>
    </row>
    <row r="558" spans="1:17" x14ac:dyDescent="0.25">
      <c r="A558" s="5" t="s">
        <v>615</v>
      </c>
      <c r="B558" s="6">
        <f t="shared" si="115"/>
        <v>6</v>
      </c>
      <c r="C558" s="58">
        <v>16.207132340000001</v>
      </c>
      <c r="D558" s="4">
        <v>0</v>
      </c>
      <c r="E558" s="12">
        <f t="shared" si="104"/>
        <v>0</v>
      </c>
      <c r="F558" s="12">
        <f t="shared" si="105"/>
        <v>0</v>
      </c>
      <c r="G558" s="16">
        <f t="shared" si="107"/>
        <v>4.8294033693862051E-2</v>
      </c>
      <c r="H558" s="14">
        <f t="shared" si="108"/>
        <v>0</v>
      </c>
      <c r="I558" s="14">
        <f t="shared" si="109"/>
        <v>8.8737360426097798</v>
      </c>
      <c r="J558" s="14">
        <f t="shared" si="110"/>
        <v>7.0108800375003368E-3</v>
      </c>
      <c r="K558" s="14">
        <f t="shared" si="111"/>
        <v>0.25984155309029927</v>
      </c>
      <c r="L558" s="14">
        <f t="shared" si="112"/>
        <v>675.18453863782668</v>
      </c>
      <c r="M558" s="14">
        <f t="shared" si="106"/>
        <v>0.14318040532767726</v>
      </c>
      <c r="N558" s="14">
        <f t="shared" si="113"/>
        <v>3.6640263446700745</v>
      </c>
      <c r="O558" s="4">
        <v>2.29</v>
      </c>
      <c r="P558" s="14">
        <f t="shared" si="116"/>
        <v>1.8879483958474061</v>
      </c>
      <c r="Q558" s="14">
        <f t="shared" si="114"/>
        <v>18.008556786423384</v>
      </c>
    </row>
    <row r="559" spans="1:17" x14ac:dyDescent="0.25">
      <c r="A559" s="5" t="s">
        <v>616</v>
      </c>
      <c r="B559" s="6">
        <f t="shared" si="115"/>
        <v>6</v>
      </c>
      <c r="C559" s="58">
        <v>16.186880110000001</v>
      </c>
      <c r="D559" s="4">
        <v>0</v>
      </c>
      <c r="E559" s="12">
        <f t="shared" si="104"/>
        <v>0</v>
      </c>
      <c r="F559" s="12">
        <f t="shared" si="105"/>
        <v>0</v>
      </c>
      <c r="G559" s="16">
        <f t="shared" si="107"/>
        <v>4.2197094650222491E-2</v>
      </c>
      <c r="H559" s="14">
        <f t="shared" si="108"/>
        <v>0</v>
      </c>
      <c r="I559" s="14">
        <f t="shared" si="109"/>
        <v>8.8372280333874045</v>
      </c>
      <c r="J559" s="14">
        <f t="shared" si="110"/>
        <v>6.096939043639559E-3</v>
      </c>
      <c r="K559" s="14">
        <f t="shared" si="111"/>
        <v>0.24688845165249379</v>
      </c>
      <c r="L559" s="14">
        <f t="shared" si="112"/>
        <v>675.05431133393677</v>
      </c>
      <c r="M559" s="14">
        <f t="shared" si="106"/>
        <v>0.14315006690577989</v>
      </c>
      <c r="N559" s="14">
        <f t="shared" si="113"/>
        <v>3.663249976026381</v>
      </c>
      <c r="O559" s="4">
        <v>2.2599999999999998</v>
      </c>
      <c r="P559" s="14">
        <f t="shared" si="116"/>
        <v>1.9691104952180396</v>
      </c>
      <c r="Q559" s="14">
        <f t="shared" si="114"/>
        <v>18.264075726078559</v>
      </c>
    </row>
    <row r="560" spans="1:17" x14ac:dyDescent="0.25">
      <c r="A560" s="5" t="s">
        <v>617</v>
      </c>
      <c r="B560" s="6">
        <f t="shared" si="115"/>
        <v>6</v>
      </c>
      <c r="C560" s="58">
        <v>16.729475019999999</v>
      </c>
      <c r="D560" s="4">
        <v>0</v>
      </c>
      <c r="E560" s="12">
        <f t="shared" si="104"/>
        <v>0</v>
      </c>
      <c r="F560" s="12">
        <f t="shared" si="105"/>
        <v>0</v>
      </c>
      <c r="G560" s="16">
        <f t="shared" si="107"/>
        <v>3.6280246111375695E-2</v>
      </c>
      <c r="H560" s="14">
        <f t="shared" si="108"/>
        <v>0</v>
      </c>
      <c r="I560" s="14">
        <f t="shared" si="109"/>
        <v>9.8153455038236608</v>
      </c>
      <c r="J560" s="14">
        <f t="shared" si="110"/>
        <v>5.9168485388467985E-3</v>
      </c>
      <c r="K560" s="14">
        <f t="shared" si="111"/>
        <v>0.23458106232217321</v>
      </c>
      <c r="L560" s="14">
        <f t="shared" si="112"/>
        <v>674.92346865636125</v>
      </c>
      <c r="M560" s="14">
        <f t="shared" si="106"/>
        <v>0.14311973426930752</v>
      </c>
      <c r="N560" s="14">
        <f t="shared" si="113"/>
        <v>3.6624737554333211</v>
      </c>
      <c r="O560" s="4">
        <v>2.27</v>
      </c>
      <c r="P560" s="14">
        <f t="shared" si="116"/>
        <v>1.9389831595705764</v>
      </c>
      <c r="Q560" s="14">
        <f t="shared" si="114"/>
        <v>18.178702746193498</v>
      </c>
    </row>
    <row r="561" spans="1:17" x14ac:dyDescent="0.25">
      <c r="A561" s="5" t="s">
        <v>618</v>
      </c>
      <c r="B561" s="6">
        <f t="shared" si="115"/>
        <v>6</v>
      </c>
      <c r="C561" s="58">
        <v>15.96525097</v>
      </c>
      <c r="D561" s="4">
        <v>0</v>
      </c>
      <c r="E561" s="12">
        <f t="shared" si="104"/>
        <v>0</v>
      </c>
      <c r="F561" s="12">
        <f t="shared" si="105"/>
        <v>0</v>
      </c>
      <c r="G561" s="16">
        <f t="shared" si="107"/>
        <v>3.1907071112895626E-2</v>
      </c>
      <c r="H561" s="14">
        <f t="shared" si="108"/>
        <v>0</v>
      </c>
      <c r="I561" s="14">
        <f t="shared" si="109"/>
        <v>8.437704687708095</v>
      </c>
      <c r="J561" s="14">
        <f t="shared" si="110"/>
        <v>4.37317499848007E-3</v>
      </c>
      <c r="K561" s="14">
        <f t="shared" si="111"/>
        <v>0.22288719635073898</v>
      </c>
      <c r="L561" s="14">
        <f t="shared" si="112"/>
        <v>674.79204278806333</v>
      </c>
      <c r="M561" s="14">
        <f t="shared" si="106"/>
        <v>0.14308940744922252</v>
      </c>
      <c r="N561" s="14">
        <f t="shared" si="113"/>
        <v>3.6616976836832293</v>
      </c>
      <c r="O561" s="4">
        <v>2.34</v>
      </c>
      <c r="P561" s="14">
        <f t="shared" si="116"/>
        <v>1.7468847670536141</v>
      </c>
      <c r="Q561" s="14">
        <f t="shared" si="114"/>
        <v>17.5866918869981</v>
      </c>
    </row>
    <row r="562" spans="1:17" x14ac:dyDescent="0.25">
      <c r="A562" s="5" t="s">
        <v>619</v>
      </c>
      <c r="B562" s="6">
        <f t="shared" si="115"/>
        <v>6</v>
      </c>
      <c r="C562" s="58">
        <v>16.18142319</v>
      </c>
      <c r="D562" s="4">
        <v>0</v>
      </c>
      <c r="E562" s="12">
        <f t="shared" si="104"/>
        <v>0</v>
      </c>
      <c r="F562" s="12">
        <f t="shared" si="105"/>
        <v>0</v>
      </c>
      <c r="G562" s="16">
        <f t="shared" si="107"/>
        <v>2.7883407959488599E-2</v>
      </c>
      <c r="H562" s="14">
        <f t="shared" si="108"/>
        <v>0</v>
      </c>
      <c r="I562" s="14">
        <f t="shared" si="109"/>
        <v>8.8273910284903749</v>
      </c>
      <c r="J562" s="14">
        <f t="shared" si="110"/>
        <v>4.0236631534070252E-3</v>
      </c>
      <c r="K562" s="14">
        <f t="shared" si="111"/>
        <v>0.21177626959871224</v>
      </c>
      <c r="L562" s="14">
        <f t="shared" si="112"/>
        <v>674.66006430736616</v>
      </c>
      <c r="M562" s="14">
        <f t="shared" si="106"/>
        <v>0.14305908647487608</v>
      </c>
      <c r="N562" s="14">
        <f t="shared" si="113"/>
        <v>3.6609217615272103</v>
      </c>
      <c r="O562" s="4">
        <v>2.35</v>
      </c>
      <c r="P562" s="14">
        <f t="shared" si="116"/>
        <v>1.7185158648456038</v>
      </c>
      <c r="Q562" s="14">
        <f t="shared" si="114"/>
        <v>17.502918907113035</v>
      </c>
    </row>
    <row r="563" spans="1:17" x14ac:dyDescent="0.25">
      <c r="A563" s="5" t="s">
        <v>620</v>
      </c>
      <c r="B563" s="6">
        <f t="shared" si="115"/>
        <v>6</v>
      </c>
      <c r="C563" s="58">
        <v>16.53276825</v>
      </c>
      <c r="D563" s="4">
        <v>0</v>
      </c>
      <c r="E563" s="12">
        <f t="shared" si="104"/>
        <v>0</v>
      </c>
      <c r="F563" s="12">
        <f t="shared" si="105"/>
        <v>0</v>
      </c>
      <c r="G563" s="16">
        <f t="shared" si="107"/>
        <v>2.4114863196761347E-2</v>
      </c>
      <c r="H563" s="14">
        <f t="shared" si="108"/>
        <v>0</v>
      </c>
      <c r="I563" s="14">
        <f t="shared" si="109"/>
        <v>9.4607488706003853</v>
      </c>
      <c r="J563" s="14">
        <f t="shared" si="110"/>
        <v>3.7685447627272529E-3</v>
      </c>
      <c r="K563" s="14">
        <f t="shared" si="111"/>
        <v>0.20121922254596905</v>
      </c>
      <c r="L563" s="14">
        <f t="shared" si="112"/>
        <v>674.52756226794395</v>
      </c>
      <c r="M563" s="14">
        <f t="shared" si="106"/>
        <v>0.14302877137408848</v>
      </c>
      <c r="N563" s="14">
        <f t="shared" si="113"/>
        <v>3.6601459896771948</v>
      </c>
      <c r="O563" s="4">
        <v>2.2999999999999998</v>
      </c>
      <c r="P563" s="14">
        <f t="shared" si="116"/>
        <v>1.8499971132349564</v>
      </c>
      <c r="Q563" s="14">
        <f t="shared" si="114"/>
        <v>17.923783806538328</v>
      </c>
    </row>
    <row r="564" spans="1:17" x14ac:dyDescent="0.25">
      <c r="A564" s="5" t="s">
        <v>621</v>
      </c>
      <c r="B564" s="6">
        <f t="shared" si="115"/>
        <v>6</v>
      </c>
      <c r="C564" s="58">
        <v>16.741977689999999</v>
      </c>
      <c r="D564" s="4">
        <v>0</v>
      </c>
      <c r="E564" s="12">
        <f t="shared" si="104"/>
        <v>0</v>
      </c>
      <c r="F564" s="12">
        <f t="shared" si="105"/>
        <v>0</v>
      </c>
      <c r="G564" s="16">
        <f t="shared" si="107"/>
        <v>2.0725728771123227E-2</v>
      </c>
      <c r="H564" s="14">
        <f t="shared" si="108"/>
        <v>0</v>
      </c>
      <c r="I564" s="14">
        <f t="shared" si="109"/>
        <v>9.8378836436563759</v>
      </c>
      <c r="J564" s="14">
        <f t="shared" si="110"/>
        <v>3.3891344256381209E-3</v>
      </c>
      <c r="K564" s="14">
        <f t="shared" si="111"/>
        <v>0.19118844428946552</v>
      </c>
      <c r="L564" s="14">
        <f t="shared" si="112"/>
        <v>674.39456427482639</v>
      </c>
      <c r="M564" s="14">
        <f t="shared" si="106"/>
        <v>0.14299846217322568</v>
      </c>
      <c r="N564" s="14">
        <f t="shared" si="113"/>
        <v>3.6593703688078931</v>
      </c>
      <c r="O564" s="4">
        <v>2.31</v>
      </c>
      <c r="P564" s="14">
        <f t="shared" si="116"/>
        <v>1.8208003922167493</v>
      </c>
      <c r="Q564" s="14">
        <f t="shared" si="114"/>
        <v>17.839210826653275</v>
      </c>
    </row>
    <row r="565" spans="1:17" x14ac:dyDescent="0.25">
      <c r="A565" s="5" t="s">
        <v>622</v>
      </c>
      <c r="B565" s="6">
        <f t="shared" si="115"/>
        <v>6</v>
      </c>
      <c r="C565" s="58">
        <v>16.65539742</v>
      </c>
      <c r="D565" s="4">
        <v>0</v>
      </c>
      <c r="E565" s="12">
        <f t="shared" si="104"/>
        <v>0</v>
      </c>
      <c r="F565" s="12">
        <f t="shared" si="105"/>
        <v>0</v>
      </c>
      <c r="G565" s="16">
        <f t="shared" si="107"/>
        <v>1.7859118837454627E-2</v>
      </c>
      <c r="H565" s="14">
        <f t="shared" si="108"/>
        <v>0</v>
      </c>
      <c r="I565" s="14">
        <f t="shared" si="109"/>
        <v>9.6818083227837803</v>
      </c>
      <c r="J565" s="14">
        <f t="shared" si="110"/>
        <v>2.8666099336686016E-3</v>
      </c>
      <c r="K565" s="14">
        <f t="shared" si="111"/>
        <v>0.18165770032967615</v>
      </c>
      <c r="L565" s="14">
        <f t="shared" si="112"/>
        <v>674.26109655661287</v>
      </c>
      <c r="M565" s="14">
        <f t="shared" si="106"/>
        <v>0.14296815889727141</v>
      </c>
      <c r="N565" s="14">
        <f t="shared" si="113"/>
        <v>3.658594899558647</v>
      </c>
      <c r="O565" s="4">
        <v>2.2999999999999998</v>
      </c>
      <c r="P565" s="14">
        <f t="shared" si="116"/>
        <v>1.8457801011067707</v>
      </c>
      <c r="Q565" s="14">
        <f t="shared" si="114"/>
        <v>17.923783806538328</v>
      </c>
    </row>
    <row r="566" spans="1:17" x14ac:dyDescent="0.25">
      <c r="A566" s="5" t="s">
        <v>623</v>
      </c>
      <c r="B566" s="6">
        <f t="shared" si="115"/>
        <v>6</v>
      </c>
      <c r="C566" s="58">
        <v>16.769334789999998</v>
      </c>
      <c r="D566" s="4">
        <v>0</v>
      </c>
      <c r="E566" s="12">
        <f t="shared" si="104"/>
        <v>0</v>
      </c>
      <c r="F566" s="12">
        <f t="shared" si="105"/>
        <v>0</v>
      </c>
      <c r="G566" s="16">
        <f t="shared" si="107"/>
        <v>1.5336592966600761E-2</v>
      </c>
      <c r="H566" s="14">
        <f t="shared" si="108"/>
        <v>0</v>
      </c>
      <c r="I566" s="14">
        <f t="shared" si="109"/>
        <v>9.8871993614364619</v>
      </c>
      <c r="J566" s="14">
        <f t="shared" si="110"/>
        <v>2.5225258708538663E-3</v>
      </c>
      <c r="K566" s="14">
        <f t="shared" si="111"/>
        <v>0.17260206395687844</v>
      </c>
      <c r="L566" s="14">
        <f t="shared" si="112"/>
        <v>674.12718403408837</v>
      </c>
      <c r="M566" s="14">
        <f t="shared" si="106"/>
        <v>0.14293786156989641</v>
      </c>
      <c r="N566" s="14">
        <f t="shared" si="113"/>
        <v>3.657819582535196</v>
      </c>
      <c r="O566" s="4">
        <v>2.16</v>
      </c>
      <c r="P566" s="14">
        <f t="shared" si="116"/>
        <v>2.2434635018259086</v>
      </c>
      <c r="Q566" s="14">
        <f t="shared" si="114"/>
        <v>19.128805524929131</v>
      </c>
    </row>
    <row r="567" spans="1:17" x14ac:dyDescent="0.25">
      <c r="A567" s="5" t="s">
        <v>624</v>
      </c>
      <c r="B567" s="6">
        <f t="shared" si="115"/>
        <v>6</v>
      </c>
      <c r="C567" s="58">
        <v>16.306356430000001</v>
      </c>
      <c r="D567" s="4">
        <v>0</v>
      </c>
      <c r="E567" s="12">
        <f t="shared" si="104"/>
        <v>0</v>
      </c>
      <c r="F567" s="12">
        <f t="shared" si="105"/>
        <v>0</v>
      </c>
      <c r="G567" s="16">
        <f t="shared" si="107"/>
        <v>1.3353218478309333E-2</v>
      </c>
      <c r="H567" s="14">
        <f t="shared" si="108"/>
        <v>0</v>
      </c>
      <c r="I567" s="14">
        <f t="shared" si="109"/>
        <v>9.0526039496403499</v>
      </c>
      <c r="J567" s="14">
        <f t="shared" si="110"/>
        <v>1.9833744882914277E-3</v>
      </c>
      <c r="K567" s="14">
        <f t="shared" si="111"/>
        <v>0.16399785105783116</v>
      </c>
      <c r="L567" s="14">
        <f t="shared" si="112"/>
        <v>673.99285038541757</v>
      </c>
      <c r="M567" s="14">
        <f t="shared" si="106"/>
        <v>0.14290757021352388</v>
      </c>
      <c r="N567" s="14">
        <f t="shared" si="113"/>
        <v>3.6570444183113575</v>
      </c>
      <c r="O567" s="4">
        <v>2.1974999999999998</v>
      </c>
      <c r="P567" s="14">
        <f t="shared" si="116"/>
        <v>2.1302699090238395</v>
      </c>
      <c r="Q567" s="14">
        <f t="shared" si="114"/>
        <v>18.802188100360169</v>
      </c>
    </row>
    <row r="568" spans="1:17" x14ac:dyDescent="0.25">
      <c r="A568" s="5" t="s">
        <v>625</v>
      </c>
      <c r="B568" s="6">
        <f t="shared" si="115"/>
        <v>7</v>
      </c>
      <c r="C568" s="58">
        <v>16.45645142</v>
      </c>
      <c r="D568" s="4">
        <v>0</v>
      </c>
      <c r="E568" s="12">
        <f t="shared" si="104"/>
        <v>0</v>
      </c>
      <c r="F568" s="12">
        <f t="shared" si="105"/>
        <v>0</v>
      </c>
      <c r="G568" s="16">
        <f t="shared" si="107"/>
        <v>1.1684158023463662E-2</v>
      </c>
      <c r="H568" s="14">
        <f t="shared" si="108"/>
        <v>0</v>
      </c>
      <c r="I568" s="14">
        <f t="shared" si="109"/>
        <v>8.7495114140246919</v>
      </c>
      <c r="J568" s="14">
        <f t="shared" si="110"/>
        <v>1.6690604548456713E-3</v>
      </c>
      <c r="K568" s="14">
        <f t="shared" si="111"/>
        <v>0.15582255817233961</v>
      </c>
      <c r="L568" s="14">
        <f t="shared" si="112"/>
        <v>673.85811810808957</v>
      </c>
      <c r="M568" s="14">
        <f t="shared" si="106"/>
        <v>0.14287728484939147</v>
      </c>
      <c r="N568" s="14">
        <f t="shared" si="113"/>
        <v>3.6562694074306084</v>
      </c>
      <c r="O568" s="4">
        <v>2.1724999999999999</v>
      </c>
      <c r="P568" s="14">
        <f t="shared" si="116"/>
        <v>2.2015716544269792</v>
      </c>
      <c r="Q568" s="14">
        <f t="shared" si="114"/>
        <v>19.019620550072805</v>
      </c>
    </row>
    <row r="569" spans="1:17" x14ac:dyDescent="0.25">
      <c r="A569" s="5" t="s">
        <v>626</v>
      </c>
      <c r="B569" s="6">
        <f t="shared" si="115"/>
        <v>7</v>
      </c>
      <c r="C569" s="58">
        <v>16.129793169999999</v>
      </c>
      <c r="D569" s="4">
        <v>0</v>
      </c>
      <c r="E569" s="12">
        <f t="shared" si="104"/>
        <v>0</v>
      </c>
      <c r="F569" s="12">
        <f t="shared" si="105"/>
        <v>0</v>
      </c>
      <c r="G569" s="16">
        <f t="shared" si="107"/>
        <v>1.0316157973042858E-2</v>
      </c>
      <c r="H569" s="14">
        <f t="shared" si="108"/>
        <v>0</v>
      </c>
      <c r="I569" s="14">
        <f t="shared" si="109"/>
        <v>8.1957061866455696</v>
      </c>
      <c r="J569" s="14">
        <f t="shared" si="110"/>
        <v>1.3680000504208032E-3</v>
      </c>
      <c r="K569" s="14">
        <f t="shared" si="111"/>
        <v>0.14805480363770124</v>
      </c>
      <c r="L569" s="14">
        <f t="shared" si="112"/>
        <v>673.72300857777486</v>
      </c>
      <c r="M569" s="14">
        <f t="shared" si="106"/>
        <v>0.1428470054976107</v>
      </c>
      <c r="N569" s="14">
        <f t="shared" si="113"/>
        <v>3.6554945504076071</v>
      </c>
      <c r="O569" s="4">
        <v>2.1800000000000002</v>
      </c>
      <c r="P569" s="14">
        <f t="shared" si="116"/>
        <v>2.1770841682825459</v>
      </c>
      <c r="Q569" s="14">
        <f t="shared" si="114"/>
        <v>18.95425956515901</v>
      </c>
    </row>
    <row r="570" spans="1:17" x14ac:dyDescent="0.25">
      <c r="A570" s="5" t="s">
        <v>627</v>
      </c>
      <c r="B570" s="6">
        <f t="shared" si="115"/>
        <v>7</v>
      </c>
      <c r="C570" s="58">
        <v>16.34606552</v>
      </c>
      <c r="D570" s="4">
        <v>0</v>
      </c>
      <c r="E570" s="12">
        <f t="shared" si="104"/>
        <v>0</v>
      </c>
      <c r="F570" s="12">
        <f t="shared" si="105"/>
        <v>0</v>
      </c>
      <c r="G570" s="16">
        <f t="shared" si="107"/>
        <v>9.054289383867169E-3</v>
      </c>
      <c r="H570" s="14">
        <f t="shared" si="108"/>
        <v>0</v>
      </c>
      <c r="I570" s="14">
        <f t="shared" si="109"/>
        <v>8.562366933672676</v>
      </c>
      <c r="J570" s="14">
        <f t="shared" si="110"/>
        <v>1.2618685891756885E-3</v>
      </c>
      <c r="K570" s="14">
        <f t="shared" si="111"/>
        <v>0.14067427166710048</v>
      </c>
      <c r="L570" s="14">
        <f t="shared" si="112"/>
        <v>673.58754210424786</v>
      </c>
      <c r="M570" s="14">
        <f t="shared" si="106"/>
        <v>0.14281673217722277</v>
      </c>
      <c r="N570" s="14">
        <f t="shared" si="113"/>
        <v>3.6547198477296234</v>
      </c>
      <c r="O570" s="4">
        <v>2.15</v>
      </c>
      <c r="P570" s="14">
        <f t="shared" si="116"/>
        <v>2.2641818201514616</v>
      </c>
      <c r="Q570" s="14">
        <f t="shared" si="114"/>
        <v>19.216378504814195</v>
      </c>
    </row>
    <row r="571" spans="1:17" x14ac:dyDescent="0.25">
      <c r="A571" s="5" t="s">
        <v>628</v>
      </c>
      <c r="B571" s="6">
        <f t="shared" si="115"/>
        <v>7</v>
      </c>
      <c r="C571" s="58">
        <v>16.794675829999999</v>
      </c>
      <c r="D571" s="4">
        <v>0</v>
      </c>
      <c r="E571" s="12">
        <f t="shared" si="104"/>
        <v>0</v>
      </c>
      <c r="F571" s="12">
        <f t="shared" si="105"/>
        <v>0</v>
      </c>
      <c r="G571" s="16">
        <f t="shared" si="107"/>
        <v>7.8483960457050115E-3</v>
      </c>
      <c r="H571" s="14">
        <f t="shared" si="108"/>
        <v>0</v>
      </c>
      <c r="I571" s="14">
        <f t="shared" si="109"/>
        <v>9.3229255135774149</v>
      </c>
      <c r="J571" s="14">
        <f t="shared" si="110"/>
        <v>1.2058933381621582E-3</v>
      </c>
      <c r="K571" s="14">
        <f t="shared" si="111"/>
        <v>0.13366165921569584</v>
      </c>
      <c r="L571" s="14">
        <f t="shared" si="112"/>
        <v>673.45173798452208</v>
      </c>
      <c r="M571" s="14">
        <f t="shared" si="106"/>
        <v>0.14278646490625227</v>
      </c>
      <c r="N571" s="14">
        <f t="shared" si="113"/>
        <v>3.6539452998579138</v>
      </c>
      <c r="O571" s="4">
        <v>2.1800000000000002</v>
      </c>
      <c r="P571" s="14">
        <f t="shared" si="116"/>
        <v>2.1725147469732349</v>
      </c>
      <c r="Q571" s="14">
        <f t="shared" si="114"/>
        <v>18.95425956515901</v>
      </c>
    </row>
    <row r="572" spans="1:17" x14ac:dyDescent="0.25">
      <c r="A572" s="5" t="s">
        <v>629</v>
      </c>
      <c r="B572" s="6">
        <f t="shared" si="115"/>
        <v>7</v>
      </c>
      <c r="C572" s="58">
        <v>13.79917622</v>
      </c>
      <c r="D572" s="4">
        <v>0</v>
      </c>
      <c r="E572" s="12">
        <f t="shared" si="104"/>
        <v>0</v>
      </c>
      <c r="F572" s="12">
        <f t="shared" si="105"/>
        <v>0</v>
      </c>
      <c r="G572" s="16">
        <f t="shared" si="107"/>
        <v>7.3725072811818481E-3</v>
      </c>
      <c r="H572" s="14">
        <f t="shared" si="108"/>
        <v>0</v>
      </c>
      <c r="I572" s="14">
        <f t="shared" si="109"/>
        <v>4.2444579021513542</v>
      </c>
      <c r="J572" s="14">
        <f t="shared" si="110"/>
        <v>4.7588876452316298E-4</v>
      </c>
      <c r="K572" s="14">
        <f t="shared" si="111"/>
        <v>0.12699862549543237</v>
      </c>
      <c r="L572" s="14">
        <f t="shared" si="112"/>
        <v>673.3156145533361</v>
      </c>
      <c r="M572" s="14">
        <f t="shared" si="106"/>
        <v>0.14275620370175757</v>
      </c>
      <c r="N572" s="14">
        <f t="shared" si="113"/>
        <v>3.6531709072290042</v>
      </c>
      <c r="O572" s="4">
        <v>2.08</v>
      </c>
      <c r="P572" s="14">
        <f t="shared" si="116"/>
        <v>2.474866703351728</v>
      </c>
      <c r="Q572" s="14">
        <f t="shared" si="114"/>
        <v>19.834989364009591</v>
      </c>
    </row>
    <row r="573" spans="1:17" x14ac:dyDescent="0.25">
      <c r="A573" s="5" t="s">
        <v>630</v>
      </c>
      <c r="B573" s="6">
        <f t="shared" si="115"/>
        <v>7</v>
      </c>
      <c r="C573" s="58">
        <v>15.100106240000001</v>
      </c>
      <c r="D573" s="4">
        <v>0</v>
      </c>
      <c r="E573" s="12">
        <f t="shared" si="104"/>
        <v>0</v>
      </c>
      <c r="F573" s="12">
        <f t="shared" si="105"/>
        <v>0</v>
      </c>
      <c r="G573" s="16">
        <f t="shared" si="107"/>
        <v>6.6931817758176838E-3</v>
      </c>
      <c r="H573" s="14">
        <f t="shared" si="108"/>
        <v>0</v>
      </c>
      <c r="I573" s="14">
        <f t="shared" si="109"/>
        <v>6.4500101743821165</v>
      </c>
      <c r="J573" s="14">
        <f t="shared" si="110"/>
        <v>6.7932550536416419E-4</v>
      </c>
      <c r="K573" s="14">
        <f t="shared" si="111"/>
        <v>0.12066774400654083</v>
      </c>
      <c r="L573" s="14">
        <f t="shared" si="112"/>
        <v>673.17918923112325</v>
      </c>
      <c r="M573" s="14">
        <f t="shared" si="106"/>
        <v>0.14272594857987922</v>
      </c>
      <c r="N573" s="14">
        <f t="shared" si="113"/>
        <v>3.652396670255937</v>
      </c>
      <c r="O573" s="4">
        <v>2.0499999999999998</v>
      </c>
      <c r="P573" s="14">
        <f t="shared" si="116"/>
        <v>2.5676750888473143</v>
      </c>
      <c r="Q573" s="14">
        <f t="shared" si="114"/>
        <v>20.103108303664765</v>
      </c>
    </row>
    <row r="574" spans="1:17" x14ac:dyDescent="0.25">
      <c r="A574" s="5" t="s">
        <v>631</v>
      </c>
      <c r="B574" s="6">
        <f t="shared" si="115"/>
        <v>7</v>
      </c>
      <c r="C574" s="58">
        <v>15.14559174</v>
      </c>
      <c r="D574" s="4">
        <v>0</v>
      </c>
      <c r="E574" s="12">
        <f t="shared" si="104"/>
        <v>0</v>
      </c>
      <c r="F574" s="12">
        <f t="shared" si="105"/>
        <v>0</v>
      </c>
      <c r="G574" s="16">
        <f t="shared" si="107"/>
        <v>6.069077952825349E-3</v>
      </c>
      <c r="H574" s="14">
        <f t="shared" si="108"/>
        <v>0</v>
      </c>
      <c r="I574" s="14">
        <f t="shared" si="109"/>
        <v>6.5271247357622526</v>
      </c>
      <c r="J574" s="14">
        <f t="shared" si="110"/>
        <v>6.2410382299233518E-4</v>
      </c>
      <c r="K574" s="14">
        <f t="shared" si="111"/>
        <v>0.11465245696026657</v>
      </c>
      <c r="L574" s="14">
        <f t="shared" si="112"/>
        <v>673.04247856958966</v>
      </c>
      <c r="M574" s="14">
        <f t="shared" si="106"/>
        <v>0.1426956995558856</v>
      </c>
      <c r="N574" s="14">
        <f t="shared" si="113"/>
        <v>3.651622589329433</v>
      </c>
      <c r="O574" s="4">
        <v>2.0699999999999998</v>
      </c>
      <c r="P574" s="14">
        <f t="shared" si="116"/>
        <v>2.5015300150771407</v>
      </c>
      <c r="Q574" s="14">
        <f t="shared" si="114"/>
        <v>19.924162343894654</v>
      </c>
    </row>
    <row r="575" spans="1:17" x14ac:dyDescent="0.25">
      <c r="A575" s="5" t="s">
        <v>632</v>
      </c>
      <c r="B575" s="6">
        <f t="shared" si="115"/>
        <v>7</v>
      </c>
      <c r="C575" s="58">
        <v>16.69145966</v>
      </c>
      <c r="D575" s="4">
        <v>0</v>
      </c>
      <c r="E575" s="12">
        <f t="shared" si="104"/>
        <v>0</v>
      </c>
      <c r="F575" s="12">
        <f t="shared" si="105"/>
        <v>0</v>
      </c>
      <c r="G575" s="16">
        <f t="shared" si="107"/>
        <v>5.2759410436810979E-3</v>
      </c>
      <c r="H575" s="14">
        <f t="shared" si="108"/>
        <v>0</v>
      </c>
      <c r="I575" s="14">
        <f t="shared" si="109"/>
        <v>9.1479363483074376</v>
      </c>
      <c r="J575" s="14">
        <f t="shared" si="110"/>
        <v>7.9313690914425126E-4</v>
      </c>
      <c r="K575" s="14">
        <f t="shared" si="111"/>
        <v>0.10893703197362536</v>
      </c>
      <c r="L575" s="14">
        <f t="shared" si="112"/>
        <v>672.90549829502049</v>
      </c>
      <c r="M575" s="14">
        <f t="shared" si="106"/>
        <v>0.14266545664421648</v>
      </c>
      <c r="N575" s="14">
        <f t="shared" si="113"/>
        <v>3.6508486648190122</v>
      </c>
      <c r="O575" s="4">
        <v>2.0099999999999998</v>
      </c>
      <c r="P575" s="14">
        <f t="shared" si="116"/>
        <v>2.6923843408383354</v>
      </c>
      <c r="Q575" s="14">
        <f t="shared" si="114"/>
        <v>20.463400223204992</v>
      </c>
    </row>
    <row r="576" spans="1:17" x14ac:dyDescent="0.25">
      <c r="A576" s="5" t="s">
        <v>633</v>
      </c>
      <c r="B576" s="6">
        <f t="shared" si="115"/>
        <v>7</v>
      </c>
      <c r="C576" s="58">
        <v>16.51286125</v>
      </c>
      <c r="D576" s="4">
        <v>0</v>
      </c>
      <c r="E576" s="12">
        <f t="shared" si="104"/>
        <v>0</v>
      </c>
      <c r="F576" s="12">
        <f t="shared" si="105"/>
        <v>0</v>
      </c>
      <c r="G576" s="16">
        <f t="shared" si="107"/>
        <v>4.6092766114654172E-3</v>
      </c>
      <c r="H576" s="14">
        <f t="shared" si="108"/>
        <v>0</v>
      </c>
      <c r="I576" s="14">
        <f t="shared" si="109"/>
        <v>8.8451467109430091</v>
      </c>
      <c r="J576" s="14">
        <f t="shared" si="110"/>
        <v>6.6666443221568032E-4</v>
      </c>
      <c r="K576" s="14">
        <f t="shared" si="111"/>
        <v>0.10350652092292573</v>
      </c>
      <c r="L576" s="14">
        <f t="shared" si="112"/>
        <v>672.768263349427</v>
      </c>
      <c r="M576" s="14">
        <f t="shared" si="106"/>
        <v>0.14263521985852431</v>
      </c>
      <c r="N576" s="14">
        <f t="shared" si="113"/>
        <v>3.6500748970740418</v>
      </c>
      <c r="O576" s="4">
        <v>1.97</v>
      </c>
      <c r="P576" s="14">
        <f t="shared" si="116"/>
        <v>2.822651659778352</v>
      </c>
      <c r="Q576" s="14">
        <f t="shared" si="114"/>
        <v>20.826892142745223</v>
      </c>
    </row>
    <row r="577" spans="1:17" x14ac:dyDescent="0.25">
      <c r="A577" s="5" t="s">
        <v>634</v>
      </c>
      <c r="B577" s="6">
        <f t="shared" si="115"/>
        <v>7</v>
      </c>
      <c r="C577" s="58">
        <v>16.587429050000001</v>
      </c>
      <c r="D577" s="4">
        <v>0</v>
      </c>
      <c r="E577" s="12">
        <f t="shared" si="104"/>
        <v>0</v>
      </c>
      <c r="F577" s="12">
        <f t="shared" si="105"/>
        <v>0</v>
      </c>
      <c r="G577" s="16">
        <f t="shared" si="107"/>
        <v>4.0185271169975983E-3</v>
      </c>
      <c r="H577" s="14">
        <f t="shared" si="108"/>
        <v>0</v>
      </c>
      <c r="I577" s="14">
        <f t="shared" si="109"/>
        <v>8.9715664093102188</v>
      </c>
      <c r="J577" s="14">
        <f t="shared" si="110"/>
        <v>5.9074949446781913E-4</v>
      </c>
      <c r="K577" s="14">
        <f t="shared" si="111"/>
        <v>9.8346720848443175E-2</v>
      </c>
      <c r="L577" s="14">
        <f t="shared" si="112"/>
        <v>672.63078792964302</v>
      </c>
      <c r="M577" s="14">
        <f t="shared" si="106"/>
        <v>0.14260498921171347</v>
      </c>
      <c r="N577" s="14">
        <f t="shared" si="113"/>
        <v>3.6493012864247509</v>
      </c>
      <c r="O577" s="4">
        <v>2.04</v>
      </c>
      <c r="P577" s="14">
        <f t="shared" si="116"/>
        <v>2.5898506304883582</v>
      </c>
      <c r="Q577" s="14">
        <f t="shared" si="114"/>
        <v>20.19288128354982</v>
      </c>
    </row>
    <row r="578" spans="1:17" x14ac:dyDescent="0.25">
      <c r="A578" s="5" t="s">
        <v>635</v>
      </c>
      <c r="B578" s="6">
        <f t="shared" si="115"/>
        <v>7</v>
      </c>
      <c r="C578" s="58">
        <v>16.77591133</v>
      </c>
      <c r="D578" s="4">
        <v>0</v>
      </c>
      <c r="E578" s="12">
        <f t="shared" si="104"/>
        <v>0</v>
      </c>
      <c r="F578" s="12">
        <f t="shared" si="105"/>
        <v>0</v>
      </c>
      <c r="G578" s="16">
        <f t="shared" si="107"/>
        <v>3.4851468459543133E-3</v>
      </c>
      <c r="H578" s="14">
        <f t="shared" si="108"/>
        <v>0</v>
      </c>
      <c r="I578" s="14">
        <f t="shared" si="109"/>
        <v>9.2911128219060579</v>
      </c>
      <c r="J578" s="14">
        <f t="shared" si="110"/>
        <v>5.3338027104328511E-4</v>
      </c>
      <c r="K578" s="14">
        <f t="shared" si="111"/>
        <v>9.3444136807996347E-2</v>
      </c>
      <c r="L578" s="14">
        <f t="shared" si="112"/>
        <v>672.49308552447178</v>
      </c>
      <c r="M578" s="14">
        <f t="shared" si="106"/>
        <v>0.14257476471597752</v>
      </c>
      <c r="N578" s="14">
        <f t="shared" si="113"/>
        <v>3.648527833183175</v>
      </c>
      <c r="O578" s="4">
        <v>2.06</v>
      </c>
      <c r="P578" s="14">
        <f t="shared" si="116"/>
        <v>2.5234206767976328</v>
      </c>
      <c r="Q578" s="14">
        <f t="shared" si="114"/>
        <v>20.01353532377971</v>
      </c>
    </row>
    <row r="579" spans="1:17" x14ac:dyDescent="0.25">
      <c r="A579" s="5" t="s">
        <v>636</v>
      </c>
      <c r="B579" s="6">
        <f t="shared" si="115"/>
        <v>7</v>
      </c>
      <c r="C579" s="58">
        <v>15.71450806</v>
      </c>
      <c r="D579" s="4">
        <v>0</v>
      </c>
      <c r="E579" s="12">
        <f t="shared" si="104"/>
        <v>0</v>
      </c>
      <c r="F579" s="12">
        <f t="shared" si="105"/>
        <v>0</v>
      </c>
      <c r="G579" s="16">
        <f t="shared" si="107"/>
        <v>3.1121538809257801E-3</v>
      </c>
      <c r="H579" s="14">
        <f t="shared" si="108"/>
        <v>0</v>
      </c>
      <c r="I579" s="14">
        <f t="shared" si="109"/>
        <v>7.4916460113072372</v>
      </c>
      <c r="J579" s="14">
        <f t="shared" si="110"/>
        <v>3.729929650285331E-4</v>
      </c>
      <c r="K579" s="14">
        <f t="shared" si="111"/>
        <v>8.8785946582272457E-2</v>
      </c>
      <c r="L579" s="14">
        <f t="shared" si="112"/>
        <v>672.35516894998148</v>
      </c>
      <c r="M579" s="14">
        <f t="shared" si="106"/>
        <v>0.14254454638283481</v>
      </c>
      <c r="N579" s="14">
        <f t="shared" si="113"/>
        <v>3.6477545376440719</v>
      </c>
      <c r="O579" s="4">
        <v>2.2000000000000002</v>
      </c>
      <c r="P579" s="14">
        <f t="shared" si="116"/>
        <v>2.0959932012689997</v>
      </c>
      <c r="Q579" s="14">
        <f t="shared" si="114"/>
        <v>18.780513605388901</v>
      </c>
    </row>
    <row r="580" spans="1:17" x14ac:dyDescent="0.25">
      <c r="A580" s="5" t="s">
        <v>637</v>
      </c>
      <c r="B580" s="6">
        <f t="shared" si="115"/>
        <v>7</v>
      </c>
      <c r="C580" s="58">
        <v>17.143594740000001</v>
      </c>
      <c r="D580" s="4">
        <v>0</v>
      </c>
      <c r="E580" s="12">
        <f t="shared" si="104"/>
        <v>0</v>
      </c>
      <c r="F580" s="12">
        <f t="shared" si="105"/>
        <v>0</v>
      </c>
      <c r="G580" s="16">
        <f t="shared" si="107"/>
        <v>2.6713626896103541E-3</v>
      </c>
      <c r="H580" s="14">
        <f t="shared" si="108"/>
        <v>0</v>
      </c>
      <c r="I580" s="14">
        <f t="shared" si="109"/>
        <v>9.9144707027450707</v>
      </c>
      <c r="J580" s="14">
        <f t="shared" si="110"/>
        <v>4.407911913154258E-4</v>
      </c>
      <c r="K580" s="14">
        <f t="shared" si="111"/>
        <v>8.435996713959229E-2</v>
      </c>
      <c r="L580" s="14">
        <f t="shared" si="112"/>
        <v>672.2170503830414</v>
      </c>
      <c r="M580" s="14">
        <f t="shared" si="106"/>
        <v>0.14251433422316206</v>
      </c>
      <c r="N580" s="14">
        <f t="shared" si="113"/>
        <v>3.6469814000857799</v>
      </c>
      <c r="O580" s="4">
        <v>3.54</v>
      </c>
      <c r="P580" s="14">
        <f t="shared" si="116"/>
        <v>1.1445019964313694E-2</v>
      </c>
      <c r="Q580" s="14">
        <f t="shared" si="114"/>
        <v>8.9619343007912136</v>
      </c>
    </row>
    <row r="581" spans="1:17" x14ac:dyDescent="0.25">
      <c r="A581" s="5" t="s">
        <v>638</v>
      </c>
      <c r="B581" s="6">
        <f t="shared" si="115"/>
        <v>7</v>
      </c>
      <c r="C581" s="58">
        <v>16.611715319999998</v>
      </c>
      <c r="D581" s="4">
        <v>0</v>
      </c>
      <c r="E581" s="12">
        <f t="shared" si="104"/>
        <v>0</v>
      </c>
      <c r="F581" s="12">
        <f t="shared" si="105"/>
        <v>0</v>
      </c>
      <c r="G581" s="16">
        <f t="shared" si="107"/>
        <v>2.3274152867274519E-3</v>
      </c>
      <c r="H581" s="14">
        <f t="shared" si="108"/>
        <v>0</v>
      </c>
      <c r="I581" s="14">
        <f t="shared" si="109"/>
        <v>9.0127405210295439</v>
      </c>
      <c r="J581" s="14">
        <f t="shared" si="110"/>
        <v>3.4394740288290227E-4</v>
      </c>
      <c r="K581" s="14">
        <f t="shared" si="111"/>
        <v>8.0154622772406592E-2</v>
      </c>
      <c r="L581" s="14">
        <f t="shared" si="112"/>
        <v>672.0787413931854</v>
      </c>
      <c r="M581" s="14">
        <f t="shared" si="106"/>
        <v>0.14248412824722628</v>
      </c>
      <c r="N581" s="14">
        <f t="shared" si="113"/>
        <v>3.6462084207710332</v>
      </c>
      <c r="O581" s="4">
        <v>2.5099999999999998</v>
      </c>
      <c r="P581" s="14">
        <f t="shared" si="116"/>
        <v>1.2909695754310058</v>
      </c>
      <c r="Q581" s="14">
        <f t="shared" si="114"/>
        <v>16.189751228952126</v>
      </c>
    </row>
    <row r="582" spans="1:17" x14ac:dyDescent="0.25">
      <c r="A582" s="5" t="s">
        <v>639</v>
      </c>
      <c r="B582" s="6">
        <f t="shared" si="115"/>
        <v>7</v>
      </c>
      <c r="C582" s="58">
        <v>15.753542899999999</v>
      </c>
      <c r="D582" s="4">
        <v>0</v>
      </c>
      <c r="E582" s="12">
        <f t="shared" si="104"/>
        <v>0</v>
      </c>
      <c r="F582" s="12">
        <f t="shared" si="105"/>
        <v>0</v>
      </c>
      <c r="G582" s="16">
        <f t="shared" si="107"/>
        <v>2.0761265707523718E-3</v>
      </c>
      <c r="H582" s="14">
        <f t="shared" si="108"/>
        <v>0</v>
      </c>
      <c r="I582" s="14">
        <f t="shared" si="109"/>
        <v>7.5578243442956348</v>
      </c>
      <c r="J582" s="14">
        <f t="shared" si="110"/>
        <v>2.5128871597508029E-4</v>
      </c>
      <c r="K582" s="14">
        <f t="shared" si="111"/>
        <v>7.6158914822188159E-2</v>
      </c>
      <c r="L582" s="14">
        <f t="shared" si="112"/>
        <v>671.94025297288829</v>
      </c>
      <c r="M582" s="14">
        <f t="shared" si="106"/>
        <v>0.1424539284647153</v>
      </c>
      <c r="N582" s="14">
        <f t="shared" si="113"/>
        <v>3.6454355999477492</v>
      </c>
      <c r="O582" s="4">
        <v>2.5299999999999998</v>
      </c>
      <c r="P582" s="14">
        <f t="shared" si="116"/>
        <v>1.2441965776307957</v>
      </c>
      <c r="Q582" s="14">
        <f t="shared" si="114"/>
        <v>16.029205269182007</v>
      </c>
    </row>
    <row r="583" spans="1:17" x14ac:dyDescent="0.25">
      <c r="A583" s="5" t="s">
        <v>640</v>
      </c>
      <c r="B583" s="6">
        <f t="shared" si="115"/>
        <v>7</v>
      </c>
      <c r="C583" s="58">
        <v>15.34057713</v>
      </c>
      <c r="D583" s="4">
        <v>0</v>
      </c>
      <c r="E583" s="12">
        <f t="shared" si="104"/>
        <v>0</v>
      </c>
      <c r="F583" s="12">
        <f t="shared" si="105"/>
        <v>0</v>
      </c>
      <c r="G583" s="16">
        <f t="shared" si="107"/>
        <v>1.8727343279340209E-3</v>
      </c>
      <c r="H583" s="14">
        <f t="shared" si="108"/>
        <v>0</v>
      </c>
      <c r="I583" s="14">
        <f t="shared" si="109"/>
        <v>6.8576962986863679</v>
      </c>
      <c r="J583" s="14">
        <f t="shared" si="110"/>
        <v>2.0339224281835092E-4</v>
      </c>
      <c r="K583" s="14">
        <f t="shared" si="111"/>
        <v>7.2362392913538062E-2</v>
      </c>
      <c r="L583" s="14">
        <f t="shared" si="112"/>
        <v>671.80159556633225</v>
      </c>
      <c r="M583" s="14">
        <f t="shared" si="106"/>
        <v>0.14242373488476665</v>
      </c>
      <c r="N583" s="14">
        <f t="shared" si="113"/>
        <v>3.6446629378497581</v>
      </c>
      <c r="O583" s="4">
        <v>2.59</v>
      </c>
      <c r="P583" s="14">
        <f t="shared" si="116"/>
        <v>1.112313912473883</v>
      </c>
      <c r="Q583" s="14">
        <f t="shared" si="114"/>
        <v>15.552367389871664</v>
      </c>
    </row>
    <row r="584" spans="1:17" x14ac:dyDescent="0.25">
      <c r="A584" s="5" t="s">
        <v>641</v>
      </c>
      <c r="B584" s="6">
        <f t="shared" si="115"/>
        <v>7</v>
      </c>
      <c r="C584" s="58">
        <v>15.70914936</v>
      </c>
      <c r="D584" s="4">
        <v>1.3</v>
      </c>
      <c r="E584" s="12">
        <f t="shared" si="104"/>
        <v>0</v>
      </c>
      <c r="F584" s="12">
        <f t="shared" si="105"/>
        <v>1.3</v>
      </c>
      <c r="G584" s="16">
        <f t="shared" si="107"/>
        <v>1.2997633569954352</v>
      </c>
      <c r="H584" s="14">
        <f t="shared" si="108"/>
        <v>1.9091936144446306E-3</v>
      </c>
      <c r="I584" s="14">
        <f t="shared" si="109"/>
        <v>7.4825610545612902</v>
      </c>
      <c r="J584" s="14">
        <f t="shared" si="110"/>
        <v>2.0018371805425786E-4</v>
      </c>
      <c r="K584" s="14">
        <f t="shared" si="111"/>
        <v>7.0664321236716288E-2</v>
      </c>
      <c r="L584" s="14">
        <f t="shared" si="112"/>
        <v>671.66277909673875</v>
      </c>
      <c r="M584" s="14">
        <f t="shared" si="106"/>
        <v>0.14239395031756608</v>
      </c>
      <c r="N584" s="14">
        <f t="shared" si="113"/>
        <v>3.6439007425016046</v>
      </c>
      <c r="O584" s="4">
        <v>2.91</v>
      </c>
      <c r="P584" s="14">
        <f t="shared" si="116"/>
        <v>0.53861029984440623</v>
      </c>
      <c r="Q584" s="14">
        <f t="shared" si="114"/>
        <v>13.130832033549826</v>
      </c>
    </row>
    <row r="585" spans="1:17" x14ac:dyDescent="0.25">
      <c r="A585" s="5" t="s">
        <v>642</v>
      </c>
      <c r="B585" s="6">
        <f t="shared" si="115"/>
        <v>7</v>
      </c>
      <c r="C585" s="58">
        <v>15.43934917</v>
      </c>
      <c r="D585" s="4">
        <v>0</v>
      </c>
      <c r="E585" s="12">
        <f t="shared" si="104"/>
        <v>0</v>
      </c>
      <c r="F585" s="12">
        <f t="shared" si="105"/>
        <v>0</v>
      </c>
      <c r="G585" s="16">
        <f t="shared" si="107"/>
        <v>1.1693199102783405</v>
      </c>
      <c r="H585" s="14">
        <f t="shared" si="108"/>
        <v>0</v>
      </c>
      <c r="I585" s="14">
        <f t="shared" si="109"/>
        <v>7.0251510379158209</v>
      </c>
      <c r="J585" s="14">
        <f t="shared" si="110"/>
        <v>0.13044344671709468</v>
      </c>
      <c r="K585" s="14">
        <f t="shared" si="111"/>
        <v>6.7141704818645676E-2</v>
      </c>
      <c r="L585" s="14">
        <f t="shared" si="112"/>
        <v>671.52390776283926</v>
      </c>
      <c r="M585" s="14">
        <f t="shared" si="106"/>
        <v>0.14236376917787649</v>
      </c>
      <c r="N585" s="14">
        <f t="shared" si="113"/>
        <v>3.6431283987532974</v>
      </c>
      <c r="O585" s="4">
        <v>2.69</v>
      </c>
      <c r="P585" s="14">
        <f t="shared" si="116"/>
        <v>0.90845374451002481</v>
      </c>
      <c r="Q585" s="14">
        <f t="shared" si="114"/>
        <v>14.773637591021091</v>
      </c>
    </row>
    <row r="586" spans="1:17" x14ac:dyDescent="0.25">
      <c r="A586" s="5" t="s">
        <v>643</v>
      </c>
      <c r="B586" s="6">
        <f t="shared" si="115"/>
        <v>7</v>
      </c>
      <c r="C586" s="58">
        <v>14.618283269999999</v>
      </c>
      <c r="D586" s="4">
        <v>0</v>
      </c>
      <c r="E586" s="12">
        <f t="shared" si="104"/>
        <v>0</v>
      </c>
      <c r="F586" s="12">
        <f t="shared" si="105"/>
        <v>0</v>
      </c>
      <c r="G586" s="16">
        <f t="shared" si="107"/>
        <v>1.0752205854209302</v>
      </c>
      <c r="H586" s="14">
        <f t="shared" si="108"/>
        <v>0</v>
      </c>
      <c r="I586" s="14">
        <f t="shared" si="109"/>
        <v>5.6331439863788013</v>
      </c>
      <c r="J586" s="14">
        <f t="shared" si="110"/>
        <v>9.4099324857410307E-2</v>
      </c>
      <c r="K586" s="14">
        <f t="shared" si="111"/>
        <v>6.3794690829236236E-2</v>
      </c>
      <c r="L586" s="14">
        <f t="shared" si="112"/>
        <v>671.38489100765082</v>
      </c>
      <c r="M586" s="14">
        <f t="shared" si="106"/>
        <v>0.14233359426038095</v>
      </c>
      <c r="N586" s="14">
        <f t="shared" si="113"/>
        <v>3.6423562142326653</v>
      </c>
      <c r="O586" s="4">
        <v>2.59</v>
      </c>
      <c r="P586" s="14">
        <f t="shared" si="116"/>
        <v>1.1074536016341077</v>
      </c>
      <c r="Q586" s="14">
        <f t="shared" si="114"/>
        <v>15.552367389871664</v>
      </c>
    </row>
    <row r="587" spans="1:17" x14ac:dyDescent="0.25">
      <c r="A587" s="5" t="s">
        <v>644</v>
      </c>
      <c r="B587" s="6">
        <f t="shared" si="115"/>
        <v>7</v>
      </c>
      <c r="C587" s="58">
        <v>15.51732063</v>
      </c>
      <c r="D587" s="4">
        <v>0</v>
      </c>
      <c r="E587" s="12">
        <f t="shared" si="104"/>
        <v>0</v>
      </c>
      <c r="F587" s="12">
        <f t="shared" si="105"/>
        <v>0</v>
      </c>
      <c r="G587" s="16">
        <f t="shared" si="107"/>
        <v>0.96528163122477872</v>
      </c>
      <c r="H587" s="14">
        <f t="shared" si="108"/>
        <v>0</v>
      </c>
      <c r="I587" s="14">
        <f t="shared" si="109"/>
        <v>7.1573411850631299</v>
      </c>
      <c r="J587" s="14">
        <f t="shared" si="110"/>
        <v>0.10993895419615146</v>
      </c>
      <c r="K587" s="14">
        <f t="shared" si="111"/>
        <v>6.0614525487408227E-2</v>
      </c>
      <c r="L587" s="14">
        <f t="shared" si="112"/>
        <v>671.24573757873225</v>
      </c>
      <c r="M587" s="14">
        <f t="shared" si="106"/>
        <v>0.14230342557251421</v>
      </c>
      <c r="N587" s="14">
        <f t="shared" si="113"/>
        <v>3.6415841891299641</v>
      </c>
      <c r="O587" s="4">
        <v>2.4900000000000002</v>
      </c>
      <c r="P587" s="14">
        <f t="shared" si="116"/>
        <v>1.3261461446541163</v>
      </c>
      <c r="Q587" s="14">
        <f t="shared" si="114"/>
        <v>16.351097188722235</v>
      </c>
    </row>
    <row r="588" spans="1:17" x14ac:dyDescent="0.25">
      <c r="A588" s="5" t="s">
        <v>645</v>
      </c>
      <c r="B588" s="6">
        <f t="shared" si="115"/>
        <v>7</v>
      </c>
      <c r="C588" s="58">
        <v>18.59503174</v>
      </c>
      <c r="D588" s="4">
        <v>0</v>
      </c>
      <c r="E588" s="12">
        <f t="shared" si="104"/>
        <v>0</v>
      </c>
      <c r="F588" s="12">
        <f t="shared" si="105"/>
        <v>0</v>
      </c>
      <c r="G588" s="16">
        <f t="shared" si="107"/>
        <v>0.79463090707386552</v>
      </c>
      <c r="H588" s="14">
        <f t="shared" si="108"/>
        <v>0</v>
      </c>
      <c r="I588" s="14">
        <f t="shared" si="109"/>
        <v>12.375187362469623</v>
      </c>
      <c r="J588" s="14">
        <f t="shared" si="110"/>
        <v>0.17065072415091317</v>
      </c>
      <c r="K588" s="14">
        <f t="shared" si="111"/>
        <v>5.7592891388069271E-2</v>
      </c>
      <c r="L588" s="14">
        <f t="shared" si="112"/>
        <v>671.10645578725916</v>
      </c>
      <c r="M588" s="14">
        <f t="shared" si="106"/>
        <v>0.14227326312127314</v>
      </c>
      <c r="N588" s="14">
        <f t="shared" si="113"/>
        <v>3.6408123236242464</v>
      </c>
      <c r="O588" s="4">
        <v>2.31</v>
      </c>
      <c r="P588" s="14">
        <f t="shared" si="116"/>
        <v>1.7710614407101659</v>
      </c>
      <c r="Q588" s="14">
        <f t="shared" si="114"/>
        <v>17.839210826653275</v>
      </c>
    </row>
    <row r="589" spans="1:17" x14ac:dyDescent="0.25">
      <c r="A589" s="5" t="s">
        <v>646</v>
      </c>
      <c r="B589" s="6">
        <f t="shared" si="115"/>
        <v>7</v>
      </c>
      <c r="C589" s="58">
        <v>18.329292299999999</v>
      </c>
      <c r="D589" s="4">
        <v>0</v>
      </c>
      <c r="E589" s="12">
        <f t="shared" si="104"/>
        <v>0</v>
      </c>
      <c r="F589" s="12">
        <f t="shared" si="105"/>
        <v>0</v>
      </c>
      <c r="G589" s="16">
        <f t="shared" si="107"/>
        <v>0.65926358597699675</v>
      </c>
      <c r="H589" s="14">
        <f t="shared" si="108"/>
        <v>0</v>
      </c>
      <c r="I589" s="14">
        <f t="shared" si="109"/>
        <v>11.924661802521879</v>
      </c>
      <c r="J589" s="14">
        <f t="shared" si="110"/>
        <v>0.13536732109686878</v>
      </c>
      <c r="K589" s="14">
        <f t="shared" si="111"/>
        <v>5.4721885748771376E-2</v>
      </c>
      <c r="L589" s="14">
        <f t="shared" si="112"/>
        <v>670.96705352977722</v>
      </c>
      <c r="M589" s="14">
        <f t="shared" si="106"/>
        <v>0.14224310691323852</v>
      </c>
      <c r="N589" s="14">
        <f t="shared" si="113"/>
        <v>3.640040617883916</v>
      </c>
      <c r="O589" s="4">
        <v>2.2599999999999998</v>
      </c>
      <c r="P589" s="14">
        <f t="shared" si="116"/>
        <v>1.9045121070094211</v>
      </c>
      <c r="Q589" s="14">
        <f t="shared" si="114"/>
        <v>18.264075726078559</v>
      </c>
    </row>
    <row r="590" spans="1:17" x14ac:dyDescent="0.25">
      <c r="A590" s="5" t="s">
        <v>647</v>
      </c>
      <c r="B590" s="6">
        <f t="shared" si="115"/>
        <v>7</v>
      </c>
      <c r="C590" s="58">
        <v>19.039358140000001</v>
      </c>
      <c r="D590" s="4">
        <v>0</v>
      </c>
      <c r="E590" s="12">
        <f t="shared" si="104"/>
        <v>0</v>
      </c>
      <c r="F590" s="12">
        <f t="shared" si="105"/>
        <v>0</v>
      </c>
      <c r="G590" s="16">
        <f t="shared" si="107"/>
        <v>0.53561875929233882</v>
      </c>
      <c r="H590" s="14">
        <f t="shared" si="108"/>
        <v>0</v>
      </c>
      <c r="I590" s="14">
        <f t="shared" si="109"/>
        <v>13.128483147843319</v>
      </c>
      <c r="J590" s="14">
        <f t="shared" si="110"/>
        <v>0.12364482668465791</v>
      </c>
      <c r="K590" s="14">
        <f t="shared" si="111"/>
        <v>5.1993999740772075E-2</v>
      </c>
      <c r="L590" s="14">
        <f t="shared" si="112"/>
        <v>670.82753830887191</v>
      </c>
      <c r="M590" s="14">
        <f t="shared" si="106"/>
        <v>0.14221295695459565</v>
      </c>
      <c r="N590" s="14">
        <f t="shared" si="113"/>
        <v>3.6392690720672571</v>
      </c>
      <c r="O590" s="4">
        <v>2.2200000000000002</v>
      </c>
      <c r="P590" s="14">
        <f t="shared" si="116"/>
        <v>2.0143246989266528</v>
      </c>
      <c r="Q590" s="14">
        <f t="shared" si="114"/>
        <v>18.60756764561879</v>
      </c>
    </row>
    <row r="591" spans="1:17" x14ac:dyDescent="0.25">
      <c r="A591" s="5" t="s">
        <v>648</v>
      </c>
      <c r="B591" s="6">
        <f t="shared" si="115"/>
        <v>7</v>
      </c>
      <c r="C591" s="58">
        <v>16.721508029999999</v>
      </c>
      <c r="D591" s="4">
        <v>0</v>
      </c>
      <c r="E591" s="12">
        <f t="shared" si="104"/>
        <v>0</v>
      </c>
      <c r="F591" s="12">
        <f t="shared" si="105"/>
        <v>0</v>
      </c>
      <c r="G591" s="16">
        <f t="shared" si="107"/>
        <v>0.46523166913438757</v>
      </c>
      <c r="H591" s="14">
        <f t="shared" si="108"/>
        <v>0</v>
      </c>
      <c r="I591" s="14">
        <f t="shared" si="109"/>
        <v>9.1988793273389522</v>
      </c>
      <c r="J591" s="14">
        <f t="shared" si="110"/>
        <v>7.0387090157951249E-2</v>
      </c>
      <c r="K591" s="14">
        <f t="shared" si="111"/>
        <v>4.9402098850442173E-2</v>
      </c>
      <c r="L591" s="14">
        <f t="shared" si="112"/>
        <v>670.68791725280767</v>
      </c>
      <c r="M591" s="14">
        <f t="shared" si="106"/>
        <v>0.14218281325115437</v>
      </c>
      <c r="N591" s="14">
        <f t="shared" si="113"/>
        <v>3.6384976863229435</v>
      </c>
      <c r="O591" s="4">
        <v>2.14</v>
      </c>
      <c r="P591" s="14">
        <f t="shared" si="116"/>
        <v>2.2454953159152145</v>
      </c>
      <c r="Q591" s="14">
        <f t="shared" si="114"/>
        <v>19.304151484699247</v>
      </c>
    </row>
    <row r="592" spans="1:17" x14ac:dyDescent="0.25">
      <c r="A592" s="5" t="s">
        <v>649</v>
      </c>
      <c r="B592" s="6">
        <f t="shared" si="115"/>
        <v>7</v>
      </c>
      <c r="C592" s="58">
        <v>17.498506549999998</v>
      </c>
      <c r="D592" s="4">
        <v>0</v>
      </c>
      <c r="E592" s="12">
        <f t="shared" si="104"/>
        <v>0</v>
      </c>
      <c r="F592" s="12">
        <f t="shared" si="105"/>
        <v>0</v>
      </c>
      <c r="G592" s="16">
        <f t="shared" si="107"/>
        <v>0.39533935360024924</v>
      </c>
      <c r="H592" s="14">
        <f t="shared" si="108"/>
        <v>0</v>
      </c>
      <c r="I592" s="14">
        <f t="shared" si="109"/>
        <v>10.516176049652993</v>
      </c>
      <c r="J592" s="14">
        <f t="shared" si="110"/>
        <v>6.9892315534138327E-2</v>
      </c>
      <c r="K592" s="14">
        <f t="shared" si="111"/>
        <v>4.6939404219657352E-2</v>
      </c>
      <c r="L592" s="14">
        <f t="shared" si="112"/>
        <v>670.54819713418726</v>
      </c>
      <c r="M592" s="14">
        <f t="shared" si="106"/>
        <v>0.14215267580836755</v>
      </c>
      <c r="N592" s="14">
        <f t="shared" si="113"/>
        <v>3.6377264607905162</v>
      </c>
      <c r="O592" s="4">
        <v>2.19</v>
      </c>
      <c r="P592" s="14">
        <f t="shared" si="116"/>
        <v>2.0959119052730344</v>
      </c>
      <c r="Q592" s="14">
        <f t="shared" si="114"/>
        <v>18.867286585273956</v>
      </c>
    </row>
    <row r="593" spans="1:17" x14ac:dyDescent="0.25">
      <c r="A593" s="5" t="s">
        <v>650</v>
      </c>
      <c r="B593" s="6">
        <f t="shared" si="115"/>
        <v>7</v>
      </c>
      <c r="C593" s="58">
        <v>18.23792267</v>
      </c>
      <c r="D593" s="4">
        <v>0</v>
      </c>
      <c r="E593" s="12">
        <f t="shared" si="104"/>
        <v>0</v>
      </c>
      <c r="F593" s="12">
        <f t="shared" si="105"/>
        <v>0</v>
      </c>
      <c r="G593" s="16">
        <f t="shared" si="107"/>
        <v>0.32886718467050535</v>
      </c>
      <c r="H593" s="14">
        <f t="shared" si="108"/>
        <v>0</v>
      </c>
      <c r="I593" s="14">
        <f t="shared" si="109"/>
        <v>11.769756856090261</v>
      </c>
      <c r="J593" s="14">
        <f t="shared" si="110"/>
        <v>6.6472168929743863E-2</v>
      </c>
      <c r="K593" s="14">
        <f t="shared" si="111"/>
        <v>4.4599474916371201E-2</v>
      </c>
      <c r="L593" s="14">
        <f t="shared" si="112"/>
        <v>670.40838438768219</v>
      </c>
      <c r="M593" s="14">
        <f t="shared" si="106"/>
        <v>0.14212254463134896</v>
      </c>
      <c r="N593" s="14">
        <f t="shared" si="113"/>
        <v>3.6369553956008405</v>
      </c>
      <c r="O593" s="4">
        <v>2.1800000000000002</v>
      </c>
      <c r="P593" s="14">
        <f t="shared" si="116"/>
        <v>2.1227190247704009</v>
      </c>
      <c r="Q593" s="14">
        <f t="shared" si="114"/>
        <v>18.95425956515901</v>
      </c>
    </row>
    <row r="594" spans="1:17" x14ac:dyDescent="0.25">
      <c r="A594" s="5" t="s">
        <v>651</v>
      </c>
      <c r="B594" s="6">
        <f t="shared" si="115"/>
        <v>7</v>
      </c>
      <c r="C594" s="58">
        <v>17.823251719999998</v>
      </c>
      <c r="D594" s="4">
        <v>0</v>
      </c>
      <c r="E594" s="12">
        <f t="shared" si="104"/>
        <v>0</v>
      </c>
      <c r="F594" s="12">
        <f t="shared" si="105"/>
        <v>0</v>
      </c>
      <c r="G594" s="16">
        <f t="shared" si="107"/>
        <v>0.27687447212910249</v>
      </c>
      <c r="H594" s="14">
        <f t="shared" si="108"/>
        <v>0</v>
      </c>
      <c r="I594" s="14">
        <f t="shared" si="109"/>
        <v>11.066737906615492</v>
      </c>
      <c r="J594" s="14">
        <f t="shared" si="110"/>
        <v>5.1992712541402863E-2</v>
      </c>
      <c r="K594" s="14">
        <f t="shared" si="111"/>
        <v>4.2376191089000231E-2</v>
      </c>
      <c r="L594" s="14">
        <f t="shared" si="112"/>
        <v>670.2684851268782</v>
      </c>
      <c r="M594" s="14">
        <f t="shared" si="106"/>
        <v>0.14209241972489028</v>
      </c>
      <c r="N594" s="14">
        <f t="shared" si="113"/>
        <v>3.6361844908765328</v>
      </c>
      <c r="O594" s="4">
        <v>2.16</v>
      </c>
      <c r="P594" s="14">
        <f t="shared" si="116"/>
        <v>2.1791206511044079</v>
      </c>
      <c r="Q594" s="14">
        <f t="shared" si="114"/>
        <v>19.128805524929131</v>
      </c>
    </row>
    <row r="595" spans="1:17" x14ac:dyDescent="0.25">
      <c r="A595" s="5" t="s">
        <v>652</v>
      </c>
      <c r="B595" s="6">
        <f t="shared" si="115"/>
        <v>7</v>
      </c>
      <c r="C595" s="58">
        <v>18.51002502</v>
      </c>
      <c r="D595" s="4">
        <v>0</v>
      </c>
      <c r="E595" s="12">
        <f t="shared" si="104"/>
        <v>0</v>
      </c>
      <c r="F595" s="12">
        <f t="shared" si="105"/>
        <v>0</v>
      </c>
      <c r="G595" s="16">
        <f t="shared" si="107"/>
        <v>0.22849627569689693</v>
      </c>
      <c r="H595" s="14">
        <f t="shared" si="108"/>
        <v>0</v>
      </c>
      <c r="I595" s="14">
        <f t="shared" si="109"/>
        <v>12.231069876080248</v>
      </c>
      <c r="J595" s="14">
        <f t="shared" si="110"/>
        <v>4.8378196432205568E-2</v>
      </c>
      <c r="K595" s="14">
        <f t="shared" si="111"/>
        <v>4.0263737960562783E-2</v>
      </c>
      <c r="L595" s="14">
        <f t="shared" si="112"/>
        <v>670.12850516028175</v>
      </c>
      <c r="M595" s="14">
        <f t="shared" si="106"/>
        <v>0.14206230109347703</v>
      </c>
      <c r="N595" s="14">
        <f t="shared" si="113"/>
        <v>3.6354137467323806</v>
      </c>
      <c r="O595" s="4">
        <v>2.19</v>
      </c>
      <c r="P595" s="14">
        <f t="shared" si="116"/>
        <v>2.0892208992429389</v>
      </c>
      <c r="Q595" s="14">
        <f t="shared" si="114"/>
        <v>18.867286585273956</v>
      </c>
    </row>
    <row r="596" spans="1:17" x14ac:dyDescent="0.25">
      <c r="A596" s="5" t="s">
        <v>653</v>
      </c>
      <c r="B596" s="6">
        <f t="shared" si="115"/>
        <v>7</v>
      </c>
      <c r="C596" s="58">
        <v>17.742698669999999</v>
      </c>
      <c r="D596" s="4">
        <v>0</v>
      </c>
      <c r="E596" s="12">
        <f t="shared" si="104"/>
        <v>0</v>
      </c>
      <c r="F596" s="12">
        <f t="shared" si="105"/>
        <v>0</v>
      </c>
      <c r="G596" s="16">
        <f t="shared" si="107"/>
        <v>0.19281762730162802</v>
      </c>
      <c r="H596" s="14">
        <f t="shared" si="108"/>
        <v>0</v>
      </c>
      <c r="I596" s="14">
        <f t="shared" si="109"/>
        <v>10.930171020056433</v>
      </c>
      <c r="J596" s="14">
        <f t="shared" si="110"/>
        <v>3.5678648395268908E-2</v>
      </c>
      <c r="K596" s="14">
        <f t="shared" si="111"/>
        <v>3.8256590620710088E-2</v>
      </c>
      <c r="L596" s="14">
        <f t="shared" si="112"/>
        <v>669.98845000652818</v>
      </c>
      <c r="M596" s="14">
        <f t="shared" si="106"/>
        <v>0.14203218874130397</v>
      </c>
      <c r="N596" s="14">
        <f t="shared" si="113"/>
        <v>3.6346431632757299</v>
      </c>
      <c r="O596" s="4">
        <v>2.2000000000000002</v>
      </c>
      <c r="P596" s="14">
        <f t="shared" si="116"/>
        <v>2.0582010059337921</v>
      </c>
      <c r="Q596" s="14">
        <f t="shared" si="114"/>
        <v>18.780513605388901</v>
      </c>
    </row>
    <row r="597" spans="1:17" x14ac:dyDescent="0.25">
      <c r="A597" s="5" t="s">
        <v>654</v>
      </c>
      <c r="B597" s="6">
        <f t="shared" si="115"/>
        <v>8</v>
      </c>
      <c r="C597" s="58">
        <v>17.055852890000001</v>
      </c>
      <c r="D597" s="4">
        <v>0</v>
      </c>
      <c r="E597" s="12">
        <f t="shared" si="104"/>
        <v>0</v>
      </c>
      <c r="F597" s="12">
        <f t="shared" si="105"/>
        <v>0</v>
      </c>
      <c r="G597" s="16">
        <f t="shared" si="107"/>
        <v>0.17074830204112432</v>
      </c>
      <c r="H597" s="14">
        <f t="shared" si="108"/>
        <v>0</v>
      </c>
      <c r="I597" s="14">
        <f t="shared" si="109"/>
        <v>8.0119828374180457</v>
      </c>
      <c r="J597" s="14">
        <f t="shared" si="110"/>
        <v>2.2069325260503692E-2</v>
      </c>
      <c r="K597" s="14">
        <f t="shared" si="111"/>
        <v>3.6349499575874605E-2</v>
      </c>
      <c r="L597" s="14">
        <f t="shared" si="112"/>
        <v>669.84832490883173</v>
      </c>
      <c r="M597" s="14">
        <f t="shared" si="106"/>
        <v>0.14200208267228945</v>
      </c>
      <c r="N597" s="14">
        <f t="shared" si="113"/>
        <v>3.6338727406068521</v>
      </c>
      <c r="O597" s="4">
        <v>2.15</v>
      </c>
      <c r="P597" s="14">
        <f t="shared" si="116"/>
        <v>2.2018783103160904</v>
      </c>
      <c r="Q597" s="14">
        <f t="shared" si="114"/>
        <v>19.216378504814195</v>
      </c>
    </row>
    <row r="598" spans="1:17" x14ac:dyDescent="0.25">
      <c r="A598" s="5" t="s">
        <v>655</v>
      </c>
      <c r="B598" s="6">
        <f t="shared" si="115"/>
        <v>8</v>
      </c>
      <c r="C598" s="58">
        <v>17.75786591</v>
      </c>
      <c r="D598" s="4">
        <v>0</v>
      </c>
      <c r="E598" s="12">
        <f t="shared" si="104"/>
        <v>0</v>
      </c>
      <c r="F598" s="12">
        <f t="shared" si="105"/>
        <v>0</v>
      </c>
      <c r="G598" s="16">
        <f t="shared" si="107"/>
        <v>0.14854468610282995</v>
      </c>
      <c r="H598" s="14">
        <f t="shared" si="108"/>
        <v>0</v>
      </c>
      <c r="I598" s="14">
        <f t="shared" si="109"/>
        <v>9.1025904326245612</v>
      </c>
      <c r="J598" s="14">
        <f t="shared" si="110"/>
        <v>2.2203615938294365E-2</v>
      </c>
      <c r="K598" s="14">
        <f t="shared" si="111"/>
        <v>3.4537477019743468E-2</v>
      </c>
      <c r="L598" s="14">
        <f t="shared" si="112"/>
        <v>669.70813484871564</v>
      </c>
      <c r="M598" s="14">
        <f t="shared" si="106"/>
        <v>0.14197198289008944</v>
      </c>
      <c r="N598" s="14">
        <f t="shared" si="113"/>
        <v>3.6331024788193025</v>
      </c>
      <c r="O598" s="4">
        <v>2.11</v>
      </c>
      <c r="P598" s="14">
        <f t="shared" si="116"/>
        <v>2.3198411609855043</v>
      </c>
      <c r="Q598" s="14">
        <f t="shared" si="114"/>
        <v>19.568670424354416</v>
      </c>
    </row>
    <row r="599" spans="1:17" x14ac:dyDescent="0.25">
      <c r="A599" s="5" t="s">
        <v>656</v>
      </c>
      <c r="B599" s="6">
        <f t="shared" si="115"/>
        <v>8</v>
      </c>
      <c r="C599" s="58">
        <v>18.54711533</v>
      </c>
      <c r="D599" s="4">
        <v>0</v>
      </c>
      <c r="E599" s="12">
        <f t="shared" si="104"/>
        <v>0</v>
      </c>
      <c r="F599" s="12">
        <f t="shared" si="105"/>
        <v>0</v>
      </c>
      <c r="G599" s="16">
        <f t="shared" si="107"/>
        <v>0.12662642558231685</v>
      </c>
      <c r="H599" s="14">
        <f t="shared" si="108"/>
        <v>0</v>
      </c>
      <c r="I599" s="14">
        <f t="shared" si="109"/>
        <v>10.328723549022229</v>
      </c>
      <c r="J599" s="14">
        <f t="shared" si="110"/>
        <v>2.19182605205131E-2</v>
      </c>
      <c r="K599" s="14">
        <f t="shared" si="111"/>
        <v>3.2815783788148811E-2</v>
      </c>
      <c r="L599" s="14">
        <f t="shared" si="112"/>
        <v>669.56788455905723</v>
      </c>
      <c r="M599" s="14">
        <f t="shared" si="106"/>
        <v>0.14194188939811037</v>
      </c>
      <c r="N599" s="14">
        <f t="shared" si="113"/>
        <v>3.6323323780002554</v>
      </c>
      <c r="O599" s="4">
        <v>2.04</v>
      </c>
      <c r="P599" s="14">
        <f t="shared" si="116"/>
        <v>2.5355224020279481</v>
      </c>
      <c r="Q599" s="14">
        <f t="shared" si="114"/>
        <v>20.19288128354982</v>
      </c>
    </row>
    <row r="600" spans="1:17" x14ac:dyDescent="0.25">
      <c r="A600" s="5" t="s">
        <v>657</v>
      </c>
      <c r="B600" s="6">
        <f t="shared" si="115"/>
        <v>8</v>
      </c>
      <c r="C600" s="58">
        <v>17.906044009999999</v>
      </c>
      <c r="D600" s="4">
        <v>0</v>
      </c>
      <c r="E600" s="12">
        <f t="shared" si="104"/>
        <v>0</v>
      </c>
      <c r="F600" s="12">
        <f t="shared" si="105"/>
        <v>0</v>
      </c>
      <c r="G600" s="16">
        <f t="shared" si="107"/>
        <v>0.10974386864859122</v>
      </c>
      <c r="H600" s="14">
        <f t="shared" si="108"/>
        <v>0</v>
      </c>
      <c r="I600" s="14">
        <f t="shared" si="109"/>
        <v>9.3327915210648715</v>
      </c>
      <c r="J600" s="14">
        <f t="shared" si="110"/>
        <v>1.6882556933725631E-2</v>
      </c>
      <c r="K600" s="14">
        <f t="shared" si="111"/>
        <v>3.1179916964256843E-2</v>
      </c>
      <c r="L600" s="14">
        <f t="shared" si="112"/>
        <v>669.427578536483</v>
      </c>
      <c r="M600" s="14">
        <f t="shared" si="106"/>
        <v>0.14191180219952179</v>
      </c>
      <c r="N600" s="14">
        <f t="shared" si="113"/>
        <v>3.6315624382308176</v>
      </c>
      <c r="O600" s="4">
        <v>2.1</v>
      </c>
      <c r="P600" s="14">
        <f t="shared" si="116"/>
        <v>2.3456835021995266</v>
      </c>
      <c r="Q600" s="14">
        <f t="shared" si="114"/>
        <v>19.65724340423947</v>
      </c>
    </row>
    <row r="601" spans="1:17" x14ac:dyDescent="0.25">
      <c r="A601" s="5" t="s">
        <v>658</v>
      </c>
      <c r="B601" s="6">
        <f t="shared" si="115"/>
        <v>8</v>
      </c>
      <c r="C601" s="58">
        <v>17.570989610000002</v>
      </c>
      <c r="D601" s="4">
        <v>0</v>
      </c>
      <c r="E601" s="12">
        <f t="shared" si="104"/>
        <v>0</v>
      </c>
      <c r="F601" s="12">
        <f t="shared" si="105"/>
        <v>0</v>
      </c>
      <c r="G601" s="16">
        <f t="shared" si="107"/>
        <v>9.5928248874978667E-2</v>
      </c>
      <c r="H601" s="14">
        <f t="shared" si="108"/>
        <v>0</v>
      </c>
      <c r="I601" s="14">
        <f t="shared" si="109"/>
        <v>8.8122700164247441</v>
      </c>
      <c r="J601" s="14">
        <f t="shared" si="110"/>
        <v>1.3815619773612547E-2</v>
      </c>
      <c r="K601" s="14">
        <f t="shared" si="111"/>
        <v>2.9625598101638225E-2</v>
      </c>
      <c r="L601" s="14">
        <f t="shared" si="112"/>
        <v>669.28722105314614</v>
      </c>
      <c r="M601" s="14">
        <f t="shared" si="106"/>
        <v>0.14188172129726809</v>
      </c>
      <c r="N601" s="14">
        <f t="shared" si="113"/>
        <v>3.6307926595863398</v>
      </c>
      <c r="O601" s="4">
        <v>2.12</v>
      </c>
      <c r="P601" s="14">
        <f t="shared" si="116"/>
        <v>2.2824944602599655</v>
      </c>
      <c r="Q601" s="14">
        <f t="shared" si="114"/>
        <v>19.480297444469361</v>
      </c>
    </row>
    <row r="602" spans="1:17" x14ac:dyDescent="0.25">
      <c r="A602" s="5" t="s">
        <v>659</v>
      </c>
      <c r="B602" s="6">
        <f t="shared" si="115"/>
        <v>8</v>
      </c>
      <c r="C602" s="58">
        <v>18.003478999999999</v>
      </c>
      <c r="D602" s="4">
        <v>0</v>
      </c>
      <c r="E602" s="12">
        <f t="shared" si="104"/>
        <v>0</v>
      </c>
      <c r="F602" s="12">
        <f t="shared" si="105"/>
        <v>0</v>
      </c>
      <c r="G602" s="16">
        <f t="shared" si="107"/>
        <v>8.2931110434772554E-2</v>
      </c>
      <c r="H602" s="14">
        <f t="shared" si="108"/>
        <v>0</v>
      </c>
      <c r="I602" s="14">
        <f t="shared" si="109"/>
        <v>9.4841609930055348</v>
      </c>
      <c r="J602" s="14">
        <f t="shared" si="110"/>
        <v>1.2997138440206113E-2</v>
      </c>
      <c r="K602" s="14">
        <f t="shared" si="111"/>
        <v>2.8148762034418372E-2</v>
      </c>
      <c r="L602" s="14">
        <f t="shared" si="112"/>
        <v>669.14681616791609</v>
      </c>
      <c r="M602" s="14">
        <f t="shared" si="106"/>
        <v>0.14185164669407968</v>
      </c>
      <c r="N602" s="14">
        <f t="shared" si="113"/>
        <v>3.6300230421366919</v>
      </c>
      <c r="O602" s="4">
        <v>1.71</v>
      </c>
      <c r="P602" s="14">
        <f t="shared" si="116"/>
        <v>3.6864884823358373</v>
      </c>
      <c r="Q602" s="14">
        <f t="shared" si="114"/>
        <v>23.267589619756713</v>
      </c>
    </row>
    <row r="603" spans="1:17" x14ac:dyDescent="0.25">
      <c r="A603" s="5" t="s">
        <v>660</v>
      </c>
      <c r="B603" s="6">
        <f t="shared" si="115"/>
        <v>8</v>
      </c>
      <c r="C603" s="58">
        <v>18.059331889999999</v>
      </c>
      <c r="D603" s="4">
        <v>0</v>
      </c>
      <c r="E603" s="12">
        <f t="shared" ref="E603:E666" si="117">IF(C603&gt;$C$9,MAX(E602-$C$10*(C603-$C$9),0),E602+D603)</f>
        <v>0</v>
      </c>
      <c r="F603" s="12">
        <f t="shared" ref="F603:F666" si="118">IF(C603&gt;$C$9,D603+MIN(E602,$C$10*(C603-$C$9)),0)</f>
        <v>0</v>
      </c>
      <c r="G603" s="16">
        <f t="shared" si="107"/>
        <v>7.1592130917185165E-2</v>
      </c>
      <c r="H603" s="14">
        <f t="shared" si="108"/>
        <v>0</v>
      </c>
      <c r="I603" s="14">
        <f t="shared" si="109"/>
        <v>9.5709308737810144</v>
      </c>
      <c r="J603" s="14">
        <f t="shared" si="110"/>
        <v>1.1338979517587392E-2</v>
      </c>
      <c r="K603" s="14">
        <f t="shared" si="111"/>
        <v>2.6745546245241811E-2</v>
      </c>
      <c r="L603" s="14">
        <f t="shared" si="112"/>
        <v>669.00636773701115</v>
      </c>
      <c r="M603" s="14">
        <f t="shared" si="106"/>
        <v>0.14182157839248383</v>
      </c>
      <c r="N603" s="14">
        <f t="shared" si="113"/>
        <v>3.629253585946548</v>
      </c>
      <c r="O603" s="4">
        <v>1.67</v>
      </c>
      <c r="P603" s="14">
        <f t="shared" si="116"/>
        <v>3.8386746140444075</v>
      </c>
      <c r="Q603" s="14">
        <f t="shared" si="114"/>
        <v>23.655081539296944</v>
      </c>
    </row>
    <row r="604" spans="1:17" x14ac:dyDescent="0.25">
      <c r="A604" s="5" t="s">
        <v>661</v>
      </c>
      <c r="B604" s="6">
        <f t="shared" si="115"/>
        <v>8</v>
      </c>
      <c r="C604" s="58">
        <v>17.84964561</v>
      </c>
      <c r="D604" s="4">
        <v>0</v>
      </c>
      <c r="E604" s="12">
        <f t="shared" si="117"/>
        <v>0</v>
      </c>
      <c r="F604" s="12">
        <f t="shared" si="118"/>
        <v>0</v>
      </c>
      <c r="G604" s="16">
        <f t="shared" si="107"/>
        <v>6.2136670148455454E-2</v>
      </c>
      <c r="H604" s="14">
        <f t="shared" si="108"/>
        <v>0</v>
      </c>
      <c r="I604" s="14">
        <f t="shared" si="109"/>
        <v>9.2451741669059793</v>
      </c>
      <c r="J604" s="14">
        <f t="shared" si="110"/>
        <v>9.455460768729709E-3</v>
      </c>
      <c r="K604" s="14">
        <f t="shared" si="111"/>
        <v>2.5412280763243474E-2</v>
      </c>
      <c r="L604" s="14">
        <f t="shared" si="112"/>
        <v>668.86587942410063</v>
      </c>
      <c r="M604" s="14">
        <f t="shared" si="106"/>
        <v>0.14179151639481474</v>
      </c>
      <c r="N604" s="14">
        <f t="shared" si="113"/>
        <v>3.6284842910756412</v>
      </c>
      <c r="O604" s="4">
        <v>1.61</v>
      </c>
      <c r="P604" s="14">
        <f t="shared" si="116"/>
        <v>4.0742788333191324</v>
      </c>
      <c r="Q604" s="14">
        <f t="shared" si="114"/>
        <v>24.242319418607284</v>
      </c>
    </row>
    <row r="605" spans="1:17" x14ac:dyDescent="0.25">
      <c r="A605" s="5" t="s">
        <v>662</v>
      </c>
      <c r="B605" s="6">
        <f t="shared" si="115"/>
        <v>8</v>
      </c>
      <c r="C605" s="58">
        <v>17.348772050000001</v>
      </c>
      <c r="D605" s="4">
        <v>0</v>
      </c>
      <c r="E605" s="12">
        <f t="shared" si="117"/>
        <v>0</v>
      </c>
      <c r="F605" s="12">
        <f t="shared" si="118"/>
        <v>0</v>
      </c>
      <c r="G605" s="16">
        <f t="shared" si="107"/>
        <v>5.4620749669823832E-2</v>
      </c>
      <c r="H605" s="14">
        <f t="shared" si="108"/>
        <v>0</v>
      </c>
      <c r="I605" s="14">
        <f t="shared" si="109"/>
        <v>8.4670454239745077</v>
      </c>
      <c r="J605" s="14">
        <f t="shared" si="110"/>
        <v>7.5159204786316254E-3</v>
      </c>
      <c r="K605" s="14">
        <f t="shared" si="111"/>
        <v>2.4145478565606157E-2</v>
      </c>
      <c r="L605" s="14">
        <f t="shared" si="112"/>
        <v>668.7253547099034</v>
      </c>
      <c r="M605" s="14">
        <f t="shared" si="106"/>
        <v>0.14176146070322307</v>
      </c>
      <c r="N605" s="14">
        <f t="shared" si="113"/>
        <v>3.627715157579007</v>
      </c>
      <c r="O605" s="4">
        <v>1.64</v>
      </c>
      <c r="P605" s="14">
        <f t="shared" si="116"/>
        <v>3.9510115476693368</v>
      </c>
      <c r="Q605" s="14">
        <f t="shared" si="114"/>
        <v>23.947800478952118</v>
      </c>
    </row>
    <row r="606" spans="1:17" x14ac:dyDescent="0.25">
      <c r="A606" s="5" t="s">
        <v>663</v>
      </c>
      <c r="B606" s="6">
        <f t="shared" si="115"/>
        <v>8</v>
      </c>
      <c r="C606" s="58">
        <v>17.309873580000001</v>
      </c>
      <c r="D606" s="4">
        <v>0</v>
      </c>
      <c r="E606" s="12">
        <f t="shared" si="117"/>
        <v>0</v>
      </c>
      <c r="F606" s="12">
        <f t="shared" si="118"/>
        <v>0</v>
      </c>
      <c r="G606" s="16">
        <f t="shared" si="107"/>
        <v>4.8061092776249016E-2</v>
      </c>
      <c r="H606" s="14">
        <f t="shared" si="108"/>
        <v>0</v>
      </c>
      <c r="I606" s="14">
        <f t="shared" si="109"/>
        <v>8.4066149681064495</v>
      </c>
      <c r="J606" s="14">
        <f t="shared" si="110"/>
        <v>6.5596568935748145E-3</v>
      </c>
      <c r="K606" s="14">
        <f t="shared" si="111"/>
        <v>2.2941826457600303E-2</v>
      </c>
      <c r="L606" s="14">
        <f t="shared" si="112"/>
        <v>668.58479690130821</v>
      </c>
      <c r="M606" s="14">
        <f t="shared" si="106"/>
        <v>0.14173141131968528</v>
      </c>
      <c r="N606" s="14">
        <f t="shared" si="113"/>
        <v>3.6269461855072245</v>
      </c>
      <c r="O606" s="4">
        <v>1.59</v>
      </c>
      <c r="P606" s="14">
        <f t="shared" si="116"/>
        <v>4.1491497626524305</v>
      </c>
      <c r="Q606" s="14">
        <f t="shared" si="114"/>
        <v>24.439665378377402</v>
      </c>
    </row>
    <row r="607" spans="1:17" x14ac:dyDescent="0.25">
      <c r="A607" s="5" t="s">
        <v>664</v>
      </c>
      <c r="B607" s="6">
        <f t="shared" si="115"/>
        <v>8</v>
      </c>
      <c r="C607" s="58">
        <v>17.112215039999999</v>
      </c>
      <c r="D607" s="4">
        <v>0</v>
      </c>
      <c r="E607" s="12">
        <f t="shared" si="117"/>
        <v>0</v>
      </c>
      <c r="F607" s="12">
        <f t="shared" si="118"/>
        <v>0</v>
      </c>
      <c r="G607" s="16">
        <f t="shared" si="107"/>
        <v>4.2500046433263154E-2</v>
      </c>
      <c r="H607" s="14">
        <f t="shared" si="108"/>
        <v>0</v>
      </c>
      <c r="I607" s="14">
        <f t="shared" si="109"/>
        <v>8.0995438756337865</v>
      </c>
      <c r="J607" s="14">
        <f t="shared" si="110"/>
        <v>5.5610463429858646E-3</v>
      </c>
      <c r="K607" s="14">
        <f t="shared" si="111"/>
        <v>2.1798176407253837E-2</v>
      </c>
      <c r="L607" s="14">
        <f t="shared" si="112"/>
        <v>668.44420914003888</v>
      </c>
      <c r="M607" s="14">
        <f t="shared" ref="M607:M670" si="119">MAX(0,K607-$F$9)*$F$8+K607*$F$10+L607*$F$11</f>
        <v>0.14170136824601223</v>
      </c>
      <c r="N607" s="14">
        <f t="shared" si="113"/>
        <v>3.6261773749066326</v>
      </c>
      <c r="O607" s="4">
        <v>1.62</v>
      </c>
      <c r="P607" s="14">
        <f t="shared" si="116"/>
        <v>4.0247476595872671</v>
      </c>
      <c r="Q607" s="14">
        <f t="shared" si="114"/>
        <v>24.143946438722228</v>
      </c>
    </row>
    <row r="608" spans="1:17" x14ac:dyDescent="0.25">
      <c r="A608" s="5" t="s">
        <v>665</v>
      </c>
      <c r="B608" s="6">
        <f t="shared" si="115"/>
        <v>8</v>
      </c>
      <c r="C608" s="58">
        <v>16.017704009999999</v>
      </c>
      <c r="D608" s="4">
        <v>0</v>
      </c>
      <c r="E608" s="12">
        <f t="shared" si="117"/>
        <v>0</v>
      </c>
      <c r="F608" s="12">
        <f t="shared" si="118"/>
        <v>0</v>
      </c>
      <c r="G608" s="16">
        <f t="shared" ref="G608:G671" si="120">G607+F608-H608-J608</f>
        <v>3.8614826482213468E-2</v>
      </c>
      <c r="H608" s="14">
        <f t="shared" ref="H608:H671" si="121">(F608*(G607/$C$11)^$C$12)</f>
        <v>0</v>
      </c>
      <c r="I608" s="14">
        <f t="shared" ref="I608:I671" si="122">(1+$C$13*(C608-INDEX($A$16:$A$27,B608)))*INDEX($C$16:$C$27,B608)</f>
        <v>6.3991736426781261</v>
      </c>
      <c r="J608" s="14">
        <f t="shared" ref="J608:J671" si="123">IF(G607&gt;$F$13,I608,I608*(G607/$F$13))</f>
        <v>3.8852199510496892E-3</v>
      </c>
      <c r="K608" s="14">
        <f t="shared" ref="K608:K671" si="124">K607+H608-MAX(0,K607-$F$9)*$F$8-K607*$F$10-K607*$F$12</f>
        <v>2.0711537311988677E-2</v>
      </c>
      <c r="L608" s="14">
        <f t="shared" ref="L608:L671" si="125">L607+K607*$F$12-L607*$F$11</f>
        <v>668.30359441088808</v>
      </c>
      <c r="M608" s="14">
        <f t="shared" si="119"/>
        <v>0.14167133148385744</v>
      </c>
      <c r="N608" s="14">
        <f t="shared" ref="N608:N671" si="126">M608*$C$8*1000/(24*3600)</f>
        <v>3.625408725819546</v>
      </c>
      <c r="O608" s="4">
        <v>1.7</v>
      </c>
      <c r="P608" s="14">
        <f t="shared" si="116"/>
        <v>3.7071987614620476</v>
      </c>
      <c r="Q608" s="14">
        <f t="shared" ref="Q608:Q671" si="127">(O608-$F$23)^2</f>
        <v>23.364162599641769</v>
      </c>
    </row>
    <row r="609" spans="1:17" x14ac:dyDescent="0.25">
      <c r="A609" s="5" t="s">
        <v>666</v>
      </c>
      <c r="B609" s="6">
        <f t="shared" ref="B609:B672" si="128">MONTH(A609)</f>
        <v>8</v>
      </c>
      <c r="C609" s="58">
        <v>17.221309659999999</v>
      </c>
      <c r="D609" s="4">
        <v>0</v>
      </c>
      <c r="E609" s="12">
        <f t="shared" si="117"/>
        <v>0</v>
      </c>
      <c r="F609" s="12">
        <f t="shared" si="118"/>
        <v>0</v>
      </c>
      <c r="G609" s="16">
        <f t="shared" si="120"/>
        <v>3.4053293567874704E-2</v>
      </c>
      <c r="H609" s="14">
        <f t="shared" si="121"/>
        <v>0</v>
      </c>
      <c r="I609" s="14">
        <f t="shared" si="122"/>
        <v>8.2690270871676237</v>
      </c>
      <c r="J609" s="14">
        <f t="shared" si="123"/>
        <v>4.561532914338761E-3</v>
      </c>
      <c r="K609" s="14">
        <f t="shared" si="124"/>
        <v>1.9679067175690457E-2</v>
      </c>
      <c r="L609" s="14">
        <f t="shared" si="125"/>
        <v>668.16295554954047</v>
      </c>
      <c r="M609" s="14">
        <f t="shared" si="119"/>
        <v>0.14164130103472497</v>
      </c>
      <c r="N609" s="14">
        <f t="shared" si="126"/>
        <v>3.6246402382844551</v>
      </c>
      <c r="O609" s="4">
        <v>1.79</v>
      </c>
      <c r="P609" s="14">
        <f t="shared" ref="P609:P672" si="129">(O609-N609)^2</f>
        <v>3.3659048039324424</v>
      </c>
      <c r="Q609" s="14">
        <f t="shared" si="127"/>
        <v>22.502205780676253</v>
      </c>
    </row>
    <row r="610" spans="1:17" x14ac:dyDescent="0.25">
      <c r="A610" s="5" t="s">
        <v>667</v>
      </c>
      <c r="B610" s="6">
        <f t="shared" si="128"/>
        <v>8</v>
      </c>
      <c r="C610" s="58">
        <v>17.662742609999999</v>
      </c>
      <c r="D610" s="4">
        <v>0</v>
      </c>
      <c r="E610" s="12">
        <f t="shared" si="117"/>
        <v>0</v>
      </c>
      <c r="F610" s="12">
        <f t="shared" si="118"/>
        <v>0</v>
      </c>
      <c r="G610" s="16">
        <f t="shared" si="120"/>
        <v>2.969699217690866E-2</v>
      </c>
      <c r="H610" s="14">
        <f t="shared" si="121"/>
        <v>0</v>
      </c>
      <c r="I610" s="14">
        <f t="shared" si="122"/>
        <v>8.9548122711011331</v>
      </c>
      <c r="J610" s="14">
        <f t="shared" si="123"/>
        <v>4.3563013909660424E-3</v>
      </c>
      <c r="K610" s="14">
        <f t="shared" si="124"/>
        <v>1.8698065675751288E-2</v>
      </c>
      <c r="L610" s="14">
        <f t="shared" si="125"/>
        <v>668.02229525000564</v>
      </c>
      <c r="M610" s="14">
        <f t="shared" si="119"/>
        <v>0.14161127689997696</v>
      </c>
      <c r="N610" s="14">
        <f t="shared" si="126"/>
        <v>3.6238719123362162</v>
      </c>
      <c r="O610" s="4">
        <v>3.5</v>
      </c>
      <c r="P610" s="14">
        <f t="shared" si="129"/>
        <v>1.5344250665831231E-2</v>
      </c>
      <c r="Q610" s="14">
        <f t="shared" si="127"/>
        <v>9.2030262203314432</v>
      </c>
    </row>
    <row r="611" spans="1:17" x14ac:dyDescent="0.25">
      <c r="A611" s="5" t="s">
        <v>668</v>
      </c>
      <c r="B611" s="6">
        <f t="shared" si="128"/>
        <v>8</v>
      </c>
      <c r="C611" s="58">
        <v>17.323560709999999</v>
      </c>
      <c r="D611" s="4">
        <v>0</v>
      </c>
      <c r="E611" s="12">
        <f t="shared" si="117"/>
        <v>0</v>
      </c>
      <c r="F611" s="12">
        <f t="shared" si="118"/>
        <v>0</v>
      </c>
      <c r="G611" s="16">
        <f t="shared" si="120"/>
        <v>2.6121522969871965E-2</v>
      </c>
      <c r="H611" s="14">
        <f t="shared" si="121"/>
        <v>0</v>
      </c>
      <c r="I611" s="14">
        <f t="shared" si="122"/>
        <v>8.4278785166579802</v>
      </c>
      <c r="J611" s="14">
        <f t="shared" si="123"/>
        <v>3.575469207036695E-3</v>
      </c>
      <c r="K611" s="14">
        <f t="shared" si="124"/>
        <v>1.7765967100645454E-2</v>
      </c>
      <c r="L611" s="14">
        <f t="shared" si="125"/>
        <v>667.88161607168081</v>
      </c>
      <c r="M611" s="14">
        <f t="shared" si="119"/>
        <v>0.1415812590808406</v>
      </c>
      <c r="N611" s="14">
        <f t="shared" si="126"/>
        <v>3.6231037480062334</v>
      </c>
      <c r="O611" s="4">
        <v>3.94</v>
      </c>
      <c r="P611" s="14">
        <f t="shared" si="129"/>
        <v>0.10042323452769682</v>
      </c>
      <c r="Q611" s="14">
        <f t="shared" si="127"/>
        <v>6.7270151053889187</v>
      </c>
    </row>
    <row r="612" spans="1:17" x14ac:dyDescent="0.25">
      <c r="A612" s="5" t="s">
        <v>669</v>
      </c>
      <c r="B612" s="6">
        <f t="shared" si="128"/>
        <v>8</v>
      </c>
      <c r="C612" s="58">
        <v>17.96853638</v>
      </c>
      <c r="D612" s="4">
        <v>0</v>
      </c>
      <c r="E612" s="12">
        <f t="shared" si="117"/>
        <v>0</v>
      </c>
      <c r="F612" s="12">
        <f t="shared" si="118"/>
        <v>0</v>
      </c>
      <c r="G612" s="16">
        <f t="shared" si="120"/>
        <v>2.260262404670578E-2</v>
      </c>
      <c r="H612" s="14">
        <f t="shared" si="121"/>
        <v>0</v>
      </c>
      <c r="I612" s="14">
        <f t="shared" si="122"/>
        <v>9.4298761212400315</v>
      </c>
      <c r="J612" s="14">
        <f t="shared" si="123"/>
        <v>3.5188989231661836E-3</v>
      </c>
      <c r="K612" s="14">
        <f t="shared" si="124"/>
        <v>1.6880333639566956E-2</v>
      </c>
      <c r="L612" s="14">
        <f t="shared" si="125"/>
        <v>667.74092044606107</v>
      </c>
      <c r="M612" s="14">
        <f t="shared" si="119"/>
        <v>0.14155124757841486</v>
      </c>
      <c r="N612" s="14">
        <f t="shared" si="126"/>
        <v>3.6223357453226304</v>
      </c>
      <c r="O612" s="4">
        <v>1.61</v>
      </c>
      <c r="P612" s="14">
        <f t="shared" si="129"/>
        <v>4.0494951519031863</v>
      </c>
      <c r="Q612" s="14">
        <f t="shared" si="127"/>
        <v>24.242319418607284</v>
      </c>
    </row>
    <row r="613" spans="1:17" x14ac:dyDescent="0.25">
      <c r="A613" s="5" t="s">
        <v>670</v>
      </c>
      <c r="B613" s="6">
        <f t="shared" si="128"/>
        <v>8</v>
      </c>
      <c r="C613" s="58">
        <v>18.61847878</v>
      </c>
      <c r="D613" s="4">
        <v>0</v>
      </c>
      <c r="E613" s="12">
        <f t="shared" si="117"/>
        <v>0</v>
      </c>
      <c r="F613" s="12">
        <f t="shared" si="118"/>
        <v>0</v>
      </c>
      <c r="G613" s="16">
        <f t="shared" si="120"/>
        <v>1.9231733860968159E-2</v>
      </c>
      <c r="H613" s="14">
        <f t="shared" si="121"/>
        <v>0</v>
      </c>
      <c r="I613" s="14">
        <f t="shared" si="122"/>
        <v>10.439589755734662</v>
      </c>
      <c r="J613" s="14">
        <f t="shared" si="123"/>
        <v>3.3708901857376198E-3</v>
      </c>
      <c r="K613" s="14">
        <f t="shared" si="124"/>
        <v>1.6038849006578617E-2</v>
      </c>
      <c r="L613" s="14">
        <f t="shared" si="125"/>
        <v>667.60021068311562</v>
      </c>
      <c r="M613" s="14">
        <f t="shared" si="119"/>
        <v>0.14152124239367705</v>
      </c>
      <c r="N613" s="14">
        <f t="shared" si="126"/>
        <v>3.6215679043104165</v>
      </c>
      <c r="O613" s="4">
        <v>1.63</v>
      </c>
      <c r="P613" s="14">
        <f t="shared" si="129"/>
        <v>3.9663427174793848</v>
      </c>
      <c r="Q613" s="14">
        <f t="shared" si="127"/>
        <v>24.045773458837171</v>
      </c>
    </row>
    <row r="614" spans="1:17" x14ac:dyDescent="0.25">
      <c r="A614" s="5" t="s">
        <v>671</v>
      </c>
      <c r="B614" s="6">
        <f t="shared" si="128"/>
        <v>8</v>
      </c>
      <c r="C614" s="58">
        <v>17.805669779999999</v>
      </c>
      <c r="D614" s="4">
        <v>0</v>
      </c>
      <c r="E614" s="12">
        <f t="shared" si="117"/>
        <v>0</v>
      </c>
      <c r="F614" s="12">
        <f t="shared" si="118"/>
        <v>0</v>
      </c>
      <c r="G614" s="16">
        <f t="shared" si="120"/>
        <v>1.6710491129670959E-2</v>
      </c>
      <c r="H614" s="14">
        <f t="shared" si="121"/>
        <v>0</v>
      </c>
      <c r="I614" s="14">
        <f t="shared" si="122"/>
        <v>9.176855812634555</v>
      </c>
      <c r="J614" s="14">
        <f t="shared" si="123"/>
        <v>2.5212427312972007E-3</v>
      </c>
      <c r="K614" s="14">
        <f t="shared" si="124"/>
        <v>1.5239312382597386E-2</v>
      </c>
      <c r="L614" s="14">
        <f t="shared" si="125"/>
        <v>667.45948897734593</v>
      </c>
      <c r="M614" s="14">
        <f t="shared" si="119"/>
        <v>0.14149124352748876</v>
      </c>
      <c r="N614" s="14">
        <f t="shared" si="126"/>
        <v>3.62080022499164</v>
      </c>
      <c r="O614" s="4">
        <v>1.62</v>
      </c>
      <c r="P614" s="14">
        <f t="shared" si="129"/>
        <v>4.0032015403265966</v>
      </c>
      <c r="Q614" s="14">
        <f t="shared" si="127"/>
        <v>24.143946438722228</v>
      </c>
    </row>
    <row r="615" spans="1:17" x14ac:dyDescent="0.25">
      <c r="A615" s="5" t="s">
        <v>672</v>
      </c>
      <c r="B615" s="6">
        <f t="shared" si="128"/>
        <v>8</v>
      </c>
      <c r="C615" s="58">
        <v>17.937864300000001</v>
      </c>
      <c r="D615" s="4">
        <v>0</v>
      </c>
      <c r="E615" s="12">
        <f t="shared" si="117"/>
        <v>0</v>
      </c>
      <c r="F615" s="12">
        <f t="shared" si="118"/>
        <v>0</v>
      </c>
      <c r="G615" s="16">
        <f t="shared" si="120"/>
        <v>1.4470752183274409E-2</v>
      </c>
      <c r="H615" s="14">
        <f t="shared" si="121"/>
        <v>0</v>
      </c>
      <c r="I615" s="14">
        <f t="shared" si="122"/>
        <v>9.3822257181053708</v>
      </c>
      <c r="J615" s="14">
        <f t="shared" si="123"/>
        <v>2.2397389463965503E-3</v>
      </c>
      <c r="K615" s="14">
        <f t="shared" si="124"/>
        <v>1.4479632659371631E-2</v>
      </c>
      <c r="L615" s="14">
        <f t="shared" si="125"/>
        <v>667.31875741354168</v>
      </c>
      <c r="M615" s="14">
        <f t="shared" si="119"/>
        <v>0.14146125098060167</v>
      </c>
      <c r="N615" s="14">
        <f t="shared" si="126"/>
        <v>3.6200327073855356</v>
      </c>
      <c r="O615" s="4">
        <v>1.67</v>
      </c>
      <c r="P615" s="14">
        <f t="shared" si="129"/>
        <v>3.8026275598733621</v>
      </c>
      <c r="Q615" s="14">
        <f t="shared" si="127"/>
        <v>23.655081539296944</v>
      </c>
    </row>
    <row r="616" spans="1:17" x14ac:dyDescent="0.25">
      <c r="A616" s="5" t="s">
        <v>673</v>
      </c>
      <c r="B616" s="6">
        <f t="shared" si="128"/>
        <v>8</v>
      </c>
      <c r="C616" s="58">
        <v>17.57220268</v>
      </c>
      <c r="D616" s="4">
        <v>0</v>
      </c>
      <c r="E616" s="12">
        <f t="shared" si="117"/>
        <v>0</v>
      </c>
      <c r="F616" s="12">
        <f t="shared" si="118"/>
        <v>0</v>
      </c>
      <c r="G616" s="16">
        <f t="shared" si="120"/>
        <v>1.26486443327907E-2</v>
      </c>
      <c r="H616" s="14">
        <f t="shared" si="121"/>
        <v>0</v>
      </c>
      <c r="I616" s="14">
        <f t="shared" si="122"/>
        <v>8.8141545731463786</v>
      </c>
      <c r="J616" s="14">
        <f t="shared" si="123"/>
        <v>1.8221078504837094E-3</v>
      </c>
      <c r="K616" s="14">
        <f t="shared" si="124"/>
        <v>1.3757822970396202E-2</v>
      </c>
      <c r="L616" s="14">
        <f t="shared" si="125"/>
        <v>667.17801797225002</v>
      </c>
      <c r="M616" s="14">
        <f t="shared" si="119"/>
        <v>0.14143126475366311</v>
      </c>
      <c r="N616" s="14">
        <f t="shared" si="126"/>
        <v>3.6192653515086701</v>
      </c>
      <c r="O616" s="4">
        <v>1.64</v>
      </c>
      <c r="P616" s="14">
        <f t="shared" si="129"/>
        <v>3.91749133168274</v>
      </c>
      <c r="Q616" s="14">
        <f t="shared" si="127"/>
        <v>23.947800478952118</v>
      </c>
    </row>
    <row r="617" spans="1:17" x14ac:dyDescent="0.25">
      <c r="A617" s="5" t="s">
        <v>674</v>
      </c>
      <c r="B617" s="6">
        <f t="shared" si="128"/>
        <v>8</v>
      </c>
      <c r="C617" s="58">
        <v>18.78966904</v>
      </c>
      <c r="D617" s="4">
        <v>0</v>
      </c>
      <c r="E617" s="12">
        <f t="shared" si="117"/>
        <v>0</v>
      </c>
      <c r="F617" s="12">
        <f t="shared" si="118"/>
        <v>0</v>
      </c>
      <c r="G617" s="16">
        <f t="shared" si="120"/>
        <v>1.0714205864764842E-2</v>
      </c>
      <c r="H617" s="14">
        <f t="shared" si="121"/>
        <v>0</v>
      </c>
      <c r="I617" s="14">
        <f t="shared" si="122"/>
        <v>10.705541230226371</v>
      </c>
      <c r="J617" s="14">
        <f t="shared" si="123"/>
        <v>1.9344384680258582E-3</v>
      </c>
      <c r="K617" s="14">
        <f t="shared" si="124"/>
        <v>1.307199549446135E-2</v>
      </c>
      <c r="L617" s="14">
        <f t="shared" si="125"/>
        <v>667.03727253497232</v>
      </c>
      <c r="M617" s="14">
        <f t="shared" si="119"/>
        <v>0.1414012848472212</v>
      </c>
      <c r="N617" s="14">
        <f t="shared" si="126"/>
        <v>3.618498157375071</v>
      </c>
      <c r="O617" s="4">
        <v>1.67</v>
      </c>
      <c r="P617" s="14">
        <f t="shared" si="129"/>
        <v>3.7966450692940472</v>
      </c>
      <c r="Q617" s="14">
        <f t="shared" si="127"/>
        <v>23.655081539296944</v>
      </c>
    </row>
    <row r="618" spans="1:17" x14ac:dyDescent="0.25">
      <c r="A618" s="5" t="s">
        <v>675</v>
      </c>
      <c r="B618" s="6">
        <f t="shared" si="128"/>
        <v>8</v>
      </c>
      <c r="C618" s="58">
        <v>18.439636230000001</v>
      </c>
      <c r="D618" s="4">
        <v>0</v>
      </c>
      <c r="E618" s="12">
        <f t="shared" si="117"/>
        <v>0</v>
      </c>
      <c r="F618" s="12">
        <f t="shared" si="118"/>
        <v>0</v>
      </c>
      <c r="G618" s="16">
        <f t="shared" si="120"/>
        <v>9.1588462843474258E-3</v>
      </c>
      <c r="H618" s="14">
        <f t="shared" si="121"/>
        <v>0</v>
      </c>
      <c r="I618" s="14">
        <f t="shared" si="122"/>
        <v>10.161750117694758</v>
      </c>
      <c r="J618" s="14">
        <f t="shared" si="123"/>
        <v>1.5553595804174165E-3</v>
      </c>
      <c r="K618" s="14">
        <f t="shared" si="124"/>
        <v>1.2420356518244751E-2</v>
      </c>
      <c r="L618" s="14">
        <f t="shared" si="125"/>
        <v>666.89652288910133</v>
      </c>
      <c r="M618" s="14">
        <f t="shared" si="119"/>
        <v>0.14137131126172983</v>
      </c>
      <c r="N618" s="14">
        <f t="shared" si="126"/>
        <v>3.6177311249963497</v>
      </c>
      <c r="O618" s="4">
        <v>1.93</v>
      </c>
      <c r="P618" s="14">
        <f t="shared" si="129"/>
        <v>2.8484363502814447</v>
      </c>
      <c r="Q618" s="14">
        <f t="shared" si="127"/>
        <v>21.193584062285453</v>
      </c>
    </row>
    <row r="619" spans="1:17" x14ac:dyDescent="0.25">
      <c r="A619" s="5" t="s">
        <v>676</v>
      </c>
      <c r="B619" s="6">
        <f t="shared" si="128"/>
        <v>8</v>
      </c>
      <c r="C619" s="58">
        <v>18.377372739999998</v>
      </c>
      <c r="D619" s="4">
        <v>0</v>
      </c>
      <c r="E619" s="12">
        <f t="shared" si="117"/>
        <v>0</v>
      </c>
      <c r="F619" s="12">
        <f t="shared" si="118"/>
        <v>0</v>
      </c>
      <c r="G619" s="16">
        <f t="shared" si="120"/>
        <v>7.8419312060904276E-3</v>
      </c>
      <c r="H619" s="14">
        <f t="shared" si="121"/>
        <v>0</v>
      </c>
      <c r="I619" s="14">
        <f t="shared" si="122"/>
        <v>10.065021092500798</v>
      </c>
      <c r="J619" s="14">
        <f t="shared" si="123"/>
        <v>1.3169150782569989E-3</v>
      </c>
      <c r="K619" s="14">
        <f t="shared" si="124"/>
        <v>1.1801201745033312E-2</v>
      </c>
      <c r="L619" s="14">
        <f t="shared" si="125"/>
        <v>666.75577073261286</v>
      </c>
      <c r="M619" s="14">
        <f t="shared" si="119"/>
        <v>0.14134134399755335</v>
      </c>
      <c r="N619" s="14">
        <f t="shared" si="126"/>
        <v>3.6169642543818346</v>
      </c>
      <c r="O619" s="4">
        <v>1.97</v>
      </c>
      <c r="P619" s="14">
        <f t="shared" si="129"/>
        <v>2.7124912552115124</v>
      </c>
      <c r="Q619" s="14">
        <f t="shared" si="127"/>
        <v>20.826892142745223</v>
      </c>
    </row>
    <row r="620" spans="1:17" x14ac:dyDescent="0.25">
      <c r="A620" s="5" t="s">
        <v>677</v>
      </c>
      <c r="B620" s="6">
        <f t="shared" si="128"/>
        <v>8</v>
      </c>
      <c r="C620" s="58">
        <v>18.714973449999999</v>
      </c>
      <c r="D620" s="4">
        <v>0</v>
      </c>
      <c r="E620" s="12">
        <f t="shared" si="117"/>
        <v>0</v>
      </c>
      <c r="F620" s="12">
        <f t="shared" si="118"/>
        <v>0</v>
      </c>
      <c r="G620" s="16">
        <f t="shared" si="120"/>
        <v>6.6556142772417753E-3</v>
      </c>
      <c r="H620" s="14">
        <f t="shared" si="121"/>
        <v>0</v>
      </c>
      <c r="I620" s="14">
        <f t="shared" si="122"/>
        <v>10.589498399877678</v>
      </c>
      <c r="J620" s="14">
        <f t="shared" si="123"/>
        <v>1.186316928848652E-3</v>
      </c>
      <c r="K620" s="14">
        <f t="shared" si="124"/>
        <v>1.1212911837305193E-2</v>
      </c>
      <c r="L620" s="14">
        <f t="shared" si="125"/>
        <v>666.61501767852303</v>
      </c>
      <c r="M620" s="14">
        <f t="shared" si="119"/>
        <v>0.14131138305497118</v>
      </c>
      <c r="N620" s="14">
        <f t="shared" si="126"/>
        <v>3.6161975455386717</v>
      </c>
      <c r="O620" s="4">
        <v>1.89</v>
      </c>
      <c r="P620" s="14">
        <f t="shared" si="129"/>
        <v>2.979757966223735</v>
      </c>
      <c r="Q620" s="14">
        <f t="shared" si="127"/>
        <v>21.563475981825682</v>
      </c>
    </row>
    <row r="621" spans="1:17" x14ac:dyDescent="0.25">
      <c r="A621" s="5" t="s">
        <v>678</v>
      </c>
      <c r="B621" s="6">
        <f t="shared" si="128"/>
        <v>8</v>
      </c>
      <c r="C621" s="58">
        <v>17.645729060000001</v>
      </c>
      <c r="D621" s="4">
        <v>0</v>
      </c>
      <c r="E621" s="12">
        <f t="shared" si="117"/>
        <v>0</v>
      </c>
      <c r="F621" s="12">
        <f t="shared" si="118"/>
        <v>0</v>
      </c>
      <c r="G621" s="16">
        <f t="shared" si="120"/>
        <v>5.8067013065947999E-3</v>
      </c>
      <c r="H621" s="14">
        <f t="shared" si="121"/>
        <v>0</v>
      </c>
      <c r="I621" s="14">
        <f t="shared" si="122"/>
        <v>8.9283809851807909</v>
      </c>
      <c r="J621" s="14">
        <f t="shared" si="123"/>
        <v>8.4891297064697551E-4</v>
      </c>
      <c r="K621" s="14">
        <f t="shared" si="124"/>
        <v>1.0653948181514121E-2</v>
      </c>
      <c r="L621" s="14">
        <f t="shared" si="125"/>
        <v>666.47426525912385</v>
      </c>
      <c r="M621" s="14">
        <f t="shared" si="119"/>
        <v>0.14128142843418179</v>
      </c>
      <c r="N621" s="14">
        <f t="shared" si="126"/>
        <v>3.6154309984719433</v>
      </c>
      <c r="O621" s="4">
        <v>1.88</v>
      </c>
      <c r="P621" s="14">
        <f t="shared" si="129"/>
        <v>3.0117207504573265</v>
      </c>
      <c r="Q621" s="14">
        <f t="shared" si="127"/>
        <v>21.656448961710737</v>
      </c>
    </row>
    <row r="622" spans="1:17" x14ac:dyDescent="0.25">
      <c r="A622" s="5" t="s">
        <v>679</v>
      </c>
      <c r="B622" s="6">
        <f t="shared" si="128"/>
        <v>8</v>
      </c>
      <c r="C622" s="58">
        <v>17.74107742</v>
      </c>
      <c r="D622" s="4">
        <v>0</v>
      </c>
      <c r="E622" s="12">
        <f t="shared" si="117"/>
        <v>0</v>
      </c>
      <c r="F622" s="12">
        <f t="shared" si="118"/>
        <v>0</v>
      </c>
      <c r="G622" s="16">
        <f t="shared" si="120"/>
        <v>5.0537781923779548E-3</v>
      </c>
      <c r="H622" s="14">
        <f t="shared" si="121"/>
        <v>0</v>
      </c>
      <c r="I622" s="14">
        <f t="shared" si="122"/>
        <v>9.0765087871501677</v>
      </c>
      <c r="J622" s="14">
        <f t="shared" si="123"/>
        <v>7.5292311421684482E-4</v>
      </c>
      <c r="K622" s="14">
        <f t="shared" si="124"/>
        <v>1.0122848863999201E-2</v>
      </c>
      <c r="L622" s="14">
        <f t="shared" si="125"/>
        <v>666.33351493000725</v>
      </c>
      <c r="M622" s="14">
        <f t="shared" si="119"/>
        <v>0.14125148013530708</v>
      </c>
      <c r="N622" s="14">
        <f t="shared" si="126"/>
        <v>3.6146646131847682</v>
      </c>
      <c r="O622" s="4">
        <v>1.83</v>
      </c>
      <c r="P622" s="14">
        <f t="shared" si="129"/>
        <v>3.1850277815539378</v>
      </c>
      <c r="Q622" s="14">
        <f t="shared" si="127"/>
        <v>22.124313861136024</v>
      </c>
    </row>
    <row r="623" spans="1:17" x14ac:dyDescent="0.25">
      <c r="A623" s="5" t="s">
        <v>680</v>
      </c>
      <c r="B623" s="6">
        <f t="shared" si="128"/>
        <v>8</v>
      </c>
      <c r="C623" s="58">
        <v>17.449190139999999</v>
      </c>
      <c r="D623" s="4">
        <v>0</v>
      </c>
      <c r="E623" s="12">
        <f t="shared" si="117"/>
        <v>0</v>
      </c>
      <c r="F623" s="12">
        <f t="shared" si="118"/>
        <v>0</v>
      </c>
      <c r="G623" s="16">
        <f t="shared" si="120"/>
        <v>4.4312208559667892E-3</v>
      </c>
      <c r="H623" s="14">
        <f t="shared" si="121"/>
        <v>0</v>
      </c>
      <c r="I623" s="14">
        <f t="shared" si="122"/>
        <v>8.6230492708121762</v>
      </c>
      <c r="J623" s="14">
        <f t="shared" si="123"/>
        <v>6.2255733641116535E-4</v>
      </c>
      <c r="K623" s="14">
        <f t="shared" si="124"/>
        <v>9.6182248474956204E-3</v>
      </c>
      <c r="L623" s="14">
        <f t="shared" si="125"/>
        <v>666.19276807388849</v>
      </c>
      <c r="M623" s="14">
        <f t="shared" si="119"/>
        <v>0.14122153815839592</v>
      </c>
      <c r="N623" s="14">
        <f t="shared" si="126"/>
        <v>3.6138983896783956</v>
      </c>
      <c r="O623" s="4">
        <v>2.0699999999999998</v>
      </c>
      <c r="P623" s="14">
        <f t="shared" si="129"/>
        <v>2.3836222376515437</v>
      </c>
      <c r="Q623" s="14">
        <f t="shared" si="127"/>
        <v>19.924162343894654</v>
      </c>
    </row>
    <row r="624" spans="1:17" x14ac:dyDescent="0.25">
      <c r="A624" s="5" t="s">
        <v>681</v>
      </c>
      <c r="B624" s="6">
        <f t="shared" si="128"/>
        <v>8</v>
      </c>
      <c r="C624" s="58">
        <v>17.368713379999999</v>
      </c>
      <c r="D624" s="4">
        <v>0</v>
      </c>
      <c r="E624" s="12">
        <f t="shared" si="117"/>
        <v>0</v>
      </c>
      <c r="F624" s="12">
        <f t="shared" si="118"/>
        <v>0</v>
      </c>
      <c r="G624" s="16">
        <f t="shared" si="120"/>
        <v>3.8932686180128814E-3</v>
      </c>
      <c r="H624" s="14">
        <f t="shared" si="121"/>
        <v>0</v>
      </c>
      <c r="I624" s="14">
        <f t="shared" si="122"/>
        <v>8.4980251427787508</v>
      </c>
      <c r="J624" s="14">
        <f t="shared" si="123"/>
        <v>5.3795223795390806E-4</v>
      </c>
      <c r="K624" s="14">
        <f t="shared" si="124"/>
        <v>9.138756338246309E-3</v>
      </c>
      <c r="L624" s="14">
        <f t="shared" si="125"/>
        <v>666.05202600423934</v>
      </c>
      <c r="M624" s="14">
        <f t="shared" si="119"/>
        <v>0.14119160250342799</v>
      </c>
      <c r="N624" s="14">
        <f t="shared" si="126"/>
        <v>3.6131323279523064</v>
      </c>
      <c r="O624" s="4">
        <v>2.38</v>
      </c>
      <c r="P624" s="14">
        <f t="shared" si="129"/>
        <v>1.520615338241075</v>
      </c>
      <c r="Q624" s="14">
        <f t="shared" si="127"/>
        <v>17.252799967457868</v>
      </c>
    </row>
    <row r="625" spans="1:17" x14ac:dyDescent="0.25">
      <c r="A625" s="5" t="s">
        <v>682</v>
      </c>
      <c r="B625" s="6">
        <f t="shared" si="128"/>
        <v>8</v>
      </c>
      <c r="C625" s="58">
        <v>16.228301999999999</v>
      </c>
      <c r="D625" s="4">
        <v>0</v>
      </c>
      <c r="E625" s="12">
        <f t="shared" si="117"/>
        <v>0</v>
      </c>
      <c r="F625" s="12">
        <f t="shared" si="118"/>
        <v>0</v>
      </c>
      <c r="G625" s="16">
        <f t="shared" si="120"/>
        <v>3.5191615353370657E-3</v>
      </c>
      <c r="H625" s="14">
        <f t="shared" si="121"/>
        <v>0</v>
      </c>
      <c r="I625" s="14">
        <f t="shared" si="122"/>
        <v>6.7263467304781592</v>
      </c>
      <c r="J625" s="14">
        <f t="shared" si="123"/>
        <v>3.7410708267581578E-4</v>
      </c>
      <c r="K625" s="14">
        <f t="shared" si="124"/>
        <v>8.6831893342130678E-3</v>
      </c>
      <c r="L625" s="14">
        <f t="shared" si="125"/>
        <v>665.91128996873988</v>
      </c>
      <c r="M625" s="14">
        <f t="shared" si="119"/>
        <v>0.14116167317031711</v>
      </c>
      <c r="N625" s="14">
        <f t="shared" si="126"/>
        <v>3.6123664280042957</v>
      </c>
      <c r="O625" s="4">
        <v>2.42</v>
      </c>
      <c r="P625" s="14">
        <f t="shared" si="129"/>
        <v>1.4217376986317236</v>
      </c>
      <c r="Q625" s="14">
        <f t="shared" si="127"/>
        <v>16.922108047917639</v>
      </c>
    </row>
    <row r="626" spans="1:17" x14ac:dyDescent="0.25">
      <c r="A626" s="5" t="s">
        <v>683</v>
      </c>
      <c r="B626" s="6">
        <f t="shared" si="128"/>
        <v>8</v>
      </c>
      <c r="C626" s="58">
        <v>18.003355030000002</v>
      </c>
      <c r="D626" s="4">
        <v>2.6</v>
      </c>
      <c r="E626" s="12">
        <f t="shared" si="117"/>
        <v>0</v>
      </c>
      <c r="F626" s="12">
        <f t="shared" si="118"/>
        <v>2.6</v>
      </c>
      <c r="G626" s="16">
        <f t="shared" si="120"/>
        <v>2.5977027154432801</v>
      </c>
      <c r="H626" s="14">
        <f t="shared" si="121"/>
        <v>5.3396511813580258E-3</v>
      </c>
      <c r="I626" s="14">
        <f t="shared" si="122"/>
        <v>9.4839684002476758</v>
      </c>
      <c r="J626" s="14">
        <f t="shared" si="123"/>
        <v>4.7679491069917319E-4</v>
      </c>
      <c r="K626" s="14">
        <f t="shared" si="124"/>
        <v>1.3589983526717407E-2</v>
      </c>
      <c r="L626" s="14">
        <f t="shared" si="125"/>
        <v>665.77056115255846</v>
      </c>
      <c r="M626" s="14">
        <f t="shared" si="119"/>
        <v>0.14113287671824795</v>
      </c>
      <c r="N626" s="14">
        <f t="shared" si="126"/>
        <v>3.6116295187968315</v>
      </c>
      <c r="O626" s="4">
        <v>2.5</v>
      </c>
      <c r="P626" s="14">
        <f t="shared" si="129"/>
        <v>1.235720187060475</v>
      </c>
      <c r="Q626" s="14">
        <f t="shared" si="127"/>
        <v>16.270324208837181</v>
      </c>
    </row>
    <row r="627" spans="1:17" x14ac:dyDescent="0.25">
      <c r="A627" s="5" t="s">
        <v>684</v>
      </c>
      <c r="B627" s="6">
        <f t="shared" si="128"/>
        <v>8</v>
      </c>
      <c r="C627" s="58">
        <v>17.151067730000001</v>
      </c>
      <c r="D627" s="4">
        <v>0</v>
      </c>
      <c r="E627" s="12">
        <f t="shared" si="117"/>
        <v>0</v>
      </c>
      <c r="F627" s="12">
        <f t="shared" si="118"/>
        <v>0</v>
      </c>
      <c r="G627" s="16">
        <f t="shared" si="120"/>
        <v>2.2948881462326818</v>
      </c>
      <c r="H627" s="14">
        <f t="shared" si="121"/>
        <v>0</v>
      </c>
      <c r="I627" s="14">
        <f t="shared" si="122"/>
        <v>8.1599032102914357</v>
      </c>
      <c r="J627" s="14">
        <f t="shared" si="123"/>
        <v>0.30281456921059835</v>
      </c>
      <c r="K627" s="14">
        <f t="shared" si="124"/>
        <v>1.2912522847060442E-2</v>
      </c>
      <c r="L627" s="14">
        <f t="shared" si="125"/>
        <v>665.63010573651991</v>
      </c>
      <c r="M627" s="14">
        <f t="shared" si="119"/>
        <v>0.14110296005571971</v>
      </c>
      <c r="N627" s="14">
        <f t="shared" si="126"/>
        <v>3.6108639430925495</v>
      </c>
      <c r="O627" s="4">
        <v>2.62</v>
      </c>
      <c r="P627" s="14">
        <f t="shared" si="129"/>
        <v>0.9818113537209151</v>
      </c>
      <c r="Q627" s="14">
        <f t="shared" si="127"/>
        <v>15.316648450216491</v>
      </c>
    </row>
    <row r="628" spans="1:17" x14ac:dyDescent="0.25">
      <c r="A628" s="5" t="s">
        <v>685</v>
      </c>
      <c r="B628" s="6">
        <f t="shared" si="128"/>
        <v>9</v>
      </c>
      <c r="C628" s="58">
        <v>16.780145650000001</v>
      </c>
      <c r="D628" s="4">
        <v>0</v>
      </c>
      <c r="E628" s="12">
        <f t="shared" si="117"/>
        <v>0</v>
      </c>
      <c r="F628" s="12">
        <f t="shared" si="118"/>
        <v>0</v>
      </c>
      <c r="G628" s="16">
        <f t="shared" si="120"/>
        <v>2.1042664926375219</v>
      </c>
      <c r="H628" s="14">
        <f t="shared" si="121"/>
        <v>0</v>
      </c>
      <c r="I628" s="14">
        <f t="shared" si="122"/>
        <v>5.8144467729440459</v>
      </c>
      <c r="J628" s="14">
        <f t="shared" si="123"/>
        <v>0.19062165359515992</v>
      </c>
      <c r="K628" s="14">
        <f t="shared" si="124"/>
        <v>1.2268833582326754E-2</v>
      </c>
      <c r="L628" s="14">
        <f t="shared" si="125"/>
        <v>665.48964646572892</v>
      </c>
      <c r="M628" s="14">
        <f t="shared" si="119"/>
        <v>0.14107304970115267</v>
      </c>
      <c r="N628" s="14">
        <f t="shared" si="126"/>
        <v>3.610098528810747</v>
      </c>
      <c r="O628" s="4">
        <v>2.48</v>
      </c>
      <c r="P628" s="14">
        <f t="shared" si="129"/>
        <v>1.2771226848202148</v>
      </c>
      <c r="Q628" s="14">
        <f t="shared" si="127"/>
        <v>16.4320701686073</v>
      </c>
    </row>
    <row r="629" spans="1:17" x14ac:dyDescent="0.25">
      <c r="A629" s="5" t="s">
        <v>686</v>
      </c>
      <c r="B629" s="6">
        <f t="shared" si="128"/>
        <v>9</v>
      </c>
      <c r="C629" s="58">
        <v>18.152809139999999</v>
      </c>
      <c r="D629" s="4">
        <v>0</v>
      </c>
      <c r="E629" s="12">
        <f t="shared" si="117"/>
        <v>0</v>
      </c>
      <c r="F629" s="12">
        <f t="shared" si="118"/>
        <v>0</v>
      </c>
      <c r="G629" s="16">
        <f t="shared" si="120"/>
        <v>1.8680688365273219</v>
      </c>
      <c r="H629" s="14">
        <f t="shared" si="121"/>
        <v>0</v>
      </c>
      <c r="I629" s="14">
        <f t="shared" si="122"/>
        <v>7.8572854881712946</v>
      </c>
      <c r="J629" s="14">
        <f t="shared" si="123"/>
        <v>0.23619765611019994</v>
      </c>
      <c r="K629" s="14">
        <f t="shared" si="124"/>
        <v>1.1657232227480305E-2</v>
      </c>
      <c r="L629" s="14">
        <f t="shared" si="125"/>
        <v>665.34918501738264</v>
      </c>
      <c r="M629" s="14">
        <f t="shared" si="119"/>
        <v>0.14104314565489318</v>
      </c>
      <c r="N629" s="14">
        <f t="shared" si="126"/>
        <v>3.609333275960287</v>
      </c>
      <c r="O629" s="4">
        <v>2.36</v>
      </c>
      <c r="P629" s="14">
        <f t="shared" si="129"/>
        <v>1.5608336344216629</v>
      </c>
      <c r="Q629" s="14">
        <f t="shared" si="127"/>
        <v>17.41934592722798</v>
      </c>
    </row>
    <row r="630" spans="1:17" x14ac:dyDescent="0.25">
      <c r="A630" s="5" t="s">
        <v>687</v>
      </c>
      <c r="B630" s="6">
        <f t="shared" si="128"/>
        <v>9</v>
      </c>
      <c r="C630" s="58">
        <v>17.804969790000001</v>
      </c>
      <c r="D630" s="4">
        <v>0</v>
      </c>
      <c r="E630" s="12">
        <f t="shared" si="117"/>
        <v>0</v>
      </c>
      <c r="F630" s="12">
        <f t="shared" si="118"/>
        <v>0</v>
      </c>
      <c r="G630" s="16">
        <f t="shared" si="120"/>
        <v>1.6721984424038254</v>
      </c>
      <c r="H630" s="14">
        <f t="shared" si="121"/>
        <v>0</v>
      </c>
      <c r="I630" s="14">
        <f t="shared" si="122"/>
        <v>7.3396206008656106</v>
      </c>
      <c r="J630" s="14">
        <f t="shared" si="123"/>
        <v>0.19587039412349649</v>
      </c>
      <c r="K630" s="14">
        <f t="shared" si="124"/>
        <v>1.1076119200211209E-2</v>
      </c>
      <c r="L630" s="14">
        <f t="shared" si="125"/>
        <v>665.20872298475501</v>
      </c>
      <c r="M630" s="14">
        <f t="shared" si="119"/>
        <v>0.14101324791720349</v>
      </c>
      <c r="N630" s="14">
        <f t="shared" si="126"/>
        <v>3.608568184547881</v>
      </c>
      <c r="O630" s="4">
        <v>2.2999999999999998</v>
      </c>
      <c r="P630" s="14">
        <f t="shared" si="129"/>
        <v>1.7123506936109376</v>
      </c>
      <c r="Q630" s="14">
        <f t="shared" si="127"/>
        <v>17.923783806538328</v>
      </c>
    </row>
    <row r="631" spans="1:17" x14ac:dyDescent="0.25">
      <c r="A631" s="5" t="s">
        <v>688</v>
      </c>
      <c r="B631" s="6">
        <f t="shared" si="128"/>
        <v>9</v>
      </c>
      <c r="C631" s="58">
        <v>17.378940579999998</v>
      </c>
      <c r="D631" s="4">
        <v>0</v>
      </c>
      <c r="E631" s="12">
        <f t="shared" si="117"/>
        <v>0</v>
      </c>
      <c r="F631" s="12">
        <f t="shared" si="118"/>
        <v>0</v>
      </c>
      <c r="G631" s="16">
        <f t="shared" si="120"/>
        <v>1.5120114670986162</v>
      </c>
      <c r="H631" s="14">
        <f t="shared" si="121"/>
        <v>0</v>
      </c>
      <c r="I631" s="14">
        <f t="shared" si="122"/>
        <v>6.7055912336201198</v>
      </c>
      <c r="J631" s="14">
        <f t="shared" si="123"/>
        <v>0.16018697530520917</v>
      </c>
      <c r="K631" s="14">
        <f t="shared" si="124"/>
        <v>1.0523974657387828E-2</v>
      </c>
      <c r="L631" s="14">
        <f t="shared" si="125"/>
        <v>665.06826188138064</v>
      </c>
      <c r="M631" s="14">
        <f t="shared" si="119"/>
        <v>0.14098335648826626</v>
      </c>
      <c r="N631" s="14">
        <f t="shared" si="126"/>
        <v>3.6078032545782031</v>
      </c>
      <c r="O631" s="4">
        <v>2.38</v>
      </c>
      <c r="P631" s="14">
        <f t="shared" si="129"/>
        <v>1.507500831952828</v>
      </c>
      <c r="Q631" s="14">
        <f t="shared" si="127"/>
        <v>17.252799967457868</v>
      </c>
    </row>
    <row r="632" spans="1:17" x14ac:dyDescent="0.25">
      <c r="A632" s="5" t="s">
        <v>689</v>
      </c>
      <c r="B632" s="6">
        <f t="shared" si="128"/>
        <v>9</v>
      </c>
      <c r="C632" s="58">
        <v>18.19283295</v>
      </c>
      <c r="D632" s="4">
        <v>0</v>
      </c>
      <c r="E632" s="12">
        <f t="shared" si="117"/>
        <v>0</v>
      </c>
      <c r="F632" s="12">
        <f t="shared" si="118"/>
        <v>0</v>
      </c>
      <c r="G632" s="16">
        <f t="shared" si="120"/>
        <v>1.3410060696143533</v>
      </c>
      <c r="H632" s="14">
        <f t="shared" si="121"/>
        <v>0</v>
      </c>
      <c r="I632" s="14">
        <f t="shared" si="122"/>
        <v>7.9168501150405524</v>
      </c>
      <c r="J632" s="14">
        <f t="shared" si="123"/>
        <v>0.17100539748426283</v>
      </c>
      <c r="K632" s="14">
        <f t="shared" si="124"/>
        <v>9.9993545200587324E-3</v>
      </c>
      <c r="L632" s="14">
        <f t="shared" si="125"/>
        <v>664.92780314502966</v>
      </c>
      <c r="M632" s="14">
        <f t="shared" si="119"/>
        <v>0.1409534713681882</v>
      </c>
      <c r="N632" s="14">
        <f t="shared" si="126"/>
        <v>3.607038486053983</v>
      </c>
      <c r="O632" s="4">
        <v>2.4500000000000002</v>
      </c>
      <c r="P632" s="14">
        <f t="shared" si="129"/>
        <v>1.3387380582100927</v>
      </c>
      <c r="Q632" s="14">
        <f t="shared" si="127"/>
        <v>16.676189108262466</v>
      </c>
    </row>
    <row r="633" spans="1:17" x14ac:dyDescent="0.25">
      <c r="A633" s="5" t="s">
        <v>690</v>
      </c>
      <c r="B633" s="6">
        <f t="shared" si="128"/>
        <v>9</v>
      </c>
      <c r="C633" s="58">
        <v>18.193571089999999</v>
      </c>
      <c r="D633" s="4">
        <v>0</v>
      </c>
      <c r="E633" s="12">
        <f t="shared" si="117"/>
        <v>0</v>
      </c>
      <c r="F633" s="12">
        <f t="shared" si="118"/>
        <v>0</v>
      </c>
      <c r="G633" s="16">
        <f t="shared" si="120"/>
        <v>1.1893199873906195</v>
      </c>
      <c r="H633" s="14">
        <f t="shared" si="121"/>
        <v>0</v>
      </c>
      <c r="I633" s="14">
        <f t="shared" si="122"/>
        <v>7.917948636987294</v>
      </c>
      <c r="J633" s="14">
        <f t="shared" si="123"/>
        <v>0.15168608222373389</v>
      </c>
      <c r="K633" s="14">
        <f t="shared" si="124"/>
        <v>9.5008866966083075E-3</v>
      </c>
      <c r="L633" s="14">
        <f t="shared" si="125"/>
        <v>664.78734814148493</v>
      </c>
      <c r="M633" s="14">
        <f t="shared" si="119"/>
        <v>0.14092359255700404</v>
      </c>
      <c r="N633" s="14">
        <f t="shared" si="126"/>
        <v>3.6062738789761104</v>
      </c>
      <c r="O633" s="4">
        <v>2.54</v>
      </c>
      <c r="P633" s="14">
        <f t="shared" si="129"/>
        <v>1.136939984986761</v>
      </c>
      <c r="Q633" s="14">
        <f t="shared" si="127"/>
        <v>15.949232289296951</v>
      </c>
    </row>
    <row r="634" spans="1:17" x14ac:dyDescent="0.25">
      <c r="A634" s="5" t="s">
        <v>691</v>
      </c>
      <c r="B634" s="6">
        <f t="shared" si="128"/>
        <v>9</v>
      </c>
      <c r="C634" s="58">
        <v>13.96377277</v>
      </c>
      <c r="D634" s="4">
        <v>0</v>
      </c>
      <c r="E634" s="12">
        <f t="shared" si="117"/>
        <v>0</v>
      </c>
      <c r="F634" s="12">
        <f t="shared" si="118"/>
        <v>0</v>
      </c>
      <c r="G634" s="16">
        <f t="shared" si="120"/>
        <v>1.1617441078720683</v>
      </c>
      <c r="H634" s="14">
        <f t="shared" si="121"/>
        <v>0</v>
      </c>
      <c r="I634" s="14">
        <f t="shared" si="122"/>
        <v>1.6230367167327586</v>
      </c>
      <c r="J634" s="14">
        <f t="shared" si="123"/>
        <v>2.7575879518551279E-2</v>
      </c>
      <c r="K634" s="14">
        <f t="shared" si="124"/>
        <v>9.0272674941880692E-3</v>
      </c>
      <c r="L634" s="14">
        <f t="shared" si="125"/>
        <v>664.64689816813029</v>
      </c>
      <c r="M634" s="14">
        <f t="shared" si="119"/>
        <v>0.14089372005468015</v>
      </c>
      <c r="N634" s="14">
        <f t="shared" si="126"/>
        <v>3.605509433343725</v>
      </c>
      <c r="O634" s="4">
        <v>2.4300000000000002</v>
      </c>
      <c r="P634" s="14">
        <f t="shared" si="129"/>
        <v>1.381822427880085</v>
      </c>
      <c r="Q634" s="14">
        <f t="shared" si="127"/>
        <v>16.839935068032577</v>
      </c>
    </row>
    <row r="635" spans="1:17" x14ac:dyDescent="0.25">
      <c r="A635" s="5" t="s">
        <v>692</v>
      </c>
      <c r="B635" s="6">
        <f t="shared" si="128"/>
        <v>9</v>
      </c>
      <c r="C635" s="58">
        <v>17.48552132</v>
      </c>
      <c r="D635" s="4">
        <v>0.3</v>
      </c>
      <c r="E635" s="12">
        <f t="shared" si="117"/>
        <v>0</v>
      </c>
      <c r="F635" s="12">
        <f t="shared" si="118"/>
        <v>0.3</v>
      </c>
      <c r="G635" s="16">
        <f t="shared" si="120"/>
        <v>1.3343791233088806</v>
      </c>
      <c r="H635" s="14">
        <f t="shared" si="121"/>
        <v>1.3444134780137564E-2</v>
      </c>
      <c r="I635" s="14">
        <f t="shared" si="122"/>
        <v>6.8642078673076474</v>
      </c>
      <c r="J635" s="14">
        <f t="shared" si="123"/>
        <v>0.11392084978305007</v>
      </c>
      <c r="K635" s="14">
        <f t="shared" si="124"/>
        <v>2.2021392989175669E-2</v>
      </c>
      <c r="L635" s="14">
        <f t="shared" si="125"/>
        <v>664.50645445736075</v>
      </c>
      <c r="M635" s="14">
        <f t="shared" si="119"/>
        <v>0.14086669030398619</v>
      </c>
      <c r="N635" s="14">
        <f t="shared" si="126"/>
        <v>3.6048177345152026</v>
      </c>
      <c r="O635" s="4">
        <v>2.4300000000000002</v>
      </c>
      <c r="P635" s="14">
        <f t="shared" si="129"/>
        <v>1.3801967093314327</v>
      </c>
      <c r="Q635" s="14">
        <f t="shared" si="127"/>
        <v>16.839935068032577</v>
      </c>
    </row>
    <row r="636" spans="1:17" x14ac:dyDescent="0.25">
      <c r="A636" s="5" t="s">
        <v>693</v>
      </c>
      <c r="B636" s="6">
        <f t="shared" si="128"/>
        <v>9</v>
      </c>
      <c r="C636" s="58">
        <v>17.89012146</v>
      </c>
      <c r="D636" s="4">
        <v>0</v>
      </c>
      <c r="E636" s="12">
        <f t="shared" si="117"/>
        <v>0</v>
      </c>
      <c r="F636" s="12">
        <f t="shared" si="118"/>
        <v>0</v>
      </c>
      <c r="G636" s="16">
        <f t="shared" si="120"/>
        <v>1.1920513507311019</v>
      </c>
      <c r="H636" s="14">
        <f t="shared" si="121"/>
        <v>0</v>
      </c>
      <c r="I636" s="14">
        <f t="shared" si="122"/>
        <v>7.4663458539298206</v>
      </c>
      <c r="J636" s="14">
        <f t="shared" si="123"/>
        <v>0.14232777257777873</v>
      </c>
      <c r="K636" s="14">
        <f t="shared" si="124"/>
        <v>2.0923626547287744E-2</v>
      </c>
      <c r="L636" s="14">
        <f t="shared" si="125"/>
        <v>664.36668553349864</v>
      </c>
      <c r="M636" s="14">
        <f t="shared" si="119"/>
        <v>0.14083683048794621</v>
      </c>
      <c r="N636" s="14">
        <f t="shared" si="126"/>
        <v>3.6040536135283454</v>
      </c>
      <c r="O636" s="4">
        <v>2.46</v>
      </c>
      <c r="P636" s="14">
        <f t="shared" si="129"/>
        <v>1.3088586706272649</v>
      </c>
      <c r="Q636" s="14">
        <f t="shared" si="127"/>
        <v>16.59461612837741</v>
      </c>
    </row>
    <row r="637" spans="1:17" x14ac:dyDescent="0.25">
      <c r="A637" s="5" t="s">
        <v>694</v>
      </c>
      <c r="B637" s="6">
        <f t="shared" si="128"/>
        <v>9</v>
      </c>
      <c r="C637" s="58">
        <v>17.884487149999998</v>
      </c>
      <c r="D637" s="4">
        <v>0</v>
      </c>
      <c r="E637" s="12">
        <f t="shared" si="117"/>
        <v>0</v>
      </c>
      <c r="F637" s="12">
        <f t="shared" si="118"/>
        <v>0</v>
      </c>
      <c r="G637" s="16">
        <f t="shared" si="120"/>
        <v>1.0650473605531201</v>
      </c>
      <c r="H637" s="14">
        <f t="shared" si="121"/>
        <v>0</v>
      </c>
      <c r="I637" s="14">
        <f t="shared" si="122"/>
        <v>7.4579607058688104</v>
      </c>
      <c r="J637" s="14">
        <f t="shared" si="123"/>
        <v>0.12700399017798178</v>
      </c>
      <c r="K637" s="14">
        <f t="shared" si="124"/>
        <v>1.9880583762596601E-2</v>
      </c>
      <c r="L637" s="14">
        <f t="shared" si="125"/>
        <v>664.22689174579546</v>
      </c>
      <c r="M637" s="14">
        <f t="shared" si="119"/>
        <v>0.14080697694686486</v>
      </c>
      <c r="N637" s="14">
        <f t="shared" si="126"/>
        <v>3.6032896531194241</v>
      </c>
      <c r="O637" s="4">
        <v>2.5499999999999998</v>
      </c>
      <c r="P637" s="14">
        <f t="shared" si="129"/>
        <v>1.1094190933684371</v>
      </c>
      <c r="Q637" s="14">
        <f t="shared" si="127"/>
        <v>15.869459309411894</v>
      </c>
    </row>
    <row r="638" spans="1:17" x14ac:dyDescent="0.25">
      <c r="A638" s="5" t="s">
        <v>695</v>
      </c>
      <c r="B638" s="6">
        <f t="shared" si="128"/>
        <v>9</v>
      </c>
      <c r="C638" s="58">
        <v>17.698219300000002</v>
      </c>
      <c r="D638" s="4">
        <v>0</v>
      </c>
      <c r="E638" s="12">
        <f t="shared" si="117"/>
        <v>0</v>
      </c>
      <c r="F638" s="12">
        <f t="shared" si="118"/>
        <v>0</v>
      </c>
      <c r="G638" s="16">
        <f t="shared" si="120"/>
        <v>0.95579241144398708</v>
      </c>
      <c r="H638" s="14">
        <f t="shared" si="121"/>
        <v>0</v>
      </c>
      <c r="I638" s="14">
        <f t="shared" si="122"/>
        <v>7.1807513401690368</v>
      </c>
      <c r="J638" s="14">
        <f t="shared" si="123"/>
        <v>0.109254949109133</v>
      </c>
      <c r="K638" s="14">
        <f t="shared" si="124"/>
        <v>1.8889536660787559E-2</v>
      </c>
      <c r="L638" s="14">
        <f t="shared" si="125"/>
        <v>664.08707581595036</v>
      </c>
      <c r="M638" s="14">
        <f t="shared" si="119"/>
        <v>0.14077712968213993</v>
      </c>
      <c r="N638" s="14">
        <f t="shared" si="126"/>
        <v>3.6025258533242064</v>
      </c>
      <c r="O638" s="4">
        <v>2.75</v>
      </c>
      <c r="P638" s="14">
        <f t="shared" si="129"/>
        <v>0.72680033058616622</v>
      </c>
      <c r="Q638" s="14">
        <f t="shared" si="127"/>
        <v>14.315999711710745</v>
      </c>
    </row>
    <row r="639" spans="1:17" x14ac:dyDescent="0.25">
      <c r="A639" s="5" t="s">
        <v>696</v>
      </c>
      <c r="B639" s="6">
        <f t="shared" si="128"/>
        <v>9</v>
      </c>
      <c r="C639" s="58">
        <v>17.821949010000001</v>
      </c>
      <c r="D639" s="4">
        <v>0</v>
      </c>
      <c r="E639" s="12">
        <f t="shared" si="117"/>
        <v>0</v>
      </c>
      <c r="F639" s="12">
        <f t="shared" si="118"/>
        <v>0</v>
      </c>
      <c r="G639" s="16">
        <f t="shared" si="120"/>
        <v>0.8552308220400312</v>
      </c>
      <c r="H639" s="14">
        <f t="shared" si="121"/>
        <v>0</v>
      </c>
      <c r="I639" s="14">
        <f t="shared" si="122"/>
        <v>7.3648895821003055</v>
      </c>
      <c r="J639" s="14">
        <f t="shared" si="123"/>
        <v>0.10056158940395583</v>
      </c>
      <c r="K639" s="14">
        <f t="shared" si="124"/>
        <v>1.7947893257065688E-2</v>
      </c>
      <c r="L639" s="14">
        <f t="shared" si="125"/>
        <v>663.94724032967201</v>
      </c>
      <c r="M639" s="14">
        <f t="shared" si="119"/>
        <v>0.14074728869503297</v>
      </c>
      <c r="N639" s="14">
        <f t="shared" si="126"/>
        <v>3.6017622141749754</v>
      </c>
      <c r="O639" s="4">
        <v>2.88</v>
      </c>
      <c r="P639" s="14">
        <f t="shared" si="129"/>
        <v>0.52094069381076324</v>
      </c>
      <c r="Q639" s="14">
        <f t="shared" si="127"/>
        <v>13.349150973205001</v>
      </c>
    </row>
    <row r="640" spans="1:17" x14ac:dyDescent="0.25">
      <c r="A640" s="5" t="s">
        <v>697</v>
      </c>
      <c r="B640" s="6">
        <f t="shared" si="128"/>
        <v>9</v>
      </c>
      <c r="C640" s="58">
        <v>18.228193279999999</v>
      </c>
      <c r="D640" s="4">
        <v>0</v>
      </c>
      <c r="E640" s="12">
        <f t="shared" si="117"/>
        <v>0</v>
      </c>
      <c r="F640" s="12">
        <f t="shared" si="118"/>
        <v>0</v>
      </c>
      <c r="G640" s="16">
        <f t="shared" si="120"/>
        <v>0.75786302694525409</v>
      </c>
      <c r="H640" s="14">
        <f t="shared" si="121"/>
        <v>0</v>
      </c>
      <c r="I640" s="14">
        <f t="shared" si="122"/>
        <v>7.9694744119883874</v>
      </c>
      <c r="J640" s="14">
        <f t="shared" si="123"/>
        <v>9.7367795094777151E-2</v>
      </c>
      <c r="K640" s="14">
        <f t="shared" si="124"/>
        <v>1.7053190777078255E-2</v>
      </c>
      <c r="L640" s="14">
        <f t="shared" si="125"/>
        <v>663.80738774345696</v>
      </c>
      <c r="M640" s="14">
        <f t="shared" si="119"/>
        <v>0.14071745398667596</v>
      </c>
      <c r="N640" s="14">
        <f t="shared" si="126"/>
        <v>3.6009987357007009</v>
      </c>
      <c r="O640" s="4">
        <v>2.68</v>
      </c>
      <c r="P640" s="14">
        <f t="shared" si="129"/>
        <v>0.84823867116228935</v>
      </c>
      <c r="Q640" s="14">
        <f t="shared" si="127"/>
        <v>14.850610570906147</v>
      </c>
    </row>
    <row r="641" spans="1:17" x14ac:dyDescent="0.25">
      <c r="A641" s="5" t="s">
        <v>698</v>
      </c>
      <c r="B641" s="6">
        <f t="shared" si="128"/>
        <v>9</v>
      </c>
      <c r="C641" s="58">
        <v>18.549787519999999</v>
      </c>
      <c r="D641" s="4">
        <v>0</v>
      </c>
      <c r="E641" s="12">
        <f t="shared" si="117"/>
        <v>0</v>
      </c>
      <c r="F641" s="12">
        <f t="shared" si="118"/>
        <v>0</v>
      </c>
      <c r="G641" s="16">
        <f t="shared" si="120"/>
        <v>0.66639884032260333</v>
      </c>
      <c r="H641" s="14">
        <f t="shared" si="121"/>
        <v>0</v>
      </c>
      <c r="I641" s="14">
        <f t="shared" si="122"/>
        <v>8.4480805444106046</v>
      </c>
      <c r="J641" s="14">
        <f t="shared" si="123"/>
        <v>9.1464186622650781E-2</v>
      </c>
      <c r="K641" s="14">
        <f t="shared" si="124"/>
        <v>1.6203089215774166E-2</v>
      </c>
      <c r="L641" s="14">
        <f t="shared" si="125"/>
        <v>663.66752039103164</v>
      </c>
      <c r="M641" s="14">
        <f t="shared" si="119"/>
        <v>0.14068762555807804</v>
      </c>
      <c r="N641" s="14">
        <f t="shared" si="126"/>
        <v>3.6002354179272058</v>
      </c>
      <c r="O641" s="4">
        <v>2.5550000000000002</v>
      </c>
      <c r="P641" s="14">
        <f t="shared" si="129"/>
        <v>1.0925170788894603</v>
      </c>
      <c r="Q641" s="14">
        <f t="shared" si="127"/>
        <v>15.829647819469363</v>
      </c>
    </row>
    <row r="642" spans="1:17" x14ac:dyDescent="0.25">
      <c r="A642" s="5" t="s">
        <v>699</v>
      </c>
      <c r="B642" s="6">
        <f t="shared" si="128"/>
        <v>9</v>
      </c>
      <c r="C642" s="58">
        <v>17.627756120000001</v>
      </c>
      <c r="D642" s="4">
        <v>0</v>
      </c>
      <c r="E642" s="12">
        <f t="shared" si="117"/>
        <v>0</v>
      </c>
      <c r="F642" s="12">
        <f t="shared" si="118"/>
        <v>0</v>
      </c>
      <c r="G642" s="16">
        <f t="shared" si="120"/>
        <v>0.59903646904147301</v>
      </c>
      <c r="H642" s="14">
        <f t="shared" si="121"/>
        <v>0</v>
      </c>
      <c r="I642" s="14">
        <f t="shared" si="122"/>
        <v>7.0758859356830266</v>
      </c>
      <c r="J642" s="14">
        <f t="shared" si="123"/>
        <v>6.7362371281130276E-2</v>
      </c>
      <c r="K642" s="14">
        <f t="shared" si="124"/>
        <v>1.5395365217354261E-2</v>
      </c>
      <c r="L642" s="14">
        <f t="shared" si="125"/>
        <v>663.52764048947188</v>
      </c>
      <c r="M642" s="14">
        <f t="shared" si="119"/>
        <v>0.14065780341013129</v>
      </c>
      <c r="N642" s="14">
        <f t="shared" si="126"/>
        <v>3.5994722608773175</v>
      </c>
      <c r="O642" s="4">
        <v>2.4567000000000001</v>
      </c>
      <c r="P642" s="14">
        <f t="shared" si="129"/>
        <v>1.3059284402306557</v>
      </c>
      <c r="Q642" s="14">
        <f t="shared" si="127"/>
        <v>16.621513101739474</v>
      </c>
    </row>
    <row r="643" spans="1:17" x14ac:dyDescent="0.25">
      <c r="A643" s="5" t="s">
        <v>700</v>
      </c>
      <c r="B643" s="6">
        <f t="shared" si="128"/>
        <v>9</v>
      </c>
      <c r="C643" s="58">
        <v>18.745330809999999</v>
      </c>
      <c r="D643" s="4">
        <v>0</v>
      </c>
      <c r="E643" s="12">
        <f t="shared" si="117"/>
        <v>0</v>
      </c>
      <c r="F643" s="12">
        <f t="shared" si="118"/>
        <v>0</v>
      </c>
      <c r="G643" s="16">
        <f t="shared" si="120"/>
        <v>0.52425018078660879</v>
      </c>
      <c r="H643" s="14">
        <f t="shared" si="121"/>
        <v>0</v>
      </c>
      <c r="I643" s="14">
        <f t="shared" si="122"/>
        <v>8.7390938963537756</v>
      </c>
      <c r="J643" s="14">
        <f t="shared" si="123"/>
        <v>7.4786288254864261E-2</v>
      </c>
      <c r="K643" s="14">
        <f t="shared" si="124"/>
        <v>1.4627906260306115E-2</v>
      </c>
      <c r="L643" s="14">
        <f t="shared" si="125"/>
        <v>663.3877501450188</v>
      </c>
      <c r="M643" s="14">
        <f t="shared" si="119"/>
        <v>0.14062798754361688</v>
      </c>
      <c r="N643" s="14">
        <f t="shared" si="126"/>
        <v>3.5987092645710295</v>
      </c>
      <c r="O643" s="4">
        <v>2.4062999999999999</v>
      </c>
      <c r="P643" s="14">
        <f t="shared" si="129"/>
        <v>1.4218398542348236</v>
      </c>
      <c r="Q643" s="14">
        <f t="shared" si="127"/>
        <v>17.035009720360168</v>
      </c>
    </row>
    <row r="644" spans="1:17" x14ac:dyDescent="0.25">
      <c r="A644" s="5" t="s">
        <v>701</v>
      </c>
      <c r="B644" s="6">
        <f t="shared" si="128"/>
        <v>9</v>
      </c>
      <c r="C644" s="58">
        <v>15.93994045</v>
      </c>
      <c r="D644" s="4">
        <v>0</v>
      </c>
      <c r="E644" s="12">
        <f t="shared" si="117"/>
        <v>0</v>
      </c>
      <c r="F644" s="12">
        <f t="shared" si="118"/>
        <v>0</v>
      </c>
      <c r="G644" s="16">
        <f t="shared" si="120"/>
        <v>0.49006882904706806</v>
      </c>
      <c r="H644" s="14">
        <f t="shared" si="121"/>
        <v>0</v>
      </c>
      <c r="I644" s="14">
        <f t="shared" si="122"/>
        <v>4.5640283537178892</v>
      </c>
      <c r="J644" s="14">
        <f t="shared" si="123"/>
        <v>3.4181351739540726E-2</v>
      </c>
      <c r="K644" s="14">
        <f t="shared" si="124"/>
        <v>1.3898705132314827E-2</v>
      </c>
      <c r="L644" s="14">
        <f t="shared" si="125"/>
        <v>663.24785135860316</v>
      </c>
      <c r="M644" s="14">
        <f t="shared" si="119"/>
        <v>0.14059817795921051</v>
      </c>
      <c r="N644" s="14">
        <f t="shared" si="126"/>
        <v>3.5979464290256296</v>
      </c>
      <c r="O644" s="4">
        <v>2.3050000000000002</v>
      </c>
      <c r="P644" s="14">
        <f t="shared" si="129"/>
        <v>1.6717104683301269</v>
      </c>
      <c r="Q644" s="14">
        <f t="shared" si="127"/>
        <v>17.881472316595794</v>
      </c>
    </row>
    <row r="645" spans="1:17" x14ac:dyDescent="0.25">
      <c r="A645" s="5" t="s">
        <v>702</v>
      </c>
      <c r="B645" s="6">
        <f t="shared" si="128"/>
        <v>9</v>
      </c>
      <c r="C645" s="58">
        <v>18.981643680000001</v>
      </c>
      <c r="D645" s="4">
        <v>0</v>
      </c>
      <c r="E645" s="12">
        <f t="shared" si="117"/>
        <v>0</v>
      </c>
      <c r="F645" s="12">
        <f t="shared" si="118"/>
        <v>0</v>
      </c>
      <c r="G645" s="16">
        <f t="shared" si="120"/>
        <v>0.42642436667288475</v>
      </c>
      <c r="H645" s="14">
        <f t="shared" si="121"/>
        <v>0</v>
      </c>
      <c r="I645" s="14">
        <f t="shared" si="122"/>
        <v>9.0907817523063432</v>
      </c>
      <c r="J645" s="14">
        <f t="shared" si="123"/>
        <v>6.3644462374183294E-2</v>
      </c>
      <c r="K645" s="14">
        <f t="shared" si="124"/>
        <v>1.3205854680599517E-2</v>
      </c>
      <c r="L645" s="14">
        <f t="shared" si="125"/>
        <v>663.10794603109559</v>
      </c>
      <c r="M645" s="14">
        <f t="shared" si="119"/>
        <v>0.14056837465748764</v>
      </c>
      <c r="N645" s="14">
        <f t="shared" si="126"/>
        <v>3.5971837542558469</v>
      </c>
      <c r="O645" s="4">
        <v>2.2204000000000002</v>
      </c>
      <c r="P645" s="14">
        <f t="shared" si="129"/>
        <v>1.8955335059828238</v>
      </c>
      <c r="Q645" s="14">
        <f t="shared" si="127"/>
        <v>18.60411688642338</v>
      </c>
    </row>
    <row r="646" spans="1:17" x14ac:dyDescent="0.25">
      <c r="A646" s="5" t="s">
        <v>703</v>
      </c>
      <c r="B646" s="6">
        <f t="shared" si="128"/>
        <v>9</v>
      </c>
      <c r="C646" s="58">
        <v>19.501031879999999</v>
      </c>
      <c r="D646" s="4">
        <v>0</v>
      </c>
      <c r="E646" s="12">
        <f t="shared" si="117"/>
        <v>0</v>
      </c>
      <c r="F646" s="12">
        <f t="shared" si="118"/>
        <v>0</v>
      </c>
      <c r="G646" s="16">
        <f t="shared" si="120"/>
        <v>0.36633655147840943</v>
      </c>
      <c r="H646" s="14">
        <f t="shared" si="121"/>
        <v>0</v>
      </c>
      <c r="I646" s="14">
        <f t="shared" si="122"/>
        <v>9.8637507508423159</v>
      </c>
      <c r="J646" s="14">
        <f t="shared" si="123"/>
        <v>6.0087815194475307E-2</v>
      </c>
      <c r="K646" s="14">
        <f t="shared" si="124"/>
        <v>1.2547542823945556E-2</v>
      </c>
      <c r="L646" s="14">
        <f t="shared" si="125"/>
        <v>662.96803596829466</v>
      </c>
      <c r="M646" s="14">
        <f t="shared" si="119"/>
        <v>0.14053857763892855</v>
      </c>
      <c r="N646" s="14">
        <f t="shared" si="126"/>
        <v>3.5964212402739699</v>
      </c>
      <c r="O646" s="4">
        <v>2.1825000000000001</v>
      </c>
      <c r="P646" s="14">
        <f t="shared" si="129"/>
        <v>1.9991732736978811</v>
      </c>
      <c r="Q646" s="14">
        <f t="shared" si="127"/>
        <v>18.932497570187753</v>
      </c>
    </row>
    <row r="647" spans="1:17" x14ac:dyDescent="0.25">
      <c r="A647" s="5" t="s">
        <v>704</v>
      </c>
      <c r="B647" s="6">
        <f t="shared" si="128"/>
        <v>9</v>
      </c>
      <c r="C647" s="58">
        <v>19.51444244</v>
      </c>
      <c r="D647" s="4">
        <v>0</v>
      </c>
      <c r="E647" s="12">
        <f t="shared" si="117"/>
        <v>0</v>
      </c>
      <c r="F647" s="12">
        <f t="shared" si="118"/>
        <v>0</v>
      </c>
      <c r="G647" s="16">
        <f t="shared" si="120"/>
        <v>0.3146113128821747</v>
      </c>
      <c r="H647" s="14">
        <f t="shared" si="121"/>
        <v>0</v>
      </c>
      <c r="I647" s="14">
        <f t="shared" si="122"/>
        <v>9.8837087459084483</v>
      </c>
      <c r="J647" s="14">
        <f t="shared" si="123"/>
        <v>5.1725238596234742E-2</v>
      </c>
      <c r="K647" s="14">
        <f t="shared" si="124"/>
        <v>1.1922047813386976E-2</v>
      </c>
      <c r="L647" s="14">
        <f t="shared" si="125"/>
        <v>662.82812288566629</v>
      </c>
      <c r="M647" s="14">
        <f t="shared" si="119"/>
        <v>0.14050878690392307</v>
      </c>
      <c r="N647" s="14">
        <f t="shared" si="126"/>
        <v>3.5956588870899759</v>
      </c>
      <c r="O647" s="4">
        <v>2.2149999999999999</v>
      </c>
      <c r="P647" s="14">
        <f t="shared" si="129"/>
        <v>1.9062189625005312</v>
      </c>
      <c r="Q647" s="14">
        <f t="shared" si="127"/>
        <v>18.650729135561317</v>
      </c>
    </row>
    <row r="648" spans="1:17" x14ac:dyDescent="0.25">
      <c r="A648" s="5" t="s">
        <v>705</v>
      </c>
      <c r="B648" s="6">
        <f t="shared" si="128"/>
        <v>9</v>
      </c>
      <c r="C648" s="58">
        <v>19.820653920000002</v>
      </c>
      <c r="D648" s="4">
        <v>0</v>
      </c>
      <c r="E648" s="12">
        <f t="shared" si="117"/>
        <v>0</v>
      </c>
      <c r="F648" s="12">
        <f t="shared" si="118"/>
        <v>0</v>
      </c>
      <c r="G648" s="16">
        <f t="shared" si="120"/>
        <v>0.26814128870078241</v>
      </c>
      <c r="H648" s="14">
        <f t="shared" si="121"/>
        <v>0</v>
      </c>
      <c r="I648" s="14">
        <f t="shared" si="122"/>
        <v>10.339421796447178</v>
      </c>
      <c r="J648" s="14">
        <f t="shared" si="123"/>
        <v>4.6470024181392289E-2</v>
      </c>
      <c r="K648" s="14">
        <f t="shared" si="124"/>
        <v>1.1327733729143868E-2</v>
      </c>
      <c r="L648" s="14">
        <f t="shared" si="125"/>
        <v>662.68820841284662</v>
      </c>
      <c r="M648" s="14">
        <f t="shared" si="119"/>
        <v>0.1404790024527752</v>
      </c>
      <c r="N648" s="14">
        <f t="shared" si="126"/>
        <v>3.5948966947116432</v>
      </c>
      <c r="O648" s="4">
        <v>2.2528999999999999</v>
      </c>
      <c r="P648" s="14">
        <f t="shared" si="129"/>
        <v>1.8009551286169756</v>
      </c>
      <c r="Q648" s="14">
        <f t="shared" si="127"/>
        <v>18.324811951796953</v>
      </c>
    </row>
    <row r="649" spans="1:17" x14ac:dyDescent="0.25">
      <c r="A649" s="5" t="s">
        <v>706</v>
      </c>
      <c r="B649" s="6">
        <f t="shared" si="128"/>
        <v>9</v>
      </c>
      <c r="C649" s="58">
        <v>17.68715096</v>
      </c>
      <c r="D649" s="4">
        <v>0</v>
      </c>
      <c r="E649" s="12">
        <f t="shared" si="117"/>
        <v>0</v>
      </c>
      <c r="F649" s="12">
        <f t="shared" si="118"/>
        <v>0</v>
      </c>
      <c r="G649" s="16">
        <f t="shared" si="120"/>
        <v>0.24069785179194611</v>
      </c>
      <c r="H649" s="14">
        <f t="shared" si="121"/>
        <v>0</v>
      </c>
      <c r="I649" s="14">
        <f t="shared" si="122"/>
        <v>7.16427910671195</v>
      </c>
      <c r="J649" s="14">
        <f t="shared" si="123"/>
        <v>2.7443436908836293E-2</v>
      </c>
      <c r="K649" s="14">
        <f t="shared" si="124"/>
        <v>1.0763046202037455E-2</v>
      </c>
      <c r="L649" s="14">
        <f t="shared" si="125"/>
        <v>662.54829409792092</v>
      </c>
      <c r="M649" s="14">
        <f t="shared" si="119"/>
        <v>0.14044922428570716</v>
      </c>
      <c r="N649" s="14">
        <f t="shared" si="126"/>
        <v>3.5941346631446587</v>
      </c>
      <c r="O649" s="4">
        <v>2.1341999999999999</v>
      </c>
      <c r="P649" s="14">
        <f t="shared" si="129"/>
        <v>2.1314092206513084</v>
      </c>
      <c r="Q649" s="14">
        <f t="shared" si="127"/>
        <v>19.35515145303258</v>
      </c>
    </row>
    <row r="650" spans="1:17" x14ac:dyDescent="0.25">
      <c r="A650" s="5" t="s">
        <v>707</v>
      </c>
      <c r="B650" s="6">
        <f t="shared" si="128"/>
        <v>9</v>
      </c>
      <c r="C650" s="58">
        <v>16.89139557</v>
      </c>
      <c r="D650" s="4">
        <v>1.1000000000000001</v>
      </c>
      <c r="E650" s="12">
        <f t="shared" si="117"/>
        <v>0</v>
      </c>
      <c r="F650" s="12">
        <f t="shared" si="118"/>
        <v>1.1000000000000001</v>
      </c>
      <c r="G650" s="16">
        <f t="shared" si="120"/>
        <v>1.2987853759582837</v>
      </c>
      <c r="H650" s="14">
        <f t="shared" si="121"/>
        <v>2.134994358679547E-2</v>
      </c>
      <c r="I650" s="14">
        <f t="shared" si="122"/>
        <v>5.9800122194628669</v>
      </c>
      <c r="J650" s="14">
        <f t="shared" si="123"/>
        <v>2.0562532246867073E-2</v>
      </c>
      <c r="K650" s="14">
        <f t="shared" si="124"/>
        <v>3.1576451934988085E-2</v>
      </c>
      <c r="L650" s="14">
        <f t="shared" si="125"/>
        <v>662.40838141148902</v>
      </c>
      <c r="M650" s="14">
        <f t="shared" si="119"/>
        <v>0.14042395681286987</v>
      </c>
      <c r="N650" s="14">
        <f t="shared" si="126"/>
        <v>3.5934880614960099</v>
      </c>
      <c r="O650" s="4">
        <v>2.1229</v>
      </c>
      <c r="P650" s="14">
        <f t="shared" si="129"/>
        <v>2.1626292466145922</v>
      </c>
      <c r="Q650" s="14">
        <f t="shared" si="127"/>
        <v>19.45470669030269</v>
      </c>
    </row>
    <row r="651" spans="1:17" x14ac:dyDescent="0.25">
      <c r="A651" s="5" t="s">
        <v>708</v>
      </c>
      <c r="B651" s="6">
        <f t="shared" si="128"/>
        <v>9</v>
      </c>
      <c r="C651" s="58">
        <v>19.07974815</v>
      </c>
      <c r="D651" s="4">
        <v>0</v>
      </c>
      <c r="E651" s="12">
        <f t="shared" si="117"/>
        <v>0</v>
      </c>
      <c r="F651" s="12">
        <f t="shared" si="118"/>
        <v>0</v>
      </c>
      <c r="G651" s="16">
        <f t="shared" si="120"/>
        <v>1.127405242513982</v>
      </c>
      <c r="H651" s="14">
        <f t="shared" si="121"/>
        <v>0</v>
      </c>
      <c r="I651" s="14">
        <f t="shared" si="122"/>
        <v>9.2367837483620914</v>
      </c>
      <c r="J651" s="14">
        <f t="shared" si="123"/>
        <v>0.17138013344430172</v>
      </c>
      <c r="K651" s="14">
        <f t="shared" si="124"/>
        <v>3.0002365804053709E-2</v>
      </c>
      <c r="L651" s="14">
        <f t="shared" si="125"/>
        <v>662.26953154080707</v>
      </c>
      <c r="M651" s="14">
        <f t="shared" si="119"/>
        <v>0.14039419132377237</v>
      </c>
      <c r="N651" s="14">
        <f t="shared" si="126"/>
        <v>3.5927263543618144</v>
      </c>
      <c r="O651" s="4">
        <v>2.1175000000000002</v>
      </c>
      <c r="P651" s="14">
        <f t="shared" si="129"/>
        <v>2.1762927966036494</v>
      </c>
      <c r="Q651" s="14">
        <f t="shared" si="127"/>
        <v>19.502371939440618</v>
      </c>
    </row>
    <row r="652" spans="1:17" x14ac:dyDescent="0.25">
      <c r="A652" s="5" t="s">
        <v>709</v>
      </c>
      <c r="B652" s="6">
        <f t="shared" si="128"/>
        <v>9</v>
      </c>
      <c r="C652" s="58">
        <v>19.322368619999999</v>
      </c>
      <c r="D652" s="4">
        <v>0</v>
      </c>
      <c r="E652" s="12">
        <f t="shared" si="117"/>
        <v>0</v>
      </c>
      <c r="F652" s="12">
        <f t="shared" si="118"/>
        <v>0</v>
      </c>
      <c r="G652" s="16">
        <f t="shared" si="120"/>
        <v>0.97282402788383882</v>
      </c>
      <c r="H652" s="14">
        <f t="shared" si="121"/>
        <v>0</v>
      </c>
      <c r="I652" s="14">
        <f t="shared" si="122"/>
        <v>9.597858762619687</v>
      </c>
      <c r="J652" s="14">
        <f t="shared" si="123"/>
        <v>0.15458121463014318</v>
      </c>
      <c r="K652" s="14">
        <f t="shared" si="124"/>
        <v>2.8506747866844873E-2</v>
      </c>
      <c r="L652" s="14">
        <f t="shared" si="125"/>
        <v>662.13063296742052</v>
      </c>
      <c r="M652" s="14">
        <f t="shared" si="119"/>
        <v>0.14036443206589355</v>
      </c>
      <c r="N652" s="14">
        <f t="shared" si="126"/>
        <v>3.5919648066862342</v>
      </c>
      <c r="O652" s="4">
        <v>2.0316999999999998</v>
      </c>
      <c r="P652" s="14">
        <f t="shared" si="129"/>
        <v>2.4344262669836323</v>
      </c>
      <c r="Q652" s="14">
        <f t="shared" si="127"/>
        <v>20.267544746854419</v>
      </c>
    </row>
    <row r="653" spans="1:17" x14ac:dyDescent="0.25">
      <c r="A653" s="5" t="s">
        <v>710</v>
      </c>
      <c r="B653" s="6">
        <f t="shared" si="128"/>
        <v>10</v>
      </c>
      <c r="C653" s="58">
        <v>16.105766299999999</v>
      </c>
      <c r="D653" s="4">
        <v>0</v>
      </c>
      <c r="E653" s="12">
        <f t="shared" si="117"/>
        <v>0</v>
      </c>
      <c r="F653" s="12">
        <f t="shared" si="118"/>
        <v>0</v>
      </c>
      <c r="G653" s="16">
        <f t="shared" si="120"/>
        <v>0.90344069621919976</v>
      </c>
      <c r="H653" s="14">
        <f t="shared" si="121"/>
        <v>0</v>
      </c>
      <c r="I653" s="14">
        <f t="shared" si="122"/>
        <v>4.9925054842273555</v>
      </c>
      <c r="J653" s="14">
        <f t="shared" si="123"/>
        <v>6.9383331664639072E-2</v>
      </c>
      <c r="K653" s="14">
        <f t="shared" si="124"/>
        <v>2.7085686483899453E-2</v>
      </c>
      <c r="L653" s="14">
        <f t="shared" si="125"/>
        <v>661.9916895967375</v>
      </c>
      <c r="M653" s="14">
        <f t="shared" si="119"/>
        <v>0.14033467904182415</v>
      </c>
      <c r="N653" s="14">
        <f t="shared" si="126"/>
        <v>3.5912034185355695</v>
      </c>
      <c r="O653" s="4">
        <v>2.0741999999999998</v>
      </c>
      <c r="P653" s="14">
        <f t="shared" si="129"/>
        <v>2.3012993718486046</v>
      </c>
      <c r="Q653" s="14">
        <f t="shared" si="127"/>
        <v>19.886685332342921</v>
      </c>
    </row>
    <row r="654" spans="1:17" x14ac:dyDescent="0.25">
      <c r="A654" s="5" t="s">
        <v>711</v>
      </c>
      <c r="B654" s="6">
        <f t="shared" si="128"/>
        <v>10</v>
      </c>
      <c r="C654" s="58">
        <v>17.131671910000001</v>
      </c>
      <c r="D654" s="4">
        <v>0</v>
      </c>
      <c r="E654" s="12">
        <f t="shared" si="117"/>
        <v>0</v>
      </c>
      <c r="F654" s="12">
        <f t="shared" si="118"/>
        <v>0</v>
      </c>
      <c r="G654" s="16">
        <f t="shared" si="120"/>
        <v>0.82033943277660581</v>
      </c>
      <c r="H654" s="14">
        <f t="shared" si="121"/>
        <v>0</v>
      </c>
      <c r="I654" s="14">
        <f t="shared" si="122"/>
        <v>6.4388108347859569</v>
      </c>
      <c r="J654" s="14">
        <f t="shared" si="123"/>
        <v>8.3101263442593928E-2</v>
      </c>
      <c r="K654" s="14">
        <f t="shared" si="124"/>
        <v>2.5735465010982755E-2</v>
      </c>
      <c r="L654" s="14">
        <f t="shared" si="125"/>
        <v>661.85270513916862</v>
      </c>
      <c r="M654" s="14">
        <f t="shared" si="119"/>
        <v>0.14030493225395932</v>
      </c>
      <c r="N654" s="14">
        <f t="shared" si="126"/>
        <v>3.5904421899711116</v>
      </c>
      <c r="O654" s="4">
        <v>2.0283000000000002</v>
      </c>
      <c r="P654" s="14">
        <f t="shared" si="129"/>
        <v>2.44028822168774</v>
      </c>
      <c r="Q654" s="14">
        <f t="shared" si="127"/>
        <v>20.298169560015332</v>
      </c>
    </row>
    <row r="655" spans="1:17" x14ac:dyDescent="0.25">
      <c r="A655" s="5" t="s">
        <v>712</v>
      </c>
      <c r="B655" s="6">
        <f t="shared" si="128"/>
        <v>10</v>
      </c>
      <c r="C655" s="58">
        <v>19.22085762</v>
      </c>
      <c r="D655" s="4">
        <v>0</v>
      </c>
      <c r="E655" s="12">
        <f t="shared" si="117"/>
        <v>0</v>
      </c>
      <c r="F655" s="12">
        <f t="shared" si="118"/>
        <v>0</v>
      </c>
      <c r="G655" s="16">
        <f t="shared" si="120"/>
        <v>0.71036567680883111</v>
      </c>
      <c r="H655" s="14">
        <f t="shared" si="121"/>
        <v>0</v>
      </c>
      <c r="I655" s="14">
        <f t="shared" si="122"/>
        <v>9.3841114952273799</v>
      </c>
      <c r="J655" s="14">
        <f t="shared" si="123"/>
        <v>0.10997375596777473</v>
      </c>
      <c r="K655" s="14">
        <f t="shared" si="124"/>
        <v>2.4452552078575419E-2</v>
      </c>
      <c r="L655" s="14">
        <f t="shared" si="125"/>
        <v>661.71368311984702</v>
      </c>
      <c r="M655" s="14">
        <f t="shared" si="119"/>
        <v>0.14027519170450856</v>
      </c>
      <c r="N655" s="14">
        <f t="shared" si="126"/>
        <v>3.5896811210494035</v>
      </c>
      <c r="O655" s="4">
        <v>2.08</v>
      </c>
      <c r="P655" s="14">
        <f t="shared" si="129"/>
        <v>2.2791370872529835</v>
      </c>
      <c r="Q655" s="14">
        <f t="shared" si="127"/>
        <v>19.834989364009591</v>
      </c>
    </row>
    <row r="656" spans="1:17" x14ac:dyDescent="0.25">
      <c r="A656" s="5" t="s">
        <v>713</v>
      </c>
      <c r="B656" s="6">
        <f t="shared" si="128"/>
        <v>10</v>
      </c>
      <c r="C656" s="58">
        <v>18.740940089999999</v>
      </c>
      <c r="D656" s="4">
        <v>0</v>
      </c>
      <c r="E656" s="12">
        <f t="shared" si="117"/>
        <v>0</v>
      </c>
      <c r="F656" s="12">
        <f t="shared" si="118"/>
        <v>0</v>
      </c>
      <c r="G656" s="16">
        <f t="shared" si="120"/>
        <v>0.62200087040993834</v>
      </c>
      <c r="H656" s="14">
        <f t="shared" si="121"/>
        <v>0</v>
      </c>
      <c r="I656" s="14">
        <f t="shared" si="122"/>
        <v>8.7075314232401837</v>
      </c>
      <c r="J656" s="14">
        <f t="shared" si="123"/>
        <v>8.8364806398892784E-2</v>
      </c>
      <c r="K656" s="14">
        <f t="shared" si="124"/>
        <v>2.3233592355928839E-2</v>
      </c>
      <c r="L656" s="14">
        <f t="shared" si="125"/>
        <v>661.57462688786518</v>
      </c>
      <c r="M656" s="14">
        <f t="shared" si="119"/>
        <v>0.1402454573955047</v>
      </c>
      <c r="N656" s="14">
        <f t="shared" si="126"/>
        <v>3.5889202118224643</v>
      </c>
      <c r="O656" s="4">
        <v>2.0746000000000002</v>
      </c>
      <c r="P656" s="14">
        <f t="shared" si="129"/>
        <v>2.2931657039340325</v>
      </c>
      <c r="Q656" s="14">
        <f t="shared" si="127"/>
        <v>19.883117933147521</v>
      </c>
    </row>
    <row r="657" spans="1:17" x14ac:dyDescent="0.25">
      <c r="A657" s="5" t="s">
        <v>714</v>
      </c>
      <c r="B657" s="6">
        <f t="shared" si="128"/>
        <v>10</v>
      </c>
      <c r="C657" s="58">
        <v>18.206621169999998</v>
      </c>
      <c r="D657" s="4">
        <v>8.4</v>
      </c>
      <c r="E657" s="12">
        <f t="shared" si="117"/>
        <v>0</v>
      </c>
      <c r="F657" s="12">
        <f t="shared" si="118"/>
        <v>8.4</v>
      </c>
      <c r="G657" s="16">
        <f t="shared" si="120"/>
        <v>8.6812596178116834</v>
      </c>
      <c r="H657" s="14">
        <f t="shared" si="121"/>
        <v>0.27006184031220171</v>
      </c>
      <c r="I657" s="14">
        <f t="shared" si="122"/>
        <v>7.954257140140502</v>
      </c>
      <c r="J657" s="14">
        <f t="shared" si="123"/>
        <v>7.0679412286052942E-2</v>
      </c>
      <c r="K657" s="14">
        <f t="shared" si="124"/>
        <v>0.29213723808773412</v>
      </c>
      <c r="L657" s="14">
        <f t="shared" si="125"/>
        <v>661.43553962505007</v>
      </c>
      <c r="M657" s="14">
        <f t="shared" si="119"/>
        <v>0.14027270696207059</v>
      </c>
      <c r="N657" s="14">
        <f t="shared" si="126"/>
        <v>3.5896175358002096</v>
      </c>
      <c r="O657" s="4">
        <v>2.2563</v>
      </c>
      <c r="P657" s="14">
        <f t="shared" si="129"/>
        <v>1.7777356512723432</v>
      </c>
      <c r="Q657" s="14">
        <f t="shared" si="127"/>
        <v>18.295714418636024</v>
      </c>
    </row>
    <row r="658" spans="1:17" x14ac:dyDescent="0.25">
      <c r="A658" s="5" t="s">
        <v>715</v>
      </c>
      <c r="B658" s="6">
        <f t="shared" si="128"/>
        <v>10</v>
      </c>
      <c r="C658" s="58">
        <v>17.585889819999998</v>
      </c>
      <c r="D658" s="4">
        <v>0</v>
      </c>
      <c r="E658" s="12">
        <f t="shared" si="117"/>
        <v>0</v>
      </c>
      <c r="F658" s="12">
        <f t="shared" si="118"/>
        <v>0</v>
      </c>
      <c r="G658" s="16">
        <f t="shared" si="120"/>
        <v>7.8033156834952262</v>
      </c>
      <c r="H658" s="14">
        <f t="shared" si="121"/>
        <v>0</v>
      </c>
      <c r="I658" s="14">
        <f t="shared" si="122"/>
        <v>7.0791599927874795</v>
      </c>
      <c r="J658" s="14">
        <f t="shared" si="123"/>
        <v>0.87794393431645745</v>
      </c>
      <c r="K658" s="14">
        <f t="shared" si="124"/>
        <v>0.27757419675078632</v>
      </c>
      <c r="L658" s="14">
        <f t="shared" si="125"/>
        <v>661.30982995942497</v>
      </c>
      <c r="M658" s="14">
        <f t="shared" si="119"/>
        <v>0.14024298652386394</v>
      </c>
      <c r="N658" s="14">
        <f t="shared" si="126"/>
        <v>3.5888569815308236</v>
      </c>
      <c r="O658" s="4">
        <v>2.5278999999999998</v>
      </c>
      <c r="P658" s="14">
        <f t="shared" si="129"/>
        <v>1.1256297166589966</v>
      </c>
      <c r="Q658" s="14">
        <f t="shared" si="127"/>
        <v>16.046025004957873</v>
      </c>
    </row>
    <row r="659" spans="1:17" x14ac:dyDescent="0.25">
      <c r="A659" s="5" t="s">
        <v>716</v>
      </c>
      <c r="B659" s="6">
        <f t="shared" si="128"/>
        <v>10</v>
      </c>
      <c r="C659" s="58">
        <v>19.465499879999999</v>
      </c>
      <c r="D659" s="4">
        <v>0</v>
      </c>
      <c r="E659" s="12">
        <f t="shared" si="117"/>
        <v>0</v>
      </c>
      <c r="F659" s="12">
        <f t="shared" si="118"/>
        <v>0</v>
      </c>
      <c r="G659" s="16">
        <f t="shared" si="120"/>
        <v>6.7187649300843812</v>
      </c>
      <c r="H659" s="14">
        <f t="shared" si="121"/>
        <v>0</v>
      </c>
      <c r="I659" s="14">
        <f t="shared" si="122"/>
        <v>9.7290042477007255</v>
      </c>
      <c r="J659" s="14">
        <f t="shared" si="123"/>
        <v>1.0845507534108447</v>
      </c>
      <c r="K659" s="14">
        <f t="shared" si="124"/>
        <v>0.26373712302539631</v>
      </c>
      <c r="L659" s="14">
        <f t="shared" si="125"/>
        <v>661.18342404662656</v>
      </c>
      <c r="M659" s="14">
        <f t="shared" si="119"/>
        <v>0.14021327165982669</v>
      </c>
      <c r="N659" s="14">
        <f t="shared" si="126"/>
        <v>3.5880965699059817</v>
      </c>
      <c r="O659" s="4">
        <v>2.7250000000000001</v>
      </c>
      <c r="P659" s="14">
        <f t="shared" si="129"/>
        <v>0.74493568898347096</v>
      </c>
      <c r="Q659" s="14">
        <f t="shared" si="127"/>
        <v>14.505807161423389</v>
      </c>
    </row>
    <row r="660" spans="1:17" x14ac:dyDescent="0.25">
      <c r="A660" s="5" t="s">
        <v>717</v>
      </c>
      <c r="B660" s="6">
        <f t="shared" si="128"/>
        <v>10</v>
      </c>
      <c r="C660" s="58">
        <v>18.17516518</v>
      </c>
      <c r="D660" s="4">
        <v>0.7</v>
      </c>
      <c r="E660" s="12">
        <f t="shared" si="117"/>
        <v>0</v>
      </c>
      <c r="F660" s="12">
        <f t="shared" si="118"/>
        <v>0.7</v>
      </c>
      <c r="G660" s="16">
        <f t="shared" si="120"/>
        <v>6.579813977695669</v>
      </c>
      <c r="H660" s="14">
        <f t="shared" si="121"/>
        <v>7.9738445805701719E-2</v>
      </c>
      <c r="I660" s="14">
        <f t="shared" si="122"/>
        <v>7.9099109876283666</v>
      </c>
      <c r="J660" s="14">
        <f t="shared" si="123"/>
        <v>0.75921250658301065</v>
      </c>
      <c r="K660" s="14">
        <f t="shared" si="124"/>
        <v>0.33032827323178432</v>
      </c>
      <c r="L660" s="14">
        <f t="shared" si="125"/>
        <v>661.05635807056603</v>
      </c>
      <c r="M660" s="14">
        <f t="shared" si="119"/>
        <v>0.14020038561818471</v>
      </c>
      <c r="N660" s="14">
        <f t="shared" si="126"/>
        <v>3.5877668125209068</v>
      </c>
      <c r="O660" s="4">
        <v>2.6821000000000002</v>
      </c>
      <c r="P660" s="14">
        <f t="shared" si="129"/>
        <v>0.82023237530177906</v>
      </c>
      <c r="Q660" s="14">
        <f t="shared" si="127"/>
        <v>14.834429655130284</v>
      </c>
    </row>
    <row r="661" spans="1:17" x14ac:dyDescent="0.25">
      <c r="A661" s="5" t="s">
        <v>718</v>
      </c>
      <c r="B661" s="6">
        <f t="shared" si="128"/>
        <v>10</v>
      </c>
      <c r="C661" s="58">
        <v>18.68981552</v>
      </c>
      <c r="D661" s="4">
        <v>0</v>
      </c>
      <c r="E661" s="12">
        <f t="shared" si="117"/>
        <v>0</v>
      </c>
      <c r="F661" s="12">
        <f t="shared" si="118"/>
        <v>0</v>
      </c>
      <c r="G661" s="16">
        <f t="shared" si="120"/>
        <v>5.7681033294531359</v>
      </c>
      <c r="H661" s="14">
        <f t="shared" si="121"/>
        <v>0</v>
      </c>
      <c r="I661" s="14">
        <f t="shared" si="122"/>
        <v>8.6354568206497895</v>
      </c>
      <c r="J661" s="14">
        <f t="shared" si="123"/>
        <v>0.81171064824253325</v>
      </c>
      <c r="K661" s="14">
        <f t="shared" si="124"/>
        <v>0.31386140879051666</v>
      </c>
      <c r="L661" s="14">
        <f t="shared" si="125"/>
        <v>660.93262454938917</v>
      </c>
      <c r="M661" s="14">
        <f t="shared" si="119"/>
        <v>0.14017068241447597</v>
      </c>
      <c r="N661" s="14">
        <f t="shared" si="126"/>
        <v>3.587006699287111</v>
      </c>
      <c r="O661" s="4">
        <v>2.6166999999999998</v>
      </c>
      <c r="P661" s="14">
        <f t="shared" si="129"/>
        <v>0.94149509068144843</v>
      </c>
      <c r="Q661" s="14">
        <f t="shared" si="127"/>
        <v>15.342489423578563</v>
      </c>
    </row>
    <row r="662" spans="1:17" x14ac:dyDescent="0.25">
      <c r="A662" s="5" t="s">
        <v>719</v>
      </c>
      <c r="B662" s="6">
        <f t="shared" si="128"/>
        <v>10</v>
      </c>
      <c r="C662" s="58">
        <v>18.91903877</v>
      </c>
      <c r="D662" s="4">
        <v>0</v>
      </c>
      <c r="E662" s="12">
        <f t="shared" si="117"/>
        <v>0</v>
      </c>
      <c r="F662" s="12">
        <f t="shared" si="118"/>
        <v>0</v>
      </c>
      <c r="G662" s="16">
        <f t="shared" si="120"/>
        <v>5.0298998722405086</v>
      </c>
      <c r="H662" s="14">
        <f t="shared" si="121"/>
        <v>0</v>
      </c>
      <c r="I662" s="14">
        <f t="shared" si="122"/>
        <v>8.9586120989871709</v>
      </c>
      <c r="J662" s="14">
        <f t="shared" si="123"/>
        <v>0.73820345721262759</v>
      </c>
      <c r="K662" s="14">
        <f t="shared" si="124"/>
        <v>0.29821541754267622</v>
      </c>
      <c r="L662" s="14">
        <f t="shared" si="125"/>
        <v>660.80809985822259</v>
      </c>
      <c r="M662" s="14">
        <f t="shared" si="119"/>
        <v>0.14014098468637762</v>
      </c>
      <c r="N662" s="14">
        <f t="shared" si="126"/>
        <v>3.5862467261757054</v>
      </c>
      <c r="O662" s="4">
        <v>2.3746</v>
      </c>
      <c r="P662" s="14">
        <f t="shared" si="129"/>
        <v>1.4680877890523047</v>
      </c>
      <c r="Q662" s="14">
        <f t="shared" si="127"/>
        <v>17.2976885365958</v>
      </c>
    </row>
    <row r="663" spans="1:17" x14ac:dyDescent="0.25">
      <c r="A663" s="5" t="s">
        <v>720</v>
      </c>
      <c r="B663" s="6">
        <f t="shared" si="128"/>
        <v>10</v>
      </c>
      <c r="C663" s="58">
        <v>18.330406190000001</v>
      </c>
      <c r="D663" s="4">
        <v>0</v>
      </c>
      <c r="E663" s="12">
        <f t="shared" si="117"/>
        <v>0</v>
      </c>
      <c r="F663" s="12">
        <f t="shared" si="118"/>
        <v>0</v>
      </c>
      <c r="G663" s="16">
        <f t="shared" si="120"/>
        <v>4.4458010358534468</v>
      </c>
      <c r="H663" s="14">
        <f t="shared" si="121"/>
        <v>0</v>
      </c>
      <c r="I663" s="14">
        <f t="shared" si="122"/>
        <v>8.1287672851284096</v>
      </c>
      <c r="J663" s="14">
        <f t="shared" si="123"/>
        <v>0.58409883638706206</v>
      </c>
      <c r="K663" s="14">
        <f t="shared" si="124"/>
        <v>0.28334937895951934</v>
      </c>
      <c r="L663" s="14">
        <f t="shared" si="125"/>
        <v>660.68282491211937</v>
      </c>
      <c r="M663" s="14">
        <f t="shared" si="119"/>
        <v>0.14011129247364951</v>
      </c>
      <c r="N663" s="14">
        <f t="shared" si="126"/>
        <v>3.5854868942041556</v>
      </c>
      <c r="O663" s="4">
        <v>2.3746</v>
      </c>
      <c r="P663" s="14">
        <f t="shared" si="129"/>
        <v>1.4662470705553856</v>
      </c>
      <c r="Q663" s="14">
        <f t="shared" si="127"/>
        <v>17.2976885365958</v>
      </c>
    </row>
    <row r="664" spans="1:17" x14ac:dyDescent="0.25">
      <c r="A664" s="5" t="s">
        <v>721</v>
      </c>
      <c r="B664" s="6">
        <f t="shared" si="128"/>
        <v>10</v>
      </c>
      <c r="C664" s="58">
        <v>18.947612759999998</v>
      </c>
      <c r="D664" s="4">
        <v>0</v>
      </c>
      <c r="E664" s="12">
        <f t="shared" si="117"/>
        <v>0</v>
      </c>
      <c r="F664" s="12">
        <f t="shared" si="118"/>
        <v>0</v>
      </c>
      <c r="G664" s="16">
        <f t="shared" si="120"/>
        <v>3.8742677480075352</v>
      </c>
      <c r="H664" s="14">
        <f t="shared" si="121"/>
        <v>0</v>
      </c>
      <c r="I664" s="14">
        <f t="shared" si="122"/>
        <v>8.9988952539099767</v>
      </c>
      <c r="J664" s="14">
        <f t="shared" si="123"/>
        <v>0.57153328784591162</v>
      </c>
      <c r="K664" s="14">
        <f t="shared" si="124"/>
        <v>0.2692244124006628</v>
      </c>
      <c r="L664" s="14">
        <f t="shared" si="125"/>
        <v>660.55683858620466</v>
      </c>
      <c r="M664" s="14">
        <f t="shared" si="119"/>
        <v>0.14008160581400309</v>
      </c>
      <c r="N664" s="14">
        <f t="shared" si="126"/>
        <v>3.58472720433751</v>
      </c>
      <c r="O664" s="4">
        <v>2.1446000000000001</v>
      </c>
      <c r="P664" s="14">
        <f t="shared" si="129"/>
        <v>2.0739663646729722</v>
      </c>
      <c r="Q664" s="14">
        <f t="shared" si="127"/>
        <v>19.263751073952122</v>
      </c>
    </row>
    <row r="665" spans="1:17" x14ac:dyDescent="0.25">
      <c r="A665" s="5" t="s">
        <v>722</v>
      </c>
      <c r="B665" s="6">
        <f t="shared" si="128"/>
        <v>10</v>
      </c>
      <c r="C665" s="58">
        <v>17.684600830000001</v>
      </c>
      <c r="D665" s="4">
        <v>0</v>
      </c>
      <c r="E665" s="12">
        <f t="shared" si="117"/>
        <v>0</v>
      </c>
      <c r="F665" s="12">
        <f t="shared" si="118"/>
        <v>0</v>
      </c>
      <c r="G665" s="16">
        <f t="shared" si="120"/>
        <v>3.4747572965951612</v>
      </c>
      <c r="H665" s="14">
        <f t="shared" si="121"/>
        <v>0</v>
      </c>
      <c r="I665" s="14">
        <f t="shared" si="122"/>
        <v>7.2183211987799556</v>
      </c>
      <c r="J665" s="14">
        <f t="shared" si="123"/>
        <v>0.39951045141237418</v>
      </c>
      <c r="K665" s="14">
        <f t="shared" si="124"/>
        <v>0.2558035754256488</v>
      </c>
      <c r="L665" s="14">
        <f t="shared" si="125"/>
        <v>660.43017781736569</v>
      </c>
      <c r="M665" s="14">
        <f t="shared" si="119"/>
        <v>0.14005192474320369</v>
      </c>
      <c r="N665" s="14">
        <f t="shared" si="126"/>
        <v>3.5839676574910113</v>
      </c>
      <c r="O665" s="4">
        <v>1.8232999999999999</v>
      </c>
      <c r="P665" s="14">
        <f t="shared" si="129"/>
        <v>3.0999506001348855</v>
      </c>
      <c r="Q665" s="14">
        <f t="shared" si="127"/>
        <v>22.187387647659015</v>
      </c>
    </row>
    <row r="666" spans="1:17" x14ac:dyDescent="0.25">
      <c r="A666" s="5" t="s">
        <v>723</v>
      </c>
      <c r="B666" s="6">
        <f t="shared" si="128"/>
        <v>10</v>
      </c>
      <c r="C666" s="58">
        <v>18.101701739999999</v>
      </c>
      <c r="D666" s="4">
        <v>0</v>
      </c>
      <c r="E666" s="12">
        <f t="shared" si="117"/>
        <v>0</v>
      </c>
      <c r="F666" s="12">
        <f t="shared" si="118"/>
        <v>0</v>
      </c>
      <c r="G666" s="16">
        <f t="shared" si="120"/>
        <v>3.0872548594050442</v>
      </c>
      <c r="H666" s="14">
        <f t="shared" si="121"/>
        <v>0</v>
      </c>
      <c r="I666" s="14">
        <f t="shared" si="122"/>
        <v>7.8063434027484648</v>
      </c>
      <c r="J666" s="14">
        <f t="shared" si="123"/>
        <v>0.38750243719011712</v>
      </c>
      <c r="K666" s="14">
        <f t="shared" si="124"/>
        <v>0.24305176717467875</v>
      </c>
      <c r="L666" s="14">
        <f t="shared" si="125"/>
        <v>660.30287770087341</v>
      </c>
      <c r="M666" s="14">
        <f t="shared" si="119"/>
        <v>0.14002224929516741</v>
      </c>
      <c r="N666" s="14">
        <f t="shared" si="126"/>
        <v>3.583208254532583</v>
      </c>
      <c r="O666" s="4">
        <v>1.4282999999999999</v>
      </c>
      <c r="P666" s="14">
        <f t="shared" si="129"/>
        <v>4.6436295854526648</v>
      </c>
      <c r="Q666" s="14">
        <f t="shared" si="127"/>
        <v>26.064588353118779</v>
      </c>
    </row>
    <row r="667" spans="1:17" x14ac:dyDescent="0.25">
      <c r="A667" s="5" t="s">
        <v>724</v>
      </c>
      <c r="B667" s="6">
        <f t="shared" si="128"/>
        <v>10</v>
      </c>
      <c r="C667" s="58">
        <v>17.000574109999999</v>
      </c>
      <c r="D667" s="4">
        <v>0</v>
      </c>
      <c r="E667" s="12">
        <f t="shared" ref="E667:E730" si="130">IF(C667&gt;$C$9,MAX(E666-$C$10*(C667-$C$9),0),E666+D667)</f>
        <v>0</v>
      </c>
      <c r="F667" s="12">
        <f t="shared" ref="F667:F730" si="131">IF(C667&gt;$C$9,D667+MIN(E666,$C$10*(C667-$C$9)),0)</f>
        <v>0</v>
      </c>
      <c r="G667" s="16">
        <f t="shared" si="120"/>
        <v>2.8114308527341381</v>
      </c>
      <c r="H667" s="14">
        <f t="shared" si="121"/>
        <v>0</v>
      </c>
      <c r="I667" s="14">
        <f t="shared" si="122"/>
        <v>6.253991249301416</v>
      </c>
      <c r="J667" s="14">
        <f t="shared" si="123"/>
        <v>0.27582400667090634</v>
      </c>
      <c r="K667" s="14">
        <f t="shared" si="124"/>
        <v>0.23093563656581725</v>
      </c>
      <c r="L667" s="14">
        <f t="shared" si="125"/>
        <v>660.17497158218714</v>
      </c>
      <c r="M667" s="14">
        <f t="shared" si="119"/>
        <v>0.13999257950205346</v>
      </c>
      <c r="N667" s="14">
        <f t="shared" si="126"/>
        <v>3.5824489962851875</v>
      </c>
      <c r="O667" s="4">
        <v>1.3725000000000001</v>
      </c>
      <c r="P667" s="14">
        <f t="shared" si="129"/>
        <v>4.8838745661819072</v>
      </c>
      <c r="Q667" s="14">
        <f t="shared" si="127"/>
        <v>26.637458940877405</v>
      </c>
    </row>
    <row r="668" spans="1:17" x14ac:dyDescent="0.25">
      <c r="A668" s="5" t="s">
        <v>725</v>
      </c>
      <c r="B668" s="6">
        <f t="shared" si="128"/>
        <v>10</v>
      </c>
      <c r="C668" s="58">
        <v>17.019262309999998</v>
      </c>
      <c r="D668" s="4">
        <v>2.9</v>
      </c>
      <c r="E668" s="12">
        <f t="shared" si="130"/>
        <v>0</v>
      </c>
      <c r="F668" s="12">
        <f t="shared" si="131"/>
        <v>2.9</v>
      </c>
      <c r="G668" s="16">
        <f t="shared" si="120"/>
        <v>5.2512992275830603</v>
      </c>
      <c r="H668" s="14">
        <f t="shared" si="121"/>
        <v>0.20789235252995031</v>
      </c>
      <c r="I668" s="14">
        <f t="shared" si="122"/>
        <v>6.2803375753072839</v>
      </c>
      <c r="J668" s="14">
        <f t="shared" si="123"/>
        <v>0.25223927262112716</v>
      </c>
      <c r="K668" s="14">
        <f t="shared" si="124"/>
        <v>0.42731584759851571</v>
      </c>
      <c r="L668" s="14">
        <f t="shared" si="125"/>
        <v>660.04649114418237</v>
      </c>
      <c r="M668" s="14">
        <f t="shared" si="119"/>
        <v>0.14000677651225635</v>
      </c>
      <c r="N668" s="14">
        <f t="shared" si="126"/>
        <v>3.5828123017198941</v>
      </c>
      <c r="O668" s="4">
        <v>1.2825</v>
      </c>
      <c r="P668" s="14">
        <f t="shared" si="129"/>
        <v>5.2914366854438777</v>
      </c>
      <c r="Q668" s="14">
        <f t="shared" si="127"/>
        <v>27.574565759842919</v>
      </c>
    </row>
    <row r="669" spans="1:17" x14ac:dyDescent="0.25">
      <c r="A669" s="5" t="s">
        <v>726</v>
      </c>
      <c r="B669" s="6">
        <f t="shared" si="128"/>
        <v>10</v>
      </c>
      <c r="C669" s="58">
        <v>16.393510819999999</v>
      </c>
      <c r="D669" s="4">
        <v>2.9</v>
      </c>
      <c r="E669" s="12">
        <f t="shared" si="130"/>
        <v>0</v>
      </c>
      <c r="F669" s="12">
        <f t="shared" si="131"/>
        <v>2.9</v>
      </c>
      <c r="G669" s="16">
        <f t="shared" si="120"/>
        <v>7.4565509126236034</v>
      </c>
      <c r="H669" s="14">
        <f t="shared" si="121"/>
        <v>0.28978556229342611</v>
      </c>
      <c r="I669" s="14">
        <f t="shared" si="122"/>
        <v>5.398163114727998</v>
      </c>
      <c r="J669" s="14">
        <f t="shared" si="123"/>
        <v>0.40496275266603027</v>
      </c>
      <c r="K669" s="14">
        <f t="shared" si="124"/>
        <v>0.69579971486242564</v>
      </c>
      <c r="L669" s="14">
        <f t="shared" si="125"/>
        <v>659.92778606269962</v>
      </c>
      <c r="M669" s="14">
        <f t="shared" si="119"/>
        <v>0.14003825812773898</v>
      </c>
      <c r="N669" s="14">
        <f t="shared" si="126"/>
        <v>3.5836179250049875</v>
      </c>
      <c r="O669" s="4">
        <v>1.4545999999999999</v>
      </c>
      <c r="P669" s="14">
        <f t="shared" si="129"/>
        <v>4.5327173249925421</v>
      </c>
      <c r="Q669" s="14">
        <f t="shared" si="127"/>
        <v>25.796738686021076</v>
      </c>
    </row>
    <row r="670" spans="1:17" x14ac:dyDescent="0.25">
      <c r="A670" s="5" t="s">
        <v>727</v>
      </c>
      <c r="B670" s="6">
        <f t="shared" si="128"/>
        <v>10</v>
      </c>
      <c r="C670" s="58">
        <v>18.24304008</v>
      </c>
      <c r="D670" s="4">
        <v>1.3</v>
      </c>
      <c r="E670" s="12">
        <f t="shared" si="130"/>
        <v>0</v>
      </c>
      <c r="F670" s="12">
        <f t="shared" si="131"/>
        <v>1.3</v>
      </c>
      <c r="G670" s="16">
        <f t="shared" si="120"/>
        <v>7.7472577563433802</v>
      </c>
      <c r="H670" s="14">
        <f t="shared" si="121"/>
        <v>0.15651870299432061</v>
      </c>
      <c r="I670" s="14">
        <f t="shared" si="122"/>
        <v>8.0055999380364167</v>
      </c>
      <c r="J670" s="14">
        <f t="shared" si="123"/>
        <v>0.85277445328590351</v>
      </c>
      <c r="K670" s="14">
        <f t="shared" si="124"/>
        <v>0.81763280202732946</v>
      </c>
      <c r="L670" s="14">
        <f t="shared" si="125"/>
        <v>659.82243342040135</v>
      </c>
      <c r="M670" s="14">
        <f t="shared" si="119"/>
        <v>0.14004162981851181</v>
      </c>
      <c r="N670" s="14">
        <f t="shared" si="126"/>
        <v>3.5837042075084451</v>
      </c>
      <c r="O670" s="4">
        <v>2.1454</v>
      </c>
      <c r="P670" s="14">
        <f t="shared" si="129"/>
        <v>2.0687189933364962</v>
      </c>
      <c r="Q670" s="14">
        <f t="shared" si="127"/>
        <v>19.25672923556132</v>
      </c>
    </row>
    <row r="671" spans="1:17" x14ac:dyDescent="0.25">
      <c r="A671" s="5" t="s">
        <v>728</v>
      </c>
      <c r="B671" s="6">
        <f t="shared" si="128"/>
        <v>10</v>
      </c>
      <c r="C671" s="58">
        <v>19.096429820000001</v>
      </c>
      <c r="D671" s="4">
        <v>2.2000000000000002</v>
      </c>
      <c r="E671" s="12">
        <f t="shared" si="130"/>
        <v>0</v>
      </c>
      <c r="F671" s="12">
        <f t="shared" si="131"/>
        <v>2.2000000000000002</v>
      </c>
      <c r="G671" s="16">
        <f t="shared" si="120"/>
        <v>8.6577654907330839</v>
      </c>
      <c r="H671" s="14">
        <f t="shared" si="121"/>
        <v>0.27031808435194765</v>
      </c>
      <c r="I671" s="14">
        <f t="shared" si="122"/>
        <v>9.2086951692573571</v>
      </c>
      <c r="J671" s="14">
        <f t="shared" si="123"/>
        <v>1.0191741812583475</v>
      </c>
      <c r="K671" s="14">
        <f t="shared" si="124"/>
        <v>1.0471918911470688</v>
      </c>
      <c r="L671" s="14">
        <f t="shared" si="125"/>
        <v>659.72315078581505</v>
      </c>
      <c r="M671" s="14">
        <f t="shared" ref="M671:M734" si="132">MAX(0,K671-$F$9)*$F$8+K671*$F$10+L671*$F$11</f>
        <v>0.14006901625559209</v>
      </c>
      <c r="N671" s="14">
        <f t="shared" si="126"/>
        <v>3.5844050340406728</v>
      </c>
      <c r="O671" s="4">
        <v>4.0221</v>
      </c>
      <c r="P671" s="14">
        <f t="shared" si="129"/>
        <v>0.19157688322613661</v>
      </c>
      <c r="Q671" s="14">
        <f t="shared" si="127"/>
        <v>6.3078783505325973</v>
      </c>
    </row>
    <row r="672" spans="1:17" x14ac:dyDescent="0.25">
      <c r="A672" s="5" t="s">
        <v>729</v>
      </c>
      <c r="B672" s="6">
        <f t="shared" si="128"/>
        <v>10</v>
      </c>
      <c r="C672" s="58">
        <v>19.728227619999998</v>
      </c>
      <c r="D672" s="4">
        <v>0.1</v>
      </c>
      <c r="E672" s="12">
        <f t="shared" si="130"/>
        <v>0</v>
      </c>
      <c r="F672" s="12">
        <f t="shared" si="131"/>
        <v>0.1</v>
      </c>
      <c r="G672" s="16">
        <f t="shared" ref="G672:G735" si="133">G671+F672-H672-J672</f>
        <v>7.4956127761761859</v>
      </c>
      <c r="H672" s="14">
        <f t="shared" ref="H672:H735" si="134">(F672*(G671/$C$11)^$C$12)</f>
        <v>1.3034826255669124E-2</v>
      </c>
      <c r="I672" s="14">
        <f t="shared" ref="I672:I735" si="135">(1+$C$13*(C672-INDEX($A$16:$A$27,B672)))*INDEX($C$16:$C$27,B672)</f>
        <v>10.099393621146266</v>
      </c>
      <c r="J672" s="14">
        <f t="shared" ref="J672:J735" si="136">IF(G671&gt;$F$13,I672,I672*(G671/$F$13))</f>
        <v>1.2491178883012282</v>
      </c>
      <c r="K672" s="14">
        <f t="shared" ref="K672:K735" si="137">K671+H672-MAX(0,K671-$F$9)*$F$8-K671*$F$10-K671*$F$12</f>
        <v>1.008024201563551</v>
      </c>
      <c r="L672" s="14">
        <f t="shared" ref="L672:L735" si="138">L671+K671*$F$12-L671*$F$11</f>
        <v>659.6352842853986</v>
      </c>
      <c r="M672" s="14">
        <f t="shared" si="132"/>
        <v>0.14004212672218228</v>
      </c>
      <c r="N672" s="14">
        <f t="shared" ref="N672:N735" si="139">M672*$C$8*1000/(24*3600)</f>
        <v>3.583716923411401</v>
      </c>
      <c r="O672" s="4">
        <v>4.4112999999999998</v>
      </c>
      <c r="P672" s="14">
        <f t="shared" si="129"/>
        <v>0.68489374865585051</v>
      </c>
      <c r="Q672" s="14">
        <f t="shared" ref="Q672:Q735" si="140">(O672-$F$23)^2</f>
        <v>4.5043652534061644</v>
      </c>
    </row>
    <row r="673" spans="1:17" x14ac:dyDescent="0.25">
      <c r="A673" s="5" t="s">
        <v>730</v>
      </c>
      <c r="B673" s="6">
        <f t="shared" ref="B673:B736" si="141">MONTH(A673)</f>
        <v>10</v>
      </c>
      <c r="C673" s="58">
        <v>19.271104810000001</v>
      </c>
      <c r="D673" s="4">
        <v>0</v>
      </c>
      <c r="E673" s="12">
        <f t="shared" si="130"/>
        <v>0</v>
      </c>
      <c r="F673" s="12">
        <f t="shared" si="131"/>
        <v>0</v>
      </c>
      <c r="G673" s="16">
        <f t="shared" si="133"/>
        <v>6.4831742745411578</v>
      </c>
      <c r="H673" s="14">
        <f t="shared" si="134"/>
        <v>0</v>
      </c>
      <c r="I673" s="14">
        <f t="shared" si="135"/>
        <v>9.4549491815010089</v>
      </c>
      <c r="J673" s="14">
        <f t="shared" si="136"/>
        <v>1.0124385016350286</v>
      </c>
      <c r="K673" s="14">
        <f t="shared" si="137"/>
        <v>0.95777419505255246</v>
      </c>
      <c r="L673" s="14">
        <f t="shared" si="138"/>
        <v>659.5454921651874</v>
      </c>
      <c r="M673" s="14">
        <f t="shared" si="132"/>
        <v>0.14001249084932824</v>
      </c>
      <c r="N673" s="14">
        <f t="shared" si="139"/>
        <v>3.5829585331928784</v>
      </c>
      <c r="O673" s="4">
        <v>4.2675000000000001</v>
      </c>
      <c r="P673" s="14">
        <f t="shared" ref="P673:P736" si="142">(O673-N673)^2</f>
        <v>0.4685970197784457</v>
      </c>
      <c r="Q673" s="14">
        <f t="shared" si="140"/>
        <v>5.1354312641532882</v>
      </c>
    </row>
    <row r="674" spans="1:17" x14ac:dyDescent="0.25">
      <c r="A674" s="5" t="s">
        <v>731</v>
      </c>
      <c r="B674" s="6">
        <f t="shared" si="141"/>
        <v>10</v>
      </c>
      <c r="C674" s="58">
        <v>19.102687840000002</v>
      </c>
      <c r="D674" s="4">
        <v>0</v>
      </c>
      <c r="E674" s="12">
        <f t="shared" si="130"/>
        <v>0</v>
      </c>
      <c r="F674" s="12">
        <f t="shared" si="131"/>
        <v>0</v>
      </c>
      <c r="G674" s="16">
        <f t="shared" si="133"/>
        <v>5.6294768258871501</v>
      </c>
      <c r="H674" s="14">
        <f t="shared" si="134"/>
        <v>0</v>
      </c>
      <c r="I674" s="14">
        <f t="shared" si="135"/>
        <v>9.2175176259450673</v>
      </c>
      <c r="J674" s="14">
        <f t="shared" si="136"/>
        <v>0.85369744865400732</v>
      </c>
      <c r="K674" s="14">
        <f t="shared" si="137"/>
        <v>0.91002915136927043</v>
      </c>
      <c r="L674" s="14">
        <f t="shared" si="138"/>
        <v>659.45322471802137</v>
      </c>
      <c r="M674" s="14">
        <f t="shared" si="132"/>
        <v>0.13998285875372224</v>
      </c>
      <c r="N674" s="14">
        <f t="shared" si="139"/>
        <v>3.5822002396351835</v>
      </c>
      <c r="O674" s="4">
        <v>4.0537999999999998</v>
      </c>
      <c r="P674" s="14">
        <f t="shared" si="142"/>
        <v>0.22240633397615217</v>
      </c>
      <c r="Q674" s="14">
        <f t="shared" si="140"/>
        <v>6.1496510342969657</v>
      </c>
    </row>
    <row r="675" spans="1:17" x14ac:dyDescent="0.25">
      <c r="A675" s="5" t="s">
        <v>732</v>
      </c>
      <c r="B675" s="6">
        <f t="shared" si="141"/>
        <v>10</v>
      </c>
      <c r="C675" s="58">
        <v>18.2498188</v>
      </c>
      <c r="D675" s="4">
        <v>0</v>
      </c>
      <c r="E675" s="12">
        <f t="shared" si="130"/>
        <v>0</v>
      </c>
      <c r="F675" s="12">
        <f t="shared" si="131"/>
        <v>0</v>
      </c>
      <c r="G675" s="16">
        <f t="shared" si="133"/>
        <v>4.9848886253565636</v>
      </c>
      <c r="H675" s="14">
        <f t="shared" si="134"/>
        <v>0</v>
      </c>
      <c r="I675" s="14">
        <f t="shared" si="135"/>
        <v>8.0151564692712327</v>
      </c>
      <c r="J675" s="14">
        <f t="shared" si="136"/>
        <v>0.64458820053058641</v>
      </c>
      <c r="K675" s="14">
        <f t="shared" si="137"/>
        <v>0.86466419811658668</v>
      </c>
      <c r="L675" s="14">
        <f t="shared" si="138"/>
        <v>659.35860681252041</v>
      </c>
      <c r="M675" s="14">
        <f t="shared" si="132"/>
        <v>0.1399532305594359</v>
      </c>
      <c r="N675" s="14">
        <f t="shared" si="139"/>
        <v>3.581442045913342</v>
      </c>
      <c r="O675" s="4">
        <v>3.9904000000000002</v>
      </c>
      <c r="P675" s="14">
        <f t="shared" si="142"/>
        <v>0.16724660821074519</v>
      </c>
      <c r="Q675" s="14">
        <f t="shared" si="140"/>
        <v>6.4681154467682278</v>
      </c>
    </row>
    <row r="676" spans="1:17" x14ac:dyDescent="0.25">
      <c r="A676" s="5" t="s">
        <v>733</v>
      </c>
      <c r="B676" s="6">
        <f t="shared" si="141"/>
        <v>10</v>
      </c>
      <c r="C676" s="58">
        <v>18.23862076</v>
      </c>
      <c r="D676" s="4">
        <v>0</v>
      </c>
      <c r="E676" s="12">
        <f t="shared" si="130"/>
        <v>0</v>
      </c>
      <c r="F676" s="12">
        <f t="shared" si="131"/>
        <v>0</v>
      </c>
      <c r="G676" s="16">
        <f t="shared" si="133"/>
        <v>4.4152314969801738</v>
      </c>
      <c r="H676" s="14">
        <f t="shared" si="134"/>
        <v>0</v>
      </c>
      <c r="I676" s="14">
        <f t="shared" si="135"/>
        <v>7.9993696512541552</v>
      </c>
      <c r="J676" s="14">
        <f t="shared" si="136"/>
        <v>0.56965712837638971</v>
      </c>
      <c r="K676" s="14">
        <f t="shared" si="137"/>
        <v>0.82156068778638691</v>
      </c>
      <c r="L676" s="14">
        <f t="shared" si="138"/>
        <v>659.26175709229119</v>
      </c>
      <c r="M676" s="14">
        <f t="shared" si="132"/>
        <v>0.13992360638428974</v>
      </c>
      <c r="N676" s="14">
        <f t="shared" si="139"/>
        <v>3.580683955042415</v>
      </c>
      <c r="O676" s="4">
        <v>3.7946</v>
      </c>
      <c r="P676" s="14">
        <f t="shared" si="142"/>
        <v>4.5760074290295522E-2</v>
      </c>
      <c r="Q676" s="14">
        <f t="shared" si="140"/>
        <v>7.5023893929176522</v>
      </c>
    </row>
    <row r="677" spans="1:17" x14ac:dyDescent="0.25">
      <c r="A677" s="5" t="s">
        <v>734</v>
      </c>
      <c r="B677" s="6">
        <f t="shared" si="141"/>
        <v>10</v>
      </c>
      <c r="C677" s="58">
        <v>18.190578460000001</v>
      </c>
      <c r="D677" s="4">
        <v>0</v>
      </c>
      <c r="E677" s="12">
        <f t="shared" si="130"/>
        <v>0</v>
      </c>
      <c r="F677" s="12">
        <f t="shared" si="131"/>
        <v>0</v>
      </c>
      <c r="G677" s="16">
        <f t="shared" si="133"/>
        <v>3.9149449723341592</v>
      </c>
      <c r="H677" s="14">
        <f t="shared" si="134"/>
        <v>0</v>
      </c>
      <c r="I677" s="14">
        <f t="shared" si="135"/>
        <v>7.9316403837018106</v>
      </c>
      <c r="J677" s="14">
        <f t="shared" si="136"/>
        <v>0.50028652464601486</v>
      </c>
      <c r="K677" s="14">
        <f t="shared" si="137"/>
        <v>0.78060588744884396</v>
      </c>
      <c r="L677" s="14">
        <f t="shared" si="138"/>
        <v>659.16278828624445</v>
      </c>
      <c r="M677" s="14">
        <f t="shared" si="132"/>
        <v>0.13989398634016473</v>
      </c>
      <c r="N677" s="14">
        <f t="shared" si="139"/>
        <v>3.5799259698854646</v>
      </c>
      <c r="O677" s="4">
        <v>3.58</v>
      </c>
      <c r="P677" s="14">
        <f t="shared" si="142"/>
        <v>5.4804578581302752E-9</v>
      </c>
      <c r="Q677" s="14">
        <f t="shared" si="140"/>
        <v>8.7240423812509835</v>
      </c>
    </row>
    <row r="678" spans="1:17" x14ac:dyDescent="0.25">
      <c r="A678" s="5" t="s">
        <v>735</v>
      </c>
      <c r="B678" s="6">
        <f t="shared" si="141"/>
        <v>10</v>
      </c>
      <c r="C678" s="58">
        <v>16.920722959999999</v>
      </c>
      <c r="D678" s="4">
        <v>0</v>
      </c>
      <c r="E678" s="12">
        <f t="shared" si="130"/>
        <v>0</v>
      </c>
      <c r="F678" s="12">
        <f t="shared" si="131"/>
        <v>0</v>
      </c>
      <c r="G678" s="16">
        <f t="shared" si="133"/>
        <v>3.5714687666497449</v>
      </c>
      <c r="H678" s="14">
        <f t="shared" si="134"/>
        <v>0</v>
      </c>
      <c r="I678" s="14">
        <f t="shared" si="135"/>
        <v>6.1414183728422875</v>
      </c>
      <c r="J678" s="14">
        <f t="shared" si="136"/>
        <v>0.34347620568441417</v>
      </c>
      <c r="K678" s="14">
        <f t="shared" si="137"/>
        <v>0.74169268391068943</v>
      </c>
      <c r="L678" s="14">
        <f t="shared" si="138"/>
        <v>659.06180750344254</v>
      </c>
      <c r="M678" s="14">
        <f t="shared" si="132"/>
        <v>0.13986437053329837</v>
      </c>
      <c r="N678" s="14">
        <f t="shared" si="139"/>
        <v>3.5791680931611425</v>
      </c>
      <c r="O678" s="4">
        <v>3.3864999999999998</v>
      </c>
      <c r="P678" s="14">
        <f t="shared" si="142"/>
        <v>3.7120994122350738E-2</v>
      </c>
      <c r="Q678" s="14">
        <f t="shared" si="140"/>
        <v>9.904546792026844</v>
      </c>
    </row>
    <row r="679" spans="1:17" x14ac:dyDescent="0.25">
      <c r="A679" s="5" t="s">
        <v>736</v>
      </c>
      <c r="B679" s="6">
        <f t="shared" si="141"/>
        <v>10</v>
      </c>
      <c r="C679" s="58">
        <v>18.89078331</v>
      </c>
      <c r="D679" s="4">
        <v>0.1</v>
      </c>
      <c r="E679" s="12">
        <f t="shared" si="130"/>
        <v>0</v>
      </c>
      <c r="F679" s="12">
        <f t="shared" si="131"/>
        <v>0.1</v>
      </c>
      <c r="G679" s="16">
        <f t="shared" si="133"/>
        <v>3.2082825064374147</v>
      </c>
      <c r="H679" s="14">
        <f t="shared" si="134"/>
        <v>8.1410774146985099E-3</v>
      </c>
      <c r="I679" s="14">
        <f t="shared" si="135"/>
        <v>8.9187780025730827</v>
      </c>
      <c r="J679" s="14">
        <f t="shared" si="136"/>
        <v>0.4550451827976319</v>
      </c>
      <c r="K679" s="14">
        <f t="shared" si="137"/>
        <v>0.71286038098604443</v>
      </c>
      <c r="L679" s="14">
        <f t="shared" si="138"/>
        <v>658.9589165132486</v>
      </c>
      <c r="M679" s="14">
        <f t="shared" si="132"/>
        <v>0.13983647666866264</v>
      </c>
      <c r="N679" s="14">
        <f t="shared" si="139"/>
        <v>3.5784542814168181</v>
      </c>
      <c r="O679" s="4">
        <v>3.2545999999999999</v>
      </c>
      <c r="P679" s="14">
        <f t="shared" si="142"/>
        <v>0.10488159559200365</v>
      </c>
      <c r="Q679" s="14">
        <f t="shared" si="140"/>
        <v>10.752162306710751</v>
      </c>
    </row>
    <row r="680" spans="1:17" x14ac:dyDescent="0.25">
      <c r="A680" s="5" t="s">
        <v>737</v>
      </c>
      <c r="B680" s="6">
        <f t="shared" si="141"/>
        <v>10</v>
      </c>
      <c r="C680" s="58">
        <v>18.676227570000002</v>
      </c>
      <c r="D680" s="4">
        <v>0.5</v>
      </c>
      <c r="E680" s="12">
        <f t="shared" si="130"/>
        <v>0</v>
      </c>
      <c r="F680" s="12">
        <f t="shared" si="131"/>
        <v>0.5</v>
      </c>
      <c r="G680" s="16">
        <f t="shared" si="133"/>
        <v>3.274924866574612</v>
      </c>
      <c r="H680" s="14">
        <f t="shared" si="134"/>
        <v>3.8449793062367295E-2</v>
      </c>
      <c r="I680" s="14">
        <f t="shared" si="135"/>
        <v>8.6163007456692462</v>
      </c>
      <c r="J680" s="14">
        <f t="shared" si="136"/>
        <v>0.39490784680043556</v>
      </c>
      <c r="K680" s="14">
        <f t="shared" si="137"/>
        <v>0.71577408401166542</v>
      </c>
      <c r="L680" s="14">
        <f t="shared" si="138"/>
        <v>658.85461612661663</v>
      </c>
      <c r="M680" s="14">
        <f t="shared" si="132"/>
        <v>0.13981498181095386</v>
      </c>
      <c r="N680" s="14">
        <f t="shared" si="139"/>
        <v>3.5779042220372572</v>
      </c>
      <c r="O680" s="4">
        <v>3.2553999999999998</v>
      </c>
      <c r="P680" s="14">
        <f t="shared" si="142"/>
        <v>0.10400897323185661</v>
      </c>
      <c r="Q680" s="14">
        <f t="shared" si="140"/>
        <v>10.746916468319947</v>
      </c>
    </row>
    <row r="681" spans="1:17" x14ac:dyDescent="0.25">
      <c r="A681" s="5" t="s">
        <v>738</v>
      </c>
      <c r="B681" s="6">
        <f t="shared" si="141"/>
        <v>10</v>
      </c>
      <c r="C681" s="58">
        <v>17.423023220000001</v>
      </c>
      <c r="D681" s="4">
        <v>0</v>
      </c>
      <c r="E681" s="12">
        <f t="shared" si="130"/>
        <v>0</v>
      </c>
      <c r="F681" s="12">
        <f t="shared" si="131"/>
        <v>0</v>
      </c>
      <c r="G681" s="16">
        <f t="shared" si="133"/>
        <v>2.9544707178366192</v>
      </c>
      <c r="H681" s="14">
        <f t="shared" si="134"/>
        <v>0</v>
      </c>
      <c r="I681" s="14">
        <f t="shared" si="135"/>
        <v>6.8495532602467701</v>
      </c>
      <c r="J681" s="14">
        <f t="shared" si="136"/>
        <v>0.32045414873799261</v>
      </c>
      <c r="K681" s="14">
        <f t="shared" si="137"/>
        <v>0.68009274587890967</v>
      </c>
      <c r="L681" s="14">
        <f t="shared" si="138"/>
        <v>658.75048248293842</v>
      </c>
      <c r="M681" s="14">
        <f t="shared" si="132"/>
        <v>0.13978537951959813</v>
      </c>
      <c r="N681" s="14">
        <f t="shared" si="139"/>
        <v>3.5771466911786045</v>
      </c>
      <c r="O681" s="4">
        <v>3.1867000000000001</v>
      </c>
      <c r="P681" s="14">
        <f t="shared" si="142"/>
        <v>0.15244861865232048</v>
      </c>
      <c r="Q681" s="14">
        <f t="shared" si="140"/>
        <v>11.202067570130289</v>
      </c>
    </row>
    <row r="682" spans="1:17" x14ac:dyDescent="0.25">
      <c r="A682" s="5" t="s">
        <v>739</v>
      </c>
      <c r="B682" s="6">
        <f t="shared" si="141"/>
        <v>10</v>
      </c>
      <c r="C682" s="58">
        <v>16.549396510000001</v>
      </c>
      <c r="D682" s="4">
        <v>0</v>
      </c>
      <c r="E682" s="12">
        <f t="shared" si="130"/>
        <v>0</v>
      </c>
      <c r="F682" s="12">
        <f t="shared" si="131"/>
        <v>0</v>
      </c>
      <c r="G682" s="16">
        <f t="shared" si="133"/>
        <v>2.7173561752989439</v>
      </c>
      <c r="H682" s="14">
        <f t="shared" si="134"/>
        <v>0</v>
      </c>
      <c r="I682" s="14">
        <f t="shared" si="135"/>
        <v>5.617928271799828</v>
      </c>
      <c r="J682" s="14">
        <f t="shared" si="136"/>
        <v>0.23711454253767508</v>
      </c>
      <c r="K682" s="14">
        <f t="shared" si="137"/>
        <v>0.64619012245430374</v>
      </c>
      <c r="L682" s="14">
        <f t="shared" si="138"/>
        <v>658.64459972684347</v>
      </c>
      <c r="M682" s="14">
        <f t="shared" si="132"/>
        <v>0.13975578172461992</v>
      </c>
      <c r="N682" s="14">
        <f t="shared" si="139"/>
        <v>3.5763892753835029</v>
      </c>
      <c r="O682" s="4">
        <v>3.1</v>
      </c>
      <c r="P682" s="14">
        <f t="shared" si="142"/>
        <v>0.2269467417004189</v>
      </c>
      <c r="Q682" s="14">
        <f t="shared" si="140"/>
        <v>11.789945415733737</v>
      </c>
    </row>
    <row r="683" spans="1:17" x14ac:dyDescent="0.25">
      <c r="A683" s="5" t="s">
        <v>740</v>
      </c>
      <c r="B683" s="6">
        <f t="shared" si="141"/>
        <v>10</v>
      </c>
      <c r="C683" s="58">
        <v>18.825548170000001</v>
      </c>
      <c r="D683" s="4">
        <v>0</v>
      </c>
      <c r="E683" s="12">
        <f t="shared" si="130"/>
        <v>0</v>
      </c>
      <c r="F683" s="12">
        <f t="shared" si="131"/>
        <v>0</v>
      </c>
      <c r="G683" s="16">
        <f t="shared" si="133"/>
        <v>2.3747046394622746</v>
      </c>
      <c r="H683" s="14">
        <f t="shared" si="134"/>
        <v>0</v>
      </c>
      <c r="I683" s="14">
        <f t="shared" si="135"/>
        <v>8.8268105436696871</v>
      </c>
      <c r="J683" s="14">
        <f t="shared" si="136"/>
        <v>0.34265153583666935</v>
      </c>
      <c r="K683" s="14">
        <f t="shared" si="137"/>
        <v>0.61397754480953515</v>
      </c>
      <c r="L683" s="14">
        <f t="shared" si="138"/>
        <v>658.53705652276358</v>
      </c>
      <c r="M683" s="14">
        <f t="shared" si="132"/>
        <v>0.13972618851373497</v>
      </c>
      <c r="N683" s="14">
        <f t="shared" si="139"/>
        <v>3.5756319768966205</v>
      </c>
      <c r="O683" s="4">
        <v>3.1333000000000002</v>
      </c>
      <c r="P683" s="14">
        <f t="shared" si="142"/>
        <v>0.19565757778527224</v>
      </c>
      <c r="Q683" s="14">
        <f t="shared" si="140"/>
        <v>11.562373282716495</v>
      </c>
    </row>
    <row r="684" spans="1:17" x14ac:dyDescent="0.25">
      <c r="A684" s="5" t="s">
        <v>741</v>
      </c>
      <c r="B684" s="6">
        <f t="shared" si="141"/>
        <v>11</v>
      </c>
      <c r="C684" s="58">
        <v>19.49559593</v>
      </c>
      <c r="D684" s="4">
        <v>0</v>
      </c>
      <c r="E684" s="12">
        <f t="shared" si="130"/>
        <v>0</v>
      </c>
      <c r="F684" s="12">
        <f t="shared" si="131"/>
        <v>0</v>
      </c>
      <c r="G684" s="16">
        <f t="shared" si="133"/>
        <v>2.0861053326031556</v>
      </c>
      <c r="H684" s="14">
        <f t="shared" si="134"/>
        <v>0</v>
      </c>
      <c r="I684" s="14">
        <f t="shared" si="135"/>
        <v>8.5071359319300228</v>
      </c>
      <c r="J684" s="14">
        <f t="shared" si="136"/>
        <v>0.28859930685911916</v>
      </c>
      <c r="K684" s="14">
        <f t="shared" si="137"/>
        <v>0.58337076416237332</v>
      </c>
      <c r="L684" s="14">
        <f t="shared" si="138"/>
        <v>658.42793711489696</v>
      </c>
      <c r="M684" s="14">
        <f t="shared" si="132"/>
        <v>0.13969659997022035</v>
      </c>
      <c r="N684" s="14">
        <f t="shared" si="139"/>
        <v>3.5748747978490414</v>
      </c>
      <c r="O684" s="4">
        <v>3.26</v>
      </c>
      <c r="P684" s="14">
        <f t="shared" si="142"/>
        <v>9.9146138320474808E-2</v>
      </c>
      <c r="Q684" s="14">
        <f t="shared" si="140"/>
        <v>10.716777737572821</v>
      </c>
    </row>
    <row r="685" spans="1:17" x14ac:dyDescent="0.25">
      <c r="A685" s="5" t="s">
        <v>742</v>
      </c>
      <c r="B685" s="6">
        <f t="shared" si="141"/>
        <v>11</v>
      </c>
      <c r="C685" s="58">
        <v>19.991708760000002</v>
      </c>
      <c r="D685" s="4">
        <v>0</v>
      </c>
      <c r="E685" s="12">
        <f t="shared" si="130"/>
        <v>0</v>
      </c>
      <c r="F685" s="12">
        <f t="shared" si="131"/>
        <v>0</v>
      </c>
      <c r="G685" s="16">
        <f t="shared" si="133"/>
        <v>1.8142448376904994</v>
      </c>
      <c r="H685" s="14">
        <f t="shared" si="134"/>
        <v>0</v>
      </c>
      <c r="I685" s="14">
        <f t="shared" si="135"/>
        <v>9.1223673985382199</v>
      </c>
      <c r="J685" s="14">
        <f t="shared" si="136"/>
        <v>0.27186049491265613</v>
      </c>
      <c r="K685" s="14">
        <f t="shared" si="137"/>
        <v>0.55428973153238703</v>
      </c>
      <c r="L685" s="14">
        <f t="shared" si="138"/>
        <v>658.31732154755673</v>
      </c>
      <c r="M685" s="14">
        <f t="shared" si="132"/>
        <v>0.13966701617313568</v>
      </c>
      <c r="N685" s="14">
        <f t="shared" si="139"/>
        <v>3.5741177402639233</v>
      </c>
      <c r="O685" s="4">
        <v>3.2625000000000002</v>
      </c>
      <c r="P685" s="14">
        <f t="shared" si="142"/>
        <v>9.7105616047193824E-2</v>
      </c>
      <c r="Q685" s="14">
        <f t="shared" si="140"/>
        <v>10.700415742601555</v>
      </c>
    </row>
    <row r="686" spans="1:17" x14ac:dyDescent="0.25">
      <c r="A686" s="5" t="s">
        <v>743</v>
      </c>
      <c r="B686" s="6">
        <f t="shared" si="141"/>
        <v>11</v>
      </c>
      <c r="C686" s="58">
        <v>18.964536670000001</v>
      </c>
      <c r="D686" s="4">
        <v>0</v>
      </c>
      <c r="E686" s="12">
        <f t="shared" si="130"/>
        <v>0</v>
      </c>
      <c r="F686" s="12">
        <f t="shared" si="131"/>
        <v>0</v>
      </c>
      <c r="G686" s="16">
        <f t="shared" si="133"/>
        <v>1.6108272072004841</v>
      </c>
      <c r="H686" s="14">
        <f t="shared" si="134"/>
        <v>0</v>
      </c>
      <c r="I686" s="14">
        <f t="shared" si="135"/>
        <v>7.8485672603928185</v>
      </c>
      <c r="J686" s="14">
        <f t="shared" si="136"/>
        <v>0.20341763049001518</v>
      </c>
      <c r="K686" s="14">
        <f t="shared" si="137"/>
        <v>0.52665838838082468</v>
      </c>
      <c r="L686" s="14">
        <f t="shared" si="138"/>
        <v>658.20528587453509</v>
      </c>
      <c r="M686" s="14">
        <f t="shared" si="132"/>
        <v>0.1396374371975333</v>
      </c>
      <c r="N686" s="14">
        <f t="shared" si="139"/>
        <v>3.5733608060618764</v>
      </c>
      <c r="O686" s="4">
        <v>3.1566999999999998</v>
      </c>
      <c r="P686" s="14">
        <f t="shared" si="142"/>
        <v>0.17360622730813274</v>
      </c>
      <c r="Q686" s="14">
        <f t="shared" si="140"/>
        <v>11.403784509785464</v>
      </c>
    </row>
    <row r="687" spans="1:17" x14ac:dyDescent="0.25">
      <c r="A687" s="5" t="s">
        <v>744</v>
      </c>
      <c r="B687" s="6">
        <f t="shared" si="141"/>
        <v>11</v>
      </c>
      <c r="C687" s="58">
        <v>15.525409700000001</v>
      </c>
      <c r="D687" s="4">
        <v>0</v>
      </c>
      <c r="E687" s="12">
        <f t="shared" si="130"/>
        <v>0</v>
      </c>
      <c r="F687" s="12">
        <f t="shared" si="131"/>
        <v>0</v>
      </c>
      <c r="G687" s="16">
        <f t="shared" si="133"/>
        <v>1.5283598657066755</v>
      </c>
      <c r="H687" s="14">
        <f t="shared" si="134"/>
        <v>0</v>
      </c>
      <c r="I687" s="14">
        <f t="shared" si="135"/>
        <v>3.5836924140702591</v>
      </c>
      <c r="J687" s="14">
        <f t="shared" si="136"/>
        <v>8.2467341493808646E-2</v>
      </c>
      <c r="K687" s="14">
        <f t="shared" si="137"/>
        <v>0.50040446768709623</v>
      </c>
      <c r="L687" s="14">
        <f t="shared" si="138"/>
        <v>658.09190235803123</v>
      </c>
      <c r="M687" s="14">
        <f t="shared" si="132"/>
        <v>0.1396078631146582</v>
      </c>
      <c r="N687" s="14">
        <f t="shared" si="139"/>
        <v>3.5726039970660795</v>
      </c>
      <c r="O687" s="4">
        <v>3.1</v>
      </c>
      <c r="P687" s="14">
        <f t="shared" si="142"/>
        <v>0.22335453804283475</v>
      </c>
      <c r="Q687" s="14">
        <f t="shared" si="140"/>
        <v>11.789945415733737</v>
      </c>
    </row>
    <row r="688" spans="1:17" x14ac:dyDescent="0.25">
      <c r="A688" s="5" t="s">
        <v>745</v>
      </c>
      <c r="B688" s="6">
        <f t="shared" si="141"/>
        <v>11</v>
      </c>
      <c r="C688" s="58">
        <v>14.472910880000001</v>
      </c>
      <c r="D688" s="4">
        <v>0</v>
      </c>
      <c r="E688" s="12">
        <f t="shared" si="130"/>
        <v>0</v>
      </c>
      <c r="F688" s="12">
        <f t="shared" si="131"/>
        <v>0</v>
      </c>
      <c r="G688" s="16">
        <f t="shared" si="133"/>
        <v>1.4786120503550613</v>
      </c>
      <c r="H688" s="14">
        <f t="shared" si="134"/>
        <v>0</v>
      </c>
      <c r="I688" s="14">
        <f t="shared" si="135"/>
        <v>2.2784844987015007</v>
      </c>
      <c r="J688" s="14">
        <f t="shared" si="136"/>
        <v>4.9747815351614197E-2</v>
      </c>
      <c r="K688" s="14">
        <f t="shared" si="137"/>
        <v>0.47545930494159239</v>
      </c>
      <c r="L688" s="14">
        <f t="shared" si="138"/>
        <v>657.97723965766215</v>
      </c>
      <c r="M688" s="14">
        <f t="shared" si="132"/>
        <v>0.13957829399213775</v>
      </c>
      <c r="N688" s="14">
        <f t="shared" si="139"/>
        <v>3.5718473150071359</v>
      </c>
      <c r="O688" s="4">
        <v>2.9062999999999999</v>
      </c>
      <c r="P688" s="14">
        <f t="shared" si="142"/>
        <v>0.44295322851320795</v>
      </c>
      <c r="Q688" s="14">
        <f t="shared" si="140"/>
        <v>13.1576607261073</v>
      </c>
    </row>
    <row r="689" spans="1:17" x14ac:dyDescent="0.25">
      <c r="A689" s="5" t="s">
        <v>746</v>
      </c>
      <c r="B689" s="6">
        <f t="shared" si="141"/>
        <v>11</v>
      </c>
      <c r="C689" s="58">
        <v>17.512731550000002</v>
      </c>
      <c r="D689" s="4">
        <v>0</v>
      </c>
      <c r="E689" s="12">
        <f t="shared" si="130"/>
        <v>0</v>
      </c>
      <c r="F689" s="12">
        <f t="shared" si="131"/>
        <v>0</v>
      </c>
      <c r="G689" s="16">
        <f t="shared" si="133"/>
        <v>1.3508561053753216</v>
      </c>
      <c r="H689" s="14">
        <f t="shared" si="134"/>
        <v>0</v>
      </c>
      <c r="I689" s="14">
        <f t="shared" si="135"/>
        <v>6.0481780360164068</v>
      </c>
      <c r="J689" s="14">
        <f t="shared" si="136"/>
        <v>0.12775594497973961</v>
      </c>
      <c r="K689" s="14">
        <f t="shared" si="137"/>
        <v>0.45175765856051231</v>
      </c>
      <c r="L689" s="14">
        <f t="shared" si="138"/>
        <v>657.86136301005104</v>
      </c>
      <c r="M689" s="14">
        <f t="shared" si="132"/>
        <v>0.13954872989416198</v>
      </c>
      <c r="N689" s="14">
        <f t="shared" si="139"/>
        <v>3.5710907615276866</v>
      </c>
      <c r="O689" s="4">
        <v>2.9375</v>
      </c>
      <c r="P689" s="14">
        <f t="shared" si="142"/>
        <v>0.4014372530932338</v>
      </c>
      <c r="Q689" s="14">
        <f t="shared" si="140"/>
        <v>12.93228758886592</v>
      </c>
    </row>
    <row r="690" spans="1:17" x14ac:dyDescent="0.25">
      <c r="A690" s="5" t="s">
        <v>747</v>
      </c>
      <c r="B690" s="6">
        <f t="shared" si="141"/>
        <v>11</v>
      </c>
      <c r="C690" s="58">
        <v>17.789245609999998</v>
      </c>
      <c r="D690" s="4">
        <v>0</v>
      </c>
      <c r="E690" s="12">
        <f t="shared" si="130"/>
        <v>0</v>
      </c>
      <c r="F690" s="12">
        <f t="shared" si="131"/>
        <v>0</v>
      </c>
      <c r="G690" s="16">
        <f t="shared" si="133"/>
        <v>1.227521218343016</v>
      </c>
      <c r="H690" s="14">
        <f t="shared" si="134"/>
        <v>0</v>
      </c>
      <c r="I690" s="14">
        <f t="shared" si="135"/>
        <v>6.3910842065171458</v>
      </c>
      <c r="J690" s="14">
        <f t="shared" si="136"/>
        <v>0.12333488703230562</v>
      </c>
      <c r="K690" s="14">
        <f t="shared" si="137"/>
        <v>0.42923753925301167</v>
      </c>
      <c r="L690" s="14">
        <f t="shared" si="138"/>
        <v>657.74433439946438</v>
      </c>
      <c r="M690" s="14">
        <f t="shared" si="132"/>
        <v>0.13951917088165514</v>
      </c>
      <c r="N690" s="14">
        <f t="shared" si="139"/>
        <v>3.5703343381867994</v>
      </c>
      <c r="O690" s="4">
        <v>2.6875</v>
      </c>
      <c r="P690" s="14">
        <f t="shared" si="142"/>
        <v>0.77939646868172396</v>
      </c>
      <c r="Q690" s="14">
        <f t="shared" si="140"/>
        <v>14.792862085992354</v>
      </c>
    </row>
    <row r="691" spans="1:17" x14ac:dyDescent="0.25">
      <c r="A691" s="5" t="s">
        <v>748</v>
      </c>
      <c r="B691" s="6">
        <f t="shared" si="141"/>
        <v>11</v>
      </c>
      <c r="C691" s="58">
        <v>18.107547759999999</v>
      </c>
      <c r="D691" s="4">
        <v>0</v>
      </c>
      <c r="E691" s="12">
        <f t="shared" si="130"/>
        <v>0</v>
      </c>
      <c r="F691" s="12">
        <f t="shared" si="131"/>
        <v>0</v>
      </c>
      <c r="G691" s="16">
        <f t="shared" si="133"/>
        <v>1.1085250057625773</v>
      </c>
      <c r="H691" s="14">
        <f t="shared" si="134"/>
        <v>0</v>
      </c>
      <c r="I691" s="14">
        <f t="shared" si="135"/>
        <v>6.7858119513510031</v>
      </c>
      <c r="J691" s="14">
        <f t="shared" si="136"/>
        <v>0.11899621258043869</v>
      </c>
      <c r="K691" s="14">
        <f t="shared" si="137"/>
        <v>0.40784004789439865</v>
      </c>
      <c r="L691" s="14">
        <f t="shared" si="138"/>
        <v>657.62621271994135</v>
      </c>
      <c r="M691" s="14">
        <f t="shared" si="132"/>
        <v>0.13948961701243834</v>
      </c>
      <c r="N691" s="14">
        <f t="shared" si="139"/>
        <v>3.5695780464641338</v>
      </c>
      <c r="O691" s="4">
        <v>2.6133000000000002</v>
      </c>
      <c r="P691" s="14">
        <f t="shared" si="142"/>
        <v>0.91446770214925965</v>
      </c>
      <c r="Q691" s="14">
        <f t="shared" si="140"/>
        <v>15.369136236739479</v>
      </c>
    </row>
    <row r="692" spans="1:17" x14ac:dyDescent="0.25">
      <c r="A692" s="5" t="s">
        <v>749</v>
      </c>
      <c r="B692" s="6">
        <f t="shared" si="141"/>
        <v>11</v>
      </c>
      <c r="C692" s="58">
        <v>18.078367230000001</v>
      </c>
      <c r="D692" s="4">
        <v>0</v>
      </c>
      <c r="E692" s="12">
        <f t="shared" si="130"/>
        <v>0</v>
      </c>
      <c r="F692" s="12">
        <f t="shared" si="131"/>
        <v>0</v>
      </c>
      <c r="G692" s="16">
        <f t="shared" si="133"/>
        <v>1.0016373742979743</v>
      </c>
      <c r="H692" s="14">
        <f t="shared" si="134"/>
        <v>0</v>
      </c>
      <c r="I692" s="14">
        <f t="shared" si="135"/>
        <v>6.7496250616301632</v>
      </c>
      <c r="J692" s="14">
        <f t="shared" si="136"/>
        <v>0.10688763146460295</v>
      </c>
      <c r="K692" s="14">
        <f t="shared" si="137"/>
        <v>0.38750922148135103</v>
      </c>
      <c r="L692" s="14">
        <f t="shared" si="138"/>
        <v>657.50705392934196</v>
      </c>
      <c r="M692" s="14">
        <f t="shared" si="132"/>
        <v>0.13946006834138422</v>
      </c>
      <c r="N692" s="14">
        <f t="shared" si="139"/>
        <v>3.5688218877638946</v>
      </c>
      <c r="O692" s="4">
        <v>2.5150000000000001</v>
      </c>
      <c r="P692" s="14">
        <f t="shared" si="142"/>
        <v>1.1105405711302583</v>
      </c>
      <c r="Q692" s="14">
        <f t="shared" si="140"/>
        <v>16.149539739009597</v>
      </c>
    </row>
    <row r="693" spans="1:17" x14ac:dyDescent="0.25">
      <c r="A693" s="5" t="s">
        <v>750</v>
      </c>
      <c r="B693" s="6">
        <f t="shared" si="141"/>
        <v>11</v>
      </c>
      <c r="C693" s="58">
        <v>18.08816719</v>
      </c>
      <c r="D693" s="4">
        <v>0</v>
      </c>
      <c r="E693" s="12">
        <f t="shared" si="130"/>
        <v>0</v>
      </c>
      <c r="F693" s="12">
        <f t="shared" si="131"/>
        <v>0</v>
      </c>
      <c r="G693" s="16">
        <f t="shared" si="133"/>
        <v>0.90488230199181741</v>
      </c>
      <c r="H693" s="14">
        <f t="shared" si="134"/>
        <v>0</v>
      </c>
      <c r="I693" s="14">
        <f t="shared" si="135"/>
        <v>6.7617780304689274</v>
      </c>
      <c r="J693" s="14">
        <f t="shared" si="136"/>
        <v>9.6755072306156903E-2</v>
      </c>
      <c r="K693" s="14">
        <f t="shared" si="137"/>
        <v>0.36819188676626557</v>
      </c>
      <c r="L693" s="14">
        <f t="shared" si="138"/>
        <v>657.3869111957157</v>
      </c>
      <c r="M693" s="14">
        <f t="shared" si="132"/>
        <v>0.13943052492056424</v>
      </c>
      <c r="N693" s="14">
        <f t="shared" si="139"/>
        <v>3.5680658634186053</v>
      </c>
      <c r="O693" s="4">
        <v>2.4687999999999999</v>
      </c>
      <c r="P693" s="14">
        <f t="shared" si="142"/>
        <v>1.2083854384774522</v>
      </c>
      <c r="Q693" s="14">
        <f t="shared" si="140"/>
        <v>16.522997346078562</v>
      </c>
    </row>
    <row r="694" spans="1:17" x14ac:dyDescent="0.25">
      <c r="A694" s="5" t="s">
        <v>751</v>
      </c>
      <c r="B694" s="6">
        <f t="shared" si="141"/>
        <v>11</v>
      </c>
      <c r="C694" s="58">
        <v>17.181838989999999</v>
      </c>
      <c r="D694" s="4">
        <v>0</v>
      </c>
      <c r="E694" s="12">
        <f t="shared" si="130"/>
        <v>0</v>
      </c>
      <c r="F694" s="12">
        <f t="shared" si="131"/>
        <v>0</v>
      </c>
      <c r="G694" s="16">
        <f t="shared" si="133"/>
        <v>0.83200254586478617</v>
      </c>
      <c r="H694" s="14">
        <f t="shared" si="134"/>
        <v>0</v>
      </c>
      <c r="I694" s="14">
        <f t="shared" si="135"/>
        <v>5.6378368743525531</v>
      </c>
      <c r="J694" s="14">
        <f t="shared" si="136"/>
        <v>7.2879756127031195E-2</v>
      </c>
      <c r="K694" s="14">
        <f t="shared" si="137"/>
        <v>0.34983752118793554</v>
      </c>
      <c r="L694" s="14">
        <f t="shared" si="138"/>
        <v>657.26583503637346</v>
      </c>
      <c r="M694" s="14">
        <f t="shared" si="132"/>
        <v>0.13940098679938792</v>
      </c>
      <c r="N694" s="14">
        <f t="shared" si="139"/>
        <v>3.5673099746926704</v>
      </c>
      <c r="O694" s="4">
        <v>2.4396</v>
      </c>
      <c r="P694" s="14">
        <f t="shared" si="142"/>
        <v>1.2717297870213433</v>
      </c>
      <c r="Q694" s="14">
        <f t="shared" si="140"/>
        <v>16.76123716734293</v>
      </c>
    </row>
    <row r="695" spans="1:17" x14ac:dyDescent="0.25">
      <c r="A695" s="5" t="s">
        <v>752</v>
      </c>
      <c r="B695" s="6">
        <f t="shared" si="141"/>
        <v>11</v>
      </c>
      <c r="C695" s="58">
        <v>17.55158424</v>
      </c>
      <c r="D695" s="4">
        <v>0</v>
      </c>
      <c r="E695" s="12">
        <f t="shared" si="130"/>
        <v>0</v>
      </c>
      <c r="F695" s="12">
        <f t="shared" si="131"/>
        <v>0</v>
      </c>
      <c r="G695" s="16">
        <f t="shared" si="133"/>
        <v>0.75954267950652998</v>
      </c>
      <c r="H695" s="14">
        <f t="shared" si="134"/>
        <v>0</v>
      </c>
      <c r="I695" s="14">
        <f t="shared" si="135"/>
        <v>6.0963594092946849</v>
      </c>
      <c r="J695" s="14">
        <f t="shared" si="136"/>
        <v>7.2459866358256159E-2</v>
      </c>
      <c r="K695" s="14">
        <f t="shared" si="137"/>
        <v>0.33239812073483332</v>
      </c>
      <c r="L695" s="14">
        <f t="shared" si="138"/>
        <v>657.14387345002717</v>
      </c>
      <c r="M695" s="14">
        <f t="shared" si="132"/>
        <v>0.13937145402473589</v>
      </c>
      <c r="N695" s="14">
        <f t="shared" si="139"/>
        <v>3.5665542227857765</v>
      </c>
      <c r="O695" s="4">
        <v>2.3738000000000001</v>
      </c>
      <c r="P695" s="14">
        <f t="shared" si="142"/>
        <v>1.4226626359733014</v>
      </c>
      <c r="Q695" s="14">
        <f t="shared" si="140"/>
        <v>17.304343654986603</v>
      </c>
    </row>
    <row r="696" spans="1:17" x14ac:dyDescent="0.25">
      <c r="A696" s="5" t="s">
        <v>753</v>
      </c>
      <c r="B696" s="6">
        <f t="shared" si="141"/>
        <v>11</v>
      </c>
      <c r="C696" s="58">
        <v>18.089782710000001</v>
      </c>
      <c r="D696" s="4">
        <v>0</v>
      </c>
      <c r="E696" s="12">
        <f t="shared" si="130"/>
        <v>0</v>
      </c>
      <c r="F696" s="12">
        <f t="shared" si="131"/>
        <v>0</v>
      </c>
      <c r="G696" s="16">
        <f t="shared" si="133"/>
        <v>0.68615146765483881</v>
      </c>
      <c r="H696" s="14">
        <f t="shared" si="134"/>
        <v>0</v>
      </c>
      <c r="I696" s="14">
        <f t="shared" si="135"/>
        <v>6.763781443158206</v>
      </c>
      <c r="J696" s="14">
        <f t="shared" si="136"/>
        <v>7.3391211851691132E-2</v>
      </c>
      <c r="K696" s="14">
        <f t="shared" si="137"/>
        <v>0.31582807439540922</v>
      </c>
      <c r="L696" s="14">
        <f t="shared" si="138"/>
        <v>657.02107204234187</v>
      </c>
      <c r="M696" s="14">
        <f t="shared" si="132"/>
        <v>0.13934192664108583</v>
      </c>
      <c r="N696" s="14">
        <f t="shared" si="139"/>
        <v>3.5657986088361198</v>
      </c>
      <c r="O696" s="4">
        <v>2.3774999999999999</v>
      </c>
      <c r="P696" s="14">
        <f t="shared" si="142"/>
        <v>1.4120535837618577</v>
      </c>
      <c r="Q696" s="14">
        <f t="shared" si="140"/>
        <v>17.273574462429131</v>
      </c>
    </row>
    <row r="697" spans="1:17" x14ac:dyDescent="0.25">
      <c r="A697" s="5" t="s">
        <v>754</v>
      </c>
      <c r="B697" s="6">
        <f t="shared" si="141"/>
        <v>11</v>
      </c>
      <c r="C697" s="58">
        <v>18.891841889999998</v>
      </c>
      <c r="D697" s="4">
        <v>0</v>
      </c>
      <c r="E697" s="12">
        <f t="shared" si="130"/>
        <v>0</v>
      </c>
      <c r="F697" s="12">
        <f t="shared" si="131"/>
        <v>0</v>
      </c>
      <c r="G697" s="16">
        <f t="shared" si="133"/>
        <v>0.61010212024285793</v>
      </c>
      <c r="H697" s="14">
        <f t="shared" si="134"/>
        <v>0</v>
      </c>
      <c r="I697" s="14">
        <f t="shared" si="135"/>
        <v>7.7584181785515742</v>
      </c>
      <c r="J697" s="14">
        <f t="shared" si="136"/>
        <v>7.6049347411980869E-2</v>
      </c>
      <c r="K697" s="14">
        <f t="shared" si="137"/>
        <v>0.30008404486704188</v>
      </c>
      <c r="L697" s="14">
        <f t="shared" si="138"/>
        <v>656.89747414522913</v>
      </c>
      <c r="M697" s="14">
        <f t="shared" si="132"/>
        <v>0.13931240469063219</v>
      </c>
      <c r="N697" s="14">
        <f t="shared" si="139"/>
        <v>3.5650431339234698</v>
      </c>
      <c r="O697" s="4">
        <v>2.4117000000000002</v>
      </c>
      <c r="P697" s="14">
        <f t="shared" si="142"/>
        <v>1.3302003845684105</v>
      </c>
      <c r="Q697" s="14">
        <f t="shared" si="140"/>
        <v>16.990463511222231</v>
      </c>
    </row>
    <row r="698" spans="1:17" x14ac:dyDescent="0.25">
      <c r="A698" s="5" t="s">
        <v>755</v>
      </c>
      <c r="B698" s="6">
        <f t="shared" si="141"/>
        <v>11</v>
      </c>
      <c r="C698" s="58">
        <v>19.032266620000001</v>
      </c>
      <c r="D698" s="4">
        <v>0</v>
      </c>
      <c r="E698" s="12">
        <f t="shared" si="130"/>
        <v>0</v>
      </c>
      <c r="F698" s="12">
        <f t="shared" si="131"/>
        <v>0</v>
      </c>
      <c r="G698" s="16">
        <f t="shared" si="133"/>
        <v>0.5409639025316757</v>
      </c>
      <c r="H698" s="14">
        <f t="shared" si="134"/>
        <v>0</v>
      </c>
      <c r="I698" s="14">
        <f t="shared" si="135"/>
        <v>7.9325594370752892</v>
      </c>
      <c r="J698" s="14">
        <f t="shared" si="136"/>
        <v>6.9138217711182254E-2</v>
      </c>
      <c r="K698" s="14">
        <f t="shared" si="137"/>
        <v>0.28512485521164849</v>
      </c>
      <c r="L698" s="14">
        <f t="shared" si="138"/>
        <v>656.77312093019384</v>
      </c>
      <c r="M698" s="14">
        <f t="shared" si="132"/>
        <v>0.13928288821340024</v>
      </c>
      <c r="N698" s="14">
        <f t="shared" si="139"/>
        <v>3.5642877990720829</v>
      </c>
      <c r="O698" s="4">
        <v>2.4207999999999998</v>
      </c>
      <c r="P698" s="14">
        <f t="shared" si="142"/>
        <v>1.3075643466267166</v>
      </c>
      <c r="Q698" s="14">
        <f t="shared" si="140"/>
        <v>16.915526849526834</v>
      </c>
    </row>
    <row r="699" spans="1:17" x14ac:dyDescent="0.25">
      <c r="A699" s="5" t="s">
        <v>756</v>
      </c>
      <c r="B699" s="6">
        <f t="shared" si="141"/>
        <v>11</v>
      </c>
      <c r="C699" s="58">
        <v>16.008121490000001</v>
      </c>
      <c r="D699" s="4">
        <v>0</v>
      </c>
      <c r="E699" s="12">
        <f t="shared" si="130"/>
        <v>0</v>
      </c>
      <c r="F699" s="12">
        <f t="shared" si="131"/>
        <v>0</v>
      </c>
      <c r="G699" s="16">
        <f t="shared" si="133"/>
        <v>0.50864278869213553</v>
      </c>
      <c r="H699" s="14">
        <f t="shared" si="134"/>
        <v>0</v>
      </c>
      <c r="I699" s="14">
        <f t="shared" si="135"/>
        <v>4.1823051984055635</v>
      </c>
      <c r="J699" s="14">
        <f t="shared" si="136"/>
        <v>3.2321113839540193E-2</v>
      </c>
      <c r="K699" s="14">
        <f t="shared" si="137"/>
        <v>0.27091138116151225</v>
      </c>
      <c r="L699" s="14">
        <f t="shared" si="138"/>
        <v>656.64805151603059</v>
      </c>
      <c r="M699" s="14">
        <f t="shared" si="132"/>
        <v>0.13925337724735407</v>
      </c>
      <c r="N699" s="14">
        <f t="shared" si="139"/>
        <v>3.5635326052534704</v>
      </c>
      <c r="O699" s="4">
        <v>2.3466999999999998</v>
      </c>
      <c r="P699" s="14">
        <f t="shared" si="142"/>
        <v>1.4806815892079486</v>
      </c>
      <c r="Q699" s="14">
        <f t="shared" si="140"/>
        <v>17.530541880475116</v>
      </c>
    </row>
    <row r="700" spans="1:17" x14ac:dyDescent="0.25">
      <c r="A700" s="5" t="s">
        <v>757</v>
      </c>
      <c r="B700" s="6">
        <f t="shared" si="141"/>
        <v>11</v>
      </c>
      <c r="C700" s="58">
        <v>16.21955681</v>
      </c>
      <c r="D700" s="4">
        <v>0</v>
      </c>
      <c r="E700" s="12">
        <f t="shared" si="130"/>
        <v>0</v>
      </c>
      <c r="F700" s="12">
        <f t="shared" si="131"/>
        <v>0</v>
      </c>
      <c r="G700" s="16">
        <f t="shared" si="133"/>
        <v>0.47634752806017527</v>
      </c>
      <c r="H700" s="14">
        <f t="shared" si="134"/>
        <v>0</v>
      </c>
      <c r="I700" s="14">
        <f t="shared" si="135"/>
        <v>4.4445069681448643</v>
      </c>
      <c r="J700" s="14">
        <f t="shared" si="136"/>
        <v>3.2295260631960261E-2</v>
      </c>
      <c r="K700" s="14">
        <f t="shared" si="137"/>
        <v>0.25740644879366437</v>
      </c>
      <c r="L700" s="14">
        <f t="shared" si="138"/>
        <v>656.5223030711511</v>
      </c>
      <c r="M700" s="14">
        <f t="shared" si="132"/>
        <v>0.13922387182849921</v>
      </c>
      <c r="N700" s="14">
        <f t="shared" si="139"/>
        <v>3.5627775533890249</v>
      </c>
      <c r="O700" s="4">
        <v>2.2258</v>
      </c>
      <c r="P700" s="14">
        <f t="shared" si="142"/>
        <v>1.7875089782661029</v>
      </c>
      <c r="Q700" s="14">
        <f t="shared" si="140"/>
        <v>18.557562957285448</v>
      </c>
    </row>
    <row r="701" spans="1:17" x14ac:dyDescent="0.25">
      <c r="A701" s="5" t="s">
        <v>758</v>
      </c>
      <c r="B701" s="6">
        <f t="shared" si="141"/>
        <v>11</v>
      </c>
      <c r="C701" s="58">
        <v>16.140827179999999</v>
      </c>
      <c r="D701" s="4">
        <v>0</v>
      </c>
      <c r="E701" s="12">
        <f t="shared" si="130"/>
        <v>0</v>
      </c>
      <c r="F701" s="12">
        <f t="shared" si="131"/>
        <v>0</v>
      </c>
      <c r="G701" s="16">
        <f t="shared" si="133"/>
        <v>0.44676717979842129</v>
      </c>
      <c r="H701" s="14">
        <f t="shared" si="134"/>
        <v>0</v>
      </c>
      <c r="I701" s="14">
        <f t="shared" si="135"/>
        <v>4.3468740451454293</v>
      </c>
      <c r="J701" s="14">
        <f t="shared" si="136"/>
        <v>2.9580348261753996E-2</v>
      </c>
      <c r="K701" s="14">
        <f t="shared" si="137"/>
        <v>0.24457473730519849</v>
      </c>
      <c r="L701" s="14">
        <f t="shared" si="138"/>
        <v>656.39591091081115</v>
      </c>
      <c r="M701" s="14">
        <f t="shared" si="132"/>
        <v>0.13919437199098073</v>
      </c>
      <c r="N701" s="14">
        <f t="shared" si="139"/>
        <v>3.562022644352528</v>
      </c>
      <c r="O701" s="4">
        <v>2.1554000000000002</v>
      </c>
      <c r="P701" s="14">
        <f t="shared" si="142"/>
        <v>1.9785872636052979</v>
      </c>
      <c r="Q701" s="14">
        <f t="shared" si="140"/>
        <v>19.169064255676254</v>
      </c>
    </row>
    <row r="702" spans="1:17" x14ac:dyDescent="0.25">
      <c r="A702" s="5" t="s">
        <v>759</v>
      </c>
      <c r="B702" s="6">
        <f t="shared" si="141"/>
        <v>11</v>
      </c>
      <c r="C702" s="58">
        <v>18.236211780000001</v>
      </c>
      <c r="D702" s="4">
        <v>1.5</v>
      </c>
      <c r="E702" s="12">
        <f t="shared" si="130"/>
        <v>0</v>
      </c>
      <c r="F702" s="12">
        <f t="shared" si="131"/>
        <v>1.5</v>
      </c>
      <c r="G702" s="16">
        <f t="shared" si="133"/>
        <v>1.8619924910683323</v>
      </c>
      <c r="H702" s="14">
        <f t="shared" si="134"/>
        <v>4.0446613075792573E-2</v>
      </c>
      <c r="I702" s="14">
        <f t="shared" si="135"/>
        <v>6.9453687072694246</v>
      </c>
      <c r="J702" s="14">
        <f t="shared" si="136"/>
        <v>4.4328075654296473E-2</v>
      </c>
      <c r="K702" s="14">
        <f t="shared" si="137"/>
        <v>0.27282929971102793</v>
      </c>
      <c r="L702" s="14">
        <f t="shared" si="138"/>
        <v>656.26890858949014</v>
      </c>
      <c r="M702" s="14">
        <f t="shared" si="132"/>
        <v>0.13917341119153365</v>
      </c>
      <c r="N702" s="14">
        <f t="shared" si="139"/>
        <v>3.5614862516722323</v>
      </c>
      <c r="O702" s="4">
        <v>2.1770999999999998</v>
      </c>
      <c r="P702" s="14">
        <f t="shared" si="142"/>
        <v>1.916525293819094</v>
      </c>
      <c r="Q702" s="14">
        <f t="shared" si="140"/>
        <v>18.979519139325681</v>
      </c>
    </row>
    <row r="703" spans="1:17" x14ac:dyDescent="0.25">
      <c r="A703" s="5" t="s">
        <v>760</v>
      </c>
      <c r="B703" s="6">
        <f t="shared" si="141"/>
        <v>11</v>
      </c>
      <c r="C703" s="58">
        <v>18.133844379999999</v>
      </c>
      <c r="D703" s="4">
        <v>1.7</v>
      </c>
      <c r="E703" s="12">
        <f t="shared" si="130"/>
        <v>0</v>
      </c>
      <c r="F703" s="12">
        <f t="shared" si="131"/>
        <v>1.7</v>
      </c>
      <c r="G703" s="16">
        <f t="shared" si="133"/>
        <v>3.2827273187267871</v>
      </c>
      <c r="H703" s="14">
        <f t="shared" si="134"/>
        <v>9.7895718979301355E-2</v>
      </c>
      <c r="I703" s="14">
        <f t="shared" si="135"/>
        <v>6.8184224929679944</v>
      </c>
      <c r="J703" s="14">
        <f t="shared" si="136"/>
        <v>0.18136945336224394</v>
      </c>
      <c r="K703" s="14">
        <f t="shared" si="137"/>
        <v>0.35712447808266806</v>
      </c>
      <c r="L703" s="14">
        <f t="shared" si="138"/>
        <v>656.14333571890631</v>
      </c>
      <c r="M703" s="14">
        <f t="shared" si="132"/>
        <v>0.13916457685327119</v>
      </c>
      <c r="N703" s="14">
        <f t="shared" si="139"/>
        <v>3.5612601785021138</v>
      </c>
      <c r="O703" s="4">
        <v>2.4392</v>
      </c>
      <c r="P703" s="14">
        <f t="shared" si="142"/>
        <v>1.2590190441801956</v>
      </c>
      <c r="Q703" s="14">
        <f t="shared" si="140"/>
        <v>16.764512566538325</v>
      </c>
    </row>
    <row r="704" spans="1:17" x14ac:dyDescent="0.25">
      <c r="A704" s="5" t="s">
        <v>761</v>
      </c>
      <c r="B704" s="6">
        <f t="shared" si="141"/>
        <v>11</v>
      </c>
      <c r="C704" s="58">
        <v>16.4206562</v>
      </c>
      <c r="D704" s="4">
        <v>0</v>
      </c>
      <c r="E704" s="12">
        <f t="shared" si="130"/>
        <v>0</v>
      </c>
      <c r="F704" s="12">
        <f t="shared" si="131"/>
        <v>0</v>
      </c>
      <c r="G704" s="16">
        <f t="shared" si="133"/>
        <v>3.0626019326832612</v>
      </c>
      <c r="H704" s="14">
        <f t="shared" si="134"/>
        <v>0</v>
      </c>
      <c r="I704" s="14">
        <f t="shared" si="135"/>
        <v>4.6938911105459251</v>
      </c>
      <c r="J704" s="14">
        <f t="shared" si="136"/>
        <v>0.22012538604352588</v>
      </c>
      <c r="K704" s="14">
        <f t="shared" si="137"/>
        <v>0.33932182282790763</v>
      </c>
      <c r="L704" s="14">
        <f t="shared" si="138"/>
        <v>656.02197379730774</v>
      </c>
      <c r="M704" s="14">
        <f t="shared" si="132"/>
        <v>0.13913509455604223</v>
      </c>
      <c r="N704" s="14">
        <f t="shared" si="139"/>
        <v>3.560505718326497</v>
      </c>
      <c r="O704" s="4">
        <v>2.9217</v>
      </c>
      <c r="P704" s="14">
        <f t="shared" si="142"/>
        <v>0.40807274576663183</v>
      </c>
      <c r="Q704" s="14">
        <f t="shared" si="140"/>
        <v>13.046175537084311</v>
      </c>
    </row>
    <row r="705" spans="1:17" x14ac:dyDescent="0.25">
      <c r="A705" s="5" t="s">
        <v>762</v>
      </c>
      <c r="B705" s="6">
        <f t="shared" si="141"/>
        <v>11</v>
      </c>
      <c r="C705" s="58">
        <v>17.11074829</v>
      </c>
      <c r="D705" s="4">
        <v>0</v>
      </c>
      <c r="E705" s="12">
        <f t="shared" si="130"/>
        <v>0</v>
      </c>
      <c r="F705" s="12">
        <f t="shared" si="131"/>
        <v>0</v>
      </c>
      <c r="G705" s="16">
        <f t="shared" si="133"/>
        <v>2.8197952857144162</v>
      </c>
      <c r="H705" s="14">
        <f t="shared" si="134"/>
        <v>0</v>
      </c>
      <c r="I705" s="14">
        <f t="shared" si="135"/>
        <v>5.5496770184117121</v>
      </c>
      <c r="J705" s="14">
        <f t="shared" si="136"/>
        <v>0.24280664696884494</v>
      </c>
      <c r="K705" s="14">
        <f t="shared" si="137"/>
        <v>0.32240662993871066</v>
      </c>
      <c r="L705" s="14">
        <f t="shared" si="138"/>
        <v>655.89975389564097</v>
      </c>
      <c r="M705" s="14">
        <f t="shared" si="132"/>
        <v>0.13910561762100682</v>
      </c>
      <c r="N705" s="14">
        <f t="shared" si="139"/>
        <v>3.5597513953709035</v>
      </c>
      <c r="O705" s="4">
        <v>3.0283000000000002</v>
      </c>
      <c r="P705" s="14">
        <f t="shared" si="142"/>
        <v>0.28244058564168012</v>
      </c>
      <c r="Q705" s="14">
        <f t="shared" si="140"/>
        <v>12.287471571509597</v>
      </c>
    </row>
    <row r="706" spans="1:17" x14ac:dyDescent="0.25">
      <c r="A706" s="5" t="s">
        <v>763</v>
      </c>
      <c r="B706" s="6">
        <f t="shared" si="141"/>
        <v>11</v>
      </c>
      <c r="C706" s="58">
        <v>16.661645889999999</v>
      </c>
      <c r="D706" s="4">
        <v>0.7</v>
      </c>
      <c r="E706" s="12">
        <f t="shared" si="130"/>
        <v>0</v>
      </c>
      <c r="F706" s="12">
        <f t="shared" si="131"/>
        <v>0.7</v>
      </c>
      <c r="G706" s="16">
        <f t="shared" si="133"/>
        <v>3.2684132716597825</v>
      </c>
      <c r="H706" s="14">
        <f t="shared" si="134"/>
        <v>5.0260219942031809E-2</v>
      </c>
      <c r="I706" s="14">
        <f t="shared" si="135"/>
        <v>4.9927433704565463</v>
      </c>
      <c r="J706" s="14">
        <f t="shared" si="136"/>
        <v>0.20112179411260167</v>
      </c>
      <c r="K706" s="14">
        <f t="shared" si="137"/>
        <v>0.35659487935813011</v>
      </c>
      <c r="L706" s="14">
        <f t="shared" si="138"/>
        <v>655.77672024854257</v>
      </c>
      <c r="M706" s="14">
        <f t="shared" si="132"/>
        <v>0.13908674998990114</v>
      </c>
      <c r="N706" s="14">
        <f t="shared" si="139"/>
        <v>3.5592685674499007</v>
      </c>
      <c r="O706" s="4">
        <v>3.1358000000000001</v>
      </c>
      <c r="P706" s="14">
        <f t="shared" si="142"/>
        <v>0.179325627618071</v>
      </c>
      <c r="Q706" s="14">
        <f t="shared" si="140"/>
        <v>11.545377787745231</v>
      </c>
    </row>
    <row r="707" spans="1:17" x14ac:dyDescent="0.25">
      <c r="A707" s="5" t="s">
        <v>764</v>
      </c>
      <c r="B707" s="6">
        <f t="shared" si="141"/>
        <v>11</v>
      </c>
      <c r="C707" s="58">
        <v>16.973310470000001</v>
      </c>
      <c r="D707" s="4">
        <v>10.3</v>
      </c>
      <c r="E707" s="12">
        <f t="shared" si="130"/>
        <v>0</v>
      </c>
      <c r="F707" s="12">
        <f t="shared" si="131"/>
        <v>10.3</v>
      </c>
      <c r="G707" s="16">
        <f t="shared" si="133"/>
        <v>12.51732486568884</v>
      </c>
      <c r="H707" s="14">
        <f t="shared" si="134"/>
        <v>0.79992279056784099</v>
      </c>
      <c r="I707" s="14">
        <f t="shared" si="135"/>
        <v>5.3792398386958951</v>
      </c>
      <c r="J707" s="14">
        <f t="shared" si="136"/>
        <v>0.25116561540310134</v>
      </c>
      <c r="K707" s="14">
        <f t="shared" si="137"/>
        <v>1.138741415167662</v>
      </c>
      <c r="L707" s="14">
        <f t="shared" si="138"/>
        <v>655.65540975331101</v>
      </c>
      <c r="M707" s="14">
        <f t="shared" si="132"/>
        <v>0.13922605183345049</v>
      </c>
      <c r="N707" s="14">
        <f t="shared" si="139"/>
        <v>3.5628333403212848</v>
      </c>
      <c r="O707" s="4">
        <v>3.6025</v>
      </c>
      <c r="P707" s="14">
        <f t="shared" si="142"/>
        <v>1.5734438900670094E-3</v>
      </c>
      <c r="Q707" s="14">
        <f t="shared" si="140"/>
        <v>8.5916344265096036</v>
      </c>
    </row>
    <row r="708" spans="1:17" x14ac:dyDescent="0.25">
      <c r="A708" s="5" t="s">
        <v>765</v>
      </c>
      <c r="B708" s="6">
        <f t="shared" si="141"/>
        <v>11</v>
      </c>
      <c r="C708" s="58">
        <v>16.08811188</v>
      </c>
      <c r="D708" s="4">
        <v>14.6</v>
      </c>
      <c r="E708" s="12">
        <f t="shared" si="130"/>
        <v>0</v>
      </c>
      <c r="F708" s="12">
        <f t="shared" si="131"/>
        <v>14.6</v>
      </c>
      <c r="G708" s="16">
        <f t="shared" si="133"/>
        <v>24.03662600397406</v>
      </c>
      <c r="H708" s="14">
        <f t="shared" si="134"/>
        <v>2.3150847237958101</v>
      </c>
      <c r="I708" s="14">
        <f t="shared" si="135"/>
        <v>4.2815015948266373</v>
      </c>
      <c r="J708" s="14">
        <f t="shared" si="136"/>
        <v>0.76561413791896893</v>
      </c>
      <c r="K708" s="14">
        <f t="shared" si="137"/>
        <v>3.397059879346132</v>
      </c>
      <c r="L708" s="14">
        <f t="shared" si="138"/>
        <v>655.57294996109488</v>
      </c>
      <c r="M708" s="14">
        <f t="shared" si="132"/>
        <v>0.1929399673844473</v>
      </c>
      <c r="N708" s="14">
        <f t="shared" si="139"/>
        <v>4.9373873598033908</v>
      </c>
      <c r="O708" s="4">
        <v>24.948799999999999</v>
      </c>
      <c r="P708" s="14">
        <f t="shared" si="142"/>
        <v>400.45663585622054</v>
      </c>
      <c r="Q708" s="14">
        <f t="shared" si="140"/>
        <v>339.11778656446955</v>
      </c>
    </row>
    <row r="709" spans="1:17" x14ac:dyDescent="0.25">
      <c r="A709" s="5" t="s">
        <v>766</v>
      </c>
      <c r="B709" s="6">
        <f t="shared" si="141"/>
        <v>11</v>
      </c>
      <c r="C709" s="58">
        <v>17.081022260000001</v>
      </c>
      <c r="D709" s="4">
        <v>6.9</v>
      </c>
      <c r="E709" s="12">
        <f t="shared" si="130"/>
        <v>0</v>
      </c>
      <c r="F709" s="12">
        <f t="shared" si="131"/>
        <v>6.9</v>
      </c>
      <c r="G709" s="16">
        <f t="shared" si="133"/>
        <v>27.495912722773109</v>
      </c>
      <c r="H709" s="14">
        <f t="shared" si="134"/>
        <v>1.5477197527640099</v>
      </c>
      <c r="I709" s="14">
        <f t="shared" si="135"/>
        <v>5.5128136520010136</v>
      </c>
      <c r="J709" s="14">
        <f t="shared" si="136"/>
        <v>1.8929935284369437</v>
      </c>
      <c r="K709" s="14">
        <f t="shared" si="137"/>
        <v>4.7221812614527821</v>
      </c>
      <c r="L709" s="14">
        <f t="shared" si="138"/>
        <v>655.60260836436771</v>
      </c>
      <c r="M709" s="14">
        <f t="shared" si="132"/>
        <v>0.2437385191880167</v>
      </c>
      <c r="N709" s="14">
        <f t="shared" si="139"/>
        <v>6.2373364111655665</v>
      </c>
      <c r="O709" s="4">
        <v>29.661300000000001</v>
      </c>
      <c r="P709" s="14">
        <f t="shared" si="142"/>
        <v>548.68207021104126</v>
      </c>
      <c r="Q709" s="14">
        <f t="shared" si="140"/>
        <v>534.88824104363641</v>
      </c>
    </row>
    <row r="710" spans="1:17" x14ac:dyDescent="0.25">
      <c r="A710" s="5" t="s">
        <v>767</v>
      </c>
      <c r="B710" s="6">
        <f t="shared" si="141"/>
        <v>11</v>
      </c>
      <c r="C710" s="58">
        <v>18.295400619999999</v>
      </c>
      <c r="D710" s="4">
        <v>0.6</v>
      </c>
      <c r="E710" s="12">
        <f t="shared" si="130"/>
        <v>0</v>
      </c>
      <c r="F710" s="12">
        <f t="shared" si="131"/>
        <v>0.6</v>
      </c>
      <c r="G710" s="16">
        <f t="shared" si="133"/>
        <v>25.194390873725403</v>
      </c>
      <c r="H710" s="14">
        <f t="shared" si="134"/>
        <v>0.14455590275831087</v>
      </c>
      <c r="I710" s="14">
        <f t="shared" si="135"/>
        <v>7.0187690199362756</v>
      </c>
      <c r="J710" s="14">
        <f t="shared" si="136"/>
        <v>2.7569659462893985</v>
      </c>
      <c r="K710" s="14">
        <f t="shared" si="137"/>
        <v>4.527568801797492</v>
      </c>
      <c r="L710" s="14">
        <f t="shared" si="138"/>
        <v>655.69803820759319</v>
      </c>
      <c r="M710" s="14">
        <f t="shared" si="132"/>
        <v>0.23629919962265622</v>
      </c>
      <c r="N710" s="14">
        <f t="shared" si="139"/>
        <v>6.0469621570103351</v>
      </c>
      <c r="O710" s="4">
        <v>32.378300000000003</v>
      </c>
      <c r="P710" s="14">
        <f t="shared" si="142"/>
        <v>693.33935260165981</v>
      </c>
      <c r="Q710" s="14">
        <f t="shared" si="140"/>
        <v>667.94598560886641</v>
      </c>
    </row>
    <row r="711" spans="1:17" x14ac:dyDescent="0.25">
      <c r="A711" s="5" t="s">
        <v>768</v>
      </c>
      <c r="B711" s="6">
        <f t="shared" si="141"/>
        <v>11</v>
      </c>
      <c r="C711" s="58">
        <v>18.189092639999998</v>
      </c>
      <c r="D711" s="4">
        <v>10.8</v>
      </c>
      <c r="E711" s="12">
        <f t="shared" si="130"/>
        <v>0</v>
      </c>
      <c r="F711" s="12">
        <f t="shared" si="131"/>
        <v>10.8</v>
      </c>
      <c r="G711" s="16">
        <f t="shared" si="133"/>
        <v>31.031782482613444</v>
      </c>
      <c r="H711" s="14">
        <f t="shared" si="134"/>
        <v>2.4838612544864178</v>
      </c>
      <c r="I711" s="14">
        <f t="shared" si="135"/>
        <v>6.886936076918948</v>
      </c>
      <c r="J711" s="14">
        <f t="shared" si="136"/>
        <v>2.4787471366255418</v>
      </c>
      <c r="K711" s="14">
        <f t="shared" si="137"/>
        <v>6.6893816144481617</v>
      </c>
      <c r="L711" s="14">
        <f t="shared" si="138"/>
        <v>655.78378744980637</v>
      </c>
      <c r="M711" s="14">
        <f t="shared" si="132"/>
        <v>0.31918025281354678</v>
      </c>
      <c r="N711" s="14">
        <f t="shared" si="139"/>
        <v>8.1679113306799991</v>
      </c>
      <c r="O711" s="4">
        <v>30.1813</v>
      </c>
      <c r="P711" s="14">
        <f t="shared" si="142"/>
        <v>484.58928070654622</v>
      </c>
      <c r="Q711" s="14">
        <f t="shared" si="140"/>
        <v>559.21139808961334</v>
      </c>
    </row>
    <row r="712" spans="1:17" x14ac:dyDescent="0.25">
      <c r="A712" s="5" t="s">
        <v>769</v>
      </c>
      <c r="B712" s="6">
        <f t="shared" si="141"/>
        <v>11</v>
      </c>
      <c r="C712" s="58">
        <v>16.436773299999999</v>
      </c>
      <c r="D712" s="4">
        <v>0</v>
      </c>
      <c r="E712" s="12">
        <f t="shared" si="130"/>
        <v>0</v>
      </c>
      <c r="F712" s="12">
        <f t="shared" si="131"/>
        <v>0</v>
      </c>
      <c r="G712" s="16">
        <f t="shared" si="133"/>
        <v>28.942065989079698</v>
      </c>
      <c r="H712" s="14">
        <f t="shared" si="134"/>
        <v>0</v>
      </c>
      <c r="I712" s="14">
        <f t="shared" si="135"/>
        <v>4.713877989479232</v>
      </c>
      <c r="J712" s="14">
        <f t="shared" si="136"/>
        <v>2.089716493533746</v>
      </c>
      <c r="K712" s="14">
        <f t="shared" si="137"/>
        <v>6.1771600268522899</v>
      </c>
      <c r="L712" s="14">
        <f t="shared" si="138"/>
        <v>655.97682878458863</v>
      </c>
      <c r="M712" s="14">
        <f t="shared" si="132"/>
        <v>0.29958758023027887</v>
      </c>
      <c r="N712" s="14">
        <f t="shared" si="139"/>
        <v>7.6665293968651218</v>
      </c>
      <c r="O712" s="4">
        <v>6.97</v>
      </c>
      <c r="P712" s="14">
        <f t="shared" si="142"/>
        <v>0.48515320069729068</v>
      </c>
      <c r="Q712" s="14">
        <f t="shared" si="140"/>
        <v>0.19040220021653267</v>
      </c>
    </row>
    <row r="713" spans="1:17" x14ac:dyDescent="0.25">
      <c r="A713" s="5" t="s">
        <v>770</v>
      </c>
      <c r="B713" s="6">
        <f t="shared" si="141"/>
        <v>11</v>
      </c>
      <c r="C713" s="58">
        <v>19.17058754</v>
      </c>
      <c r="D713" s="4">
        <v>0</v>
      </c>
      <c r="E713" s="12">
        <f t="shared" si="130"/>
        <v>0</v>
      </c>
      <c r="F713" s="12">
        <f t="shared" si="131"/>
        <v>0</v>
      </c>
      <c r="G713" s="16">
        <f t="shared" si="133"/>
        <v>25.591361022019907</v>
      </c>
      <c r="H713" s="14">
        <f t="shared" si="134"/>
        <v>0</v>
      </c>
      <c r="I713" s="14">
        <f t="shared" si="135"/>
        <v>8.1040917525652834</v>
      </c>
      <c r="J713" s="14">
        <f t="shared" si="136"/>
        <v>3.3507049670597895</v>
      </c>
      <c r="K713" s="14">
        <f t="shared" si="137"/>
        <v>5.7099982104213014</v>
      </c>
      <c r="L713" s="14">
        <f t="shared" si="138"/>
        <v>656.14440302078924</v>
      </c>
      <c r="M713" s="14">
        <f t="shared" si="132"/>
        <v>0.28171666247922983</v>
      </c>
      <c r="N713" s="14">
        <f t="shared" si="139"/>
        <v>7.209207647471958</v>
      </c>
      <c r="O713" s="4">
        <v>5.93</v>
      </c>
      <c r="P713" s="14">
        <f t="shared" si="142"/>
        <v>1.6363722053507419</v>
      </c>
      <c r="Q713" s="14">
        <f t="shared" si="140"/>
        <v>0.3643921082625004</v>
      </c>
    </row>
    <row r="714" spans="1:17" x14ac:dyDescent="0.25">
      <c r="A714" s="5" t="s">
        <v>771</v>
      </c>
      <c r="B714" s="6">
        <f t="shared" si="141"/>
        <v>12</v>
      </c>
      <c r="C714" s="58">
        <v>16.92094994</v>
      </c>
      <c r="D714" s="4">
        <v>0</v>
      </c>
      <c r="E714" s="12">
        <f t="shared" si="130"/>
        <v>0</v>
      </c>
      <c r="F714" s="12">
        <f t="shared" si="131"/>
        <v>0</v>
      </c>
      <c r="G714" s="16">
        <f t="shared" si="133"/>
        <v>23.115338835578292</v>
      </c>
      <c r="H714" s="14">
        <f t="shared" si="134"/>
        <v>0</v>
      </c>
      <c r="I714" s="14">
        <f t="shared" si="135"/>
        <v>6.7726531987214669</v>
      </c>
      <c r="J714" s="14">
        <f t="shared" si="136"/>
        <v>2.4760221864416141</v>
      </c>
      <c r="K714" s="14">
        <f t="shared" si="137"/>
        <v>5.2839322889215499</v>
      </c>
      <c r="L714" s="14">
        <f t="shared" si="138"/>
        <v>656.28875227980973</v>
      </c>
      <c r="M714" s="14">
        <f t="shared" si="132"/>
        <v>0.26541603838556255</v>
      </c>
      <c r="N714" s="14">
        <f t="shared" si="139"/>
        <v>6.7920701489638748</v>
      </c>
      <c r="O714" s="4">
        <v>5.26</v>
      </c>
      <c r="P714" s="14">
        <f t="shared" si="142"/>
        <v>2.3472389413461903</v>
      </c>
      <c r="Q714" s="14">
        <f t="shared" si="140"/>
        <v>1.6221817605613449</v>
      </c>
    </row>
    <row r="715" spans="1:17" x14ac:dyDescent="0.25">
      <c r="A715" s="5" t="s">
        <v>772</v>
      </c>
      <c r="B715" s="6">
        <f t="shared" si="141"/>
        <v>12</v>
      </c>
      <c r="C715" s="58">
        <v>17.929109570000001</v>
      </c>
      <c r="D715" s="4">
        <v>0</v>
      </c>
      <c r="E715" s="12">
        <f t="shared" si="130"/>
        <v>0</v>
      </c>
      <c r="F715" s="12">
        <f t="shared" si="131"/>
        <v>0</v>
      </c>
      <c r="G715" s="16">
        <f t="shared" si="133"/>
        <v>20.419477249813863</v>
      </c>
      <c r="H715" s="14">
        <f t="shared" si="134"/>
        <v>0</v>
      </c>
      <c r="I715" s="14">
        <f t="shared" si="135"/>
        <v>8.163849985205399</v>
      </c>
      <c r="J715" s="14">
        <f t="shared" si="136"/>
        <v>2.6958615857644306</v>
      </c>
      <c r="K715" s="14">
        <f t="shared" si="137"/>
        <v>4.895347085511097</v>
      </c>
      <c r="L715" s="14">
        <f t="shared" si="138"/>
        <v>656.41192144483466</v>
      </c>
      <c r="M715" s="14">
        <f t="shared" si="132"/>
        <v>0.25054757070689876</v>
      </c>
      <c r="N715" s="14">
        <f t="shared" si="139"/>
        <v>6.4115819309369568</v>
      </c>
      <c r="O715" s="4">
        <v>5.04</v>
      </c>
      <c r="P715" s="14">
        <f t="shared" si="142"/>
        <v>1.8812369932727508</v>
      </c>
      <c r="Q715" s="14">
        <f t="shared" si="140"/>
        <v>2.2309873180326063</v>
      </c>
    </row>
    <row r="716" spans="1:17" x14ac:dyDescent="0.25">
      <c r="A716" s="5" t="s">
        <v>773</v>
      </c>
      <c r="B716" s="6">
        <f t="shared" si="141"/>
        <v>12</v>
      </c>
      <c r="C716" s="58">
        <v>16.76150513</v>
      </c>
      <c r="D716" s="4">
        <v>0</v>
      </c>
      <c r="E716" s="12">
        <f t="shared" si="130"/>
        <v>0</v>
      </c>
      <c r="F716" s="12">
        <f t="shared" si="131"/>
        <v>0</v>
      </c>
      <c r="G716" s="16">
        <f t="shared" si="133"/>
        <v>18.508029034153637</v>
      </c>
      <c r="H716" s="14">
        <f t="shared" si="134"/>
        <v>0</v>
      </c>
      <c r="I716" s="14">
        <f t="shared" si="135"/>
        <v>6.552629404182559</v>
      </c>
      <c r="J716" s="14">
        <f t="shared" si="136"/>
        <v>1.9114482156602253</v>
      </c>
      <c r="K716" s="14">
        <f t="shared" si="137"/>
        <v>4.5409454479005866</v>
      </c>
      <c r="L716" s="14">
        <f t="shared" si="138"/>
        <v>656.5157755117383</v>
      </c>
      <c r="M716" s="14">
        <f t="shared" si="132"/>
        <v>0.23698527403639452</v>
      </c>
      <c r="N716" s="14">
        <f t="shared" si="139"/>
        <v>6.0645189918341247</v>
      </c>
      <c r="O716" s="4">
        <v>4.8600000000000003</v>
      </c>
      <c r="P716" s="14">
        <f t="shared" si="142"/>
        <v>1.4508660016890953</v>
      </c>
      <c r="Q716" s="14">
        <f t="shared" si="140"/>
        <v>2.8011009559636384</v>
      </c>
    </row>
    <row r="717" spans="1:17" x14ac:dyDescent="0.25">
      <c r="A717" s="5" t="s">
        <v>774</v>
      </c>
      <c r="B717" s="6">
        <f t="shared" si="141"/>
        <v>12</v>
      </c>
      <c r="C717" s="58">
        <v>14.005912779999999</v>
      </c>
      <c r="D717" s="4">
        <v>26.6</v>
      </c>
      <c r="E717" s="12">
        <f t="shared" si="130"/>
        <v>0</v>
      </c>
      <c r="F717" s="12">
        <f t="shared" si="131"/>
        <v>26.6</v>
      </c>
      <c r="G717" s="16">
        <f t="shared" si="133"/>
        <v>39.188319888953274</v>
      </c>
      <c r="H717" s="14">
        <f t="shared" si="134"/>
        <v>5.1925848024110914</v>
      </c>
      <c r="I717" s="14">
        <f t="shared" si="135"/>
        <v>2.7500855330500671</v>
      </c>
      <c r="J717" s="14">
        <f t="shared" si="136"/>
        <v>0.72712434278927351</v>
      </c>
      <c r="K717" s="14">
        <f t="shared" si="137"/>
        <v>9.4103050743691359</v>
      </c>
      <c r="L717" s="14">
        <f t="shared" si="138"/>
        <v>656.60201541364449</v>
      </c>
      <c r="M717" s="14">
        <f t="shared" si="132"/>
        <v>0.42364744075703598</v>
      </c>
      <c r="N717" s="14">
        <f t="shared" si="139"/>
        <v>10.841255688817204</v>
      </c>
      <c r="O717" s="4">
        <v>5.17</v>
      </c>
      <c r="P717" s="14">
        <f t="shared" si="142"/>
        <v>32.163141087941504</v>
      </c>
      <c r="Q717" s="14">
        <f t="shared" si="140"/>
        <v>1.8595385795268609</v>
      </c>
    </row>
    <row r="718" spans="1:17" x14ac:dyDescent="0.25">
      <c r="A718" s="5" t="s">
        <v>775</v>
      </c>
      <c r="B718" s="6">
        <f t="shared" si="141"/>
        <v>12</v>
      </c>
      <c r="C718" s="58">
        <v>17.327638629999999</v>
      </c>
      <c r="D718" s="4">
        <v>4.4000000000000004</v>
      </c>
      <c r="E718" s="12">
        <f t="shared" si="130"/>
        <v>0</v>
      </c>
      <c r="F718" s="12">
        <f t="shared" si="131"/>
        <v>4.4000000000000004</v>
      </c>
      <c r="G718" s="16">
        <f t="shared" si="133"/>
        <v>38.202782758047022</v>
      </c>
      <c r="H718" s="14">
        <f t="shared" si="134"/>
        <v>1.2797970680898256</v>
      </c>
      <c r="I718" s="14">
        <f t="shared" si="135"/>
        <v>7.3338579740280894</v>
      </c>
      <c r="J718" s="14">
        <f t="shared" si="136"/>
        <v>4.1057400628164258</v>
      </c>
      <c r="K718" s="14">
        <f t="shared" si="137"/>
        <v>9.9385228404866837</v>
      </c>
      <c r="L718" s="14">
        <f t="shared" si="138"/>
        <v>656.92994727485973</v>
      </c>
      <c r="M718" s="14">
        <f t="shared" si="132"/>
        <v>0.44396368710726453</v>
      </c>
      <c r="N718" s="14">
        <f t="shared" si="139"/>
        <v>11.361154076321318</v>
      </c>
      <c r="O718" s="4">
        <v>7.09</v>
      </c>
      <c r="P718" s="14">
        <f t="shared" si="142"/>
        <v>18.242757143676215</v>
      </c>
      <c r="Q718" s="14">
        <f t="shared" si="140"/>
        <v>0.30952644159584425</v>
      </c>
    </row>
    <row r="719" spans="1:17" x14ac:dyDescent="0.25">
      <c r="A719" s="5" t="s">
        <v>776</v>
      </c>
      <c r="B719" s="6">
        <f t="shared" si="141"/>
        <v>12</v>
      </c>
      <c r="C719" s="58">
        <v>17.606708529999999</v>
      </c>
      <c r="D719" s="4">
        <v>4.7</v>
      </c>
      <c r="E719" s="12">
        <f t="shared" si="130"/>
        <v>0</v>
      </c>
      <c r="F719" s="12">
        <f t="shared" si="131"/>
        <v>4.7</v>
      </c>
      <c r="G719" s="16">
        <f t="shared" si="133"/>
        <v>37.341456043292951</v>
      </c>
      <c r="H719" s="14">
        <f t="shared" si="134"/>
        <v>1.3486714277784417</v>
      </c>
      <c r="I719" s="14">
        <f t="shared" si="135"/>
        <v>7.7189568577082373</v>
      </c>
      <c r="J719" s="14">
        <f t="shared" si="136"/>
        <v>4.212655286975636</v>
      </c>
      <c r="K719" s="14">
        <f t="shared" si="137"/>
        <v>10.48914802260507</v>
      </c>
      <c r="L719" s="14">
        <f t="shared" si="138"/>
        <v>657.28402983341243</v>
      </c>
      <c r="M719" s="14">
        <f t="shared" si="132"/>
        <v>0.46514435926167247</v>
      </c>
      <c r="N719" s="14">
        <f t="shared" si="139"/>
        <v>11.90317336027266</v>
      </c>
      <c r="O719" s="4">
        <v>7.88</v>
      </c>
      <c r="P719" s="14">
        <f t="shared" si="142"/>
        <v>16.185923886807611</v>
      </c>
      <c r="Q719" s="14">
        <f t="shared" si="140"/>
        <v>1.8126610306763113</v>
      </c>
    </row>
    <row r="720" spans="1:17" x14ac:dyDescent="0.25">
      <c r="A720" s="5" t="s">
        <v>777</v>
      </c>
      <c r="B720" s="6">
        <f t="shared" si="141"/>
        <v>12</v>
      </c>
      <c r="C720" s="58">
        <v>17.938961030000002</v>
      </c>
      <c r="D720" s="4">
        <v>4.4000000000000004</v>
      </c>
      <c r="E720" s="12">
        <f t="shared" si="130"/>
        <v>0</v>
      </c>
      <c r="F720" s="12">
        <f t="shared" si="131"/>
        <v>4.4000000000000004</v>
      </c>
      <c r="G720" s="16">
        <f t="shared" si="133"/>
        <v>36.131826913985421</v>
      </c>
      <c r="H720" s="14">
        <f t="shared" si="134"/>
        <v>1.2473730373967238</v>
      </c>
      <c r="I720" s="14">
        <f t="shared" si="135"/>
        <v>8.1774443794722824</v>
      </c>
      <c r="J720" s="14">
        <f t="shared" si="136"/>
        <v>4.3622560919108002</v>
      </c>
      <c r="K720" s="14">
        <f t="shared" si="137"/>
        <v>10.890036706099702</v>
      </c>
      <c r="L720" s="14">
        <f t="shared" si="138"/>
        <v>657.66536982805292</v>
      </c>
      <c r="M720" s="14">
        <f t="shared" si="132"/>
        <v>0.48059136852115675</v>
      </c>
      <c r="N720" s="14">
        <f t="shared" si="139"/>
        <v>12.298466618058766</v>
      </c>
      <c r="O720" s="4">
        <v>7.92</v>
      </c>
      <c r="P720" s="14">
        <f t="shared" si="142"/>
        <v>19.170969925454973</v>
      </c>
      <c r="Q720" s="14">
        <f t="shared" si="140"/>
        <v>1.9219691111360819</v>
      </c>
    </row>
    <row r="721" spans="1:17" x14ac:dyDescent="0.25">
      <c r="A721" s="5" t="s">
        <v>778</v>
      </c>
      <c r="B721" s="6">
        <f t="shared" si="141"/>
        <v>12</v>
      </c>
      <c r="C721" s="58">
        <v>18.760700230000001</v>
      </c>
      <c r="D721" s="4">
        <v>0.3</v>
      </c>
      <c r="E721" s="12">
        <f t="shared" si="130"/>
        <v>0</v>
      </c>
      <c r="F721" s="12">
        <f t="shared" si="131"/>
        <v>0.3</v>
      </c>
      <c r="G721" s="16">
        <f t="shared" si="133"/>
        <v>31.541998820186279</v>
      </c>
      <c r="H721" s="14">
        <f t="shared" si="134"/>
        <v>8.3572356717500268E-2</v>
      </c>
      <c r="I721" s="14">
        <f t="shared" si="135"/>
        <v>9.3113927149832705</v>
      </c>
      <c r="J721" s="14">
        <f t="shared" si="136"/>
        <v>4.8062557370816368</v>
      </c>
      <c r="K721" s="14">
        <f t="shared" si="137"/>
        <v>10.091858814664842</v>
      </c>
      <c r="L721" s="14">
        <f t="shared" si="138"/>
        <v>658.06652870768414</v>
      </c>
      <c r="M721" s="14">
        <f t="shared" si="132"/>
        <v>0.45008202938806674</v>
      </c>
      <c r="N721" s="14">
        <f t="shared" si="139"/>
        <v>11.517724154826569</v>
      </c>
      <c r="O721" s="4">
        <v>9.18</v>
      </c>
      <c r="P721" s="14">
        <f t="shared" si="142"/>
        <v>5.4649542240595963</v>
      </c>
      <c r="Q721" s="14">
        <f t="shared" si="140"/>
        <v>7.0031736456188511</v>
      </c>
    </row>
    <row r="722" spans="1:17" x14ac:dyDescent="0.25">
      <c r="A722" s="5" t="s">
        <v>779</v>
      </c>
      <c r="B722" s="6">
        <f t="shared" si="141"/>
        <v>12</v>
      </c>
      <c r="C722" s="58">
        <v>18.808202739999999</v>
      </c>
      <c r="D722" s="4">
        <v>2.1</v>
      </c>
      <c r="E722" s="12">
        <f t="shared" si="130"/>
        <v>0</v>
      </c>
      <c r="F722" s="12">
        <f t="shared" si="131"/>
        <v>2.1</v>
      </c>
      <c r="G722" s="16">
        <f t="shared" si="133"/>
        <v>28.87249655839798</v>
      </c>
      <c r="H722" s="14">
        <f t="shared" si="134"/>
        <v>0.54424840783150619</v>
      </c>
      <c r="I722" s="14">
        <f t="shared" si="135"/>
        <v>9.3769431866500614</v>
      </c>
      <c r="J722" s="14">
        <f t="shared" si="136"/>
        <v>4.2252538539567981</v>
      </c>
      <c r="K722" s="14">
        <f t="shared" si="137"/>
        <v>9.8245721195231113</v>
      </c>
      <c r="L722" s="14">
        <f t="shared" si="138"/>
        <v>658.4279817812693</v>
      </c>
      <c r="M722" s="14">
        <f t="shared" si="132"/>
        <v>0.43991347810075077</v>
      </c>
      <c r="N722" s="14">
        <f t="shared" si="139"/>
        <v>11.257508102786574</v>
      </c>
      <c r="O722" s="4">
        <v>8.18</v>
      </c>
      <c r="P722" s="14">
        <f t="shared" si="142"/>
        <v>9.4710561227170178</v>
      </c>
      <c r="Q722" s="14">
        <f t="shared" si="140"/>
        <v>2.7104716341245894</v>
      </c>
    </row>
    <row r="723" spans="1:17" x14ac:dyDescent="0.25">
      <c r="A723" s="5" t="s">
        <v>780</v>
      </c>
      <c r="B723" s="6">
        <f t="shared" si="141"/>
        <v>12</v>
      </c>
      <c r="C723" s="58">
        <v>19.396795269999998</v>
      </c>
      <c r="D723" s="4">
        <v>3.4</v>
      </c>
      <c r="E723" s="12">
        <f t="shared" si="130"/>
        <v>0</v>
      </c>
      <c r="F723" s="12">
        <f t="shared" si="131"/>
        <v>3.4</v>
      </c>
      <c r="G723" s="16">
        <f t="shared" si="133"/>
        <v>27.229126471812044</v>
      </c>
      <c r="H723" s="14">
        <f t="shared" si="134"/>
        <v>0.8407010235632485</v>
      </c>
      <c r="I723" s="14">
        <f t="shared" si="135"/>
        <v>10.189163803224885</v>
      </c>
      <c r="J723" s="14">
        <f t="shared" si="136"/>
        <v>4.2026690630226886</v>
      </c>
      <c r="K723" s="14">
        <f t="shared" si="137"/>
        <v>9.8772510618407541</v>
      </c>
      <c r="L723" s="14">
        <f t="shared" si="138"/>
        <v>658.77609038441415</v>
      </c>
      <c r="M723" s="14">
        <f t="shared" si="132"/>
        <v>0.44200646840420921</v>
      </c>
      <c r="N723" s="14">
        <f t="shared" si="139"/>
        <v>11.311068306038271</v>
      </c>
      <c r="O723" s="4">
        <v>7.76</v>
      </c>
      <c r="P723" s="14">
        <f t="shared" si="142"/>
        <v>12.610086114149516</v>
      </c>
      <c r="Q723" s="14">
        <f t="shared" si="140"/>
        <v>1.5039367892969997</v>
      </c>
    </row>
    <row r="724" spans="1:17" x14ac:dyDescent="0.25">
      <c r="A724" s="5" t="s">
        <v>781</v>
      </c>
      <c r="B724" s="6">
        <f t="shared" si="141"/>
        <v>12</v>
      </c>
      <c r="C724" s="58">
        <v>19.288932800000001</v>
      </c>
      <c r="D724" s="4">
        <v>0</v>
      </c>
      <c r="E724" s="12">
        <f t="shared" si="130"/>
        <v>0</v>
      </c>
      <c r="F724" s="12">
        <f t="shared" si="131"/>
        <v>0</v>
      </c>
      <c r="G724" s="16">
        <f t="shared" si="133"/>
        <v>23.323563979549654</v>
      </c>
      <c r="H724" s="14">
        <f t="shared" si="134"/>
        <v>0</v>
      </c>
      <c r="I724" s="14">
        <f t="shared" si="135"/>
        <v>10.040320388768569</v>
      </c>
      <c r="J724" s="14">
        <f t="shared" si="136"/>
        <v>3.9055624922623897</v>
      </c>
      <c r="K724" s="14">
        <f t="shared" si="137"/>
        <v>9.0845948512583075</v>
      </c>
      <c r="L724" s="14">
        <f t="shared" si="138"/>
        <v>659.12674012659238</v>
      </c>
      <c r="M724" s="14">
        <f t="shared" si="132"/>
        <v>0.41169806988324731</v>
      </c>
      <c r="N724" s="14">
        <f t="shared" si="139"/>
        <v>10.535467968887266</v>
      </c>
      <c r="O724" s="4">
        <v>6.82</v>
      </c>
      <c r="P724" s="14">
        <f t="shared" si="142"/>
        <v>13.804702227827265</v>
      </c>
      <c r="Q724" s="14">
        <f t="shared" si="140"/>
        <v>8.1996898492393708E-2</v>
      </c>
    </row>
    <row r="725" spans="1:17" x14ac:dyDescent="0.25">
      <c r="A725" s="5" t="s">
        <v>782</v>
      </c>
      <c r="B725" s="6">
        <f t="shared" si="141"/>
        <v>12</v>
      </c>
      <c r="C725" s="58">
        <v>18.706001279999999</v>
      </c>
      <c r="D725" s="4">
        <v>0</v>
      </c>
      <c r="E725" s="12">
        <f t="shared" si="130"/>
        <v>0</v>
      </c>
      <c r="F725" s="12">
        <f t="shared" si="131"/>
        <v>0</v>
      </c>
      <c r="G725" s="16">
        <f t="shared" si="133"/>
        <v>20.246213275418</v>
      </c>
      <c r="H725" s="14">
        <f t="shared" si="134"/>
        <v>0</v>
      </c>
      <c r="I725" s="14">
        <f t="shared" si="135"/>
        <v>9.2359116094126676</v>
      </c>
      <c r="J725" s="14">
        <f t="shared" si="136"/>
        <v>3.0773507041316521</v>
      </c>
      <c r="K725" s="14">
        <f t="shared" si="137"/>
        <v>8.3616680474915857</v>
      </c>
      <c r="L725" s="14">
        <f t="shared" si="138"/>
        <v>659.43796886047585</v>
      </c>
      <c r="M725" s="14">
        <f t="shared" si="132"/>
        <v>0.38405406212372628</v>
      </c>
      <c r="N725" s="14">
        <f t="shared" si="139"/>
        <v>9.8280501314300786</v>
      </c>
      <c r="O725" s="4">
        <v>5.6</v>
      </c>
      <c r="P725" s="14">
        <f t="shared" si="142"/>
        <v>17.876407913885906</v>
      </c>
      <c r="Q725" s="14">
        <f t="shared" si="140"/>
        <v>0.8717004444693941</v>
      </c>
    </row>
    <row r="726" spans="1:17" x14ac:dyDescent="0.25">
      <c r="A726" s="5" t="s">
        <v>783</v>
      </c>
      <c r="B726" s="6">
        <f t="shared" si="141"/>
        <v>12</v>
      </c>
      <c r="C726" s="58">
        <v>16.605325700000002</v>
      </c>
      <c r="D726" s="4">
        <v>0</v>
      </c>
      <c r="E726" s="12">
        <f t="shared" si="130"/>
        <v>0</v>
      </c>
      <c r="F726" s="12">
        <f t="shared" si="131"/>
        <v>0</v>
      </c>
      <c r="G726" s="16">
        <f t="shared" si="133"/>
        <v>18.413318744154267</v>
      </c>
      <c r="H726" s="14">
        <f t="shared" si="134"/>
        <v>0</v>
      </c>
      <c r="I726" s="14">
        <f t="shared" si="135"/>
        <v>6.3371116283607982</v>
      </c>
      <c r="J726" s="14">
        <f t="shared" si="136"/>
        <v>1.8328945312637317</v>
      </c>
      <c r="K726" s="14">
        <f t="shared" si="137"/>
        <v>7.7023366038883818</v>
      </c>
      <c r="L726" s="14">
        <f t="shared" si="138"/>
        <v>659.7132462419554</v>
      </c>
      <c r="M726" s="14">
        <f t="shared" si="132"/>
        <v>0.35884006093811732</v>
      </c>
      <c r="N726" s="14">
        <f t="shared" si="139"/>
        <v>9.182816837201127</v>
      </c>
      <c r="O726" s="4">
        <v>4.84</v>
      </c>
      <c r="P726" s="14">
        <f t="shared" si="142"/>
        <v>18.8600580814776</v>
      </c>
      <c r="Q726" s="14">
        <f t="shared" si="140"/>
        <v>2.8684469157337547</v>
      </c>
    </row>
    <row r="727" spans="1:17" x14ac:dyDescent="0.25">
      <c r="A727" s="5" t="s">
        <v>784</v>
      </c>
      <c r="B727" s="6">
        <f t="shared" si="141"/>
        <v>12</v>
      </c>
      <c r="C727" s="58">
        <v>16.200126650000001</v>
      </c>
      <c r="D727" s="4">
        <v>0</v>
      </c>
      <c r="E727" s="12">
        <f t="shared" si="130"/>
        <v>0</v>
      </c>
      <c r="F727" s="12">
        <f t="shared" si="131"/>
        <v>0</v>
      </c>
      <c r="G727" s="16">
        <f t="shared" si="133"/>
        <v>16.893439452316336</v>
      </c>
      <c r="H727" s="14">
        <f t="shared" si="134"/>
        <v>0</v>
      </c>
      <c r="I727" s="14">
        <f t="shared" si="135"/>
        <v>5.7779624624233152</v>
      </c>
      <c r="J727" s="14">
        <f t="shared" si="136"/>
        <v>1.5198792918379329</v>
      </c>
      <c r="K727" s="14">
        <f t="shared" si="137"/>
        <v>7.1010060815466467</v>
      </c>
      <c r="L727" s="14">
        <f t="shared" si="138"/>
        <v>659.95573670335909</v>
      </c>
      <c r="M727" s="14">
        <f t="shared" si="132"/>
        <v>0.33584230075018917</v>
      </c>
      <c r="N727" s="14">
        <f t="shared" si="139"/>
        <v>8.5942977657253259</v>
      </c>
      <c r="O727" s="4">
        <v>4.28</v>
      </c>
      <c r="P727" s="14">
        <f t="shared" si="142"/>
        <v>18.613165211342537</v>
      </c>
      <c r="Q727" s="14">
        <f t="shared" si="140"/>
        <v>5.0789337892969657</v>
      </c>
    </row>
    <row r="728" spans="1:17" x14ac:dyDescent="0.25">
      <c r="A728" s="5" t="s">
        <v>785</v>
      </c>
      <c r="B728" s="6">
        <f t="shared" si="141"/>
        <v>12</v>
      </c>
      <c r="C728" s="58">
        <v>20.27138519</v>
      </c>
      <c r="D728" s="4">
        <v>0</v>
      </c>
      <c r="E728" s="12">
        <f t="shared" si="130"/>
        <v>0</v>
      </c>
      <c r="F728" s="12">
        <f t="shared" si="131"/>
        <v>0</v>
      </c>
      <c r="G728" s="16">
        <f t="shared" si="133"/>
        <v>14.143174958574441</v>
      </c>
      <c r="H728" s="14">
        <f t="shared" si="134"/>
        <v>0</v>
      </c>
      <c r="I728" s="14">
        <f t="shared" si="135"/>
        <v>11.396042803324541</v>
      </c>
      <c r="J728" s="14">
        <f t="shared" si="136"/>
        <v>2.7502644937418941</v>
      </c>
      <c r="K728" s="14">
        <f t="shared" si="137"/>
        <v>6.5525741804019475</v>
      </c>
      <c r="L728" s="14">
        <f t="shared" si="138"/>
        <v>660.16832630375359</v>
      </c>
      <c r="M728" s="14">
        <f t="shared" si="132"/>
        <v>0.3148658207903397</v>
      </c>
      <c r="N728" s="14">
        <f t="shared" si="139"/>
        <v>8.0575038167527904</v>
      </c>
      <c r="O728" s="4">
        <v>4.3499999999999996</v>
      </c>
      <c r="P728" s="14">
        <f t="shared" si="142"/>
        <v>13.745584551236512</v>
      </c>
      <c r="Q728" s="14">
        <f t="shared" si="140"/>
        <v>4.7683229301015668</v>
      </c>
    </row>
    <row r="729" spans="1:17" x14ac:dyDescent="0.25">
      <c r="A729" s="5" t="s">
        <v>786</v>
      </c>
      <c r="B729" s="6">
        <f t="shared" si="141"/>
        <v>12</v>
      </c>
      <c r="C729" s="58">
        <v>18.29721451</v>
      </c>
      <c r="D729" s="4">
        <v>0</v>
      </c>
      <c r="E729" s="12">
        <f t="shared" si="130"/>
        <v>0</v>
      </c>
      <c r="F729" s="12">
        <f t="shared" si="131"/>
        <v>0</v>
      </c>
      <c r="G729" s="16">
        <f t="shared" si="133"/>
        <v>12.39107427379836</v>
      </c>
      <c r="H729" s="14">
        <f t="shared" si="134"/>
        <v>0</v>
      </c>
      <c r="I729" s="14">
        <f t="shared" si="135"/>
        <v>8.6718116158619036</v>
      </c>
      <c r="J729" s="14">
        <f t="shared" si="136"/>
        <v>1.7521006847760825</v>
      </c>
      <c r="K729" s="14">
        <f t="shared" si="137"/>
        <v>6.0523874461216307</v>
      </c>
      <c r="L729" s="14">
        <f t="shared" si="138"/>
        <v>660.35364721724363</v>
      </c>
      <c r="M729" s="14">
        <f t="shared" si="132"/>
        <v>0.29573281085004322</v>
      </c>
      <c r="N729" s="14">
        <f t="shared" si="139"/>
        <v>7.5678847776556193</v>
      </c>
      <c r="O729" s="4">
        <v>4.32</v>
      </c>
      <c r="P729" s="14">
        <f t="shared" si="142"/>
        <v>10.54875552892709</v>
      </c>
      <c r="Q729" s="14">
        <f t="shared" si="140"/>
        <v>4.9002418697567363</v>
      </c>
    </row>
    <row r="730" spans="1:17" x14ac:dyDescent="0.25">
      <c r="A730" s="5" t="s">
        <v>787</v>
      </c>
      <c r="B730" s="6">
        <f t="shared" si="141"/>
        <v>12</v>
      </c>
      <c r="C730" s="58">
        <v>17.394344329999999</v>
      </c>
      <c r="D730" s="4">
        <v>0</v>
      </c>
      <c r="E730" s="12">
        <f t="shared" si="130"/>
        <v>0</v>
      </c>
      <c r="F730" s="12">
        <f t="shared" si="131"/>
        <v>0</v>
      </c>
      <c r="G730" s="16">
        <f t="shared" si="133"/>
        <v>11.076573596609846</v>
      </c>
      <c r="H730" s="14">
        <f t="shared" si="134"/>
        <v>0</v>
      </c>
      <c r="I730" s="14">
        <f t="shared" si="135"/>
        <v>7.4259076383061169</v>
      </c>
      <c r="J730" s="14">
        <f t="shared" si="136"/>
        <v>1.3145006771885144</v>
      </c>
      <c r="K730" s="14">
        <f t="shared" si="137"/>
        <v>5.5962017854629194</v>
      </c>
      <c r="L730" s="14">
        <f t="shared" si="138"/>
        <v>660.51410006705237</v>
      </c>
      <c r="M730" s="14">
        <f t="shared" si="132"/>
        <v>0.27828110255910932</v>
      </c>
      <c r="N730" s="14">
        <f t="shared" si="139"/>
        <v>7.1212907147938731</v>
      </c>
      <c r="O730" s="4">
        <v>4.01</v>
      </c>
      <c r="P730" s="14">
        <f t="shared" si="142"/>
        <v>9.6801299119625703</v>
      </c>
      <c r="Q730" s="14">
        <f t="shared" si="140"/>
        <v>6.368804246193517</v>
      </c>
    </row>
    <row r="731" spans="1:17" x14ac:dyDescent="0.25">
      <c r="A731" s="5" t="s">
        <v>788</v>
      </c>
      <c r="B731" s="6">
        <f t="shared" si="141"/>
        <v>12</v>
      </c>
      <c r="C731" s="58">
        <v>18.558364869999998</v>
      </c>
      <c r="D731" s="4">
        <v>0</v>
      </c>
      <c r="E731" s="12">
        <f t="shared" ref="E731:E794" si="143">IF(C731&gt;$C$9,MAX(E730-$C$10*(C731-$C$9),0),E730+D731)</f>
        <v>0</v>
      </c>
      <c r="F731" s="12">
        <f t="shared" ref="F731:F794" si="144">IF(C731&gt;$C$9,D731+MIN(E730,$C$10*(C731-$C$9)),0)</f>
        <v>0</v>
      </c>
      <c r="G731" s="16">
        <f t="shared" si="133"/>
        <v>9.6473490709340659</v>
      </c>
      <c r="H731" s="14">
        <f t="shared" si="134"/>
        <v>0</v>
      </c>
      <c r="I731" s="14">
        <f t="shared" si="135"/>
        <v>9.0321826630750497</v>
      </c>
      <c r="J731" s="14">
        <f t="shared" si="136"/>
        <v>1.4292245256757801</v>
      </c>
      <c r="K731" s="14">
        <f t="shared" si="137"/>
        <v>5.1801464550670548</v>
      </c>
      <c r="L731" s="14">
        <f t="shared" si="138"/>
        <v>660.65187429488913</v>
      </c>
      <c r="M731" s="14">
        <f t="shared" si="132"/>
        <v>0.26236279338421614</v>
      </c>
      <c r="N731" s="14">
        <f t="shared" si="139"/>
        <v>6.7139367612558081</v>
      </c>
      <c r="O731" s="4">
        <v>3.7</v>
      </c>
      <c r="P731" s="14">
        <f t="shared" si="142"/>
        <v>9.0838148008491491</v>
      </c>
      <c r="Q731" s="14">
        <f t="shared" si="140"/>
        <v>8.0295666226302949</v>
      </c>
    </row>
    <row r="732" spans="1:17" x14ac:dyDescent="0.25">
      <c r="A732" s="5" t="s">
        <v>789</v>
      </c>
      <c r="B732" s="6">
        <f t="shared" si="141"/>
        <v>12</v>
      </c>
      <c r="C732" s="58">
        <v>17.485982889999999</v>
      </c>
      <c r="D732" s="4">
        <v>0</v>
      </c>
      <c r="E732" s="12">
        <f t="shared" si="143"/>
        <v>0</v>
      </c>
      <c r="F732" s="12">
        <f t="shared" si="144"/>
        <v>0</v>
      </c>
      <c r="G732" s="16">
        <f t="shared" si="133"/>
        <v>8.6064870456381648</v>
      </c>
      <c r="H732" s="14">
        <f t="shared" si="134"/>
        <v>0</v>
      </c>
      <c r="I732" s="14">
        <f t="shared" si="135"/>
        <v>7.5523630788894849</v>
      </c>
      <c r="J732" s="14">
        <f t="shared" si="136"/>
        <v>1.0408620252959013</v>
      </c>
      <c r="K732" s="14">
        <f t="shared" si="137"/>
        <v>4.8006912181337853</v>
      </c>
      <c r="L732" s="14">
        <f t="shared" si="138"/>
        <v>660.76896673843828</v>
      </c>
      <c r="M732" s="14">
        <f t="shared" si="132"/>
        <v>0.24784299167332019</v>
      </c>
      <c r="N732" s="14">
        <f t="shared" si="139"/>
        <v>6.3423710021957289</v>
      </c>
      <c r="O732" s="4">
        <v>3.54</v>
      </c>
      <c r="P732" s="14">
        <f t="shared" si="142"/>
        <v>7.8532832339474936</v>
      </c>
      <c r="Q732" s="14">
        <f t="shared" si="140"/>
        <v>8.9619343007912136</v>
      </c>
    </row>
    <row r="733" spans="1:17" x14ac:dyDescent="0.25">
      <c r="A733" s="5" t="s">
        <v>790</v>
      </c>
      <c r="B733" s="6">
        <f t="shared" si="141"/>
        <v>12</v>
      </c>
      <c r="C733" s="58">
        <v>14.908347129999999</v>
      </c>
      <c r="D733" s="4">
        <v>0</v>
      </c>
      <c r="E733" s="12">
        <f t="shared" si="143"/>
        <v>0</v>
      </c>
      <c r="F733" s="12">
        <f t="shared" si="144"/>
        <v>0</v>
      </c>
      <c r="G733" s="16">
        <f t="shared" si="133"/>
        <v>8.1152544223476006</v>
      </c>
      <c r="H733" s="14">
        <f t="shared" si="134"/>
        <v>0</v>
      </c>
      <c r="I733" s="14">
        <f t="shared" si="135"/>
        <v>3.9953880926583247</v>
      </c>
      <c r="J733" s="14">
        <f t="shared" si="136"/>
        <v>0.491232623290564</v>
      </c>
      <c r="K733" s="14">
        <f t="shared" si="137"/>
        <v>4.4546163902999849</v>
      </c>
      <c r="L733" s="14">
        <f t="shared" si="138"/>
        <v>660.86719857459877</v>
      </c>
      <c r="M733" s="14">
        <f t="shared" si="132"/>
        <v>0.2345986720976227</v>
      </c>
      <c r="N733" s="14">
        <f t="shared" si="139"/>
        <v>6.0034451852759698</v>
      </c>
      <c r="O733" s="4">
        <v>3.38</v>
      </c>
      <c r="P733" s="14">
        <f t="shared" si="142"/>
        <v>6.8824646401476679</v>
      </c>
      <c r="Q733" s="14">
        <f t="shared" si="140"/>
        <v>9.9455019789521319</v>
      </c>
    </row>
    <row r="734" spans="1:17" x14ac:dyDescent="0.25">
      <c r="A734" s="5" t="s">
        <v>791</v>
      </c>
      <c r="B734" s="6">
        <f t="shared" si="141"/>
        <v>12</v>
      </c>
      <c r="C734" s="58">
        <v>15.188742639999999</v>
      </c>
      <c r="D734" s="4">
        <v>0</v>
      </c>
      <c r="E734" s="12">
        <f t="shared" si="143"/>
        <v>0</v>
      </c>
      <c r="F734" s="12">
        <f t="shared" si="144"/>
        <v>0</v>
      </c>
      <c r="G734" s="16">
        <f t="shared" si="133"/>
        <v>7.6072024234528017</v>
      </c>
      <c r="H734" s="14">
        <f t="shared" si="134"/>
        <v>0</v>
      </c>
      <c r="I734" s="14">
        <f t="shared" si="135"/>
        <v>4.382316234639692</v>
      </c>
      <c r="J734" s="14">
        <f t="shared" si="136"/>
        <v>0.50805199889479902</v>
      </c>
      <c r="K734" s="14">
        <f t="shared" si="137"/>
        <v>4.1389855205611736</v>
      </c>
      <c r="L734" s="14">
        <f t="shared" si="138"/>
        <v>660.94823077223998</v>
      </c>
      <c r="M734" s="14">
        <f t="shared" si="132"/>
        <v>0.2225176317794976</v>
      </c>
      <c r="N734" s="14">
        <f t="shared" si="139"/>
        <v>5.6942880076906155</v>
      </c>
      <c r="O734" s="4">
        <v>3.17</v>
      </c>
      <c r="P734" s="14">
        <f t="shared" si="142"/>
        <v>6.3720299457706568</v>
      </c>
      <c r="Q734" s="14">
        <f t="shared" si="140"/>
        <v>11.314134556538336</v>
      </c>
    </row>
    <row r="735" spans="1:17" x14ac:dyDescent="0.25">
      <c r="A735" s="5" t="s">
        <v>792</v>
      </c>
      <c r="B735" s="6">
        <f t="shared" si="141"/>
        <v>12</v>
      </c>
      <c r="C735" s="58">
        <v>15.331450459999999</v>
      </c>
      <c r="D735" s="4">
        <v>0</v>
      </c>
      <c r="E735" s="12">
        <f t="shared" si="143"/>
        <v>0</v>
      </c>
      <c r="F735" s="12">
        <f t="shared" si="144"/>
        <v>0</v>
      </c>
      <c r="G735" s="16">
        <f t="shared" si="133"/>
        <v>7.1095557881855935</v>
      </c>
      <c r="H735" s="14">
        <f t="shared" si="134"/>
        <v>0</v>
      </c>
      <c r="I735" s="14">
        <f t="shared" si="135"/>
        <v>4.5792440372240177</v>
      </c>
      <c r="J735" s="14">
        <f t="shared" si="136"/>
        <v>0.49764663526720865</v>
      </c>
      <c r="K735" s="14">
        <f t="shared" si="137"/>
        <v>3.8511204754330675</v>
      </c>
      <c r="L735" s="14">
        <f t="shared" si="138"/>
        <v>661.01357818558859</v>
      </c>
      <c r="M735" s="14">
        <f t="shared" ref="M735:M798" si="145">MAX(0,K735-$F$9)*$F$8+K735*$F$10+L735*$F$11</f>
        <v>0.21149753824910827</v>
      </c>
      <c r="N735" s="14">
        <f t="shared" si="139"/>
        <v>5.4122807531108608</v>
      </c>
      <c r="O735" s="4">
        <v>2.99</v>
      </c>
      <c r="P735" s="14">
        <f t="shared" si="142"/>
        <v>5.8674440468913174</v>
      </c>
      <c r="Q735" s="14">
        <f t="shared" si="140"/>
        <v>12.557448194469368</v>
      </c>
    </row>
    <row r="736" spans="1:17" x14ac:dyDescent="0.25">
      <c r="A736" s="5" t="s">
        <v>793</v>
      </c>
      <c r="B736" s="6">
        <f t="shared" si="141"/>
        <v>12</v>
      </c>
      <c r="C736" s="58">
        <v>15.4964838</v>
      </c>
      <c r="D736" s="4">
        <v>0</v>
      </c>
      <c r="E736" s="12">
        <f t="shared" si="143"/>
        <v>0</v>
      </c>
      <c r="F736" s="12">
        <f t="shared" si="144"/>
        <v>0</v>
      </c>
      <c r="G736" s="16">
        <f t="shared" ref="G736:G799" si="146">G735+F736-H736-J736</f>
        <v>6.6213341081730288</v>
      </c>
      <c r="H736" s="14">
        <f t="shared" ref="H736:H799" si="147">(F736*(G735/$C$11)^$C$12)</f>
        <v>0</v>
      </c>
      <c r="I736" s="14">
        <f t="shared" ref="I736:I799" si="148">(1+$C$13*(C736-INDEX($A$16:$A$27,B736)))*INDEX($C$16:$C$27,B736)</f>
        <v>4.8069796511472918</v>
      </c>
      <c r="J736" s="14">
        <f t="shared" ref="J736:J799" si="149">IF(G735&gt;$F$13,I736,I736*(G735/$F$13))</f>
        <v>0.4882216800125645</v>
      </c>
      <c r="K736" s="14">
        <f t="shared" ref="K736:K799" si="150">K735+H736-MAX(0,K735-$F$9)*$F$8-K735*$F$10-K735*$F$12</f>
        <v>3.5885787149418342</v>
      </c>
      <c r="L736" s="14">
        <f t="shared" ref="L736:L799" si="151">L735+K735*$F$12-L735*$F$11</f>
        <v>661.06462240783071</v>
      </c>
      <c r="M736" s="14">
        <f t="shared" si="145"/>
        <v>0.20144506115160787</v>
      </c>
      <c r="N736" s="14">
        <f t="shared" ref="N736:N799" si="152">M736*$C$8*1000/(24*3600)</f>
        <v>5.1550350718310769</v>
      </c>
      <c r="O736" s="4">
        <v>2.96</v>
      </c>
      <c r="P736" s="14">
        <f t="shared" si="142"/>
        <v>4.8181789665684613</v>
      </c>
      <c r="Q736" s="14">
        <f t="shared" ref="Q736:Q799" si="153">(O736-$F$23)^2</f>
        <v>12.770967134124541</v>
      </c>
    </row>
    <row r="737" spans="1:17" x14ac:dyDescent="0.25">
      <c r="A737" s="5" t="s">
        <v>794</v>
      </c>
      <c r="B737" s="6">
        <f t="shared" ref="B737:B800" si="154">MONTH(A737)</f>
        <v>12</v>
      </c>
      <c r="C737" s="58">
        <v>17.224285129999998</v>
      </c>
      <c r="D737" s="4">
        <v>3.8</v>
      </c>
      <c r="E737" s="12">
        <f t="shared" si="143"/>
        <v>0</v>
      </c>
      <c r="F737" s="12">
        <f t="shared" si="144"/>
        <v>3.8</v>
      </c>
      <c r="G737" s="16">
        <f t="shared" si="146"/>
        <v>9.3115933271540463</v>
      </c>
      <c r="H737" s="14">
        <f t="shared" si="147"/>
        <v>0.4295176525902093</v>
      </c>
      <c r="I737" s="14">
        <f t="shared" si="148"/>
        <v>7.1912366541564854</v>
      </c>
      <c r="J737" s="14">
        <f t="shared" si="149"/>
        <v>0.68022312842877053</v>
      </c>
      <c r="K737" s="14">
        <f t="shared" si="150"/>
        <v>3.7786502202196406</v>
      </c>
      <c r="L737" s="14">
        <f t="shared" si="151"/>
        <v>661.10262349399147</v>
      </c>
      <c r="M737" s="14">
        <f t="shared" si="145"/>
        <v>0.20873860937593286</v>
      </c>
      <c r="N737" s="14">
        <f t="shared" si="152"/>
        <v>5.3416789968771701</v>
      </c>
      <c r="O737" s="4">
        <v>3.22</v>
      </c>
      <c r="P737" s="14">
        <f t="shared" ref="P737:P800" si="155">(O737-N737)^2</f>
        <v>4.5015217657897137</v>
      </c>
      <c r="Q737" s="14">
        <f t="shared" si="153"/>
        <v>10.980269657113048</v>
      </c>
    </row>
    <row r="738" spans="1:17" x14ac:dyDescent="0.25">
      <c r="A738" s="5" t="s">
        <v>795</v>
      </c>
      <c r="B738" s="6">
        <f t="shared" si="154"/>
        <v>12</v>
      </c>
      <c r="C738" s="58">
        <v>16.150121689999999</v>
      </c>
      <c r="D738" s="4">
        <v>0</v>
      </c>
      <c r="E738" s="12">
        <f t="shared" si="143"/>
        <v>0</v>
      </c>
      <c r="F738" s="12">
        <f t="shared" si="144"/>
        <v>0</v>
      </c>
      <c r="G738" s="16">
        <f t="shared" si="146"/>
        <v>8.5521712515504191</v>
      </c>
      <c r="H738" s="14">
        <f t="shared" si="147"/>
        <v>0</v>
      </c>
      <c r="I738" s="14">
        <f t="shared" si="148"/>
        <v>5.7089587673832147</v>
      </c>
      <c r="J738" s="14">
        <f t="shared" si="149"/>
        <v>0.75942207560362696</v>
      </c>
      <c r="K738" s="14">
        <f t="shared" si="150"/>
        <v>3.5224836168776874</v>
      </c>
      <c r="L738" s="14">
        <f t="shared" si="151"/>
        <v>661.1500514879574</v>
      </c>
      <c r="M738" s="14">
        <f t="shared" si="145"/>
        <v>0.19892972722681845</v>
      </c>
      <c r="N738" s="14">
        <f t="shared" si="152"/>
        <v>5.0906669779918472</v>
      </c>
      <c r="O738" s="4">
        <v>3.36</v>
      </c>
      <c r="P738" s="14">
        <f t="shared" si="155"/>
        <v>2.9952081887114335</v>
      </c>
      <c r="Q738" s="14">
        <f t="shared" si="153"/>
        <v>10.072047938722246</v>
      </c>
    </row>
    <row r="739" spans="1:17" x14ac:dyDescent="0.25">
      <c r="A739" s="5" t="s">
        <v>796</v>
      </c>
      <c r="B739" s="6">
        <f t="shared" si="154"/>
        <v>12</v>
      </c>
      <c r="C739" s="58">
        <v>18.474842070000001</v>
      </c>
      <c r="D739" s="4">
        <v>0</v>
      </c>
      <c r="E739" s="12">
        <f t="shared" si="143"/>
        <v>0</v>
      </c>
      <c r="F739" s="12">
        <f t="shared" si="144"/>
        <v>0</v>
      </c>
      <c r="G739" s="16">
        <f t="shared" si="146"/>
        <v>7.4627549128777622</v>
      </c>
      <c r="H739" s="14">
        <f t="shared" si="147"/>
        <v>0</v>
      </c>
      <c r="I739" s="14">
        <f t="shared" si="148"/>
        <v>8.9169264600884883</v>
      </c>
      <c r="J739" s="14">
        <f t="shared" si="149"/>
        <v>1.0894163386726572</v>
      </c>
      <c r="K739" s="14">
        <f t="shared" si="150"/>
        <v>3.2888518086443326</v>
      </c>
      <c r="L739" s="14">
        <f t="shared" si="151"/>
        <v>661.18475356896386</v>
      </c>
      <c r="M739" s="14">
        <f t="shared" si="145"/>
        <v>0.18998191229604225</v>
      </c>
      <c r="N739" s="14">
        <f t="shared" si="152"/>
        <v>4.8616899084091374</v>
      </c>
      <c r="O739" s="4">
        <v>3.29</v>
      </c>
      <c r="P739" s="14">
        <f t="shared" si="155"/>
        <v>2.4702091681951224</v>
      </c>
      <c r="Q739" s="14">
        <f t="shared" si="153"/>
        <v>10.521258797917648</v>
      </c>
    </row>
    <row r="740" spans="1:17" x14ac:dyDescent="0.25">
      <c r="A740" s="5" t="s">
        <v>797</v>
      </c>
      <c r="B740" s="6">
        <f t="shared" si="154"/>
        <v>12</v>
      </c>
      <c r="C740" s="58">
        <v>18.91304779</v>
      </c>
      <c r="D740" s="4">
        <v>0</v>
      </c>
      <c r="E740" s="12">
        <f t="shared" si="143"/>
        <v>0</v>
      </c>
      <c r="F740" s="12">
        <f t="shared" si="144"/>
        <v>0</v>
      </c>
      <c r="G740" s="16">
        <f t="shared" si="146"/>
        <v>6.4476464221595045</v>
      </c>
      <c r="H740" s="14">
        <f t="shared" si="147"/>
        <v>0</v>
      </c>
      <c r="I740" s="14">
        <f t="shared" si="148"/>
        <v>9.521622751570499</v>
      </c>
      <c r="J740" s="14">
        <f t="shared" si="149"/>
        <v>1.0151084907182573</v>
      </c>
      <c r="K740" s="14">
        <f t="shared" si="150"/>
        <v>3.0757724255152059</v>
      </c>
      <c r="L740" s="14">
        <f t="shared" si="151"/>
        <v>661.20785103979699</v>
      </c>
      <c r="M740" s="14">
        <f t="shared" si="145"/>
        <v>0.18181941749313521</v>
      </c>
      <c r="N740" s="14">
        <f t="shared" si="152"/>
        <v>4.6528093990430781</v>
      </c>
      <c r="O740" s="4">
        <v>2.86</v>
      </c>
      <c r="P740" s="14">
        <f t="shared" si="155"/>
        <v>3.2141655412972034</v>
      </c>
      <c r="Q740" s="14">
        <f t="shared" si="153"/>
        <v>13.495696932975116</v>
      </c>
    </row>
    <row r="741" spans="1:17" x14ac:dyDescent="0.25">
      <c r="A741" s="5" t="s">
        <v>798</v>
      </c>
      <c r="B741" s="6">
        <f t="shared" si="154"/>
        <v>12</v>
      </c>
      <c r="C741" s="58">
        <v>19.013509750000001</v>
      </c>
      <c r="D741" s="4">
        <v>0</v>
      </c>
      <c r="E741" s="12">
        <f t="shared" si="143"/>
        <v>0</v>
      </c>
      <c r="F741" s="12">
        <f t="shared" si="144"/>
        <v>0</v>
      </c>
      <c r="G741" s="16">
        <f t="shared" si="146"/>
        <v>5.5578471081972669</v>
      </c>
      <c r="H741" s="14">
        <f t="shared" si="147"/>
        <v>0</v>
      </c>
      <c r="I741" s="14">
        <f t="shared" si="148"/>
        <v>9.6602539283771698</v>
      </c>
      <c r="J741" s="14">
        <f t="shared" si="149"/>
        <v>0.88979931396223788</v>
      </c>
      <c r="K741" s="14">
        <f t="shared" si="150"/>
        <v>2.8814374851746325</v>
      </c>
      <c r="L741" s="14">
        <f t="shared" si="151"/>
        <v>661.22036656264447</v>
      </c>
      <c r="M741" s="14">
        <f t="shared" si="145"/>
        <v>0.17437315914557833</v>
      </c>
      <c r="N741" s="14">
        <f t="shared" si="152"/>
        <v>4.4622575795240005</v>
      </c>
      <c r="O741" s="4">
        <v>2.78</v>
      </c>
      <c r="P741" s="14">
        <f t="shared" si="155"/>
        <v>2.8299905638659495</v>
      </c>
      <c r="Q741" s="14">
        <f t="shared" si="153"/>
        <v>14.089880772055576</v>
      </c>
    </row>
    <row r="742" spans="1:17" x14ac:dyDescent="0.25">
      <c r="A742" s="5" t="s">
        <v>799</v>
      </c>
      <c r="B742" s="6">
        <f t="shared" si="154"/>
        <v>12</v>
      </c>
      <c r="C742" s="58">
        <v>18.603355409999999</v>
      </c>
      <c r="D742" s="4">
        <v>0</v>
      </c>
      <c r="E742" s="12">
        <f t="shared" si="143"/>
        <v>0</v>
      </c>
      <c r="F742" s="12">
        <f t="shared" si="144"/>
        <v>0</v>
      </c>
      <c r="G742" s="16">
        <f t="shared" si="146"/>
        <v>4.8357816066218193</v>
      </c>
      <c r="H742" s="14">
        <f t="shared" si="147"/>
        <v>0</v>
      </c>
      <c r="I742" s="14">
        <f t="shared" si="148"/>
        <v>9.0942667743681955</v>
      </c>
      <c r="J742" s="14">
        <f t="shared" si="149"/>
        <v>0.72206550157544769</v>
      </c>
      <c r="K742" s="14">
        <f t="shared" si="150"/>
        <v>2.7041980522338691</v>
      </c>
      <c r="L742" s="14">
        <f t="shared" si="151"/>
        <v>661.22323283643959</v>
      </c>
      <c r="M742" s="14">
        <f t="shared" si="145"/>
        <v>0.16758013082263348</v>
      </c>
      <c r="N742" s="14">
        <f t="shared" si="152"/>
        <v>4.2884220977875298</v>
      </c>
      <c r="O742" s="4">
        <v>3.07</v>
      </c>
      <c r="P742" s="14">
        <f t="shared" si="155"/>
        <v>1.4845524083769652</v>
      </c>
      <c r="Q742" s="14">
        <f t="shared" si="153"/>
        <v>11.996864355388912</v>
      </c>
    </row>
    <row r="743" spans="1:17" x14ac:dyDescent="0.25">
      <c r="A743" s="5" t="s">
        <v>800</v>
      </c>
      <c r="B743" s="6">
        <f t="shared" si="154"/>
        <v>12</v>
      </c>
      <c r="C743" s="58">
        <v>17.73993492</v>
      </c>
      <c r="D743" s="4">
        <v>8.1999999999999993</v>
      </c>
      <c r="E743" s="12">
        <f t="shared" si="143"/>
        <v>0</v>
      </c>
      <c r="F743" s="12">
        <f t="shared" si="144"/>
        <v>8.1999999999999993</v>
      </c>
      <c r="G743" s="16">
        <f t="shared" si="146"/>
        <v>11.705571621686541</v>
      </c>
      <c r="H743" s="14">
        <f t="shared" si="147"/>
        <v>0.78426355611138066</v>
      </c>
      <c r="I743" s="14">
        <f t="shared" si="148"/>
        <v>7.9028008841178803</v>
      </c>
      <c r="J743" s="14">
        <f t="shared" si="149"/>
        <v>0.54594642882389532</v>
      </c>
      <c r="K743" s="14">
        <f t="shared" si="150"/>
        <v>3.3268138030966901</v>
      </c>
      <c r="L743" s="14">
        <f t="shared" si="151"/>
        <v>661.21730051086547</v>
      </c>
      <c r="M743" s="14">
        <f t="shared" si="145"/>
        <v>0.19144390521992732</v>
      </c>
      <c r="N743" s="14">
        <f t="shared" si="152"/>
        <v>4.8991027134405014</v>
      </c>
      <c r="O743" s="4">
        <v>3</v>
      </c>
      <c r="P743" s="14">
        <f t="shared" si="155"/>
        <v>3.6065911161970754</v>
      </c>
      <c r="Q743" s="14">
        <f t="shared" si="153"/>
        <v>12.486675214584311</v>
      </c>
    </row>
    <row r="744" spans="1:17" x14ac:dyDescent="0.25">
      <c r="A744" s="5" t="s">
        <v>801</v>
      </c>
      <c r="B744" s="6">
        <f t="shared" si="154"/>
        <v>12</v>
      </c>
      <c r="C744" s="58">
        <v>14.328173639999999</v>
      </c>
      <c r="D744" s="4">
        <v>0.5</v>
      </c>
      <c r="E744" s="12">
        <f t="shared" si="143"/>
        <v>0</v>
      </c>
      <c r="F744" s="12">
        <f t="shared" si="144"/>
        <v>0.5</v>
      </c>
      <c r="G744" s="16">
        <f t="shared" si="146"/>
        <v>11.594823689505196</v>
      </c>
      <c r="H744" s="14">
        <f t="shared" si="147"/>
        <v>7.6507683327320858E-2</v>
      </c>
      <c r="I744" s="14">
        <f t="shared" si="148"/>
        <v>3.1947852209770153</v>
      </c>
      <c r="J744" s="14">
        <f t="shared" si="149"/>
        <v>0.53424024885402355</v>
      </c>
      <c r="K744" s="14">
        <f t="shared" si="150"/>
        <v>3.1869026134639018</v>
      </c>
      <c r="L744" s="14">
        <f t="shared" si="151"/>
        <v>661.24227547860562</v>
      </c>
      <c r="M744" s="14">
        <f t="shared" si="145"/>
        <v>0.18608636526699052</v>
      </c>
      <c r="N744" s="14">
        <f t="shared" si="152"/>
        <v>4.7620017778393064</v>
      </c>
      <c r="O744" s="4">
        <v>4.1399999999999997</v>
      </c>
      <c r="P744" s="14">
        <f t="shared" si="155"/>
        <v>0.38688621163525833</v>
      </c>
      <c r="Q744" s="14">
        <f t="shared" si="153"/>
        <v>5.7295555076877722</v>
      </c>
    </row>
    <row r="745" spans="1:17" x14ac:dyDescent="0.25">
      <c r="A745" s="5" t="s">
        <v>802</v>
      </c>
      <c r="B745" s="6">
        <f t="shared" si="154"/>
        <v>1</v>
      </c>
      <c r="C745" s="58">
        <v>16.64796638</v>
      </c>
      <c r="D745" s="4">
        <v>0.6</v>
      </c>
      <c r="E745" s="12">
        <f t="shared" si="143"/>
        <v>0</v>
      </c>
      <c r="F745" s="12">
        <f t="shared" si="144"/>
        <v>0.6</v>
      </c>
      <c r="G745" s="16">
        <f t="shared" si="146"/>
        <v>10.471232261577667</v>
      </c>
      <c r="H745" s="14">
        <f t="shared" si="147"/>
        <v>9.1346452709275397E-2</v>
      </c>
      <c r="I745" s="14">
        <f t="shared" si="148"/>
        <v>9.8541434571833975</v>
      </c>
      <c r="J745" s="14">
        <f t="shared" si="149"/>
        <v>1.6322449752182533</v>
      </c>
      <c r="K745" s="14">
        <f t="shared" si="150"/>
        <v>3.0741380817147026</v>
      </c>
      <c r="L745" s="14">
        <f t="shared" si="151"/>
        <v>661.26030009779709</v>
      </c>
      <c r="M745" s="14">
        <f t="shared" si="145"/>
        <v>0.18176789079712349</v>
      </c>
      <c r="N745" s="14">
        <f t="shared" si="152"/>
        <v>4.6514908165791669</v>
      </c>
      <c r="O745" s="4">
        <v>4.0250000000000004</v>
      </c>
      <c r="P745" s="14">
        <f t="shared" si="155"/>
        <v>0.39249074325803085</v>
      </c>
      <c r="Q745" s="14">
        <f t="shared" si="153"/>
        <v>6.2933197763659283</v>
      </c>
    </row>
    <row r="746" spans="1:17" x14ac:dyDescent="0.25">
      <c r="A746" s="5" t="s">
        <v>803</v>
      </c>
      <c r="B746" s="6">
        <f t="shared" si="154"/>
        <v>1</v>
      </c>
      <c r="C746" s="58">
        <v>16.098873139999998</v>
      </c>
      <c r="D746" s="4">
        <v>0.9</v>
      </c>
      <c r="E746" s="12">
        <f t="shared" si="143"/>
        <v>0</v>
      </c>
      <c r="F746" s="12">
        <f t="shared" si="144"/>
        <v>0.9</v>
      </c>
      <c r="G746" s="16">
        <f t="shared" si="146"/>
        <v>9.9308979733092002</v>
      </c>
      <c r="H746" s="14">
        <f t="shared" si="147"/>
        <v>0.12979318588353397</v>
      </c>
      <c r="I746" s="14">
        <f t="shared" si="148"/>
        <v>8.7609367066387076</v>
      </c>
      <c r="J746" s="14">
        <f t="shared" si="149"/>
        <v>1.3105411023849327</v>
      </c>
      <c r="K746" s="14">
        <f t="shared" si="150"/>
        <v>3.0097400993270935</v>
      </c>
      <c r="L746" s="14">
        <f t="shared" si="151"/>
        <v>661.27272337527108</v>
      </c>
      <c r="M746" s="14">
        <f t="shared" si="145"/>
        <v>0.17930213201383363</v>
      </c>
      <c r="N746" s="14">
        <f t="shared" si="152"/>
        <v>4.588391364381784</v>
      </c>
      <c r="O746" s="4">
        <v>3.55</v>
      </c>
      <c r="P746" s="14">
        <f t="shared" si="155"/>
        <v>1.0782566256226631</v>
      </c>
      <c r="Q746" s="14">
        <f t="shared" si="153"/>
        <v>8.9021613209061563</v>
      </c>
    </row>
    <row r="747" spans="1:17" x14ac:dyDescent="0.25">
      <c r="A747" s="5" t="s">
        <v>804</v>
      </c>
      <c r="B747" s="6">
        <f t="shared" si="154"/>
        <v>1</v>
      </c>
      <c r="C747" s="58">
        <v>17.515415189999999</v>
      </c>
      <c r="D747" s="4">
        <v>0</v>
      </c>
      <c r="E747" s="12">
        <f t="shared" si="143"/>
        <v>0</v>
      </c>
      <c r="F747" s="12">
        <f t="shared" si="144"/>
        <v>0</v>
      </c>
      <c r="G747" s="16">
        <f t="shared" si="146"/>
        <v>8.2878758009641729</v>
      </c>
      <c r="H747" s="14">
        <f t="shared" si="147"/>
        <v>0</v>
      </c>
      <c r="I747" s="14">
        <f t="shared" si="148"/>
        <v>11.581174179404556</v>
      </c>
      <c r="J747" s="14">
        <f t="shared" si="149"/>
        <v>1.643022172345028</v>
      </c>
      <c r="K747" s="14">
        <f t="shared" si="150"/>
        <v>2.821213976067984</v>
      </c>
      <c r="L747" s="14">
        <f t="shared" si="151"/>
        <v>661.28194736651642</v>
      </c>
      <c r="M747" s="14">
        <f t="shared" si="145"/>
        <v>0.17207782947423061</v>
      </c>
      <c r="N747" s="14">
        <f t="shared" si="152"/>
        <v>4.4035194556426376</v>
      </c>
      <c r="O747" s="4">
        <v>3.43</v>
      </c>
      <c r="P747" s="14">
        <f t="shared" si="155"/>
        <v>0.94774013051473704</v>
      </c>
      <c r="Q747" s="14">
        <f t="shared" si="153"/>
        <v>9.6326370795268428</v>
      </c>
    </row>
    <row r="748" spans="1:17" x14ac:dyDescent="0.25">
      <c r="A748" s="5" t="s">
        <v>805</v>
      </c>
      <c r="B748" s="6">
        <f t="shared" si="154"/>
        <v>1</v>
      </c>
      <c r="C748" s="58">
        <v>16.81075096</v>
      </c>
      <c r="D748" s="4">
        <v>1.5</v>
      </c>
      <c r="E748" s="12">
        <f t="shared" si="143"/>
        <v>0</v>
      </c>
      <c r="F748" s="12">
        <f t="shared" si="144"/>
        <v>1.5</v>
      </c>
      <c r="G748" s="16">
        <f t="shared" si="146"/>
        <v>8.3917531854842089</v>
      </c>
      <c r="H748" s="14">
        <f t="shared" si="147"/>
        <v>0.19103652063335591</v>
      </c>
      <c r="I748" s="14">
        <f t="shared" si="148"/>
        <v>10.178236322978981</v>
      </c>
      <c r="J748" s="14">
        <f t="shared" si="149"/>
        <v>1.2050860948466089</v>
      </c>
      <c r="K748" s="14">
        <f t="shared" si="150"/>
        <v>2.8403088833074417</v>
      </c>
      <c r="L748" s="14">
        <f t="shared" si="151"/>
        <v>661.28181115043617</v>
      </c>
      <c r="M748" s="14">
        <f t="shared" si="145"/>
        <v>0.17280971361350339</v>
      </c>
      <c r="N748" s="14">
        <f t="shared" si="152"/>
        <v>4.4222485740677779</v>
      </c>
      <c r="O748" s="4">
        <v>3.49</v>
      </c>
      <c r="P748" s="14">
        <f t="shared" si="155"/>
        <v>0.86908740385140482</v>
      </c>
      <c r="Q748" s="14">
        <f t="shared" si="153"/>
        <v>9.2637992002164982</v>
      </c>
    </row>
    <row r="749" spans="1:17" x14ac:dyDescent="0.25">
      <c r="A749" s="5" t="s">
        <v>806</v>
      </c>
      <c r="B749" s="6">
        <f t="shared" si="154"/>
        <v>1</v>
      </c>
      <c r="C749" s="58">
        <v>16.467926030000001</v>
      </c>
      <c r="D749" s="4">
        <v>6.2</v>
      </c>
      <c r="E749" s="12">
        <f t="shared" si="143"/>
        <v>0</v>
      </c>
      <c r="F749" s="12">
        <f t="shared" si="144"/>
        <v>6.2</v>
      </c>
      <c r="G749" s="16">
        <f t="shared" si="146"/>
        <v>12.658524309239608</v>
      </c>
      <c r="H749" s="14">
        <f t="shared" si="147"/>
        <v>0.79486319509926273</v>
      </c>
      <c r="I749" s="14">
        <f t="shared" si="148"/>
        <v>9.4956955440558808</v>
      </c>
      <c r="J749" s="14">
        <f t="shared" si="149"/>
        <v>1.1383656811453371</v>
      </c>
      <c r="K749" s="14">
        <f t="shared" si="150"/>
        <v>3.4615506995139271</v>
      </c>
      <c r="L749" s="14">
        <f t="shared" si="151"/>
        <v>661.28262281571551</v>
      </c>
      <c r="M749" s="14">
        <f t="shared" si="145"/>
        <v>0.19662225431067165</v>
      </c>
      <c r="N749" s="14">
        <f t="shared" si="152"/>
        <v>5.0316181051029512</v>
      </c>
      <c r="O749" s="4">
        <v>3.75</v>
      </c>
      <c r="P749" s="14">
        <f t="shared" si="155"/>
        <v>1.6425449673276791</v>
      </c>
      <c r="Q749" s="14">
        <f t="shared" si="153"/>
        <v>7.7487017232050084</v>
      </c>
    </row>
    <row r="750" spans="1:17" x14ac:dyDescent="0.25">
      <c r="A750" s="5" t="s">
        <v>807</v>
      </c>
      <c r="B750" s="6">
        <f t="shared" si="154"/>
        <v>1</v>
      </c>
      <c r="C750" s="58">
        <v>16.389642720000001</v>
      </c>
      <c r="D750" s="4">
        <v>0</v>
      </c>
      <c r="E750" s="12">
        <f t="shared" si="143"/>
        <v>0</v>
      </c>
      <c r="F750" s="12">
        <f t="shared" si="144"/>
        <v>0</v>
      </c>
      <c r="G750" s="16">
        <f t="shared" si="146"/>
        <v>10.969543267395801</v>
      </c>
      <c r="H750" s="14">
        <f t="shared" si="147"/>
        <v>0</v>
      </c>
      <c r="I750" s="14">
        <f t="shared" si="148"/>
        <v>9.3398388758022666</v>
      </c>
      <c r="J750" s="14">
        <f t="shared" si="149"/>
        <v>1.6889810418438063</v>
      </c>
      <c r="K750" s="14">
        <f t="shared" si="150"/>
        <v>3.2332791169706034</v>
      </c>
      <c r="L750" s="14">
        <f t="shared" si="151"/>
        <v>661.31427214394819</v>
      </c>
      <c r="M750" s="14">
        <f t="shared" si="145"/>
        <v>0.18787925117351076</v>
      </c>
      <c r="N750" s="14">
        <f t="shared" si="152"/>
        <v>4.8078822262110217</v>
      </c>
      <c r="O750" s="4">
        <v>4.21</v>
      </c>
      <c r="P750" s="14">
        <f t="shared" si="155"/>
        <v>0.35746315641904736</v>
      </c>
      <c r="Q750" s="14">
        <f t="shared" si="153"/>
        <v>5.3993446484923693</v>
      </c>
    </row>
    <row r="751" spans="1:17" x14ac:dyDescent="0.25">
      <c r="A751" s="5" t="s">
        <v>808</v>
      </c>
      <c r="B751" s="6">
        <f t="shared" si="154"/>
        <v>1</v>
      </c>
      <c r="C751" s="58">
        <v>15.553020480000001</v>
      </c>
      <c r="D751" s="4">
        <v>0</v>
      </c>
      <c r="E751" s="12">
        <f t="shared" si="143"/>
        <v>0</v>
      </c>
      <c r="F751" s="12">
        <f t="shared" si="144"/>
        <v>0</v>
      </c>
      <c r="G751" s="16">
        <f t="shared" si="146"/>
        <v>9.7669384605344796</v>
      </c>
      <c r="H751" s="14">
        <f t="shared" si="147"/>
        <v>0</v>
      </c>
      <c r="I751" s="14">
        <f t="shared" si="148"/>
        <v>7.6741817272571131</v>
      </c>
      <c r="J751" s="14">
        <f t="shared" si="149"/>
        <v>1.202604806861322</v>
      </c>
      <c r="K751" s="14">
        <f t="shared" si="150"/>
        <v>3.0250884242646738</v>
      </c>
      <c r="L751" s="14">
        <f t="shared" si="151"/>
        <v>661.33458358548057</v>
      </c>
      <c r="M751" s="14">
        <f t="shared" si="145"/>
        <v>0.17990355062856864</v>
      </c>
      <c r="N751" s="14">
        <f t="shared" si="152"/>
        <v>4.6037818337935787</v>
      </c>
      <c r="O751" s="4">
        <v>4.2</v>
      </c>
      <c r="P751" s="14">
        <f t="shared" si="155"/>
        <v>0.16303976930170511</v>
      </c>
      <c r="Q751" s="14">
        <f t="shared" si="153"/>
        <v>5.4459176283774253</v>
      </c>
    </row>
    <row r="752" spans="1:17" x14ac:dyDescent="0.25">
      <c r="A752" s="5" t="s">
        <v>809</v>
      </c>
      <c r="B752" s="6">
        <f t="shared" si="154"/>
        <v>1</v>
      </c>
      <c r="C752" s="58">
        <v>16.705987929999999</v>
      </c>
      <c r="D752" s="4">
        <v>0</v>
      </c>
      <c r="E752" s="12">
        <f t="shared" si="143"/>
        <v>0</v>
      </c>
      <c r="F752" s="12">
        <f t="shared" si="144"/>
        <v>0</v>
      </c>
      <c r="G752" s="16">
        <f t="shared" si="146"/>
        <v>8.3758936342971317</v>
      </c>
      <c r="H752" s="14">
        <f t="shared" si="147"/>
        <v>0</v>
      </c>
      <c r="I752" s="14">
        <f t="shared" si="148"/>
        <v>9.9696603594440507</v>
      </c>
      <c r="J752" s="14">
        <f t="shared" si="149"/>
        <v>1.3910448262373472</v>
      </c>
      <c r="K752" s="14">
        <f t="shared" si="150"/>
        <v>2.8352121197047375</v>
      </c>
      <c r="L752" s="14">
        <f t="shared" si="151"/>
        <v>661.34455633941195</v>
      </c>
      <c r="M752" s="14">
        <f t="shared" si="145"/>
        <v>0.17262765399328975</v>
      </c>
      <c r="N752" s="14">
        <f t="shared" si="152"/>
        <v>4.4175896178143939</v>
      </c>
      <c r="O752" s="4">
        <v>3.76</v>
      </c>
      <c r="P752" s="14">
        <f t="shared" si="155"/>
        <v>0.43242410545728088</v>
      </c>
      <c r="Q752" s="14">
        <f t="shared" si="153"/>
        <v>7.693128743319952</v>
      </c>
    </row>
    <row r="753" spans="1:17" x14ac:dyDescent="0.25">
      <c r="A753" s="5" t="s">
        <v>810</v>
      </c>
      <c r="B753" s="6">
        <f t="shared" si="154"/>
        <v>1</v>
      </c>
      <c r="C753" s="58">
        <v>14.70210552</v>
      </c>
      <c r="D753" s="4">
        <v>0</v>
      </c>
      <c r="E753" s="12">
        <f t="shared" si="143"/>
        <v>0</v>
      </c>
      <c r="F753" s="12">
        <f t="shared" si="144"/>
        <v>0</v>
      </c>
      <c r="G753" s="16">
        <f t="shared" si="146"/>
        <v>7.6603442013843228</v>
      </c>
      <c r="H753" s="14">
        <f t="shared" si="147"/>
        <v>0</v>
      </c>
      <c r="I753" s="14">
        <f t="shared" si="148"/>
        <v>5.98006875946413</v>
      </c>
      <c r="J753" s="14">
        <f t="shared" si="149"/>
        <v>0.71554943291280859</v>
      </c>
      <c r="K753" s="14">
        <f t="shared" si="150"/>
        <v>2.6620390995051135</v>
      </c>
      <c r="L753" s="14">
        <f t="shared" si="151"/>
        <v>661.34510170561828</v>
      </c>
      <c r="M753" s="14">
        <f t="shared" si="145"/>
        <v>0.16599000039645206</v>
      </c>
      <c r="N753" s="14">
        <f t="shared" si="152"/>
        <v>4.247730218478651</v>
      </c>
      <c r="O753" s="4">
        <v>3.47</v>
      </c>
      <c r="P753" s="14">
        <f t="shared" si="155"/>
        <v>0.60486429273484987</v>
      </c>
      <c r="Q753" s="14">
        <f t="shared" si="153"/>
        <v>9.3859451599866137</v>
      </c>
    </row>
    <row r="754" spans="1:17" x14ac:dyDescent="0.25">
      <c r="A754" s="5" t="s">
        <v>811</v>
      </c>
      <c r="B754" s="6">
        <f t="shared" si="154"/>
        <v>1</v>
      </c>
      <c r="C754" s="58">
        <v>18.7158947</v>
      </c>
      <c r="D754" s="4">
        <v>0</v>
      </c>
      <c r="E754" s="12">
        <f t="shared" si="143"/>
        <v>0</v>
      </c>
      <c r="F754" s="12">
        <f t="shared" si="144"/>
        <v>0</v>
      </c>
      <c r="G754" s="16">
        <f t="shared" si="146"/>
        <v>6.1314207720924738</v>
      </c>
      <c r="H754" s="14">
        <f t="shared" si="147"/>
        <v>0</v>
      </c>
      <c r="I754" s="14">
        <f t="shared" si="148"/>
        <v>13.971246044471739</v>
      </c>
      <c r="J754" s="14">
        <f t="shared" si="149"/>
        <v>1.5289234292918485</v>
      </c>
      <c r="K754" s="14">
        <f t="shared" si="150"/>
        <v>2.5040999875418661</v>
      </c>
      <c r="L754" s="14">
        <f t="shared" si="151"/>
        <v>661.33705081718506</v>
      </c>
      <c r="M754" s="14">
        <f t="shared" si="145"/>
        <v>0.15993444443309943</v>
      </c>
      <c r="N754" s="14">
        <f t="shared" si="152"/>
        <v>4.0927668592775799</v>
      </c>
      <c r="O754" s="4">
        <v>3.24</v>
      </c>
      <c r="P754" s="14">
        <f t="shared" si="155"/>
        <v>0.72721131628214741</v>
      </c>
      <c r="Q754" s="14">
        <f t="shared" si="153"/>
        <v>10.848123697342933</v>
      </c>
    </row>
    <row r="755" spans="1:17" x14ac:dyDescent="0.25">
      <c r="A755" s="5" t="s">
        <v>812</v>
      </c>
      <c r="B755" s="6">
        <f t="shared" si="154"/>
        <v>1</v>
      </c>
      <c r="C755" s="58">
        <v>18.618978500000001</v>
      </c>
      <c r="D755" s="4">
        <v>0</v>
      </c>
      <c r="E755" s="12">
        <f t="shared" si="143"/>
        <v>0</v>
      </c>
      <c r="F755" s="12">
        <f t="shared" si="144"/>
        <v>0</v>
      </c>
      <c r="G755" s="16">
        <f t="shared" si="146"/>
        <v>4.924555378680826</v>
      </c>
      <c r="H755" s="14">
        <f t="shared" si="147"/>
        <v>0</v>
      </c>
      <c r="I755" s="14">
        <f t="shared" si="148"/>
        <v>13.778292577994646</v>
      </c>
      <c r="J755" s="14">
        <f t="shared" si="149"/>
        <v>1.2068653934116476</v>
      </c>
      <c r="K755" s="14">
        <f t="shared" si="150"/>
        <v>2.3600546676705361</v>
      </c>
      <c r="L755" s="14">
        <f t="shared" si="151"/>
        <v>661.32116169262326</v>
      </c>
      <c r="M755" s="14">
        <f t="shared" si="145"/>
        <v>0.15440977976980028</v>
      </c>
      <c r="N755" s="14">
        <f t="shared" si="152"/>
        <v>3.9513891559146805</v>
      </c>
      <c r="O755" s="4">
        <v>3.1</v>
      </c>
      <c r="P755" s="14">
        <f t="shared" si="155"/>
        <v>0.72486349480911205</v>
      </c>
      <c r="Q755" s="14">
        <f t="shared" si="153"/>
        <v>11.789945415733737</v>
      </c>
    </row>
    <row r="756" spans="1:17" x14ac:dyDescent="0.25">
      <c r="A756" s="5" t="s">
        <v>813</v>
      </c>
      <c r="B756" s="6">
        <f t="shared" si="154"/>
        <v>1</v>
      </c>
      <c r="C756" s="58">
        <v>17.298881529999999</v>
      </c>
      <c r="D756" s="4">
        <v>0</v>
      </c>
      <c r="E756" s="12">
        <f t="shared" si="143"/>
        <v>0</v>
      </c>
      <c r="F756" s="12">
        <f t="shared" si="144"/>
        <v>0</v>
      </c>
      <c r="G756" s="16">
        <f t="shared" si="146"/>
        <v>4.1401384571256319</v>
      </c>
      <c r="H756" s="14">
        <f t="shared" si="147"/>
        <v>0</v>
      </c>
      <c r="I756" s="14">
        <f t="shared" si="148"/>
        <v>11.150070604295625</v>
      </c>
      <c r="J756" s="14">
        <f t="shared" si="149"/>
        <v>0.78441692155519438</v>
      </c>
      <c r="K756" s="14">
        <f t="shared" si="150"/>
        <v>2.2286809128170693</v>
      </c>
      <c r="L756" s="14">
        <f t="shared" si="151"/>
        <v>661.29812566770693</v>
      </c>
      <c r="M756" s="14">
        <f t="shared" si="145"/>
        <v>0.1493693046580151</v>
      </c>
      <c r="N756" s="14">
        <f t="shared" si="152"/>
        <v>3.822401997672122</v>
      </c>
      <c r="O756" s="4">
        <v>3.06</v>
      </c>
      <c r="P756" s="14">
        <f t="shared" si="155"/>
        <v>0.58125680605444219</v>
      </c>
      <c r="Q756" s="14">
        <f t="shared" si="153"/>
        <v>12.066237335273966</v>
      </c>
    </row>
    <row r="757" spans="1:17" x14ac:dyDescent="0.25">
      <c r="A757" s="5" t="s">
        <v>814</v>
      </c>
      <c r="B757" s="6">
        <f t="shared" si="154"/>
        <v>1</v>
      </c>
      <c r="C757" s="58">
        <v>18.717933649999999</v>
      </c>
      <c r="D757" s="4">
        <v>0</v>
      </c>
      <c r="E757" s="12">
        <f t="shared" si="143"/>
        <v>0</v>
      </c>
      <c r="F757" s="12">
        <f t="shared" si="144"/>
        <v>0</v>
      </c>
      <c r="G757" s="16">
        <f t="shared" si="146"/>
        <v>3.3135706531042373</v>
      </c>
      <c r="H757" s="14">
        <f t="shared" si="147"/>
        <v>0</v>
      </c>
      <c r="I757" s="14">
        <f t="shared" si="148"/>
        <v>13.975305453223559</v>
      </c>
      <c r="J757" s="14">
        <f t="shared" si="149"/>
        <v>0.82656780402139474</v>
      </c>
      <c r="K757" s="14">
        <f t="shared" si="150"/>
        <v>2.1088640143595869</v>
      </c>
      <c r="L757" s="14">
        <f t="shared" si="151"/>
        <v>661.26857326150639</v>
      </c>
      <c r="M757" s="14">
        <f t="shared" si="145"/>
        <v>0.14477042566894632</v>
      </c>
      <c r="N757" s="14">
        <f t="shared" si="152"/>
        <v>3.7047154068754664</v>
      </c>
      <c r="O757" s="4">
        <v>2.79</v>
      </c>
      <c r="P757" s="14">
        <f t="shared" si="155"/>
        <v>0.83670427557534999</v>
      </c>
      <c r="Q757" s="14">
        <f t="shared" si="153"/>
        <v>14.014907792170517</v>
      </c>
    </row>
    <row r="758" spans="1:17" x14ac:dyDescent="0.25">
      <c r="A758" s="5" t="s">
        <v>815</v>
      </c>
      <c r="B758" s="6">
        <f t="shared" si="154"/>
        <v>1</v>
      </c>
      <c r="C758" s="58">
        <v>18.620492939999998</v>
      </c>
      <c r="D758" s="4">
        <v>2.8</v>
      </c>
      <c r="E758" s="12">
        <f t="shared" si="143"/>
        <v>0</v>
      </c>
      <c r="F758" s="12">
        <f t="shared" si="144"/>
        <v>2.8</v>
      </c>
      <c r="G758" s="16">
        <f t="shared" si="146"/>
        <v>5.2421614799124043</v>
      </c>
      <c r="H758" s="14">
        <f t="shared" si="147"/>
        <v>0.2190466916050369</v>
      </c>
      <c r="I758" s="14">
        <f t="shared" si="148"/>
        <v>13.781307723530388</v>
      </c>
      <c r="J758" s="14">
        <f t="shared" si="149"/>
        <v>0.65236248158679511</v>
      </c>
      <c r="K758" s="14">
        <f t="shared" si="150"/>
        <v>2.2186340154111472</v>
      </c>
      <c r="L758" s="14">
        <f t="shared" si="151"/>
        <v>661.23307952639095</v>
      </c>
      <c r="M758" s="14">
        <f t="shared" si="145"/>
        <v>0.14897041585627552</v>
      </c>
      <c r="N758" s="14">
        <f t="shared" si="152"/>
        <v>3.8121943224331618</v>
      </c>
      <c r="O758" s="4">
        <v>2.48</v>
      </c>
      <c r="P758" s="14">
        <f t="shared" si="155"/>
        <v>1.7747417127231511</v>
      </c>
      <c r="Q758" s="14">
        <f t="shared" si="153"/>
        <v>16.4320701686073</v>
      </c>
    </row>
    <row r="759" spans="1:17" x14ac:dyDescent="0.25">
      <c r="A759" s="5" t="s">
        <v>816</v>
      </c>
      <c r="B759" s="6">
        <f t="shared" si="154"/>
        <v>1</v>
      </c>
      <c r="C759" s="58">
        <v>18.660280230000001</v>
      </c>
      <c r="D759" s="4">
        <v>1.7</v>
      </c>
      <c r="E759" s="12">
        <f t="shared" si="143"/>
        <v>0</v>
      </c>
      <c r="F759" s="12">
        <f t="shared" si="144"/>
        <v>1.7</v>
      </c>
      <c r="G759" s="16">
        <f t="shared" si="146"/>
        <v>5.7344565186766339</v>
      </c>
      <c r="H759" s="14">
        <f t="shared" si="147"/>
        <v>0.16971709795259982</v>
      </c>
      <c r="I759" s="14">
        <f t="shared" si="148"/>
        <v>13.860521472390023</v>
      </c>
      <c r="J759" s="14">
        <f t="shared" si="149"/>
        <v>1.0379878632831703</v>
      </c>
      <c r="K759" s="14">
        <f t="shared" si="150"/>
        <v>2.2694180333727076</v>
      </c>
      <c r="L759" s="14">
        <f t="shared" si="151"/>
        <v>661.20304219052571</v>
      </c>
      <c r="M759" s="14">
        <f t="shared" si="145"/>
        <v>0.15091061383434889</v>
      </c>
      <c r="N759" s="14">
        <f t="shared" si="152"/>
        <v>3.8618445276359421</v>
      </c>
      <c r="O759" s="4">
        <v>2.59</v>
      </c>
      <c r="P759" s="14">
        <f t="shared" si="155"/>
        <v>1.617588502477493</v>
      </c>
      <c r="Q759" s="14">
        <f t="shared" si="153"/>
        <v>15.552367389871664</v>
      </c>
    </row>
    <row r="760" spans="1:17" x14ac:dyDescent="0.25">
      <c r="A760" s="5" t="s">
        <v>817</v>
      </c>
      <c r="B760" s="6">
        <f t="shared" si="154"/>
        <v>1</v>
      </c>
      <c r="C760" s="58">
        <v>17.131977079999999</v>
      </c>
      <c r="D760" s="4">
        <v>1.1000000000000001</v>
      </c>
      <c r="E760" s="12">
        <f t="shared" si="143"/>
        <v>0</v>
      </c>
      <c r="F760" s="12">
        <f t="shared" si="144"/>
        <v>1.1000000000000001</v>
      </c>
      <c r="G760" s="16">
        <f t="shared" si="146"/>
        <v>5.8330711399435371</v>
      </c>
      <c r="H760" s="14">
        <f t="shared" si="147"/>
        <v>0.11518377108214367</v>
      </c>
      <c r="I760" s="14">
        <f t="shared" si="148"/>
        <v>10.817775361622539</v>
      </c>
      <c r="J760" s="14">
        <f t="shared" si="149"/>
        <v>0.88620160765095268</v>
      </c>
      <c r="K760" s="14">
        <f t="shared" si="150"/>
        <v>2.2612012902837701</v>
      </c>
      <c r="L760" s="14">
        <f t="shared" si="151"/>
        <v>661.17553209086248</v>
      </c>
      <c r="M760" s="14">
        <f t="shared" si="145"/>
        <v>0.15058983223606764</v>
      </c>
      <c r="N760" s="14">
        <f t="shared" si="152"/>
        <v>3.8536356374299254</v>
      </c>
      <c r="O760" s="4">
        <v>2.5</v>
      </c>
      <c r="P760" s="14">
        <f t="shared" si="155"/>
        <v>1.8323294389203206</v>
      </c>
      <c r="Q760" s="14">
        <f t="shared" si="153"/>
        <v>16.270324208837181</v>
      </c>
    </row>
    <row r="761" spans="1:17" x14ac:dyDescent="0.25">
      <c r="A761" s="5" t="s">
        <v>818</v>
      </c>
      <c r="B761" s="6">
        <f t="shared" si="154"/>
        <v>1</v>
      </c>
      <c r="C761" s="58">
        <v>16.506233219999999</v>
      </c>
      <c r="D761" s="4">
        <v>5.5</v>
      </c>
      <c r="E761" s="12">
        <f t="shared" si="143"/>
        <v>0</v>
      </c>
      <c r="F761" s="12">
        <f t="shared" si="144"/>
        <v>5.5</v>
      </c>
      <c r="G761" s="16">
        <f t="shared" si="146"/>
        <v>9.9542802262975485</v>
      </c>
      <c r="H761" s="14">
        <f t="shared" si="147"/>
        <v>0.58116257945973082</v>
      </c>
      <c r="I761" s="14">
        <f t="shared" si="148"/>
        <v>9.5719625159501174</v>
      </c>
      <c r="J761" s="14">
        <f t="shared" si="149"/>
        <v>0.79762833418625956</v>
      </c>
      <c r="K761" s="14">
        <f t="shared" si="150"/>
        <v>2.719686176656642</v>
      </c>
      <c r="L761" s="14">
        <f t="shared" si="151"/>
        <v>661.1476199517133</v>
      </c>
      <c r="M761" s="14">
        <f t="shared" si="145"/>
        <v>0.16815776645021829</v>
      </c>
      <c r="N761" s="14">
        <f t="shared" si="152"/>
        <v>4.3032039539517664</v>
      </c>
      <c r="O761" s="4">
        <v>2.5</v>
      </c>
      <c r="P761" s="14">
        <f t="shared" si="155"/>
        <v>3.251544499547284</v>
      </c>
      <c r="Q761" s="14">
        <f t="shared" si="153"/>
        <v>16.270324208837181</v>
      </c>
    </row>
    <row r="762" spans="1:17" x14ac:dyDescent="0.25">
      <c r="A762" s="5" t="s">
        <v>819</v>
      </c>
      <c r="B762" s="6">
        <f t="shared" si="154"/>
        <v>1</v>
      </c>
      <c r="C762" s="58">
        <v>17.968765260000001</v>
      </c>
      <c r="D762" s="4">
        <v>5.0999999999999996</v>
      </c>
      <c r="E762" s="12">
        <f t="shared" si="143"/>
        <v>0</v>
      </c>
      <c r="F762" s="12">
        <f t="shared" si="144"/>
        <v>5.0999999999999996</v>
      </c>
      <c r="G762" s="16">
        <f t="shared" si="146"/>
        <v>12.563073639821303</v>
      </c>
      <c r="H762" s="14">
        <f t="shared" si="147"/>
        <v>0.71596409518964488</v>
      </c>
      <c r="I762" s="14">
        <f t="shared" si="148"/>
        <v>12.483762885256974</v>
      </c>
      <c r="J762" s="14">
        <f t="shared" si="149"/>
        <v>1.7752424912866005</v>
      </c>
      <c r="K762" s="14">
        <f t="shared" si="150"/>
        <v>3.2726399872349594</v>
      </c>
      <c r="L762" s="14">
        <f t="shared" si="151"/>
        <v>661.14247246987441</v>
      </c>
      <c r="M762" s="14">
        <f t="shared" si="145"/>
        <v>0.18935154600446841</v>
      </c>
      <c r="N762" s="14">
        <f t="shared" si="152"/>
        <v>4.8455586599060148</v>
      </c>
      <c r="O762" s="4">
        <v>2.93</v>
      </c>
      <c r="P762" s="14">
        <f t="shared" si="155"/>
        <v>3.6693649795409264</v>
      </c>
      <c r="Q762" s="14">
        <f t="shared" si="153"/>
        <v>12.986286073779711</v>
      </c>
    </row>
    <row r="763" spans="1:17" x14ac:dyDescent="0.25">
      <c r="A763" s="5" t="s">
        <v>820</v>
      </c>
      <c r="B763" s="6">
        <f t="shared" si="154"/>
        <v>1</v>
      </c>
      <c r="C763" s="58">
        <v>18.125156400000002</v>
      </c>
      <c r="D763" s="4">
        <v>1.1000000000000001</v>
      </c>
      <c r="E763" s="12">
        <f t="shared" si="143"/>
        <v>0</v>
      </c>
      <c r="F763" s="12">
        <f t="shared" si="144"/>
        <v>1.1000000000000001</v>
      </c>
      <c r="G763" s="16">
        <f t="shared" si="146"/>
        <v>11.19193585077527</v>
      </c>
      <c r="H763" s="14">
        <f t="shared" si="147"/>
        <v>0.17476277907669102</v>
      </c>
      <c r="I763" s="14">
        <f t="shared" si="148"/>
        <v>12.795126853193237</v>
      </c>
      <c r="J763" s="14">
        <f t="shared" si="149"/>
        <v>2.2963750099693412</v>
      </c>
      <c r="K763" s="14">
        <f t="shared" si="150"/>
        <v>3.2357495256578943</v>
      </c>
      <c r="L763" s="14">
        <f t="shared" si="151"/>
        <v>661.16477416452369</v>
      </c>
      <c r="M763" s="14">
        <f t="shared" si="145"/>
        <v>0.18794225203978288</v>
      </c>
      <c r="N763" s="14">
        <f t="shared" si="152"/>
        <v>4.8094944358791656</v>
      </c>
      <c r="O763" s="4">
        <v>3.9</v>
      </c>
      <c r="P763" s="14">
        <f t="shared" si="155"/>
        <v>0.82718012889516179</v>
      </c>
      <c r="Q763" s="14">
        <f t="shared" si="153"/>
        <v>6.9361070249291483</v>
      </c>
    </row>
    <row r="764" spans="1:17" x14ac:dyDescent="0.25">
      <c r="A764" s="5" t="s">
        <v>821</v>
      </c>
      <c r="B764" s="6">
        <f t="shared" si="154"/>
        <v>1</v>
      </c>
      <c r="C764" s="58">
        <v>17.42221451</v>
      </c>
      <c r="D764" s="4">
        <v>0</v>
      </c>
      <c r="E764" s="12">
        <f t="shared" si="143"/>
        <v>0</v>
      </c>
      <c r="F764" s="12">
        <f t="shared" si="144"/>
        <v>0</v>
      </c>
      <c r="G764" s="16">
        <f t="shared" si="146"/>
        <v>9.3699482898286099</v>
      </c>
      <c r="H764" s="14">
        <f t="shared" si="147"/>
        <v>0</v>
      </c>
      <c r="I764" s="14">
        <f t="shared" si="148"/>
        <v>11.39561805685722</v>
      </c>
      <c r="J764" s="14">
        <f t="shared" si="149"/>
        <v>1.8219875609466594</v>
      </c>
      <c r="K764" s="14">
        <f t="shared" si="150"/>
        <v>3.0273415128451422</v>
      </c>
      <c r="L764" s="14">
        <f t="shared" si="151"/>
        <v>661.18523992529663</v>
      </c>
      <c r="M764" s="14">
        <f t="shared" si="145"/>
        <v>0.17995825426832349</v>
      </c>
      <c r="N764" s="14">
        <f t="shared" si="152"/>
        <v>4.605181715130362</v>
      </c>
      <c r="O764" s="4">
        <v>3.32</v>
      </c>
      <c r="P764" s="14">
        <f t="shared" si="155"/>
        <v>1.6516920409054194</v>
      </c>
      <c r="Q764" s="14">
        <f t="shared" si="153"/>
        <v>10.327539858262476</v>
      </c>
    </row>
    <row r="765" spans="1:17" x14ac:dyDescent="0.25">
      <c r="A765" s="5" t="s">
        <v>822</v>
      </c>
      <c r="B765" s="6">
        <f t="shared" si="154"/>
        <v>1</v>
      </c>
      <c r="C765" s="58">
        <v>15.428696629999999</v>
      </c>
      <c r="D765" s="4">
        <v>0</v>
      </c>
      <c r="E765" s="12">
        <f t="shared" si="143"/>
        <v>0</v>
      </c>
      <c r="F765" s="12">
        <f t="shared" si="144"/>
        <v>0</v>
      </c>
      <c r="G765" s="16">
        <f t="shared" si="146"/>
        <v>8.3758412810836589</v>
      </c>
      <c r="H765" s="14">
        <f t="shared" si="147"/>
        <v>0</v>
      </c>
      <c r="I765" s="14">
        <f t="shared" si="148"/>
        <v>7.4266615209007085</v>
      </c>
      <c r="J765" s="14">
        <f t="shared" si="149"/>
        <v>0.99410700874495161</v>
      </c>
      <c r="K765" s="14">
        <f t="shared" si="150"/>
        <v>2.8372670056746387</v>
      </c>
      <c r="L765" s="14">
        <f t="shared" si="151"/>
        <v>661.19535617819884</v>
      </c>
      <c r="M765" s="14">
        <f t="shared" si="145"/>
        <v>0.17267479089170454</v>
      </c>
      <c r="N765" s="14">
        <f t="shared" si="152"/>
        <v>4.4187958641384117</v>
      </c>
      <c r="O765" s="4">
        <v>3.17</v>
      </c>
      <c r="P765" s="14">
        <f t="shared" si="155"/>
        <v>1.5594911102892026</v>
      </c>
      <c r="Q765" s="14">
        <f t="shared" si="153"/>
        <v>11.314134556538336</v>
      </c>
    </row>
    <row r="766" spans="1:17" x14ac:dyDescent="0.25">
      <c r="A766" s="5" t="s">
        <v>823</v>
      </c>
      <c r="B766" s="6">
        <f t="shared" si="154"/>
        <v>1</v>
      </c>
      <c r="C766" s="58">
        <v>19.004240039999999</v>
      </c>
      <c r="D766" s="4">
        <v>0</v>
      </c>
      <c r="E766" s="12">
        <f t="shared" si="143"/>
        <v>0</v>
      </c>
      <c r="F766" s="12">
        <f t="shared" si="144"/>
        <v>0</v>
      </c>
      <c r="G766" s="16">
        <f t="shared" si="146"/>
        <v>6.6354212170204683</v>
      </c>
      <c r="H766" s="14">
        <f t="shared" si="147"/>
        <v>0</v>
      </c>
      <c r="I766" s="14">
        <f t="shared" si="148"/>
        <v>14.545321719080485</v>
      </c>
      <c r="J766" s="14">
        <f t="shared" si="149"/>
        <v>1.7404200640631911</v>
      </c>
      <c r="K766" s="14">
        <f t="shared" si="150"/>
        <v>2.663913218608065</v>
      </c>
      <c r="L766" s="14">
        <f t="shared" si="151"/>
        <v>661.19603517437372</v>
      </c>
      <c r="M766" s="14">
        <f t="shared" si="145"/>
        <v>0.16603023677831541</v>
      </c>
      <c r="N766" s="14">
        <f t="shared" si="152"/>
        <v>4.2487598786673075</v>
      </c>
      <c r="O766" s="4">
        <v>3.26</v>
      </c>
      <c r="P766" s="14">
        <f t="shared" si="155"/>
        <v>0.97764609766218913</v>
      </c>
      <c r="Q766" s="14">
        <f t="shared" si="153"/>
        <v>10.716777737572821</v>
      </c>
    </row>
    <row r="767" spans="1:17" x14ac:dyDescent="0.25">
      <c r="A767" s="5" t="s">
        <v>824</v>
      </c>
      <c r="B767" s="6">
        <f t="shared" si="154"/>
        <v>1</v>
      </c>
      <c r="C767" s="58">
        <v>20.337507250000002</v>
      </c>
      <c r="D767" s="4">
        <v>0.7</v>
      </c>
      <c r="E767" s="12">
        <f t="shared" si="143"/>
        <v>0</v>
      </c>
      <c r="F767" s="12">
        <f t="shared" si="144"/>
        <v>0.7</v>
      </c>
      <c r="G767" s="16">
        <f t="shared" si="146"/>
        <v>5.6258133060492996</v>
      </c>
      <c r="H767" s="14">
        <f t="shared" si="147"/>
        <v>7.9211111073376972E-2</v>
      </c>
      <c r="I767" s="14">
        <f t="shared" si="148"/>
        <v>17.199764731804311</v>
      </c>
      <c r="J767" s="14">
        <f t="shared" si="149"/>
        <v>1.6303967998977915</v>
      </c>
      <c r="K767" s="14">
        <f t="shared" si="150"/>
        <v>2.5850203527848148</v>
      </c>
      <c r="L767" s="14">
        <f t="shared" si="151"/>
        <v>661.18810891449209</v>
      </c>
      <c r="M767" s="14">
        <f t="shared" si="145"/>
        <v>0.16300457145666872</v>
      </c>
      <c r="N767" s="14">
        <f t="shared" si="152"/>
        <v>4.1713322626237792</v>
      </c>
      <c r="O767" s="4">
        <v>2.92</v>
      </c>
      <c r="P767" s="14">
        <f t="shared" si="155"/>
        <v>1.5658324314831469</v>
      </c>
      <c r="Q767" s="14">
        <f t="shared" si="153"/>
        <v>13.058459053664771</v>
      </c>
    </row>
    <row r="768" spans="1:17" x14ac:dyDescent="0.25">
      <c r="A768" s="5" t="s">
        <v>825</v>
      </c>
      <c r="B768" s="6">
        <f t="shared" si="154"/>
        <v>1</v>
      </c>
      <c r="C768" s="58">
        <v>18.853471760000001</v>
      </c>
      <c r="D768" s="4">
        <v>0</v>
      </c>
      <c r="E768" s="12">
        <f t="shared" si="143"/>
        <v>0</v>
      </c>
      <c r="F768" s="12">
        <f t="shared" si="144"/>
        <v>0</v>
      </c>
      <c r="G768" s="16">
        <f t="shared" si="146"/>
        <v>4.4809471193141306</v>
      </c>
      <c r="H768" s="14">
        <f t="shared" si="147"/>
        <v>0</v>
      </c>
      <c r="I768" s="14">
        <f t="shared" si="148"/>
        <v>14.245152477397582</v>
      </c>
      <c r="J768" s="14">
        <f t="shared" si="149"/>
        <v>1.1448661867351695</v>
      </c>
      <c r="K768" s="14">
        <f t="shared" si="150"/>
        <v>2.4338565255550968</v>
      </c>
      <c r="L768" s="14">
        <f t="shared" si="151"/>
        <v>661.17626817026519</v>
      </c>
      <c r="M768" s="14">
        <f t="shared" si="145"/>
        <v>0.15720791063583456</v>
      </c>
      <c r="N768" s="14">
        <f t="shared" si="152"/>
        <v>4.0229941020350726</v>
      </c>
      <c r="O768" s="4">
        <v>2.95</v>
      </c>
      <c r="P768" s="14">
        <f t="shared" si="155"/>
        <v>1.1513163430020514</v>
      </c>
      <c r="Q768" s="14">
        <f t="shared" si="153"/>
        <v>12.842540114009598</v>
      </c>
    </row>
    <row r="769" spans="1:17" x14ac:dyDescent="0.25">
      <c r="A769" s="5" t="s">
        <v>826</v>
      </c>
      <c r="B769" s="6">
        <f t="shared" si="154"/>
        <v>1</v>
      </c>
      <c r="C769" s="58">
        <v>18.830287930000001</v>
      </c>
      <c r="D769" s="4">
        <v>0</v>
      </c>
      <c r="E769" s="12">
        <f t="shared" si="143"/>
        <v>0</v>
      </c>
      <c r="F769" s="12">
        <f t="shared" si="144"/>
        <v>0</v>
      </c>
      <c r="G769" s="16">
        <f t="shared" si="146"/>
        <v>3.5720185844024996</v>
      </c>
      <c r="H769" s="14">
        <f t="shared" si="147"/>
        <v>0</v>
      </c>
      <c r="I769" s="14">
        <f t="shared" si="148"/>
        <v>14.198995071672677</v>
      </c>
      <c r="J769" s="14">
        <f t="shared" si="149"/>
        <v>0.90892853491163095</v>
      </c>
      <c r="K769" s="14">
        <f t="shared" si="150"/>
        <v>2.2959904734061771</v>
      </c>
      <c r="L769" s="14">
        <f t="shared" si="151"/>
        <v>661.15692631177831</v>
      </c>
      <c r="M769" s="14">
        <f t="shared" si="145"/>
        <v>0.1519193670831645</v>
      </c>
      <c r="N769" s="14">
        <f t="shared" si="152"/>
        <v>3.8876588034823691</v>
      </c>
      <c r="O769" s="4">
        <v>2.9</v>
      </c>
      <c r="P769" s="14">
        <f t="shared" si="155"/>
        <v>0.97546991209622524</v>
      </c>
      <c r="Q769" s="14">
        <f t="shared" si="153"/>
        <v>13.203405013434885</v>
      </c>
    </row>
    <row r="770" spans="1:17" x14ac:dyDescent="0.25">
      <c r="A770" s="5" t="s">
        <v>827</v>
      </c>
      <c r="B770" s="6">
        <f t="shared" si="154"/>
        <v>1</v>
      </c>
      <c r="C770" s="58">
        <v>18.948947910000001</v>
      </c>
      <c r="D770" s="4">
        <v>2.2999999999999998</v>
      </c>
      <c r="E770" s="12">
        <f t="shared" si="143"/>
        <v>0</v>
      </c>
      <c r="F770" s="12">
        <f t="shared" si="144"/>
        <v>2.2999999999999998</v>
      </c>
      <c r="G770" s="16">
        <f t="shared" si="146"/>
        <v>4.9481444344562302</v>
      </c>
      <c r="H770" s="14">
        <f t="shared" si="147"/>
        <v>0.18726010317654301</v>
      </c>
      <c r="I770" s="14">
        <f t="shared" si="148"/>
        <v>14.43523890369563</v>
      </c>
      <c r="J770" s="14">
        <f t="shared" si="149"/>
        <v>0.73661404676972664</v>
      </c>
      <c r="K770" s="14">
        <f t="shared" si="150"/>
        <v>2.3575125036359137</v>
      </c>
      <c r="L770" s="14">
        <f t="shared" si="151"/>
        <v>661.13074501764197</v>
      </c>
      <c r="M770" s="14">
        <f t="shared" si="145"/>
        <v>0.15427197341039259</v>
      </c>
      <c r="N770" s="14">
        <f t="shared" si="152"/>
        <v>3.9478626528978937</v>
      </c>
      <c r="O770" s="4">
        <v>3.26</v>
      </c>
      <c r="P770" s="14">
        <f t="shared" si="155"/>
        <v>0.47315502925172853</v>
      </c>
      <c r="Q770" s="14">
        <f t="shared" si="153"/>
        <v>10.716777737572821</v>
      </c>
    </row>
    <row r="771" spans="1:17" x14ac:dyDescent="0.25">
      <c r="A771" s="5" t="s">
        <v>828</v>
      </c>
      <c r="B771" s="6">
        <f t="shared" si="154"/>
        <v>1</v>
      </c>
      <c r="C771" s="58">
        <v>18.51589203</v>
      </c>
      <c r="D771" s="4">
        <v>3.1</v>
      </c>
      <c r="E771" s="12">
        <f t="shared" si="143"/>
        <v>0</v>
      </c>
      <c r="F771" s="12">
        <f t="shared" si="144"/>
        <v>3.1</v>
      </c>
      <c r="G771" s="16">
        <f t="shared" si="146"/>
        <v>6.7885622968858073</v>
      </c>
      <c r="H771" s="14">
        <f t="shared" si="147"/>
        <v>0.30013230234213967</v>
      </c>
      <c r="I771" s="14">
        <f t="shared" si="148"/>
        <v>13.573054529728338</v>
      </c>
      <c r="J771" s="14">
        <f t="shared" si="149"/>
        <v>0.9594498352282832</v>
      </c>
      <c r="K771" s="14">
        <f t="shared" si="150"/>
        <v>2.5264946834986173</v>
      </c>
      <c r="L771" s="14">
        <f t="shared" si="151"/>
        <v>661.10762316671105</v>
      </c>
      <c r="M771" s="14">
        <f t="shared" si="145"/>
        <v>0.16074420518941351</v>
      </c>
      <c r="N771" s="14">
        <f t="shared" si="152"/>
        <v>4.1134888619651999</v>
      </c>
      <c r="O771" s="4">
        <v>4.53</v>
      </c>
      <c r="P771" s="14">
        <f t="shared" si="155"/>
        <v>0.17348152810704451</v>
      </c>
      <c r="Q771" s="14">
        <f t="shared" si="153"/>
        <v>4.0146092921705314</v>
      </c>
    </row>
    <row r="772" spans="1:17" x14ac:dyDescent="0.25">
      <c r="A772" s="5" t="s">
        <v>829</v>
      </c>
      <c r="B772" s="6">
        <f t="shared" si="154"/>
        <v>1</v>
      </c>
      <c r="C772" s="58">
        <v>18.011640549999999</v>
      </c>
      <c r="D772" s="4">
        <v>3.2</v>
      </c>
      <c r="E772" s="12">
        <f t="shared" si="143"/>
        <v>0</v>
      </c>
      <c r="F772" s="12">
        <f t="shared" si="144"/>
        <v>3.2</v>
      </c>
      <c r="G772" s="16">
        <f t="shared" si="146"/>
        <v>8.4030876714259666</v>
      </c>
      <c r="H772" s="14">
        <f t="shared" si="147"/>
        <v>0.36652670450814434</v>
      </c>
      <c r="I772" s="14">
        <f t="shared" si="148"/>
        <v>12.569124629028503</v>
      </c>
      <c r="J772" s="14">
        <f t="shared" si="149"/>
        <v>1.2189479209516954</v>
      </c>
      <c r="K772" s="14">
        <f t="shared" si="150"/>
        <v>2.7470060225544661</v>
      </c>
      <c r="L772" s="14">
        <f t="shared" si="151"/>
        <v>661.09289432697392</v>
      </c>
      <c r="M772" s="14">
        <f t="shared" si="145"/>
        <v>0.16919334287661347</v>
      </c>
      <c r="N772" s="14">
        <f t="shared" si="152"/>
        <v>4.3297046423633372</v>
      </c>
      <c r="O772" s="4">
        <v>5.15</v>
      </c>
      <c r="P772" s="14">
        <f t="shared" si="155"/>
        <v>0.67288447376026117</v>
      </c>
      <c r="Q772" s="14">
        <f t="shared" si="153"/>
        <v>1.9144845392969745</v>
      </c>
    </row>
    <row r="773" spans="1:17" x14ac:dyDescent="0.25">
      <c r="A773" s="5" t="s">
        <v>830</v>
      </c>
      <c r="B773" s="6">
        <f t="shared" si="154"/>
        <v>1</v>
      </c>
      <c r="C773" s="58">
        <v>18.505916599999999</v>
      </c>
      <c r="D773" s="4">
        <v>3.2</v>
      </c>
      <c r="E773" s="12">
        <f t="shared" si="143"/>
        <v>0</v>
      </c>
      <c r="F773" s="12">
        <f t="shared" si="144"/>
        <v>3.2</v>
      </c>
      <c r="G773" s="16">
        <f t="shared" si="146"/>
        <v>9.5655588010438244</v>
      </c>
      <c r="H773" s="14">
        <f t="shared" si="147"/>
        <v>0.41054643421997999</v>
      </c>
      <c r="I773" s="14">
        <f t="shared" si="148"/>
        <v>13.553194136954996</v>
      </c>
      <c r="J773" s="14">
        <f t="shared" si="149"/>
        <v>1.6269824361621648</v>
      </c>
      <c r="K773" s="14">
        <f t="shared" si="150"/>
        <v>2.9921388646215648</v>
      </c>
      <c r="L773" s="14">
        <f t="shared" si="151"/>
        <v>661.08911457625015</v>
      </c>
      <c r="M773" s="14">
        <f t="shared" si="145"/>
        <v>0.17858855049219871</v>
      </c>
      <c r="N773" s="14">
        <f t="shared" si="152"/>
        <v>4.5701306150260566</v>
      </c>
      <c r="O773" s="4">
        <v>4.4000000000000004</v>
      </c>
      <c r="P773" s="14">
        <f t="shared" si="155"/>
        <v>2.8944426169144138E-2</v>
      </c>
      <c r="Q773" s="14">
        <f t="shared" si="153"/>
        <v>4.5524580306762772</v>
      </c>
    </row>
    <row r="774" spans="1:17" x14ac:dyDescent="0.25">
      <c r="A774" s="5" t="s">
        <v>831</v>
      </c>
      <c r="B774" s="6">
        <f t="shared" si="154"/>
        <v>1</v>
      </c>
      <c r="C774" s="58">
        <v>17.334400179999999</v>
      </c>
      <c r="D774" s="4">
        <v>8.1</v>
      </c>
      <c r="E774" s="12">
        <f t="shared" si="143"/>
        <v>0</v>
      </c>
      <c r="F774" s="12">
        <f t="shared" si="144"/>
        <v>8.1</v>
      </c>
      <c r="G774" s="16">
        <f t="shared" si="146"/>
        <v>15.018933342566516</v>
      </c>
      <c r="H774" s="14">
        <f t="shared" si="147"/>
        <v>1.1132944170263517</v>
      </c>
      <c r="I774" s="14">
        <f t="shared" si="148"/>
        <v>11.220785785473657</v>
      </c>
      <c r="J774" s="14">
        <f t="shared" si="149"/>
        <v>1.5333310414509538</v>
      </c>
      <c r="K774" s="14">
        <f t="shared" si="150"/>
        <v>3.9184555265701886</v>
      </c>
      <c r="L774" s="14">
        <f t="shared" si="151"/>
        <v>661.09750378083572</v>
      </c>
      <c r="M774" s="14">
        <f t="shared" si="145"/>
        <v>0.21409629970956806</v>
      </c>
      <c r="N774" s="14">
        <f t="shared" si="152"/>
        <v>5.4787837807622104</v>
      </c>
      <c r="O774" s="4">
        <v>5.03</v>
      </c>
      <c r="P774" s="14">
        <f t="shared" si="155"/>
        <v>0.20140688187522351</v>
      </c>
      <c r="Q774" s="14">
        <f t="shared" si="153"/>
        <v>2.2609602979176633</v>
      </c>
    </row>
    <row r="775" spans="1:17" x14ac:dyDescent="0.25">
      <c r="A775" s="5" t="s">
        <v>832</v>
      </c>
      <c r="B775" s="6">
        <f t="shared" si="154"/>
        <v>1</v>
      </c>
      <c r="C775" s="58">
        <v>17.9624424</v>
      </c>
      <c r="D775" s="4">
        <v>0</v>
      </c>
      <c r="E775" s="12">
        <f t="shared" si="143"/>
        <v>0</v>
      </c>
      <c r="F775" s="12">
        <f t="shared" si="144"/>
        <v>0</v>
      </c>
      <c r="G775" s="16">
        <f t="shared" si="146"/>
        <v>12.343163487056996</v>
      </c>
      <c r="H775" s="14">
        <f t="shared" si="147"/>
        <v>0</v>
      </c>
      <c r="I775" s="14">
        <f t="shared" si="148"/>
        <v>12.471174507307266</v>
      </c>
      <c r="J775" s="14">
        <f t="shared" si="149"/>
        <v>2.6757698555095204</v>
      </c>
      <c r="K775" s="14">
        <f t="shared" si="150"/>
        <v>3.6499903492041312</v>
      </c>
      <c r="L775" s="14">
        <f t="shared" si="151"/>
        <v>661.15187265849227</v>
      </c>
      <c r="M775" s="14">
        <f t="shared" si="145"/>
        <v>0.20381748118429088</v>
      </c>
      <c r="N775" s="14">
        <f t="shared" si="152"/>
        <v>5.2157459594729989</v>
      </c>
      <c r="O775" s="4">
        <v>5.71</v>
      </c>
      <c r="P775" s="14">
        <f t="shared" si="155"/>
        <v>0.2442870565772664</v>
      </c>
      <c r="Q775" s="14">
        <f t="shared" si="153"/>
        <v>0.67839766573376237</v>
      </c>
    </row>
    <row r="776" spans="1:17" x14ac:dyDescent="0.25">
      <c r="A776" s="5" t="s">
        <v>833</v>
      </c>
      <c r="B776" s="6">
        <f t="shared" si="154"/>
        <v>2</v>
      </c>
      <c r="C776" s="58">
        <v>18.765691759999999</v>
      </c>
      <c r="D776" s="4">
        <v>0.5</v>
      </c>
      <c r="E776" s="12">
        <f t="shared" si="143"/>
        <v>0</v>
      </c>
      <c r="F776" s="12">
        <f t="shared" si="144"/>
        <v>0.5</v>
      </c>
      <c r="G776" s="16">
        <f t="shared" si="146"/>
        <v>9.8745864488414412</v>
      </c>
      <c r="H776" s="14">
        <f t="shared" si="147"/>
        <v>7.8695402091543729E-2</v>
      </c>
      <c r="I776" s="14">
        <f t="shared" si="148"/>
        <v>16.3889550179344</v>
      </c>
      <c r="J776" s="14">
        <f t="shared" si="149"/>
        <v>2.8898816361240112</v>
      </c>
      <c r="K776" s="14">
        <f t="shared" si="150"/>
        <v>3.4838372659059011</v>
      </c>
      <c r="L776" s="14">
        <f t="shared" si="151"/>
        <v>661.19290366269774</v>
      </c>
      <c r="M776" s="14">
        <f t="shared" si="145"/>
        <v>0.19745748583135489</v>
      </c>
      <c r="N776" s="14">
        <f t="shared" si="152"/>
        <v>5.052991911725992</v>
      </c>
      <c r="O776" s="4">
        <v>4.72</v>
      </c>
      <c r="P776" s="14">
        <f t="shared" si="155"/>
        <v>0.11088361327493104</v>
      </c>
      <c r="Q776" s="14">
        <f t="shared" si="153"/>
        <v>3.2893226743544437</v>
      </c>
    </row>
    <row r="777" spans="1:17" x14ac:dyDescent="0.25">
      <c r="A777" s="5" t="s">
        <v>834</v>
      </c>
      <c r="B777" s="6">
        <f t="shared" si="154"/>
        <v>2</v>
      </c>
      <c r="C777" s="58">
        <v>16.927673339999998</v>
      </c>
      <c r="D777" s="4">
        <v>0</v>
      </c>
      <c r="E777" s="12">
        <f t="shared" si="143"/>
        <v>0</v>
      </c>
      <c r="F777" s="12">
        <f t="shared" si="144"/>
        <v>0</v>
      </c>
      <c r="G777" s="16">
        <f t="shared" si="146"/>
        <v>8.0954935408422912</v>
      </c>
      <c r="H777" s="14">
        <f t="shared" si="147"/>
        <v>0</v>
      </c>
      <c r="I777" s="14">
        <f t="shared" si="148"/>
        <v>12.611809480419602</v>
      </c>
      <c r="J777" s="14">
        <f t="shared" si="149"/>
        <v>1.77909290799915</v>
      </c>
      <c r="K777" s="14">
        <f t="shared" si="150"/>
        <v>3.2536051498630294</v>
      </c>
      <c r="L777" s="14">
        <f t="shared" si="151"/>
        <v>661.22567829290927</v>
      </c>
      <c r="M777" s="14">
        <f t="shared" si="145"/>
        <v>0.18863957345067275</v>
      </c>
      <c r="N777" s="14">
        <f t="shared" si="152"/>
        <v>4.8273390844842297</v>
      </c>
      <c r="O777" s="4">
        <v>4.28</v>
      </c>
      <c r="P777" s="14">
        <f t="shared" si="155"/>
        <v>0.29958007340403442</v>
      </c>
      <c r="Q777" s="14">
        <f t="shared" si="153"/>
        <v>5.0789337892969657</v>
      </c>
    </row>
    <row r="778" spans="1:17" x14ac:dyDescent="0.25">
      <c r="A778" s="5" t="s">
        <v>835</v>
      </c>
      <c r="B778" s="6">
        <f t="shared" si="154"/>
        <v>2</v>
      </c>
      <c r="C778" s="58">
        <v>16.494928359999999</v>
      </c>
      <c r="D778" s="4">
        <v>2.1</v>
      </c>
      <c r="E778" s="12">
        <f t="shared" si="143"/>
        <v>0</v>
      </c>
      <c r="F778" s="12">
        <f t="shared" si="144"/>
        <v>2.1</v>
      </c>
      <c r="G778" s="16">
        <f t="shared" si="146"/>
        <v>8.5756519099358623</v>
      </c>
      <c r="H778" s="14">
        <f t="shared" si="147"/>
        <v>0.26413282940553851</v>
      </c>
      <c r="I778" s="14">
        <f t="shared" si="148"/>
        <v>11.72251438288248</v>
      </c>
      <c r="J778" s="14">
        <f t="shared" si="149"/>
        <v>1.3557088015008909</v>
      </c>
      <c r="K778" s="14">
        <f t="shared" si="150"/>
        <v>3.3077592198098849</v>
      </c>
      <c r="L778" s="14">
        <f t="shared" si="151"/>
        <v>661.24701747891731</v>
      </c>
      <c r="M778" s="14">
        <f t="shared" si="145"/>
        <v>0.19071983723507291</v>
      </c>
      <c r="N778" s="14">
        <f t="shared" si="152"/>
        <v>4.8805736125780808</v>
      </c>
      <c r="O778" s="4">
        <v>4.38</v>
      </c>
      <c r="P778" s="14">
        <f t="shared" si="155"/>
        <v>0.25057394160947061</v>
      </c>
      <c r="Q778" s="14">
        <f t="shared" si="153"/>
        <v>4.6382039904463941</v>
      </c>
    </row>
    <row r="779" spans="1:17" x14ac:dyDescent="0.25">
      <c r="A779" s="5" t="s">
        <v>836</v>
      </c>
      <c r="B779" s="6">
        <f t="shared" si="154"/>
        <v>2</v>
      </c>
      <c r="C779" s="58">
        <v>15.031239510000001</v>
      </c>
      <c r="D779" s="4">
        <v>0.9</v>
      </c>
      <c r="E779" s="12">
        <f t="shared" si="143"/>
        <v>0</v>
      </c>
      <c r="F779" s="12">
        <f t="shared" si="144"/>
        <v>0.9</v>
      </c>
      <c r="G779" s="16">
        <f t="shared" si="146"/>
        <v>8.2913083161502126</v>
      </c>
      <c r="H779" s="14">
        <f t="shared" si="147"/>
        <v>0.11672065750245098</v>
      </c>
      <c r="I779" s="14">
        <f t="shared" si="148"/>
        <v>8.7146197133134677</v>
      </c>
      <c r="J779" s="14">
        <f t="shared" si="149"/>
        <v>1.0676229362831979</v>
      </c>
      <c r="K779" s="14">
        <f t="shared" si="150"/>
        <v>3.2097372225814813</v>
      </c>
      <c r="L779" s="14">
        <f t="shared" si="151"/>
        <v>661.27104029641316</v>
      </c>
      <c r="M779" s="14">
        <f t="shared" si="145"/>
        <v>0.18696771964123746</v>
      </c>
      <c r="N779" s="14">
        <f t="shared" si="152"/>
        <v>4.7845558810969449</v>
      </c>
      <c r="O779" s="4">
        <v>4.9000000000000004</v>
      </c>
      <c r="P779" s="14">
        <f t="shared" si="155"/>
        <v>1.3327344589302816E-2</v>
      </c>
      <c r="Q779" s="14">
        <f t="shared" si="153"/>
        <v>2.6688090364234087</v>
      </c>
    </row>
    <row r="780" spans="1:17" x14ac:dyDescent="0.25">
      <c r="A780" s="5" t="s">
        <v>837</v>
      </c>
      <c r="B780" s="6">
        <f t="shared" si="154"/>
        <v>2</v>
      </c>
      <c r="C780" s="58">
        <v>17.989397050000001</v>
      </c>
      <c r="D780" s="4">
        <v>0</v>
      </c>
      <c r="E780" s="12">
        <f t="shared" si="143"/>
        <v>0</v>
      </c>
      <c r="F780" s="12">
        <f t="shared" si="144"/>
        <v>0</v>
      </c>
      <c r="G780" s="16">
        <f t="shared" si="146"/>
        <v>6.5390381567943265</v>
      </c>
      <c r="H780" s="14">
        <f t="shared" si="147"/>
        <v>0</v>
      </c>
      <c r="I780" s="14">
        <f t="shared" si="148"/>
        <v>14.793661919798398</v>
      </c>
      <c r="J780" s="14">
        <f t="shared" si="149"/>
        <v>1.7522701593558863</v>
      </c>
      <c r="K780" s="14">
        <f t="shared" si="150"/>
        <v>3.0036174936920914</v>
      </c>
      <c r="L780" s="14">
        <f t="shared" si="151"/>
        <v>661.29019230566132</v>
      </c>
      <c r="M780" s="14">
        <f t="shared" si="145"/>
        <v>0.17907115392911416</v>
      </c>
      <c r="N780" s="14">
        <f t="shared" si="152"/>
        <v>4.5824805710332344</v>
      </c>
      <c r="O780" s="4">
        <v>5.6</v>
      </c>
      <c r="P780" s="14">
        <f t="shared" si="155"/>
        <v>1.035345788324852</v>
      </c>
      <c r="Q780" s="14">
        <f t="shared" si="153"/>
        <v>0.8717004444693941</v>
      </c>
    </row>
    <row r="781" spans="1:17" x14ac:dyDescent="0.25">
      <c r="A781" s="5" t="s">
        <v>838</v>
      </c>
      <c r="B781" s="6">
        <f t="shared" si="154"/>
        <v>2</v>
      </c>
      <c r="C781" s="58">
        <v>19.023408889999999</v>
      </c>
      <c r="D781" s="4">
        <v>0</v>
      </c>
      <c r="E781" s="12">
        <f t="shared" si="143"/>
        <v>0</v>
      </c>
      <c r="F781" s="12">
        <f t="shared" si="144"/>
        <v>0</v>
      </c>
      <c r="G781" s="16">
        <f t="shared" si="146"/>
        <v>4.958591881392481</v>
      </c>
      <c r="H781" s="14">
        <f t="shared" si="147"/>
        <v>0</v>
      </c>
      <c r="I781" s="14">
        <f t="shared" si="148"/>
        <v>16.918566199698624</v>
      </c>
      <c r="J781" s="14">
        <f t="shared" si="149"/>
        <v>1.5804462754018451</v>
      </c>
      <c r="K781" s="14">
        <f t="shared" si="150"/>
        <v>2.815629971724936</v>
      </c>
      <c r="L781" s="14">
        <f t="shared" si="151"/>
        <v>661.29910867369938</v>
      </c>
      <c r="M781" s="14">
        <f t="shared" si="145"/>
        <v>0.17186743091431422</v>
      </c>
      <c r="N781" s="14">
        <f t="shared" si="152"/>
        <v>4.3981352980503328</v>
      </c>
      <c r="O781" s="4">
        <v>5.2</v>
      </c>
      <c r="P781" s="14">
        <f t="shared" si="155"/>
        <v>0.64298700023282895</v>
      </c>
      <c r="Q781" s="14">
        <f t="shared" si="153"/>
        <v>1.778619639871688</v>
      </c>
    </row>
    <row r="782" spans="1:17" x14ac:dyDescent="0.25">
      <c r="A782" s="5" t="s">
        <v>839</v>
      </c>
      <c r="B782" s="6">
        <f t="shared" si="154"/>
        <v>2</v>
      </c>
      <c r="C782" s="58">
        <v>19.01064491</v>
      </c>
      <c r="D782" s="4">
        <v>0.9</v>
      </c>
      <c r="E782" s="12">
        <f t="shared" si="143"/>
        <v>0</v>
      </c>
      <c r="F782" s="12">
        <f t="shared" si="144"/>
        <v>0.9</v>
      </c>
      <c r="G782" s="16">
        <f t="shared" si="146"/>
        <v>4.5747551148791299</v>
      </c>
      <c r="H782" s="14">
        <f t="shared" si="147"/>
        <v>8.723293400890593E-2</v>
      </c>
      <c r="I782" s="14">
        <f t="shared" si="148"/>
        <v>16.892336097990547</v>
      </c>
      <c r="J782" s="14">
        <f t="shared" si="149"/>
        <v>1.1966038325044452</v>
      </c>
      <c r="K782" s="14">
        <f t="shared" si="150"/>
        <v>2.7314125132567786</v>
      </c>
      <c r="L782" s="14">
        <f t="shared" si="151"/>
        <v>661.29869163526212</v>
      </c>
      <c r="M782" s="14">
        <f t="shared" si="145"/>
        <v>0.16863926430541351</v>
      </c>
      <c r="N782" s="14">
        <f t="shared" si="152"/>
        <v>4.3155256178156165</v>
      </c>
      <c r="O782" s="4">
        <v>8.0299999999999994</v>
      </c>
      <c r="P782" s="14">
        <f t="shared" si="155"/>
        <v>13.797319935904053</v>
      </c>
      <c r="Q782" s="14">
        <f t="shared" si="153"/>
        <v>2.2390663324004492</v>
      </c>
    </row>
    <row r="783" spans="1:17" x14ac:dyDescent="0.25">
      <c r="A783" s="5" t="s">
        <v>840</v>
      </c>
      <c r="B783" s="6">
        <f t="shared" si="154"/>
        <v>2</v>
      </c>
      <c r="C783" s="58">
        <v>19.346134190000001</v>
      </c>
      <c r="D783" s="4">
        <v>0</v>
      </c>
      <c r="E783" s="12">
        <f t="shared" si="143"/>
        <v>0</v>
      </c>
      <c r="F783" s="12">
        <f t="shared" si="144"/>
        <v>0</v>
      </c>
      <c r="G783" s="16">
        <f t="shared" si="146"/>
        <v>3.4257214540621952</v>
      </c>
      <c r="H783" s="14">
        <f t="shared" si="147"/>
        <v>0</v>
      </c>
      <c r="I783" s="14">
        <f t="shared" si="148"/>
        <v>17.581769796286157</v>
      </c>
      <c r="J783" s="14">
        <f t="shared" si="149"/>
        <v>1.1490336608169345</v>
      </c>
      <c r="K783" s="14">
        <f t="shared" si="150"/>
        <v>2.5673706710996544</v>
      </c>
      <c r="L783" s="14">
        <f t="shared" si="151"/>
        <v>661.29409421311379</v>
      </c>
      <c r="M783" s="14">
        <f t="shared" si="145"/>
        <v>0.16235052109106871</v>
      </c>
      <c r="N783" s="14">
        <f t="shared" si="152"/>
        <v>4.1545949320874183</v>
      </c>
      <c r="O783" s="4">
        <v>9.2899999999999991</v>
      </c>
      <c r="P783" s="14">
        <f t="shared" si="155"/>
        <v>26.37238521154222</v>
      </c>
      <c r="Q783" s="14">
        <f t="shared" si="153"/>
        <v>7.5974708668832172</v>
      </c>
    </row>
    <row r="784" spans="1:17" x14ac:dyDescent="0.25">
      <c r="A784" s="5" t="s">
        <v>841</v>
      </c>
      <c r="B784" s="6">
        <f t="shared" si="154"/>
        <v>2</v>
      </c>
      <c r="C784" s="58">
        <v>15.286043169999999</v>
      </c>
      <c r="D784" s="4">
        <v>1.5</v>
      </c>
      <c r="E784" s="12">
        <f t="shared" si="143"/>
        <v>0</v>
      </c>
      <c r="F784" s="12">
        <f t="shared" si="144"/>
        <v>1.5</v>
      </c>
      <c r="G784" s="16">
        <f t="shared" si="146"/>
        <v>4.354170562263425</v>
      </c>
      <c r="H784" s="14">
        <f t="shared" si="147"/>
        <v>0.11944124678910828</v>
      </c>
      <c r="I784" s="14">
        <f t="shared" si="148"/>
        <v>9.2382436861958688</v>
      </c>
      <c r="J784" s="14">
        <f t="shared" si="149"/>
        <v>0.45210964500966161</v>
      </c>
      <c r="K784" s="14">
        <f t="shared" si="150"/>
        <v>2.5372007206869971</v>
      </c>
      <c r="L784" s="14">
        <f t="shared" si="151"/>
        <v>661.28135488922453</v>
      </c>
      <c r="M784" s="14">
        <f t="shared" si="145"/>
        <v>0.16119139816314373</v>
      </c>
      <c r="N784" s="14">
        <f t="shared" si="152"/>
        <v>4.1249326543832261</v>
      </c>
      <c r="O784" s="4">
        <v>8.48</v>
      </c>
      <c r="P784" s="14">
        <f t="shared" si="155"/>
        <v>18.966611584857535</v>
      </c>
      <c r="Q784" s="14">
        <f t="shared" si="153"/>
        <v>3.7882822375728709</v>
      </c>
    </row>
    <row r="785" spans="1:17" x14ac:dyDescent="0.25">
      <c r="A785" s="5" t="s">
        <v>842</v>
      </c>
      <c r="B785" s="6">
        <f t="shared" si="154"/>
        <v>2</v>
      </c>
      <c r="C785" s="58">
        <v>16.782068249999998</v>
      </c>
      <c r="D785" s="4">
        <v>3.2</v>
      </c>
      <c r="E785" s="12">
        <f t="shared" si="143"/>
        <v>0</v>
      </c>
      <c r="F785" s="12">
        <f t="shared" si="144"/>
        <v>3.2</v>
      </c>
      <c r="G785" s="16">
        <f t="shared" si="146"/>
        <v>6.498843389782829</v>
      </c>
      <c r="H785" s="14">
        <f t="shared" si="147"/>
        <v>0.28945347876336275</v>
      </c>
      <c r="I785" s="14">
        <f t="shared" si="148"/>
        <v>12.312589619536521</v>
      </c>
      <c r="J785" s="14">
        <f t="shared" si="149"/>
        <v>0.76587369371723346</v>
      </c>
      <c r="K785" s="14">
        <f t="shared" si="150"/>
        <v>2.6796970314706554</v>
      </c>
      <c r="L785" s="14">
        <f t="shared" si="151"/>
        <v>661.2671206590411</v>
      </c>
      <c r="M785" s="14">
        <f t="shared" si="145"/>
        <v>0.16665030333747061</v>
      </c>
      <c r="N785" s="14">
        <f t="shared" si="152"/>
        <v>4.2646275541567995</v>
      </c>
      <c r="O785" s="4">
        <v>8.11</v>
      </c>
      <c r="P785" s="14">
        <f t="shared" si="155"/>
        <v>14.786889247250114</v>
      </c>
      <c r="Q785" s="14">
        <f t="shared" si="153"/>
        <v>2.48488249331999</v>
      </c>
    </row>
    <row r="786" spans="1:17" x14ac:dyDescent="0.25">
      <c r="A786" s="5" t="s">
        <v>843</v>
      </c>
      <c r="B786" s="6">
        <f t="shared" si="154"/>
        <v>2</v>
      </c>
      <c r="C786" s="58">
        <v>17.637355800000002</v>
      </c>
      <c r="D786" s="4">
        <v>14</v>
      </c>
      <c r="E786" s="12">
        <f t="shared" si="143"/>
        <v>0</v>
      </c>
      <c r="F786" s="12">
        <f t="shared" si="144"/>
        <v>14</v>
      </c>
      <c r="G786" s="16">
        <f t="shared" si="146"/>
        <v>17.625751026131638</v>
      </c>
      <c r="H786" s="14">
        <f t="shared" si="147"/>
        <v>1.5668039414412238</v>
      </c>
      <c r="I786" s="14">
        <f t="shared" si="148"/>
        <v>14.070213763898726</v>
      </c>
      <c r="J786" s="14">
        <f t="shared" si="149"/>
        <v>1.3062884222099658</v>
      </c>
      <c r="K786" s="14">
        <f t="shared" si="150"/>
        <v>4.0870085051493446</v>
      </c>
      <c r="L786" s="14">
        <f t="shared" si="151"/>
        <v>661.25996282346614</v>
      </c>
      <c r="M786" s="14">
        <f t="shared" si="145"/>
        <v>0.22059141951438849</v>
      </c>
      <c r="N786" s="14">
        <f t="shared" si="152"/>
        <v>5.6449957007675104</v>
      </c>
      <c r="O786" s="4">
        <v>11.76</v>
      </c>
      <c r="P786" s="14">
        <f t="shared" si="155"/>
        <v>37.393277579631828</v>
      </c>
      <c r="Q786" s="14">
        <f t="shared" si="153"/>
        <v>27.314744835274048</v>
      </c>
    </row>
    <row r="787" spans="1:17" x14ac:dyDescent="0.25">
      <c r="A787" s="5" t="s">
        <v>844</v>
      </c>
      <c r="B787" s="6">
        <f t="shared" si="154"/>
        <v>2</v>
      </c>
      <c r="C787" s="58">
        <v>18.153896329999998</v>
      </c>
      <c r="D787" s="4">
        <v>0</v>
      </c>
      <c r="E787" s="12">
        <f t="shared" si="143"/>
        <v>0</v>
      </c>
      <c r="F787" s="12">
        <f t="shared" si="144"/>
        <v>0</v>
      </c>
      <c r="G787" s="16">
        <f t="shared" si="146"/>
        <v>13.815637311413585</v>
      </c>
      <c r="H787" s="14">
        <f t="shared" si="147"/>
        <v>0</v>
      </c>
      <c r="I787" s="14">
        <f t="shared" si="148"/>
        <v>15.131709522921106</v>
      </c>
      <c r="J787" s="14">
        <f t="shared" si="149"/>
        <v>3.8101137147180535</v>
      </c>
      <c r="K787" s="14">
        <f t="shared" si="150"/>
        <v>3.8037158413441015</v>
      </c>
      <c r="L787" s="14">
        <f t="shared" si="151"/>
        <v>661.32266406775693</v>
      </c>
      <c r="M787" s="14">
        <f t="shared" si="145"/>
        <v>0.20974602567524786</v>
      </c>
      <c r="N787" s="14">
        <f t="shared" si="152"/>
        <v>5.3674590598145029</v>
      </c>
      <c r="O787" s="4">
        <v>24.53</v>
      </c>
      <c r="P787" s="14">
        <f t="shared" si="155"/>
        <v>367.20297528428529</v>
      </c>
      <c r="Q787" s="14">
        <f t="shared" si="153"/>
        <v>323.86864952205588</v>
      </c>
    </row>
    <row r="788" spans="1:17" x14ac:dyDescent="0.25">
      <c r="A788" s="5" t="s">
        <v>845</v>
      </c>
      <c r="B788" s="6">
        <f t="shared" si="154"/>
        <v>2</v>
      </c>
      <c r="C788" s="58">
        <v>19.03369331</v>
      </c>
      <c r="D788" s="4">
        <v>0</v>
      </c>
      <c r="E788" s="12">
        <f t="shared" si="143"/>
        <v>0</v>
      </c>
      <c r="F788" s="12">
        <f t="shared" si="144"/>
        <v>0</v>
      </c>
      <c r="G788" s="16">
        <f t="shared" si="146"/>
        <v>10.472309437736547</v>
      </c>
      <c r="H788" s="14">
        <f t="shared" si="147"/>
        <v>0</v>
      </c>
      <c r="I788" s="14">
        <f t="shared" si="148"/>
        <v>16.939700781749732</v>
      </c>
      <c r="J788" s="14">
        <f t="shared" si="149"/>
        <v>3.3433278736770391</v>
      </c>
      <c r="K788" s="14">
        <f t="shared" si="150"/>
        <v>3.5453442330212477</v>
      </c>
      <c r="L788" s="14">
        <f t="shared" si="151"/>
        <v>661.37128965040449</v>
      </c>
      <c r="M788" s="14">
        <f t="shared" si="145"/>
        <v>0.1998528789472338</v>
      </c>
      <c r="N788" s="14">
        <f t="shared" si="152"/>
        <v>5.1142906869483094</v>
      </c>
      <c r="O788" s="4">
        <v>19.87</v>
      </c>
      <c r="P788" s="14">
        <f t="shared" si="155"/>
        <v>217.73095733128045</v>
      </c>
      <c r="Q788" s="14">
        <f t="shared" si="153"/>
        <v>177.85825814849258</v>
      </c>
    </row>
    <row r="789" spans="1:17" x14ac:dyDescent="0.25">
      <c r="A789" s="5" t="s">
        <v>846</v>
      </c>
      <c r="B789" s="6">
        <f t="shared" si="154"/>
        <v>2</v>
      </c>
      <c r="C789" s="58">
        <v>19.269815439999999</v>
      </c>
      <c r="D789" s="4">
        <v>0</v>
      </c>
      <c r="E789" s="12">
        <f t="shared" si="143"/>
        <v>0</v>
      </c>
      <c r="F789" s="12">
        <f t="shared" si="144"/>
        <v>0</v>
      </c>
      <c r="G789" s="16">
        <f t="shared" si="146"/>
        <v>7.8654601739797503</v>
      </c>
      <c r="H789" s="14">
        <f t="shared" si="147"/>
        <v>0</v>
      </c>
      <c r="I789" s="14">
        <f t="shared" si="148"/>
        <v>17.424934030738598</v>
      </c>
      <c r="J789" s="14">
        <f t="shared" si="149"/>
        <v>2.6068492637567959</v>
      </c>
      <c r="K789" s="14">
        <f t="shared" si="150"/>
        <v>3.3097013925372769</v>
      </c>
      <c r="L789" s="14">
        <f t="shared" si="151"/>
        <v>661.4070796119413</v>
      </c>
      <c r="M789" s="14">
        <f t="shared" si="145"/>
        <v>0.19082821120940666</v>
      </c>
      <c r="N789" s="14">
        <f t="shared" si="152"/>
        <v>4.8833469326851633</v>
      </c>
      <c r="O789" s="4">
        <v>12.69</v>
      </c>
      <c r="P789" s="14">
        <f t="shared" si="155"/>
        <v>60.943832113416143</v>
      </c>
      <c r="Q789" s="14">
        <f t="shared" si="153"/>
        <v>37.90065770596371</v>
      </c>
    </row>
    <row r="790" spans="1:17" x14ac:dyDescent="0.25">
      <c r="A790" s="5" t="s">
        <v>847</v>
      </c>
      <c r="B790" s="6">
        <f t="shared" si="154"/>
        <v>2</v>
      </c>
      <c r="C790" s="58">
        <v>19.927446369999998</v>
      </c>
      <c r="D790" s="4">
        <v>0</v>
      </c>
      <c r="E790" s="12">
        <f t="shared" si="143"/>
        <v>0</v>
      </c>
      <c r="F790" s="12">
        <f t="shared" si="144"/>
        <v>0</v>
      </c>
      <c r="G790" s="16">
        <f t="shared" si="146"/>
        <v>5.7556755339022612</v>
      </c>
      <c r="H790" s="14">
        <f t="shared" si="147"/>
        <v>0</v>
      </c>
      <c r="I790" s="14">
        <f t="shared" si="148"/>
        <v>18.776371919256167</v>
      </c>
      <c r="J790" s="14">
        <f t="shared" si="149"/>
        <v>2.1097846400774887</v>
      </c>
      <c r="K790" s="14">
        <f t="shared" si="150"/>
        <v>3.0947878862437816</v>
      </c>
      <c r="L790" s="14">
        <f t="shared" si="151"/>
        <v>661.43116490702539</v>
      </c>
      <c r="M790" s="14">
        <f t="shared" si="145"/>
        <v>0.18259562336316015</v>
      </c>
      <c r="N790" s="14">
        <f t="shared" si="152"/>
        <v>4.6726727228697582</v>
      </c>
      <c r="O790" s="4">
        <v>9.33</v>
      </c>
      <c r="P790" s="14">
        <f t="shared" si="155"/>
        <v>21.690697366301393</v>
      </c>
      <c r="Q790" s="14">
        <f t="shared" si="153"/>
        <v>7.8195789473429924</v>
      </c>
    </row>
    <row r="791" spans="1:17" x14ac:dyDescent="0.25">
      <c r="A791" s="5" t="s">
        <v>848</v>
      </c>
      <c r="B791" s="6">
        <f t="shared" si="154"/>
        <v>2</v>
      </c>
      <c r="C791" s="58">
        <v>19.420616150000001</v>
      </c>
      <c r="D791" s="4">
        <v>7.9</v>
      </c>
      <c r="E791" s="12">
        <f t="shared" si="143"/>
        <v>0</v>
      </c>
      <c r="F791" s="12">
        <f t="shared" si="144"/>
        <v>7.9</v>
      </c>
      <c r="G791" s="16">
        <f t="shared" si="146"/>
        <v>11.368592109767759</v>
      </c>
      <c r="H791" s="14">
        <f t="shared" si="147"/>
        <v>0.82885463878253685</v>
      </c>
      <c r="I791" s="14">
        <f t="shared" si="148"/>
        <v>17.734830940711113</v>
      </c>
      <c r="J791" s="14">
        <f t="shared" si="149"/>
        <v>1.4582287853519653</v>
      </c>
      <c r="K791" s="14">
        <f t="shared" si="150"/>
        <v>3.7276348080402975</v>
      </c>
      <c r="L791" s="14">
        <f t="shared" si="151"/>
        <v>661.44457700064834</v>
      </c>
      <c r="M791" s="14">
        <f t="shared" si="145"/>
        <v>0.20685566196816937</v>
      </c>
      <c r="N791" s="14">
        <f t="shared" si="152"/>
        <v>5.2934938496715569</v>
      </c>
      <c r="O791" s="4">
        <v>8.7100000000000009</v>
      </c>
      <c r="P791" s="14">
        <f t="shared" si="155"/>
        <v>11.672514275232084</v>
      </c>
      <c r="Q791" s="14">
        <f t="shared" si="153"/>
        <v>4.7365037002165531</v>
      </c>
    </row>
    <row r="792" spans="1:17" x14ac:dyDescent="0.25">
      <c r="A792" s="5" t="s">
        <v>849</v>
      </c>
      <c r="B792" s="6">
        <f t="shared" si="154"/>
        <v>2</v>
      </c>
      <c r="C792" s="58">
        <v>19.432880399999998</v>
      </c>
      <c r="D792" s="4">
        <v>10.6</v>
      </c>
      <c r="E792" s="12">
        <f t="shared" si="143"/>
        <v>0</v>
      </c>
      <c r="F792" s="12">
        <f t="shared" si="144"/>
        <v>10.6</v>
      </c>
      <c r="G792" s="16">
        <f t="shared" si="146"/>
        <v>17.487237891211375</v>
      </c>
      <c r="H792" s="14">
        <f t="shared" si="147"/>
        <v>1.5969721256682052</v>
      </c>
      <c r="I792" s="14">
        <f t="shared" si="148"/>
        <v>17.760034092461062</v>
      </c>
      <c r="J792" s="14">
        <f t="shared" si="149"/>
        <v>2.8843820928881772</v>
      </c>
      <c r="K792" s="14">
        <f t="shared" si="150"/>
        <v>5.0729281201324454</v>
      </c>
      <c r="L792" s="14">
        <f t="shared" si="151"/>
        <v>661.48940015225617</v>
      </c>
      <c r="M792" s="14">
        <f t="shared" si="145"/>
        <v>0.25843062398494088</v>
      </c>
      <c r="N792" s="14">
        <f t="shared" si="152"/>
        <v>6.6133114540590769</v>
      </c>
      <c r="O792" s="4">
        <v>11.11</v>
      </c>
      <c r="P792" s="14">
        <f t="shared" si="155"/>
        <v>20.220207879196288</v>
      </c>
      <c r="Q792" s="14">
        <f t="shared" si="153"/>
        <v>20.942988527802775</v>
      </c>
    </row>
    <row r="793" spans="1:17" x14ac:dyDescent="0.25">
      <c r="A793" s="5" t="s">
        <v>850</v>
      </c>
      <c r="B793" s="6">
        <f t="shared" si="154"/>
        <v>2</v>
      </c>
      <c r="C793" s="58">
        <v>18.79358101</v>
      </c>
      <c r="D793" s="4">
        <v>10.4</v>
      </c>
      <c r="E793" s="12">
        <f t="shared" si="143"/>
        <v>0</v>
      </c>
      <c r="F793" s="12">
        <f t="shared" si="144"/>
        <v>10.4</v>
      </c>
      <c r="G793" s="16">
        <f t="shared" si="146"/>
        <v>21.808795199934465</v>
      </c>
      <c r="H793" s="14">
        <f t="shared" si="147"/>
        <v>1.9698708647595737</v>
      </c>
      <c r="I793" s="14">
        <f t="shared" si="148"/>
        <v>16.446267695019614</v>
      </c>
      <c r="J793" s="14">
        <f t="shared" si="149"/>
        <v>4.1085718265173394</v>
      </c>
      <c r="K793" s="14">
        <f t="shared" si="150"/>
        <v>6.6727756691308127</v>
      </c>
      <c r="L793" s="14">
        <f t="shared" si="151"/>
        <v>661.60099284403236</v>
      </c>
      <c r="M793" s="14">
        <f t="shared" si="145"/>
        <v>0.31977687329202747</v>
      </c>
      <c r="N793" s="14">
        <f t="shared" si="152"/>
        <v>8.1831790144522305</v>
      </c>
      <c r="O793" s="4">
        <v>13.36</v>
      </c>
      <c r="P793" s="14">
        <f t="shared" si="155"/>
        <v>26.799475516407774</v>
      </c>
      <c r="Q793" s="14">
        <f t="shared" si="153"/>
        <v>46.599068053664858</v>
      </c>
    </row>
    <row r="794" spans="1:17" x14ac:dyDescent="0.25">
      <c r="A794" s="5" t="s">
        <v>851</v>
      </c>
      <c r="B794" s="6">
        <f t="shared" si="154"/>
        <v>2</v>
      </c>
      <c r="C794" s="58">
        <v>17.93126869</v>
      </c>
      <c r="D794" s="4">
        <v>1.4</v>
      </c>
      <c r="E794" s="12">
        <f t="shared" si="143"/>
        <v>0</v>
      </c>
      <c r="F794" s="12">
        <f t="shared" si="144"/>
        <v>1.4</v>
      </c>
      <c r="G794" s="16">
        <f t="shared" si="146"/>
        <v>18.338774229807406</v>
      </c>
      <c r="H794" s="14">
        <f t="shared" si="147"/>
        <v>0.29820602317758332</v>
      </c>
      <c r="I794" s="14">
        <f t="shared" si="148"/>
        <v>14.674207580718893</v>
      </c>
      <c r="J794" s="14">
        <f t="shared" si="149"/>
        <v>4.5718149469494724</v>
      </c>
      <c r="K794" s="14">
        <f t="shared" si="150"/>
        <v>6.4602209179896217</v>
      </c>
      <c r="L794" s="14">
        <f t="shared" si="151"/>
        <v>661.79197674505906</v>
      </c>
      <c r="M794" s="14">
        <f t="shared" si="145"/>
        <v>0.31167007633351995</v>
      </c>
      <c r="N794" s="14">
        <f t="shared" si="152"/>
        <v>7.9757238283959788</v>
      </c>
      <c r="O794" s="4">
        <v>15.94</v>
      </c>
      <c r="P794" s="14">
        <f t="shared" si="155"/>
        <v>63.429694937579598</v>
      </c>
      <c r="Q794" s="14">
        <f t="shared" si="153"/>
        <v>88.479439243320044</v>
      </c>
    </row>
    <row r="795" spans="1:17" x14ac:dyDescent="0.25">
      <c r="A795" s="5" t="s">
        <v>852</v>
      </c>
      <c r="B795" s="6">
        <f t="shared" si="154"/>
        <v>2</v>
      </c>
      <c r="C795" s="58">
        <v>18.527000430000001</v>
      </c>
      <c r="D795" s="4">
        <v>4.2</v>
      </c>
      <c r="E795" s="12">
        <f t="shared" ref="E795:E858" si="156">IF(C795&gt;$C$9,MAX(E794-$C$10*(C795-$C$9),0),E794+D795)</f>
        <v>0</v>
      </c>
      <c r="F795" s="12">
        <f t="shared" ref="F795:F858" si="157">IF(C795&gt;$C$9,D795+MIN(E794,$C$10*(C795-$C$9)),0)</f>
        <v>4.2</v>
      </c>
      <c r="G795" s="16">
        <f t="shared" si="146"/>
        <v>17.557769868829254</v>
      </c>
      <c r="H795" s="14">
        <f t="shared" si="147"/>
        <v>0.81588758109297188</v>
      </c>
      <c r="I795" s="14">
        <f t="shared" si="148"/>
        <v>15.898442038226085</v>
      </c>
      <c r="J795" s="14">
        <f t="shared" si="149"/>
        <v>4.165116779885178</v>
      </c>
      <c r="K795" s="14">
        <f t="shared" si="150"/>
        <v>6.7840460160470588</v>
      </c>
      <c r="L795" s="14">
        <f t="shared" si="151"/>
        <v>661.97236915176109</v>
      </c>
      <c r="M795" s="14">
        <f t="shared" si="145"/>
        <v>0.32412062043736467</v>
      </c>
      <c r="N795" s="14">
        <f t="shared" si="152"/>
        <v>8.2943367104978378</v>
      </c>
      <c r="O795" s="4">
        <v>12.95</v>
      </c>
      <c r="P795" s="14">
        <f t="shared" si="155"/>
        <v>21.675200665218085</v>
      </c>
      <c r="Q795" s="14">
        <f t="shared" si="153"/>
        <v>41.169560228952214</v>
      </c>
    </row>
    <row r="796" spans="1:17" x14ac:dyDescent="0.25">
      <c r="A796" s="5" t="s">
        <v>853</v>
      </c>
      <c r="B796" s="6">
        <f t="shared" si="154"/>
        <v>2</v>
      </c>
      <c r="C796" s="58">
        <v>17.348325729999999</v>
      </c>
      <c r="D796" s="4">
        <v>0.5</v>
      </c>
      <c r="E796" s="12">
        <f t="shared" si="156"/>
        <v>0</v>
      </c>
      <c r="F796" s="12">
        <f t="shared" si="157"/>
        <v>0.5</v>
      </c>
      <c r="G796" s="16">
        <f t="shared" si="146"/>
        <v>14.582673666656969</v>
      </c>
      <c r="H796" s="14">
        <f t="shared" si="147"/>
        <v>9.490819040654308E-2</v>
      </c>
      <c r="I796" s="14">
        <f t="shared" si="148"/>
        <v>13.476254189158393</v>
      </c>
      <c r="J796" s="14">
        <f t="shared" si="149"/>
        <v>3.3801880117657426</v>
      </c>
      <c r="K796" s="14">
        <f t="shared" si="150"/>
        <v>6.3584050583315772</v>
      </c>
      <c r="L796" s="14">
        <f t="shared" si="151"/>
        <v>662.16879767944579</v>
      </c>
      <c r="M796" s="14">
        <f t="shared" si="145"/>
        <v>0.30784732508242629</v>
      </c>
      <c r="N796" s="14">
        <f t="shared" si="152"/>
        <v>7.8778985620051447</v>
      </c>
      <c r="O796" s="4">
        <v>10.69</v>
      </c>
      <c r="P796" s="14">
        <f t="shared" si="155"/>
        <v>7.9079144975727305</v>
      </c>
      <c r="Q796" s="14">
        <f t="shared" si="153"/>
        <v>17.275253682975183</v>
      </c>
    </row>
    <row r="797" spans="1:17" x14ac:dyDescent="0.25">
      <c r="A797" s="5" t="s">
        <v>854</v>
      </c>
      <c r="B797" s="6">
        <f t="shared" si="154"/>
        <v>2</v>
      </c>
      <c r="C797" s="58">
        <v>15.88217354</v>
      </c>
      <c r="D797" s="4">
        <v>0</v>
      </c>
      <c r="E797" s="12">
        <f t="shared" si="156"/>
        <v>0</v>
      </c>
      <c r="F797" s="12">
        <f t="shared" si="157"/>
        <v>0</v>
      </c>
      <c r="G797" s="16">
        <f t="shared" si="146"/>
        <v>12.402916899648398</v>
      </c>
      <c r="H797" s="14">
        <f t="shared" si="147"/>
        <v>0</v>
      </c>
      <c r="I797" s="14">
        <f t="shared" si="148"/>
        <v>10.463297332188462</v>
      </c>
      <c r="J797" s="14">
        <f t="shared" si="149"/>
        <v>2.179756767008572</v>
      </c>
      <c r="K797" s="14">
        <f t="shared" si="150"/>
        <v>5.875299244534995</v>
      </c>
      <c r="L797" s="14">
        <f t="shared" si="151"/>
        <v>662.34405616815991</v>
      </c>
      <c r="M797" s="14">
        <f t="shared" si="145"/>
        <v>0.28936689846129238</v>
      </c>
      <c r="N797" s="14">
        <f t="shared" si="152"/>
        <v>7.4049793113184892</v>
      </c>
      <c r="O797" s="4">
        <v>8.69</v>
      </c>
      <c r="P797" s="14">
        <f t="shared" si="155"/>
        <v>1.651278170339503</v>
      </c>
      <c r="Q797" s="14">
        <f t="shared" si="153"/>
        <v>4.6498496599866623</v>
      </c>
    </row>
    <row r="798" spans="1:17" x14ac:dyDescent="0.25">
      <c r="A798" s="5" t="s">
        <v>855</v>
      </c>
      <c r="B798" s="6">
        <f t="shared" si="154"/>
        <v>2</v>
      </c>
      <c r="C798" s="58">
        <v>15.95654678</v>
      </c>
      <c r="D798" s="4">
        <v>1.9</v>
      </c>
      <c r="E798" s="12">
        <f t="shared" si="156"/>
        <v>0</v>
      </c>
      <c r="F798" s="12">
        <f t="shared" si="157"/>
        <v>1.9</v>
      </c>
      <c r="G798" s="16">
        <f t="shared" si="146"/>
        <v>12.1220893033479</v>
      </c>
      <c r="H798" s="14">
        <f t="shared" si="147"/>
        <v>0.29981120736628813</v>
      </c>
      <c r="I798" s="14">
        <f t="shared" si="148"/>
        <v>10.616135055967378</v>
      </c>
      <c r="J798" s="14">
        <f t="shared" si="149"/>
        <v>1.8810163889342104</v>
      </c>
      <c r="K798" s="14">
        <f t="shared" si="150"/>
        <v>5.7345031152194004</v>
      </c>
      <c r="L798" s="14">
        <f t="shared" si="151"/>
        <v>662.49529660638052</v>
      </c>
      <c r="M798" s="14">
        <f t="shared" si="145"/>
        <v>0.28400220427637785</v>
      </c>
      <c r="N798" s="14">
        <f t="shared" si="152"/>
        <v>7.2676952969336979</v>
      </c>
      <c r="O798" s="4">
        <v>7.27</v>
      </c>
      <c r="P798" s="14">
        <f t="shared" si="155"/>
        <v>5.3116562238204831E-6</v>
      </c>
      <c r="Q798" s="14">
        <f t="shared" si="153"/>
        <v>0.54221280366481095</v>
      </c>
    </row>
    <row r="799" spans="1:17" x14ac:dyDescent="0.25">
      <c r="A799" s="5" t="s">
        <v>856</v>
      </c>
      <c r="B799" s="6">
        <f t="shared" si="154"/>
        <v>2</v>
      </c>
      <c r="C799" s="58">
        <v>15.15620232</v>
      </c>
      <c r="D799" s="4">
        <v>7.3</v>
      </c>
      <c r="E799" s="12">
        <f t="shared" si="156"/>
        <v>0</v>
      </c>
      <c r="F799" s="12">
        <f t="shared" si="157"/>
        <v>7.3</v>
      </c>
      <c r="G799" s="16">
        <f t="shared" si="146"/>
        <v>16.730515592196394</v>
      </c>
      <c r="H799" s="14">
        <f t="shared" si="147"/>
        <v>1.1379674817132643</v>
      </c>
      <c r="I799" s="14">
        <f t="shared" si="148"/>
        <v>8.9714194901877438</v>
      </c>
      <c r="J799" s="14">
        <f t="shared" si="149"/>
        <v>1.55360622943824</v>
      </c>
      <c r="K799" s="14">
        <f t="shared" si="150"/>
        <v>6.4442489962710843</v>
      </c>
      <c r="L799" s="14">
        <f t="shared" si="151"/>
        <v>662.63951600276573</v>
      </c>
      <c r="M799" s="14">
        <f t="shared" ref="M799:M862" si="158">MAX(0,K799-$F$9)*$F$8+K799*$F$10+L799*$F$11</f>
        <v>0.31123752953640216</v>
      </c>
      <c r="N799" s="14">
        <f t="shared" si="152"/>
        <v>7.9646548357058471</v>
      </c>
      <c r="O799" s="4">
        <v>8.02</v>
      </c>
      <c r="P799" s="14">
        <f t="shared" si="155"/>
        <v>3.0630872107467308E-3</v>
      </c>
      <c r="Q799" s="14">
        <f t="shared" si="153"/>
        <v>2.209239312285507</v>
      </c>
    </row>
    <row r="800" spans="1:17" x14ac:dyDescent="0.25">
      <c r="A800" s="5" t="s">
        <v>857</v>
      </c>
      <c r="B800" s="6">
        <f t="shared" si="154"/>
        <v>2</v>
      </c>
      <c r="C800" s="58">
        <v>17.11600876</v>
      </c>
      <c r="D800" s="4">
        <v>9</v>
      </c>
      <c r="E800" s="12">
        <f t="shared" si="156"/>
        <v>0</v>
      </c>
      <c r="F800" s="12">
        <f t="shared" si="157"/>
        <v>9</v>
      </c>
      <c r="G800" s="16">
        <f t="shared" ref="G800:G863" si="159">G799+F800-H800-J800</f>
        <v>20.958617549467558</v>
      </c>
      <c r="H800" s="14">
        <f t="shared" ref="H800:H863" si="160">(F800*(G799/$C$11)^$C$12)</f>
        <v>1.6650768907658198</v>
      </c>
      <c r="I800" s="14">
        <f t="shared" ref="I800:I863" si="161">(1+$C$13*(C800-INDEX($A$16:$A$27,B800)))*INDEX($C$16:$C$27,B800)</f>
        <v>12.998840580580708</v>
      </c>
      <c r="J800" s="14">
        <f t="shared" ref="J800:J863" si="162">IF(G799&gt;$F$13,I800,I800*(G799/$F$13))</f>
        <v>3.1068211519630138</v>
      </c>
      <c r="K800" s="14">
        <f t="shared" ref="K800:K863" si="163">K799+H800-MAX(0,K799-$F$9)*$F$8-K799*$F$10-K799*$F$12</f>
        <v>7.6186684426704323</v>
      </c>
      <c r="L800" s="14">
        <f t="shared" ref="L800:L863" si="164">L799+K799*$F$12-L799*$F$11</f>
        <v>662.81893591759581</v>
      </c>
      <c r="M800" s="14">
        <f t="shared" si="158"/>
        <v>0.35629138138537264</v>
      </c>
      <c r="N800" s="14">
        <f t="shared" ref="N800:N863" si="165">M800*$C$8*1000/(24*3600)</f>
        <v>9.1175954194798479</v>
      </c>
      <c r="O800" s="4">
        <v>11.99</v>
      </c>
      <c r="P800" s="14">
        <f t="shared" si="155"/>
        <v>8.2507080741931524</v>
      </c>
      <c r="Q800" s="14">
        <f t="shared" ref="Q800:Q863" si="166">(O800-$F$23)^2</f>
        <v>29.771766297917733</v>
      </c>
    </row>
    <row r="801" spans="1:17" x14ac:dyDescent="0.25">
      <c r="A801" s="5" t="s">
        <v>858</v>
      </c>
      <c r="B801" s="6">
        <f t="shared" ref="B801:B864" si="167">MONTH(A801)</f>
        <v>2</v>
      </c>
      <c r="C801" s="58">
        <v>14.753915790000001</v>
      </c>
      <c r="D801" s="4">
        <v>2.7</v>
      </c>
      <c r="E801" s="12">
        <f t="shared" si="156"/>
        <v>0</v>
      </c>
      <c r="F801" s="12">
        <f t="shared" si="157"/>
        <v>2.7</v>
      </c>
      <c r="G801" s="16">
        <f t="shared" si="159"/>
        <v>20.656932686431645</v>
      </c>
      <c r="H801" s="14">
        <f t="shared" si="160"/>
        <v>0.56308282989792491</v>
      </c>
      <c r="I801" s="14">
        <f t="shared" si="161"/>
        <v>8.1447168004552815</v>
      </c>
      <c r="J801" s="14">
        <f t="shared" si="162"/>
        <v>2.438602033137987</v>
      </c>
      <c r="K801" s="14">
        <f t="shared" si="163"/>
        <v>7.5877809792555517</v>
      </c>
      <c r="L801" s="14">
        <f t="shared" si="164"/>
        <v>663.05661482952326</v>
      </c>
      <c r="M801" s="14">
        <f t="shared" si="158"/>
        <v>0.3551578396327516</v>
      </c>
      <c r="N801" s="14">
        <f t="shared" si="165"/>
        <v>9.0885877711575684</v>
      </c>
      <c r="O801" s="4">
        <v>19.23</v>
      </c>
      <c r="P801" s="14">
        <f t="shared" ref="P801:P864" si="168">(O801-N801)^2</f>
        <v>102.84824199531482</v>
      </c>
      <c r="Q801" s="14">
        <f t="shared" si="166"/>
        <v>161.19732886113621</v>
      </c>
    </row>
    <row r="802" spans="1:17" x14ac:dyDescent="0.25">
      <c r="A802" s="5" t="s">
        <v>859</v>
      </c>
      <c r="B802" s="6">
        <f t="shared" si="167"/>
        <v>2</v>
      </c>
      <c r="C802" s="58">
        <v>15.164834020000001</v>
      </c>
      <c r="D802" s="4">
        <v>1</v>
      </c>
      <c r="E802" s="12">
        <f t="shared" si="156"/>
        <v>0</v>
      </c>
      <c r="F802" s="12">
        <f t="shared" si="157"/>
        <v>1</v>
      </c>
      <c r="G802" s="16">
        <f t="shared" si="159"/>
        <v>18.79729072586743</v>
      </c>
      <c r="H802" s="14">
        <f t="shared" si="160"/>
        <v>0.20694802035250992</v>
      </c>
      <c r="I802" s="14">
        <f t="shared" si="161"/>
        <v>8.9891577167372745</v>
      </c>
      <c r="J802" s="14">
        <f t="shared" si="162"/>
        <v>2.6526939402117056</v>
      </c>
      <c r="K802" s="14">
        <f t="shared" si="163"/>
        <v>7.2034758546291835</v>
      </c>
      <c r="L802" s="14">
        <f t="shared" si="164"/>
        <v>663.29271013486937</v>
      </c>
      <c r="M802" s="14">
        <f t="shared" si="158"/>
        <v>0.34047736662135164</v>
      </c>
      <c r="N802" s="14">
        <f t="shared" si="165"/>
        <v>8.7129103888866712</v>
      </c>
      <c r="O802" s="4">
        <v>17.62</v>
      </c>
      <c r="P802" s="14">
        <f t="shared" si="168"/>
        <v>79.336245340403011</v>
      </c>
      <c r="Q802" s="14">
        <f t="shared" si="166"/>
        <v>122.90717862263047</v>
      </c>
    </row>
    <row r="803" spans="1:17" x14ac:dyDescent="0.25">
      <c r="A803" s="5" t="s">
        <v>860</v>
      </c>
      <c r="B803" s="6">
        <f t="shared" si="167"/>
        <v>2</v>
      </c>
      <c r="C803" s="58">
        <v>15.85056591</v>
      </c>
      <c r="D803" s="4">
        <v>5</v>
      </c>
      <c r="E803" s="12">
        <f t="shared" si="156"/>
        <v>0</v>
      </c>
      <c r="F803" s="12">
        <f t="shared" si="157"/>
        <v>5</v>
      </c>
      <c r="G803" s="16">
        <f t="shared" si="159"/>
        <v>20.020863626777913</v>
      </c>
      <c r="H803" s="14">
        <f t="shared" si="160"/>
        <v>0.9841293729208509</v>
      </c>
      <c r="I803" s="14">
        <f t="shared" si="161"/>
        <v>10.398343348427018</v>
      </c>
      <c r="J803" s="14">
        <f t="shared" si="162"/>
        <v>2.7922977261686657</v>
      </c>
      <c r="K803" s="14">
        <f t="shared" si="163"/>
        <v>7.630159132864434</v>
      </c>
      <c r="L803" s="14">
        <f t="shared" si="164"/>
        <v>663.50967886293358</v>
      </c>
      <c r="M803" s="14">
        <f t="shared" si="158"/>
        <v>0.3568782463358775</v>
      </c>
      <c r="N803" s="14">
        <f t="shared" si="165"/>
        <v>9.1326134565813106</v>
      </c>
      <c r="O803" s="4">
        <v>12.94</v>
      </c>
      <c r="P803" s="14">
        <f t="shared" si="168"/>
        <v>14.496192291005711</v>
      </c>
      <c r="Q803" s="14">
        <f t="shared" si="166"/>
        <v>41.041333208837273</v>
      </c>
    </row>
    <row r="804" spans="1:17" x14ac:dyDescent="0.25">
      <c r="A804" s="5" t="s">
        <v>861</v>
      </c>
      <c r="B804" s="6">
        <f t="shared" si="167"/>
        <v>3</v>
      </c>
      <c r="C804" s="58">
        <v>14.26501274</v>
      </c>
      <c r="D804" s="4">
        <v>4.5999999999999996</v>
      </c>
      <c r="E804" s="12">
        <f t="shared" si="156"/>
        <v>0</v>
      </c>
      <c r="F804" s="12">
        <f t="shared" si="157"/>
        <v>4.5999999999999996</v>
      </c>
      <c r="G804" s="16">
        <f t="shared" si="159"/>
        <v>21.409163271613963</v>
      </c>
      <c r="H804" s="14">
        <f t="shared" si="160"/>
        <v>0.93626472248182535</v>
      </c>
      <c r="I804" s="14">
        <f t="shared" si="161"/>
        <v>7.9557190254294357</v>
      </c>
      <c r="J804" s="14">
        <f t="shared" si="162"/>
        <v>2.275435632682123</v>
      </c>
      <c r="K804" s="14">
        <f t="shared" si="163"/>
        <v>7.9714427341355156</v>
      </c>
      <c r="L804" s="14">
        <f t="shared" si="164"/>
        <v>663.74778173780851</v>
      </c>
      <c r="M804" s="14">
        <f t="shared" si="158"/>
        <v>0.37001021310252113</v>
      </c>
      <c r="N804" s="14">
        <f t="shared" si="165"/>
        <v>9.4686641339082662</v>
      </c>
      <c r="O804" s="4">
        <v>12.29</v>
      </c>
      <c r="P804" s="14">
        <f t="shared" si="168"/>
        <v>7.9599360692955887</v>
      </c>
      <c r="Q804" s="14">
        <f t="shared" si="166"/>
        <v>33.135576901366001</v>
      </c>
    </row>
    <row r="805" spans="1:17" x14ac:dyDescent="0.25">
      <c r="A805" s="5" t="s">
        <v>862</v>
      </c>
      <c r="B805" s="6">
        <f t="shared" si="167"/>
        <v>3</v>
      </c>
      <c r="C805" s="58">
        <v>15.74338818</v>
      </c>
      <c r="D805" s="4">
        <v>10.4</v>
      </c>
      <c r="E805" s="12">
        <f t="shared" si="156"/>
        <v>0</v>
      </c>
      <c r="F805" s="12">
        <f t="shared" si="157"/>
        <v>10.4</v>
      </c>
      <c r="G805" s="16">
        <f t="shared" si="159"/>
        <v>26.263588343399878</v>
      </c>
      <c r="H805" s="14">
        <f t="shared" si="160"/>
        <v>2.1935729655483671</v>
      </c>
      <c r="I805" s="14">
        <f t="shared" si="161"/>
        <v>10.959790671245148</v>
      </c>
      <c r="J805" s="14">
        <f t="shared" si="162"/>
        <v>3.3520019626657187</v>
      </c>
      <c r="K805" s="14">
        <f t="shared" si="163"/>
        <v>9.5400121011937653</v>
      </c>
      <c r="L805" s="14">
        <f t="shared" si="164"/>
        <v>664.0027751231961</v>
      </c>
      <c r="M805" s="14">
        <f t="shared" si="158"/>
        <v>0.43018795921720893</v>
      </c>
      <c r="N805" s="14">
        <f t="shared" si="165"/>
        <v>11.008629373023714</v>
      </c>
      <c r="O805" s="4">
        <v>12.55</v>
      </c>
      <c r="P805" s="14">
        <f t="shared" si="168"/>
        <v>2.3758234097052706</v>
      </c>
      <c r="Q805" s="14">
        <f t="shared" si="166"/>
        <v>36.196479424354528</v>
      </c>
    </row>
    <row r="806" spans="1:17" x14ac:dyDescent="0.25">
      <c r="A806" s="5" t="s">
        <v>863</v>
      </c>
      <c r="B806" s="6">
        <f t="shared" si="167"/>
        <v>3</v>
      </c>
      <c r="C806" s="58">
        <v>15.33193874</v>
      </c>
      <c r="D806" s="4">
        <v>8.6999999999999993</v>
      </c>
      <c r="E806" s="12">
        <f t="shared" si="156"/>
        <v>0</v>
      </c>
      <c r="F806" s="12">
        <f t="shared" si="157"/>
        <v>8.6999999999999993</v>
      </c>
      <c r="G806" s="16">
        <f t="shared" si="159"/>
        <v>29.119637476745211</v>
      </c>
      <c r="H806" s="14">
        <f t="shared" si="160"/>
        <v>2.0455868930141223</v>
      </c>
      <c r="I806" s="14">
        <f t="shared" si="161"/>
        <v>10.123721860205679</v>
      </c>
      <c r="J806" s="14">
        <f t="shared" si="162"/>
        <v>3.7983639736405412</v>
      </c>
      <c r="K806" s="14">
        <f t="shared" si="163"/>
        <v>10.822609456726743</v>
      </c>
      <c r="L806" s="14">
        <f t="shared" si="164"/>
        <v>664.33557670146001</v>
      </c>
      <c r="M806" s="14">
        <f t="shared" si="158"/>
        <v>0.47942081373239853</v>
      </c>
      <c r="N806" s="14">
        <f t="shared" si="165"/>
        <v>12.268511795860338</v>
      </c>
      <c r="O806" s="4">
        <v>16.23</v>
      </c>
      <c r="P806" s="14">
        <f t="shared" si="168"/>
        <v>15.693388791537689</v>
      </c>
      <c r="Q806" s="14">
        <f t="shared" si="166"/>
        <v>94.019222826653433</v>
      </c>
    </row>
    <row r="807" spans="1:17" x14ac:dyDescent="0.25">
      <c r="A807" s="5" t="s">
        <v>864</v>
      </c>
      <c r="B807" s="6">
        <f t="shared" si="167"/>
        <v>3</v>
      </c>
      <c r="C807" s="58">
        <v>15.99103642</v>
      </c>
      <c r="D807" s="4">
        <v>2.2000000000000002</v>
      </c>
      <c r="E807" s="12">
        <f t="shared" si="156"/>
        <v>0</v>
      </c>
      <c r="F807" s="12">
        <f t="shared" si="157"/>
        <v>2.2000000000000002</v>
      </c>
      <c r="G807" s="16">
        <f t="shared" si="159"/>
        <v>26.004625864361941</v>
      </c>
      <c r="H807" s="14">
        <f t="shared" si="160"/>
        <v>0.54645329048522007</v>
      </c>
      <c r="I807" s="14">
        <f t="shared" si="161"/>
        <v>11.463014031016442</v>
      </c>
      <c r="J807" s="14">
        <f t="shared" si="162"/>
        <v>4.7685583218980492</v>
      </c>
      <c r="K807" s="14">
        <f t="shared" si="163"/>
        <v>10.493244026548094</v>
      </c>
      <c r="L807" s="14">
        <f t="shared" si="164"/>
        <v>664.73197460839151</v>
      </c>
      <c r="M807" s="14">
        <f t="shared" si="158"/>
        <v>0.46688017516500563</v>
      </c>
      <c r="N807" s="14">
        <f t="shared" si="165"/>
        <v>11.94759337141004</v>
      </c>
      <c r="O807" s="4">
        <v>16.7</v>
      </c>
      <c r="P807" s="14">
        <f t="shared" si="168"/>
        <v>22.585368763465784</v>
      </c>
      <c r="Q807" s="14">
        <f t="shared" si="166"/>
        <v>103.35469277205571</v>
      </c>
    </row>
    <row r="808" spans="1:17" x14ac:dyDescent="0.25">
      <c r="A808" s="5" t="s">
        <v>865</v>
      </c>
      <c r="B808" s="6">
        <f t="shared" si="167"/>
        <v>3</v>
      </c>
      <c r="C808" s="58">
        <v>15.78754616</v>
      </c>
      <c r="D808" s="4">
        <v>1.8</v>
      </c>
      <c r="E808" s="12">
        <f t="shared" si="156"/>
        <v>0</v>
      </c>
      <c r="F808" s="12">
        <f t="shared" si="157"/>
        <v>1.8</v>
      </c>
      <c r="G808" s="16">
        <f t="shared" si="159"/>
        <v>23.278783481676026</v>
      </c>
      <c r="H808" s="14">
        <f t="shared" si="160"/>
        <v>0.42100142017449077</v>
      </c>
      <c r="I808" s="14">
        <f t="shared" si="161"/>
        <v>11.049520067490054</v>
      </c>
      <c r="J808" s="14">
        <f t="shared" si="162"/>
        <v>4.1048409625114246</v>
      </c>
      <c r="K808" s="14">
        <f t="shared" si="163"/>
        <v>10.067400770247543</v>
      </c>
      <c r="L808" s="14">
        <f t="shared" si="164"/>
        <v>665.11193910970155</v>
      </c>
      <c r="M808" s="14">
        <f t="shared" si="158"/>
        <v>0.450638031596303</v>
      </c>
      <c r="N808" s="14">
        <f t="shared" si="165"/>
        <v>11.531952405780395</v>
      </c>
      <c r="O808" s="4">
        <v>14.49</v>
      </c>
      <c r="P808" s="14">
        <f t="shared" si="168"/>
        <v>8.7500455696683961</v>
      </c>
      <c r="Q808" s="14">
        <f t="shared" si="166"/>
        <v>63.303521326653389</v>
      </c>
    </row>
    <row r="809" spans="1:17" x14ac:dyDescent="0.25">
      <c r="A809" s="5" t="s">
        <v>866</v>
      </c>
      <c r="B809" s="6">
        <f t="shared" si="167"/>
        <v>3</v>
      </c>
      <c r="C809" s="58">
        <v>17.058700559999998</v>
      </c>
      <c r="D809" s="4">
        <v>10.1</v>
      </c>
      <c r="E809" s="12">
        <f t="shared" si="156"/>
        <v>0</v>
      </c>
      <c r="F809" s="12">
        <f t="shared" si="157"/>
        <v>10.1</v>
      </c>
      <c r="G809" s="16">
        <f t="shared" si="159"/>
        <v>26.617982871464392</v>
      </c>
      <c r="H809" s="14">
        <f t="shared" si="160"/>
        <v>2.2272482882843856</v>
      </c>
      <c r="I809" s="14">
        <f t="shared" si="161"/>
        <v>13.63251677263951</v>
      </c>
      <c r="J809" s="14">
        <f t="shared" si="162"/>
        <v>4.533552321927246</v>
      </c>
      <c r="K809" s="14">
        <f t="shared" si="163"/>
        <v>11.485265512445928</v>
      </c>
      <c r="L809" s="14">
        <f t="shared" si="164"/>
        <v>665.47068462419134</v>
      </c>
      <c r="M809" s="14">
        <f t="shared" si="158"/>
        <v>0.50506122161389921</v>
      </c>
      <c r="N809" s="14">
        <f t="shared" si="165"/>
        <v>12.92465695588346</v>
      </c>
      <c r="O809" s="4">
        <v>13.62</v>
      </c>
      <c r="P809" s="14">
        <f t="shared" si="168"/>
        <v>0.48350194900125526</v>
      </c>
      <c r="Q809" s="14">
        <f t="shared" si="166"/>
        <v>50.216370576653368</v>
      </c>
    </row>
    <row r="810" spans="1:17" x14ac:dyDescent="0.25">
      <c r="A810" s="5" t="s">
        <v>867</v>
      </c>
      <c r="B810" s="6">
        <f t="shared" si="167"/>
        <v>3</v>
      </c>
      <c r="C810" s="58">
        <v>16.117706299999998</v>
      </c>
      <c r="D810" s="4">
        <v>9.6</v>
      </c>
      <c r="E810" s="12">
        <f t="shared" si="156"/>
        <v>0</v>
      </c>
      <c r="F810" s="12">
        <f t="shared" si="157"/>
        <v>9.6</v>
      </c>
      <c r="G810" s="16">
        <f t="shared" si="159"/>
        <v>29.487873783696941</v>
      </c>
      <c r="H810" s="14">
        <f t="shared" si="160"/>
        <v>2.2733393758234768</v>
      </c>
      <c r="I810" s="14">
        <f t="shared" si="161"/>
        <v>11.720408319768204</v>
      </c>
      <c r="J810" s="14">
        <f t="shared" si="162"/>
        <v>4.4567697119439762</v>
      </c>
      <c r="K810" s="14">
        <f t="shared" si="163"/>
        <v>12.824492782565137</v>
      </c>
      <c r="L810" s="14">
        <f t="shared" si="164"/>
        <v>665.89973550828176</v>
      </c>
      <c r="M810" s="14">
        <f t="shared" si="158"/>
        <v>0.55648511915869137</v>
      </c>
      <c r="N810" s="14">
        <f t="shared" si="165"/>
        <v>14.240608778470678</v>
      </c>
      <c r="O810" s="4">
        <v>16.32</v>
      </c>
      <c r="P810" s="14">
        <f t="shared" si="168"/>
        <v>4.3238678521732066</v>
      </c>
      <c r="Q810" s="14">
        <f t="shared" si="166"/>
        <v>95.772666007687903</v>
      </c>
    </row>
    <row r="811" spans="1:17" x14ac:dyDescent="0.25">
      <c r="A811" s="5" t="s">
        <v>868</v>
      </c>
      <c r="B811" s="6">
        <f t="shared" si="167"/>
        <v>3</v>
      </c>
      <c r="C811" s="58">
        <v>16.957695009999998</v>
      </c>
      <c r="D811" s="4">
        <v>6.6</v>
      </c>
      <c r="E811" s="12">
        <f t="shared" si="156"/>
        <v>0</v>
      </c>
      <c r="F811" s="12">
        <f t="shared" si="157"/>
        <v>6.6</v>
      </c>
      <c r="G811" s="16">
        <f t="shared" si="159"/>
        <v>28.78121146739926</v>
      </c>
      <c r="H811" s="14">
        <f t="shared" si="160"/>
        <v>1.6503474572603678</v>
      </c>
      <c r="I811" s="14">
        <f t="shared" si="161"/>
        <v>13.427272623815568</v>
      </c>
      <c r="J811" s="14">
        <f t="shared" si="162"/>
        <v>5.656314859037316</v>
      </c>
      <c r="K811" s="14">
        <f t="shared" si="163"/>
        <v>13.422917257362657</v>
      </c>
      <c r="L811" s="14">
        <f t="shared" si="164"/>
        <v>666.39517337158588</v>
      </c>
      <c r="M811" s="14">
        <f t="shared" si="158"/>
        <v>0.57952791575837304</v>
      </c>
      <c r="N811" s="14">
        <f t="shared" si="165"/>
        <v>14.830280344233365</v>
      </c>
      <c r="O811" s="4">
        <v>17.649999999999999</v>
      </c>
      <c r="P811" s="14">
        <f t="shared" si="168"/>
        <v>7.9508189371166997</v>
      </c>
      <c r="Q811" s="14">
        <f t="shared" si="166"/>
        <v>123.57325968297525</v>
      </c>
    </row>
    <row r="812" spans="1:17" x14ac:dyDescent="0.25">
      <c r="A812" s="5" t="s">
        <v>869</v>
      </c>
      <c r="B812" s="6">
        <f t="shared" si="167"/>
        <v>3</v>
      </c>
      <c r="C812" s="58">
        <v>16.331769940000001</v>
      </c>
      <c r="D812" s="4">
        <v>2.8</v>
      </c>
      <c r="E812" s="12">
        <f t="shared" si="156"/>
        <v>0</v>
      </c>
      <c r="F812" s="12">
        <f t="shared" si="157"/>
        <v>2.8</v>
      </c>
      <c r="G812" s="16">
        <f t="shared" si="159"/>
        <v>25.892218766552517</v>
      </c>
      <c r="H812" s="14">
        <f t="shared" si="160"/>
        <v>0.69117755620650989</v>
      </c>
      <c r="I812" s="14">
        <f t="shared" si="161"/>
        <v>12.155387482655346</v>
      </c>
      <c r="J812" s="14">
        <f t="shared" si="162"/>
        <v>4.997815144640235</v>
      </c>
      <c r="K812" s="14">
        <f t="shared" si="163"/>
        <v>13.00952885285856</v>
      </c>
      <c r="L812" s="14">
        <f t="shared" si="164"/>
        <v>666.92021141653811</v>
      </c>
      <c r="M812" s="14">
        <f t="shared" si="158"/>
        <v>0.56379392274609974</v>
      </c>
      <c r="N812" s="14">
        <f t="shared" si="165"/>
        <v>14.427643092495677</v>
      </c>
      <c r="O812" s="4">
        <v>19.010000000000002</v>
      </c>
      <c r="P812" s="14">
        <f t="shared" si="168"/>
        <v>20.997994827752599</v>
      </c>
      <c r="Q812" s="14">
        <f t="shared" si="166"/>
        <v>155.6593344186075</v>
      </c>
    </row>
    <row r="813" spans="1:17" x14ac:dyDescent="0.25">
      <c r="A813" s="5" t="s">
        <v>870</v>
      </c>
      <c r="B813" s="6">
        <f t="shared" si="167"/>
        <v>3</v>
      </c>
      <c r="C813" s="58">
        <v>17.93013573</v>
      </c>
      <c r="D813" s="4">
        <v>8.6</v>
      </c>
      <c r="E813" s="12">
        <f t="shared" si="156"/>
        <v>0</v>
      </c>
      <c r="F813" s="12">
        <f t="shared" si="157"/>
        <v>8.6</v>
      </c>
      <c r="G813" s="16">
        <f t="shared" si="159"/>
        <v>26.787887952307731</v>
      </c>
      <c r="H813" s="14">
        <f t="shared" si="160"/>
        <v>2.006824644040925</v>
      </c>
      <c r="I813" s="14">
        <f t="shared" si="161"/>
        <v>15.403280554648498</v>
      </c>
      <c r="J813" s="14">
        <f t="shared" si="162"/>
        <v>5.6975061702038614</v>
      </c>
      <c r="K813" s="14">
        <f t="shared" si="163"/>
        <v>13.948153022065018</v>
      </c>
      <c r="L813" s="14">
        <f t="shared" si="164"/>
        <v>667.42461796862654</v>
      </c>
      <c r="M813" s="14">
        <f t="shared" si="158"/>
        <v>0.59987856781304871</v>
      </c>
      <c r="N813" s="14">
        <f t="shared" si="165"/>
        <v>15.351059183271422</v>
      </c>
      <c r="O813" s="4">
        <v>18.239999999999998</v>
      </c>
      <c r="P813" s="14">
        <f t="shared" si="168"/>
        <v>8.3459790425603728</v>
      </c>
      <c r="Q813" s="14">
        <f t="shared" si="166"/>
        <v>137.03865386975684</v>
      </c>
    </row>
    <row r="814" spans="1:17" x14ac:dyDescent="0.25">
      <c r="A814" s="5" t="s">
        <v>871</v>
      </c>
      <c r="B814" s="6">
        <f t="shared" si="167"/>
        <v>3</v>
      </c>
      <c r="C814" s="58">
        <v>17.240154270000001</v>
      </c>
      <c r="D814" s="4">
        <v>15.2</v>
      </c>
      <c r="E814" s="12">
        <f t="shared" si="156"/>
        <v>0</v>
      </c>
      <c r="F814" s="12">
        <f t="shared" si="157"/>
        <v>15.2</v>
      </c>
      <c r="G814" s="16">
        <f t="shared" si="159"/>
        <v>33.018185284577946</v>
      </c>
      <c r="H814" s="14">
        <f t="shared" si="160"/>
        <v>3.6116491777461195</v>
      </c>
      <c r="I814" s="14">
        <f t="shared" si="161"/>
        <v>14.001232276489517</v>
      </c>
      <c r="J814" s="14">
        <f t="shared" si="162"/>
        <v>5.3580534899836652</v>
      </c>
      <c r="K814" s="14">
        <f t="shared" si="163"/>
        <v>16.409031619970396</v>
      </c>
      <c r="L814" s="14">
        <f t="shared" si="164"/>
        <v>667.97550998065424</v>
      </c>
      <c r="M814" s="14">
        <f t="shared" si="158"/>
        <v>0.69432149524715803</v>
      </c>
      <c r="N814" s="14">
        <f t="shared" si="165"/>
        <v>17.767879930456786</v>
      </c>
      <c r="O814" s="4">
        <v>19.010000000000002</v>
      </c>
      <c r="P814" s="14">
        <f t="shared" si="168"/>
        <v>1.5428622671620427</v>
      </c>
      <c r="Q814" s="14">
        <f t="shared" si="166"/>
        <v>155.6593344186075</v>
      </c>
    </row>
    <row r="815" spans="1:17" x14ac:dyDescent="0.25">
      <c r="A815" s="5" t="s">
        <v>872</v>
      </c>
      <c r="B815" s="6">
        <f t="shared" si="167"/>
        <v>3</v>
      </c>
      <c r="C815" s="58">
        <v>15.75150204</v>
      </c>
      <c r="D815" s="4">
        <v>17.600000000000001</v>
      </c>
      <c r="E815" s="12">
        <f t="shared" si="156"/>
        <v>0</v>
      </c>
      <c r="F815" s="12">
        <f t="shared" si="157"/>
        <v>17.600000000000001</v>
      </c>
      <c r="G815" s="16">
        <f t="shared" si="159"/>
        <v>40.767217039171562</v>
      </c>
      <c r="H815" s="14">
        <f t="shared" si="160"/>
        <v>4.6735814330212051</v>
      </c>
      <c r="I815" s="14">
        <f t="shared" si="161"/>
        <v>10.976278104751293</v>
      </c>
      <c r="J815" s="14">
        <f t="shared" si="162"/>
        <v>5.1773868123851798</v>
      </c>
      <c r="K815" s="14">
        <f t="shared" si="163"/>
        <v>19.715360721558497</v>
      </c>
      <c r="L815" s="14">
        <f t="shared" si="164"/>
        <v>668.64844081684021</v>
      </c>
      <c r="M815" s="14">
        <f t="shared" si="158"/>
        <v>0.82119664138694515</v>
      </c>
      <c r="N815" s="14">
        <f t="shared" si="165"/>
        <v>21.01465016327009</v>
      </c>
      <c r="O815" s="4">
        <v>22.45</v>
      </c>
      <c r="P815" s="14">
        <f t="shared" si="168"/>
        <v>2.0602291538005759</v>
      </c>
      <c r="Q815" s="14">
        <f t="shared" si="166"/>
        <v>253.33022933814772</v>
      </c>
    </row>
    <row r="816" spans="1:17" x14ac:dyDescent="0.25">
      <c r="A816" s="5" t="s">
        <v>873</v>
      </c>
      <c r="B816" s="6">
        <f t="shared" si="167"/>
        <v>3</v>
      </c>
      <c r="C816" s="58">
        <v>16.983867650000001</v>
      </c>
      <c r="D816" s="4">
        <v>5.9</v>
      </c>
      <c r="E816" s="12">
        <f t="shared" si="156"/>
        <v>0</v>
      </c>
      <c r="F816" s="12">
        <f t="shared" si="157"/>
        <v>5.9</v>
      </c>
      <c r="G816" s="16">
        <f t="shared" si="159"/>
        <v>37.063838681208495</v>
      </c>
      <c r="H816" s="14">
        <f t="shared" si="160"/>
        <v>1.7525054260697568</v>
      </c>
      <c r="I816" s="14">
        <f t="shared" si="161"/>
        <v>13.480455654047828</v>
      </c>
      <c r="J816" s="14">
        <f t="shared" si="162"/>
        <v>7.8508729318933073</v>
      </c>
      <c r="K816" s="14">
        <f t="shared" si="163"/>
        <v>19.809758381123373</v>
      </c>
      <c r="L816" s="14">
        <f t="shared" si="164"/>
        <v>669.48535194195813</v>
      </c>
      <c r="M816" s="14">
        <f t="shared" si="158"/>
        <v>0.82499233786049908</v>
      </c>
      <c r="N816" s="14">
        <f t="shared" si="165"/>
        <v>21.111783090388464</v>
      </c>
      <c r="O816" s="4">
        <v>26.02</v>
      </c>
      <c r="P816" s="14">
        <f t="shared" si="168"/>
        <v>24.090593231796614</v>
      </c>
      <c r="Q816" s="14">
        <f t="shared" si="166"/>
        <v>379.71787551918226</v>
      </c>
    </row>
    <row r="817" spans="1:17" x14ac:dyDescent="0.25">
      <c r="A817" s="5" t="s">
        <v>874</v>
      </c>
      <c r="B817" s="6">
        <f t="shared" si="167"/>
        <v>3</v>
      </c>
      <c r="C817" s="58">
        <v>18.053941729999998</v>
      </c>
      <c r="D817" s="4">
        <v>7.7</v>
      </c>
      <c r="E817" s="12">
        <f t="shared" si="156"/>
        <v>0</v>
      </c>
      <c r="F817" s="12">
        <f t="shared" si="157"/>
        <v>7.7</v>
      </c>
      <c r="G817" s="16">
        <f t="shared" si="159"/>
        <v>34.30058497658483</v>
      </c>
      <c r="H817" s="14">
        <f t="shared" si="160"/>
        <v>2.1742607871191275</v>
      </c>
      <c r="I817" s="14">
        <f t="shared" si="161"/>
        <v>15.654855414537847</v>
      </c>
      <c r="J817" s="14">
        <f t="shared" si="162"/>
        <v>8.2889929175045474</v>
      </c>
      <c r="K817" s="14">
        <f t="shared" si="163"/>
        <v>20.31760730631974</v>
      </c>
      <c r="L817" s="14">
        <f t="shared" si="164"/>
        <v>670.32677146602032</v>
      </c>
      <c r="M817" s="14">
        <f t="shared" si="158"/>
        <v>0.8446366900586183</v>
      </c>
      <c r="N817" s="14">
        <f t="shared" si="165"/>
        <v>21.614487519902838</v>
      </c>
      <c r="O817" s="4">
        <v>26.11</v>
      </c>
      <c r="P817" s="14">
        <f t="shared" si="168"/>
        <v>20.209632458709333</v>
      </c>
      <c r="Q817" s="14">
        <f t="shared" si="166"/>
        <v>383.23351870021673</v>
      </c>
    </row>
    <row r="818" spans="1:17" x14ac:dyDescent="0.25">
      <c r="A818" s="5" t="s">
        <v>875</v>
      </c>
      <c r="B818" s="6">
        <f t="shared" si="167"/>
        <v>3</v>
      </c>
      <c r="C818" s="58">
        <v>17.422542570000001</v>
      </c>
      <c r="D818" s="4">
        <v>1.4</v>
      </c>
      <c r="E818" s="12">
        <f t="shared" si="156"/>
        <v>0</v>
      </c>
      <c r="F818" s="12">
        <f t="shared" si="157"/>
        <v>1.4</v>
      </c>
      <c r="G818" s="16">
        <f t="shared" si="159"/>
        <v>28.278885147469943</v>
      </c>
      <c r="H818" s="14">
        <f t="shared" si="160"/>
        <v>0.37936907043628787</v>
      </c>
      <c r="I818" s="14">
        <f t="shared" si="161"/>
        <v>14.371846875280829</v>
      </c>
      <c r="J818" s="14">
        <f t="shared" si="162"/>
        <v>7.042330758678597</v>
      </c>
      <c r="K818" s="14">
        <f t="shared" si="163"/>
        <v>18.985889403690287</v>
      </c>
      <c r="L818" s="14">
        <f t="shared" si="164"/>
        <v>671.19322174902743</v>
      </c>
      <c r="M818" s="14">
        <f t="shared" si="158"/>
        <v>0.7937752488936467</v>
      </c>
      <c r="N818" s="14">
        <f t="shared" si="165"/>
        <v>20.31292911231311</v>
      </c>
      <c r="O818" s="4">
        <v>22.82</v>
      </c>
      <c r="P818" s="14">
        <f t="shared" si="168"/>
        <v>6.2854044358871297</v>
      </c>
      <c r="Q818" s="14">
        <f t="shared" si="166"/>
        <v>265.24522908240061</v>
      </c>
    </row>
    <row r="819" spans="1:17" x14ac:dyDescent="0.25">
      <c r="A819" s="5" t="s">
        <v>876</v>
      </c>
      <c r="B819" s="6">
        <f t="shared" si="167"/>
        <v>3</v>
      </c>
      <c r="C819" s="58">
        <v>17.183816910000001</v>
      </c>
      <c r="D819" s="4">
        <v>0</v>
      </c>
      <c r="E819" s="12">
        <f t="shared" si="156"/>
        <v>0</v>
      </c>
      <c r="F819" s="12">
        <f t="shared" si="157"/>
        <v>0</v>
      </c>
      <c r="G819" s="16">
        <f t="shared" si="159"/>
        <v>22.668853056888409</v>
      </c>
      <c r="H819" s="14">
        <f t="shared" si="160"/>
        <v>0</v>
      </c>
      <c r="I819" s="14">
        <f t="shared" si="161"/>
        <v>13.886754275031302</v>
      </c>
      <c r="J819" s="14">
        <f t="shared" si="162"/>
        <v>5.6100320905815346</v>
      </c>
      <c r="K819" s="14">
        <f t="shared" si="163"/>
        <v>17.391952713630587</v>
      </c>
      <c r="L819" s="14">
        <f t="shared" si="164"/>
        <v>671.99338319019341</v>
      </c>
      <c r="M819" s="14">
        <f t="shared" si="158"/>
        <v>0.73284883801996803</v>
      </c>
      <c r="N819" s="14">
        <f t="shared" si="165"/>
        <v>18.753805334052654</v>
      </c>
      <c r="O819" s="4">
        <v>17.22</v>
      </c>
      <c r="P819" s="14">
        <f t="shared" si="168"/>
        <v>2.3525588027683764</v>
      </c>
      <c r="Q819" s="14">
        <f t="shared" si="166"/>
        <v>114.19809781803272</v>
      </c>
    </row>
    <row r="820" spans="1:17" x14ac:dyDescent="0.25">
      <c r="A820" s="5" t="s">
        <v>877</v>
      </c>
      <c r="B820" s="6">
        <f t="shared" si="167"/>
        <v>3</v>
      </c>
      <c r="C820" s="58">
        <v>17.593715670000002</v>
      </c>
      <c r="D820" s="4">
        <v>0</v>
      </c>
      <c r="E820" s="12">
        <f t="shared" si="156"/>
        <v>0</v>
      </c>
      <c r="F820" s="12">
        <f t="shared" si="157"/>
        <v>0</v>
      </c>
      <c r="G820" s="16">
        <f t="shared" si="159"/>
        <v>17.902019440655245</v>
      </c>
      <c r="H820" s="14">
        <f t="shared" si="160"/>
        <v>0</v>
      </c>
      <c r="I820" s="14">
        <f t="shared" si="161"/>
        <v>14.719672090935374</v>
      </c>
      <c r="J820" s="14">
        <f t="shared" si="162"/>
        <v>4.7668336162331633</v>
      </c>
      <c r="K820" s="14">
        <f t="shared" si="163"/>
        <v>15.938233508043774</v>
      </c>
      <c r="L820" s="14">
        <f t="shared" si="164"/>
        <v>672.71425355776023</v>
      </c>
      <c r="M820" s="14">
        <f t="shared" si="158"/>
        <v>0.67728019353883473</v>
      </c>
      <c r="N820" s="14">
        <f t="shared" si="165"/>
        <v>17.331788286045875</v>
      </c>
      <c r="O820" s="4">
        <v>13.59</v>
      </c>
      <c r="P820" s="14">
        <f t="shared" si="168"/>
        <v>14.000979577590124</v>
      </c>
      <c r="Q820" s="14">
        <f t="shared" si="166"/>
        <v>49.79208951630855</v>
      </c>
    </row>
    <row r="821" spans="1:17" x14ac:dyDescent="0.25">
      <c r="A821" s="5" t="s">
        <v>878</v>
      </c>
      <c r="B821" s="6">
        <f t="shared" si="167"/>
        <v>3</v>
      </c>
      <c r="C821" s="58">
        <v>15.95825005</v>
      </c>
      <c r="D821" s="4">
        <v>0</v>
      </c>
      <c r="E821" s="12">
        <f t="shared" si="156"/>
        <v>0</v>
      </c>
      <c r="F821" s="12">
        <f t="shared" si="157"/>
        <v>0</v>
      </c>
      <c r="G821" s="16">
        <f t="shared" si="159"/>
        <v>14.987468110566667</v>
      </c>
      <c r="H821" s="14">
        <f t="shared" si="160"/>
        <v>0</v>
      </c>
      <c r="I821" s="14">
        <f t="shared" si="161"/>
        <v>11.396391844377423</v>
      </c>
      <c r="J821" s="14">
        <f t="shared" si="162"/>
        <v>2.9145513300885773</v>
      </c>
      <c r="K821" s="14">
        <f t="shared" si="163"/>
        <v>14.612396953887535</v>
      </c>
      <c r="L821" s="14">
        <f t="shared" si="164"/>
        <v>673.36280991837759</v>
      </c>
      <c r="M821" s="14">
        <f t="shared" si="158"/>
        <v>0.62659799692606633</v>
      </c>
      <c r="N821" s="14">
        <f t="shared" si="165"/>
        <v>16.034816796337186</v>
      </c>
      <c r="O821" s="4">
        <v>11.6</v>
      </c>
      <c r="P821" s="14">
        <f t="shared" si="168"/>
        <v>19.667600017074424</v>
      </c>
      <c r="Q821" s="14">
        <f t="shared" si="166"/>
        <v>25.667912513434963</v>
      </c>
    </row>
    <row r="822" spans="1:17" x14ac:dyDescent="0.25">
      <c r="A822" s="5" t="s">
        <v>879</v>
      </c>
      <c r="B822" s="6">
        <f t="shared" si="167"/>
        <v>3</v>
      </c>
      <c r="C822" s="58">
        <v>16.009267810000001</v>
      </c>
      <c r="D822" s="4">
        <v>0</v>
      </c>
      <c r="E822" s="12">
        <f t="shared" si="156"/>
        <v>0</v>
      </c>
      <c r="F822" s="12">
        <f t="shared" si="157"/>
        <v>0</v>
      </c>
      <c r="G822" s="16">
        <f t="shared" si="159"/>
        <v>12.525226292099305</v>
      </c>
      <c r="H822" s="14">
        <f t="shared" si="160"/>
        <v>0</v>
      </c>
      <c r="I822" s="14">
        <f t="shared" si="161"/>
        <v>11.500060372751401</v>
      </c>
      <c r="J822" s="14">
        <f t="shared" si="162"/>
        <v>2.4622418184673616</v>
      </c>
      <c r="K822" s="14">
        <f t="shared" si="163"/>
        <v>13.403193304667452</v>
      </c>
      <c r="L822" s="14">
        <f t="shared" si="164"/>
        <v>673.94541557067168</v>
      </c>
      <c r="M822" s="14">
        <f t="shared" si="158"/>
        <v>0.58037239121497231</v>
      </c>
      <c r="N822" s="14">
        <f t="shared" si="165"/>
        <v>14.851890705744257</v>
      </c>
      <c r="O822" s="4">
        <v>9.81</v>
      </c>
      <c r="P822" s="14">
        <f t="shared" si="168"/>
        <v>25.420661888670317</v>
      </c>
      <c r="Q822" s="14">
        <f t="shared" si="166"/>
        <v>10.73447591286024</v>
      </c>
    </row>
    <row r="823" spans="1:17" x14ac:dyDescent="0.25">
      <c r="A823" s="5" t="s">
        <v>880</v>
      </c>
      <c r="B823" s="6">
        <f t="shared" si="167"/>
        <v>3</v>
      </c>
      <c r="C823" s="58">
        <v>16.163402560000002</v>
      </c>
      <c r="D823" s="4">
        <v>4.2</v>
      </c>
      <c r="E823" s="12">
        <f t="shared" si="156"/>
        <v>0</v>
      </c>
      <c r="F823" s="12">
        <f t="shared" si="157"/>
        <v>4.2</v>
      </c>
      <c r="G823" s="16">
        <f t="shared" si="159"/>
        <v>13.945249314762801</v>
      </c>
      <c r="H823" s="14">
        <f t="shared" si="160"/>
        <v>0.66620671659279607</v>
      </c>
      <c r="I823" s="14">
        <f t="shared" si="161"/>
        <v>11.813263514241559</v>
      </c>
      <c r="J823" s="14">
        <f t="shared" si="162"/>
        <v>2.1137702607437072</v>
      </c>
      <c r="K823" s="14">
        <f t="shared" si="163"/>
        <v>12.966569162732828</v>
      </c>
      <c r="L823" s="14">
        <f t="shared" si="164"/>
        <v>674.46787403798407</v>
      </c>
      <c r="M823" s="14">
        <f t="shared" si="158"/>
        <v>0.56374721921643434</v>
      </c>
      <c r="N823" s="14">
        <f t="shared" si="165"/>
        <v>14.426447936198338</v>
      </c>
      <c r="O823" s="4">
        <v>10.01</v>
      </c>
      <c r="P823" s="14">
        <f t="shared" si="168"/>
        <v>19.50501237315056</v>
      </c>
      <c r="Q823" s="14">
        <f t="shared" si="166"/>
        <v>12.085016315159089</v>
      </c>
    </row>
    <row r="824" spans="1:17" x14ac:dyDescent="0.25">
      <c r="A824" s="5" t="s">
        <v>881</v>
      </c>
      <c r="B824" s="6">
        <f t="shared" si="167"/>
        <v>3</v>
      </c>
      <c r="C824" s="58">
        <v>15.87269592</v>
      </c>
      <c r="D824" s="4">
        <v>2</v>
      </c>
      <c r="E824" s="12">
        <f t="shared" si="156"/>
        <v>0</v>
      </c>
      <c r="F824" s="12">
        <f t="shared" si="157"/>
        <v>2</v>
      </c>
      <c r="G824" s="16">
        <f t="shared" si="159"/>
        <v>13.37363717912689</v>
      </c>
      <c r="H824" s="14">
        <f t="shared" si="160"/>
        <v>0.33587905067864521</v>
      </c>
      <c r="I824" s="14">
        <f t="shared" si="161"/>
        <v>11.222545114269792</v>
      </c>
      <c r="J824" s="14">
        <f t="shared" si="162"/>
        <v>2.2357330849572659</v>
      </c>
      <c r="K824" s="14">
        <f t="shared" si="163"/>
        <v>12.23802687216539</v>
      </c>
      <c r="L824" s="14">
        <f t="shared" si="164"/>
        <v>674.96854816001371</v>
      </c>
      <c r="M824" s="14">
        <f t="shared" si="158"/>
        <v>0.53592812693645997</v>
      </c>
      <c r="N824" s="14">
        <f t="shared" si="165"/>
        <v>13.71454963722816</v>
      </c>
      <c r="O824" s="4">
        <v>12.69</v>
      </c>
      <c r="P824" s="14">
        <f t="shared" si="168"/>
        <v>1.049701959144355</v>
      </c>
      <c r="Q824" s="14">
        <f t="shared" si="166"/>
        <v>37.90065770596371</v>
      </c>
    </row>
    <row r="825" spans="1:17" x14ac:dyDescent="0.25">
      <c r="A825" s="5" t="s">
        <v>882</v>
      </c>
      <c r="B825" s="6">
        <f t="shared" si="167"/>
        <v>3</v>
      </c>
      <c r="C825" s="58">
        <v>16.57884026</v>
      </c>
      <c r="D825" s="4">
        <v>0.5</v>
      </c>
      <c r="E825" s="12">
        <f t="shared" si="156"/>
        <v>0</v>
      </c>
      <c r="F825" s="12">
        <f t="shared" si="157"/>
        <v>0.5</v>
      </c>
      <c r="G825" s="16">
        <f t="shared" si="159"/>
        <v>11.373284981404836</v>
      </c>
      <c r="H825" s="14">
        <f t="shared" si="160"/>
        <v>8.2122195994164496E-2</v>
      </c>
      <c r="I825" s="14">
        <f t="shared" si="161"/>
        <v>12.657436504001785</v>
      </c>
      <c r="J825" s="14">
        <f t="shared" si="162"/>
        <v>2.4182300017278888</v>
      </c>
      <c r="K825" s="14">
        <f t="shared" si="163"/>
        <v>11.319817077483384</v>
      </c>
      <c r="L825" s="14">
        <f t="shared" si="164"/>
        <v>675.4329520237535</v>
      </c>
      <c r="M825" s="14">
        <f t="shared" si="158"/>
        <v>0.50083133880799058</v>
      </c>
      <c r="N825" s="14">
        <f t="shared" si="165"/>
        <v>12.816413079912815</v>
      </c>
      <c r="O825" s="4">
        <v>12.65</v>
      </c>
      <c r="P825" s="14">
        <f t="shared" si="168"/>
        <v>2.7693313166068788E-2</v>
      </c>
      <c r="Q825" s="14">
        <f t="shared" si="166"/>
        <v>37.409749625503949</v>
      </c>
    </row>
    <row r="826" spans="1:17" x14ac:dyDescent="0.25">
      <c r="A826" s="5" t="s">
        <v>883</v>
      </c>
      <c r="B826" s="6">
        <f t="shared" si="167"/>
        <v>3</v>
      </c>
      <c r="C826" s="58">
        <v>16.219415659999999</v>
      </c>
      <c r="D826" s="4">
        <v>0.7</v>
      </c>
      <c r="E826" s="12">
        <f t="shared" si="156"/>
        <v>0</v>
      </c>
      <c r="F826" s="12">
        <f t="shared" si="157"/>
        <v>0.7</v>
      </c>
      <c r="G826" s="16">
        <f t="shared" si="159"/>
        <v>10.029941145459519</v>
      </c>
      <c r="H826" s="14">
        <f t="shared" si="160"/>
        <v>0.10548356252766354</v>
      </c>
      <c r="I826" s="14">
        <f t="shared" si="161"/>
        <v>11.927082616582865</v>
      </c>
      <c r="J826" s="14">
        <f t="shared" si="162"/>
        <v>1.9378602734176538</v>
      </c>
      <c r="K826" s="14">
        <f t="shared" si="163"/>
        <v>10.505742916237441</v>
      </c>
      <c r="L826" s="14">
        <f t="shared" si="164"/>
        <v>675.85167840871907</v>
      </c>
      <c r="M826" s="14">
        <f t="shared" si="158"/>
        <v>0.46971641526645447</v>
      </c>
      <c r="N826" s="14">
        <f t="shared" si="165"/>
        <v>12.020173543450587</v>
      </c>
      <c r="O826" s="4">
        <v>9.9</v>
      </c>
      <c r="P826" s="14">
        <f t="shared" si="168"/>
        <v>4.4951358543478186</v>
      </c>
      <c r="Q826" s="14">
        <f t="shared" si="166"/>
        <v>11.332319093894723</v>
      </c>
    </row>
    <row r="827" spans="1:17" x14ac:dyDescent="0.25">
      <c r="A827" s="5" t="s">
        <v>884</v>
      </c>
      <c r="B827" s="6">
        <f t="shared" si="167"/>
        <v>3</v>
      </c>
      <c r="C827" s="58">
        <v>16.655111309999999</v>
      </c>
      <c r="D827" s="4">
        <v>3.2</v>
      </c>
      <c r="E827" s="12">
        <f t="shared" si="156"/>
        <v>0</v>
      </c>
      <c r="F827" s="12">
        <f t="shared" si="157"/>
        <v>3.2</v>
      </c>
      <c r="G827" s="16">
        <f t="shared" si="159"/>
        <v>10.943069439702489</v>
      </c>
      <c r="H827" s="14">
        <f t="shared" si="160"/>
        <v>0.45104425347005367</v>
      </c>
      <c r="I827" s="14">
        <f t="shared" si="161"/>
        <v>12.812419935478156</v>
      </c>
      <c r="J827" s="14">
        <f t="shared" si="162"/>
        <v>1.8358274522869777</v>
      </c>
      <c r="K827" s="14">
        <f t="shared" si="163"/>
        <v>10.108842974737223</v>
      </c>
      <c r="L827" s="14">
        <f t="shared" si="164"/>
        <v>676.22990618842289</v>
      </c>
      <c r="M827" s="14">
        <f t="shared" si="158"/>
        <v>0.45458330871595454</v>
      </c>
      <c r="N827" s="14">
        <f t="shared" si="165"/>
        <v>11.632913143182586</v>
      </c>
      <c r="O827" s="4">
        <v>11.27</v>
      </c>
      <c r="P827" s="14">
        <f t="shared" si="168"/>
        <v>0.13170594949466452</v>
      </c>
      <c r="Q827" s="14">
        <f t="shared" si="166"/>
        <v>22.433020849641856</v>
      </c>
    </row>
    <row r="828" spans="1:17" x14ac:dyDescent="0.25">
      <c r="A828" s="5" t="s">
        <v>885</v>
      </c>
      <c r="B828" s="6">
        <f t="shared" si="167"/>
        <v>3</v>
      </c>
      <c r="C828" s="58">
        <v>16.638097760000001</v>
      </c>
      <c r="D828" s="4">
        <v>2.9</v>
      </c>
      <c r="E828" s="12">
        <f t="shared" si="156"/>
        <v>0</v>
      </c>
      <c r="F828" s="12">
        <f t="shared" si="157"/>
        <v>2.9</v>
      </c>
      <c r="G828" s="16">
        <f t="shared" si="159"/>
        <v>11.41737562344156</v>
      </c>
      <c r="H828" s="14">
        <f t="shared" si="160"/>
        <v>0.4281367639111554</v>
      </c>
      <c r="I828" s="14">
        <f t="shared" si="161"/>
        <v>12.777848255127688</v>
      </c>
      <c r="J828" s="14">
        <f t="shared" si="162"/>
        <v>1.9975570523497752</v>
      </c>
      <c r="K828" s="14">
        <f t="shared" si="163"/>
        <v>9.7239505511132602</v>
      </c>
      <c r="L828" s="14">
        <f t="shared" si="164"/>
        <v>676.588352067242</v>
      </c>
      <c r="M828" s="14">
        <f t="shared" si="158"/>
        <v>0.43990626024173785</v>
      </c>
      <c r="N828" s="14">
        <f t="shared" si="165"/>
        <v>11.257323395769472</v>
      </c>
      <c r="O828" s="4">
        <v>12.04</v>
      </c>
      <c r="P828" s="14">
        <f t="shared" si="168"/>
        <v>0.61258266680982953</v>
      </c>
      <c r="Q828" s="14">
        <f t="shared" si="166"/>
        <v>30.319901398492433</v>
      </c>
    </row>
    <row r="829" spans="1:17" x14ac:dyDescent="0.25">
      <c r="A829" s="5" t="s">
        <v>886</v>
      </c>
      <c r="B829" s="6">
        <f t="shared" si="167"/>
        <v>3</v>
      </c>
      <c r="C829" s="58">
        <v>17.060552600000001</v>
      </c>
      <c r="D829" s="4">
        <v>4.7</v>
      </c>
      <c r="E829" s="12">
        <f t="shared" si="156"/>
        <v>0</v>
      </c>
      <c r="F829" s="12">
        <f t="shared" si="157"/>
        <v>4.7</v>
      </c>
      <c r="G829" s="16">
        <f t="shared" si="159"/>
        <v>13.183518381358709</v>
      </c>
      <c r="H829" s="14">
        <f t="shared" si="160"/>
        <v>0.70970498318509223</v>
      </c>
      <c r="I829" s="14">
        <f t="shared" si="161"/>
        <v>13.636280133894299</v>
      </c>
      <c r="J829" s="14">
        <f t="shared" si="162"/>
        <v>2.2241522588977594</v>
      </c>
      <c r="K829" s="14">
        <f t="shared" si="163"/>
        <v>9.6544850613343911</v>
      </c>
      <c r="L829" s="14">
        <f t="shared" si="164"/>
        <v>676.92761627996424</v>
      </c>
      <c r="M829" s="14">
        <f t="shared" si="158"/>
        <v>0.437315546239605</v>
      </c>
      <c r="N829" s="14">
        <f t="shared" si="165"/>
        <v>11.191026304812114</v>
      </c>
      <c r="O829" s="4">
        <v>12.38</v>
      </c>
      <c r="P829" s="14">
        <f t="shared" si="168"/>
        <v>1.4136584478487375</v>
      </c>
      <c r="Q829" s="14">
        <f t="shared" si="166"/>
        <v>34.179820082400504</v>
      </c>
    </row>
    <row r="830" spans="1:17" x14ac:dyDescent="0.25">
      <c r="A830" s="5" t="s">
        <v>887</v>
      </c>
      <c r="B830" s="6">
        <f t="shared" si="167"/>
        <v>3</v>
      </c>
      <c r="C830" s="58">
        <v>16.98792267</v>
      </c>
      <c r="D830" s="4">
        <v>3.1</v>
      </c>
      <c r="E830" s="12">
        <f t="shared" si="156"/>
        <v>0</v>
      </c>
      <c r="F830" s="12">
        <f t="shared" si="157"/>
        <v>3.1</v>
      </c>
      <c r="G830" s="16">
        <f t="shared" si="159"/>
        <v>13.237812621825794</v>
      </c>
      <c r="H830" s="14">
        <f t="shared" si="160"/>
        <v>0.50529706619435444</v>
      </c>
      <c r="I830" s="14">
        <f t="shared" si="161"/>
        <v>13.488695489664424</v>
      </c>
      <c r="J830" s="14">
        <f t="shared" si="162"/>
        <v>2.5404086933385628</v>
      </c>
      <c r="K830" s="14">
        <f t="shared" si="163"/>
        <v>9.3867224846217177</v>
      </c>
      <c r="L830" s="14">
        <f t="shared" si="164"/>
        <v>677.26336037663168</v>
      </c>
      <c r="M830" s="14">
        <f t="shared" si="158"/>
        <v>0.42712330449397362</v>
      </c>
      <c r="N830" s="14">
        <f t="shared" si="165"/>
        <v>10.930204007363145</v>
      </c>
      <c r="O830" s="4">
        <v>14.43</v>
      </c>
      <c r="P830" s="14">
        <f t="shared" si="168"/>
        <v>12.248571990076989</v>
      </c>
      <c r="Q830" s="14">
        <f t="shared" si="166"/>
        <v>62.352359205963722</v>
      </c>
    </row>
    <row r="831" spans="1:17" x14ac:dyDescent="0.25">
      <c r="A831" s="5" t="s">
        <v>888</v>
      </c>
      <c r="B831" s="6">
        <f t="shared" si="167"/>
        <v>3</v>
      </c>
      <c r="C831" s="58">
        <v>17.455352779999998</v>
      </c>
      <c r="D831" s="4">
        <v>4.8</v>
      </c>
      <c r="E831" s="12">
        <f t="shared" si="156"/>
        <v>0</v>
      </c>
      <c r="F831" s="12">
        <f t="shared" si="157"/>
        <v>4.8</v>
      </c>
      <c r="G831" s="16">
        <f t="shared" si="159"/>
        <v>14.523212494825621</v>
      </c>
      <c r="H831" s="14">
        <f t="shared" si="160"/>
        <v>0.78410664673509678</v>
      </c>
      <c r="I831" s="14">
        <f t="shared" si="161"/>
        <v>14.438517505005477</v>
      </c>
      <c r="J831" s="14">
        <f t="shared" si="162"/>
        <v>2.730493480265074</v>
      </c>
      <c r="K831" s="14">
        <f t="shared" si="163"/>
        <v>9.4213243731429941</v>
      </c>
      <c r="L831" s="14">
        <f t="shared" si="164"/>
        <v>677.58574183035159</v>
      </c>
      <c r="M831" s="14">
        <f t="shared" si="158"/>
        <v>0.42851794274398047</v>
      </c>
      <c r="N831" s="14">
        <f t="shared" si="165"/>
        <v>10.965893187580333</v>
      </c>
      <c r="O831" s="4">
        <v>16.579999999999998</v>
      </c>
      <c r="P831" s="14">
        <f t="shared" si="168"/>
        <v>31.518195301256895</v>
      </c>
      <c r="Q831" s="14">
        <f t="shared" si="166"/>
        <v>100.92916853067638</v>
      </c>
    </row>
    <row r="832" spans="1:17" x14ac:dyDescent="0.25">
      <c r="A832" s="5" t="s">
        <v>889</v>
      </c>
      <c r="B832" s="6">
        <f t="shared" si="167"/>
        <v>3</v>
      </c>
      <c r="C832" s="58">
        <v>16.517049790000002</v>
      </c>
      <c r="D832" s="4">
        <v>6.1</v>
      </c>
      <c r="E832" s="12">
        <f t="shared" si="156"/>
        <v>0</v>
      </c>
      <c r="F832" s="12">
        <f t="shared" si="157"/>
        <v>6.1</v>
      </c>
      <c r="G832" s="16">
        <f t="shared" si="159"/>
        <v>16.976379799497042</v>
      </c>
      <c r="H832" s="14">
        <f t="shared" si="160"/>
        <v>1.0467859768239736</v>
      </c>
      <c r="I832" s="14">
        <f t="shared" si="161"/>
        <v>12.531877735987742</v>
      </c>
      <c r="J832" s="14">
        <f t="shared" si="162"/>
        <v>2.6000467185046081</v>
      </c>
      <c r="K832" s="14">
        <f t="shared" si="163"/>
        <v>9.7155616880669342</v>
      </c>
      <c r="L832" s="14">
        <f t="shared" si="164"/>
        <v>677.90977254950758</v>
      </c>
      <c r="M832" s="14">
        <f t="shared" si="158"/>
        <v>0.43986482747420863</v>
      </c>
      <c r="N832" s="14">
        <f t="shared" si="165"/>
        <v>11.256263119739298</v>
      </c>
      <c r="O832" s="4">
        <v>17.72</v>
      </c>
      <c r="P832" s="14">
        <f t="shared" si="168"/>
        <v>41.779894457242335</v>
      </c>
      <c r="Q832" s="14">
        <f t="shared" si="166"/>
        <v>125.13444882377985</v>
      </c>
    </row>
    <row r="833" spans="1:17" x14ac:dyDescent="0.25">
      <c r="A833" s="5" t="s">
        <v>890</v>
      </c>
      <c r="B833" s="6">
        <f t="shared" si="167"/>
        <v>3</v>
      </c>
      <c r="C833" s="58">
        <v>15.66065502</v>
      </c>
      <c r="D833" s="4">
        <v>2.2000000000000002</v>
      </c>
      <c r="E833" s="12">
        <f t="shared" si="156"/>
        <v>0</v>
      </c>
      <c r="F833" s="12">
        <f t="shared" si="157"/>
        <v>2.2000000000000002</v>
      </c>
      <c r="G833" s="16">
        <f t="shared" si="159"/>
        <v>16.148995996555435</v>
      </c>
      <c r="H833" s="14">
        <f t="shared" si="160"/>
        <v>0.41018749734944848</v>
      </c>
      <c r="I833" s="14">
        <f t="shared" si="161"/>
        <v>10.79167617650981</v>
      </c>
      <c r="J833" s="14">
        <f t="shared" si="162"/>
        <v>2.6171963055921599</v>
      </c>
      <c r="K833" s="14">
        <f t="shared" si="163"/>
        <v>9.3473166748076864</v>
      </c>
      <c r="L833" s="14">
        <f t="shared" si="164"/>
        <v>678.24834023264214</v>
      </c>
      <c r="M833" s="14">
        <f t="shared" si="158"/>
        <v>0.42582166501117125</v>
      </c>
      <c r="N833" s="14">
        <f t="shared" si="165"/>
        <v>10.896894691431708</v>
      </c>
      <c r="O833" s="4">
        <v>20.62</v>
      </c>
      <c r="P833" s="14">
        <f t="shared" si="168"/>
        <v>94.53877684150892</v>
      </c>
      <c r="Q833" s="14">
        <f t="shared" si="166"/>
        <v>198.42528465711328</v>
      </c>
    </row>
    <row r="834" spans="1:17" x14ac:dyDescent="0.25">
      <c r="A834" s="5" t="s">
        <v>891</v>
      </c>
      <c r="B834" s="6">
        <f t="shared" si="167"/>
        <v>3</v>
      </c>
      <c r="C834" s="58">
        <v>14.482223510000001</v>
      </c>
      <c r="D834" s="4">
        <v>0.2</v>
      </c>
      <c r="E834" s="12">
        <f t="shared" si="156"/>
        <v>0</v>
      </c>
      <c r="F834" s="12">
        <f t="shared" si="157"/>
        <v>0.2</v>
      </c>
      <c r="G834" s="16">
        <f t="shared" si="159"/>
        <v>14.37547313521473</v>
      </c>
      <c r="H834" s="14">
        <f t="shared" si="160"/>
        <v>3.6312379735496343E-2</v>
      </c>
      <c r="I834" s="14">
        <f t="shared" si="161"/>
        <v>8.397093183622161</v>
      </c>
      <c r="J834" s="14">
        <f t="shared" si="162"/>
        <v>1.93721048160521</v>
      </c>
      <c r="K834" s="14">
        <f t="shared" si="163"/>
        <v>8.6375907975776247</v>
      </c>
      <c r="L834" s="14">
        <f t="shared" si="164"/>
        <v>678.5685568245965</v>
      </c>
      <c r="M834" s="14">
        <f t="shared" si="158"/>
        <v>0.39868555762015412</v>
      </c>
      <c r="N834" s="14">
        <f t="shared" si="165"/>
        <v>10.202474165487972</v>
      </c>
      <c r="O834" s="4">
        <v>23.3</v>
      </c>
      <c r="P834" s="14">
        <f t="shared" si="168"/>
        <v>171.54518298571</v>
      </c>
      <c r="Q834" s="14">
        <f t="shared" si="166"/>
        <v>281.11052604791792</v>
      </c>
    </row>
    <row r="835" spans="1:17" x14ac:dyDescent="0.25">
      <c r="A835" s="5" t="s">
        <v>892</v>
      </c>
      <c r="B835" s="6">
        <f t="shared" si="167"/>
        <v>4</v>
      </c>
      <c r="C835" s="58">
        <v>15.84720898</v>
      </c>
      <c r="D835" s="4">
        <v>1.3</v>
      </c>
      <c r="E835" s="12">
        <f t="shared" si="156"/>
        <v>0</v>
      </c>
      <c r="F835" s="12">
        <f t="shared" si="157"/>
        <v>1.3</v>
      </c>
      <c r="G835" s="16">
        <f t="shared" si="159"/>
        <v>13.429745047309986</v>
      </c>
      <c r="H835" s="14">
        <f t="shared" si="160"/>
        <v>0.22187629970543263</v>
      </c>
      <c r="I835" s="14">
        <f t="shared" si="161"/>
        <v>9.8549459510917572</v>
      </c>
      <c r="J835" s="14">
        <f t="shared" si="162"/>
        <v>2.023851788199313</v>
      </c>
      <c r="K835" s="14">
        <f t="shared" si="163"/>
        <v>8.1758629243003345</v>
      </c>
      <c r="L835" s="14">
        <f t="shared" si="164"/>
        <v>678.85347543995908</v>
      </c>
      <c r="M835" s="14">
        <f t="shared" si="158"/>
        <v>0.38104779905112474</v>
      </c>
      <c r="N835" s="14">
        <f t="shared" si="165"/>
        <v>9.7511190243291281</v>
      </c>
      <c r="O835" s="4">
        <v>22.35</v>
      </c>
      <c r="P835" s="14">
        <f t="shared" si="168"/>
        <v>158.73180183912146</v>
      </c>
      <c r="Q835" s="14">
        <f t="shared" si="166"/>
        <v>250.15695913699835</v>
      </c>
    </row>
    <row r="836" spans="1:17" x14ac:dyDescent="0.25">
      <c r="A836" s="5" t="s">
        <v>893</v>
      </c>
      <c r="B836" s="6">
        <f t="shared" si="167"/>
        <v>4</v>
      </c>
      <c r="C836" s="58">
        <v>15.60423756</v>
      </c>
      <c r="D836" s="4">
        <v>12.2</v>
      </c>
      <c r="E836" s="12">
        <f t="shared" si="156"/>
        <v>0</v>
      </c>
      <c r="F836" s="12">
        <f t="shared" si="157"/>
        <v>12.2</v>
      </c>
      <c r="G836" s="16">
        <f t="shared" si="159"/>
        <v>21.822242023512192</v>
      </c>
      <c r="H836" s="14">
        <f t="shared" si="160"/>
        <v>2.0082460133647406</v>
      </c>
      <c r="I836" s="14">
        <f t="shared" si="161"/>
        <v>9.3782784838851825</v>
      </c>
      <c r="J836" s="14">
        <f t="shared" si="162"/>
        <v>1.7992570104330532</v>
      </c>
      <c r="K836" s="14">
        <f t="shared" si="163"/>
        <v>9.54112263947356</v>
      </c>
      <c r="L836" s="14">
        <f t="shared" si="164"/>
        <v>679.11541393909943</v>
      </c>
      <c r="M836" s="14">
        <f t="shared" si="158"/>
        <v>0.43343410285635797</v>
      </c>
      <c r="N836" s="14">
        <f t="shared" si="165"/>
        <v>11.091699090456107</v>
      </c>
      <c r="O836" s="4">
        <v>27.09</v>
      </c>
      <c r="P836" s="14">
        <f t="shared" si="168"/>
        <v>255.94563199231297</v>
      </c>
      <c r="Q836" s="14">
        <f t="shared" si="166"/>
        <v>422.56356667148111</v>
      </c>
    </row>
    <row r="837" spans="1:17" x14ac:dyDescent="0.25">
      <c r="A837" s="5" t="s">
        <v>894</v>
      </c>
      <c r="B837" s="6">
        <f t="shared" si="167"/>
        <v>4</v>
      </c>
      <c r="C837" s="58">
        <v>15.192347529999999</v>
      </c>
      <c r="D837" s="4">
        <v>2.2999999999999998</v>
      </c>
      <c r="E837" s="12">
        <f t="shared" si="156"/>
        <v>0</v>
      </c>
      <c r="F837" s="12">
        <f t="shared" si="157"/>
        <v>2.2999999999999998</v>
      </c>
      <c r="G837" s="16">
        <f t="shared" si="159"/>
        <v>20.960434227945072</v>
      </c>
      <c r="H837" s="14">
        <f t="shared" si="160"/>
        <v>0.49007044478525591</v>
      </c>
      <c r="I837" s="14">
        <f t="shared" si="161"/>
        <v>8.570222222092168</v>
      </c>
      <c r="J837" s="14">
        <f t="shared" si="162"/>
        <v>2.671737350781866</v>
      </c>
      <c r="K837" s="14">
        <f t="shared" si="163"/>
        <v>9.2681058535098177</v>
      </c>
      <c r="L837" s="14">
        <f t="shared" si="164"/>
        <v>679.44506706699212</v>
      </c>
      <c r="M837" s="14">
        <f t="shared" si="158"/>
        <v>0.42303917467057156</v>
      </c>
      <c r="N837" s="14">
        <f t="shared" si="165"/>
        <v>10.825689990701779</v>
      </c>
      <c r="O837" s="4">
        <v>24.43</v>
      </c>
      <c r="P837" s="14">
        <f t="shared" si="168"/>
        <v>185.07725082909175</v>
      </c>
      <c r="Q837" s="14">
        <f t="shared" si="166"/>
        <v>320.2793793209064</v>
      </c>
    </row>
    <row r="838" spans="1:17" x14ac:dyDescent="0.25">
      <c r="A838" s="5" t="s">
        <v>895</v>
      </c>
      <c r="B838" s="6">
        <f t="shared" si="167"/>
        <v>4</v>
      </c>
      <c r="C838" s="58">
        <v>14.78314209</v>
      </c>
      <c r="D838" s="4">
        <v>5.2</v>
      </c>
      <c r="E838" s="12">
        <f t="shared" si="156"/>
        <v>0</v>
      </c>
      <c r="F838" s="12">
        <f t="shared" si="157"/>
        <v>5.2</v>
      </c>
      <c r="G838" s="16">
        <f t="shared" si="159"/>
        <v>22.750087114395043</v>
      </c>
      <c r="H838" s="14">
        <f t="shared" si="160"/>
        <v>1.0845057878664268</v>
      </c>
      <c r="I838" s="14">
        <f t="shared" si="161"/>
        <v>7.7674326567517165</v>
      </c>
      <c r="J838" s="14">
        <f t="shared" si="162"/>
        <v>2.3258413256835997</v>
      </c>
      <c r="K838" s="14">
        <f t="shared" si="163"/>
        <v>9.613541504396057</v>
      </c>
      <c r="L838" s="14">
        <f t="shared" si="164"/>
        <v>679.76109802930171</v>
      </c>
      <c r="M838" s="14">
        <f t="shared" si="158"/>
        <v>0.4363468098259744</v>
      </c>
      <c r="N838" s="14">
        <f t="shared" si="165"/>
        <v>11.166236070893859</v>
      </c>
      <c r="O838" s="4">
        <v>19.7</v>
      </c>
      <c r="P838" s="14">
        <f t="shared" si="168"/>
        <v>72.825126797713068</v>
      </c>
      <c r="Q838" s="14">
        <f t="shared" si="166"/>
        <v>173.35279880653849</v>
      </c>
    </row>
    <row r="839" spans="1:17" x14ac:dyDescent="0.25">
      <c r="A839" s="5" t="s">
        <v>896</v>
      </c>
      <c r="B839" s="6">
        <f t="shared" si="167"/>
        <v>4</v>
      </c>
      <c r="C839" s="58">
        <v>15.677819250000001</v>
      </c>
      <c r="D839" s="4">
        <v>0.2</v>
      </c>
      <c r="E839" s="12">
        <f t="shared" si="156"/>
        <v>0</v>
      </c>
      <c r="F839" s="12">
        <f t="shared" si="157"/>
        <v>0.2</v>
      </c>
      <c r="G839" s="16">
        <f t="shared" si="159"/>
        <v>19.811648473899663</v>
      </c>
      <c r="H839" s="14">
        <f t="shared" si="160"/>
        <v>4.3568597451917171E-2</v>
      </c>
      <c r="I839" s="14">
        <f t="shared" si="161"/>
        <v>9.5226329013927238</v>
      </c>
      <c r="J839" s="14">
        <f t="shared" si="162"/>
        <v>3.0948700430434628</v>
      </c>
      <c r="K839" s="14">
        <f t="shared" si="163"/>
        <v>8.8876522347172813</v>
      </c>
      <c r="L839" s="14">
        <f t="shared" si="164"/>
        <v>680.09420908660638</v>
      </c>
      <c r="M839" s="14">
        <f t="shared" si="158"/>
        <v>0.40859388855201234</v>
      </c>
      <c r="N839" s="14">
        <f t="shared" si="165"/>
        <v>10.456031106348371</v>
      </c>
      <c r="O839" s="4">
        <v>17.53</v>
      </c>
      <c r="P839" s="14">
        <f t="shared" si="168"/>
        <v>50.041035908350864</v>
      </c>
      <c r="Q839" s="14">
        <f t="shared" si="166"/>
        <v>120.91973544159599</v>
      </c>
    </row>
    <row r="840" spans="1:17" x14ac:dyDescent="0.25">
      <c r="A840" s="5" t="s">
        <v>897</v>
      </c>
      <c r="B840" s="6">
        <f t="shared" si="167"/>
        <v>4</v>
      </c>
      <c r="C840" s="58">
        <v>15.005108829999999</v>
      </c>
      <c r="D840" s="4">
        <v>1</v>
      </c>
      <c r="E840" s="12">
        <f t="shared" si="156"/>
        <v>0</v>
      </c>
      <c r="F840" s="12">
        <f t="shared" si="157"/>
        <v>1</v>
      </c>
      <c r="G840" s="16">
        <f t="shared" si="159"/>
        <v>18.287632412337722</v>
      </c>
      <c r="H840" s="14">
        <f t="shared" si="160"/>
        <v>0.20240240239544188</v>
      </c>
      <c r="I840" s="14">
        <f t="shared" si="161"/>
        <v>8.2028926123296202</v>
      </c>
      <c r="J840" s="14">
        <f t="shared" si="162"/>
        <v>2.3216136591664971</v>
      </c>
      <c r="K840" s="14">
        <f t="shared" si="163"/>
        <v>8.3844527361787851</v>
      </c>
      <c r="L840" s="14">
        <f t="shared" si="164"/>
        <v>680.39121709898825</v>
      </c>
      <c r="M840" s="14">
        <f t="shared" si="158"/>
        <v>0.38936907395962939</v>
      </c>
      <c r="N840" s="14">
        <f t="shared" si="165"/>
        <v>9.9640627607030172</v>
      </c>
      <c r="O840" s="4">
        <v>13.57</v>
      </c>
      <c r="P840" s="14">
        <f t="shared" si="168"/>
        <v>13.002783373748748</v>
      </c>
      <c r="Q840" s="14">
        <f t="shared" si="166"/>
        <v>49.51023547607867</v>
      </c>
    </row>
    <row r="841" spans="1:17" x14ac:dyDescent="0.25">
      <c r="A841" s="5" t="s">
        <v>898</v>
      </c>
      <c r="B841" s="6">
        <f t="shared" si="167"/>
        <v>4</v>
      </c>
      <c r="C841" s="58">
        <v>12.941486360000001</v>
      </c>
      <c r="D841" s="4">
        <v>0.5</v>
      </c>
      <c r="E841" s="12">
        <f t="shared" si="156"/>
        <v>0</v>
      </c>
      <c r="F841" s="12">
        <f t="shared" si="157"/>
        <v>0.5</v>
      </c>
      <c r="G841" s="16">
        <f t="shared" si="159"/>
        <v>17.6052945079729</v>
      </c>
      <c r="H841" s="14">
        <f t="shared" si="160"/>
        <v>9.6985392368643189E-2</v>
      </c>
      <c r="I841" s="14">
        <f t="shared" si="161"/>
        <v>4.1544259406302189</v>
      </c>
      <c r="J841" s="14">
        <f t="shared" si="162"/>
        <v>1.085352511996176</v>
      </c>
      <c r="K841" s="14">
        <f t="shared" si="163"/>
        <v>7.8201023319782994</v>
      </c>
      <c r="L841" s="14">
        <f t="shared" si="164"/>
        <v>680.66318382159773</v>
      </c>
      <c r="M841" s="14">
        <f t="shared" si="158"/>
        <v>0.36779502018543492</v>
      </c>
      <c r="N841" s="14">
        <f t="shared" si="165"/>
        <v>9.4119767318286645</v>
      </c>
      <c r="O841" s="4">
        <v>11.12</v>
      </c>
      <c r="P841" s="14">
        <f t="shared" si="168"/>
        <v>2.9173434846146873</v>
      </c>
      <c r="Q841" s="14">
        <f t="shared" si="166"/>
        <v>21.034615547917713</v>
      </c>
    </row>
    <row r="842" spans="1:17" x14ac:dyDescent="0.25">
      <c r="A842" s="5" t="s">
        <v>899</v>
      </c>
      <c r="B842" s="6">
        <f t="shared" si="167"/>
        <v>4</v>
      </c>
      <c r="C842" s="58">
        <v>15.243179319999999</v>
      </c>
      <c r="D842" s="4">
        <v>3.2</v>
      </c>
      <c r="E842" s="12">
        <f t="shared" si="156"/>
        <v>0</v>
      </c>
      <c r="F842" s="12">
        <f t="shared" si="157"/>
        <v>3.2</v>
      </c>
      <c r="G842" s="16">
        <f t="shared" si="159"/>
        <v>18.016479180868991</v>
      </c>
      <c r="H842" s="14">
        <f t="shared" si="160"/>
        <v>0.60828584374218786</v>
      </c>
      <c r="I842" s="14">
        <f t="shared" si="161"/>
        <v>8.669945311305197</v>
      </c>
      <c r="J842" s="14">
        <f t="shared" si="162"/>
        <v>2.1805294833617204</v>
      </c>
      <c r="K842" s="14">
        <f t="shared" si="163"/>
        <v>7.8166978854827844</v>
      </c>
      <c r="L842" s="14">
        <f t="shared" si="164"/>
        <v>680.90707909165008</v>
      </c>
      <c r="M842" s="14">
        <f t="shared" si="158"/>
        <v>0.36771622772748069</v>
      </c>
      <c r="N842" s="14">
        <f t="shared" si="165"/>
        <v>9.4099604109428228</v>
      </c>
      <c r="O842" s="4">
        <v>9.8699999999999992</v>
      </c>
      <c r="P842" s="14">
        <f t="shared" si="168"/>
        <v>0.21163642349989578</v>
      </c>
      <c r="Q842" s="14">
        <f t="shared" si="166"/>
        <v>11.131238033549888</v>
      </c>
    </row>
    <row r="843" spans="1:17" x14ac:dyDescent="0.25">
      <c r="A843" s="5" t="s">
        <v>900</v>
      </c>
      <c r="B843" s="6">
        <f t="shared" si="167"/>
        <v>4</v>
      </c>
      <c r="C843" s="58">
        <v>13.83739948</v>
      </c>
      <c r="D843" s="4">
        <v>0.5</v>
      </c>
      <c r="E843" s="12">
        <f t="shared" si="156"/>
        <v>0</v>
      </c>
      <c r="F843" s="12">
        <f t="shared" si="157"/>
        <v>0.5</v>
      </c>
      <c r="G843" s="16">
        <f t="shared" si="159"/>
        <v>16.898626189892259</v>
      </c>
      <c r="H843" s="14">
        <f t="shared" si="160"/>
        <v>9.6218299797327281E-2</v>
      </c>
      <c r="I843" s="14">
        <f t="shared" si="161"/>
        <v>5.9120509228093612</v>
      </c>
      <c r="J843" s="14">
        <f t="shared" si="162"/>
        <v>1.5216346911794048</v>
      </c>
      <c r="K843" s="14">
        <f t="shared" si="163"/>
        <v>7.3015253817953019</v>
      </c>
      <c r="L843" s="14">
        <f t="shared" si="164"/>
        <v>681.15075366740746</v>
      </c>
      <c r="M843" s="14">
        <f t="shared" si="158"/>
        <v>0.34802117895557938</v>
      </c>
      <c r="N843" s="14">
        <f t="shared" si="165"/>
        <v>8.9059586420229859</v>
      </c>
      <c r="O843" s="4">
        <v>8.9</v>
      </c>
      <c r="P843" s="14">
        <f t="shared" si="168"/>
        <v>3.5505414758089587E-5</v>
      </c>
      <c r="Q843" s="14">
        <f t="shared" si="166"/>
        <v>5.599617082400461</v>
      </c>
    </row>
    <row r="844" spans="1:17" x14ac:dyDescent="0.25">
      <c r="A844" s="5" t="s">
        <v>901</v>
      </c>
      <c r="B844" s="6">
        <f t="shared" si="167"/>
        <v>4</v>
      </c>
      <c r="C844" s="58">
        <v>17.300819400000002</v>
      </c>
      <c r="D844" s="4">
        <v>0</v>
      </c>
      <c r="E844" s="12">
        <f t="shared" si="156"/>
        <v>0</v>
      </c>
      <c r="F844" s="12">
        <f t="shared" si="157"/>
        <v>0</v>
      </c>
      <c r="G844" s="16">
        <f t="shared" si="159"/>
        <v>13.83111855945001</v>
      </c>
      <c r="H844" s="14">
        <f t="shared" si="160"/>
        <v>0</v>
      </c>
      <c r="I844" s="14">
        <f t="shared" si="161"/>
        <v>12.706675579236862</v>
      </c>
      <c r="J844" s="14">
        <f t="shared" si="162"/>
        <v>3.0675076304422486</v>
      </c>
      <c r="K844" s="14">
        <f t="shared" si="163"/>
        <v>6.7354539394790667</v>
      </c>
      <c r="L844" s="14">
        <f t="shared" si="164"/>
        <v>681.36880393076808</v>
      </c>
      <c r="M844" s="14">
        <f t="shared" si="158"/>
        <v>0.32636972811166398</v>
      </c>
      <c r="N844" s="14">
        <f t="shared" si="165"/>
        <v>8.3518920006352904</v>
      </c>
      <c r="O844" s="4">
        <v>7.81</v>
      </c>
      <c r="P844" s="14">
        <f t="shared" si="168"/>
        <v>0.29364694035251793</v>
      </c>
      <c r="Q844" s="14">
        <f t="shared" si="166"/>
        <v>1.6290718898717123</v>
      </c>
    </row>
    <row r="845" spans="1:17" x14ac:dyDescent="0.25">
      <c r="A845" s="5" t="s">
        <v>902</v>
      </c>
      <c r="B845" s="6">
        <f t="shared" si="167"/>
        <v>4</v>
      </c>
      <c r="C845" s="58">
        <v>16.458232880000001</v>
      </c>
      <c r="D845" s="4">
        <v>0</v>
      </c>
      <c r="E845" s="12">
        <f t="shared" si="156"/>
        <v>0</v>
      </c>
      <c r="F845" s="12">
        <f t="shared" si="157"/>
        <v>0</v>
      </c>
      <c r="G845" s="16">
        <f t="shared" si="159"/>
        <v>11.647051173442316</v>
      </c>
      <c r="H845" s="14">
        <f t="shared" si="160"/>
        <v>0</v>
      </c>
      <c r="I845" s="14">
        <f t="shared" si="161"/>
        <v>11.053668067527035</v>
      </c>
      <c r="J845" s="14">
        <f t="shared" si="162"/>
        <v>2.184067386007694</v>
      </c>
      <c r="K845" s="14">
        <f t="shared" si="163"/>
        <v>6.2191794020013473</v>
      </c>
      <c r="L845" s="14">
        <f t="shared" si="164"/>
        <v>681.55870874013408</v>
      </c>
      <c r="M845" s="14">
        <f t="shared" si="158"/>
        <v>0.30662103997099655</v>
      </c>
      <c r="N845" s="14">
        <f t="shared" si="165"/>
        <v>7.8465175853689049</v>
      </c>
      <c r="O845" s="4">
        <v>7.17</v>
      </c>
      <c r="P845" s="14">
        <f t="shared" si="168"/>
        <v>0.45767604331337358</v>
      </c>
      <c r="Q845" s="14">
        <f t="shared" si="166"/>
        <v>0.40494260251538527</v>
      </c>
    </row>
    <row r="846" spans="1:17" x14ac:dyDescent="0.25">
      <c r="A846" s="5" t="s">
        <v>903</v>
      </c>
      <c r="B846" s="6">
        <f t="shared" si="167"/>
        <v>8</v>
      </c>
      <c r="C846" s="58">
        <v>16.516298290000002</v>
      </c>
      <c r="D846" s="4">
        <v>0</v>
      </c>
      <c r="E846" s="12">
        <f t="shared" si="156"/>
        <v>0</v>
      </c>
      <c r="F846" s="12">
        <f t="shared" si="157"/>
        <v>0</v>
      </c>
      <c r="G846" s="16">
        <f t="shared" si="159"/>
        <v>10.453433546264256</v>
      </c>
      <c r="H846" s="14">
        <f t="shared" si="160"/>
        <v>0</v>
      </c>
      <c r="I846" s="14">
        <f t="shared" si="161"/>
        <v>7.1737614255294</v>
      </c>
      <c r="J846" s="14">
        <f t="shared" si="162"/>
        <v>1.1936176271780601</v>
      </c>
      <c r="K846" s="14">
        <f t="shared" si="163"/>
        <v>5.7483211708261175</v>
      </c>
      <c r="L846" s="14">
        <f t="shared" si="164"/>
        <v>681.72294593133836</v>
      </c>
      <c r="M846" s="14">
        <f t="shared" si="158"/>
        <v>0.28860773024570596</v>
      </c>
      <c r="N846" s="14">
        <f t="shared" si="165"/>
        <v>7.3855519858015732</v>
      </c>
      <c r="O846" s="4">
        <v>7.5651000000000002</v>
      </c>
      <c r="P846" s="14">
        <f t="shared" si="168"/>
        <v>3.2237489402598518E-2</v>
      </c>
      <c r="Q846" s="14">
        <f t="shared" si="166"/>
        <v>1.0638911772567687</v>
      </c>
    </row>
    <row r="847" spans="1:17" x14ac:dyDescent="0.25">
      <c r="A847" s="5" t="s">
        <v>904</v>
      </c>
      <c r="B847" s="6">
        <f t="shared" si="167"/>
        <v>8</v>
      </c>
      <c r="C847" s="58">
        <v>16.59674644</v>
      </c>
      <c r="D847" s="4">
        <v>0</v>
      </c>
      <c r="E847" s="12">
        <f t="shared" si="156"/>
        <v>0</v>
      </c>
      <c r="F847" s="12">
        <f t="shared" si="157"/>
        <v>0</v>
      </c>
      <c r="G847" s="16">
        <f t="shared" si="159"/>
        <v>9.3634768784979006</v>
      </c>
      <c r="H847" s="14">
        <f t="shared" si="160"/>
        <v>0</v>
      </c>
      <c r="I847" s="14">
        <f t="shared" si="161"/>
        <v>7.2987411066901737</v>
      </c>
      <c r="J847" s="14">
        <f t="shared" si="162"/>
        <v>1.0899566677663552</v>
      </c>
      <c r="K847" s="14">
        <f t="shared" si="163"/>
        <v>5.3188840055755771</v>
      </c>
      <c r="L847" s="14">
        <f t="shared" si="164"/>
        <v>681.86377536634325</v>
      </c>
      <c r="M847" s="14">
        <f t="shared" si="158"/>
        <v>0.27217713932537907</v>
      </c>
      <c r="N847" s="14">
        <f t="shared" si="165"/>
        <v>6.9650886000973751</v>
      </c>
      <c r="O847" s="4">
        <v>7.9926000000000004</v>
      </c>
      <c r="P847" s="14">
        <f t="shared" si="168"/>
        <v>1.0557796769298529</v>
      </c>
      <c r="Q847" s="14">
        <f t="shared" si="166"/>
        <v>2.1285380371705669</v>
      </c>
    </row>
    <row r="848" spans="1:17" x14ac:dyDescent="0.25">
      <c r="A848" s="5" t="s">
        <v>905</v>
      </c>
      <c r="B848" s="6">
        <f t="shared" si="167"/>
        <v>8</v>
      </c>
      <c r="C848" s="58">
        <v>14.380715370000001</v>
      </c>
      <c r="D848" s="4">
        <v>0</v>
      </c>
      <c r="E848" s="12">
        <f t="shared" si="156"/>
        <v>0</v>
      </c>
      <c r="F848" s="12">
        <f t="shared" si="157"/>
        <v>0</v>
      </c>
      <c r="G848" s="16">
        <f t="shared" si="159"/>
        <v>8.8476771688899287</v>
      </c>
      <c r="H848" s="14">
        <f t="shared" si="160"/>
        <v>0</v>
      </c>
      <c r="I848" s="14">
        <f t="shared" si="161"/>
        <v>3.856040975351267</v>
      </c>
      <c r="J848" s="14">
        <f t="shared" si="162"/>
        <v>0.51579970960797161</v>
      </c>
      <c r="K848" s="14">
        <f t="shared" si="163"/>
        <v>4.9272241243452335</v>
      </c>
      <c r="L848" s="14">
        <f t="shared" si="164"/>
        <v>681.98325810824815</v>
      </c>
      <c r="M848" s="14">
        <f t="shared" si="158"/>
        <v>0.25719003695758791</v>
      </c>
      <c r="N848" s="14">
        <f t="shared" si="165"/>
        <v>6.5815644874216064</v>
      </c>
      <c r="O848" s="4">
        <v>9.4324999999999992</v>
      </c>
      <c r="P848" s="14">
        <f t="shared" si="168"/>
        <v>8.1278332968806239</v>
      </c>
      <c r="Q848" s="14">
        <f t="shared" si="166"/>
        <v>8.4033371535211501</v>
      </c>
    </row>
    <row r="849" spans="1:17" x14ac:dyDescent="0.25">
      <c r="A849" s="5" t="s">
        <v>906</v>
      </c>
      <c r="B849" s="6">
        <f t="shared" si="167"/>
        <v>8</v>
      </c>
      <c r="C849" s="58">
        <v>14.987160680000001</v>
      </c>
      <c r="D849" s="4">
        <v>0</v>
      </c>
      <c r="E849" s="12">
        <f t="shared" si="156"/>
        <v>0</v>
      </c>
      <c r="F849" s="12">
        <f t="shared" si="157"/>
        <v>0</v>
      </c>
      <c r="G849" s="16">
        <f t="shared" si="159"/>
        <v>8.2412088558766428</v>
      </c>
      <c r="H849" s="14">
        <f t="shared" si="160"/>
        <v>0</v>
      </c>
      <c r="I849" s="14">
        <f t="shared" si="161"/>
        <v>4.7981799988744633</v>
      </c>
      <c r="J849" s="14">
        <f t="shared" si="162"/>
        <v>0.60646831301328619</v>
      </c>
      <c r="K849" s="14">
        <f t="shared" si="163"/>
        <v>4.5700182861503196</v>
      </c>
      <c r="L849" s="14">
        <f t="shared" si="164"/>
        <v>682.08327390948557</v>
      </c>
      <c r="M849" s="14">
        <f t="shared" si="158"/>
        <v>0.24351944087675606</v>
      </c>
      <c r="N849" s="14">
        <f t="shared" si="165"/>
        <v>6.2317301363253206</v>
      </c>
      <c r="O849" s="4">
        <v>10.1495</v>
      </c>
      <c r="P849" s="14">
        <f t="shared" si="168"/>
        <v>15.348920704717514</v>
      </c>
      <c r="Q849" s="14">
        <f t="shared" si="166"/>
        <v>13.074378495762538</v>
      </c>
    </row>
    <row r="850" spans="1:17" x14ac:dyDescent="0.25">
      <c r="A850" s="5" t="s">
        <v>907</v>
      </c>
      <c r="B850" s="6">
        <f t="shared" si="167"/>
        <v>8</v>
      </c>
      <c r="C850" s="58">
        <v>15.94672108</v>
      </c>
      <c r="D850" s="4">
        <v>0</v>
      </c>
      <c r="E850" s="12">
        <f t="shared" si="156"/>
        <v>0</v>
      </c>
      <c r="F850" s="12">
        <f t="shared" si="157"/>
        <v>0</v>
      </c>
      <c r="G850" s="16">
        <f t="shared" si="159"/>
        <v>7.5008064471710476</v>
      </c>
      <c r="H850" s="14">
        <f t="shared" si="160"/>
        <v>0</v>
      </c>
      <c r="I850" s="14">
        <f t="shared" si="161"/>
        <v>6.2888985902467454</v>
      </c>
      <c r="J850" s="14">
        <f t="shared" si="162"/>
        <v>0.74040240870559471</v>
      </c>
      <c r="K850" s="14">
        <f t="shared" si="163"/>
        <v>4.2442355931675566</v>
      </c>
      <c r="L850" s="14">
        <f t="shared" si="164"/>
        <v>682.1655371615916</v>
      </c>
      <c r="M850" s="14">
        <f t="shared" si="158"/>
        <v>0.2310495393574088</v>
      </c>
      <c r="N850" s="14">
        <f t="shared" si="165"/>
        <v>5.9126218925836902</v>
      </c>
      <c r="O850" s="4">
        <v>6.6155999999999997</v>
      </c>
      <c r="P850" s="14">
        <f t="shared" si="168"/>
        <v>0.49417821950661639</v>
      </c>
      <c r="Q850" s="14">
        <f t="shared" si="166"/>
        <v>6.7159673429662784E-3</v>
      </c>
    </row>
    <row r="851" spans="1:17" x14ac:dyDescent="0.25">
      <c r="A851" s="5" t="s">
        <v>908</v>
      </c>
      <c r="B851" s="6">
        <f t="shared" si="167"/>
        <v>8</v>
      </c>
      <c r="C851" s="58">
        <v>16.79219818</v>
      </c>
      <c r="D851" s="4">
        <v>0</v>
      </c>
      <c r="E851" s="12">
        <f t="shared" si="156"/>
        <v>0</v>
      </c>
      <c r="F851" s="12">
        <f t="shared" si="157"/>
        <v>0</v>
      </c>
      <c r="G851" s="16">
        <f t="shared" si="159"/>
        <v>6.6861770790303998</v>
      </c>
      <c r="H851" s="14">
        <f t="shared" si="160"/>
        <v>0</v>
      </c>
      <c r="I851" s="14">
        <f t="shared" si="161"/>
        <v>7.6023838398980681</v>
      </c>
      <c r="J851" s="14">
        <f t="shared" si="162"/>
        <v>0.81462936814064757</v>
      </c>
      <c r="K851" s="14">
        <f t="shared" si="163"/>
        <v>3.9471117735137793</v>
      </c>
      <c r="L851" s="14">
        <f t="shared" si="164"/>
        <v>682.23161144188794</v>
      </c>
      <c r="M851" s="14">
        <f t="shared" si="158"/>
        <v>0.21967470854965232</v>
      </c>
      <c r="N851" s="14">
        <f t="shared" si="165"/>
        <v>5.6215368125379781</v>
      </c>
      <c r="O851" s="4">
        <v>5.8666999999999998</v>
      </c>
      <c r="P851" s="14">
        <f t="shared" si="168"/>
        <v>6.0104988486538398E-2</v>
      </c>
      <c r="Q851" s="14">
        <f t="shared" si="166"/>
        <v>0.44482096093491352</v>
      </c>
    </row>
    <row r="852" spans="1:17" x14ac:dyDescent="0.25">
      <c r="A852" s="5" t="s">
        <v>909</v>
      </c>
      <c r="B852" s="6">
        <f t="shared" si="167"/>
        <v>8</v>
      </c>
      <c r="C852" s="58">
        <v>18.16203308</v>
      </c>
      <c r="D852" s="4">
        <v>0</v>
      </c>
      <c r="E852" s="12">
        <f t="shared" si="156"/>
        <v>0</v>
      </c>
      <c r="F852" s="12">
        <f t="shared" si="157"/>
        <v>0</v>
      </c>
      <c r="G852" s="16">
        <f t="shared" si="159"/>
        <v>5.7567517121360483</v>
      </c>
      <c r="H852" s="14">
        <f t="shared" si="160"/>
        <v>0</v>
      </c>
      <c r="I852" s="14">
        <f t="shared" si="161"/>
        <v>9.730481615234142</v>
      </c>
      <c r="J852" s="14">
        <f t="shared" si="162"/>
        <v>0.92942536689435185</v>
      </c>
      <c r="K852" s="14">
        <f t="shared" si="163"/>
        <v>3.6761257263503695</v>
      </c>
      <c r="L852" s="14">
        <f t="shared" si="164"/>
        <v>682.28292278050174</v>
      </c>
      <c r="M852" s="14">
        <f t="shared" si="158"/>
        <v>0.2092986162589574</v>
      </c>
      <c r="N852" s="14">
        <f t="shared" si="165"/>
        <v>5.3560097285712365</v>
      </c>
      <c r="O852" s="4">
        <v>4.319</v>
      </c>
      <c r="P852" s="14">
        <f t="shared" si="168"/>
        <v>1.0753891771513897</v>
      </c>
      <c r="Q852" s="14">
        <f t="shared" si="166"/>
        <v>4.9046701677452438</v>
      </c>
    </row>
    <row r="853" spans="1:17" x14ac:dyDescent="0.25">
      <c r="A853" s="5" t="s">
        <v>910</v>
      </c>
      <c r="B853" s="6">
        <f t="shared" si="167"/>
        <v>8</v>
      </c>
      <c r="C853" s="58">
        <v>17.4563427</v>
      </c>
      <c r="D853" s="4">
        <v>0</v>
      </c>
      <c r="E853" s="12">
        <f t="shared" si="156"/>
        <v>0</v>
      </c>
      <c r="F853" s="12">
        <f t="shared" si="157"/>
        <v>0</v>
      </c>
      <c r="G853" s="16">
        <f t="shared" si="159"/>
        <v>5.0466836873970857</v>
      </c>
      <c r="H853" s="14">
        <f t="shared" si="160"/>
        <v>0</v>
      </c>
      <c r="I853" s="14">
        <f t="shared" si="161"/>
        <v>8.6341610821873722</v>
      </c>
      <c r="J853" s="14">
        <f t="shared" si="162"/>
        <v>0.71006802473896269</v>
      </c>
      <c r="K853" s="14">
        <f t="shared" si="163"/>
        <v>3.4289781302982649</v>
      </c>
      <c r="L853" s="14">
        <f t="shared" si="164"/>
        <v>682.32077176029486</v>
      </c>
      <c r="M853" s="14">
        <f t="shared" si="158"/>
        <v>0.19983340456580126</v>
      </c>
      <c r="N853" s="14">
        <f t="shared" si="165"/>
        <v>5.1137923321179004</v>
      </c>
      <c r="O853" s="4">
        <v>4.6007999999999996</v>
      </c>
      <c r="P853" s="14">
        <f t="shared" si="168"/>
        <v>0.26316113281176268</v>
      </c>
      <c r="Q853" s="14">
        <f t="shared" si="166"/>
        <v>3.7359052345843282</v>
      </c>
    </row>
    <row r="854" spans="1:17" x14ac:dyDescent="0.25">
      <c r="A854" s="5" t="s">
        <v>911</v>
      </c>
      <c r="B854" s="6">
        <f t="shared" si="167"/>
        <v>8</v>
      </c>
      <c r="C854" s="58">
        <v>16.569450379999999</v>
      </c>
      <c r="D854" s="4">
        <v>0</v>
      </c>
      <c r="E854" s="12">
        <f t="shared" si="156"/>
        <v>0</v>
      </c>
      <c r="F854" s="12">
        <f t="shared" si="157"/>
        <v>0</v>
      </c>
      <c r="G854" s="16">
        <f t="shared" si="159"/>
        <v>4.5235342651955426</v>
      </c>
      <c r="H854" s="14">
        <f t="shared" si="160"/>
        <v>0</v>
      </c>
      <c r="I854" s="14">
        <f t="shared" si="161"/>
        <v>7.2563354966699851</v>
      </c>
      <c r="J854" s="14">
        <f t="shared" si="162"/>
        <v>0.52314942220154337</v>
      </c>
      <c r="K854" s="14">
        <f t="shared" si="163"/>
        <v>3.2035719336555997</v>
      </c>
      <c r="L854" s="14">
        <f t="shared" si="164"/>
        <v>682.34634455237176</v>
      </c>
      <c r="M854" s="14">
        <f t="shared" si="158"/>
        <v>0.19119894434968265</v>
      </c>
      <c r="N854" s="14">
        <f t="shared" si="165"/>
        <v>4.8928340967262542</v>
      </c>
      <c r="O854" s="4">
        <v>4.6863000000000001</v>
      </c>
      <c r="P854" s="14">
        <f t="shared" si="168"/>
        <v>4.2656333110529687E-2</v>
      </c>
      <c r="Q854" s="14">
        <f t="shared" si="166"/>
        <v>3.4126983065670853</v>
      </c>
    </row>
    <row r="855" spans="1:17" x14ac:dyDescent="0.25">
      <c r="A855" s="5" t="s">
        <v>912</v>
      </c>
      <c r="B855" s="6">
        <f t="shared" si="167"/>
        <v>8</v>
      </c>
      <c r="C855" s="58">
        <v>16.820051190000001</v>
      </c>
      <c r="D855" s="4">
        <v>0</v>
      </c>
      <c r="E855" s="12">
        <f t="shared" si="156"/>
        <v>0</v>
      </c>
      <c r="F855" s="12">
        <f t="shared" si="157"/>
        <v>0</v>
      </c>
      <c r="G855" s="16">
        <f t="shared" si="159"/>
        <v>4.0294569948262318</v>
      </c>
      <c r="H855" s="14">
        <f t="shared" si="160"/>
        <v>0</v>
      </c>
      <c r="I855" s="14">
        <f t="shared" si="161"/>
        <v>7.6456546958365577</v>
      </c>
      <c r="J855" s="14">
        <f t="shared" si="162"/>
        <v>0.49407727036931087</v>
      </c>
      <c r="K855" s="14">
        <f t="shared" si="163"/>
        <v>2.9979945608771064</v>
      </c>
      <c r="L855" s="14">
        <f t="shared" si="164"/>
        <v>682.36072298080057</v>
      </c>
      <c r="M855" s="14">
        <f t="shared" si="158"/>
        <v>0.18332215539213276</v>
      </c>
      <c r="N855" s="14">
        <f t="shared" si="165"/>
        <v>4.6912648793056189</v>
      </c>
      <c r="O855" s="4">
        <v>5.3525999999999998</v>
      </c>
      <c r="P855" s="14">
        <f t="shared" si="168"/>
        <v>0.43736414186385142</v>
      </c>
      <c r="Q855" s="14">
        <f t="shared" si="166"/>
        <v>1.3948767268257134</v>
      </c>
    </row>
    <row r="856" spans="1:17" x14ac:dyDescent="0.25">
      <c r="A856" s="5" t="s">
        <v>913</v>
      </c>
      <c r="B856" s="6">
        <f t="shared" si="167"/>
        <v>8</v>
      </c>
      <c r="C856" s="58">
        <v>15.58245945</v>
      </c>
      <c r="D856" s="4">
        <v>0</v>
      </c>
      <c r="E856" s="12">
        <f t="shared" si="156"/>
        <v>0</v>
      </c>
      <c r="F856" s="12">
        <f t="shared" si="157"/>
        <v>0</v>
      </c>
      <c r="G856" s="16">
        <f t="shared" si="159"/>
        <v>3.7000197000317105</v>
      </c>
      <c r="H856" s="14">
        <f t="shared" si="160"/>
        <v>0</v>
      </c>
      <c r="I856" s="14">
        <f t="shared" si="161"/>
        <v>5.7230023903154317</v>
      </c>
      <c r="J856" s="14">
        <f t="shared" si="162"/>
        <v>0.32943729479452116</v>
      </c>
      <c r="K856" s="14">
        <f t="shared" si="163"/>
        <v>2.8105016843369581</v>
      </c>
      <c r="L856" s="14">
        <f t="shared" si="164"/>
        <v>682.36489370194863</v>
      </c>
      <c r="M856" s="14">
        <f t="shared" si="158"/>
        <v>0.17613638628978329</v>
      </c>
      <c r="N856" s="14">
        <f t="shared" si="165"/>
        <v>4.507379051929524</v>
      </c>
      <c r="O856" s="4">
        <v>5.8052999999999999</v>
      </c>
      <c r="P856" s="14">
        <f t="shared" si="168"/>
        <v>1.6845987874401629</v>
      </c>
      <c r="Q856" s="14">
        <f t="shared" si="166"/>
        <v>0.53049225742916573</v>
      </c>
    </row>
    <row r="857" spans="1:17" x14ac:dyDescent="0.25">
      <c r="A857" s="5" t="s">
        <v>914</v>
      </c>
      <c r="B857" s="6">
        <f t="shared" si="167"/>
        <v>8</v>
      </c>
      <c r="C857" s="58">
        <v>15.41623306</v>
      </c>
      <c r="D857" s="4">
        <v>0</v>
      </c>
      <c r="E857" s="12">
        <f t="shared" si="156"/>
        <v>0</v>
      </c>
      <c r="F857" s="12">
        <f t="shared" si="157"/>
        <v>0</v>
      </c>
      <c r="G857" s="16">
        <f t="shared" si="159"/>
        <v>3.4111661965454054</v>
      </c>
      <c r="H857" s="14">
        <f t="shared" si="160"/>
        <v>0</v>
      </c>
      <c r="I857" s="14">
        <f t="shared" si="161"/>
        <v>5.4647625026025786</v>
      </c>
      <c r="J857" s="14">
        <f t="shared" si="162"/>
        <v>0.28885350348630501</v>
      </c>
      <c r="K857" s="14">
        <f t="shared" si="163"/>
        <v>2.6395024236781666</v>
      </c>
      <c r="L857" s="14">
        <f t="shared" si="164"/>
        <v>682.35975657631764</v>
      </c>
      <c r="M857" s="14">
        <f t="shared" si="158"/>
        <v>0.16958084891604447</v>
      </c>
      <c r="N857" s="14">
        <f t="shared" si="165"/>
        <v>4.3396210295529434</v>
      </c>
      <c r="O857" s="4">
        <v>6.3521000000000001</v>
      </c>
      <c r="P857" s="14">
        <f t="shared" si="168"/>
        <v>4.0500716064916453</v>
      </c>
      <c r="Q857" s="14">
        <f t="shared" si="166"/>
        <v>3.2960037314228169E-2</v>
      </c>
    </row>
    <row r="858" spans="1:17" x14ac:dyDescent="0.25">
      <c r="A858" s="5" t="s">
        <v>915</v>
      </c>
      <c r="B858" s="6">
        <f t="shared" si="167"/>
        <v>9</v>
      </c>
      <c r="C858" s="58">
        <v>15.46910763</v>
      </c>
      <c r="D858" s="4">
        <v>0</v>
      </c>
      <c r="E858" s="12">
        <f t="shared" si="156"/>
        <v>0</v>
      </c>
      <c r="F858" s="12">
        <f t="shared" si="157"/>
        <v>0</v>
      </c>
      <c r="G858" s="16">
        <f t="shared" si="159"/>
        <v>3.2229027627338129</v>
      </c>
      <c r="H858" s="14">
        <f t="shared" si="160"/>
        <v>0</v>
      </c>
      <c r="I858" s="14">
        <f t="shared" si="161"/>
        <v>3.863320918791048</v>
      </c>
      <c r="J858" s="14">
        <f t="shared" si="162"/>
        <v>0.18826343381159252</v>
      </c>
      <c r="K858" s="14">
        <f t="shared" si="163"/>
        <v>2.4835458471647538</v>
      </c>
      <c r="L858" s="14">
        <f t="shared" si="164"/>
        <v>682.34613230391494</v>
      </c>
      <c r="M858" s="14">
        <f t="shared" si="158"/>
        <v>0.16360010263278921</v>
      </c>
      <c r="N858" s="14">
        <f t="shared" si="165"/>
        <v>4.1865720708460286</v>
      </c>
      <c r="O858" s="4">
        <v>6.1471</v>
      </c>
      <c r="P858" s="14">
        <f t="shared" si="168"/>
        <v>3.8436697609927597</v>
      </c>
      <c r="Q858" s="14">
        <f t="shared" si="166"/>
        <v>0.14942012495790441</v>
      </c>
    </row>
    <row r="859" spans="1:17" x14ac:dyDescent="0.25">
      <c r="A859" s="5" t="s">
        <v>916</v>
      </c>
      <c r="B859" s="6">
        <f t="shared" si="167"/>
        <v>9</v>
      </c>
      <c r="C859" s="58">
        <v>16.84425354</v>
      </c>
      <c r="D859" s="4">
        <v>0</v>
      </c>
      <c r="E859" s="12">
        <f t="shared" ref="E859:E922" si="169">IF(C859&gt;$C$9,MAX(E858-$C$10*(C859-$C$9),0),E858+D859)</f>
        <v>0</v>
      </c>
      <c r="F859" s="12">
        <f t="shared" ref="F859:F922" si="170">IF(C859&gt;$C$9,D859+MIN(E858,$C$10*(C859-$C$9)),0)</f>
        <v>0</v>
      </c>
      <c r="G859" s="16">
        <f t="shared" si="159"/>
        <v>2.9508041868522543</v>
      </c>
      <c r="H859" s="14">
        <f t="shared" si="160"/>
        <v>0</v>
      </c>
      <c r="I859" s="14">
        <f t="shared" si="161"/>
        <v>5.9098540454457194</v>
      </c>
      <c r="J859" s="14">
        <f t="shared" si="162"/>
        <v>0.27209857588155872</v>
      </c>
      <c r="K859" s="14">
        <f t="shared" si="163"/>
        <v>2.3413086605004416</v>
      </c>
      <c r="L859" s="14">
        <f t="shared" si="164"/>
        <v>682.3247693879465</v>
      </c>
      <c r="M859" s="14">
        <f t="shared" si="158"/>
        <v>0.15814358387557134</v>
      </c>
      <c r="N859" s="14">
        <f t="shared" si="165"/>
        <v>4.0469382401491698</v>
      </c>
      <c r="O859" s="4">
        <v>6.3692000000000002</v>
      </c>
      <c r="P859" s="14">
        <f t="shared" si="168"/>
        <v>5.3928996812654759</v>
      </c>
      <c r="Q859" s="14">
        <f t="shared" si="166"/>
        <v>2.7043471710780021E-2</v>
      </c>
    </row>
    <row r="860" spans="1:17" x14ac:dyDescent="0.25">
      <c r="A860" s="5" t="s">
        <v>917</v>
      </c>
      <c r="B860" s="6">
        <f t="shared" si="167"/>
        <v>9</v>
      </c>
      <c r="C860" s="58">
        <v>17.100978850000001</v>
      </c>
      <c r="D860" s="4">
        <v>0</v>
      </c>
      <c r="E860" s="12">
        <f t="shared" si="169"/>
        <v>0</v>
      </c>
      <c r="F860" s="12">
        <f t="shared" si="170"/>
        <v>0</v>
      </c>
      <c r="G860" s="16">
        <f t="shared" si="159"/>
        <v>2.6855721901888501</v>
      </c>
      <c r="H860" s="14">
        <f t="shared" si="160"/>
        <v>0</v>
      </c>
      <c r="I860" s="14">
        <f t="shared" si="161"/>
        <v>6.291920302957033</v>
      </c>
      <c r="J860" s="14">
        <f t="shared" si="162"/>
        <v>0.2652319966634043</v>
      </c>
      <c r="K860" s="14">
        <f t="shared" si="163"/>
        <v>2.2115839786532581</v>
      </c>
      <c r="L860" s="14">
        <f t="shared" si="164"/>
        <v>682.2963504859182</v>
      </c>
      <c r="M860" s="14">
        <f t="shared" si="158"/>
        <v>0.15316517712089947</v>
      </c>
      <c r="N860" s="14">
        <f t="shared" si="165"/>
        <v>3.9195394284063507</v>
      </c>
      <c r="O860" s="4">
        <v>7.0529999999999999</v>
      </c>
      <c r="P860" s="14">
        <f t="shared" si="168"/>
        <v>9.8185751537319987</v>
      </c>
      <c r="Q860" s="14">
        <f t="shared" si="166"/>
        <v>0.26972546717055662</v>
      </c>
    </row>
    <row r="861" spans="1:17" x14ac:dyDescent="0.25">
      <c r="A861" s="5" t="s">
        <v>918</v>
      </c>
      <c r="B861" s="6">
        <f t="shared" si="167"/>
        <v>9</v>
      </c>
      <c r="C861" s="58">
        <v>16.959125520000001</v>
      </c>
      <c r="D861" s="4">
        <v>0</v>
      </c>
      <c r="E861" s="12">
        <f t="shared" si="169"/>
        <v>0</v>
      </c>
      <c r="F861" s="12">
        <f t="shared" si="170"/>
        <v>0</v>
      </c>
      <c r="G861" s="16">
        <f t="shared" si="159"/>
        <v>2.452279800444281</v>
      </c>
      <c r="H861" s="14">
        <f t="shared" si="160"/>
        <v>0</v>
      </c>
      <c r="I861" s="14">
        <f t="shared" si="161"/>
        <v>6.0808099496045829</v>
      </c>
      <c r="J861" s="14">
        <f t="shared" si="162"/>
        <v>0.23329238974456928</v>
      </c>
      <c r="K861" s="14">
        <f t="shared" si="163"/>
        <v>2.0932710854148029</v>
      </c>
      <c r="L861" s="14">
        <f t="shared" si="164"/>
        <v>682.26149820203568</v>
      </c>
      <c r="M861" s="14">
        <f t="shared" si="158"/>
        <v>0.14862282359521706</v>
      </c>
      <c r="N861" s="14">
        <f t="shared" si="165"/>
        <v>3.8032993399192701</v>
      </c>
      <c r="O861" s="4">
        <v>5.7933000000000003</v>
      </c>
      <c r="P861" s="14">
        <f t="shared" si="168"/>
        <v>3.9601026271217421</v>
      </c>
      <c r="Q861" s="14">
        <f t="shared" si="166"/>
        <v>0.54811663329123395</v>
      </c>
    </row>
    <row r="862" spans="1:17" x14ac:dyDescent="0.25">
      <c r="A862" s="5" t="s">
        <v>919</v>
      </c>
      <c r="B862" s="6">
        <f t="shared" si="167"/>
        <v>9</v>
      </c>
      <c r="C862" s="58">
        <v>17.80679512</v>
      </c>
      <c r="D862" s="4">
        <v>0</v>
      </c>
      <c r="E862" s="12">
        <f t="shared" si="169"/>
        <v>0</v>
      </c>
      <c r="F862" s="12">
        <f t="shared" si="170"/>
        <v>0</v>
      </c>
      <c r="G862" s="16">
        <f t="shared" si="159"/>
        <v>2.1950586643505581</v>
      </c>
      <c r="H862" s="14">
        <f t="shared" si="160"/>
        <v>0</v>
      </c>
      <c r="I862" s="14">
        <f t="shared" si="161"/>
        <v>7.3423371113718128</v>
      </c>
      <c r="J862" s="14">
        <f t="shared" si="162"/>
        <v>0.25722113609372305</v>
      </c>
      <c r="K862" s="14">
        <f t="shared" si="163"/>
        <v>1.9853660938038484</v>
      </c>
      <c r="L862" s="14">
        <f t="shared" si="164"/>
        <v>682.22078037005144</v>
      </c>
      <c r="M862" s="14">
        <f t="shared" si="158"/>
        <v>0.14503599856957894</v>
      </c>
      <c r="N862" s="14">
        <f t="shared" si="165"/>
        <v>3.7115114911729057</v>
      </c>
      <c r="O862" s="4">
        <v>5.4466000000000001</v>
      </c>
      <c r="P862" s="14">
        <f t="shared" si="168"/>
        <v>3.0105321334638302</v>
      </c>
      <c r="Q862" s="14">
        <f t="shared" si="166"/>
        <v>1.1816755159061734</v>
      </c>
    </row>
    <row r="863" spans="1:17" x14ac:dyDescent="0.25">
      <c r="A863" s="5" t="s">
        <v>920</v>
      </c>
      <c r="B863" s="6">
        <f t="shared" si="167"/>
        <v>9</v>
      </c>
      <c r="C863" s="58">
        <v>17.605607989999999</v>
      </c>
      <c r="D863" s="4">
        <v>0</v>
      </c>
      <c r="E863" s="12">
        <f t="shared" si="169"/>
        <v>0</v>
      </c>
      <c r="F863" s="12">
        <f t="shared" si="170"/>
        <v>0</v>
      </c>
      <c r="G863" s="16">
        <f t="shared" si="159"/>
        <v>1.9742065961557762</v>
      </c>
      <c r="H863" s="14">
        <f t="shared" si="160"/>
        <v>0</v>
      </c>
      <c r="I863" s="14">
        <f t="shared" si="161"/>
        <v>7.0429244285376091</v>
      </c>
      <c r="J863" s="14">
        <f t="shared" si="162"/>
        <v>0.22085206819478179</v>
      </c>
      <c r="K863" s="14">
        <f t="shared" si="163"/>
        <v>1.8863955939035348</v>
      </c>
      <c r="L863" s="14">
        <f t="shared" si="164"/>
        <v>682.17471487138221</v>
      </c>
      <c r="M863" s="14">
        <f t="shared" ref="M863:M926" si="171">MAX(0,K863-$F$9)*$F$8+K863*$F$10+L863*$F$11</f>
        <v>0.14500535281651952</v>
      </c>
      <c r="N863" s="14">
        <f t="shared" si="165"/>
        <v>3.7107272578394057</v>
      </c>
      <c r="O863" s="4">
        <v>5.4123999999999999</v>
      </c>
      <c r="P863" s="14">
        <f t="shared" si="168"/>
        <v>2.8956901214123558</v>
      </c>
      <c r="Q863" s="14">
        <f t="shared" si="166"/>
        <v>1.25719930711307</v>
      </c>
    </row>
    <row r="864" spans="1:17" x14ac:dyDescent="0.25">
      <c r="A864" s="5" t="s">
        <v>921</v>
      </c>
      <c r="B864" s="6">
        <f t="shared" si="167"/>
        <v>9</v>
      </c>
      <c r="C864" s="58">
        <v>17.919050219999999</v>
      </c>
      <c r="D864" s="4">
        <v>0</v>
      </c>
      <c r="E864" s="12">
        <f t="shared" si="169"/>
        <v>0</v>
      </c>
      <c r="F864" s="12">
        <f t="shared" si="170"/>
        <v>0</v>
      </c>
      <c r="G864" s="16">
        <f t="shared" ref="G864:G927" si="172">G863+F864-H864-J864</f>
        <v>1.7624192244787871</v>
      </c>
      <c r="H864" s="14">
        <f t="shared" ref="H864:H927" si="173">(F864*(G863/$C$11)^$C$12)</f>
        <v>0</v>
      </c>
      <c r="I864" s="14">
        <f t="shared" ref="I864:I927" si="174">(1+$C$13*(C864-INDEX($A$16:$A$27,B864)))*INDEX($C$16:$C$27,B864)</f>
        <v>7.5093984967239535</v>
      </c>
      <c r="J864" s="14">
        <f t="shared" ref="J864:J927" si="175">IF(G863&gt;$F$13,I864,I864*(G863/$F$13))</f>
        <v>0.21178737167698911</v>
      </c>
      <c r="K864" s="14">
        <f t="shared" ref="K864:K927" si="176">K863+H864-MAX(0,K863-$F$9)*$F$8-K863*$F$10-K863*$F$12</f>
        <v>1.7923587734294428</v>
      </c>
      <c r="L864" s="14">
        <f t="shared" ref="L864:L927" si="177">L863+K863*$F$12-L863*$F$11</f>
        <v>682.12374633903971</v>
      </c>
      <c r="M864" s="14">
        <f t="shared" si="171"/>
        <v>0.14497470862606582</v>
      </c>
      <c r="N864" s="14">
        <f t="shared" ref="N864:N927" si="178">M864*$C$8*1000/(24*3600)</f>
        <v>3.7099430644934204</v>
      </c>
      <c r="O864" s="4">
        <v>6.1898</v>
      </c>
      <c r="P864" s="14">
        <f t="shared" si="168"/>
        <v>6.1496904205800842</v>
      </c>
      <c r="Q864" s="14">
        <f t="shared" ref="Q864:Q927" si="179">(O864-$F$23)^2</f>
        <v>0.11823213084870944</v>
      </c>
    </row>
    <row r="865" spans="1:17" x14ac:dyDescent="0.25">
      <c r="A865" s="5" t="s">
        <v>922</v>
      </c>
      <c r="B865" s="6">
        <f t="shared" ref="B865:B928" si="180">MONTH(A865)</f>
        <v>9</v>
      </c>
      <c r="C865" s="58">
        <v>16.545372010000001</v>
      </c>
      <c r="D865" s="4">
        <v>0</v>
      </c>
      <c r="E865" s="12">
        <f t="shared" si="169"/>
        <v>0</v>
      </c>
      <c r="F865" s="12">
        <f t="shared" si="170"/>
        <v>0</v>
      </c>
      <c r="G865" s="16">
        <f t="shared" si="172"/>
        <v>1.6248232768349711</v>
      </c>
      <c r="H865" s="14">
        <f t="shared" si="173"/>
        <v>0</v>
      </c>
      <c r="I865" s="14">
        <f t="shared" si="174"/>
        <v>5.4650496449510619</v>
      </c>
      <c r="J865" s="14">
        <f t="shared" si="175"/>
        <v>0.13759594764381602</v>
      </c>
      <c r="K865" s="14">
        <f t="shared" si="176"/>
        <v>1.7030096884618666</v>
      </c>
      <c r="L865" s="14">
        <f t="shared" si="177"/>
        <v>682.06812071538127</v>
      </c>
      <c r="M865" s="14">
        <f t="shared" si="171"/>
        <v>0.14494406624383055</v>
      </c>
      <c r="N865" s="14">
        <f t="shared" si="178"/>
        <v>3.7091589174202473</v>
      </c>
      <c r="O865" s="4">
        <v>6.0103999999999997</v>
      </c>
      <c r="P865" s="14">
        <f t="shared" ref="P865:P928" si="181">(O865-N865)^2</f>
        <v>5.2957105201528307</v>
      </c>
      <c r="Q865" s="14">
        <f t="shared" si="179"/>
        <v>0.27378950998663903</v>
      </c>
    </row>
    <row r="866" spans="1:17" x14ac:dyDescent="0.25">
      <c r="A866" s="5" t="s">
        <v>923</v>
      </c>
      <c r="B866" s="6">
        <f t="shared" si="180"/>
        <v>9</v>
      </c>
      <c r="C866" s="58">
        <v>18.120519640000001</v>
      </c>
      <c r="D866" s="4">
        <v>0</v>
      </c>
      <c r="E866" s="12">
        <f t="shared" si="169"/>
        <v>0</v>
      </c>
      <c r="F866" s="12">
        <f t="shared" si="170"/>
        <v>0</v>
      </c>
      <c r="G866" s="16">
        <f t="shared" si="172"/>
        <v>1.4435571193488677</v>
      </c>
      <c r="H866" s="14">
        <f t="shared" si="173"/>
        <v>0</v>
      </c>
      <c r="I866" s="14">
        <f t="shared" si="174"/>
        <v>7.8092312919492297</v>
      </c>
      <c r="J866" s="14">
        <f t="shared" si="175"/>
        <v>0.1812661574861035</v>
      </c>
      <c r="K866" s="14">
        <f t="shared" si="176"/>
        <v>1.618114655385513</v>
      </c>
      <c r="L866" s="14">
        <f t="shared" si="177"/>
        <v>682.00807168221377</v>
      </c>
      <c r="M866" s="14">
        <f t="shared" si="171"/>
        <v>0.14491342590311398</v>
      </c>
      <c r="N866" s="14">
        <f t="shared" si="178"/>
        <v>3.708374822590105</v>
      </c>
      <c r="O866" s="4">
        <v>5.2756999999999996</v>
      </c>
      <c r="P866" s="14">
        <f t="shared" si="181"/>
        <v>2.4565082117429577</v>
      </c>
      <c r="Q866" s="14">
        <f t="shared" si="179"/>
        <v>1.5824356721418051</v>
      </c>
    </row>
    <row r="867" spans="1:17" x14ac:dyDescent="0.25">
      <c r="A867" s="5" t="s">
        <v>924</v>
      </c>
      <c r="B867" s="6">
        <f t="shared" si="180"/>
        <v>9</v>
      </c>
      <c r="C867" s="58">
        <v>18.2128315</v>
      </c>
      <c r="D867" s="4">
        <v>0</v>
      </c>
      <c r="E867" s="12">
        <f t="shared" si="169"/>
        <v>0</v>
      </c>
      <c r="F867" s="12">
        <f t="shared" si="170"/>
        <v>0</v>
      </c>
      <c r="G867" s="16">
        <f t="shared" si="172"/>
        <v>1.2796799994983494</v>
      </c>
      <c r="H867" s="14">
        <f t="shared" si="173"/>
        <v>0</v>
      </c>
      <c r="I867" s="14">
        <f t="shared" si="174"/>
        <v>7.9466125531661627</v>
      </c>
      <c r="J867" s="14">
        <f t="shared" si="175"/>
        <v>0.16387711985051825</v>
      </c>
      <c r="K867" s="14">
        <f t="shared" si="176"/>
        <v>1.5374516397133262</v>
      </c>
      <c r="L867" s="14">
        <f t="shared" si="177"/>
        <v>681.94382127198287</v>
      </c>
      <c r="M867" s="14">
        <f t="shared" si="171"/>
        <v>0.14488278782551789</v>
      </c>
      <c r="N867" s="14">
        <f t="shared" si="178"/>
        <v>3.707590785673843</v>
      </c>
      <c r="O867" s="4">
        <v>5.2073999999999998</v>
      </c>
      <c r="P867" s="14">
        <f t="shared" si="181"/>
        <v>2.2494276793776438</v>
      </c>
      <c r="Q867" s="14">
        <f t="shared" si="179"/>
        <v>1.7589363947567467</v>
      </c>
    </row>
    <row r="868" spans="1:17" x14ac:dyDescent="0.25">
      <c r="A868" s="5" t="s">
        <v>925</v>
      </c>
      <c r="B868" s="6">
        <f t="shared" si="180"/>
        <v>9</v>
      </c>
      <c r="C868" s="58">
        <v>17.56961441</v>
      </c>
      <c r="D868" s="4">
        <v>0</v>
      </c>
      <c r="E868" s="12">
        <f t="shared" si="169"/>
        <v>0</v>
      </c>
      <c r="F868" s="12">
        <f t="shared" si="170"/>
        <v>0</v>
      </c>
      <c r="G868" s="16">
        <f t="shared" si="172"/>
        <v>1.1519064495877396</v>
      </c>
      <c r="H868" s="14">
        <f t="shared" si="173"/>
        <v>0</v>
      </c>
      <c r="I868" s="14">
        <f t="shared" si="174"/>
        <v>6.9893577100670621</v>
      </c>
      <c r="J868" s="14">
        <f t="shared" si="175"/>
        <v>0.1277735499106098</v>
      </c>
      <c r="K868" s="14">
        <f t="shared" si="176"/>
        <v>1.4608096753774436</v>
      </c>
      <c r="L868" s="14">
        <f t="shared" si="177"/>
        <v>681.87558044849322</v>
      </c>
      <c r="M868" s="14">
        <f t="shared" si="171"/>
        <v>0.14485215222152859</v>
      </c>
      <c r="N868" s="14">
        <f t="shared" si="178"/>
        <v>3.7068068120578666</v>
      </c>
      <c r="O868" s="4">
        <v>5.7114000000000003</v>
      </c>
      <c r="P868" s="14">
        <f t="shared" si="181"/>
        <v>4.0183938491440063</v>
      </c>
      <c r="Q868" s="14">
        <f t="shared" si="179"/>
        <v>0.67609340854985389</v>
      </c>
    </row>
    <row r="869" spans="1:17" x14ac:dyDescent="0.25">
      <c r="A869" s="5" t="s">
        <v>926</v>
      </c>
      <c r="B869" s="6">
        <f t="shared" si="180"/>
        <v>9</v>
      </c>
      <c r="C869" s="58">
        <v>17.095872880000002</v>
      </c>
      <c r="D869" s="4">
        <v>0</v>
      </c>
      <c r="E869" s="12">
        <f t="shared" si="169"/>
        <v>0</v>
      </c>
      <c r="F869" s="12">
        <f t="shared" si="170"/>
        <v>0</v>
      </c>
      <c r="G869" s="16">
        <f t="shared" si="172"/>
        <v>1.0484927888591609</v>
      </c>
      <c r="H869" s="14">
        <f t="shared" si="173"/>
        <v>0</v>
      </c>
      <c r="I869" s="14">
        <f t="shared" si="174"/>
        <v>6.2843214462301118</v>
      </c>
      <c r="J869" s="14">
        <f t="shared" si="175"/>
        <v>0.10341366072857877</v>
      </c>
      <c r="K869" s="14">
        <f t="shared" si="176"/>
        <v>1.3879883129684991</v>
      </c>
      <c r="L869" s="14">
        <f t="shared" si="177"/>
        <v>681.80354965868059</v>
      </c>
      <c r="M869" s="14">
        <f t="shared" si="171"/>
        <v>0.14482151929107112</v>
      </c>
      <c r="N869" s="14">
        <f t="shared" si="178"/>
        <v>3.7060229068583128</v>
      </c>
      <c r="O869" s="4">
        <v>6.8029999999999999</v>
      </c>
      <c r="P869" s="14">
        <f t="shared" si="181"/>
        <v>9.5912671154443334</v>
      </c>
      <c r="Q869" s="14">
        <f t="shared" si="179"/>
        <v>7.2549964296991051E-2</v>
      </c>
    </row>
    <row r="870" spans="1:17" x14ac:dyDescent="0.25">
      <c r="A870" s="5" t="s">
        <v>927</v>
      </c>
      <c r="B870" s="6">
        <f t="shared" si="180"/>
        <v>9</v>
      </c>
      <c r="C870" s="58">
        <v>16.710437769999999</v>
      </c>
      <c r="D870" s="4">
        <v>0</v>
      </c>
      <c r="E870" s="12">
        <f t="shared" si="169"/>
        <v>0</v>
      </c>
      <c r="F870" s="12">
        <f t="shared" si="170"/>
        <v>0</v>
      </c>
      <c r="G870" s="16">
        <f t="shared" si="172"/>
        <v>0.96295509891184849</v>
      </c>
      <c r="H870" s="14">
        <f t="shared" si="173"/>
        <v>0</v>
      </c>
      <c r="I870" s="14">
        <f t="shared" si="174"/>
        <v>5.7107054284281942</v>
      </c>
      <c r="J870" s="14">
        <f t="shared" si="175"/>
        <v>8.553768994731234E-2</v>
      </c>
      <c r="K870" s="14">
        <f t="shared" si="176"/>
        <v>1.3187970954801957</v>
      </c>
      <c r="L870" s="14">
        <f t="shared" si="177"/>
        <v>681.72791935687781</v>
      </c>
      <c r="M870" s="14">
        <f t="shared" si="171"/>
        <v>0.14479088922403577</v>
      </c>
      <c r="N870" s="14">
        <f t="shared" si="178"/>
        <v>3.7052390749345263</v>
      </c>
      <c r="O870" s="4">
        <v>7.2918000000000003</v>
      </c>
      <c r="P870" s="14">
        <f t="shared" si="181"/>
        <v>12.863419269206508</v>
      </c>
      <c r="Q870" s="14">
        <f t="shared" si="179"/>
        <v>0.57479294751538701</v>
      </c>
    </row>
    <row r="871" spans="1:17" x14ac:dyDescent="0.25">
      <c r="A871" s="5" t="s">
        <v>928</v>
      </c>
      <c r="B871" s="6">
        <f t="shared" si="180"/>
        <v>9</v>
      </c>
      <c r="C871" s="58">
        <v>16.233226779999999</v>
      </c>
      <c r="D871" s="4">
        <v>0</v>
      </c>
      <c r="E871" s="12">
        <f t="shared" si="169"/>
        <v>0</v>
      </c>
      <c r="F871" s="12">
        <f t="shared" si="170"/>
        <v>0</v>
      </c>
      <c r="G871" s="16">
        <f t="shared" si="172"/>
        <v>0.8941655781086203</v>
      </c>
      <c r="H871" s="14">
        <f t="shared" si="173"/>
        <v>0</v>
      </c>
      <c r="I871" s="14">
        <f t="shared" si="174"/>
        <v>5.0005058108191296</v>
      </c>
      <c r="J871" s="14">
        <f t="shared" si="175"/>
        <v>6.8789520803228185E-2</v>
      </c>
      <c r="K871" s="14">
        <f t="shared" si="176"/>
        <v>1.2530550601880124</v>
      </c>
      <c r="L871" s="14">
        <f t="shared" si="177"/>
        <v>681.64887050294601</v>
      </c>
      <c r="M871" s="14">
        <f t="shared" si="171"/>
        <v>0.14476026220077826</v>
      </c>
      <c r="N871" s="14">
        <f t="shared" si="178"/>
        <v>3.7044553209018605</v>
      </c>
      <c r="O871" s="4">
        <v>7.9130000000000003</v>
      </c>
      <c r="P871" s="14">
        <f t="shared" si="181"/>
        <v>17.711848315965259</v>
      </c>
      <c r="Q871" s="14">
        <f t="shared" si="179"/>
        <v>1.9026091970556229</v>
      </c>
    </row>
    <row r="872" spans="1:17" x14ac:dyDescent="0.25">
      <c r="A872" s="5" t="s">
        <v>929</v>
      </c>
      <c r="B872" s="6">
        <f t="shared" si="180"/>
        <v>9</v>
      </c>
      <c r="C872" s="58">
        <v>16.66274834</v>
      </c>
      <c r="D872" s="4">
        <v>0</v>
      </c>
      <c r="E872" s="12">
        <f t="shared" si="169"/>
        <v>0</v>
      </c>
      <c r="F872" s="12">
        <f t="shared" si="170"/>
        <v>0</v>
      </c>
      <c r="G872" s="16">
        <f t="shared" si="172"/>
        <v>0.82212473767007044</v>
      </c>
      <c r="H872" s="14">
        <f t="shared" si="173"/>
        <v>0</v>
      </c>
      <c r="I872" s="14">
        <f t="shared" si="174"/>
        <v>5.6397325974169199</v>
      </c>
      <c r="J872" s="14">
        <f t="shared" si="175"/>
        <v>7.2040840438549844E-2</v>
      </c>
      <c r="K872" s="14">
        <f t="shared" si="176"/>
        <v>1.1905902653592568</v>
      </c>
      <c r="L872" s="14">
        <f t="shared" si="177"/>
        <v>681.56657503557392</v>
      </c>
      <c r="M872" s="14">
        <f t="shared" si="171"/>
        <v>0.14472963839259509</v>
      </c>
      <c r="N872" s="14">
        <f t="shared" si="178"/>
        <v>3.7036716491438395</v>
      </c>
      <c r="O872" s="4">
        <v>9.2797000000000001</v>
      </c>
      <c r="P872" s="14">
        <f t="shared" si="181"/>
        <v>31.092092169551677</v>
      </c>
      <c r="Q872" s="14">
        <f t="shared" si="179"/>
        <v>7.5407961261648309</v>
      </c>
    </row>
    <row r="873" spans="1:17" x14ac:dyDescent="0.25">
      <c r="A873" s="5" t="s">
        <v>930</v>
      </c>
      <c r="B873" s="6">
        <f t="shared" si="180"/>
        <v>9</v>
      </c>
      <c r="C873" s="58">
        <v>17.593946460000002</v>
      </c>
      <c r="D873" s="4">
        <v>0</v>
      </c>
      <c r="E873" s="12">
        <f t="shared" si="169"/>
        <v>0</v>
      </c>
      <c r="F873" s="12">
        <f t="shared" si="170"/>
        <v>0</v>
      </c>
      <c r="G873" s="16">
        <f t="shared" si="172"/>
        <v>0.73961189398816707</v>
      </c>
      <c r="H873" s="14">
        <f t="shared" si="173"/>
        <v>0</v>
      </c>
      <c r="I873" s="14">
        <f t="shared" si="174"/>
        <v>7.0255693920437192</v>
      </c>
      <c r="J873" s="14">
        <f t="shared" si="175"/>
        <v>8.2512843681903328E-2</v>
      </c>
      <c r="K873" s="14">
        <f t="shared" si="176"/>
        <v>1.1312393405566221</v>
      </c>
      <c r="L873" s="14">
        <f t="shared" si="177"/>
        <v>681.48119632198393</v>
      </c>
      <c r="M873" s="14">
        <f t="shared" si="171"/>
        <v>0.14469901796217521</v>
      </c>
      <c r="N873" s="14">
        <f t="shared" si="178"/>
        <v>3.7028880638237198</v>
      </c>
      <c r="O873" s="4">
        <v>9.0722000000000005</v>
      </c>
      <c r="P873" s="14">
        <f t="shared" si="181"/>
        <v>28.829510667965085</v>
      </c>
      <c r="Q873" s="14">
        <f t="shared" si="179"/>
        <v>6.4442412087797738</v>
      </c>
    </row>
    <row r="874" spans="1:17" x14ac:dyDescent="0.25">
      <c r="A874" s="5" t="s">
        <v>931</v>
      </c>
      <c r="B874" s="6">
        <f t="shared" si="180"/>
        <v>9</v>
      </c>
      <c r="C874" s="58">
        <v>17.595045089999999</v>
      </c>
      <c r="D874" s="4">
        <v>0</v>
      </c>
      <c r="E874" s="12">
        <f t="shared" si="169"/>
        <v>0</v>
      </c>
      <c r="F874" s="12">
        <f t="shared" si="170"/>
        <v>0</v>
      </c>
      <c r="G874" s="16">
        <f t="shared" si="172"/>
        <v>0.66536320602694687</v>
      </c>
      <c r="H874" s="14">
        <f t="shared" si="173"/>
        <v>0</v>
      </c>
      <c r="I874" s="14">
        <f t="shared" si="174"/>
        <v>7.027204405952121</v>
      </c>
      <c r="J874" s="14">
        <f t="shared" si="175"/>
        <v>7.4248687961220236E-2</v>
      </c>
      <c r="K874" s="14">
        <f t="shared" si="176"/>
        <v>1.0748470593591113</v>
      </c>
      <c r="L874" s="14">
        <f t="shared" si="177"/>
        <v>681.39288958521922</v>
      </c>
      <c r="M874" s="14">
        <f t="shared" si="171"/>
        <v>0.14466840106402898</v>
      </c>
      <c r="N874" s="14">
        <f t="shared" si="178"/>
        <v>3.7021045688954644</v>
      </c>
      <c r="O874" s="4">
        <v>9.4613999999999994</v>
      </c>
      <c r="P874" s="14">
        <f t="shared" si="181"/>
        <v>33.169483862741572</v>
      </c>
      <c r="Q874" s="14">
        <f t="shared" si="179"/>
        <v>8.5717259516533346</v>
      </c>
    </row>
    <row r="875" spans="1:17" x14ac:dyDescent="0.25">
      <c r="A875" s="5" t="s">
        <v>932</v>
      </c>
      <c r="B875" s="6">
        <f t="shared" si="180"/>
        <v>9</v>
      </c>
      <c r="C875" s="58">
        <v>16.728557590000001</v>
      </c>
      <c r="D875" s="4">
        <v>0</v>
      </c>
      <c r="E875" s="12">
        <f t="shared" si="169"/>
        <v>0</v>
      </c>
      <c r="F875" s="12">
        <f t="shared" si="170"/>
        <v>0</v>
      </c>
      <c r="G875" s="16">
        <f t="shared" si="172"/>
        <v>0.61082550826724247</v>
      </c>
      <c r="H875" s="14">
        <f t="shared" si="173"/>
        <v>0</v>
      </c>
      <c r="I875" s="14">
        <f t="shared" si="174"/>
        <v>5.7376718845761276</v>
      </c>
      <c r="J875" s="14">
        <f t="shared" si="175"/>
        <v>5.453769775970442E-2</v>
      </c>
      <c r="K875" s="14">
        <f t="shared" si="176"/>
        <v>1.021265933382824</v>
      </c>
      <c r="L875" s="14">
        <f t="shared" si="177"/>
        <v>681.30180231013151</v>
      </c>
      <c r="M875" s="14">
        <f t="shared" si="171"/>
        <v>0.14463778784489606</v>
      </c>
      <c r="N875" s="14">
        <f t="shared" si="178"/>
        <v>3.7013211681141804</v>
      </c>
      <c r="O875" s="4">
        <v>10.931699999999999</v>
      </c>
      <c r="P875" s="14">
        <f t="shared" si="181"/>
        <v>52.278378052582539</v>
      </c>
      <c r="Q875" s="14">
        <f t="shared" si="179"/>
        <v>19.342852649153347</v>
      </c>
    </row>
    <row r="876" spans="1:17" x14ac:dyDescent="0.25">
      <c r="A876" s="5" t="s">
        <v>933</v>
      </c>
      <c r="B876" s="6">
        <f t="shared" si="180"/>
        <v>9</v>
      </c>
      <c r="C876" s="58">
        <v>17.066486359999999</v>
      </c>
      <c r="D876" s="4">
        <v>0</v>
      </c>
      <c r="E876" s="12">
        <f t="shared" si="169"/>
        <v>0</v>
      </c>
      <c r="F876" s="12">
        <f t="shared" si="170"/>
        <v>0</v>
      </c>
      <c r="G876" s="16">
        <f t="shared" si="172"/>
        <v>0.5563696062493878</v>
      </c>
      <c r="H876" s="14">
        <f t="shared" si="173"/>
        <v>0</v>
      </c>
      <c r="I876" s="14">
        <f t="shared" si="174"/>
        <v>6.2405875513613802</v>
      </c>
      <c r="J876" s="14">
        <f t="shared" si="175"/>
        <v>5.4455902017854628E-2</v>
      </c>
      <c r="K876" s="14">
        <f t="shared" si="176"/>
        <v>0.97035582653980634</v>
      </c>
      <c r="L876" s="14">
        <f t="shared" si="177"/>
        <v>681.20807462912956</v>
      </c>
      <c r="M876" s="14">
        <f t="shared" si="171"/>
        <v>0.14460717844413259</v>
      </c>
      <c r="N876" s="14">
        <f t="shared" si="178"/>
        <v>3.7005378650460323</v>
      </c>
      <c r="O876" s="4">
        <v>12.7623</v>
      </c>
      <c r="P876" s="14">
        <f t="shared" si="181"/>
        <v>82.115532990485491</v>
      </c>
      <c r="Q876" s="14">
        <f t="shared" si="179"/>
        <v>38.796093351394745</v>
      </c>
    </row>
    <row r="877" spans="1:17" x14ac:dyDescent="0.25">
      <c r="A877" s="5" t="s">
        <v>934</v>
      </c>
      <c r="B877" s="6">
        <f t="shared" si="180"/>
        <v>9</v>
      </c>
      <c r="C877" s="58">
        <v>18.137817380000001</v>
      </c>
      <c r="D877" s="4">
        <v>1.5</v>
      </c>
      <c r="E877" s="12">
        <f t="shared" si="169"/>
        <v>0</v>
      </c>
      <c r="F877" s="12">
        <f t="shared" si="170"/>
        <v>1.5</v>
      </c>
      <c r="G877" s="16">
        <f t="shared" si="172"/>
        <v>1.9486462903362542</v>
      </c>
      <c r="H877" s="14">
        <f t="shared" si="173"/>
        <v>4.5449814644729428E-2</v>
      </c>
      <c r="I877" s="14">
        <f t="shared" si="174"/>
        <v>7.8349743041407587</v>
      </c>
      <c r="J877" s="14">
        <f t="shared" si="175"/>
        <v>6.2273501268403968E-2</v>
      </c>
      <c r="K877" s="14">
        <f t="shared" si="176"/>
        <v>0.96743340317082704</v>
      </c>
      <c r="L877" s="14">
        <f t="shared" si="177"/>
        <v>681.11183968869909</v>
      </c>
      <c r="M877" s="14">
        <f t="shared" si="171"/>
        <v>0.14458616199364888</v>
      </c>
      <c r="N877" s="14">
        <f t="shared" si="178"/>
        <v>3.7000000482402511</v>
      </c>
      <c r="O877" s="4">
        <v>15.3858</v>
      </c>
      <c r="P877" s="14">
        <f t="shared" si="181"/>
        <v>136.55792051254812</v>
      </c>
      <c r="Q877" s="14">
        <f t="shared" si="179"/>
        <v>78.360577428549959</v>
      </c>
    </row>
    <row r="878" spans="1:17" x14ac:dyDescent="0.25">
      <c r="A878" s="5" t="s">
        <v>935</v>
      </c>
      <c r="B878" s="6">
        <f t="shared" si="180"/>
        <v>9</v>
      </c>
      <c r="C878" s="58">
        <v>17.446865079999998</v>
      </c>
      <c r="D878" s="4">
        <v>0</v>
      </c>
      <c r="E878" s="12">
        <f t="shared" si="169"/>
        <v>0</v>
      </c>
      <c r="F878" s="12">
        <f t="shared" si="170"/>
        <v>0</v>
      </c>
      <c r="G878" s="16">
        <f t="shared" si="172"/>
        <v>1.7591631543718678</v>
      </c>
      <c r="H878" s="14">
        <f t="shared" si="173"/>
        <v>0</v>
      </c>
      <c r="I878" s="14">
        <f t="shared" si="174"/>
        <v>6.8066784988699984</v>
      </c>
      <c r="J878" s="14">
        <f t="shared" si="175"/>
        <v>0.18948313596438651</v>
      </c>
      <c r="K878" s="14">
        <f t="shared" si="176"/>
        <v>0.91920684796224483</v>
      </c>
      <c r="L878" s="14">
        <f t="shared" si="177"/>
        <v>681.01548008191412</v>
      </c>
      <c r="M878" s="14">
        <f t="shared" si="171"/>
        <v>0.14455556085297916</v>
      </c>
      <c r="N878" s="14">
        <f t="shared" si="178"/>
        <v>3.6992169565501958</v>
      </c>
      <c r="O878" s="4">
        <v>17.274100000000001</v>
      </c>
      <c r="P878" s="14">
        <f t="shared" si="181"/>
        <v>184.27744964334104</v>
      </c>
      <c r="Q878" s="14">
        <f t="shared" si="179"/>
        <v>115.3572878068546</v>
      </c>
    </row>
    <row r="879" spans="1:17" x14ac:dyDescent="0.25">
      <c r="A879" s="5" t="s">
        <v>936</v>
      </c>
      <c r="B879" s="6">
        <f t="shared" si="180"/>
        <v>9</v>
      </c>
      <c r="C879" s="58">
        <v>16.967138290000001</v>
      </c>
      <c r="D879" s="4">
        <v>0</v>
      </c>
      <c r="E879" s="12">
        <f t="shared" si="169"/>
        <v>0</v>
      </c>
      <c r="F879" s="12">
        <f t="shared" si="170"/>
        <v>0</v>
      </c>
      <c r="G879" s="16">
        <f t="shared" si="172"/>
        <v>1.6060471084844747</v>
      </c>
      <c r="H879" s="14">
        <f t="shared" si="173"/>
        <v>0</v>
      </c>
      <c r="I879" s="14">
        <f t="shared" si="174"/>
        <v>6.0927347927226974</v>
      </c>
      <c r="J879" s="14">
        <f t="shared" si="175"/>
        <v>0.15311604588739308</v>
      </c>
      <c r="K879" s="14">
        <f t="shared" si="176"/>
        <v>0.87338438653382722</v>
      </c>
      <c r="L879" s="14">
        <f t="shared" si="177"/>
        <v>680.91674698248949</v>
      </c>
      <c r="M879" s="14">
        <f t="shared" si="171"/>
        <v>0.14452496379504381</v>
      </c>
      <c r="N879" s="14">
        <f t="shared" si="178"/>
        <v>3.6984339693384469</v>
      </c>
      <c r="O879" s="4">
        <v>18.571400000000001</v>
      </c>
      <c r="P879" s="14">
        <f t="shared" si="181"/>
        <v>221.20511854921247</v>
      </c>
      <c r="Q879" s="14">
        <f t="shared" si="179"/>
        <v>144.90744927636609</v>
      </c>
    </row>
    <row r="880" spans="1:17" x14ac:dyDescent="0.25">
      <c r="A880" s="5" t="s">
        <v>937</v>
      </c>
      <c r="B880" s="6">
        <f t="shared" si="180"/>
        <v>9</v>
      </c>
      <c r="C880" s="58">
        <v>16.02801895</v>
      </c>
      <c r="D880" s="4">
        <v>0</v>
      </c>
      <c r="E880" s="12">
        <f t="shared" si="169"/>
        <v>0</v>
      </c>
      <c r="F880" s="12">
        <f t="shared" si="170"/>
        <v>0</v>
      </c>
      <c r="G880" s="16">
        <f t="shared" si="172"/>
        <v>1.4983246374966979</v>
      </c>
      <c r="H880" s="14">
        <f t="shared" si="173"/>
        <v>0</v>
      </c>
      <c r="I880" s="14">
        <f t="shared" si="174"/>
        <v>4.695109402416243</v>
      </c>
      <c r="J880" s="14">
        <f t="shared" si="175"/>
        <v>0.10772247098777697</v>
      </c>
      <c r="K880" s="14">
        <f t="shared" si="176"/>
        <v>0.82984617481048251</v>
      </c>
      <c r="L880" s="14">
        <f t="shared" si="177"/>
        <v>680.81576023041771</v>
      </c>
      <c r="M880" s="14">
        <f t="shared" si="171"/>
        <v>0.14449437093882156</v>
      </c>
      <c r="N880" s="14">
        <f t="shared" si="178"/>
        <v>3.6976510896497046</v>
      </c>
      <c r="O880" s="4">
        <v>13.007400000000001</v>
      </c>
      <c r="P880" s="14">
        <f t="shared" si="181"/>
        <v>86.671424773768521</v>
      </c>
      <c r="Q880" s="14">
        <f t="shared" si="179"/>
        <v>41.909452084412003</v>
      </c>
    </row>
    <row r="881" spans="1:17" x14ac:dyDescent="0.25">
      <c r="A881" s="5" t="s">
        <v>938</v>
      </c>
      <c r="B881" s="6">
        <f t="shared" si="180"/>
        <v>9</v>
      </c>
      <c r="C881" s="58">
        <v>16.864967350000001</v>
      </c>
      <c r="D881" s="4">
        <v>0</v>
      </c>
      <c r="E881" s="12">
        <f t="shared" si="169"/>
        <v>0</v>
      </c>
      <c r="F881" s="12">
        <f t="shared" si="170"/>
        <v>0</v>
      </c>
      <c r="G881" s="16">
        <f t="shared" si="172"/>
        <v>1.3711664114086761</v>
      </c>
      <c r="H881" s="14">
        <f t="shared" si="173"/>
        <v>0</v>
      </c>
      <c r="I881" s="14">
        <f t="shared" si="174"/>
        <v>5.9406809548201807</v>
      </c>
      <c r="J881" s="14">
        <f t="shared" si="175"/>
        <v>0.12715822608802166</v>
      </c>
      <c r="K881" s="14">
        <f t="shared" si="176"/>
        <v>0.78847834294426999</v>
      </c>
      <c r="L881" s="14">
        <f t="shared" si="177"/>
        <v>680.71263369134499</v>
      </c>
      <c r="M881" s="14">
        <f t="shared" si="171"/>
        <v>0.14446378239729152</v>
      </c>
      <c r="N881" s="14">
        <f t="shared" si="178"/>
        <v>3.6968683203751338</v>
      </c>
      <c r="O881" s="4">
        <v>13.050599999999999</v>
      </c>
      <c r="P881" s="14">
        <f t="shared" si="181"/>
        <v>87.492296334417787</v>
      </c>
      <c r="Q881" s="14">
        <f t="shared" si="179"/>
        <v>42.470650411308533</v>
      </c>
    </row>
    <row r="882" spans="1:17" x14ac:dyDescent="0.25">
      <c r="A882" s="5" t="s">
        <v>939</v>
      </c>
      <c r="B882" s="6">
        <f t="shared" si="180"/>
        <v>9</v>
      </c>
      <c r="C882" s="58">
        <v>17.026550289999999</v>
      </c>
      <c r="D882" s="4">
        <v>0</v>
      </c>
      <c r="E882" s="12">
        <f t="shared" si="169"/>
        <v>0</v>
      </c>
      <c r="F882" s="12">
        <f t="shared" si="170"/>
        <v>0</v>
      </c>
      <c r="G882" s="16">
        <f t="shared" si="172"/>
        <v>1.2500893126988779</v>
      </c>
      <c r="H882" s="14">
        <f t="shared" si="173"/>
        <v>0</v>
      </c>
      <c r="I882" s="14">
        <f t="shared" si="174"/>
        <v>6.1811535017750359</v>
      </c>
      <c r="J882" s="14">
        <f t="shared" si="175"/>
        <v>0.12107709870979817</v>
      </c>
      <c r="K882" s="14">
        <f t="shared" si="176"/>
        <v>0.74917269749917592</v>
      </c>
      <c r="L882" s="14">
        <f t="shared" si="177"/>
        <v>680.60747555439286</v>
      </c>
      <c r="M882" s="14">
        <f t="shared" si="171"/>
        <v>0.1444331982777326</v>
      </c>
      <c r="N882" s="14">
        <f t="shared" si="178"/>
        <v>3.6960856642600319</v>
      </c>
      <c r="O882" s="4">
        <v>10.0235</v>
      </c>
      <c r="P882" s="14">
        <f t="shared" si="181"/>
        <v>40.036172176127664</v>
      </c>
      <c r="Q882" s="14">
        <f t="shared" si="179"/>
        <v>12.179060042314266</v>
      </c>
    </row>
    <row r="883" spans="1:17" x14ac:dyDescent="0.25">
      <c r="A883" s="5" t="s">
        <v>940</v>
      </c>
      <c r="B883" s="6">
        <f t="shared" si="180"/>
        <v>9</v>
      </c>
      <c r="C883" s="58">
        <v>16.26657677</v>
      </c>
      <c r="D883" s="4">
        <v>0</v>
      </c>
      <c r="E883" s="12">
        <f t="shared" si="169"/>
        <v>0</v>
      </c>
      <c r="F883" s="12">
        <f t="shared" si="170"/>
        <v>0</v>
      </c>
      <c r="G883" s="16">
        <f t="shared" si="172"/>
        <v>1.1599017560636742</v>
      </c>
      <c r="H883" s="14">
        <f t="shared" si="173"/>
        <v>0</v>
      </c>
      <c r="I883" s="14">
        <f t="shared" si="174"/>
        <v>5.0501382598649212</v>
      </c>
      <c r="J883" s="14">
        <f t="shared" si="175"/>
        <v>9.0187556635203725E-2</v>
      </c>
      <c r="K883" s="14">
        <f t="shared" si="176"/>
        <v>0.71182643848197857</v>
      </c>
      <c r="L883" s="14">
        <f t="shared" si="177"/>
        <v>680.50038861513235</v>
      </c>
      <c r="M883" s="14">
        <f t="shared" si="171"/>
        <v>0.14440261868200729</v>
      </c>
      <c r="N883" s="14">
        <f t="shared" si="178"/>
        <v>3.6953031239110898</v>
      </c>
      <c r="O883" s="4">
        <v>9.6199999999999992</v>
      </c>
      <c r="P883" s="14">
        <f t="shared" si="181"/>
        <v>35.102033073537676</v>
      </c>
      <c r="Q883" s="14">
        <f t="shared" si="179"/>
        <v>9.5255625306763232</v>
      </c>
    </row>
    <row r="884" spans="1:17" x14ac:dyDescent="0.25">
      <c r="A884" s="5" t="s">
        <v>941</v>
      </c>
      <c r="B884" s="6">
        <f t="shared" si="180"/>
        <v>9</v>
      </c>
      <c r="C884" s="58">
        <v>16.125936509999999</v>
      </c>
      <c r="D884" s="4">
        <v>0</v>
      </c>
      <c r="E884" s="12">
        <f t="shared" si="169"/>
        <v>0</v>
      </c>
      <c r="F884" s="12">
        <f t="shared" si="170"/>
        <v>0</v>
      </c>
      <c r="G884" s="16">
        <f t="shared" si="172"/>
        <v>1.0796889631697286</v>
      </c>
      <c r="H884" s="14">
        <f t="shared" si="173"/>
        <v>0</v>
      </c>
      <c r="I884" s="14">
        <f t="shared" si="174"/>
        <v>4.8408332334395237</v>
      </c>
      <c r="J884" s="14">
        <f t="shared" si="175"/>
        <v>8.0212792893945617E-2</v>
      </c>
      <c r="K884" s="14">
        <f t="shared" si="176"/>
        <v>0.67634189047912463</v>
      </c>
      <c r="L884" s="14">
        <f t="shared" si="177"/>
        <v>680.39147054445323</v>
      </c>
      <c r="M884" s="14">
        <f t="shared" si="171"/>
        <v>0.14437204370683215</v>
      </c>
      <c r="N884" s="14">
        <f t="shared" si="178"/>
        <v>3.6945207018033086</v>
      </c>
      <c r="O884" s="4">
        <v>6.1989999999999998</v>
      </c>
      <c r="P884" s="14">
        <f t="shared" si="181"/>
        <v>6.2724165550957913</v>
      </c>
      <c r="Q884" s="14">
        <f t="shared" si="179"/>
        <v>0.11198994935445673</v>
      </c>
    </row>
    <row r="885" spans="1:17" x14ac:dyDescent="0.25">
      <c r="A885" s="5" t="s">
        <v>942</v>
      </c>
      <c r="B885" s="6">
        <f t="shared" si="180"/>
        <v>9</v>
      </c>
      <c r="C885" s="58">
        <v>16.848182680000001</v>
      </c>
      <c r="D885" s="4">
        <v>0</v>
      </c>
      <c r="E885" s="12">
        <f t="shared" si="169"/>
        <v>0</v>
      </c>
      <c r="F885" s="12">
        <f t="shared" si="170"/>
        <v>0</v>
      </c>
      <c r="G885" s="16">
        <f t="shared" si="172"/>
        <v>0.98844435193755675</v>
      </c>
      <c r="H885" s="14">
        <f t="shared" si="173"/>
        <v>0</v>
      </c>
      <c r="I885" s="14">
        <f t="shared" si="174"/>
        <v>5.9157015086936484</v>
      </c>
      <c r="J885" s="14">
        <f t="shared" si="175"/>
        <v>9.1244611232171868E-2</v>
      </c>
      <c r="K885" s="14">
        <f t="shared" si="176"/>
        <v>0.64262624719643258</v>
      </c>
      <c r="L885" s="14">
        <f t="shared" si="177"/>
        <v>680.28081414402914</v>
      </c>
      <c r="M885" s="14">
        <f t="shared" si="171"/>
        <v>0.14434147344403397</v>
      </c>
      <c r="N885" s="14">
        <f t="shared" si="178"/>
        <v>3.6937384002865636</v>
      </c>
      <c r="O885" s="4">
        <v>5.2329999999999997</v>
      </c>
      <c r="P885" s="14">
        <f t="shared" si="181"/>
        <v>2.369326272352366</v>
      </c>
      <c r="Q885" s="14">
        <f t="shared" si="179"/>
        <v>1.6916878062510001</v>
      </c>
    </row>
    <row r="886" spans="1:17" x14ac:dyDescent="0.25">
      <c r="A886" s="5" t="s">
        <v>943</v>
      </c>
      <c r="B886" s="6">
        <f t="shared" si="180"/>
        <v>9</v>
      </c>
      <c r="C886" s="58">
        <v>17.216745379999999</v>
      </c>
      <c r="D886" s="4">
        <v>0</v>
      </c>
      <c r="E886" s="12">
        <f t="shared" si="169"/>
        <v>0</v>
      </c>
      <c r="F886" s="12">
        <f t="shared" si="170"/>
        <v>0</v>
      </c>
      <c r="G886" s="16">
        <f t="shared" si="172"/>
        <v>0.89716557256586671</v>
      </c>
      <c r="H886" s="14">
        <f t="shared" si="173"/>
        <v>0</v>
      </c>
      <c r="I886" s="14">
        <f t="shared" si="174"/>
        <v>6.4642075030861159</v>
      </c>
      <c r="J886" s="14">
        <f t="shared" si="175"/>
        <v>9.127877937169003E-2</v>
      </c>
      <c r="K886" s="14">
        <f t="shared" si="176"/>
        <v>0.61059132873349187</v>
      </c>
      <c r="L886" s="14">
        <f t="shared" si="177"/>
        <v>680.16850758904798</v>
      </c>
      <c r="M886" s="14">
        <f t="shared" si="171"/>
        <v>0.14431090798079368</v>
      </c>
      <c r="N886" s="14">
        <f t="shared" si="178"/>
        <v>3.6929562215918379</v>
      </c>
      <c r="O886" s="4">
        <v>4.9425999999999997</v>
      </c>
      <c r="P886" s="14">
        <f t="shared" si="181"/>
        <v>1.561609572914227</v>
      </c>
      <c r="Q886" s="14">
        <f t="shared" si="179"/>
        <v>2.5314369021130667</v>
      </c>
    </row>
    <row r="887" spans="1:17" x14ac:dyDescent="0.25">
      <c r="A887" s="5" t="s">
        <v>944</v>
      </c>
      <c r="B887" s="6">
        <f t="shared" si="180"/>
        <v>9</v>
      </c>
      <c r="C887" s="58">
        <v>15.46901321</v>
      </c>
      <c r="D887" s="4">
        <v>1.2</v>
      </c>
      <c r="E887" s="12">
        <f t="shared" si="169"/>
        <v>0</v>
      </c>
      <c r="F887" s="12">
        <f t="shared" si="170"/>
        <v>1.2</v>
      </c>
      <c r="G887" s="16">
        <f t="shared" si="172"/>
        <v>2.0007787603154674</v>
      </c>
      <c r="H887" s="14">
        <f t="shared" si="173"/>
        <v>4.687373718605737E-2</v>
      </c>
      <c r="I887" s="14">
        <f t="shared" si="174"/>
        <v>3.8631804001330541</v>
      </c>
      <c r="J887" s="14">
        <f t="shared" si="175"/>
        <v>4.9513075064342091E-2</v>
      </c>
      <c r="K887" s="14">
        <f t="shared" si="176"/>
        <v>0.62702708814399</v>
      </c>
      <c r="L887" s="14">
        <f t="shared" si="177"/>
        <v>680.0546346588427</v>
      </c>
      <c r="M887" s="14">
        <f t="shared" si="171"/>
        <v>0.14429023681855233</v>
      </c>
      <c r="N887" s="14">
        <f t="shared" si="178"/>
        <v>3.6924272408080929</v>
      </c>
      <c r="O887" s="4">
        <v>5.3098999999999998</v>
      </c>
      <c r="P887" s="14">
        <f t="shared" si="181"/>
        <v>2.6162181267278806</v>
      </c>
      <c r="Q887" s="14">
        <f t="shared" si="179"/>
        <v>1.4975616009349084</v>
      </c>
    </row>
    <row r="888" spans="1:17" x14ac:dyDescent="0.25">
      <c r="A888" s="5" t="s">
        <v>945</v>
      </c>
      <c r="B888" s="6">
        <f t="shared" si="180"/>
        <v>10</v>
      </c>
      <c r="C888" s="58">
        <v>13.643279079999999</v>
      </c>
      <c r="D888" s="4">
        <v>0</v>
      </c>
      <c r="E888" s="12">
        <f t="shared" si="169"/>
        <v>0</v>
      </c>
      <c r="F888" s="12">
        <f t="shared" si="170"/>
        <v>0</v>
      </c>
      <c r="G888" s="16">
        <f t="shared" si="172"/>
        <v>1.9573066527875682</v>
      </c>
      <c r="H888" s="14">
        <f t="shared" si="173"/>
        <v>0</v>
      </c>
      <c r="I888" s="14">
        <f t="shared" si="174"/>
        <v>1.5209303146869864</v>
      </c>
      <c r="J888" s="14">
        <f t="shared" si="175"/>
        <v>4.3472107527899227E-2</v>
      </c>
      <c r="K888" s="14">
        <f t="shared" si="176"/>
        <v>0.59576978776078937</v>
      </c>
      <c r="L888" s="14">
        <f t="shared" si="177"/>
        <v>679.94160172240731</v>
      </c>
      <c r="M888" s="14">
        <f t="shared" si="171"/>
        <v>0.14425968143883119</v>
      </c>
      <c r="N888" s="14">
        <f t="shared" si="178"/>
        <v>3.6916453201534232</v>
      </c>
      <c r="O888" s="4">
        <v>10.081200000000001</v>
      </c>
      <c r="P888" s="14">
        <f t="shared" si="181"/>
        <v>40.826409006749302</v>
      </c>
      <c r="Q888" s="14">
        <f t="shared" si="179"/>
        <v>12.585118138377489</v>
      </c>
    </row>
    <row r="889" spans="1:17" x14ac:dyDescent="0.25">
      <c r="A889" s="5" t="s">
        <v>946</v>
      </c>
      <c r="B889" s="6">
        <f t="shared" si="180"/>
        <v>10</v>
      </c>
      <c r="C889" s="58">
        <v>16.586423870000001</v>
      </c>
      <c r="D889" s="4">
        <v>0</v>
      </c>
      <c r="E889" s="12">
        <f t="shared" si="169"/>
        <v>0</v>
      </c>
      <c r="F889" s="12">
        <f t="shared" si="170"/>
        <v>0</v>
      </c>
      <c r="G889" s="16">
        <f t="shared" si="172"/>
        <v>1.7987610829582146</v>
      </c>
      <c r="H889" s="14">
        <f t="shared" si="173"/>
        <v>0</v>
      </c>
      <c r="I889" s="14">
        <f t="shared" si="174"/>
        <v>5.6701288527919322</v>
      </c>
      <c r="J889" s="14">
        <f t="shared" si="175"/>
        <v>0.15854556982935356</v>
      </c>
      <c r="K889" s="14">
        <f t="shared" si="176"/>
        <v>0.56607066380364646</v>
      </c>
      <c r="L889" s="14">
        <f t="shared" si="177"/>
        <v>679.82704116492562</v>
      </c>
      <c r="M889" s="14">
        <f t="shared" si="171"/>
        <v>0.14422913097806153</v>
      </c>
      <c r="N889" s="14">
        <f t="shared" si="178"/>
        <v>3.6908635253760886</v>
      </c>
      <c r="O889" s="4">
        <v>11.436199999999999</v>
      </c>
      <c r="P889" s="14">
        <f t="shared" si="181"/>
        <v>59.990237105139549</v>
      </c>
      <c r="Q889" s="14">
        <f t="shared" si="179"/>
        <v>24.035006363952203</v>
      </c>
    </row>
    <row r="890" spans="1:17" x14ac:dyDescent="0.25">
      <c r="A890" s="5" t="s">
        <v>947</v>
      </c>
      <c r="B890" s="6">
        <f t="shared" si="180"/>
        <v>10</v>
      </c>
      <c r="C890" s="58">
        <v>16.645481109999999</v>
      </c>
      <c r="D890" s="4">
        <v>0</v>
      </c>
      <c r="E890" s="12">
        <f t="shared" si="169"/>
        <v>0</v>
      </c>
      <c r="F890" s="12">
        <f t="shared" si="170"/>
        <v>0</v>
      </c>
      <c r="G890" s="16">
        <f t="shared" si="172"/>
        <v>1.6509185595187621</v>
      </c>
      <c r="H890" s="14">
        <f t="shared" si="173"/>
        <v>0</v>
      </c>
      <c r="I890" s="14">
        <f t="shared" si="174"/>
        <v>5.7533868069045129</v>
      </c>
      <c r="J890" s="14">
        <f t="shared" si="175"/>
        <v>0.14784252343945251</v>
      </c>
      <c r="K890" s="14">
        <f t="shared" si="176"/>
        <v>0.53785204117762497</v>
      </c>
      <c r="L890" s="14">
        <f t="shared" si="177"/>
        <v>679.71103065657348</v>
      </c>
      <c r="M890" s="14">
        <f t="shared" si="171"/>
        <v>0.14419858551287557</v>
      </c>
      <c r="N890" s="14">
        <f t="shared" si="178"/>
        <v>3.6900818584371282</v>
      </c>
      <c r="O890" s="4">
        <v>13.886699999999999</v>
      </c>
      <c r="P890" s="14">
        <f t="shared" si="181"/>
        <v>103.97102152484905</v>
      </c>
      <c r="Q890" s="14">
        <f t="shared" si="179"/>
        <v>54.067359093118888</v>
      </c>
    </row>
    <row r="891" spans="1:17" x14ac:dyDescent="0.25">
      <c r="A891" s="5" t="s">
        <v>948</v>
      </c>
      <c r="B891" s="6">
        <f t="shared" si="180"/>
        <v>10</v>
      </c>
      <c r="C891" s="58">
        <v>16.495931630000001</v>
      </c>
      <c r="D891" s="4">
        <v>0</v>
      </c>
      <c r="E891" s="12">
        <f t="shared" si="169"/>
        <v>0</v>
      </c>
      <c r="F891" s="12">
        <f t="shared" si="170"/>
        <v>0</v>
      </c>
      <c r="G891" s="16">
        <f t="shared" si="172"/>
        <v>1.5201997993431264</v>
      </c>
      <c r="H891" s="14">
        <f t="shared" si="173"/>
        <v>0</v>
      </c>
      <c r="I891" s="14">
        <f t="shared" si="174"/>
        <v>5.5425543375341082</v>
      </c>
      <c r="J891" s="14">
        <f t="shared" si="175"/>
        <v>0.13071876017563558</v>
      </c>
      <c r="K891" s="14">
        <f t="shared" si="176"/>
        <v>0.51104011689127582</v>
      </c>
      <c r="L891" s="14">
        <f t="shared" si="177"/>
        <v>679.59364399534695</v>
      </c>
      <c r="M891" s="14">
        <f t="shared" si="171"/>
        <v>0.14416804511601747</v>
      </c>
      <c r="N891" s="14">
        <f t="shared" si="178"/>
        <v>3.6893003211980857</v>
      </c>
      <c r="O891" s="4">
        <v>13.411</v>
      </c>
      <c r="P891" s="14">
        <f t="shared" si="181"/>
        <v>94.511444644817232</v>
      </c>
      <c r="Q891" s="14">
        <f t="shared" si="179"/>
        <v>47.297956856251069</v>
      </c>
    </row>
    <row r="892" spans="1:17" x14ac:dyDescent="0.25">
      <c r="A892" s="5" t="s">
        <v>949</v>
      </c>
      <c r="B892" s="6">
        <f t="shared" si="180"/>
        <v>10</v>
      </c>
      <c r="C892" s="58">
        <v>17.197731019999999</v>
      </c>
      <c r="D892" s="4">
        <v>0</v>
      </c>
      <c r="E892" s="12">
        <f t="shared" si="169"/>
        <v>0</v>
      </c>
      <c r="F892" s="12">
        <f t="shared" si="170"/>
        <v>0</v>
      </c>
      <c r="G892" s="16">
        <f t="shared" si="172"/>
        <v>1.3783446312777659</v>
      </c>
      <c r="H892" s="14">
        <f t="shared" si="173"/>
        <v>0</v>
      </c>
      <c r="I892" s="14">
        <f t="shared" si="174"/>
        <v>6.5319399134408007</v>
      </c>
      <c r="J892" s="14">
        <f t="shared" si="175"/>
        <v>0.14185516806536064</v>
      </c>
      <c r="K892" s="14">
        <f t="shared" si="176"/>
        <v>0.4855647670322783</v>
      </c>
      <c r="L892" s="14">
        <f t="shared" si="177"/>
        <v>679.47495130008986</v>
      </c>
      <c r="M892" s="14">
        <f t="shared" si="171"/>
        <v>0.14413750985653664</v>
      </c>
      <c r="N892" s="14">
        <f t="shared" si="178"/>
        <v>3.6885189154259548</v>
      </c>
      <c r="O892" s="4">
        <v>12.517300000000001</v>
      </c>
      <c r="P892" s="14">
        <f t="shared" si="181"/>
        <v>77.947375439332475</v>
      </c>
      <c r="Q892" s="14">
        <f t="shared" si="179"/>
        <v>35.804079358578662</v>
      </c>
    </row>
    <row r="893" spans="1:17" x14ac:dyDescent="0.25">
      <c r="A893" s="5" t="s">
        <v>950</v>
      </c>
      <c r="B893" s="6">
        <f t="shared" si="180"/>
        <v>10</v>
      </c>
      <c r="C893" s="58">
        <v>17.038986210000001</v>
      </c>
      <c r="D893" s="4">
        <v>0</v>
      </c>
      <c r="E893" s="12">
        <f t="shared" si="169"/>
        <v>0</v>
      </c>
      <c r="F893" s="12">
        <f t="shared" si="170"/>
        <v>0</v>
      </c>
      <c r="G893" s="16">
        <f t="shared" si="172"/>
        <v>1.2541331533152524</v>
      </c>
      <c r="H893" s="14">
        <f t="shared" si="173"/>
        <v>0</v>
      </c>
      <c r="I893" s="14">
        <f t="shared" si="174"/>
        <v>6.3081440146383709</v>
      </c>
      <c r="J893" s="14">
        <f t="shared" si="175"/>
        <v>0.12421147796251343</v>
      </c>
      <c r="K893" s="14">
        <f t="shared" si="176"/>
        <v>0.46135936336534539</v>
      </c>
      <c r="L893" s="14">
        <f t="shared" si="177"/>
        <v>679.35501919390026</v>
      </c>
      <c r="M893" s="14">
        <f t="shared" si="171"/>
        <v>0.14410697979997245</v>
      </c>
      <c r="N893" s="14">
        <f t="shared" si="178"/>
        <v>3.6877376427979058</v>
      </c>
      <c r="O893" s="4">
        <v>12.2277</v>
      </c>
      <c r="P893" s="14">
        <f t="shared" si="181"/>
        <v>72.93095706242876</v>
      </c>
      <c r="Q893" s="14">
        <f t="shared" si="179"/>
        <v>32.422216856049921</v>
      </c>
    </row>
    <row r="894" spans="1:17" x14ac:dyDescent="0.25">
      <c r="A894" s="5" t="s">
        <v>951</v>
      </c>
      <c r="B894" s="6">
        <f t="shared" si="180"/>
        <v>10</v>
      </c>
      <c r="C894" s="58">
        <v>16.52380943</v>
      </c>
      <c r="D894" s="4">
        <v>0</v>
      </c>
      <c r="E894" s="12">
        <f t="shared" si="169"/>
        <v>0</v>
      </c>
      <c r="F894" s="12">
        <f t="shared" si="170"/>
        <v>0</v>
      </c>
      <c r="G894" s="16">
        <f t="shared" si="172"/>
        <v>1.1541274913368664</v>
      </c>
      <c r="H894" s="14">
        <f t="shared" si="173"/>
        <v>0</v>
      </c>
      <c r="I894" s="14">
        <f t="shared" si="174"/>
        <v>5.5818560149094765</v>
      </c>
      <c r="J894" s="14">
        <f t="shared" si="175"/>
        <v>0.10000566197838598</v>
      </c>
      <c r="K894" s="14">
        <f t="shared" si="176"/>
        <v>0.43836059907272323</v>
      </c>
      <c r="L894" s="14">
        <f t="shared" si="177"/>
        <v>679.23391097839283</v>
      </c>
      <c r="M894" s="14">
        <f t="shared" si="171"/>
        <v>0.14407645500852864</v>
      </c>
      <c r="N894" s="14">
        <f t="shared" si="178"/>
        <v>3.6869565049057504</v>
      </c>
      <c r="O894" s="4">
        <v>13.6128</v>
      </c>
      <c r="P894" s="14">
        <f t="shared" si="181"/>
        <v>98.522369089104814</v>
      </c>
      <c r="Q894" s="14">
        <f t="shared" si="179"/>
        <v>50.114378962170619</v>
      </c>
    </row>
    <row r="895" spans="1:17" x14ac:dyDescent="0.25">
      <c r="A895" s="5" t="s">
        <v>952</v>
      </c>
      <c r="B895" s="6">
        <f t="shared" si="180"/>
        <v>10</v>
      </c>
      <c r="C895" s="58">
        <v>16.510353089999999</v>
      </c>
      <c r="D895" s="4">
        <v>0</v>
      </c>
      <c r="E895" s="12">
        <f t="shared" si="169"/>
        <v>0</v>
      </c>
      <c r="F895" s="12">
        <f t="shared" si="170"/>
        <v>0</v>
      </c>
      <c r="G895" s="16">
        <f t="shared" si="172"/>
        <v>1.0624091449058888</v>
      </c>
      <c r="H895" s="14">
        <f t="shared" si="173"/>
        <v>0</v>
      </c>
      <c r="I895" s="14">
        <f t="shared" si="174"/>
        <v>5.5628854816057967</v>
      </c>
      <c r="J895" s="14">
        <f t="shared" si="175"/>
        <v>9.1718346430977676E-2</v>
      </c>
      <c r="K895" s="14">
        <f t="shared" si="176"/>
        <v>0.41650832318152692</v>
      </c>
      <c r="L895" s="14">
        <f t="shared" si="177"/>
        <v>679.1116867992755</v>
      </c>
      <c r="M895" s="14">
        <f t="shared" si="171"/>
        <v>0.14404593554124021</v>
      </c>
      <c r="N895" s="14">
        <f t="shared" si="178"/>
        <v>3.6861755032602095</v>
      </c>
      <c r="O895" s="4">
        <v>14.3912</v>
      </c>
      <c r="P895" s="14">
        <f t="shared" si="181"/>
        <v>114.597549475799</v>
      </c>
      <c r="Q895" s="14">
        <f t="shared" si="179"/>
        <v>61.741107807917743</v>
      </c>
    </row>
    <row r="896" spans="1:17" x14ac:dyDescent="0.25">
      <c r="A896" s="5" t="s">
        <v>953</v>
      </c>
      <c r="B896" s="6">
        <f t="shared" si="180"/>
        <v>10</v>
      </c>
      <c r="C896" s="58">
        <v>16.58750534</v>
      </c>
      <c r="D896" s="4">
        <v>0.9</v>
      </c>
      <c r="E896" s="12">
        <f t="shared" si="169"/>
        <v>0</v>
      </c>
      <c r="F896" s="12">
        <f t="shared" si="170"/>
        <v>0.9</v>
      </c>
      <c r="G896" s="16">
        <f t="shared" si="172"/>
        <v>1.8378679846462294</v>
      </c>
      <c r="H896" s="14">
        <f t="shared" si="173"/>
        <v>3.8460854509007006E-2</v>
      </c>
      <c r="I896" s="14">
        <f t="shared" si="174"/>
        <v>5.6716534919324344</v>
      </c>
      <c r="J896" s="14">
        <f t="shared" si="175"/>
        <v>8.6080305750652272E-2</v>
      </c>
      <c r="K896" s="14">
        <f t="shared" si="176"/>
        <v>0.43420623775388068</v>
      </c>
      <c r="L896" s="14">
        <f t="shared" si="177"/>
        <v>678.98840380367096</v>
      </c>
      <c r="M896" s="14">
        <f t="shared" si="171"/>
        <v>0.14402353592324826</v>
      </c>
      <c r="N896" s="14">
        <f t="shared" si="178"/>
        <v>3.6856022908136801</v>
      </c>
      <c r="O896" s="4">
        <v>12.709099999999999</v>
      </c>
      <c r="P896" s="14">
        <f t="shared" si="181"/>
        <v>81.423510907690755</v>
      </c>
      <c r="Q896" s="14">
        <f t="shared" si="179"/>
        <v>38.136195124383249</v>
      </c>
    </row>
    <row r="897" spans="1:17" x14ac:dyDescent="0.25">
      <c r="A897" s="5" t="s">
        <v>954</v>
      </c>
      <c r="B897" s="6">
        <f t="shared" si="180"/>
        <v>10</v>
      </c>
      <c r="C897" s="58">
        <v>15.25893402</v>
      </c>
      <c r="D897" s="4">
        <v>0.3</v>
      </c>
      <c r="E897" s="12">
        <f t="shared" si="169"/>
        <v>0</v>
      </c>
      <c r="F897" s="12">
        <f t="shared" si="170"/>
        <v>0.3</v>
      </c>
      <c r="G897" s="16">
        <f t="shared" si="172"/>
        <v>2.0209768759465914</v>
      </c>
      <c r="H897" s="14">
        <f t="shared" si="173"/>
        <v>1.7156368966069455E-2</v>
      </c>
      <c r="I897" s="14">
        <f t="shared" si="174"/>
        <v>3.7986548554256125</v>
      </c>
      <c r="J897" s="14">
        <f t="shared" si="175"/>
        <v>9.9734739733568292E-2</v>
      </c>
      <c r="K897" s="14">
        <f t="shared" si="176"/>
        <v>0.429717425740758</v>
      </c>
      <c r="L897" s="14">
        <f t="shared" si="177"/>
        <v>678.86602544872699</v>
      </c>
      <c r="M897" s="14">
        <f t="shared" si="171"/>
        <v>0.14399664711649698</v>
      </c>
      <c r="N897" s="14">
        <f t="shared" si="178"/>
        <v>3.6849141987798011</v>
      </c>
      <c r="O897" s="4">
        <v>12.0128</v>
      </c>
      <c r="P897" s="14">
        <f t="shared" si="181"/>
        <v>69.353681918165009</v>
      </c>
      <c r="Q897" s="14">
        <f t="shared" si="179"/>
        <v>30.021095743779803</v>
      </c>
    </row>
    <row r="898" spans="1:17" x14ac:dyDescent="0.25">
      <c r="A898" s="5" t="s">
        <v>955</v>
      </c>
      <c r="B898" s="6">
        <f t="shared" si="180"/>
        <v>10</v>
      </c>
      <c r="C898" s="58">
        <v>15.746083260000001</v>
      </c>
      <c r="D898" s="4">
        <v>0</v>
      </c>
      <c r="E898" s="12">
        <f t="shared" si="169"/>
        <v>0</v>
      </c>
      <c r="F898" s="12">
        <f t="shared" si="170"/>
        <v>0</v>
      </c>
      <c r="G898" s="16">
        <f t="shared" si="172"/>
        <v>1.8914774790307136</v>
      </c>
      <c r="H898" s="14">
        <f t="shared" si="173"/>
        <v>0</v>
      </c>
      <c r="I898" s="14">
        <f t="shared" si="174"/>
        <v>4.4854300767177122</v>
      </c>
      <c r="J898" s="14">
        <f t="shared" si="175"/>
        <v>0.12949939691587772</v>
      </c>
      <c r="K898" s="14">
        <f t="shared" si="176"/>
        <v>0.40829601204070082</v>
      </c>
      <c r="L898" s="14">
        <f t="shared" si="177"/>
        <v>678.74345021531053</v>
      </c>
      <c r="M898" s="14">
        <f t="shared" si="171"/>
        <v>0.14396614413601919</v>
      </c>
      <c r="N898" s="14">
        <f t="shared" si="178"/>
        <v>3.6841336190363245</v>
      </c>
      <c r="O898" s="4">
        <v>9.5335000000000001</v>
      </c>
      <c r="P898" s="14">
        <f t="shared" si="181"/>
        <v>34.21508705874809</v>
      </c>
      <c r="Q898" s="14">
        <f t="shared" si="179"/>
        <v>8.9991060566820753</v>
      </c>
    </row>
    <row r="899" spans="1:17" x14ac:dyDescent="0.25">
      <c r="A899" s="5" t="s">
        <v>956</v>
      </c>
      <c r="B899" s="6">
        <f t="shared" si="180"/>
        <v>10</v>
      </c>
      <c r="C899" s="58">
        <v>15.05336571</v>
      </c>
      <c r="D899" s="4">
        <v>0</v>
      </c>
      <c r="E899" s="12">
        <f t="shared" si="169"/>
        <v>0</v>
      </c>
      <c r="F899" s="12">
        <f t="shared" si="170"/>
        <v>0</v>
      </c>
      <c r="G899" s="16">
        <f t="shared" si="172"/>
        <v>1.7966644475471114</v>
      </c>
      <c r="H899" s="14">
        <f t="shared" si="173"/>
        <v>0</v>
      </c>
      <c r="I899" s="14">
        <f t="shared" si="174"/>
        <v>3.5088479338528873</v>
      </c>
      <c r="J899" s="14">
        <f t="shared" si="175"/>
        <v>9.4813031483602109E-2</v>
      </c>
      <c r="K899" s="14">
        <f t="shared" si="176"/>
        <v>0.38794245581493148</v>
      </c>
      <c r="L899" s="14">
        <f t="shared" si="177"/>
        <v>678.61983762740022</v>
      </c>
      <c r="M899" s="14">
        <f t="shared" si="171"/>
        <v>0.14393564655370417</v>
      </c>
      <c r="N899" s="14">
        <f t="shared" si="178"/>
        <v>3.6833531774333323</v>
      </c>
      <c r="O899" s="4">
        <v>9.4182000000000006</v>
      </c>
      <c r="P899" s="14">
        <f t="shared" si="181"/>
        <v>32.888468078303013</v>
      </c>
      <c r="Q899" s="14">
        <f t="shared" si="179"/>
        <v>8.3206345047567893</v>
      </c>
    </row>
    <row r="900" spans="1:17" x14ac:dyDescent="0.25">
      <c r="A900" s="5" t="s">
        <v>957</v>
      </c>
      <c r="B900" s="6">
        <f t="shared" si="180"/>
        <v>10</v>
      </c>
      <c r="C900" s="58">
        <v>12.991519930000001</v>
      </c>
      <c r="D900" s="4">
        <v>0</v>
      </c>
      <c r="E900" s="12">
        <f t="shared" si="169"/>
        <v>0</v>
      </c>
      <c r="F900" s="12">
        <f t="shared" si="170"/>
        <v>0</v>
      </c>
      <c r="G900" s="16">
        <f t="shared" si="172"/>
        <v>1.7812107936184836</v>
      </c>
      <c r="H900" s="14">
        <f t="shared" si="173"/>
        <v>0</v>
      </c>
      <c r="I900" s="14">
        <f t="shared" si="174"/>
        <v>0.60209067024784424</v>
      </c>
      <c r="J900" s="14">
        <f t="shared" si="175"/>
        <v>1.5453653928627905E-2</v>
      </c>
      <c r="K900" s="14">
        <f t="shared" si="176"/>
        <v>0.36860352436828997</v>
      </c>
      <c r="L900" s="14">
        <f t="shared" si="177"/>
        <v>678.49524091229318</v>
      </c>
      <c r="M900" s="14">
        <f t="shared" si="171"/>
        <v>0.14390515442164037</v>
      </c>
      <c r="N900" s="14">
        <f t="shared" si="178"/>
        <v>3.6825728753037832</v>
      </c>
      <c r="O900" s="4">
        <v>7.5115999999999996</v>
      </c>
      <c r="P900" s="14">
        <f t="shared" si="181"/>
        <v>14.661448721659374</v>
      </c>
      <c r="Q900" s="14">
        <f t="shared" si="179"/>
        <v>0.9563881696418246</v>
      </c>
    </row>
    <row r="901" spans="1:17" x14ac:dyDescent="0.25">
      <c r="A901" s="5" t="s">
        <v>958</v>
      </c>
      <c r="B901" s="6">
        <f t="shared" si="180"/>
        <v>10</v>
      </c>
      <c r="C901" s="58">
        <v>15.296921729999999</v>
      </c>
      <c r="D901" s="4">
        <v>0</v>
      </c>
      <c r="E901" s="12">
        <f t="shared" si="169"/>
        <v>0</v>
      </c>
      <c r="F901" s="12">
        <f t="shared" si="170"/>
        <v>0</v>
      </c>
      <c r="G901" s="16">
        <f t="shared" si="172"/>
        <v>1.6831879026810963</v>
      </c>
      <c r="H901" s="14">
        <f t="shared" si="173"/>
        <v>0</v>
      </c>
      <c r="I901" s="14">
        <f t="shared" si="174"/>
        <v>3.8522093225158822</v>
      </c>
      <c r="J901" s="14">
        <f t="shared" si="175"/>
        <v>9.8022890937387322E-2</v>
      </c>
      <c r="K901" s="14">
        <f t="shared" si="176"/>
        <v>0.35022863865547321</v>
      </c>
      <c r="L901" s="14">
        <f t="shared" si="177"/>
        <v>678.36971064358431</v>
      </c>
      <c r="M901" s="14">
        <f t="shared" si="171"/>
        <v>0.14387466778925137</v>
      </c>
      <c r="N901" s="14">
        <f t="shared" si="178"/>
        <v>3.6817927139124396</v>
      </c>
      <c r="O901" s="4">
        <v>8.0123999999999995</v>
      </c>
      <c r="P901" s="14">
        <f t="shared" si="181"/>
        <v>18.754159466314658</v>
      </c>
      <c r="Q901" s="14">
        <f t="shared" si="179"/>
        <v>2.1867045369981506</v>
      </c>
    </row>
    <row r="902" spans="1:17" x14ac:dyDescent="0.25">
      <c r="A902" s="5" t="s">
        <v>959</v>
      </c>
      <c r="B902" s="6">
        <f t="shared" si="180"/>
        <v>10</v>
      </c>
      <c r="C902" s="58">
        <v>14.112867359999999</v>
      </c>
      <c r="D902" s="4">
        <v>0</v>
      </c>
      <c r="E902" s="12">
        <f t="shared" si="169"/>
        <v>0</v>
      </c>
      <c r="F902" s="12">
        <f t="shared" si="170"/>
        <v>0</v>
      </c>
      <c r="G902" s="16">
        <f t="shared" si="172"/>
        <v>1.6306976846233214</v>
      </c>
      <c r="H902" s="14">
        <f t="shared" si="173"/>
        <v>0</v>
      </c>
      <c r="I902" s="14">
        <f t="shared" si="174"/>
        <v>2.1829483749290088</v>
      </c>
      <c r="J902" s="14">
        <f t="shared" si="175"/>
        <v>5.2490218057774894E-2</v>
      </c>
      <c r="K902" s="14">
        <f t="shared" si="176"/>
        <v>0.33276974099658979</v>
      </c>
      <c r="L902" s="14">
        <f t="shared" si="177"/>
        <v>678.24329487345403</v>
      </c>
      <c r="M902" s="14">
        <f t="shared" si="171"/>
        <v>0.14384418670342913</v>
      </c>
      <c r="N902" s="14">
        <f t="shared" si="178"/>
        <v>3.6810126944592803</v>
      </c>
      <c r="O902" s="4">
        <v>7.7736999999999998</v>
      </c>
      <c r="P902" s="14">
        <f t="shared" si="181"/>
        <v>16.750089380934156</v>
      </c>
      <c r="Q902" s="14">
        <f t="shared" si="179"/>
        <v>1.537726496854471</v>
      </c>
    </row>
    <row r="903" spans="1:17" x14ac:dyDescent="0.25">
      <c r="A903" s="5" t="s">
        <v>960</v>
      </c>
      <c r="B903" s="6">
        <f t="shared" si="180"/>
        <v>10</v>
      </c>
      <c r="C903" s="58">
        <v>16.541902539999999</v>
      </c>
      <c r="D903" s="4">
        <v>0</v>
      </c>
      <c r="E903" s="12">
        <f t="shared" si="169"/>
        <v>0</v>
      </c>
      <c r="F903" s="12">
        <f t="shared" si="170"/>
        <v>0</v>
      </c>
      <c r="G903" s="16">
        <f t="shared" si="172"/>
        <v>1.5000702291204151</v>
      </c>
      <c r="H903" s="14">
        <f t="shared" si="173"/>
        <v>0</v>
      </c>
      <c r="I903" s="14">
        <f t="shared" si="174"/>
        <v>5.60736339253386</v>
      </c>
      <c r="J903" s="14">
        <f t="shared" si="175"/>
        <v>0.13062745550290639</v>
      </c>
      <c r="K903" s="14">
        <f t="shared" si="176"/>
        <v>0.31618116938709384</v>
      </c>
      <c r="L903" s="14">
        <f t="shared" si="177"/>
        <v>678.11603925836016</v>
      </c>
      <c r="M903" s="14">
        <f t="shared" si="171"/>
        <v>0.14381371120865985</v>
      </c>
      <c r="N903" s="14">
        <f t="shared" si="178"/>
        <v>3.6802328180827191</v>
      </c>
      <c r="O903" s="4">
        <v>8.39</v>
      </c>
      <c r="P903" s="14">
        <f t="shared" si="181"/>
        <v>22.181906907865052</v>
      </c>
      <c r="Q903" s="14">
        <f t="shared" si="179"/>
        <v>3.4460390565383876</v>
      </c>
    </row>
    <row r="904" spans="1:17" x14ac:dyDescent="0.25">
      <c r="A904" s="5" t="s">
        <v>961</v>
      </c>
      <c r="B904" s="6">
        <f t="shared" si="180"/>
        <v>10</v>
      </c>
      <c r="C904" s="58">
        <v>16.350055690000001</v>
      </c>
      <c r="D904" s="4">
        <v>0</v>
      </c>
      <c r="E904" s="12">
        <f t="shared" si="169"/>
        <v>0</v>
      </c>
      <c r="F904" s="12">
        <f t="shared" si="170"/>
        <v>0</v>
      </c>
      <c r="G904" s="16">
        <f t="shared" si="172"/>
        <v>1.3857026231179432</v>
      </c>
      <c r="H904" s="14">
        <f t="shared" si="173"/>
        <v>0</v>
      </c>
      <c r="I904" s="14">
        <f t="shared" si="174"/>
        <v>5.3369007662082186</v>
      </c>
      <c r="J904" s="14">
        <f t="shared" si="175"/>
        <v>0.11436760600247188</v>
      </c>
      <c r="K904" s="14">
        <f t="shared" si="176"/>
        <v>0.30041953807336891</v>
      </c>
      <c r="L904" s="14">
        <f t="shared" si="177"/>
        <v>677.98798717846523</v>
      </c>
      <c r="M904" s="14">
        <f t="shared" si="171"/>
        <v>0.1437832413471441</v>
      </c>
      <c r="N904" s="14">
        <f t="shared" si="178"/>
        <v>3.6794530858626806</v>
      </c>
      <c r="O904" s="4">
        <v>10.1533</v>
      </c>
      <c r="P904" s="14">
        <f t="shared" si="181"/>
        <v>41.910693867685282</v>
      </c>
      <c r="Q904" s="14">
        <f t="shared" si="179"/>
        <v>13.101873403406216</v>
      </c>
    </row>
    <row r="905" spans="1:17" x14ac:dyDescent="0.25">
      <c r="A905" s="5" t="s">
        <v>962</v>
      </c>
      <c r="B905" s="6">
        <f t="shared" si="180"/>
        <v>10</v>
      </c>
      <c r="C905" s="58">
        <v>16.096567149999998</v>
      </c>
      <c r="D905" s="4">
        <v>0</v>
      </c>
      <c r="E905" s="12">
        <f t="shared" si="169"/>
        <v>0</v>
      </c>
      <c r="F905" s="12">
        <f t="shared" si="170"/>
        <v>0</v>
      </c>
      <c r="G905" s="16">
        <f t="shared" si="172"/>
        <v>1.2871288717330713</v>
      </c>
      <c r="H905" s="14">
        <f t="shared" si="173"/>
        <v>0</v>
      </c>
      <c r="I905" s="14">
        <f t="shared" si="174"/>
        <v>4.9795366694203169</v>
      </c>
      <c r="J905" s="14">
        <f t="shared" si="175"/>
        <v>9.8573751384871983E-2</v>
      </c>
      <c r="K905" s="14">
        <f t="shared" si="176"/>
        <v>0.28544362408161916</v>
      </c>
      <c r="L905" s="14">
        <f t="shared" si="177"/>
        <v>677.85917985110984</v>
      </c>
      <c r="M905" s="14">
        <f t="shared" si="171"/>
        <v>0.14375277715891069</v>
      </c>
      <c r="N905" s="14">
        <f t="shared" si="178"/>
        <v>3.678673498823513</v>
      </c>
      <c r="O905" s="4">
        <v>11.378500000000001</v>
      </c>
      <c r="P905" s="14">
        <f t="shared" si="181"/>
        <v>59.28732814821975</v>
      </c>
      <c r="Q905" s="14">
        <f t="shared" si="179"/>
        <v>23.472581267888994</v>
      </c>
    </row>
    <row r="906" spans="1:17" x14ac:dyDescent="0.25">
      <c r="A906" s="5" t="s">
        <v>963</v>
      </c>
      <c r="B906" s="6">
        <f t="shared" si="180"/>
        <v>10</v>
      </c>
      <c r="C906" s="58">
        <v>16.17117691</v>
      </c>
      <c r="D906" s="4">
        <v>0</v>
      </c>
      <c r="E906" s="12">
        <f t="shared" si="169"/>
        <v>0</v>
      </c>
      <c r="F906" s="12">
        <f t="shared" si="170"/>
        <v>0</v>
      </c>
      <c r="G906" s="16">
        <f t="shared" si="172"/>
        <v>1.1936332201465136</v>
      </c>
      <c r="H906" s="14">
        <f t="shared" si="173"/>
        <v>0</v>
      </c>
      <c r="I906" s="14">
        <f t="shared" si="174"/>
        <v>5.0847203179354032</v>
      </c>
      <c r="J906" s="14">
        <f t="shared" si="175"/>
        <v>9.349565158655776E-2</v>
      </c>
      <c r="K906" s="14">
        <f t="shared" si="176"/>
        <v>0.27121425940329491</v>
      </c>
      <c r="L906" s="14">
        <f t="shared" si="177"/>
        <v>677.72965643862926</v>
      </c>
      <c r="M906" s="14">
        <f t="shared" si="171"/>
        <v>0.14372231868192503</v>
      </c>
      <c r="N906" s="14">
        <f t="shared" si="178"/>
        <v>3.6778940579367623</v>
      </c>
      <c r="O906" s="4">
        <v>14.6218</v>
      </c>
      <c r="P906" s="14">
        <f t="shared" si="181"/>
        <v>119.76907726872707</v>
      </c>
      <c r="Q906" s="14">
        <f t="shared" si="179"/>
        <v>65.418186691768355</v>
      </c>
    </row>
    <row r="907" spans="1:17" x14ac:dyDescent="0.25">
      <c r="A907" s="5" t="s">
        <v>964</v>
      </c>
      <c r="B907" s="6">
        <f t="shared" si="180"/>
        <v>10</v>
      </c>
      <c r="C907" s="58">
        <v>16.54036713</v>
      </c>
      <c r="D907" s="4">
        <v>0</v>
      </c>
      <c r="E907" s="12">
        <f t="shared" si="169"/>
        <v>0</v>
      </c>
      <c r="F907" s="12">
        <f t="shared" si="170"/>
        <v>0</v>
      </c>
      <c r="G907" s="16">
        <f t="shared" si="172"/>
        <v>1.0980538359834935</v>
      </c>
      <c r="H907" s="14">
        <f t="shared" si="173"/>
        <v>0</v>
      </c>
      <c r="I907" s="14">
        <f t="shared" si="174"/>
        <v>5.6051987960284375</v>
      </c>
      <c r="J907" s="14">
        <f t="shared" si="175"/>
        <v>9.557938416302017E-2</v>
      </c>
      <c r="K907" s="14">
        <f t="shared" si="176"/>
        <v>0.25769422855507523</v>
      </c>
      <c r="L907" s="14">
        <f t="shared" si="177"/>
        <v>677.59945415079551</v>
      </c>
      <c r="M907" s="14">
        <f t="shared" si="171"/>
        <v>0.14369186595219197</v>
      </c>
      <c r="N907" s="14">
        <f t="shared" si="178"/>
        <v>3.6771147641238011</v>
      </c>
      <c r="O907" s="4">
        <v>18.369599999999998</v>
      </c>
      <c r="P907" s="14">
        <f t="shared" si="181"/>
        <v>215.86912240644006</v>
      </c>
      <c r="Q907" s="14">
        <f t="shared" si="179"/>
        <v>140.08973621044652</v>
      </c>
    </row>
    <row r="908" spans="1:17" x14ac:dyDescent="0.25">
      <c r="A908" s="5" t="s">
        <v>965</v>
      </c>
      <c r="B908" s="6">
        <f t="shared" si="180"/>
        <v>10</v>
      </c>
      <c r="C908" s="58">
        <v>16.374691009999999</v>
      </c>
      <c r="D908" s="4">
        <v>0</v>
      </c>
      <c r="E908" s="12">
        <f t="shared" si="169"/>
        <v>0</v>
      </c>
      <c r="F908" s="12">
        <f t="shared" si="170"/>
        <v>0</v>
      </c>
      <c r="G908" s="16">
        <f t="shared" si="172"/>
        <v>1.0137917637048606</v>
      </c>
      <c r="H908" s="14">
        <f t="shared" si="173"/>
        <v>0</v>
      </c>
      <c r="I908" s="14">
        <f t="shared" si="174"/>
        <v>5.3716312470452623</v>
      </c>
      <c r="J908" s="14">
        <f t="shared" si="175"/>
        <v>8.4262072278632846E-2</v>
      </c>
      <c r="K908" s="14">
        <f t="shared" si="176"/>
        <v>0.24484817124548502</v>
      </c>
      <c r="L908" s="14">
        <f t="shared" si="177"/>
        <v>677.46860834215283</v>
      </c>
      <c r="M908" s="14">
        <f t="shared" si="171"/>
        <v>0.1436614190038534</v>
      </c>
      <c r="N908" s="14">
        <f t="shared" si="178"/>
        <v>3.676335618258332</v>
      </c>
      <c r="O908" s="4">
        <v>20.805700000000002</v>
      </c>
      <c r="P908" s="14">
        <f t="shared" si="181"/>
        <v>293.41512412248017</v>
      </c>
      <c r="Q908" s="14">
        <f t="shared" si="179"/>
        <v>203.69143991064777</v>
      </c>
    </row>
    <row r="909" spans="1:17" x14ac:dyDescent="0.25">
      <c r="A909" s="5" t="s">
        <v>966</v>
      </c>
      <c r="B909" s="6">
        <f t="shared" si="180"/>
        <v>10</v>
      </c>
      <c r="C909" s="58">
        <v>16.790460589999999</v>
      </c>
      <c r="D909" s="4">
        <v>0</v>
      </c>
      <c r="E909" s="12">
        <f t="shared" si="169"/>
        <v>0</v>
      </c>
      <c r="F909" s="12">
        <f t="shared" si="170"/>
        <v>0</v>
      </c>
      <c r="G909" s="16">
        <f t="shared" si="172"/>
        <v>0.92750676817127875</v>
      </c>
      <c r="H909" s="14">
        <f t="shared" si="173"/>
        <v>0</v>
      </c>
      <c r="I909" s="14">
        <f t="shared" si="174"/>
        <v>5.9577765632342441</v>
      </c>
      <c r="J909" s="14">
        <f t="shared" si="175"/>
        <v>8.6284995533581849E-2</v>
      </c>
      <c r="K909" s="14">
        <f t="shared" si="176"/>
        <v>0.23264248989358147</v>
      </c>
      <c r="L909" s="14">
        <f t="shared" si="177"/>
        <v>677.33715260450094</v>
      </c>
      <c r="M909" s="14">
        <f t="shared" si="171"/>
        <v>0.14363097786928147</v>
      </c>
      <c r="N909" s="14">
        <f t="shared" si="178"/>
        <v>3.6755566211687651</v>
      </c>
      <c r="O909" s="4">
        <v>20.3444</v>
      </c>
      <c r="P909" s="14">
        <f t="shared" si="181"/>
        <v>277.85033958800585</v>
      </c>
      <c r="Q909" s="14">
        <f t="shared" si="179"/>
        <v>190.73684334274543</v>
      </c>
    </row>
    <row r="910" spans="1:17" x14ac:dyDescent="0.25">
      <c r="A910" s="5" t="s">
        <v>967</v>
      </c>
      <c r="B910" s="6">
        <f t="shared" si="180"/>
        <v>10</v>
      </c>
      <c r="C910" s="58">
        <v>15.8907156</v>
      </c>
      <c r="D910" s="4">
        <v>0</v>
      </c>
      <c r="E910" s="12">
        <f t="shared" si="169"/>
        <v>0</v>
      </c>
      <c r="F910" s="12">
        <f t="shared" si="170"/>
        <v>0</v>
      </c>
      <c r="G910" s="16">
        <f t="shared" si="172"/>
        <v>0.86537263625405869</v>
      </c>
      <c r="H910" s="14">
        <f t="shared" si="173"/>
        <v>0</v>
      </c>
      <c r="I910" s="14">
        <f t="shared" si="174"/>
        <v>4.6893304406174758</v>
      </c>
      <c r="J910" s="14">
        <f t="shared" si="175"/>
        <v>6.2134131917220066E-2</v>
      </c>
      <c r="K910" s="14">
        <f t="shared" si="176"/>
        <v>0.22104526175783382</v>
      </c>
      <c r="L910" s="14">
        <f t="shared" si="177"/>
        <v>677.20511885476742</v>
      </c>
      <c r="M910" s="14">
        <f t="shared" si="171"/>
        <v>0.14360054257916646</v>
      </c>
      <c r="N910" s="14">
        <f t="shared" si="178"/>
        <v>3.6747777736404754</v>
      </c>
      <c r="O910" s="4">
        <v>22.362400000000001</v>
      </c>
      <c r="P910" s="14">
        <f t="shared" si="181"/>
        <v>349.22722447512655</v>
      </c>
      <c r="Q910" s="14">
        <f t="shared" si="179"/>
        <v>250.54935840194088</v>
      </c>
    </row>
    <row r="911" spans="1:17" x14ac:dyDescent="0.25">
      <c r="A911" s="5" t="s">
        <v>968</v>
      </c>
      <c r="B911" s="6">
        <f t="shared" si="180"/>
        <v>10</v>
      </c>
      <c r="C911" s="58">
        <v>15.88498688</v>
      </c>
      <c r="D911" s="4">
        <v>1.1000000000000001</v>
      </c>
      <c r="E911" s="12">
        <f t="shared" si="169"/>
        <v>0</v>
      </c>
      <c r="F911" s="12">
        <f t="shared" si="170"/>
        <v>1.1000000000000001</v>
      </c>
      <c r="G911" s="16">
        <f t="shared" si="172"/>
        <v>1.8653493937759311</v>
      </c>
      <c r="H911" s="14">
        <f t="shared" si="173"/>
        <v>4.2151348986805441E-2</v>
      </c>
      <c r="I911" s="14">
        <f t="shared" si="174"/>
        <v>4.6812541826195764</v>
      </c>
      <c r="J911" s="14">
        <f t="shared" si="175"/>
        <v>5.7871893491322123E-2</v>
      </c>
      <c r="K911" s="14">
        <f t="shared" si="176"/>
        <v>0.25217750443218401</v>
      </c>
      <c r="L911" s="14">
        <f t="shared" si="177"/>
        <v>677.0725374185007</v>
      </c>
      <c r="M911" s="14">
        <f t="shared" si="171"/>
        <v>0.14357900625205441</v>
      </c>
      <c r="N911" s="14">
        <f t="shared" si="178"/>
        <v>3.6742266530473651</v>
      </c>
      <c r="O911" s="4">
        <v>25.980499999999999</v>
      </c>
      <c r="P911" s="14">
        <f t="shared" si="181"/>
        <v>497.56983062896944</v>
      </c>
      <c r="Q911" s="14">
        <f t="shared" si="179"/>
        <v>378.18001403972823</v>
      </c>
    </row>
    <row r="912" spans="1:17" x14ac:dyDescent="0.25">
      <c r="A912" s="5" t="s">
        <v>969</v>
      </c>
      <c r="B912" s="6">
        <f t="shared" si="180"/>
        <v>10</v>
      </c>
      <c r="C912" s="58">
        <v>15.46038437</v>
      </c>
      <c r="D912" s="4">
        <v>0</v>
      </c>
      <c r="E912" s="12">
        <f t="shared" si="169"/>
        <v>0</v>
      </c>
      <c r="F912" s="12">
        <f t="shared" si="170"/>
        <v>0</v>
      </c>
      <c r="G912" s="16">
        <f t="shared" si="172"/>
        <v>1.7565552982921455</v>
      </c>
      <c r="H912" s="14">
        <f t="shared" si="173"/>
        <v>0</v>
      </c>
      <c r="I912" s="14">
        <f t="shared" si="174"/>
        <v>4.0826563427329123</v>
      </c>
      <c r="J912" s="14">
        <f t="shared" si="175"/>
        <v>0.1087940954837856</v>
      </c>
      <c r="K912" s="14">
        <f t="shared" si="176"/>
        <v>0.23960645582046505</v>
      </c>
      <c r="L912" s="14">
        <f t="shared" si="177"/>
        <v>676.94152946086035</v>
      </c>
      <c r="M912" s="14">
        <f t="shared" si="171"/>
        <v>0.14354858295270065</v>
      </c>
      <c r="N912" s="14">
        <f t="shared" si="178"/>
        <v>3.673448112365985</v>
      </c>
      <c r="O912" s="4">
        <v>15.5588</v>
      </c>
      <c r="P912" s="14">
        <f t="shared" si="181"/>
        <v>141.26158949288543</v>
      </c>
      <c r="Q912" s="14">
        <f t="shared" si="179"/>
        <v>81.453350676538435</v>
      </c>
    </row>
    <row r="913" spans="1:17" x14ac:dyDescent="0.25">
      <c r="A913" s="5" t="s">
        <v>970</v>
      </c>
      <c r="B913" s="6">
        <f t="shared" si="180"/>
        <v>10</v>
      </c>
      <c r="C913" s="58">
        <v>14.624742510000001</v>
      </c>
      <c r="D913" s="4">
        <v>0</v>
      </c>
      <c r="E913" s="12">
        <f t="shared" si="169"/>
        <v>0</v>
      </c>
      <c r="F913" s="12">
        <f t="shared" si="170"/>
        <v>0</v>
      </c>
      <c r="G913" s="16">
        <f t="shared" si="172"/>
        <v>1.683668688982948</v>
      </c>
      <c r="H913" s="14">
        <f t="shared" si="173"/>
        <v>0</v>
      </c>
      <c r="I913" s="14">
        <f t="shared" si="174"/>
        <v>2.9045817893938999</v>
      </c>
      <c r="J913" s="14">
        <f t="shared" si="175"/>
        <v>7.2886609309197548E-2</v>
      </c>
      <c r="K913" s="14">
        <f t="shared" si="176"/>
        <v>0.22766207398282662</v>
      </c>
      <c r="L913" s="14">
        <f t="shared" si="177"/>
        <v>676.80992525974523</v>
      </c>
      <c r="M913" s="14">
        <f t="shared" si="171"/>
        <v>0.14351816547580953</v>
      </c>
      <c r="N913" s="14">
        <f t="shared" si="178"/>
        <v>3.6726697206830425</v>
      </c>
      <c r="O913" s="4">
        <v>11.738899999999999</v>
      </c>
      <c r="P913" s="14">
        <f t="shared" si="181"/>
        <v>65.064070918969705</v>
      </c>
      <c r="Q913" s="14">
        <f t="shared" si="179"/>
        <v>27.094638032831512</v>
      </c>
    </row>
    <row r="914" spans="1:17" x14ac:dyDescent="0.25">
      <c r="A914" s="5" t="s">
        <v>971</v>
      </c>
      <c r="B914" s="6">
        <f t="shared" si="180"/>
        <v>10</v>
      </c>
      <c r="C914" s="58">
        <v>15.328635220000001</v>
      </c>
      <c r="D914" s="4">
        <v>0</v>
      </c>
      <c r="E914" s="12">
        <f t="shared" si="169"/>
        <v>0</v>
      </c>
      <c r="F914" s="12">
        <f t="shared" si="170"/>
        <v>0</v>
      </c>
      <c r="G914" s="16">
        <f t="shared" si="172"/>
        <v>1.589938332540195</v>
      </c>
      <c r="H914" s="14">
        <f t="shared" si="173"/>
        <v>0</v>
      </c>
      <c r="I914" s="14">
        <f t="shared" si="174"/>
        <v>3.8969184944170761</v>
      </c>
      <c r="J914" s="14">
        <f t="shared" si="175"/>
        <v>9.3730356442752974E-2</v>
      </c>
      <c r="K914" s="14">
        <f t="shared" si="176"/>
        <v>0.21631311958054161</v>
      </c>
      <c r="L914" s="14">
        <f t="shared" si="177"/>
        <v>676.67775604867177</v>
      </c>
      <c r="M914" s="14">
        <f t="shared" si="171"/>
        <v>0.14348775385138621</v>
      </c>
      <c r="N914" s="14">
        <f t="shared" si="178"/>
        <v>3.6718914787663763</v>
      </c>
      <c r="O914" s="4">
        <v>10.2974</v>
      </c>
      <c r="P914" s="14">
        <f t="shared" si="181"/>
        <v>43.897363164939357</v>
      </c>
      <c r="Q914" s="14">
        <f t="shared" si="179"/>
        <v>14.165821633262539</v>
      </c>
    </row>
    <row r="915" spans="1:17" x14ac:dyDescent="0.25">
      <c r="A915" s="5" t="s">
        <v>972</v>
      </c>
      <c r="B915" s="6">
        <f t="shared" si="180"/>
        <v>10</v>
      </c>
      <c r="C915" s="58">
        <v>15.83504486</v>
      </c>
      <c r="D915" s="4">
        <v>0</v>
      </c>
      <c r="E915" s="12">
        <f t="shared" si="169"/>
        <v>0</v>
      </c>
      <c r="F915" s="12">
        <f t="shared" si="170"/>
        <v>0</v>
      </c>
      <c r="G915" s="16">
        <f t="shared" si="172"/>
        <v>1.4852102201698085</v>
      </c>
      <c r="H915" s="14">
        <f t="shared" si="173"/>
        <v>0</v>
      </c>
      <c r="I915" s="14">
        <f t="shared" si="174"/>
        <v>4.6108467201399588</v>
      </c>
      <c r="J915" s="14">
        <f t="shared" si="175"/>
        <v>0.10472811237038651</v>
      </c>
      <c r="K915" s="14">
        <f t="shared" si="176"/>
        <v>0.20552991055592043</v>
      </c>
      <c r="L915" s="14">
        <f t="shared" si="177"/>
        <v>676.545051503845</v>
      </c>
      <c r="M915" s="14">
        <f t="shared" si="171"/>
        <v>0.14345734810787208</v>
      </c>
      <c r="N915" s="14">
        <f t="shared" si="178"/>
        <v>3.67111338734381</v>
      </c>
      <c r="O915" s="4">
        <v>8.6829999999999998</v>
      </c>
      <c r="P915" s="14">
        <f t="shared" si="181"/>
        <v>25.119007418122333</v>
      </c>
      <c r="Q915" s="14">
        <f t="shared" si="179"/>
        <v>4.6197097459062038</v>
      </c>
    </row>
    <row r="916" spans="1:17" x14ac:dyDescent="0.25">
      <c r="A916" s="5" t="s">
        <v>973</v>
      </c>
      <c r="B916" s="6">
        <f t="shared" si="180"/>
        <v>10</v>
      </c>
      <c r="C916" s="58">
        <v>16.1007061</v>
      </c>
      <c r="D916" s="4">
        <v>0</v>
      </c>
      <c r="E916" s="12">
        <f t="shared" si="169"/>
        <v>0</v>
      </c>
      <c r="F916" s="12">
        <f t="shared" si="170"/>
        <v>0</v>
      </c>
      <c r="G916" s="16">
        <f t="shared" si="172"/>
        <v>1.3794340634242226</v>
      </c>
      <c r="H916" s="14">
        <f t="shared" si="173"/>
        <v>0</v>
      </c>
      <c r="I916" s="14">
        <f t="shared" si="174"/>
        <v>4.9853716950526428</v>
      </c>
      <c r="J916" s="14">
        <f t="shared" si="175"/>
        <v>0.10577615674558585</v>
      </c>
      <c r="K916" s="14">
        <f t="shared" si="176"/>
        <v>0.19528424450185114</v>
      </c>
      <c r="L916" s="14">
        <f t="shared" si="177"/>
        <v>676.4118398217912</v>
      </c>
      <c r="M916" s="14">
        <f t="shared" si="171"/>
        <v>0.14342694827222294</v>
      </c>
      <c r="N916" s="14">
        <f t="shared" si="178"/>
        <v>3.6703354471051495</v>
      </c>
      <c r="O916" s="4">
        <v>8.6252999999999993</v>
      </c>
      <c r="P916" s="14">
        <f t="shared" si="181"/>
        <v>24.551673720444462</v>
      </c>
      <c r="Q916" s="14">
        <f t="shared" si="179"/>
        <v>4.3750039298429826</v>
      </c>
    </row>
    <row r="917" spans="1:17" x14ac:dyDescent="0.25">
      <c r="A917" s="5" t="s">
        <v>974</v>
      </c>
      <c r="B917" s="6">
        <f t="shared" si="180"/>
        <v>10</v>
      </c>
      <c r="C917" s="58">
        <v>17.307939529999999</v>
      </c>
      <c r="D917" s="4">
        <v>1.2</v>
      </c>
      <c r="E917" s="12">
        <f t="shared" si="169"/>
        <v>0</v>
      </c>
      <c r="F917" s="12">
        <f t="shared" si="170"/>
        <v>1.2</v>
      </c>
      <c r="G917" s="16">
        <f t="shared" si="172"/>
        <v>2.3887350829645344</v>
      </c>
      <c r="H917" s="14">
        <f t="shared" si="173"/>
        <v>5.8917397463784799E-2</v>
      </c>
      <c r="I917" s="14">
        <f t="shared" si="174"/>
        <v>6.6873101113775189</v>
      </c>
      <c r="J917" s="14">
        <f t="shared" si="175"/>
        <v>0.13178158299590337</v>
      </c>
      <c r="K917" s="14">
        <f t="shared" si="176"/>
        <v>0.24446672236500294</v>
      </c>
      <c r="L917" s="14">
        <f t="shared" si="177"/>
        <v>676.27814779311962</v>
      </c>
      <c r="M917" s="14">
        <f t="shared" si="171"/>
        <v>0.14340898475948669</v>
      </c>
      <c r="N917" s="14">
        <f t="shared" si="178"/>
        <v>3.6698757558243638</v>
      </c>
      <c r="O917" s="4">
        <v>10.441599999999999</v>
      </c>
      <c r="P917" s="14">
        <f t="shared" si="181"/>
        <v>45.856249239156078</v>
      </c>
      <c r="Q917" s="14">
        <f t="shared" si="179"/>
        <v>15.272081063320009</v>
      </c>
    </row>
    <row r="918" spans="1:17" x14ac:dyDescent="0.25">
      <c r="A918" s="5" t="s">
        <v>975</v>
      </c>
      <c r="B918" s="6">
        <f t="shared" si="180"/>
        <v>10</v>
      </c>
      <c r="C918" s="58">
        <v>15.807214739999999</v>
      </c>
      <c r="D918" s="4">
        <v>0</v>
      </c>
      <c r="E918" s="12">
        <f t="shared" si="169"/>
        <v>0</v>
      </c>
      <c r="F918" s="12">
        <f t="shared" si="170"/>
        <v>0</v>
      </c>
      <c r="G918" s="16">
        <f t="shared" si="172"/>
        <v>2.2327296627797906</v>
      </c>
      <c r="H918" s="14">
        <f t="shared" si="173"/>
        <v>0</v>
      </c>
      <c r="I918" s="14">
        <f t="shared" si="174"/>
        <v>4.5716122612673837</v>
      </c>
      <c r="J918" s="14">
        <f t="shared" si="175"/>
        <v>0.15600542018474386</v>
      </c>
      <c r="K918" s="14">
        <f t="shared" si="176"/>
        <v>0.23228005623981526</v>
      </c>
      <c r="L918" s="14">
        <f t="shared" si="177"/>
        <v>676.14692547448533</v>
      </c>
      <c r="M918" s="14">
        <f t="shared" si="171"/>
        <v>0.14337859711689774</v>
      </c>
      <c r="N918" s="14">
        <f t="shared" si="178"/>
        <v>3.6690981276095012</v>
      </c>
      <c r="O918" s="4">
        <v>9.7640999999999991</v>
      </c>
      <c r="P918" s="14">
        <f t="shared" si="181"/>
        <v>37.14904782444367</v>
      </c>
      <c r="Q918" s="14">
        <f t="shared" si="179"/>
        <v>10.435813700532645</v>
      </c>
    </row>
    <row r="919" spans="1:17" x14ac:dyDescent="0.25">
      <c r="A919" s="5" t="s">
        <v>976</v>
      </c>
      <c r="B919" s="6">
        <f t="shared" si="180"/>
        <v>11</v>
      </c>
      <c r="C919" s="58">
        <v>14.7813406</v>
      </c>
      <c r="D919" s="4">
        <v>0</v>
      </c>
      <c r="E919" s="12">
        <f t="shared" si="169"/>
        <v>0</v>
      </c>
      <c r="F919" s="12">
        <f t="shared" si="170"/>
        <v>0</v>
      </c>
      <c r="G919" s="16">
        <f t="shared" si="172"/>
        <v>2.1478549467982893</v>
      </c>
      <c r="H919" s="14">
        <f t="shared" si="173"/>
        <v>0</v>
      </c>
      <c r="I919" s="14">
        <f t="shared" si="174"/>
        <v>2.6609694043653089</v>
      </c>
      <c r="J919" s="14">
        <f t="shared" si="175"/>
        <v>8.4874715981501397E-2</v>
      </c>
      <c r="K919" s="14">
        <f t="shared" si="176"/>
        <v>0.22070089542173052</v>
      </c>
      <c r="L919" s="14">
        <f t="shared" si="177"/>
        <v>676.01512603818651</v>
      </c>
      <c r="M919" s="14">
        <f t="shared" si="171"/>
        <v>0.14334821530837438</v>
      </c>
      <c r="N919" s="14">
        <f t="shared" si="178"/>
        <v>3.6683206486899973</v>
      </c>
      <c r="O919" s="4">
        <v>5.9762000000000004</v>
      </c>
      <c r="P919" s="14">
        <f t="shared" si="181"/>
        <v>5.3263071002030804</v>
      </c>
      <c r="Q919" s="14">
        <f t="shared" si="179"/>
        <v>0.31074938119353451</v>
      </c>
    </row>
    <row r="920" spans="1:17" x14ac:dyDescent="0.25">
      <c r="A920" s="5" t="s">
        <v>977</v>
      </c>
      <c r="B920" s="6">
        <f t="shared" si="180"/>
        <v>11</v>
      </c>
      <c r="C920" s="58">
        <v>12.422846789999999</v>
      </c>
      <c r="D920" s="4">
        <v>0</v>
      </c>
      <c r="E920" s="12">
        <f t="shared" si="169"/>
        <v>0</v>
      </c>
      <c r="F920" s="12">
        <f t="shared" si="170"/>
        <v>0</v>
      </c>
      <c r="G920" s="16">
        <f t="shared" si="172"/>
        <v>2.1559495442396273</v>
      </c>
      <c r="H920" s="14">
        <f t="shared" si="173"/>
        <v>0</v>
      </c>
      <c r="I920" s="14">
        <f t="shared" si="174"/>
        <v>-0.26380802119059038</v>
      </c>
      <c r="J920" s="14">
        <f t="shared" si="175"/>
        <v>-8.0945974413380375E-3</v>
      </c>
      <c r="K920" s="14">
        <f t="shared" si="176"/>
        <v>0.20969895577115161</v>
      </c>
      <c r="L920" s="14">
        <f t="shared" si="177"/>
        <v>675.8827797625288</v>
      </c>
      <c r="M920" s="14">
        <f t="shared" si="171"/>
        <v>0.14331783936296413</v>
      </c>
      <c r="N920" s="14">
        <f t="shared" si="178"/>
        <v>3.6675433198091865</v>
      </c>
      <c r="O920" s="4">
        <v>7.6261999999999999</v>
      </c>
      <c r="P920" s="14">
        <f t="shared" si="181"/>
        <v>15.670962711619351</v>
      </c>
      <c r="Q920" s="14">
        <f t="shared" si="179"/>
        <v>1.1936677001590676</v>
      </c>
    </row>
    <row r="921" spans="1:17" x14ac:dyDescent="0.25">
      <c r="A921" s="5" t="s">
        <v>978</v>
      </c>
      <c r="B921" s="6">
        <f t="shared" si="180"/>
        <v>11</v>
      </c>
      <c r="C921" s="58">
        <v>15.40803051</v>
      </c>
      <c r="D921" s="4">
        <v>0</v>
      </c>
      <c r="E921" s="12">
        <f t="shared" si="169"/>
        <v>0</v>
      </c>
      <c r="F921" s="12">
        <f t="shared" si="170"/>
        <v>0</v>
      </c>
      <c r="G921" s="16">
        <f t="shared" si="172"/>
        <v>2.0500575322999279</v>
      </c>
      <c r="H921" s="14">
        <f t="shared" si="173"/>
        <v>0</v>
      </c>
      <c r="I921" s="14">
        <f t="shared" si="174"/>
        <v>3.4381300201023741</v>
      </c>
      <c r="J921" s="14">
        <f t="shared" si="175"/>
        <v>0.10589201193969916</v>
      </c>
      <c r="K921" s="14">
        <f t="shared" si="176"/>
        <v>0.19924546281284225</v>
      </c>
      <c r="L921" s="14">
        <f t="shared" si="177"/>
        <v>675.74991541612417</v>
      </c>
      <c r="M921" s="14">
        <f t="shared" si="171"/>
        <v>0.1432874693081985</v>
      </c>
      <c r="N921" s="14">
        <f t="shared" si="178"/>
        <v>3.6667661416716073</v>
      </c>
      <c r="O921" s="4">
        <v>9.3605</v>
      </c>
      <c r="P921" s="14">
        <f t="shared" si="181"/>
        <v>32.418605249475128</v>
      </c>
      <c r="Q921" s="14">
        <f t="shared" si="179"/>
        <v>7.9910866086935677</v>
      </c>
    </row>
    <row r="922" spans="1:17" x14ac:dyDescent="0.25">
      <c r="A922" s="5" t="s">
        <v>979</v>
      </c>
      <c r="B922" s="6">
        <f t="shared" si="180"/>
        <v>11</v>
      </c>
      <c r="C922" s="58">
        <v>15.037502290000001</v>
      </c>
      <c r="D922" s="4">
        <v>0</v>
      </c>
      <c r="E922" s="12">
        <f t="shared" si="169"/>
        <v>0</v>
      </c>
      <c r="F922" s="12">
        <f t="shared" si="170"/>
        <v>0</v>
      </c>
      <c r="G922" s="16">
        <f t="shared" si="172"/>
        <v>1.9628235156279334</v>
      </c>
      <c r="H922" s="14">
        <f t="shared" si="173"/>
        <v>0</v>
      </c>
      <c r="I922" s="14">
        <f t="shared" si="174"/>
        <v>2.9786365209918522</v>
      </c>
      <c r="J922" s="14">
        <f t="shared" si="175"/>
        <v>8.7234016671994555E-2</v>
      </c>
      <c r="K922" s="14">
        <f t="shared" si="176"/>
        <v>0.18931307647915852</v>
      </c>
      <c r="L922" s="14">
        <f t="shared" si="177"/>
        <v>675.61656033314966</v>
      </c>
      <c r="M922" s="14">
        <f t="shared" si="171"/>
        <v>0.1432571051701689</v>
      </c>
      <c r="N922" s="14">
        <f t="shared" si="178"/>
        <v>3.6659891149449471</v>
      </c>
      <c r="O922" s="4">
        <v>8.2075999999999993</v>
      </c>
      <c r="P922" s="14">
        <f t="shared" si="181"/>
        <v>20.626229431250533</v>
      </c>
      <c r="Q922" s="14">
        <f t="shared" si="179"/>
        <v>2.80211196964183</v>
      </c>
    </row>
    <row r="923" spans="1:17" x14ac:dyDescent="0.25">
      <c r="A923" s="5" t="s">
        <v>980</v>
      </c>
      <c r="B923" s="6">
        <f t="shared" si="180"/>
        <v>11</v>
      </c>
      <c r="C923" s="58">
        <v>15.638441090000001</v>
      </c>
      <c r="D923" s="4">
        <v>0</v>
      </c>
      <c r="E923" s="12">
        <f t="shared" ref="E923:E986" si="182">IF(C923&gt;$C$9,MAX(E922-$C$10*(C923-$C$9),0),E922+D923)</f>
        <v>0</v>
      </c>
      <c r="F923" s="12">
        <f t="shared" ref="F923:F986" si="183">IF(C923&gt;$C$9,D923+MIN(E922,$C$10*(C923-$C$9)),0)</f>
        <v>0</v>
      </c>
      <c r="G923" s="16">
        <f t="shared" si="172"/>
        <v>1.8584050594385475</v>
      </c>
      <c r="H923" s="14">
        <f t="shared" si="173"/>
        <v>0</v>
      </c>
      <c r="I923" s="14">
        <f t="shared" si="174"/>
        <v>3.7238630842028235</v>
      </c>
      <c r="J923" s="14">
        <f t="shared" si="175"/>
        <v>0.10441845618938586</v>
      </c>
      <c r="K923" s="14">
        <f t="shared" si="176"/>
        <v>0.17987581960483023</v>
      </c>
      <c r="L923" s="14">
        <f t="shared" si="177"/>
        <v>675.48274048485382</v>
      </c>
      <c r="M923" s="14">
        <f t="shared" si="171"/>
        <v>0.14322674697359827</v>
      </c>
      <c r="N923" s="14">
        <f t="shared" si="178"/>
        <v>3.6652122402618725</v>
      </c>
      <c r="O923" s="4">
        <v>7.6896000000000004</v>
      </c>
      <c r="P923" s="14">
        <f t="shared" si="181"/>
        <v>16.195696840730065</v>
      </c>
      <c r="Q923" s="14">
        <f t="shared" si="179"/>
        <v>1.3362227276878051</v>
      </c>
    </row>
    <row r="924" spans="1:17" x14ac:dyDescent="0.25">
      <c r="A924" s="5" t="s">
        <v>981</v>
      </c>
      <c r="B924" s="6">
        <f t="shared" si="180"/>
        <v>11</v>
      </c>
      <c r="C924" s="58">
        <v>15.793438910000001</v>
      </c>
      <c r="D924" s="4">
        <v>0</v>
      </c>
      <c r="E924" s="12">
        <f t="shared" si="182"/>
        <v>0</v>
      </c>
      <c r="F924" s="12">
        <f t="shared" si="183"/>
        <v>0</v>
      </c>
      <c r="G924" s="16">
        <f t="shared" si="172"/>
        <v>1.754438456052825</v>
      </c>
      <c r="H924" s="14">
        <f t="shared" si="173"/>
        <v>0</v>
      </c>
      <c r="I924" s="14">
        <f t="shared" si="174"/>
        <v>3.9160764888020827</v>
      </c>
      <c r="J924" s="14">
        <f t="shared" si="175"/>
        <v>0.10396660338572251</v>
      </c>
      <c r="K924" s="14">
        <f t="shared" si="176"/>
        <v>0.17090900998627756</v>
      </c>
      <c r="L924" s="14">
        <f t="shared" si="177"/>
        <v>675.34848054749875</v>
      </c>
      <c r="M924" s="14">
        <f t="shared" si="171"/>
        <v>0.14319639474190934</v>
      </c>
      <c r="N924" s="14">
        <f t="shared" si="178"/>
        <v>3.6644355182217772</v>
      </c>
      <c r="O924" s="4">
        <v>8.468</v>
      </c>
      <c r="P924" s="14">
        <f t="shared" si="181"/>
        <v>23.074231730601284</v>
      </c>
      <c r="Q924" s="14">
        <f t="shared" si="179"/>
        <v>3.7417138134349379</v>
      </c>
    </row>
    <row r="925" spans="1:17" x14ac:dyDescent="0.25">
      <c r="A925" s="5" t="s">
        <v>982</v>
      </c>
      <c r="B925" s="6">
        <f t="shared" si="180"/>
        <v>11</v>
      </c>
      <c r="C925" s="58">
        <v>14.830038070000001</v>
      </c>
      <c r="D925" s="4">
        <v>0</v>
      </c>
      <c r="E925" s="12">
        <f t="shared" si="182"/>
        <v>0</v>
      </c>
      <c r="F925" s="12">
        <f t="shared" si="183"/>
        <v>0</v>
      </c>
      <c r="G925" s="16">
        <f t="shared" si="172"/>
        <v>1.68623186586306</v>
      </c>
      <c r="H925" s="14">
        <f t="shared" si="173"/>
        <v>0</v>
      </c>
      <c r="I925" s="14">
        <f t="shared" si="174"/>
        <v>2.7213593279401715</v>
      </c>
      <c r="J925" s="14">
        <f t="shared" si="175"/>
        <v>6.820659018976509E-2</v>
      </c>
      <c r="K925" s="14">
        <f t="shared" si="176"/>
        <v>0.16238919582777064</v>
      </c>
      <c r="L925" s="14">
        <f t="shared" si="177"/>
        <v>675.21380396691541</v>
      </c>
      <c r="M925" s="14">
        <f t="shared" si="171"/>
        <v>0.14316604849728948</v>
      </c>
      <c r="N925" s="14">
        <f t="shared" si="178"/>
        <v>3.6636589493924427</v>
      </c>
      <c r="O925" s="4">
        <v>5.7287999999999997</v>
      </c>
      <c r="P925" s="14">
        <f t="shared" si="181"/>
        <v>4.2648075589044838</v>
      </c>
      <c r="Q925" s="14">
        <f t="shared" si="179"/>
        <v>0.64778190354985499</v>
      </c>
    </row>
    <row r="926" spans="1:17" x14ac:dyDescent="0.25">
      <c r="A926" s="5" t="s">
        <v>983</v>
      </c>
      <c r="B926" s="6">
        <f t="shared" si="180"/>
        <v>11</v>
      </c>
      <c r="C926" s="58">
        <v>15.44493866</v>
      </c>
      <c r="D926" s="4">
        <v>0</v>
      </c>
      <c r="E926" s="12">
        <f t="shared" si="182"/>
        <v>0</v>
      </c>
      <c r="F926" s="12">
        <f t="shared" si="183"/>
        <v>0</v>
      </c>
      <c r="G926" s="16">
        <f t="shared" si="172"/>
        <v>1.6023080390491677</v>
      </c>
      <c r="H926" s="14">
        <f t="shared" si="173"/>
        <v>0</v>
      </c>
      <c r="I926" s="14">
        <f t="shared" si="174"/>
        <v>3.483899961698715</v>
      </c>
      <c r="J926" s="14">
        <f t="shared" si="175"/>
        <v>8.3923826813892224E-2</v>
      </c>
      <c r="K926" s="14">
        <f t="shared" si="176"/>
        <v>0.15429409440559827</v>
      </c>
      <c r="L926" s="14">
        <f t="shared" si="177"/>
        <v>675.07873301984034</v>
      </c>
      <c r="M926" s="14">
        <f t="shared" si="171"/>
        <v>0.14313570826075225</v>
      </c>
      <c r="N926" s="14">
        <f t="shared" si="178"/>
        <v>3.6628825343116116</v>
      </c>
      <c r="O926" s="4">
        <v>5.5064000000000002</v>
      </c>
      <c r="P926" s="14">
        <f t="shared" si="181"/>
        <v>3.3985566462981391</v>
      </c>
      <c r="Q926" s="14">
        <f t="shared" si="179"/>
        <v>1.0552404961935302</v>
      </c>
    </row>
    <row r="927" spans="1:17" x14ac:dyDescent="0.25">
      <c r="A927" s="5" t="s">
        <v>984</v>
      </c>
      <c r="B927" s="6">
        <f t="shared" si="180"/>
        <v>11</v>
      </c>
      <c r="C927" s="58">
        <v>16.48138428</v>
      </c>
      <c r="D927" s="4">
        <v>0</v>
      </c>
      <c r="E927" s="12">
        <f t="shared" si="182"/>
        <v>0</v>
      </c>
      <c r="F927" s="12">
        <f t="shared" si="183"/>
        <v>0</v>
      </c>
      <c r="G927" s="16">
        <f t="shared" si="172"/>
        <v>1.4931404096677865</v>
      </c>
      <c r="H927" s="14">
        <f t="shared" si="173"/>
        <v>0</v>
      </c>
      <c r="I927" s="14">
        <f t="shared" si="174"/>
        <v>4.7692002407748291</v>
      </c>
      <c r="J927" s="14">
        <f t="shared" si="175"/>
        <v>0.1091676293813813</v>
      </c>
      <c r="K927" s="14">
        <f t="shared" si="176"/>
        <v>0.14660253378982754</v>
      </c>
      <c r="L927" s="14">
        <f t="shared" si="177"/>
        <v>674.94328887219535</v>
      </c>
      <c r="M927" s="14">
        <f t="shared" ref="M927:M990" si="184">MAX(0,K927-$F$9)*$F$8+K927*$F$10+L927*$F$11</f>
        <v>0.14310537405219603</v>
      </c>
      <c r="N927" s="14">
        <f t="shared" si="178"/>
        <v>3.6621062734884888</v>
      </c>
      <c r="O927" s="4">
        <v>5.6260000000000003</v>
      </c>
      <c r="P927" s="14">
        <f t="shared" si="181"/>
        <v>3.8568785690312715</v>
      </c>
      <c r="Q927" s="14">
        <f t="shared" si="179"/>
        <v>0.82382669676824372</v>
      </c>
    </row>
    <row r="928" spans="1:17" x14ac:dyDescent="0.25">
      <c r="A928" s="5" t="s">
        <v>985</v>
      </c>
      <c r="B928" s="6">
        <f t="shared" si="180"/>
        <v>11</v>
      </c>
      <c r="C928" s="58">
        <v>16.725486759999999</v>
      </c>
      <c r="D928" s="4">
        <v>0</v>
      </c>
      <c r="E928" s="12">
        <f t="shared" si="182"/>
        <v>0</v>
      </c>
      <c r="F928" s="12">
        <f t="shared" si="183"/>
        <v>0</v>
      </c>
      <c r="G928" s="16">
        <f t="shared" ref="G928:G991" si="185">G927+F928-H928-J928</f>
        <v>1.3849534968380592</v>
      </c>
      <c r="H928" s="14">
        <f t="shared" ref="H928:H991" si="186">(F928*(G927/$C$11)^$C$12)</f>
        <v>0</v>
      </c>
      <c r="I928" s="14">
        <f t="shared" ref="I928:I991" si="187">(1+$C$13*(C928-INDEX($A$16:$A$27,B928)))*INDEX($C$16:$C$27,B928)</f>
        <v>5.071912683775138</v>
      </c>
      <c r="J928" s="14">
        <f t="shared" ref="J928:J991" si="188">IF(G927&gt;$F$13,I928,I928*(G927/$F$13))</f>
        <v>0.10818691282972716</v>
      </c>
      <c r="K928" s="14">
        <f t="shared" ref="K928:K991" si="189">K927+H928-MAX(0,K927-$F$9)*$F$8-K927*$F$10-K927*$F$12</f>
        <v>0.13929439747123412</v>
      </c>
      <c r="L928" s="14">
        <f t="shared" ref="L928:L991" si="190">L927+K927*$F$12-L927*$F$11</f>
        <v>674.80749163446171</v>
      </c>
      <c r="M928" s="14">
        <f t="shared" si="184"/>
        <v>0.14307504589045947</v>
      </c>
      <c r="N928" s="14">
        <f t="shared" ref="N928:N991" si="191">M928*$C$8*1000/(24*3600)</f>
        <v>3.6613301674051608</v>
      </c>
      <c r="O928" s="4">
        <v>6.0787000000000004</v>
      </c>
      <c r="P928" s="14">
        <f t="shared" si="181"/>
        <v>5.8436769075396029</v>
      </c>
      <c r="Q928" s="14">
        <f t="shared" ref="Q928:Q991" si="192">(O928-$F$23)^2</f>
        <v>0.20697858737169647</v>
      </c>
    </row>
    <row r="929" spans="1:17" x14ac:dyDescent="0.25">
      <c r="A929" s="5" t="s">
        <v>986</v>
      </c>
      <c r="B929" s="6">
        <f t="shared" ref="B929:B992" si="193">MONTH(A929)</f>
        <v>11</v>
      </c>
      <c r="C929" s="58">
        <v>16.322715760000001</v>
      </c>
      <c r="D929" s="4">
        <v>0</v>
      </c>
      <c r="E929" s="12">
        <f t="shared" si="182"/>
        <v>0</v>
      </c>
      <c r="F929" s="12">
        <f t="shared" si="183"/>
        <v>0</v>
      </c>
      <c r="G929" s="16">
        <f t="shared" si="185"/>
        <v>1.294487573112288</v>
      </c>
      <c r="H929" s="14">
        <f t="shared" si="186"/>
        <v>0</v>
      </c>
      <c r="I929" s="14">
        <f t="shared" si="187"/>
        <v>4.572434786706344</v>
      </c>
      <c r="J929" s="14">
        <f t="shared" si="188"/>
        <v>9.0465923725771252E-2</v>
      </c>
      <c r="K929" s="14">
        <f t="shared" si="189"/>
        <v>0.13235057174857975</v>
      </c>
      <c r="L929" s="14">
        <f t="shared" si="190"/>
        <v>674.67136041429387</v>
      </c>
      <c r="M929" s="14">
        <f t="shared" si="184"/>
        <v>0.14304472379337449</v>
      </c>
      <c r="N929" s="14">
        <f t="shared" si="191"/>
        <v>3.660554216517951</v>
      </c>
      <c r="O929" s="4">
        <v>7.0758999999999999</v>
      </c>
      <c r="P929" s="14">
        <f t="shared" ref="P929:P992" si="194">(O929-N929)^2</f>
        <v>11.66458682074861</v>
      </c>
      <c r="Q929" s="14">
        <f t="shared" si="192"/>
        <v>0.29403615323377513</v>
      </c>
    </row>
    <row r="930" spans="1:17" x14ac:dyDescent="0.25">
      <c r="A930" s="5" t="s">
        <v>987</v>
      </c>
      <c r="B930" s="6">
        <f t="shared" si="193"/>
        <v>11</v>
      </c>
      <c r="C930" s="58">
        <v>15.58049774</v>
      </c>
      <c r="D930" s="4">
        <v>0</v>
      </c>
      <c r="E930" s="12">
        <f t="shared" si="182"/>
        <v>0</v>
      </c>
      <c r="F930" s="12">
        <f t="shared" si="183"/>
        <v>0</v>
      </c>
      <c r="G930" s="16">
        <f t="shared" si="185"/>
        <v>1.2269521174618716</v>
      </c>
      <c r="H930" s="14">
        <f t="shared" si="186"/>
        <v>0</v>
      </c>
      <c r="I930" s="14">
        <f t="shared" si="187"/>
        <v>3.652007308570711</v>
      </c>
      <c r="J930" s="14">
        <f t="shared" si="188"/>
        <v>6.7535455650416368E-2</v>
      </c>
      <c r="K930" s="14">
        <f t="shared" si="189"/>
        <v>0.12575289573863405</v>
      </c>
      <c r="L930" s="14">
        <f t="shared" si="190"/>
        <v>674.53491336651041</v>
      </c>
      <c r="M930" s="14">
        <f t="shared" si="184"/>
        <v>0.14301440777781638</v>
      </c>
      <c r="N930" s="14">
        <f t="shared" si="191"/>
        <v>3.6597784212587041</v>
      </c>
      <c r="O930" s="4">
        <v>10.1244</v>
      </c>
      <c r="P930" s="14">
        <f t="shared" si="194"/>
        <v>41.791332156327606</v>
      </c>
      <c r="Q930" s="14">
        <f t="shared" si="192"/>
        <v>12.893492785274031</v>
      </c>
    </row>
    <row r="931" spans="1:17" x14ac:dyDescent="0.25">
      <c r="A931" s="5" t="s">
        <v>988</v>
      </c>
      <c r="B931" s="6">
        <f t="shared" si="193"/>
        <v>11</v>
      </c>
      <c r="C931" s="58">
        <v>15.679876330000001</v>
      </c>
      <c r="D931" s="4">
        <v>0</v>
      </c>
      <c r="E931" s="12">
        <f t="shared" si="182"/>
        <v>0</v>
      </c>
      <c r="F931" s="12">
        <f t="shared" si="183"/>
        <v>0</v>
      </c>
      <c r="G931" s="16">
        <f t="shared" si="185"/>
        <v>1.1607799581903842</v>
      </c>
      <c r="H931" s="14">
        <f t="shared" si="186"/>
        <v>0</v>
      </c>
      <c r="I931" s="14">
        <f t="shared" si="187"/>
        <v>3.7752470878667941</v>
      </c>
      <c r="J931" s="14">
        <f t="shared" si="188"/>
        <v>6.6172159271487369E-2</v>
      </c>
      <c r="K931" s="14">
        <f t="shared" si="189"/>
        <v>0.11948411387819685</v>
      </c>
      <c r="L931" s="14">
        <f t="shared" si="190"/>
        <v>674.39816774059307</v>
      </c>
      <c r="M931" s="14">
        <f t="shared" si="184"/>
        <v>0.14298409785975155</v>
      </c>
      <c r="N931" s="14">
        <f t="shared" si="191"/>
        <v>3.6590027820360027</v>
      </c>
      <c r="O931" s="4">
        <v>10.383900000000001</v>
      </c>
      <c r="P931" s="14">
        <f t="shared" si="194"/>
        <v>45.224242592179912</v>
      </c>
      <c r="Q931" s="14">
        <f t="shared" si="192"/>
        <v>14.8244328072568</v>
      </c>
    </row>
    <row r="932" spans="1:17" x14ac:dyDescent="0.25">
      <c r="A932" s="5" t="s">
        <v>989</v>
      </c>
      <c r="B932" s="6">
        <f t="shared" si="193"/>
        <v>11</v>
      </c>
      <c r="C932" s="58">
        <v>16.11481667</v>
      </c>
      <c r="D932" s="4">
        <v>0</v>
      </c>
      <c r="E932" s="12">
        <f t="shared" si="182"/>
        <v>0</v>
      </c>
      <c r="F932" s="12">
        <f t="shared" si="183"/>
        <v>0</v>
      </c>
      <c r="G932" s="16">
        <f t="shared" si="185"/>
        <v>1.0892324366823656</v>
      </c>
      <c r="H932" s="14">
        <f t="shared" si="186"/>
        <v>0</v>
      </c>
      <c r="I932" s="14">
        <f t="shared" si="187"/>
        <v>4.3146183096617765</v>
      </c>
      <c r="J932" s="14">
        <f t="shared" si="188"/>
        <v>7.1547521508018672E-2</v>
      </c>
      <c r="K932" s="14">
        <f t="shared" si="189"/>
        <v>0.11352783079389457</v>
      </c>
      <c r="L932" s="14">
        <f t="shared" si="190"/>
        <v>674.26113992581759</v>
      </c>
      <c r="M932" s="14">
        <f t="shared" si="184"/>
        <v>0.14295379405428282</v>
      </c>
      <c r="N932" s="14">
        <f t="shared" si="191"/>
        <v>3.6582272992363349</v>
      </c>
      <c r="O932" s="4">
        <v>9.3172999999999995</v>
      </c>
      <c r="P932" s="14">
        <f t="shared" si="194"/>
        <v>32.025103832528551</v>
      </c>
      <c r="Q932" s="14">
        <f t="shared" si="192"/>
        <v>7.7487129217970123</v>
      </c>
    </row>
    <row r="933" spans="1:17" x14ac:dyDescent="0.25">
      <c r="A933" s="5" t="s">
        <v>990</v>
      </c>
      <c r="B933" s="6">
        <f t="shared" si="193"/>
        <v>11</v>
      </c>
      <c r="C933" s="58">
        <v>16.175741200000001</v>
      </c>
      <c r="D933" s="4">
        <v>0</v>
      </c>
      <c r="E933" s="12">
        <f t="shared" si="182"/>
        <v>0</v>
      </c>
      <c r="F933" s="12">
        <f t="shared" si="183"/>
        <v>0</v>
      </c>
      <c r="G933" s="16">
        <f t="shared" si="185"/>
        <v>1.020919285526332</v>
      </c>
      <c r="H933" s="14">
        <f t="shared" si="186"/>
        <v>0</v>
      </c>
      <c r="I933" s="14">
        <f t="shared" si="187"/>
        <v>4.3901710583063052</v>
      </c>
      <c r="J933" s="14">
        <f t="shared" si="188"/>
        <v>6.8313151156033453E-2</v>
      </c>
      <c r="K933" s="14">
        <f t="shared" si="189"/>
        <v>0.10786846842171735</v>
      </c>
      <c r="L933" s="14">
        <f t="shared" si="190"/>
        <v>674.12384549413548</v>
      </c>
      <c r="M933" s="14">
        <f t="shared" si="184"/>
        <v>0.14292349637569254</v>
      </c>
      <c r="N933" s="14">
        <f t="shared" si="191"/>
        <v>3.657451973225188</v>
      </c>
      <c r="O933" s="4">
        <v>10.0236</v>
      </c>
      <c r="P933" s="14">
        <f t="shared" si="194"/>
        <v>40.527840698808838</v>
      </c>
      <c r="Q933" s="14">
        <f t="shared" si="192"/>
        <v>12.179758022515413</v>
      </c>
    </row>
    <row r="934" spans="1:17" x14ac:dyDescent="0.25">
      <c r="A934" s="5" t="s">
        <v>991</v>
      </c>
      <c r="B934" s="6">
        <f t="shared" si="193"/>
        <v>11</v>
      </c>
      <c r="C934" s="58">
        <v>15.66133499</v>
      </c>
      <c r="D934" s="4">
        <v>0.2</v>
      </c>
      <c r="E934" s="12">
        <f t="shared" si="182"/>
        <v>0</v>
      </c>
      <c r="F934" s="12">
        <f t="shared" si="183"/>
        <v>0.2</v>
      </c>
      <c r="G934" s="16">
        <f t="shared" si="185"/>
        <v>1.1578264915311822</v>
      </c>
      <c r="H934" s="14">
        <f t="shared" si="186"/>
        <v>8.3677730865102228E-3</v>
      </c>
      <c r="I934" s="14">
        <f t="shared" si="187"/>
        <v>3.7522538993998049</v>
      </c>
      <c r="J934" s="14">
        <f t="shared" si="188"/>
        <v>5.4725020908639677E-2</v>
      </c>
      <c r="K934" s="14">
        <f t="shared" si="189"/>
        <v>0.11085899835065741</v>
      </c>
      <c r="L934" s="14">
        <f t="shared" si="190"/>
        <v>673.98629924091745</v>
      </c>
      <c r="M934" s="14">
        <f t="shared" si="184"/>
        <v>0.14289497026982123</v>
      </c>
      <c r="N934" s="14">
        <f t="shared" si="191"/>
        <v>3.6567219822520221</v>
      </c>
      <c r="O934" s="4">
        <v>12.228999999999999</v>
      </c>
      <c r="P934" s="14">
        <f t="shared" si="194"/>
        <v>73.483950413565168</v>
      </c>
      <c r="Q934" s="14">
        <f t="shared" si="192"/>
        <v>32.437023078664851</v>
      </c>
    </row>
    <row r="935" spans="1:17" x14ac:dyDescent="0.25">
      <c r="A935" s="5" t="s">
        <v>992</v>
      </c>
      <c r="B935" s="6">
        <f t="shared" si="193"/>
        <v>11</v>
      </c>
      <c r="C935" s="58">
        <v>15.1623888</v>
      </c>
      <c r="D935" s="4">
        <v>0</v>
      </c>
      <c r="E935" s="12">
        <f t="shared" si="182"/>
        <v>0</v>
      </c>
      <c r="F935" s="12">
        <f t="shared" si="183"/>
        <v>0</v>
      </c>
      <c r="G935" s="16">
        <f t="shared" si="185"/>
        <v>1.1059970287107015</v>
      </c>
      <c r="H935" s="14">
        <f t="shared" si="186"/>
        <v>0</v>
      </c>
      <c r="I935" s="14">
        <f t="shared" si="187"/>
        <v>3.1335087719410546</v>
      </c>
      <c r="J935" s="14">
        <f t="shared" si="188"/>
        <v>5.1829462820480794E-2</v>
      </c>
      <c r="K935" s="14">
        <f t="shared" si="189"/>
        <v>0.1053326772759425</v>
      </c>
      <c r="L935" s="14">
        <f t="shared" si="190"/>
        <v>673.84893059172236</v>
      </c>
      <c r="M935" s="14">
        <f t="shared" si="184"/>
        <v>0.14286468492765247</v>
      </c>
      <c r="N935" s="14">
        <f t="shared" si="191"/>
        <v>3.6559469719333291</v>
      </c>
      <c r="O935" s="4">
        <v>13.209199999999999</v>
      </c>
      <c r="P935" s="14">
        <f t="shared" si="194"/>
        <v>91.26464341826501</v>
      </c>
      <c r="Q935" s="14">
        <f t="shared" si="192"/>
        <v>44.562981230331523</v>
      </c>
    </row>
    <row r="936" spans="1:17" x14ac:dyDescent="0.25">
      <c r="A936" s="5" t="s">
        <v>993</v>
      </c>
      <c r="B936" s="6">
        <f t="shared" si="193"/>
        <v>11</v>
      </c>
      <c r="C936" s="58">
        <v>15.383930210000001</v>
      </c>
      <c r="D936" s="4">
        <v>0</v>
      </c>
      <c r="E936" s="12">
        <f t="shared" si="182"/>
        <v>0</v>
      </c>
      <c r="F936" s="12">
        <f t="shared" si="183"/>
        <v>0</v>
      </c>
      <c r="G936" s="16">
        <f t="shared" si="185"/>
        <v>1.0521468882259633</v>
      </c>
      <c r="H936" s="14">
        <f t="shared" si="186"/>
        <v>0</v>
      </c>
      <c r="I936" s="14">
        <f t="shared" si="187"/>
        <v>3.4082431435329923</v>
      </c>
      <c r="J936" s="14">
        <f t="shared" si="188"/>
        <v>5.3850140484738324E-2</v>
      </c>
      <c r="K936" s="14">
        <f t="shared" si="189"/>
        <v>0.10008184330714782</v>
      </c>
      <c r="L936" s="14">
        <f t="shared" si="190"/>
        <v>673.71131674076355</v>
      </c>
      <c r="M936" s="14">
        <f t="shared" si="184"/>
        <v>0.14283440572988187</v>
      </c>
      <c r="N936" s="14">
        <f t="shared" si="191"/>
        <v>3.6551721188514912</v>
      </c>
      <c r="O936" s="4">
        <v>14.059699999999999</v>
      </c>
      <c r="P936" s="14">
        <f t="shared" si="194"/>
        <v>108.25420042959668</v>
      </c>
      <c r="Q936" s="14">
        <f t="shared" si="192"/>
        <v>56.641443741107395</v>
      </c>
    </row>
    <row r="937" spans="1:17" x14ac:dyDescent="0.25">
      <c r="A937" s="5" t="s">
        <v>994</v>
      </c>
      <c r="B937" s="6">
        <f t="shared" si="193"/>
        <v>11</v>
      </c>
      <c r="C937" s="58">
        <v>16.387718199999998</v>
      </c>
      <c r="D937" s="4">
        <v>0</v>
      </c>
      <c r="E937" s="12">
        <f t="shared" si="182"/>
        <v>0</v>
      </c>
      <c r="F937" s="12">
        <f t="shared" si="183"/>
        <v>0</v>
      </c>
      <c r="G937" s="16">
        <f t="shared" si="185"/>
        <v>0.98220845513999422</v>
      </c>
      <c r="H937" s="14">
        <f t="shared" si="186"/>
        <v>0</v>
      </c>
      <c r="I937" s="14">
        <f t="shared" si="187"/>
        <v>4.6530445675384771</v>
      </c>
      <c r="J937" s="14">
        <f t="shared" si="188"/>
        <v>6.9938433085969032E-2</v>
      </c>
      <c r="K937" s="14">
        <f t="shared" si="189"/>
        <v>9.5092763412026035E-2</v>
      </c>
      <c r="L937" s="14">
        <f t="shared" si="190"/>
        <v>673.5734714149288</v>
      </c>
      <c r="M937" s="14">
        <f t="shared" si="184"/>
        <v>0.14280413268894002</v>
      </c>
      <c r="N937" s="14">
        <f t="shared" si="191"/>
        <v>3.6543974233246108</v>
      </c>
      <c r="O937" s="4">
        <v>15.947900000000001</v>
      </c>
      <c r="P937" s="14">
        <f t="shared" si="194"/>
        <v>151.13020560272446</v>
      </c>
      <c r="Q937" s="14">
        <f t="shared" si="192"/>
        <v>88.628121999210904</v>
      </c>
    </row>
    <row r="938" spans="1:17" x14ac:dyDescent="0.25">
      <c r="A938" s="5" t="s">
        <v>995</v>
      </c>
      <c r="B938" s="6">
        <f t="shared" si="193"/>
        <v>11</v>
      </c>
      <c r="C938" s="58">
        <v>15.96878719</v>
      </c>
      <c r="D938" s="4">
        <v>0</v>
      </c>
      <c r="E938" s="12">
        <f t="shared" si="182"/>
        <v>0</v>
      </c>
      <c r="F938" s="12">
        <f t="shared" si="183"/>
        <v>0</v>
      </c>
      <c r="G938" s="16">
        <f t="shared" si="185"/>
        <v>0.92420862608630583</v>
      </c>
      <c r="H938" s="14">
        <f t="shared" si="186"/>
        <v>0</v>
      </c>
      <c r="I938" s="14">
        <f t="shared" si="187"/>
        <v>4.1335265786770492</v>
      </c>
      <c r="J938" s="14">
        <f t="shared" si="188"/>
        <v>5.7999829053688376E-2</v>
      </c>
      <c r="K938" s="14">
        <f t="shared" si="189"/>
        <v>9.0352389149988138E-2</v>
      </c>
      <c r="L938" s="14">
        <f t="shared" si="190"/>
        <v>673.43540765650187</v>
      </c>
      <c r="M938" s="14">
        <f t="shared" si="184"/>
        <v>0.14277386581657017</v>
      </c>
      <c r="N938" s="14">
        <f t="shared" si="191"/>
        <v>3.6536228856532023</v>
      </c>
      <c r="O938" s="4">
        <v>17.951599999999999</v>
      </c>
      <c r="P938" s="14">
        <f t="shared" si="194"/>
        <v>204.43214956238475</v>
      </c>
      <c r="Q938" s="14">
        <f t="shared" si="192"/>
        <v>130.36960516964191</v>
      </c>
    </row>
    <row r="939" spans="1:17" x14ac:dyDescent="0.25">
      <c r="A939" s="5" t="s">
        <v>996</v>
      </c>
      <c r="B939" s="6">
        <f t="shared" si="193"/>
        <v>11</v>
      </c>
      <c r="C939" s="58">
        <v>15.83652496</v>
      </c>
      <c r="D939" s="4">
        <v>0</v>
      </c>
      <c r="E939" s="12">
        <f t="shared" si="182"/>
        <v>0</v>
      </c>
      <c r="F939" s="12">
        <f t="shared" si="183"/>
        <v>0</v>
      </c>
      <c r="G939" s="16">
        <f t="shared" si="185"/>
        <v>0.87179925192789931</v>
      </c>
      <c r="H939" s="14">
        <f t="shared" si="186"/>
        <v>0</v>
      </c>
      <c r="I939" s="14">
        <f t="shared" si="187"/>
        <v>3.9695076684227621</v>
      </c>
      <c r="J939" s="14">
        <f t="shared" si="188"/>
        <v>5.240937415840656E-2</v>
      </c>
      <c r="K939" s="14">
        <f t="shared" si="189"/>
        <v>8.5848322545209368E-2</v>
      </c>
      <c r="L939" s="14">
        <f t="shared" si="190"/>
        <v>673.29713785729007</v>
      </c>
      <c r="M939" s="14">
        <f t="shared" si="184"/>
        <v>0.14274360512386275</v>
      </c>
      <c r="N939" s="14">
        <f t="shared" si="191"/>
        <v>3.6528485061210705</v>
      </c>
      <c r="O939" s="4">
        <v>18.888500000000001</v>
      </c>
      <c r="P939" s="14">
        <f t="shared" si="194"/>
        <v>232.12507644293527</v>
      </c>
      <c r="Q939" s="14">
        <f t="shared" si="192"/>
        <v>152.64234337421092</v>
      </c>
    </row>
    <row r="940" spans="1:17" x14ac:dyDescent="0.25">
      <c r="A940" s="5" t="s">
        <v>997</v>
      </c>
      <c r="B940" s="6">
        <f t="shared" si="193"/>
        <v>11</v>
      </c>
      <c r="C940" s="58">
        <v>17.16536331</v>
      </c>
      <c r="D940" s="4">
        <v>0</v>
      </c>
      <c r="E940" s="12">
        <f t="shared" si="182"/>
        <v>0</v>
      </c>
      <c r="F940" s="12">
        <f t="shared" si="183"/>
        <v>0</v>
      </c>
      <c r="G940" s="16">
        <f t="shared" si="185"/>
        <v>0.8018384846477784</v>
      </c>
      <c r="H940" s="14">
        <f t="shared" si="186"/>
        <v>0</v>
      </c>
      <c r="I940" s="14">
        <f t="shared" si="187"/>
        <v>5.6174053189546269</v>
      </c>
      <c r="J940" s="14">
        <f t="shared" si="188"/>
        <v>6.9960767280120906E-2</v>
      </c>
      <c r="K940" s="14">
        <f t="shared" si="189"/>
        <v>8.1568783660960556E-2</v>
      </c>
      <c r="L940" s="14">
        <f t="shared" si="190"/>
        <v>673.15867379105043</v>
      </c>
      <c r="M940" s="14">
        <f t="shared" si="184"/>
        <v>0.14271335062128765</v>
      </c>
      <c r="N940" s="14">
        <f t="shared" si="191"/>
        <v>3.6520742849961461</v>
      </c>
      <c r="O940" s="4">
        <v>16.120899999999999</v>
      </c>
      <c r="P940" s="14">
        <f t="shared" si="194"/>
        <v>155.47161471114134</v>
      </c>
      <c r="Q940" s="14">
        <f t="shared" si="192"/>
        <v>91.91538184719937</v>
      </c>
    </row>
    <row r="941" spans="1:17" x14ac:dyDescent="0.25">
      <c r="A941" s="5" t="s">
        <v>998</v>
      </c>
      <c r="B941" s="6">
        <f t="shared" si="193"/>
        <v>11</v>
      </c>
      <c r="C941" s="58">
        <v>17.60868073</v>
      </c>
      <c r="D941" s="4">
        <v>0</v>
      </c>
      <c r="E941" s="12">
        <f t="shared" si="182"/>
        <v>0</v>
      </c>
      <c r="F941" s="12">
        <f t="shared" si="183"/>
        <v>0</v>
      </c>
      <c r="G941" s="16">
        <f t="shared" si="185"/>
        <v>0.73119456716269571</v>
      </c>
      <c r="H941" s="14">
        <f t="shared" si="186"/>
        <v>0</v>
      </c>
      <c r="I941" s="14">
        <f t="shared" si="187"/>
        <v>6.1671649905187778</v>
      </c>
      <c r="J941" s="14">
        <f t="shared" si="188"/>
        <v>7.0643917485082725E-2</v>
      </c>
      <c r="K941" s="14">
        <f t="shared" si="189"/>
        <v>7.7502579790359252E-2</v>
      </c>
      <c r="L941" s="14">
        <f t="shared" si="190"/>
        <v>673.02002664429972</v>
      </c>
      <c r="M941" s="14">
        <f t="shared" si="184"/>
        <v>0.1426831023187255</v>
      </c>
      <c r="N941" s="14">
        <f t="shared" si="191"/>
        <v>3.6513002225312738</v>
      </c>
      <c r="O941" s="4">
        <v>15.8903</v>
      </c>
      <c r="P941" s="14">
        <f t="shared" si="194"/>
        <v>149.79311555287953</v>
      </c>
      <c r="Q941" s="14">
        <f t="shared" si="192"/>
        <v>87.546918043348811</v>
      </c>
    </row>
    <row r="942" spans="1:17" x14ac:dyDescent="0.25">
      <c r="A942" s="5" t="s">
        <v>999</v>
      </c>
      <c r="B942" s="6">
        <f t="shared" si="193"/>
        <v>11</v>
      </c>
      <c r="C942" s="58">
        <v>16.96549225</v>
      </c>
      <c r="D942" s="4">
        <v>0.2</v>
      </c>
      <c r="E942" s="12">
        <f t="shared" si="182"/>
        <v>0</v>
      </c>
      <c r="F942" s="12">
        <f t="shared" si="183"/>
        <v>0.2</v>
      </c>
      <c r="G942" s="16">
        <f t="shared" si="185"/>
        <v>0.86809887362244853</v>
      </c>
      <c r="H942" s="14">
        <f t="shared" si="186"/>
        <v>7.0073379912809668E-3</v>
      </c>
      <c r="I942" s="14">
        <f t="shared" si="187"/>
        <v>5.369544433404994</v>
      </c>
      <c r="J942" s="14">
        <f t="shared" si="188"/>
        <v>5.6088355548966344E-2</v>
      </c>
      <c r="K942" s="14">
        <f t="shared" si="189"/>
        <v>8.0646414174242731E-2</v>
      </c>
      <c r="L942" s="14">
        <f t="shared" si="190"/>
        <v>672.88120704558833</v>
      </c>
      <c r="M942" s="14">
        <f t="shared" si="184"/>
        <v>0.1426543386333077</v>
      </c>
      <c r="N942" s="14">
        <f t="shared" si="191"/>
        <v>3.6505641518315199</v>
      </c>
      <c r="O942" s="4">
        <v>14.189399999999999</v>
      </c>
      <c r="P942" s="14">
        <f t="shared" si="194"/>
        <v>111.06706103464101</v>
      </c>
      <c r="Q942" s="14">
        <f t="shared" si="192"/>
        <v>58.610523461998199</v>
      </c>
    </row>
    <row r="943" spans="1:17" x14ac:dyDescent="0.25">
      <c r="A943" s="5" t="s">
        <v>1000</v>
      </c>
      <c r="B943" s="6">
        <f t="shared" si="193"/>
        <v>11</v>
      </c>
      <c r="C943" s="58">
        <v>15.461623189999999</v>
      </c>
      <c r="D943" s="4">
        <v>0</v>
      </c>
      <c r="E943" s="12">
        <f t="shared" si="182"/>
        <v>0</v>
      </c>
      <c r="F943" s="12">
        <f t="shared" si="183"/>
        <v>0</v>
      </c>
      <c r="G943" s="16">
        <f t="shared" si="185"/>
        <v>0.82463696600100422</v>
      </c>
      <c r="H943" s="14">
        <f t="shared" si="186"/>
        <v>0</v>
      </c>
      <c r="I943" s="14">
        <f t="shared" si="187"/>
        <v>3.5045905128009065</v>
      </c>
      <c r="J943" s="14">
        <f t="shared" si="188"/>
        <v>4.3461907621444362E-2</v>
      </c>
      <c r="K943" s="14">
        <f t="shared" si="189"/>
        <v>7.6626190422611998E-2</v>
      </c>
      <c r="L943" s="14">
        <f t="shared" si="190"/>
        <v>672.74257293070661</v>
      </c>
      <c r="M943" s="14">
        <f t="shared" si="184"/>
        <v>0.1426241027941236</v>
      </c>
      <c r="N943" s="14">
        <f t="shared" si="191"/>
        <v>3.6497904083079549</v>
      </c>
      <c r="O943" s="4">
        <v>9.4994999999999994</v>
      </c>
      <c r="P943" s="14">
        <f t="shared" si="194"/>
        <v>34.219102307133909</v>
      </c>
      <c r="Q943" s="14">
        <f t="shared" si="192"/>
        <v>8.7962721882912653</v>
      </c>
    </row>
    <row r="944" spans="1:17" x14ac:dyDescent="0.25">
      <c r="A944" s="5" t="s">
        <v>1001</v>
      </c>
      <c r="B944" s="6">
        <f t="shared" si="193"/>
        <v>11</v>
      </c>
      <c r="C944" s="58">
        <v>15.69956779</v>
      </c>
      <c r="D944" s="4">
        <v>0</v>
      </c>
      <c r="E944" s="12">
        <f t="shared" si="182"/>
        <v>0</v>
      </c>
      <c r="F944" s="12">
        <f t="shared" si="183"/>
        <v>0</v>
      </c>
      <c r="G944" s="16">
        <f t="shared" si="185"/>
        <v>0.77987485140770274</v>
      </c>
      <c r="H944" s="14">
        <f t="shared" si="186"/>
        <v>0</v>
      </c>
      <c r="I944" s="14">
        <f t="shared" si="187"/>
        <v>3.7996665446574114</v>
      </c>
      <c r="J944" s="14">
        <f t="shared" si="188"/>
        <v>4.4762114593301497E-2</v>
      </c>
      <c r="K944" s="14">
        <f t="shared" si="189"/>
        <v>7.2806374825251541E-2</v>
      </c>
      <c r="L944" s="14">
        <f t="shared" si="190"/>
        <v>672.60376864350985</v>
      </c>
      <c r="M944" s="14">
        <f t="shared" si="184"/>
        <v>0.142593873163923</v>
      </c>
      <c r="N944" s="14">
        <f t="shared" si="191"/>
        <v>3.6490168236740015</v>
      </c>
      <c r="O944" s="4">
        <v>6.2409999999999997</v>
      </c>
      <c r="P944" s="14">
        <f t="shared" si="194"/>
        <v>6.7183767863570107</v>
      </c>
      <c r="Q944" s="14">
        <f t="shared" si="192"/>
        <v>8.5643433837215843E-2</v>
      </c>
    </row>
    <row r="945" spans="1:17" x14ac:dyDescent="0.25">
      <c r="A945" s="5" t="s">
        <v>1002</v>
      </c>
      <c r="B945" s="6">
        <f t="shared" si="193"/>
        <v>11</v>
      </c>
      <c r="C945" s="58">
        <v>14.752311710000001</v>
      </c>
      <c r="D945" s="4">
        <v>0.3</v>
      </c>
      <c r="E945" s="12">
        <f t="shared" si="182"/>
        <v>0</v>
      </c>
      <c r="F945" s="12">
        <f t="shared" si="183"/>
        <v>0.3</v>
      </c>
      <c r="G945" s="16">
        <f t="shared" si="185"/>
        <v>1.039752469955445</v>
      </c>
      <c r="H945" s="14">
        <f t="shared" si="186"/>
        <v>1.0877378856201252E-2</v>
      </c>
      <c r="I945" s="14">
        <f t="shared" si="187"/>
        <v>2.6249705640033136</v>
      </c>
      <c r="J945" s="14">
        <f t="shared" si="188"/>
        <v>2.9245002596056491E-2</v>
      </c>
      <c r="K945" s="14">
        <f t="shared" si="189"/>
        <v>8.0054355891859705E-2</v>
      </c>
      <c r="L945" s="14">
        <f t="shared" si="190"/>
        <v>672.46480416813552</v>
      </c>
      <c r="M945" s="14">
        <f t="shared" si="184"/>
        <v>0.14256594466021483</v>
      </c>
      <c r="N945" s="14">
        <f t="shared" si="191"/>
        <v>3.6483021255061923</v>
      </c>
      <c r="O945" s="4">
        <v>6.3007999999999997</v>
      </c>
      <c r="P945" s="14">
        <f t="shared" si="194"/>
        <v>7.0357449741941664</v>
      </c>
      <c r="Q945" s="14">
        <f t="shared" si="192"/>
        <v>5.4218654124572663E-2</v>
      </c>
    </row>
    <row r="946" spans="1:17" x14ac:dyDescent="0.25">
      <c r="A946" s="5" t="s">
        <v>1003</v>
      </c>
      <c r="B946" s="6">
        <f t="shared" si="193"/>
        <v>11</v>
      </c>
      <c r="C946" s="58">
        <v>14.969990729999999</v>
      </c>
      <c r="D946" s="4">
        <v>0</v>
      </c>
      <c r="E946" s="12">
        <f t="shared" si="182"/>
        <v>0</v>
      </c>
      <c r="F946" s="12">
        <f t="shared" si="183"/>
        <v>0</v>
      </c>
      <c r="G946" s="16">
        <f t="shared" si="185"/>
        <v>0.9967525038173588</v>
      </c>
      <c r="H946" s="14">
        <f t="shared" si="186"/>
        <v>0</v>
      </c>
      <c r="I946" s="14">
        <f t="shared" si="187"/>
        <v>2.8949151706050698</v>
      </c>
      <c r="J946" s="14">
        <f t="shared" si="188"/>
        <v>4.2999966138086154E-2</v>
      </c>
      <c r="K946" s="14">
        <f t="shared" si="189"/>
        <v>7.606364624564281E-2</v>
      </c>
      <c r="L946" s="14">
        <f t="shared" si="190"/>
        <v>672.32622893312157</v>
      </c>
      <c r="M946" s="14">
        <f t="shared" si="184"/>
        <v>0.14253572752926652</v>
      </c>
      <c r="N946" s="14">
        <f t="shared" si="191"/>
        <v>3.6475288607315774</v>
      </c>
      <c r="O946" s="4">
        <v>5.9164000000000003</v>
      </c>
      <c r="P946" s="14">
        <f t="shared" si="194"/>
        <v>5.1477762466051908</v>
      </c>
      <c r="Q946" s="14">
        <f t="shared" si="192"/>
        <v>0.38099632090617769</v>
      </c>
    </row>
    <row r="947" spans="1:17" x14ac:dyDescent="0.25">
      <c r="A947" s="5" t="s">
        <v>1004</v>
      </c>
      <c r="B947" s="6">
        <f t="shared" si="193"/>
        <v>11</v>
      </c>
      <c r="C947" s="58">
        <v>13.71873283</v>
      </c>
      <c r="D947" s="4">
        <v>0</v>
      </c>
      <c r="E947" s="12">
        <f t="shared" si="182"/>
        <v>0</v>
      </c>
      <c r="F947" s="12">
        <f t="shared" si="183"/>
        <v>0</v>
      </c>
      <c r="G947" s="16">
        <f t="shared" si="185"/>
        <v>0.97762587092480857</v>
      </c>
      <c r="H947" s="14">
        <f t="shared" si="186"/>
        <v>0</v>
      </c>
      <c r="I947" s="14">
        <f t="shared" si="187"/>
        <v>1.3432253404466958</v>
      </c>
      <c r="J947" s="14">
        <f t="shared" si="188"/>
        <v>1.9126632892550229E-2</v>
      </c>
      <c r="K947" s="14">
        <f t="shared" si="189"/>
        <v>7.2271873475539455E-2</v>
      </c>
      <c r="L947" s="14">
        <f t="shared" si="190"/>
        <v>672.18748497836248</v>
      </c>
      <c r="M947" s="14">
        <f t="shared" si="184"/>
        <v>0.14250551660480726</v>
      </c>
      <c r="N947" s="14">
        <f t="shared" si="191"/>
        <v>3.6467557547827414</v>
      </c>
      <c r="O947" s="4">
        <v>5.4893000000000001</v>
      </c>
      <c r="P947" s="14">
        <f t="shared" si="194"/>
        <v>3.3949692955832376</v>
      </c>
      <c r="Q947" s="14">
        <f t="shared" si="192"/>
        <v>1.0906648217969785</v>
      </c>
    </row>
    <row r="948" spans="1:17" x14ac:dyDescent="0.25">
      <c r="A948" s="5" t="s">
        <v>1005</v>
      </c>
      <c r="B948" s="6">
        <f t="shared" si="193"/>
        <v>11</v>
      </c>
      <c r="C948" s="58">
        <v>16.054784770000001</v>
      </c>
      <c r="D948" s="4">
        <v>0</v>
      </c>
      <c r="E948" s="12">
        <f t="shared" si="182"/>
        <v>0</v>
      </c>
      <c r="F948" s="12">
        <f t="shared" si="183"/>
        <v>0</v>
      </c>
      <c r="G948" s="16">
        <f t="shared" si="185"/>
        <v>0.91840721813388937</v>
      </c>
      <c r="H948" s="14">
        <f t="shared" si="186"/>
        <v>0</v>
      </c>
      <c r="I948" s="14">
        <f t="shared" si="187"/>
        <v>4.240172514981813</v>
      </c>
      <c r="J948" s="14">
        <f t="shared" si="188"/>
        <v>5.9218652790919195E-2</v>
      </c>
      <c r="K948" s="14">
        <f t="shared" si="189"/>
        <v>6.8669120578262952E-2</v>
      </c>
      <c r="L948" s="14">
        <f t="shared" si="190"/>
        <v>672.04858221465486</v>
      </c>
      <c r="M948" s="14">
        <f t="shared" si="184"/>
        <v>0.14247531189543827</v>
      </c>
      <c r="N948" s="14">
        <f t="shared" si="191"/>
        <v>3.6459828078797925</v>
      </c>
      <c r="O948" s="4">
        <v>5.4806999999999997</v>
      </c>
      <c r="P948" s="14">
        <f t="shared" si="194"/>
        <v>3.3661871750614574</v>
      </c>
      <c r="Q948" s="14">
        <f t="shared" si="192"/>
        <v>1.1087015844981287</v>
      </c>
    </row>
    <row r="949" spans="1:17" x14ac:dyDescent="0.25">
      <c r="A949" s="5" t="s">
        <v>1006</v>
      </c>
      <c r="B949" s="6">
        <f t="shared" si="193"/>
        <v>12</v>
      </c>
      <c r="C949" s="58">
        <v>14.96056271</v>
      </c>
      <c r="D949" s="4">
        <v>7.4</v>
      </c>
      <c r="E949" s="12">
        <f t="shared" si="182"/>
        <v>0</v>
      </c>
      <c r="F949" s="12">
        <f t="shared" si="183"/>
        <v>7.4</v>
      </c>
      <c r="G949" s="16">
        <f t="shared" si="185"/>
        <v>7.9723691389445852</v>
      </c>
      <c r="H949" s="14">
        <f t="shared" si="186"/>
        <v>0.29267277364587985</v>
      </c>
      <c r="I949" s="14">
        <f t="shared" si="187"/>
        <v>4.0674423040537908</v>
      </c>
      <c r="J949" s="14">
        <f t="shared" si="188"/>
        <v>5.336530554342548E-2</v>
      </c>
      <c r="K949" s="14">
        <f t="shared" si="189"/>
        <v>0.3579187385590209</v>
      </c>
      <c r="L949" s="14">
        <f t="shared" si="190"/>
        <v>671.90953005842459</v>
      </c>
      <c r="M949" s="14">
        <f t="shared" si="184"/>
        <v>0.14250686149608074</v>
      </c>
      <c r="N949" s="14">
        <f t="shared" si="191"/>
        <v>3.6467901709240107</v>
      </c>
      <c r="O949" s="4">
        <v>9.3309999999999995</v>
      </c>
      <c r="P949" s="14">
        <f t="shared" si="194"/>
        <v>32.310241380964086</v>
      </c>
      <c r="Q949" s="14">
        <f t="shared" si="192"/>
        <v>7.8251726493544833</v>
      </c>
    </row>
    <row r="950" spans="1:17" x14ac:dyDescent="0.25">
      <c r="A950" s="5" t="s">
        <v>1007</v>
      </c>
      <c r="B950" s="6">
        <f t="shared" si="193"/>
        <v>12</v>
      </c>
      <c r="C950" s="58">
        <v>15.037579539999999</v>
      </c>
      <c r="D950" s="4">
        <v>0</v>
      </c>
      <c r="E950" s="12">
        <f t="shared" si="182"/>
        <v>0</v>
      </c>
      <c r="F950" s="12">
        <f t="shared" si="183"/>
        <v>0</v>
      </c>
      <c r="G950" s="16">
        <f t="shared" si="185"/>
        <v>7.4970195846510634</v>
      </c>
      <c r="H950" s="14">
        <f t="shared" si="186"/>
        <v>0</v>
      </c>
      <c r="I950" s="14">
        <f t="shared" si="187"/>
        <v>4.1737206782445719</v>
      </c>
      <c r="J950" s="14">
        <f t="shared" si="188"/>
        <v>0.4753495542935221</v>
      </c>
      <c r="K950" s="14">
        <f t="shared" si="189"/>
        <v>0.34007648941946461</v>
      </c>
      <c r="L950" s="14">
        <f t="shared" si="190"/>
        <v>671.78486544606801</v>
      </c>
      <c r="M950" s="14">
        <f t="shared" si="184"/>
        <v>0.142476670741118</v>
      </c>
      <c r="N950" s="14">
        <f t="shared" si="191"/>
        <v>3.6460175811181932</v>
      </c>
      <c r="O950" s="4">
        <v>6.2704000000000004</v>
      </c>
      <c r="P950" s="14">
        <f t="shared" si="194"/>
        <v>6.8873830805359253</v>
      </c>
      <c r="Q950" s="14">
        <f t="shared" si="192"/>
        <v>6.9300032975146739E-2</v>
      </c>
    </row>
    <row r="951" spans="1:17" x14ac:dyDescent="0.25">
      <c r="A951" s="5" t="s">
        <v>1008</v>
      </c>
      <c r="B951" s="6">
        <f t="shared" si="193"/>
        <v>12</v>
      </c>
      <c r="C951" s="58">
        <v>14.29859066</v>
      </c>
      <c r="D951" s="4">
        <v>0</v>
      </c>
      <c r="E951" s="12">
        <f t="shared" si="182"/>
        <v>0</v>
      </c>
      <c r="F951" s="12">
        <f t="shared" si="183"/>
        <v>0</v>
      </c>
      <c r="G951" s="16">
        <f t="shared" si="185"/>
        <v>7.1592290379921657</v>
      </c>
      <c r="H951" s="14">
        <f t="shared" si="186"/>
        <v>0</v>
      </c>
      <c r="I951" s="14">
        <f t="shared" si="187"/>
        <v>3.1539625719778517</v>
      </c>
      <c r="J951" s="14">
        <f t="shared" si="188"/>
        <v>0.33779054665889729</v>
      </c>
      <c r="K951" s="14">
        <f t="shared" si="189"/>
        <v>0.32312367640063128</v>
      </c>
      <c r="L951" s="14">
        <f t="shared" si="190"/>
        <v>671.6593415883458</v>
      </c>
      <c r="M951" s="14">
        <f t="shared" si="184"/>
        <v>0.14244648549655392</v>
      </c>
      <c r="N951" s="14">
        <f t="shared" si="191"/>
        <v>3.6452451323250084</v>
      </c>
      <c r="O951" s="4">
        <v>6.1726999999999999</v>
      </c>
      <c r="P951" s="14">
        <f t="shared" si="194"/>
        <v>6.3880281081340087</v>
      </c>
      <c r="Q951" s="14">
        <f t="shared" si="192"/>
        <v>0.13028417645215765</v>
      </c>
    </row>
    <row r="952" spans="1:17" x14ac:dyDescent="0.25">
      <c r="A952" s="5" t="s">
        <v>1009</v>
      </c>
      <c r="B952" s="6">
        <f t="shared" si="193"/>
        <v>12</v>
      </c>
      <c r="C952" s="58">
        <v>16.632112500000002</v>
      </c>
      <c r="D952" s="4">
        <v>9.1999999999999993</v>
      </c>
      <c r="E952" s="12">
        <f t="shared" si="182"/>
        <v>0</v>
      </c>
      <c r="F952" s="12">
        <f t="shared" si="183"/>
        <v>9.1999999999999993</v>
      </c>
      <c r="G952" s="16">
        <f t="shared" si="185"/>
        <v>14.62335298249074</v>
      </c>
      <c r="H952" s="14">
        <f t="shared" si="186"/>
        <v>1.0839688430347842</v>
      </c>
      <c r="I952" s="14">
        <f t="shared" si="187"/>
        <v>6.3740757250884048</v>
      </c>
      <c r="J952" s="14">
        <f t="shared" si="188"/>
        <v>0.65190721246664074</v>
      </c>
      <c r="K952" s="14">
        <f t="shared" si="189"/>
        <v>1.3909848041466315</v>
      </c>
      <c r="L952" s="14">
        <f t="shared" si="190"/>
        <v>671.53300281813802</v>
      </c>
      <c r="M952" s="14">
        <f t="shared" si="184"/>
        <v>0.14264500149662571</v>
      </c>
      <c r="N952" s="14">
        <f t="shared" si="191"/>
        <v>3.6503252119101788</v>
      </c>
      <c r="O952" s="4">
        <v>6.1641000000000004</v>
      </c>
      <c r="P952" s="14">
        <f t="shared" si="194"/>
        <v>6.3190636852360278</v>
      </c>
      <c r="Q952" s="14">
        <f t="shared" si="192"/>
        <v>0.13656645915330662</v>
      </c>
    </row>
    <row r="953" spans="1:17" x14ac:dyDescent="0.25">
      <c r="A953" s="5" t="s">
        <v>1010</v>
      </c>
      <c r="B953" s="6">
        <f t="shared" si="193"/>
        <v>12</v>
      </c>
      <c r="C953" s="58">
        <v>17.073249820000001</v>
      </c>
      <c r="D953" s="4">
        <v>3.5</v>
      </c>
      <c r="E953" s="12">
        <f t="shared" si="182"/>
        <v>0</v>
      </c>
      <c r="F953" s="12">
        <f t="shared" si="183"/>
        <v>3.5</v>
      </c>
      <c r="G953" s="16">
        <f t="shared" si="185"/>
        <v>16.061793208669876</v>
      </c>
      <c r="H953" s="14">
        <f t="shared" si="186"/>
        <v>0.60281282101071032</v>
      </c>
      <c r="I953" s="14">
        <f t="shared" si="187"/>
        <v>6.9828174399120106</v>
      </c>
      <c r="J953" s="14">
        <f t="shared" si="188"/>
        <v>1.4587469528101515</v>
      </c>
      <c r="K953" s="14">
        <f t="shared" si="189"/>
        <v>1.924457032583621</v>
      </c>
      <c r="L953" s="14">
        <f t="shared" si="190"/>
        <v>671.45969840921509</v>
      </c>
      <c r="M953" s="14">
        <f t="shared" si="184"/>
        <v>0.14274201437524389</v>
      </c>
      <c r="N953" s="14">
        <f t="shared" si="191"/>
        <v>3.6528077984220397</v>
      </c>
      <c r="O953" s="4">
        <v>6.1043000000000003</v>
      </c>
      <c r="P953" s="14">
        <f t="shared" si="194"/>
        <v>6.0098140143975556</v>
      </c>
      <c r="Q953" s="14">
        <f t="shared" si="192"/>
        <v>0.18434055886594974</v>
      </c>
    </row>
    <row r="954" spans="1:17" x14ac:dyDescent="0.25">
      <c r="A954" s="5" t="s">
        <v>1011</v>
      </c>
      <c r="B954" s="6">
        <f t="shared" si="193"/>
        <v>12</v>
      </c>
      <c r="C954" s="58">
        <v>16.893329619999999</v>
      </c>
      <c r="D954" s="4">
        <v>9.6</v>
      </c>
      <c r="E954" s="12">
        <f t="shared" si="182"/>
        <v>0</v>
      </c>
      <c r="F954" s="12">
        <f t="shared" si="183"/>
        <v>9.6</v>
      </c>
      <c r="G954" s="16">
        <f t="shared" si="185"/>
        <v>22.37853912502359</v>
      </c>
      <c r="H954" s="14">
        <f t="shared" si="186"/>
        <v>1.7379846769426881</v>
      </c>
      <c r="I954" s="14">
        <f t="shared" si="187"/>
        <v>6.7345388968964084</v>
      </c>
      <c r="J954" s="14">
        <f t="shared" si="188"/>
        <v>1.545269406703599</v>
      </c>
      <c r="K954" s="14">
        <f t="shared" si="189"/>
        <v>3.5665075263316339</v>
      </c>
      <c r="L954" s="14">
        <f t="shared" si="190"/>
        <v>671.41289057803453</v>
      </c>
      <c r="M954" s="14">
        <f t="shared" si="184"/>
        <v>0.20279269181619602</v>
      </c>
      <c r="N954" s="14">
        <f t="shared" si="191"/>
        <v>5.1895213148797383</v>
      </c>
      <c r="O954" s="4">
        <v>6.8902999999999999</v>
      </c>
      <c r="P954" s="14">
        <f t="shared" si="194"/>
        <v>2.8926481357594058</v>
      </c>
      <c r="Q954" s="14">
        <f t="shared" si="192"/>
        <v>0.1271999399004401</v>
      </c>
    </row>
    <row r="955" spans="1:17" x14ac:dyDescent="0.25">
      <c r="A955" s="5" t="s">
        <v>1012</v>
      </c>
      <c r="B955" s="6">
        <f t="shared" si="193"/>
        <v>12</v>
      </c>
      <c r="C955" s="58">
        <v>16.512714389999999</v>
      </c>
      <c r="D955" s="4">
        <v>0</v>
      </c>
      <c r="E955" s="12">
        <f t="shared" si="182"/>
        <v>0</v>
      </c>
      <c r="F955" s="12">
        <f t="shared" si="183"/>
        <v>0</v>
      </c>
      <c r="G955" s="16">
        <f t="shared" si="185"/>
        <v>20.393460764514334</v>
      </c>
      <c r="H955" s="14">
        <f t="shared" si="186"/>
        <v>0</v>
      </c>
      <c r="I955" s="14">
        <f t="shared" si="187"/>
        <v>6.2093138540499284</v>
      </c>
      <c r="J955" s="14">
        <f t="shared" si="188"/>
        <v>1.9850783605092563</v>
      </c>
      <c r="K955" s="14">
        <f t="shared" si="189"/>
        <v>3.3290029658874851</v>
      </c>
      <c r="L955" s="14">
        <f t="shared" si="190"/>
        <v>671.44760244666259</v>
      </c>
      <c r="M955" s="14">
        <f t="shared" si="184"/>
        <v>0.19369643530928821</v>
      </c>
      <c r="N955" s="14">
        <f t="shared" si="191"/>
        <v>4.956745584130049</v>
      </c>
      <c r="O955" s="4">
        <v>7.7519</v>
      </c>
      <c r="P955" s="14">
        <f t="shared" si="194"/>
        <v>7.8128882085572871</v>
      </c>
      <c r="Q955" s="14">
        <f t="shared" si="192"/>
        <v>1.4841355130038967</v>
      </c>
    </row>
    <row r="956" spans="1:17" x14ac:dyDescent="0.25">
      <c r="A956" s="5" t="s">
        <v>1013</v>
      </c>
      <c r="B956" s="6">
        <f t="shared" si="193"/>
        <v>12</v>
      </c>
      <c r="C956" s="58">
        <v>15.73703098</v>
      </c>
      <c r="D956" s="4">
        <v>0</v>
      </c>
      <c r="E956" s="12">
        <f t="shared" si="182"/>
        <v>0</v>
      </c>
      <c r="F956" s="12">
        <f t="shared" si="183"/>
        <v>0</v>
      </c>
      <c r="G956" s="16">
        <f t="shared" si="185"/>
        <v>18.896311621318667</v>
      </c>
      <c r="H956" s="14">
        <f t="shared" si="186"/>
        <v>0</v>
      </c>
      <c r="I956" s="14">
        <f t="shared" si="187"/>
        <v>5.1389196077331079</v>
      </c>
      <c r="J956" s="14">
        <f t="shared" si="188"/>
        <v>1.4971491431956663</v>
      </c>
      <c r="K956" s="14">
        <f t="shared" si="189"/>
        <v>3.1123915138233622</v>
      </c>
      <c r="L956" s="14">
        <f t="shared" si="190"/>
        <v>671.47051746341742</v>
      </c>
      <c r="M956" s="14">
        <f t="shared" si="184"/>
        <v>0.18539851666195573</v>
      </c>
      <c r="N956" s="14">
        <f t="shared" si="191"/>
        <v>4.7443995409674082</v>
      </c>
      <c r="O956" s="4">
        <v>10.917299999999999</v>
      </c>
      <c r="P956" s="14">
        <f t="shared" si="194"/>
        <v>38.104700077124768</v>
      </c>
      <c r="Q956" s="14">
        <f t="shared" si="192"/>
        <v>19.216396140187825</v>
      </c>
    </row>
    <row r="957" spans="1:17" x14ac:dyDescent="0.25">
      <c r="A957" s="5" t="s">
        <v>1014</v>
      </c>
      <c r="B957" s="6">
        <f t="shared" si="193"/>
        <v>12</v>
      </c>
      <c r="C957" s="58">
        <v>15.69390965</v>
      </c>
      <c r="D957" s="4">
        <v>2.2999999999999998</v>
      </c>
      <c r="E957" s="12">
        <f t="shared" si="182"/>
        <v>0</v>
      </c>
      <c r="F957" s="12">
        <f t="shared" si="183"/>
        <v>2.2999999999999998</v>
      </c>
      <c r="G957" s="16">
        <f t="shared" si="185"/>
        <v>19.371170503947088</v>
      </c>
      <c r="H957" s="14">
        <f t="shared" si="186"/>
        <v>0.45396563026612646</v>
      </c>
      <c r="I957" s="14">
        <f t="shared" si="187"/>
        <v>5.0794148885003869</v>
      </c>
      <c r="J957" s="14">
        <f t="shared" si="188"/>
        <v>1.3711754871054542</v>
      </c>
      <c r="K957" s="14">
        <f t="shared" si="189"/>
        <v>3.3688008484226462</v>
      </c>
      <c r="L957" s="14">
        <f t="shared" si="190"/>
        <v>671.48267524242226</v>
      </c>
      <c r="M957" s="14">
        <f t="shared" si="184"/>
        <v>0.19522933375562465</v>
      </c>
      <c r="N957" s="14">
        <f t="shared" si="191"/>
        <v>4.9959728811769226</v>
      </c>
      <c r="O957" s="4">
        <v>9.3521000000000001</v>
      </c>
      <c r="P957" s="14">
        <f t="shared" si="194"/>
        <v>18.975843475345847</v>
      </c>
      <c r="Q957" s="14">
        <f t="shared" si="192"/>
        <v>7.9436660717970158</v>
      </c>
    </row>
    <row r="958" spans="1:17" x14ac:dyDescent="0.25">
      <c r="A958" s="5" t="s">
        <v>1015</v>
      </c>
      <c r="B958" s="6">
        <f t="shared" si="193"/>
        <v>12</v>
      </c>
      <c r="C958" s="58">
        <v>12.724501610000001</v>
      </c>
      <c r="D958" s="4">
        <v>9.5</v>
      </c>
      <c r="E958" s="12">
        <f t="shared" si="182"/>
        <v>0</v>
      </c>
      <c r="F958" s="12">
        <f t="shared" si="183"/>
        <v>9.5</v>
      </c>
      <c r="G958" s="16">
        <f t="shared" si="185"/>
        <v>26.699492732490878</v>
      </c>
      <c r="H958" s="14">
        <f t="shared" si="186"/>
        <v>1.8999778374485852</v>
      </c>
      <c r="I958" s="14">
        <f t="shared" si="187"/>
        <v>0.98181883319360685</v>
      </c>
      <c r="J958" s="14">
        <f t="shared" si="188"/>
        <v>0.27169993400762382</v>
      </c>
      <c r="K958" s="14">
        <f t="shared" si="189"/>
        <v>5.0486662421985775</v>
      </c>
      <c r="L958" s="14">
        <f t="shared" si="190"/>
        <v>671.50755835233929</v>
      </c>
      <c r="M958" s="14">
        <f t="shared" si="184"/>
        <v>0.25962430823431337</v>
      </c>
      <c r="N958" s="14">
        <f t="shared" si="191"/>
        <v>6.6438581655794779</v>
      </c>
      <c r="O958" s="4">
        <v>6.9348999999999998</v>
      </c>
      <c r="P958" s="14">
        <f t="shared" si="194"/>
        <v>8.4705349382862477E-2</v>
      </c>
      <c r="Q958" s="14">
        <f t="shared" si="192"/>
        <v>0.16100236961308417</v>
      </c>
    </row>
    <row r="959" spans="1:17" x14ac:dyDescent="0.25">
      <c r="A959" s="5" t="s">
        <v>1016</v>
      </c>
      <c r="B959" s="6">
        <f t="shared" si="193"/>
        <v>12</v>
      </c>
      <c r="C959" s="58">
        <v>16.230667109999999</v>
      </c>
      <c r="D959" s="4">
        <v>5.5</v>
      </c>
      <c r="E959" s="12">
        <f t="shared" si="182"/>
        <v>0</v>
      </c>
      <c r="F959" s="12">
        <f t="shared" si="183"/>
        <v>5.5</v>
      </c>
      <c r="G959" s="16">
        <f t="shared" si="185"/>
        <v>28.675025647808688</v>
      </c>
      <c r="H959" s="14">
        <f t="shared" si="186"/>
        <v>1.3045526088243997</v>
      </c>
      <c r="I959" s="14">
        <f t="shared" si="187"/>
        <v>5.8201063735118179</v>
      </c>
      <c r="J959" s="14">
        <f t="shared" si="188"/>
        <v>2.2199144758577947</v>
      </c>
      <c r="K959" s="14">
        <f t="shared" si="189"/>
        <v>5.9853298355220588</v>
      </c>
      <c r="L959" s="14">
        <f t="shared" si="190"/>
        <v>671.61582305960587</v>
      </c>
      <c r="M959" s="14">
        <f t="shared" si="184"/>
        <v>0.29554982976371102</v>
      </c>
      <c r="N959" s="14">
        <f t="shared" si="191"/>
        <v>7.5632022408282999</v>
      </c>
      <c r="O959" s="4">
        <v>4.8657000000000004</v>
      </c>
      <c r="P959" s="14">
        <f t="shared" si="194"/>
        <v>7.2765183392736974</v>
      </c>
      <c r="Q959" s="14">
        <f t="shared" si="192"/>
        <v>2.7820538474291556</v>
      </c>
    </row>
    <row r="960" spans="1:17" x14ac:dyDescent="0.25">
      <c r="A960" s="5" t="s">
        <v>1017</v>
      </c>
      <c r="B960" s="6">
        <f t="shared" si="193"/>
        <v>12</v>
      </c>
      <c r="C960" s="58">
        <v>14.84874344</v>
      </c>
      <c r="D960" s="4">
        <v>0</v>
      </c>
      <c r="E960" s="12">
        <f t="shared" si="182"/>
        <v>0</v>
      </c>
      <c r="F960" s="12">
        <f t="shared" si="183"/>
        <v>0</v>
      </c>
      <c r="G960" s="16">
        <f t="shared" si="185"/>
        <v>27.072033579626233</v>
      </c>
      <c r="H960" s="14">
        <f t="shared" si="186"/>
        <v>0</v>
      </c>
      <c r="I960" s="14">
        <f t="shared" si="187"/>
        <v>3.9131387548321475</v>
      </c>
      <c r="J960" s="14">
        <f t="shared" si="188"/>
        <v>1.6029920681824563</v>
      </c>
      <c r="K960" s="14">
        <f t="shared" si="189"/>
        <v>5.5350431854901005</v>
      </c>
      <c r="L960" s="14">
        <f t="shared" si="190"/>
        <v>671.7705598798741</v>
      </c>
      <c r="M960" s="14">
        <f t="shared" si="184"/>
        <v>0.27832302047902863</v>
      </c>
      <c r="N960" s="14">
        <f t="shared" si="191"/>
        <v>7.1223634060084748</v>
      </c>
      <c r="O960" s="4">
        <v>4.9596</v>
      </c>
      <c r="P960" s="14">
        <f t="shared" si="194"/>
        <v>4.6775455503693788</v>
      </c>
      <c r="Q960" s="14">
        <f t="shared" si="192"/>
        <v>2.4776302363084679</v>
      </c>
    </row>
    <row r="961" spans="1:17" x14ac:dyDescent="0.25">
      <c r="A961" s="5" t="s">
        <v>1018</v>
      </c>
      <c r="B961" s="6">
        <f t="shared" si="193"/>
        <v>12</v>
      </c>
      <c r="C961" s="58">
        <v>12.85677052</v>
      </c>
      <c r="D961" s="4">
        <v>8.1999999999999993</v>
      </c>
      <c r="E961" s="12">
        <f t="shared" si="182"/>
        <v>0</v>
      </c>
      <c r="F961" s="12">
        <f t="shared" si="183"/>
        <v>8.1999999999999993</v>
      </c>
      <c r="G961" s="16">
        <f t="shared" si="185"/>
        <v>32.86238316587135</v>
      </c>
      <c r="H961" s="14">
        <f t="shared" si="186"/>
        <v>1.9593486954566897</v>
      </c>
      <c r="I961" s="14">
        <f t="shared" si="187"/>
        <v>1.1643415975139069</v>
      </c>
      <c r="J961" s="14">
        <f t="shared" si="188"/>
        <v>0.45030171829819282</v>
      </c>
      <c r="K961" s="14">
        <f t="shared" si="189"/>
        <v>7.0837166293806266</v>
      </c>
      <c r="L961" s="14">
        <f t="shared" si="190"/>
        <v>671.90291211096121</v>
      </c>
      <c r="M961" s="14">
        <f t="shared" si="184"/>
        <v>0.33771215295425</v>
      </c>
      <c r="N961" s="14">
        <f t="shared" si="191"/>
        <v>8.6421478030306336</v>
      </c>
      <c r="O961" s="4">
        <v>5.2586000000000004</v>
      </c>
      <c r="P961" s="14">
        <f t="shared" si="194"/>
        <v>11.448395735393424</v>
      </c>
      <c r="Q961" s="14">
        <f t="shared" si="192"/>
        <v>1.6257499377452513</v>
      </c>
    </row>
    <row r="962" spans="1:17" x14ac:dyDescent="0.25">
      <c r="A962" s="5" t="s">
        <v>1019</v>
      </c>
      <c r="B962" s="6">
        <f t="shared" si="193"/>
        <v>12</v>
      </c>
      <c r="C962" s="58">
        <v>15.87421894</v>
      </c>
      <c r="D962" s="4">
        <v>1.3</v>
      </c>
      <c r="E962" s="12">
        <f t="shared" si="182"/>
        <v>0</v>
      </c>
      <c r="F962" s="12">
        <f t="shared" si="183"/>
        <v>1.3</v>
      </c>
      <c r="G962" s="16">
        <f t="shared" si="185"/>
        <v>31.316635323753637</v>
      </c>
      <c r="H962" s="14">
        <f t="shared" si="186"/>
        <v>0.34434085929106734</v>
      </c>
      <c r="I962" s="14">
        <f t="shared" si="187"/>
        <v>5.3282303512076163</v>
      </c>
      <c r="J962" s="14">
        <f t="shared" si="188"/>
        <v>2.5014069828266434</v>
      </c>
      <c r="K962" s="14">
        <f t="shared" si="189"/>
        <v>6.8811465284186575</v>
      </c>
      <c r="L962" s="14">
        <f t="shared" si="190"/>
        <v>672.11211091825999</v>
      </c>
      <c r="M962" s="14">
        <f t="shared" si="184"/>
        <v>0.32999193156145695</v>
      </c>
      <c r="N962" s="14">
        <f t="shared" si="191"/>
        <v>8.4445851930831157</v>
      </c>
      <c r="O962" s="4">
        <v>5.2586000000000004</v>
      </c>
      <c r="P962" s="14">
        <f t="shared" si="194"/>
        <v>10.150501650544856</v>
      </c>
      <c r="Q962" s="14">
        <f t="shared" si="192"/>
        <v>1.6257499377452513</v>
      </c>
    </row>
    <row r="963" spans="1:17" x14ac:dyDescent="0.25">
      <c r="A963" s="5" t="s">
        <v>1020</v>
      </c>
      <c r="B963" s="6">
        <f t="shared" si="193"/>
        <v>12</v>
      </c>
      <c r="C963" s="58">
        <v>15.169313430000001</v>
      </c>
      <c r="D963" s="4">
        <v>1.7</v>
      </c>
      <c r="E963" s="12">
        <f t="shared" si="182"/>
        <v>0</v>
      </c>
      <c r="F963" s="12">
        <f t="shared" si="183"/>
        <v>1.7</v>
      </c>
      <c r="G963" s="16">
        <f t="shared" si="185"/>
        <v>30.629159782029461</v>
      </c>
      <c r="H963" s="14">
        <f t="shared" si="186"/>
        <v>0.43890587685355209</v>
      </c>
      <c r="I963" s="14">
        <f t="shared" si="187"/>
        <v>4.3555051486652223</v>
      </c>
      <c r="J963" s="14">
        <f t="shared" si="188"/>
        <v>1.948569664870625</v>
      </c>
      <c r="K963" s="14">
        <f t="shared" si="189"/>
        <v>6.7909613936805231</v>
      </c>
      <c r="L963" s="14">
        <f t="shared" si="190"/>
        <v>672.31120999829022</v>
      </c>
      <c r="M963" s="14">
        <f t="shared" si="184"/>
        <v>0.32657731570636861</v>
      </c>
      <c r="N963" s="14">
        <f t="shared" si="191"/>
        <v>8.3572042248470026</v>
      </c>
      <c r="O963" s="4">
        <v>4.3872999999999998</v>
      </c>
      <c r="P963" s="14">
        <f t="shared" si="194"/>
        <v>15.760139554458084</v>
      </c>
      <c r="Q963" s="14">
        <f t="shared" si="192"/>
        <v>4.6068140051303024</v>
      </c>
    </row>
    <row r="964" spans="1:17" x14ac:dyDescent="0.25">
      <c r="A964" s="5" t="s">
        <v>1021</v>
      </c>
      <c r="B964" s="6">
        <f t="shared" si="193"/>
        <v>12</v>
      </c>
      <c r="C964" s="58">
        <v>16.167304990000002</v>
      </c>
      <c r="D964" s="4">
        <v>0.7</v>
      </c>
      <c r="E964" s="12">
        <f t="shared" si="182"/>
        <v>0</v>
      </c>
      <c r="F964" s="12">
        <f t="shared" si="183"/>
        <v>0.7</v>
      </c>
      <c r="G964" s="16">
        <f t="shared" si="185"/>
        <v>28.642167666619205</v>
      </c>
      <c r="H964" s="14">
        <f t="shared" si="186"/>
        <v>0.17860601861847089</v>
      </c>
      <c r="I964" s="14">
        <f t="shared" si="187"/>
        <v>5.7326706390252022</v>
      </c>
      <c r="J964" s="14">
        <f t="shared" si="188"/>
        <v>2.5083860967917837</v>
      </c>
      <c r="K964" s="14">
        <f t="shared" si="189"/>
        <v>6.448409923292421</v>
      </c>
      <c r="L964" s="14">
        <f t="shared" si="190"/>
        <v>672.50579017159043</v>
      </c>
      <c r="M964" s="14">
        <f t="shared" si="184"/>
        <v>0.31348847130030361</v>
      </c>
      <c r="N964" s="14">
        <f t="shared" si="191"/>
        <v>8.0222570607056856</v>
      </c>
      <c r="O964" s="4">
        <v>3.4476</v>
      </c>
      <c r="P964" s="14">
        <f t="shared" si="194"/>
        <v>20.927487223064386</v>
      </c>
      <c r="Q964" s="14">
        <f t="shared" si="192"/>
        <v>9.5236983949291432</v>
      </c>
    </row>
    <row r="965" spans="1:17" x14ac:dyDescent="0.25">
      <c r="A965" s="5" t="s">
        <v>1022</v>
      </c>
      <c r="B965" s="6">
        <f t="shared" si="193"/>
        <v>12</v>
      </c>
      <c r="C965" s="58">
        <v>16.290300370000001</v>
      </c>
      <c r="D965" s="4">
        <v>1.1000000000000001</v>
      </c>
      <c r="E965" s="12">
        <f t="shared" si="182"/>
        <v>0</v>
      </c>
      <c r="F965" s="12">
        <f t="shared" si="183"/>
        <v>1.1000000000000001</v>
      </c>
      <c r="G965" s="16">
        <f t="shared" si="185"/>
        <v>27.056223638839562</v>
      </c>
      <c r="H965" s="14">
        <f t="shared" si="186"/>
        <v>0.27083592534505541</v>
      </c>
      <c r="I965" s="14">
        <f t="shared" si="187"/>
        <v>5.9023965160754148</v>
      </c>
      <c r="J965" s="14">
        <f t="shared" si="188"/>
        <v>2.4151081024345897</v>
      </c>
      <c r="K965" s="14">
        <f t="shared" si="189"/>
        <v>6.228222370460724</v>
      </c>
      <c r="L965" s="14">
        <f t="shared" si="190"/>
        <v>672.68332517846682</v>
      </c>
      <c r="M965" s="14">
        <f t="shared" si="184"/>
        <v>0.30508625607057083</v>
      </c>
      <c r="N965" s="14">
        <f t="shared" si="191"/>
        <v>7.8072420390281492</v>
      </c>
      <c r="O965" s="4">
        <v>2.9094000000000002</v>
      </c>
      <c r="P965" s="14">
        <f t="shared" si="194"/>
        <v>23.988856639271411</v>
      </c>
      <c r="Q965" s="14">
        <f t="shared" si="192"/>
        <v>13.135180772342929</v>
      </c>
    </row>
    <row r="966" spans="1:17" x14ac:dyDescent="0.25">
      <c r="A966" s="5" t="s">
        <v>1023</v>
      </c>
      <c r="B966" s="6">
        <f t="shared" si="193"/>
        <v>12</v>
      </c>
      <c r="C966" s="58">
        <v>16.134115220000002</v>
      </c>
      <c r="D966" s="4">
        <v>0.4</v>
      </c>
      <c r="E966" s="12">
        <f t="shared" si="182"/>
        <v>0</v>
      </c>
      <c r="F966" s="12">
        <f t="shared" si="183"/>
        <v>0.4</v>
      </c>
      <c r="G966" s="16">
        <f t="shared" si="185"/>
        <v>25.162598561853891</v>
      </c>
      <c r="H966" s="14">
        <f t="shared" si="186"/>
        <v>9.5548309904253462E-2</v>
      </c>
      <c r="I966" s="14">
        <f t="shared" si="187"/>
        <v>5.6868708470139495</v>
      </c>
      <c r="J966" s="14">
        <f t="shared" si="188"/>
        <v>2.1980767670814192</v>
      </c>
      <c r="K966" s="14">
        <f t="shared" si="189"/>
        <v>5.8521169456434343</v>
      </c>
      <c r="L966" s="14">
        <f t="shared" si="190"/>
        <v>672.84989265711772</v>
      </c>
      <c r="M966" s="14">
        <f t="shared" si="184"/>
        <v>0.29070534128920938</v>
      </c>
      <c r="N966" s="14">
        <f t="shared" si="191"/>
        <v>7.4392304350745597</v>
      </c>
      <c r="O966" s="4">
        <v>2.7936999999999999</v>
      </c>
      <c r="P966" s="14">
        <f t="shared" si="194"/>
        <v>21.580953023204035</v>
      </c>
      <c r="Q966" s="14">
        <f t="shared" si="192"/>
        <v>13.987218479613047</v>
      </c>
    </row>
    <row r="967" spans="1:17" x14ac:dyDescent="0.25">
      <c r="A967" s="5" t="s">
        <v>1024</v>
      </c>
      <c r="B967" s="6">
        <f t="shared" si="193"/>
        <v>12</v>
      </c>
      <c r="C967" s="58">
        <v>16.16523552</v>
      </c>
      <c r="D967" s="4">
        <v>0.8</v>
      </c>
      <c r="E967" s="12">
        <f t="shared" si="182"/>
        <v>0</v>
      </c>
      <c r="F967" s="12">
        <f t="shared" si="183"/>
        <v>0.8</v>
      </c>
      <c r="G967" s="16">
        <f t="shared" si="185"/>
        <v>23.719058742452599</v>
      </c>
      <c r="H967" s="14">
        <f t="shared" si="186"/>
        <v>0.18386626780109022</v>
      </c>
      <c r="I967" s="14">
        <f t="shared" si="187"/>
        <v>5.7298149007789405</v>
      </c>
      <c r="J967" s="14">
        <f t="shared" si="188"/>
        <v>2.0596735516002025</v>
      </c>
      <c r="K967" s="14">
        <f t="shared" si="189"/>
        <v>5.597415207217324</v>
      </c>
      <c r="L967" s="14">
        <f t="shared" si="190"/>
        <v>672.9977553220557</v>
      </c>
      <c r="M967" s="14">
        <f t="shared" si="184"/>
        <v>0.28097389794917693</v>
      </c>
      <c r="N967" s="14">
        <f t="shared" si="191"/>
        <v>7.190200096824424</v>
      </c>
      <c r="O967" s="4">
        <v>3.3451</v>
      </c>
      <c r="P967" s="14">
        <f t="shared" si="194"/>
        <v>14.784794754599195</v>
      </c>
      <c r="Q967" s="14">
        <f t="shared" si="192"/>
        <v>10.166844688750981</v>
      </c>
    </row>
    <row r="968" spans="1:17" x14ac:dyDescent="0.25">
      <c r="A968" s="5" t="s">
        <v>1025</v>
      </c>
      <c r="B968" s="6">
        <f t="shared" si="193"/>
        <v>1</v>
      </c>
      <c r="C968" s="58">
        <v>14.96869373</v>
      </c>
      <c r="D968" s="4">
        <v>10</v>
      </c>
      <c r="E968" s="12">
        <f t="shared" si="182"/>
        <v>0</v>
      </c>
      <c r="F968" s="12">
        <f t="shared" si="183"/>
        <v>10</v>
      </c>
      <c r="G968" s="16">
        <f t="shared" si="185"/>
        <v>29.285634421277027</v>
      </c>
      <c r="H968" s="14">
        <f t="shared" si="186"/>
        <v>2.2272696869173259</v>
      </c>
      <c r="I968" s="14">
        <f t="shared" si="187"/>
        <v>6.510827489598241</v>
      </c>
      <c r="J968" s="14">
        <f t="shared" si="188"/>
        <v>2.2061546342582496</v>
      </c>
      <c r="K968" s="14">
        <f t="shared" si="189"/>
        <v>7.4085228198843609</v>
      </c>
      <c r="L968" s="14">
        <f t="shared" si="190"/>
        <v>673.13294349835678</v>
      </c>
      <c r="M968" s="14">
        <f t="shared" si="184"/>
        <v>0.35042280501720346</v>
      </c>
      <c r="N968" s="14">
        <f t="shared" si="191"/>
        <v>8.967416920058298</v>
      </c>
      <c r="O968" s="4">
        <v>3.69</v>
      </c>
      <c r="P968" s="14">
        <f t="shared" si="194"/>
        <v>27.851129348117617</v>
      </c>
      <c r="Q968" s="14">
        <f t="shared" si="192"/>
        <v>8.086339602515352</v>
      </c>
    </row>
    <row r="969" spans="1:17" x14ac:dyDescent="0.25">
      <c r="A969" s="5" t="s">
        <v>1026</v>
      </c>
      <c r="B969" s="6">
        <f t="shared" si="193"/>
        <v>1</v>
      </c>
      <c r="C969" s="58">
        <v>16.558246610000001</v>
      </c>
      <c r="D969" s="4">
        <v>3.8</v>
      </c>
      <c r="E969" s="12">
        <f t="shared" si="182"/>
        <v>0</v>
      </c>
      <c r="F969" s="12">
        <f t="shared" si="183"/>
        <v>3.8</v>
      </c>
      <c r="G969" s="16">
        <f t="shared" si="185"/>
        <v>28.090991316023242</v>
      </c>
      <c r="H969" s="14">
        <f t="shared" si="186"/>
        <v>0.94673025254921883</v>
      </c>
      <c r="I969" s="14">
        <f t="shared" si="187"/>
        <v>9.6755175862451299</v>
      </c>
      <c r="J969" s="14">
        <f t="shared" si="188"/>
        <v>4.047912852704572</v>
      </c>
      <c r="K969" s="14">
        <f t="shared" si="189"/>
        <v>7.7797691410847172</v>
      </c>
      <c r="L969" s="14">
        <f t="shared" si="190"/>
        <v>673.35800462468842</v>
      </c>
      <c r="M969" s="14">
        <f t="shared" si="184"/>
        <v>0.36470048644027886</v>
      </c>
      <c r="N969" s="14">
        <f t="shared" si="191"/>
        <v>9.3327867536974143</v>
      </c>
      <c r="O969" s="4">
        <v>4.96</v>
      </c>
      <c r="P969" s="14">
        <f t="shared" si="194"/>
        <v>19.121263993311572</v>
      </c>
      <c r="Q969" s="14">
        <f t="shared" si="192"/>
        <v>2.4763711571130655</v>
      </c>
    </row>
    <row r="970" spans="1:17" x14ac:dyDescent="0.25">
      <c r="A970" s="5" t="s">
        <v>1027</v>
      </c>
      <c r="B970" s="6">
        <f t="shared" si="193"/>
        <v>1</v>
      </c>
      <c r="C970" s="58">
        <v>17.03171158</v>
      </c>
      <c r="D970" s="4">
        <v>3.3</v>
      </c>
      <c r="E970" s="12">
        <f t="shared" si="182"/>
        <v>0</v>
      </c>
      <c r="F970" s="12">
        <f t="shared" si="183"/>
        <v>3.3</v>
      </c>
      <c r="G970" s="16">
        <f t="shared" si="185"/>
        <v>26.325765673497681</v>
      </c>
      <c r="H970" s="14">
        <f t="shared" si="186"/>
        <v>0.80415845100625549</v>
      </c>
      <c r="I970" s="14">
        <f t="shared" si="187"/>
        <v>10.618153669964602</v>
      </c>
      <c r="J970" s="14">
        <f t="shared" si="188"/>
        <v>4.261067191519305</v>
      </c>
      <c r="K970" s="14">
        <f t="shared" si="189"/>
        <v>7.9757853841598818</v>
      </c>
      <c r="L970" s="14">
        <f t="shared" si="190"/>
        <v>673.60144634617927</v>
      </c>
      <c r="M970" s="14">
        <f t="shared" si="184"/>
        <v>0.37226544738482503</v>
      </c>
      <c r="N970" s="14">
        <f t="shared" si="191"/>
        <v>9.5263762056463914</v>
      </c>
      <c r="O970" s="4">
        <v>5.36</v>
      </c>
      <c r="P970" s="14">
        <f t="shared" si="194"/>
        <v>17.35869068697642</v>
      </c>
      <c r="Q970" s="14">
        <f t="shared" si="192"/>
        <v>1.3774519617107697</v>
      </c>
    </row>
    <row r="971" spans="1:17" x14ac:dyDescent="0.25">
      <c r="A971" s="5" t="s">
        <v>1028</v>
      </c>
      <c r="B971" s="6">
        <f t="shared" si="193"/>
        <v>1</v>
      </c>
      <c r="C971" s="58">
        <v>16.45755196</v>
      </c>
      <c r="D971" s="4">
        <v>1.6</v>
      </c>
      <c r="E971" s="12">
        <f t="shared" si="182"/>
        <v>0</v>
      </c>
      <c r="F971" s="12">
        <f t="shared" si="183"/>
        <v>1.6</v>
      </c>
      <c r="G971" s="16">
        <f t="shared" si="185"/>
        <v>23.985693703017937</v>
      </c>
      <c r="H971" s="14">
        <f t="shared" si="186"/>
        <v>0.37667306541216689</v>
      </c>
      <c r="I971" s="14">
        <f t="shared" si="187"/>
        <v>9.4750414865507757</v>
      </c>
      <c r="J971" s="14">
        <f t="shared" si="188"/>
        <v>3.5633989050675776</v>
      </c>
      <c r="K971" s="14">
        <f t="shared" si="189"/>
        <v>7.727072831227467</v>
      </c>
      <c r="L971" s="14">
        <f t="shared" si="190"/>
        <v>673.85456651713901</v>
      </c>
      <c r="M971" s="14">
        <f t="shared" si="184"/>
        <v>0.36278588364273767</v>
      </c>
      <c r="N971" s="14">
        <f t="shared" si="191"/>
        <v>9.283791536274224</v>
      </c>
      <c r="O971" s="4">
        <v>4.9000000000000004</v>
      </c>
      <c r="P971" s="14">
        <f t="shared" si="194"/>
        <v>19.217628233509519</v>
      </c>
      <c r="Q971" s="14">
        <f t="shared" si="192"/>
        <v>2.6688090364234087</v>
      </c>
    </row>
    <row r="972" spans="1:17" x14ac:dyDescent="0.25">
      <c r="A972" s="5" t="s">
        <v>1029</v>
      </c>
      <c r="B972" s="6">
        <f t="shared" si="193"/>
        <v>1</v>
      </c>
      <c r="C972" s="58">
        <v>17.376062390000001</v>
      </c>
      <c r="D972" s="4">
        <v>0</v>
      </c>
      <c r="E972" s="12">
        <f t="shared" si="182"/>
        <v>0</v>
      </c>
      <c r="F972" s="12">
        <f t="shared" si="183"/>
        <v>0</v>
      </c>
      <c r="G972" s="16">
        <f t="shared" si="185"/>
        <v>20.112435398834393</v>
      </c>
      <c r="H972" s="14">
        <f t="shared" si="186"/>
        <v>0</v>
      </c>
      <c r="I972" s="14">
        <f t="shared" si="187"/>
        <v>11.303732370674037</v>
      </c>
      <c r="J972" s="14">
        <f t="shared" si="188"/>
        <v>3.8732583041835436</v>
      </c>
      <c r="K972" s="14">
        <f t="shared" si="189"/>
        <v>7.1235662804434066</v>
      </c>
      <c r="L972" s="14">
        <f t="shared" si="190"/>
        <v>674.09528718428032</v>
      </c>
      <c r="M972" s="14">
        <f t="shared" si="184"/>
        <v>0.33970434052886989</v>
      </c>
      <c r="N972" s="14">
        <f t="shared" si="191"/>
        <v>8.6931284364505927</v>
      </c>
      <c r="O972" s="4">
        <v>4.43</v>
      </c>
      <c r="P972" s="14">
        <f t="shared" si="194"/>
        <v>18.174264065673679</v>
      </c>
      <c r="Q972" s="14">
        <f t="shared" si="192"/>
        <v>4.4253390910211081</v>
      </c>
    </row>
    <row r="973" spans="1:17" x14ac:dyDescent="0.25">
      <c r="A973" s="5" t="s">
        <v>1030</v>
      </c>
      <c r="B973" s="6">
        <f t="shared" si="193"/>
        <v>1</v>
      </c>
      <c r="C973" s="58">
        <v>16.647924419999999</v>
      </c>
      <c r="D973" s="4">
        <v>5.4</v>
      </c>
      <c r="E973" s="12">
        <f t="shared" si="182"/>
        <v>0</v>
      </c>
      <c r="F973" s="12">
        <f t="shared" si="183"/>
        <v>5.4</v>
      </c>
      <c r="G973" s="16">
        <f t="shared" si="185"/>
        <v>21.579396846065066</v>
      </c>
      <c r="H973" s="14">
        <f t="shared" si="186"/>
        <v>1.1017627876441423</v>
      </c>
      <c r="I973" s="14">
        <f t="shared" si="187"/>
        <v>9.854059917718855</v>
      </c>
      <c r="J973" s="14">
        <f t="shared" si="188"/>
        <v>2.8312757651251848</v>
      </c>
      <c r="K973" s="14">
        <f t="shared" si="189"/>
        <v>7.6749125621851819</v>
      </c>
      <c r="L973" s="14">
        <f t="shared" si="190"/>
        <v>674.3059993496538</v>
      </c>
      <c r="M973" s="14">
        <f t="shared" si="184"/>
        <v>0.3608822609803512</v>
      </c>
      <c r="N973" s="14">
        <f t="shared" si="191"/>
        <v>9.2350773035596827</v>
      </c>
      <c r="O973" s="4">
        <v>5.88</v>
      </c>
      <c r="P973" s="14">
        <f t="shared" si="194"/>
        <v>11.256543712861312</v>
      </c>
      <c r="Q973" s="14">
        <f t="shared" si="192"/>
        <v>0.42725700768778707</v>
      </c>
    </row>
    <row r="974" spans="1:17" x14ac:dyDescent="0.25">
      <c r="A974" s="5" t="s">
        <v>1031</v>
      </c>
      <c r="B974" s="6">
        <f t="shared" si="193"/>
        <v>1</v>
      </c>
      <c r="C974" s="58">
        <v>16.231105800000002</v>
      </c>
      <c r="D974" s="4">
        <v>1.3</v>
      </c>
      <c r="E974" s="12">
        <f t="shared" si="182"/>
        <v>0</v>
      </c>
      <c r="F974" s="12">
        <f t="shared" si="183"/>
        <v>1.3</v>
      </c>
      <c r="G974" s="16">
        <f t="shared" si="185"/>
        <v>19.822086099166633</v>
      </c>
      <c r="H974" s="14">
        <f t="shared" si="186"/>
        <v>0.27535344873037432</v>
      </c>
      <c r="I974" s="14">
        <f t="shared" si="187"/>
        <v>9.0242028079560068</v>
      </c>
      <c r="J974" s="14">
        <f t="shared" si="188"/>
        <v>2.7819572981680576</v>
      </c>
      <c r="K974" s="14">
        <f t="shared" si="189"/>
        <v>7.3513479621467575</v>
      </c>
      <c r="L974" s="14">
        <f t="shared" si="190"/>
        <v>674.54403513744228</v>
      </c>
      <c r="M974" s="14">
        <f t="shared" si="184"/>
        <v>0.34853040022405479</v>
      </c>
      <c r="N974" s="14">
        <f t="shared" si="191"/>
        <v>8.9189897557336248</v>
      </c>
      <c r="O974" s="4">
        <v>4.6900000000000004</v>
      </c>
      <c r="P974" s="14">
        <f t="shared" si="194"/>
        <v>17.884354354099941</v>
      </c>
      <c r="Q974" s="14">
        <f t="shared" si="192"/>
        <v>3.3990416140096134</v>
      </c>
    </row>
    <row r="975" spans="1:17" x14ac:dyDescent="0.25">
      <c r="A975" s="5" t="s">
        <v>1032</v>
      </c>
      <c r="B975" s="6">
        <f t="shared" si="193"/>
        <v>1</v>
      </c>
      <c r="C975" s="58">
        <v>16.129089359999998</v>
      </c>
      <c r="D975" s="4">
        <v>0.7</v>
      </c>
      <c r="E975" s="12">
        <f t="shared" si="182"/>
        <v>0</v>
      </c>
      <c r="F975" s="12">
        <f t="shared" si="183"/>
        <v>0.7</v>
      </c>
      <c r="G975" s="16">
        <f t="shared" si="185"/>
        <v>17.882469770776609</v>
      </c>
      <c r="H975" s="14">
        <f t="shared" si="186"/>
        <v>0.14172135593384813</v>
      </c>
      <c r="I975" s="14">
        <f t="shared" si="187"/>
        <v>8.8210951155820467</v>
      </c>
      <c r="J975" s="14">
        <f t="shared" si="188"/>
        <v>2.4978949724561779</v>
      </c>
      <c r="K975" s="14">
        <f t="shared" si="189"/>
        <v>6.9226150185716122</v>
      </c>
      <c r="L975" s="14">
        <f t="shared" si="190"/>
        <v>674.76595903672717</v>
      </c>
      <c r="M975" s="14">
        <f t="shared" si="184"/>
        <v>0.33214399271344552</v>
      </c>
      <c r="N975" s="14">
        <f t="shared" si="191"/>
        <v>8.4996570357572683</v>
      </c>
      <c r="O975" s="4">
        <v>4.8099999999999996</v>
      </c>
      <c r="P975" s="14">
        <f t="shared" si="194"/>
        <v>13.613569041513115</v>
      </c>
      <c r="Q975" s="14">
        <f t="shared" si="192"/>
        <v>2.9709658553889278</v>
      </c>
    </row>
    <row r="976" spans="1:17" x14ac:dyDescent="0.25">
      <c r="A976" s="5" t="s">
        <v>1033</v>
      </c>
      <c r="B976" s="6">
        <f t="shared" si="193"/>
        <v>1</v>
      </c>
      <c r="C976" s="58">
        <v>16.54774475</v>
      </c>
      <c r="D976" s="4">
        <v>3.2</v>
      </c>
      <c r="E976" s="12">
        <f t="shared" si="182"/>
        <v>0</v>
      </c>
      <c r="F976" s="12">
        <f t="shared" si="183"/>
        <v>3.2</v>
      </c>
      <c r="G976" s="16">
        <f t="shared" si="185"/>
        <v>18.002706108382029</v>
      </c>
      <c r="H976" s="14">
        <f t="shared" si="186"/>
        <v>0.61335802041704302</v>
      </c>
      <c r="I976" s="14">
        <f t="shared" si="187"/>
        <v>9.6546091076682004</v>
      </c>
      <c r="J976" s="14">
        <f t="shared" si="188"/>
        <v>2.4664056419775364</v>
      </c>
      <c r="K976" s="14">
        <f t="shared" si="189"/>
        <v>7.0032340736166221</v>
      </c>
      <c r="L976" s="14">
        <f t="shared" si="190"/>
        <v>674.96655400938585</v>
      </c>
      <c r="M976" s="14">
        <f t="shared" si="184"/>
        <v>0.33527666524372135</v>
      </c>
      <c r="N976" s="14">
        <f t="shared" si="191"/>
        <v>8.5798229959938421</v>
      </c>
      <c r="O976" s="4">
        <v>5.07</v>
      </c>
      <c r="P976" s="14">
        <f t="shared" si="194"/>
        <v>12.318857463207188</v>
      </c>
      <c r="Q976" s="14">
        <f t="shared" si="192"/>
        <v>2.1422683783774334</v>
      </c>
    </row>
    <row r="977" spans="1:17" x14ac:dyDescent="0.25">
      <c r="A977" s="5" t="s">
        <v>1034</v>
      </c>
      <c r="B977" s="6">
        <f t="shared" si="193"/>
        <v>1</v>
      </c>
      <c r="C977" s="58">
        <v>16.943796160000002</v>
      </c>
      <c r="D977" s="4">
        <v>3.4</v>
      </c>
      <c r="E977" s="12">
        <f t="shared" si="182"/>
        <v>0</v>
      </c>
      <c r="F977" s="12">
        <f t="shared" si="183"/>
        <v>3.4</v>
      </c>
      <c r="G977" s="16">
        <f t="shared" si="185"/>
        <v>18.062907967804815</v>
      </c>
      <c r="H977" s="14">
        <f t="shared" si="186"/>
        <v>0.65401850523042182</v>
      </c>
      <c r="I977" s="14">
        <f t="shared" si="187"/>
        <v>10.443120135366785</v>
      </c>
      <c r="J977" s="14">
        <f t="shared" si="188"/>
        <v>2.6857796353467895</v>
      </c>
      <c r="K977" s="14">
        <f t="shared" si="189"/>
        <v>7.1174216121618548</v>
      </c>
      <c r="L977" s="14">
        <f t="shared" si="190"/>
        <v>675.17110831082732</v>
      </c>
      <c r="M977" s="14">
        <f t="shared" si="184"/>
        <v>0.33969686622129192</v>
      </c>
      <c r="N977" s="14">
        <f t="shared" si="191"/>
        <v>8.6929371668434765</v>
      </c>
      <c r="O977" s="4">
        <v>5.35</v>
      </c>
      <c r="P977" s="14">
        <f t="shared" si="194"/>
        <v>11.175228901463491</v>
      </c>
      <c r="Q977" s="14">
        <f t="shared" si="192"/>
        <v>1.4010249415958287</v>
      </c>
    </row>
    <row r="978" spans="1:17" x14ac:dyDescent="0.25">
      <c r="A978" s="5" t="s">
        <v>1035</v>
      </c>
      <c r="B978" s="6">
        <f t="shared" si="193"/>
        <v>1</v>
      </c>
      <c r="C978" s="58">
        <v>18.000862120000001</v>
      </c>
      <c r="D978" s="4">
        <v>0</v>
      </c>
      <c r="E978" s="12">
        <f t="shared" si="182"/>
        <v>0</v>
      </c>
      <c r="F978" s="12">
        <f t="shared" si="183"/>
        <v>0</v>
      </c>
      <c r="G978" s="16">
        <f t="shared" si="185"/>
        <v>14.825086389187119</v>
      </c>
      <c r="H978" s="14">
        <f t="shared" si="186"/>
        <v>0</v>
      </c>
      <c r="I978" s="14">
        <f t="shared" si="187"/>
        <v>12.547665518666351</v>
      </c>
      <c r="J978" s="14">
        <f t="shared" si="188"/>
        <v>3.2378215786176963</v>
      </c>
      <c r="K978" s="14">
        <f t="shared" si="189"/>
        <v>6.5675456483868722</v>
      </c>
      <c r="L978" s="14">
        <f t="shared" si="190"/>
        <v>675.38128740838101</v>
      </c>
      <c r="M978" s="14">
        <f t="shared" si="184"/>
        <v>0.31866452396779998</v>
      </c>
      <c r="N978" s="14">
        <f t="shared" si="191"/>
        <v>8.1547136862593259</v>
      </c>
      <c r="O978" s="4">
        <v>5.4</v>
      </c>
      <c r="P978" s="14">
        <f t="shared" si="194"/>
        <v>7.5884474932644421</v>
      </c>
      <c r="Q978" s="14">
        <f t="shared" si="192"/>
        <v>1.2851600421705403</v>
      </c>
    </row>
    <row r="979" spans="1:17" x14ac:dyDescent="0.25">
      <c r="A979" s="5" t="s">
        <v>1036</v>
      </c>
      <c r="B979" s="6">
        <f t="shared" si="193"/>
        <v>1</v>
      </c>
      <c r="C979" s="58">
        <v>18.086002350000001</v>
      </c>
      <c r="D979" s="4">
        <v>0</v>
      </c>
      <c r="E979" s="12">
        <f t="shared" si="182"/>
        <v>0</v>
      </c>
      <c r="F979" s="12">
        <f t="shared" si="183"/>
        <v>0</v>
      </c>
      <c r="G979" s="16">
        <f t="shared" si="185"/>
        <v>12.131752773816292</v>
      </c>
      <c r="H979" s="14">
        <f t="shared" si="186"/>
        <v>0</v>
      </c>
      <c r="I979" s="14">
        <f t="shared" si="187"/>
        <v>12.717173841476749</v>
      </c>
      <c r="J979" s="14">
        <f t="shared" si="188"/>
        <v>2.6933336153708267</v>
      </c>
      <c r="K979" s="14">
        <f t="shared" si="189"/>
        <v>6.0660418846455961</v>
      </c>
      <c r="L979" s="14">
        <f t="shared" si="190"/>
        <v>675.56412664815457</v>
      </c>
      <c r="M979" s="14">
        <f t="shared" si="184"/>
        <v>0.29948050586316882</v>
      </c>
      <c r="N979" s="14">
        <f t="shared" si="191"/>
        <v>7.6637893340678973</v>
      </c>
      <c r="O979" s="4">
        <v>5.18</v>
      </c>
      <c r="P979" s="14">
        <f t="shared" si="194"/>
        <v>6.1692094560294501</v>
      </c>
      <c r="Q979" s="14">
        <f t="shared" si="192"/>
        <v>1.832365599641804</v>
      </c>
    </row>
    <row r="980" spans="1:17" x14ac:dyDescent="0.25">
      <c r="A980" s="5" t="s">
        <v>1037</v>
      </c>
      <c r="B980" s="6">
        <f t="shared" si="193"/>
        <v>1</v>
      </c>
      <c r="C980" s="58">
        <v>17.48657227</v>
      </c>
      <c r="D980" s="4">
        <v>0.6</v>
      </c>
      <c r="E980" s="12">
        <f t="shared" si="182"/>
        <v>0</v>
      </c>
      <c r="F980" s="12">
        <f t="shared" si="183"/>
        <v>0.6</v>
      </c>
      <c r="G980" s="16">
        <f t="shared" si="185"/>
        <v>10.640990173476597</v>
      </c>
      <c r="H980" s="14">
        <f t="shared" si="186"/>
        <v>9.3571201680765881E-2</v>
      </c>
      <c r="I980" s="14">
        <f t="shared" si="187"/>
        <v>11.523749915996362</v>
      </c>
      <c r="J980" s="14">
        <f t="shared" si="188"/>
        <v>1.9971913986589285</v>
      </c>
      <c r="K980" s="14">
        <f t="shared" si="189"/>
        <v>5.7022262543578623</v>
      </c>
      <c r="L980" s="14">
        <f t="shared" si="190"/>
        <v>675.72203297425995</v>
      </c>
      <c r="M980" s="14">
        <f t="shared" si="184"/>
        <v>0.28556882627504021</v>
      </c>
      <c r="N980" s="14">
        <f t="shared" si="191"/>
        <v>7.3077855890522443</v>
      </c>
      <c r="O980" s="4">
        <v>4.63</v>
      </c>
      <c r="P980" s="14">
        <f t="shared" si="194"/>
        <v>7.1705356609358759</v>
      </c>
      <c r="Q980" s="14">
        <f t="shared" si="192"/>
        <v>3.6238794933199596</v>
      </c>
    </row>
    <row r="981" spans="1:17" x14ac:dyDescent="0.25">
      <c r="A981" s="5" t="s">
        <v>1038</v>
      </c>
      <c r="B981" s="6">
        <f t="shared" si="193"/>
        <v>1</v>
      </c>
      <c r="C981" s="58">
        <v>17.12880135</v>
      </c>
      <c r="D981" s="4">
        <v>0.6</v>
      </c>
      <c r="E981" s="12">
        <f t="shared" si="182"/>
        <v>0</v>
      </c>
      <c r="F981" s="12">
        <f t="shared" si="183"/>
        <v>0.6</v>
      </c>
      <c r="G981" s="16">
        <f t="shared" si="185"/>
        <v>9.5102234287798151</v>
      </c>
      <c r="H981" s="14">
        <f t="shared" si="186"/>
        <v>8.7271675116173106E-2</v>
      </c>
      <c r="I981" s="14">
        <f t="shared" si="187"/>
        <v>10.811452702334464</v>
      </c>
      <c r="J981" s="14">
        <f t="shared" si="188"/>
        <v>1.6434950695806079</v>
      </c>
      <c r="K981" s="14">
        <f t="shared" si="189"/>
        <v>5.3641157014581253</v>
      </c>
      <c r="L981" s="14">
        <f t="shared" si="190"/>
        <v>675.86184637600081</v>
      </c>
      <c r="M981" s="14">
        <f t="shared" si="184"/>
        <v>0.27263859399285734</v>
      </c>
      <c r="N981" s="14">
        <f t="shared" si="191"/>
        <v>6.9768973532199947</v>
      </c>
      <c r="O981" s="4">
        <v>4.3600000000000003</v>
      </c>
      <c r="P981" s="14">
        <f t="shared" si="194"/>
        <v>6.8481517572898118</v>
      </c>
      <c r="Q981" s="14">
        <f t="shared" si="192"/>
        <v>4.7247499502165065</v>
      </c>
    </row>
    <row r="982" spans="1:17" x14ac:dyDescent="0.25">
      <c r="A982" s="5" t="s">
        <v>1039</v>
      </c>
      <c r="B982" s="6">
        <f t="shared" si="193"/>
        <v>1</v>
      </c>
      <c r="C982" s="58">
        <v>16.262317660000001</v>
      </c>
      <c r="D982" s="4">
        <v>3.9</v>
      </c>
      <c r="E982" s="12">
        <f t="shared" si="182"/>
        <v>0</v>
      </c>
      <c r="F982" s="12">
        <f t="shared" si="183"/>
        <v>3.9</v>
      </c>
      <c r="G982" s="16">
        <f t="shared" si="185"/>
        <v>11.641368712661963</v>
      </c>
      <c r="H982" s="14">
        <f t="shared" si="186"/>
        <v>0.53438005456386706</v>
      </c>
      <c r="I982" s="14">
        <f t="shared" si="187"/>
        <v>9.086343467434995</v>
      </c>
      <c r="J982" s="14">
        <f t="shared" si="188"/>
        <v>1.2344746615539854</v>
      </c>
      <c r="K982" s="14">
        <f t="shared" si="189"/>
        <v>5.5028568744620587</v>
      </c>
      <c r="L982" s="14">
        <f t="shared" si="190"/>
        <v>675.98484666356796</v>
      </c>
      <c r="M982" s="14">
        <f t="shared" si="184"/>
        <v>0.27798265467562183</v>
      </c>
      <c r="N982" s="14">
        <f t="shared" si="191"/>
        <v>7.1136533505532391</v>
      </c>
      <c r="O982" s="4">
        <v>3.55</v>
      </c>
      <c r="P982" s="14">
        <f t="shared" si="194"/>
        <v>12.699625202909328</v>
      </c>
      <c r="Q982" s="14">
        <f t="shared" si="192"/>
        <v>8.9021613209061563</v>
      </c>
    </row>
    <row r="983" spans="1:17" x14ac:dyDescent="0.25">
      <c r="A983" s="5" t="s">
        <v>1040</v>
      </c>
      <c r="B983" s="6">
        <f t="shared" si="193"/>
        <v>1</v>
      </c>
      <c r="C983" s="58">
        <v>16.693429949999999</v>
      </c>
      <c r="D983" s="4">
        <v>0</v>
      </c>
      <c r="E983" s="12">
        <f t="shared" si="182"/>
        <v>0</v>
      </c>
      <c r="F983" s="12">
        <f t="shared" si="183"/>
        <v>0</v>
      </c>
      <c r="G983" s="16">
        <f t="shared" si="185"/>
        <v>9.9875183220973351</v>
      </c>
      <c r="H983" s="14">
        <f t="shared" si="186"/>
        <v>0</v>
      </c>
      <c r="I983" s="14">
        <f t="shared" si="187"/>
        <v>9.9446582878301211</v>
      </c>
      <c r="J983" s="14">
        <f t="shared" si="188"/>
        <v>1.6538503905646285</v>
      </c>
      <c r="K983" s="14">
        <f t="shared" si="189"/>
        <v>5.0950130299366894</v>
      </c>
      <c r="L983" s="14">
        <f t="shared" si="190"/>
        <v>676.11470785341771</v>
      </c>
      <c r="M983" s="14">
        <f t="shared" si="184"/>
        <v>0.26237741659348235</v>
      </c>
      <c r="N983" s="14">
        <f t="shared" si="191"/>
        <v>6.7143109732429336</v>
      </c>
      <c r="O983" s="4">
        <v>3.25</v>
      </c>
      <c r="P983" s="14">
        <f t="shared" si="194"/>
        <v>12.001450519331401</v>
      </c>
      <c r="Q983" s="14">
        <f t="shared" si="192"/>
        <v>10.782350717457877</v>
      </c>
    </row>
    <row r="984" spans="1:17" x14ac:dyDescent="0.25">
      <c r="A984" s="5" t="s">
        <v>1041</v>
      </c>
      <c r="B984" s="6">
        <f t="shared" si="193"/>
        <v>1</v>
      </c>
      <c r="C984" s="58">
        <v>15.762046809999999</v>
      </c>
      <c r="D984" s="4">
        <v>0.3</v>
      </c>
      <c r="E984" s="12">
        <f t="shared" si="182"/>
        <v>0</v>
      </c>
      <c r="F984" s="12">
        <f t="shared" si="183"/>
        <v>0.3</v>
      </c>
      <c r="G984" s="16">
        <f t="shared" si="185"/>
        <v>9.0910070695284766</v>
      </c>
      <c r="H984" s="14">
        <f t="shared" si="186"/>
        <v>4.2190230946186978E-2</v>
      </c>
      <c r="I984" s="14">
        <f t="shared" si="187"/>
        <v>8.0903387263809421</v>
      </c>
      <c r="J984" s="14">
        <f t="shared" si="188"/>
        <v>1.1543210216226725</v>
      </c>
      <c r="K984" s="14">
        <f t="shared" si="189"/>
        <v>4.7652371512096705</v>
      </c>
      <c r="L984" s="14">
        <f t="shared" si="190"/>
        <v>676.22429654649738</v>
      </c>
      <c r="M984" s="14">
        <f t="shared" si="184"/>
        <v>0.24976024761854426</v>
      </c>
      <c r="N984" s="14">
        <f t="shared" si="191"/>
        <v>6.3914341144051088</v>
      </c>
      <c r="O984" s="4">
        <v>3.07</v>
      </c>
      <c r="P984" s="14">
        <f t="shared" si="194"/>
        <v>11.031924576334051</v>
      </c>
      <c r="Q984" s="14">
        <f t="shared" si="192"/>
        <v>11.996864355388912</v>
      </c>
    </row>
    <row r="985" spans="1:17" x14ac:dyDescent="0.25">
      <c r="A985" s="5" t="s">
        <v>1042</v>
      </c>
      <c r="B985" s="6">
        <f t="shared" si="193"/>
        <v>1</v>
      </c>
      <c r="C985" s="58">
        <v>16.577556609999998</v>
      </c>
      <c r="D985" s="4">
        <v>13.7</v>
      </c>
      <c r="E985" s="12">
        <f t="shared" si="182"/>
        <v>0</v>
      </c>
      <c r="F985" s="12">
        <f t="shared" si="183"/>
        <v>13.7</v>
      </c>
      <c r="G985" s="16">
        <f t="shared" si="185"/>
        <v>19.696708559435798</v>
      </c>
      <c r="H985" s="14">
        <f t="shared" si="186"/>
        <v>1.832730328013862</v>
      </c>
      <c r="I985" s="14">
        <f t="shared" si="187"/>
        <v>9.7139624637544859</v>
      </c>
      <c r="J985" s="14">
        <f t="shared" si="188"/>
        <v>1.2615681820788154</v>
      </c>
      <c r="K985" s="14">
        <f t="shared" si="189"/>
        <v>6.2550115206079608</v>
      </c>
      <c r="L985" s="14">
        <f t="shared" si="190"/>
        <v>676.31749225749445</v>
      </c>
      <c r="M985" s="14">
        <f t="shared" si="184"/>
        <v>0.30688346207045969</v>
      </c>
      <c r="N985" s="14">
        <f t="shared" si="191"/>
        <v>7.8532330397891945</v>
      </c>
      <c r="O985" s="4">
        <v>3.08</v>
      </c>
      <c r="P985" s="14">
        <f t="shared" si="194"/>
        <v>22.783753652135193</v>
      </c>
      <c r="Q985" s="14">
        <f t="shared" si="192"/>
        <v>11.927691375503851</v>
      </c>
    </row>
    <row r="986" spans="1:17" x14ac:dyDescent="0.25">
      <c r="A986" s="5" t="s">
        <v>1043</v>
      </c>
      <c r="B986" s="6">
        <f t="shared" si="193"/>
        <v>1</v>
      </c>
      <c r="C986" s="58">
        <v>16.85434914</v>
      </c>
      <c r="D986" s="4">
        <v>6.9</v>
      </c>
      <c r="E986" s="12">
        <f t="shared" si="182"/>
        <v>0</v>
      </c>
      <c r="F986" s="12">
        <f t="shared" si="183"/>
        <v>6.9</v>
      </c>
      <c r="G986" s="16">
        <f t="shared" si="185"/>
        <v>22.316050483764485</v>
      </c>
      <c r="H986" s="14">
        <f t="shared" si="186"/>
        <v>1.3922636307287108</v>
      </c>
      <c r="I986" s="14">
        <f t="shared" si="187"/>
        <v>10.265037290857338</v>
      </c>
      <c r="J986" s="14">
        <f t="shared" si="188"/>
        <v>2.8883944449426031</v>
      </c>
      <c r="K986" s="14">
        <f t="shared" si="189"/>
        <v>7.1732647940038063</v>
      </c>
      <c r="L986" s="14">
        <f t="shared" si="190"/>
        <v>676.48461915275686</v>
      </c>
      <c r="M986" s="14">
        <f t="shared" si="184"/>
        <v>0.34211578860791159</v>
      </c>
      <c r="N986" s="14">
        <f t="shared" si="191"/>
        <v>8.7548380626399602</v>
      </c>
      <c r="O986" s="4">
        <v>4.6900000000000004</v>
      </c>
      <c r="P986" s="14">
        <f t="shared" si="194"/>
        <v>16.522908475486581</v>
      </c>
      <c r="Q986" s="14">
        <f t="shared" si="192"/>
        <v>3.3990416140096134</v>
      </c>
    </row>
    <row r="987" spans="1:17" x14ac:dyDescent="0.25">
      <c r="A987" s="5" t="s">
        <v>1044</v>
      </c>
      <c r="B987" s="6">
        <f t="shared" si="193"/>
        <v>1</v>
      </c>
      <c r="C987" s="58">
        <v>17.100112920000001</v>
      </c>
      <c r="D987" s="4">
        <v>4.0999999999999996</v>
      </c>
      <c r="E987" s="12">
        <f t="shared" ref="E987:E1050" si="195">IF(C987&gt;$C$9,MAX(E986-$C$10*(C987-$C$9),0),E986+D987)</f>
        <v>0</v>
      </c>
      <c r="F987" s="12">
        <f t="shared" ref="F987:F1050" si="196">IF(C987&gt;$C$9,D987+MIN(E986,$C$10*(C987-$C$9)),0)</f>
        <v>4.0999999999999996</v>
      </c>
      <c r="G987" s="16">
        <f t="shared" si="185"/>
        <v>22.103500372314048</v>
      </c>
      <c r="H987" s="14">
        <f t="shared" si="186"/>
        <v>0.88405726429415776</v>
      </c>
      <c r="I987" s="14">
        <f t="shared" si="187"/>
        <v>10.754336017855653</v>
      </c>
      <c r="J987" s="14">
        <f t="shared" si="188"/>
        <v>3.4284928471562819</v>
      </c>
      <c r="K987" s="14">
        <f t="shared" si="189"/>
        <v>7.5025336092707935</v>
      </c>
      <c r="L987" s="14">
        <f t="shared" si="190"/>
        <v>676.69729181317621</v>
      </c>
      <c r="M987" s="14">
        <f t="shared" si="184"/>
        <v>0.35478183464704732</v>
      </c>
      <c r="N987" s="14">
        <f t="shared" si="191"/>
        <v>9.0789656991275649</v>
      </c>
      <c r="O987" s="4">
        <v>5.66</v>
      </c>
      <c r="P987" s="14">
        <f t="shared" si="194"/>
        <v>11.689326451810837</v>
      </c>
      <c r="Q987" s="14">
        <f t="shared" si="192"/>
        <v>0.763262565159049</v>
      </c>
    </row>
    <row r="988" spans="1:17" x14ac:dyDescent="0.25">
      <c r="A988" s="5" t="s">
        <v>1045</v>
      </c>
      <c r="B988" s="6">
        <f t="shared" si="193"/>
        <v>1</v>
      </c>
      <c r="C988" s="58">
        <v>17.319320680000001</v>
      </c>
      <c r="D988" s="4">
        <v>2.6</v>
      </c>
      <c r="E988" s="12">
        <f t="shared" si="195"/>
        <v>0</v>
      </c>
      <c r="F988" s="12">
        <f t="shared" si="196"/>
        <v>2.6</v>
      </c>
      <c r="G988" s="16">
        <f t="shared" si="185"/>
        <v>20.612077136199431</v>
      </c>
      <c r="H988" s="14">
        <f t="shared" si="186"/>
        <v>0.55777686671288507</v>
      </c>
      <c r="I988" s="14">
        <f t="shared" si="187"/>
        <v>11.190763541537752</v>
      </c>
      <c r="J988" s="14">
        <f t="shared" si="188"/>
        <v>3.533646369401735</v>
      </c>
      <c r="K988" s="14">
        <f t="shared" si="189"/>
        <v>7.4765564819132013</v>
      </c>
      <c r="L988" s="14">
        <f t="shared" si="190"/>
        <v>676.9262639725996</v>
      </c>
      <c r="M988" s="14">
        <f t="shared" si="184"/>
        <v>0.35383466176086126</v>
      </c>
      <c r="N988" s="14">
        <f t="shared" si="191"/>
        <v>9.0547272818664837</v>
      </c>
      <c r="O988" s="4">
        <v>5.66</v>
      </c>
      <c r="P988" s="14">
        <f t="shared" si="194"/>
        <v>11.524173318248604</v>
      </c>
      <c r="Q988" s="14">
        <f t="shared" si="192"/>
        <v>0.763262565159049</v>
      </c>
    </row>
    <row r="989" spans="1:17" x14ac:dyDescent="0.25">
      <c r="A989" s="5" t="s">
        <v>1046</v>
      </c>
      <c r="B989" s="6">
        <f t="shared" si="193"/>
        <v>1</v>
      </c>
      <c r="C989" s="58">
        <v>16.604694370000001</v>
      </c>
      <c r="D989" s="4">
        <v>9.8000000000000007</v>
      </c>
      <c r="E989" s="12">
        <f t="shared" si="195"/>
        <v>0</v>
      </c>
      <c r="F989" s="12">
        <f t="shared" si="196"/>
        <v>9.8000000000000007</v>
      </c>
      <c r="G989" s="16">
        <f t="shared" si="185"/>
        <v>25.510060685145842</v>
      </c>
      <c r="H989" s="14">
        <f t="shared" si="186"/>
        <v>2.0257483866667703</v>
      </c>
      <c r="I989" s="14">
        <f t="shared" si="187"/>
        <v>9.7679918712676148</v>
      </c>
      <c r="J989" s="14">
        <f t="shared" si="188"/>
        <v>2.8762680643868213</v>
      </c>
      <c r="K989" s="14">
        <f t="shared" si="189"/>
        <v>8.9208360640497233</v>
      </c>
      <c r="L989" s="14">
        <f t="shared" si="190"/>
        <v>677.15389811536897</v>
      </c>
      <c r="M989" s="14">
        <f t="shared" si="184"/>
        <v>0.40924254683228323</v>
      </c>
      <c r="N989" s="14">
        <f t="shared" si="191"/>
        <v>10.47263045192336</v>
      </c>
      <c r="O989" s="4">
        <v>5.09</v>
      </c>
      <c r="P989" s="14">
        <f t="shared" si="194"/>
        <v>28.972710581972674</v>
      </c>
      <c r="Q989" s="14">
        <f t="shared" si="192"/>
        <v>2.0841224186073202</v>
      </c>
    </row>
    <row r="990" spans="1:17" x14ac:dyDescent="0.25">
      <c r="A990" s="5" t="s">
        <v>1047</v>
      </c>
      <c r="B990" s="6">
        <f t="shared" si="193"/>
        <v>1</v>
      </c>
      <c r="C990" s="58">
        <v>18.48280334</v>
      </c>
      <c r="D990" s="4">
        <v>5.6</v>
      </c>
      <c r="E990" s="12">
        <f t="shared" si="195"/>
        <v>0</v>
      </c>
      <c r="F990" s="12">
        <f t="shared" si="196"/>
        <v>5.6</v>
      </c>
      <c r="G990" s="16">
        <f t="shared" si="185"/>
        <v>24.891162612920184</v>
      </c>
      <c r="H990" s="14">
        <f t="shared" si="186"/>
        <v>1.2964810849412587</v>
      </c>
      <c r="I990" s="14">
        <f t="shared" si="187"/>
        <v>13.507177231230401</v>
      </c>
      <c r="J990" s="14">
        <f t="shared" si="188"/>
        <v>4.9224169872843984</v>
      </c>
      <c r="K990" s="14">
        <f t="shared" si="189"/>
        <v>9.50879609003578</v>
      </c>
      <c r="L990" s="14">
        <f t="shared" si="190"/>
        <v>677.45317662749187</v>
      </c>
      <c r="M990" s="14">
        <f t="shared" si="184"/>
        <v>0.43184265639918556</v>
      </c>
      <c r="N990" s="14">
        <f t="shared" si="191"/>
        <v>11.050973533548602</v>
      </c>
      <c r="O990" s="4">
        <v>4.78</v>
      </c>
      <c r="P990" s="14">
        <f t="shared" si="194"/>
        <v>39.325109058467035</v>
      </c>
      <c r="Q990" s="14">
        <f t="shared" si="192"/>
        <v>3.0752847950440976</v>
      </c>
    </row>
    <row r="991" spans="1:17" x14ac:dyDescent="0.25">
      <c r="A991" s="5" t="s">
        <v>1048</v>
      </c>
      <c r="B991" s="6">
        <f t="shared" si="193"/>
        <v>1</v>
      </c>
      <c r="C991" s="58">
        <v>17.50006866</v>
      </c>
      <c r="D991" s="4">
        <v>0.5</v>
      </c>
      <c r="E991" s="12">
        <f t="shared" si="195"/>
        <v>0</v>
      </c>
      <c r="F991" s="12">
        <f t="shared" si="196"/>
        <v>0.5</v>
      </c>
      <c r="G991" s="16">
        <f t="shared" si="185"/>
        <v>21.169641114845405</v>
      </c>
      <c r="H991" s="14">
        <f t="shared" si="186"/>
        <v>0.11425577987674712</v>
      </c>
      <c r="I991" s="14">
        <f t="shared" si="187"/>
        <v>11.550620297165112</v>
      </c>
      <c r="J991" s="14">
        <f t="shared" si="188"/>
        <v>4.1072657181980334</v>
      </c>
      <c r="K991" s="14">
        <f t="shared" si="189"/>
        <v>8.8628083828781445</v>
      </c>
      <c r="L991" s="14">
        <f t="shared" si="190"/>
        <v>677.781577458127</v>
      </c>
      <c r="M991" s="14">
        <f t="shared" ref="M991:M1054" si="197">MAX(0,K991-$F$9)*$F$8+K991*$F$10+L991*$F$11</f>
        <v>0.40715138538526885</v>
      </c>
      <c r="N991" s="14">
        <f t="shared" si="191"/>
        <v>10.419117049616082</v>
      </c>
      <c r="O991" s="4">
        <v>4.59</v>
      </c>
      <c r="P991" s="14">
        <f t="shared" si="194"/>
        <v>33.978605578124899</v>
      </c>
      <c r="Q991" s="14">
        <f t="shared" si="192"/>
        <v>3.7777714128601891</v>
      </c>
    </row>
    <row r="992" spans="1:17" x14ac:dyDescent="0.25">
      <c r="A992" s="5" t="s">
        <v>1049</v>
      </c>
      <c r="B992" s="6">
        <f t="shared" si="193"/>
        <v>1</v>
      </c>
      <c r="C992" s="58">
        <v>16.94721985</v>
      </c>
      <c r="D992" s="4">
        <v>1.5</v>
      </c>
      <c r="E992" s="12">
        <f t="shared" si="195"/>
        <v>0</v>
      </c>
      <c r="F992" s="12">
        <f t="shared" si="196"/>
        <v>1.5</v>
      </c>
      <c r="G992" s="16">
        <f t="shared" ref="G992:G1055" si="198">G991+F992-H992-J992</f>
        <v>19.194838607204968</v>
      </c>
      <c r="H992" s="14">
        <f t="shared" ref="H992:H1055" si="199">(F992*(G991/$C$11)^$C$12)</f>
        <v>0.31449417473752417</v>
      </c>
      <c r="I992" s="14">
        <f t="shared" ref="I992:I1055" si="200">(1+$C$13*(C992-INDEX($A$16:$A$27,B992)))*INDEX($C$16:$C$27,B992)</f>
        <v>10.449936465904328</v>
      </c>
      <c r="J992" s="14">
        <f t="shared" ref="J992:J1055" si="201">IF(G991&gt;$F$13,I992,I992*(G991/$F$13))</f>
        <v>3.1603083329029116</v>
      </c>
      <c r="K992" s="14">
        <f t="shared" ref="K992:K1055" si="202">K991+H992-MAX(0,K991-$F$9)*$F$8-K991*$F$10-K991*$F$12</f>
        <v>8.4738861527752842</v>
      </c>
      <c r="L992" s="14">
        <f t="shared" ref="L992:L1055" si="203">L991+K991*$F$12-L991*$F$11</f>
        <v>678.07784247758218</v>
      </c>
      <c r="M992" s="14">
        <f t="shared" si="197"/>
        <v>0.39230669223172371</v>
      </c>
      <c r="N992" s="14">
        <f t="shared" ref="N992:N1055" si="204">M992*$C$8*1000/(24*3600)</f>
        <v>10.039237228290986</v>
      </c>
      <c r="O992" s="4">
        <v>4.4400000000000004</v>
      </c>
      <c r="P992" s="14">
        <f t="shared" si="194"/>
        <v>31.351457538679721</v>
      </c>
      <c r="Q992" s="14">
        <f t="shared" ref="Q992:Q1055" si="205">(O992-$F$23)^2</f>
        <v>4.3833661111360476</v>
      </c>
    </row>
    <row r="993" spans="1:17" x14ac:dyDescent="0.25">
      <c r="A993" s="5" t="s">
        <v>1050</v>
      </c>
      <c r="B993" s="6">
        <f t="shared" ref="B993:B1056" si="206">MONTH(A993)</f>
        <v>1</v>
      </c>
      <c r="C993" s="58">
        <v>17.015346529999999</v>
      </c>
      <c r="D993" s="4">
        <v>0.4</v>
      </c>
      <c r="E993" s="12">
        <f t="shared" si="195"/>
        <v>0</v>
      </c>
      <c r="F993" s="12">
        <f t="shared" si="196"/>
        <v>0.4</v>
      </c>
      <c r="G993" s="16">
        <f t="shared" si="198"/>
        <v>16.61253447473247</v>
      </c>
      <c r="H993" s="14">
        <f t="shared" si="199"/>
        <v>7.9611133964757039E-2</v>
      </c>
      <c r="I993" s="14">
        <f t="shared" si="200"/>
        <v>10.585571984688341</v>
      </c>
      <c r="J993" s="14">
        <f t="shared" si="201"/>
        <v>2.9026929985077405</v>
      </c>
      <c r="K993" s="14">
        <f t="shared" si="202"/>
        <v>7.8842940956996159</v>
      </c>
      <c r="L993" s="14">
        <f t="shared" si="203"/>
        <v>678.35473897639088</v>
      </c>
      <c r="M993" s="14">
        <f t="shared" si="197"/>
        <v>0.36976616401636841</v>
      </c>
      <c r="N993" s="14">
        <f t="shared" si="204"/>
        <v>9.4624188500022051</v>
      </c>
      <c r="O993" s="4">
        <v>4.78</v>
      </c>
      <c r="P993" s="14">
        <f t="shared" ref="P993:P1056" si="207">(O993-N993)^2</f>
        <v>21.92504628685597</v>
      </c>
      <c r="Q993" s="14">
        <f t="shared" si="205"/>
        <v>3.0752847950440976</v>
      </c>
    </row>
    <row r="994" spans="1:17" x14ac:dyDescent="0.25">
      <c r="A994" s="5" t="s">
        <v>1051</v>
      </c>
      <c r="B994" s="6">
        <f t="shared" si="206"/>
        <v>1</v>
      </c>
      <c r="C994" s="58">
        <v>18.075237269999999</v>
      </c>
      <c r="D994" s="4">
        <v>0</v>
      </c>
      <c r="E994" s="12">
        <f t="shared" si="195"/>
        <v>0</v>
      </c>
      <c r="F994" s="12">
        <f t="shared" si="196"/>
        <v>0</v>
      </c>
      <c r="G994" s="16">
        <f t="shared" si="198"/>
        <v>13.599554324529153</v>
      </c>
      <c r="H994" s="14">
        <f t="shared" si="199"/>
        <v>0</v>
      </c>
      <c r="I994" s="14">
        <f t="shared" si="200"/>
        <v>12.69574131004337</v>
      </c>
      <c r="J994" s="14">
        <f t="shared" si="201"/>
        <v>3.0129801502033167</v>
      </c>
      <c r="K994" s="14">
        <f t="shared" si="202"/>
        <v>7.2669569013602553</v>
      </c>
      <c r="L994" s="14">
        <f t="shared" si="203"/>
        <v>678.60231000671388</v>
      </c>
      <c r="M994" s="14">
        <f t="shared" si="197"/>
        <v>0.34615594069386141</v>
      </c>
      <c r="N994" s="14">
        <f t="shared" si="204"/>
        <v>8.8582266767838842</v>
      </c>
      <c r="O994" s="4">
        <v>4.8499999999999996</v>
      </c>
      <c r="P994" s="14">
        <f t="shared" si="207"/>
        <v>16.065881092481984</v>
      </c>
      <c r="Q994" s="14">
        <f t="shared" si="205"/>
        <v>2.8346739358486981</v>
      </c>
    </row>
    <row r="995" spans="1:17" x14ac:dyDescent="0.25">
      <c r="A995" s="5" t="s">
        <v>1052</v>
      </c>
      <c r="B995" s="6">
        <f t="shared" si="206"/>
        <v>1</v>
      </c>
      <c r="C995" s="58">
        <v>17.914728159999999</v>
      </c>
      <c r="D995" s="4">
        <v>0</v>
      </c>
      <c r="E995" s="12">
        <f t="shared" si="195"/>
        <v>0</v>
      </c>
      <c r="F995" s="12">
        <f t="shared" si="196"/>
        <v>0</v>
      </c>
      <c r="G995" s="16">
        <f t="shared" si="198"/>
        <v>11.195116451208605</v>
      </c>
      <c r="H995" s="14">
        <f t="shared" si="199"/>
        <v>0</v>
      </c>
      <c r="I995" s="14">
        <f t="shared" si="200"/>
        <v>12.376178747998498</v>
      </c>
      <c r="J995" s="14">
        <f t="shared" si="201"/>
        <v>2.4044378733205476</v>
      </c>
      <c r="K995" s="14">
        <f t="shared" si="202"/>
        <v>6.7039264238444929</v>
      </c>
      <c r="L995" s="14">
        <f t="shared" si="203"/>
        <v>678.81918454353581</v>
      </c>
      <c r="M995" s="14">
        <f t="shared" si="197"/>
        <v>0.32462080163158724</v>
      </c>
      <c r="N995" s="14">
        <f t="shared" si="204"/>
        <v>8.3071364861972157</v>
      </c>
      <c r="O995" s="4">
        <v>4.8600000000000003</v>
      </c>
      <c r="P995" s="14">
        <f t="shared" si="207"/>
        <v>11.882749954472084</v>
      </c>
      <c r="Q995" s="14">
        <f t="shared" si="205"/>
        <v>2.8011009559636384</v>
      </c>
    </row>
    <row r="996" spans="1:17" x14ac:dyDescent="0.25">
      <c r="A996" s="5" t="s">
        <v>1053</v>
      </c>
      <c r="B996" s="6">
        <f t="shared" si="206"/>
        <v>1</v>
      </c>
      <c r="C996" s="58">
        <v>16.697191239999999</v>
      </c>
      <c r="D996" s="4">
        <v>0.6</v>
      </c>
      <c r="E996" s="12">
        <f t="shared" si="195"/>
        <v>0</v>
      </c>
      <c r="F996" s="12">
        <f t="shared" si="196"/>
        <v>0.6</v>
      </c>
      <c r="G996" s="16">
        <f t="shared" si="198"/>
        <v>10.113807221053108</v>
      </c>
      <c r="H996" s="14">
        <f t="shared" si="199"/>
        <v>8.9658775100373164E-2</v>
      </c>
      <c r="I996" s="14">
        <f t="shared" si="200"/>
        <v>9.9521467566715067</v>
      </c>
      <c r="J996" s="14">
        <f t="shared" si="201"/>
        <v>1.5916504550551229</v>
      </c>
      <c r="K996" s="14">
        <f t="shared" si="202"/>
        <v>6.2800841147426292</v>
      </c>
      <c r="L996" s="14">
        <f t="shared" si="203"/>
        <v>679.00806482610642</v>
      </c>
      <c r="M996" s="14">
        <f t="shared" si="197"/>
        <v>0.30841484889308146</v>
      </c>
      <c r="N996" s="14">
        <f t="shared" si="204"/>
        <v>7.8924216539653136</v>
      </c>
      <c r="O996" s="4">
        <v>5.18</v>
      </c>
      <c r="P996" s="14">
        <f t="shared" si="207"/>
        <v>7.3572312288999289</v>
      </c>
      <c r="Q996" s="14">
        <f t="shared" si="205"/>
        <v>1.832365599641804</v>
      </c>
    </row>
    <row r="997" spans="1:17" x14ac:dyDescent="0.25">
      <c r="A997" s="5" t="s">
        <v>1054</v>
      </c>
      <c r="B997" s="6">
        <f t="shared" si="206"/>
        <v>1</v>
      </c>
      <c r="C997" s="58">
        <v>14.561157229999999</v>
      </c>
      <c r="D997" s="4">
        <v>0</v>
      </c>
      <c r="E997" s="12">
        <f t="shared" si="195"/>
        <v>0</v>
      </c>
      <c r="F997" s="12">
        <f t="shared" si="196"/>
        <v>0</v>
      </c>
      <c r="G997" s="16">
        <f t="shared" si="198"/>
        <v>9.2903330843646756</v>
      </c>
      <c r="H997" s="14">
        <f t="shared" si="199"/>
        <v>0</v>
      </c>
      <c r="I997" s="14">
        <f t="shared" si="200"/>
        <v>5.6994504402407289</v>
      </c>
      <c r="J997" s="14">
        <f t="shared" si="201"/>
        <v>0.82347413668843217</v>
      </c>
      <c r="K997" s="14">
        <f t="shared" si="202"/>
        <v>5.8038681390180802</v>
      </c>
      <c r="L997" s="14">
        <f t="shared" si="203"/>
        <v>679.1758659529379</v>
      </c>
      <c r="M997" s="14">
        <f t="shared" si="197"/>
        <v>0.29019693083749243</v>
      </c>
      <c r="N997" s="14">
        <f t="shared" si="204"/>
        <v>7.4262200703899985</v>
      </c>
      <c r="O997" s="4">
        <v>4.9000000000000004</v>
      </c>
      <c r="P997" s="14">
        <f t="shared" si="207"/>
        <v>6.3817878440412477</v>
      </c>
      <c r="Q997" s="14">
        <f t="shared" si="205"/>
        <v>2.6688090364234087</v>
      </c>
    </row>
    <row r="998" spans="1:17" x14ac:dyDescent="0.25">
      <c r="A998" s="5" t="s">
        <v>1055</v>
      </c>
      <c r="B998" s="6">
        <f t="shared" si="206"/>
        <v>1</v>
      </c>
      <c r="C998" s="58">
        <v>14.866680150000001</v>
      </c>
      <c r="D998" s="4">
        <v>2.5</v>
      </c>
      <c r="E998" s="12">
        <f t="shared" si="195"/>
        <v>0</v>
      </c>
      <c r="F998" s="12">
        <f t="shared" si="196"/>
        <v>2.5</v>
      </c>
      <c r="G998" s="16">
        <f t="shared" si="198"/>
        <v>10.614859113069153</v>
      </c>
      <c r="H998" s="14">
        <f t="shared" si="199"/>
        <v>0.33831799784045774</v>
      </c>
      <c r="I998" s="14">
        <f t="shared" si="200"/>
        <v>6.3077254912869343</v>
      </c>
      <c r="J998" s="14">
        <f t="shared" si="201"/>
        <v>0.83715597345506565</v>
      </c>
      <c r="K998" s="14">
        <f t="shared" si="202"/>
        <v>5.7078625440613173</v>
      </c>
      <c r="L998" s="14">
        <f t="shared" si="203"/>
        <v>679.31999261489761</v>
      </c>
      <c r="M998" s="14">
        <f t="shared" si="197"/>
        <v>0.28654756210074805</v>
      </c>
      <c r="N998" s="14">
        <f t="shared" si="204"/>
        <v>7.3328317107031706</v>
      </c>
      <c r="O998" s="4">
        <v>4.45</v>
      </c>
      <c r="P998" s="14">
        <f t="shared" si="207"/>
        <v>8.3107186722357689</v>
      </c>
      <c r="Q998" s="14">
        <f t="shared" si="205"/>
        <v>4.341593131250991</v>
      </c>
    </row>
    <row r="999" spans="1:17" x14ac:dyDescent="0.25">
      <c r="A999" s="5" t="s">
        <v>1056</v>
      </c>
      <c r="B999" s="6">
        <f t="shared" si="206"/>
        <v>2</v>
      </c>
      <c r="C999" s="58">
        <v>16.222784040000001</v>
      </c>
      <c r="D999" s="4">
        <v>7.4</v>
      </c>
      <c r="E999" s="12">
        <f t="shared" si="195"/>
        <v>0</v>
      </c>
      <c r="F999" s="12">
        <f t="shared" si="196"/>
        <v>7.4</v>
      </c>
      <c r="G999" s="16">
        <f t="shared" si="198"/>
        <v>15.247107516612225</v>
      </c>
      <c r="H999" s="14">
        <f t="shared" si="199"/>
        <v>1.074944785837793</v>
      </c>
      <c r="I999" s="14">
        <f t="shared" si="200"/>
        <v>11.16325518685767</v>
      </c>
      <c r="J999" s="14">
        <f t="shared" si="201"/>
        <v>1.6928068106191345</v>
      </c>
      <c r="K999" s="14">
        <f t="shared" si="202"/>
        <v>6.3569292814601521</v>
      </c>
      <c r="L999" s="14">
        <f t="shared" si="203"/>
        <v>679.4593231012359</v>
      </c>
      <c r="M999" s="14">
        <f t="shared" si="197"/>
        <v>0.31145600284615754</v>
      </c>
      <c r="N999" s="14">
        <f t="shared" si="204"/>
        <v>7.9702456283895176</v>
      </c>
      <c r="O999" s="4">
        <v>4.4000000000000004</v>
      </c>
      <c r="P999" s="14">
        <f t="shared" si="207"/>
        <v>12.746653847034459</v>
      </c>
      <c r="Q999" s="14">
        <f t="shared" si="205"/>
        <v>4.5524580306762772</v>
      </c>
    </row>
    <row r="1000" spans="1:17" x14ac:dyDescent="0.25">
      <c r="A1000" s="5" t="s">
        <v>1057</v>
      </c>
      <c r="B1000" s="6">
        <f t="shared" si="206"/>
        <v>2</v>
      </c>
      <c r="C1000" s="58">
        <v>16.018716810000001</v>
      </c>
      <c r="D1000" s="4">
        <v>5.8</v>
      </c>
      <c r="E1000" s="12">
        <f t="shared" si="195"/>
        <v>0</v>
      </c>
      <c r="F1000" s="12">
        <f t="shared" si="196"/>
        <v>5.8</v>
      </c>
      <c r="G1000" s="16">
        <f t="shared" si="198"/>
        <v>17.685539566314375</v>
      </c>
      <c r="H1000" s="14">
        <f t="shared" si="199"/>
        <v>1.0213757288342769</v>
      </c>
      <c r="I1000" s="14">
        <f t="shared" si="200"/>
        <v>10.743895065783635</v>
      </c>
      <c r="J1000" s="14">
        <f t="shared" si="201"/>
        <v>2.3401922214635764</v>
      </c>
      <c r="K1000" s="14">
        <f t="shared" si="202"/>
        <v>6.8953290195465566</v>
      </c>
      <c r="L1000" s="14">
        <f t="shared" si="203"/>
        <v>679.63084308913767</v>
      </c>
      <c r="M1000" s="14">
        <f t="shared" si="197"/>
        <v>0.33212937078443217</v>
      </c>
      <c r="N1000" s="14">
        <f t="shared" si="204"/>
        <v>8.4992828565321705</v>
      </c>
      <c r="O1000" s="4">
        <v>4.95</v>
      </c>
      <c r="P1000" s="14">
        <f t="shared" si="207"/>
        <v>12.597408795673163</v>
      </c>
      <c r="Q1000" s="14">
        <f t="shared" si="205"/>
        <v>2.5079441369981224</v>
      </c>
    </row>
    <row r="1001" spans="1:17" x14ac:dyDescent="0.25">
      <c r="A1001" s="5" t="s">
        <v>1058</v>
      </c>
      <c r="B1001" s="6">
        <f t="shared" si="206"/>
        <v>2</v>
      </c>
      <c r="C1001" s="58">
        <v>15.32880402</v>
      </c>
      <c r="D1001" s="4">
        <v>6.2</v>
      </c>
      <c r="E1001" s="12">
        <f t="shared" si="195"/>
        <v>0</v>
      </c>
      <c r="F1001" s="12">
        <f t="shared" si="196"/>
        <v>6.2</v>
      </c>
      <c r="G1001" s="16">
        <f t="shared" si="198"/>
        <v>20.347882423867912</v>
      </c>
      <c r="H1001" s="14">
        <f t="shared" si="199"/>
        <v>1.1814063453810701</v>
      </c>
      <c r="I1001" s="14">
        <f t="shared" si="200"/>
        <v>9.3261176443675406</v>
      </c>
      <c r="J1001" s="14">
        <f t="shared" si="201"/>
        <v>2.356250797065393</v>
      </c>
      <c r="K1001" s="14">
        <f t="shared" si="202"/>
        <v>7.5463967296116641</v>
      </c>
      <c r="L1001" s="14">
        <f t="shared" si="203"/>
        <v>679.82905235366923</v>
      </c>
      <c r="M1001" s="14">
        <f t="shared" si="197"/>
        <v>0.35712699047952423</v>
      </c>
      <c r="N1001" s="14">
        <f t="shared" si="204"/>
        <v>9.1389788883128258</v>
      </c>
      <c r="O1001" s="4">
        <v>5.76</v>
      </c>
      <c r="P1001" s="14">
        <f t="shared" si="207"/>
        <v>11.417498327663781</v>
      </c>
      <c r="Q1001" s="14">
        <f t="shared" si="205"/>
        <v>0.59853276630847574</v>
      </c>
    </row>
    <row r="1002" spans="1:17" x14ac:dyDescent="0.25">
      <c r="A1002" s="5" t="s">
        <v>1059</v>
      </c>
      <c r="B1002" s="6">
        <f t="shared" si="206"/>
        <v>2</v>
      </c>
      <c r="C1002" s="58">
        <v>14.808494570000001</v>
      </c>
      <c r="D1002" s="4">
        <v>3.4</v>
      </c>
      <c r="E1002" s="12">
        <f t="shared" si="195"/>
        <v>0</v>
      </c>
      <c r="F1002" s="12">
        <f t="shared" si="196"/>
        <v>3.4</v>
      </c>
      <c r="G1002" s="16">
        <f t="shared" si="198"/>
        <v>20.649730646223599</v>
      </c>
      <c r="H1002" s="14">
        <f t="shared" si="199"/>
        <v>0.69800760146871887</v>
      </c>
      <c r="I1002" s="14">
        <f t="shared" si="200"/>
        <v>8.2568767184826548</v>
      </c>
      <c r="J1002" s="14">
        <f t="shared" si="201"/>
        <v>2.4001441761755893</v>
      </c>
      <c r="K1002" s="14">
        <f t="shared" si="202"/>
        <v>7.6567917293037864</v>
      </c>
      <c r="L1002" s="14">
        <f t="shared" si="203"/>
        <v>680.05953796496624</v>
      </c>
      <c r="M1002" s="14">
        <f t="shared" si="197"/>
        <v>0.36140731932384806</v>
      </c>
      <c r="N1002" s="14">
        <f t="shared" si="204"/>
        <v>9.2485136924193068</v>
      </c>
      <c r="O1002" s="4">
        <v>7.3</v>
      </c>
      <c r="P1002" s="14">
        <f t="shared" si="207"/>
        <v>3.7967056095455214</v>
      </c>
      <c r="Q1002" s="14">
        <f t="shared" si="205"/>
        <v>0.58729386400963923</v>
      </c>
    </row>
    <row r="1003" spans="1:17" x14ac:dyDescent="0.25">
      <c r="A1003" s="5" t="s">
        <v>1060</v>
      </c>
      <c r="B1003" s="6">
        <f t="shared" si="206"/>
        <v>2</v>
      </c>
      <c r="C1003" s="58">
        <v>14.8039608</v>
      </c>
      <c r="D1003" s="4">
        <v>17</v>
      </c>
      <c r="E1003" s="12">
        <f t="shared" si="195"/>
        <v>0</v>
      </c>
      <c r="F1003" s="12">
        <f t="shared" si="196"/>
        <v>17</v>
      </c>
      <c r="G1003" s="16">
        <f t="shared" si="198"/>
        <v>31.69926602010527</v>
      </c>
      <c r="H1003" s="14">
        <f t="shared" si="199"/>
        <v>3.5174642628644159</v>
      </c>
      <c r="I1003" s="14">
        <f t="shared" si="200"/>
        <v>8.2475597775111833</v>
      </c>
      <c r="J1003" s="14">
        <f t="shared" si="201"/>
        <v>2.4330003632539183</v>
      </c>
      <c r="K1003" s="14">
        <f t="shared" si="202"/>
        <v>10.576932020265209</v>
      </c>
      <c r="L1003" s="14">
        <f t="shared" si="203"/>
        <v>680.29545461754537</v>
      </c>
      <c r="M1003" s="14">
        <f t="shared" si="197"/>
        <v>0.47338710453786714</v>
      </c>
      <c r="N1003" s="14">
        <f t="shared" si="204"/>
        <v>12.114107501541948</v>
      </c>
      <c r="O1003" s="4">
        <v>10.95</v>
      </c>
      <c r="P1003" s="14">
        <f t="shared" si="207"/>
        <v>1.3551462751462384</v>
      </c>
      <c r="Q1003" s="14">
        <f t="shared" si="205"/>
        <v>19.504156205963692</v>
      </c>
    </row>
    <row r="1004" spans="1:17" x14ac:dyDescent="0.25">
      <c r="A1004" s="5" t="s">
        <v>1061</v>
      </c>
      <c r="B1004" s="6">
        <f t="shared" si="206"/>
        <v>2</v>
      </c>
      <c r="C1004" s="58">
        <v>17.110500340000002</v>
      </c>
      <c r="D1004" s="4">
        <v>0</v>
      </c>
      <c r="E1004" s="12">
        <f t="shared" si="195"/>
        <v>0</v>
      </c>
      <c r="F1004" s="12">
        <f t="shared" si="196"/>
        <v>0</v>
      </c>
      <c r="G1004" s="16">
        <f t="shared" si="198"/>
        <v>25.81790592223863</v>
      </c>
      <c r="H1004" s="14">
        <f t="shared" si="199"/>
        <v>0</v>
      </c>
      <c r="I1004" s="14">
        <f t="shared" si="200"/>
        <v>12.987520724481689</v>
      </c>
      <c r="J1004" s="14">
        <f t="shared" si="201"/>
        <v>5.8813600978666409</v>
      </c>
      <c r="K1004" s="14">
        <f t="shared" si="202"/>
        <v>9.7227253701102985</v>
      </c>
      <c r="L1004" s="14">
        <f t="shared" si="203"/>
        <v>680.67627416316236</v>
      </c>
      <c r="M1004" s="14">
        <f t="shared" si="197"/>
        <v>0.44072585623580218</v>
      </c>
      <c r="N1004" s="14">
        <f t="shared" si="204"/>
        <v>11.278297084923134</v>
      </c>
      <c r="O1004" s="4">
        <v>12.21</v>
      </c>
      <c r="P1004" s="14">
        <f t="shared" si="207"/>
        <v>0.86807032196273204</v>
      </c>
      <c r="Q1004" s="14">
        <f t="shared" si="205"/>
        <v>32.220960740446479</v>
      </c>
    </row>
    <row r="1005" spans="1:17" x14ac:dyDescent="0.25">
      <c r="A1005" s="5" t="s">
        <v>1062</v>
      </c>
      <c r="B1005" s="6">
        <f t="shared" si="206"/>
        <v>2</v>
      </c>
      <c r="C1005" s="58">
        <v>18.023471829999998</v>
      </c>
      <c r="D1005" s="4">
        <v>0.1</v>
      </c>
      <c r="E1005" s="12">
        <f t="shared" si="195"/>
        <v>0</v>
      </c>
      <c r="F1005" s="12">
        <f t="shared" si="196"/>
        <v>0.1</v>
      </c>
      <c r="G1005" s="16">
        <f t="shared" si="198"/>
        <v>20.412469882815991</v>
      </c>
      <c r="H1005" s="14">
        <f t="shared" si="199"/>
        <v>2.3299544413687215E-2</v>
      </c>
      <c r="I1005" s="14">
        <f t="shared" si="200"/>
        <v>14.863685920547416</v>
      </c>
      <c r="J1005" s="14">
        <f t="shared" si="201"/>
        <v>5.4821364950089535</v>
      </c>
      <c r="K1005" s="14">
        <f t="shared" si="202"/>
        <v>8.9669622198672378</v>
      </c>
      <c r="L1005" s="14">
        <f t="shared" si="203"/>
        <v>681.01461100158338</v>
      </c>
      <c r="M1005" s="14">
        <f t="shared" si="197"/>
        <v>0.41182896871417835</v>
      </c>
      <c r="N1005" s="14">
        <f t="shared" si="204"/>
        <v>10.538817706331578</v>
      </c>
      <c r="O1005" s="4">
        <v>9.08</v>
      </c>
      <c r="P1005" s="14">
        <f t="shared" si="207"/>
        <v>2.1281491003065258</v>
      </c>
      <c r="Q1005" s="14">
        <f t="shared" si="205"/>
        <v>6.4839034444694272</v>
      </c>
    </row>
    <row r="1006" spans="1:17" x14ac:dyDescent="0.25">
      <c r="A1006" s="5" t="s">
        <v>1063</v>
      </c>
      <c r="B1006" s="6">
        <f t="shared" si="206"/>
        <v>2</v>
      </c>
      <c r="C1006" s="58">
        <v>18.3041172</v>
      </c>
      <c r="D1006" s="4">
        <v>1.1000000000000001</v>
      </c>
      <c r="E1006" s="12">
        <f t="shared" si="195"/>
        <v>0</v>
      </c>
      <c r="F1006" s="12">
        <f t="shared" si="196"/>
        <v>1.1000000000000001</v>
      </c>
      <c r="G1006" s="16">
        <f t="shared" si="198"/>
        <v>16.7837308834456</v>
      </c>
      <c r="H1006" s="14">
        <f t="shared" si="199"/>
        <v>0.22620674580714001</v>
      </c>
      <c r="I1006" s="14">
        <f t="shared" si="200"/>
        <v>15.440414856114721</v>
      </c>
      <c r="J1006" s="14">
        <f t="shared" si="201"/>
        <v>4.5025322535632526</v>
      </c>
      <c r="K1006" s="14">
        <f t="shared" si="202"/>
        <v>8.4805902213810622</v>
      </c>
      <c r="L1006" s="14">
        <f t="shared" si="203"/>
        <v>681.31536077716248</v>
      </c>
      <c r="M1006" s="14">
        <f t="shared" si="197"/>
        <v>0.39324994997760643</v>
      </c>
      <c r="N1006" s="14">
        <f t="shared" si="204"/>
        <v>10.063375456024165</v>
      </c>
      <c r="O1006" s="4">
        <v>7.04</v>
      </c>
      <c r="P1006" s="14">
        <f t="shared" si="207"/>
        <v>9.1407991480893269</v>
      </c>
      <c r="Q1006" s="14">
        <f t="shared" si="205"/>
        <v>0.25639134102113131</v>
      </c>
    </row>
    <row r="1007" spans="1:17" x14ac:dyDescent="0.25">
      <c r="A1007" s="5" t="s">
        <v>1064</v>
      </c>
      <c r="B1007" s="6">
        <f t="shared" si="206"/>
        <v>2</v>
      </c>
      <c r="C1007" s="58">
        <v>18.161247249999999</v>
      </c>
      <c r="D1007" s="4">
        <v>7.8</v>
      </c>
      <c r="E1007" s="12">
        <f t="shared" si="195"/>
        <v>0</v>
      </c>
      <c r="F1007" s="12">
        <f t="shared" si="196"/>
        <v>7.8</v>
      </c>
      <c r="G1007" s="16">
        <f t="shared" si="198"/>
        <v>19.506507761252031</v>
      </c>
      <c r="H1007" s="14">
        <f t="shared" si="199"/>
        <v>1.4455047747669361</v>
      </c>
      <c r="I1007" s="14">
        <f t="shared" si="200"/>
        <v>15.146815734247667</v>
      </c>
      <c r="J1007" s="14">
        <f t="shared" si="201"/>
        <v>3.6317183474266352</v>
      </c>
      <c r="K1007" s="14">
        <f t="shared" si="202"/>
        <v>9.2563020529288966</v>
      </c>
      <c r="L1007" s="14">
        <f t="shared" si="203"/>
        <v>681.59190377040397</v>
      </c>
      <c r="M1007" s="14">
        <f t="shared" si="197"/>
        <v>0.42304181810216512</v>
      </c>
      <c r="N1007" s="14">
        <f t="shared" si="204"/>
        <v>10.825757636850545</v>
      </c>
      <c r="O1007" s="4">
        <v>6.71</v>
      </c>
      <c r="P1007" s="14">
        <f t="shared" si="207"/>
        <v>16.939460925293584</v>
      </c>
      <c r="Q1007" s="14">
        <f t="shared" si="205"/>
        <v>3.1099677228024682E-2</v>
      </c>
    </row>
    <row r="1008" spans="1:17" x14ac:dyDescent="0.25">
      <c r="A1008" s="5" t="s">
        <v>1065</v>
      </c>
      <c r="B1008" s="6">
        <f t="shared" si="206"/>
        <v>2</v>
      </c>
      <c r="C1008" s="58">
        <v>18.375558850000001</v>
      </c>
      <c r="D1008" s="4">
        <v>0</v>
      </c>
      <c r="E1008" s="12">
        <f t="shared" si="195"/>
        <v>0</v>
      </c>
      <c r="F1008" s="12">
        <f t="shared" si="196"/>
        <v>0</v>
      </c>
      <c r="G1008" s="16">
        <f t="shared" si="198"/>
        <v>15.16289873105146</v>
      </c>
      <c r="H1008" s="14">
        <f t="shared" si="199"/>
        <v>0</v>
      </c>
      <c r="I1008" s="14">
        <f t="shared" si="200"/>
        <v>15.587228134237467</v>
      </c>
      <c r="J1008" s="14">
        <f t="shared" si="201"/>
        <v>4.3436090302005717</v>
      </c>
      <c r="K1008" s="14">
        <f t="shared" si="202"/>
        <v>8.518270287946164</v>
      </c>
      <c r="L1008" s="14">
        <f t="shared" si="203"/>
        <v>681.90689371728456</v>
      </c>
      <c r="M1008" s="14">
        <f t="shared" si="197"/>
        <v>0.39481963035181905</v>
      </c>
      <c r="N1008" s="14">
        <f t="shared" si="204"/>
        <v>10.103544012822592</v>
      </c>
      <c r="O1008" s="4">
        <v>6.82</v>
      </c>
      <c r="P1008" s="14">
        <f t="shared" si="207"/>
        <v>10.781661284143089</v>
      </c>
      <c r="Q1008" s="14">
        <f t="shared" si="205"/>
        <v>8.1996898492393708E-2</v>
      </c>
    </row>
    <row r="1009" spans="1:17" x14ac:dyDescent="0.25">
      <c r="A1009" s="5" t="s">
        <v>1066</v>
      </c>
      <c r="B1009" s="6">
        <f t="shared" si="206"/>
        <v>2</v>
      </c>
      <c r="C1009" s="58">
        <v>17.549617770000001</v>
      </c>
      <c r="D1009" s="4">
        <v>0</v>
      </c>
      <c r="E1009" s="12">
        <f t="shared" si="195"/>
        <v>0</v>
      </c>
      <c r="F1009" s="12">
        <f t="shared" si="196"/>
        <v>0</v>
      </c>
      <c r="G1009" s="16">
        <f t="shared" si="198"/>
        <v>12.154163187906967</v>
      </c>
      <c r="H1009" s="14">
        <f t="shared" si="199"/>
        <v>0</v>
      </c>
      <c r="I1009" s="14">
        <f t="shared" si="200"/>
        <v>13.889911268081061</v>
      </c>
      <c r="J1009" s="14">
        <f t="shared" si="201"/>
        <v>3.0087355431444927</v>
      </c>
      <c r="K1009" s="14">
        <f t="shared" si="202"/>
        <v>7.8451626558931329</v>
      </c>
      <c r="L1009" s="14">
        <f t="shared" si="203"/>
        <v>682.18518171898586</v>
      </c>
      <c r="M1009" s="14">
        <f t="shared" si="197"/>
        <v>0.36907822228813347</v>
      </c>
      <c r="N1009" s="14">
        <f t="shared" si="204"/>
        <v>9.4448142300817484</v>
      </c>
      <c r="O1009" s="4">
        <v>6.25</v>
      </c>
      <c r="P1009" s="14">
        <f t="shared" si="207"/>
        <v>10.206837964732834</v>
      </c>
      <c r="Q1009" s="14">
        <f t="shared" si="205"/>
        <v>8.0456751940664012E-2</v>
      </c>
    </row>
    <row r="1010" spans="1:17" x14ac:dyDescent="0.25">
      <c r="A1010" s="5" t="s">
        <v>1067</v>
      </c>
      <c r="B1010" s="6">
        <f t="shared" si="206"/>
        <v>2</v>
      </c>
      <c r="C1010" s="58">
        <v>17.461839680000001</v>
      </c>
      <c r="D1010" s="4">
        <v>4.4000000000000004</v>
      </c>
      <c r="E1010" s="12">
        <f t="shared" si="195"/>
        <v>0</v>
      </c>
      <c r="F1010" s="12">
        <f t="shared" si="196"/>
        <v>4.4000000000000004</v>
      </c>
      <c r="G1010" s="16">
        <f t="shared" si="198"/>
        <v>13.486901481753243</v>
      </c>
      <c r="H1010" s="14">
        <f t="shared" si="199"/>
        <v>0.68686233122464235</v>
      </c>
      <c r="I1010" s="14">
        <f t="shared" si="200"/>
        <v>13.709526448577961</v>
      </c>
      <c r="J1010" s="14">
        <f t="shared" si="201"/>
        <v>2.3803993749290808</v>
      </c>
      <c r="K1010" s="14">
        <f t="shared" si="202"/>
        <v>7.9181301578909595</v>
      </c>
      <c r="L1010" s="14">
        <f t="shared" si="203"/>
        <v>682.42999832592454</v>
      </c>
      <c r="M1010" s="14">
        <f t="shared" si="197"/>
        <v>0.37192698279822412</v>
      </c>
      <c r="N1010" s="14">
        <f t="shared" si="204"/>
        <v>9.5177148028573324</v>
      </c>
      <c r="O1010" s="4">
        <v>6.25</v>
      </c>
      <c r="P1010" s="14">
        <f t="shared" si="207"/>
        <v>10.677960032812935</v>
      </c>
      <c r="Q1010" s="14">
        <f t="shared" si="205"/>
        <v>8.0456751940664012E-2</v>
      </c>
    </row>
    <row r="1011" spans="1:17" x14ac:dyDescent="0.25">
      <c r="A1011" s="5" t="s">
        <v>1068</v>
      </c>
      <c r="B1011" s="6">
        <f t="shared" si="206"/>
        <v>2</v>
      </c>
      <c r="C1011" s="58">
        <v>19.08376694</v>
      </c>
      <c r="D1011" s="4">
        <v>6.3</v>
      </c>
      <c r="E1011" s="12">
        <f t="shared" si="195"/>
        <v>0</v>
      </c>
      <c r="F1011" s="12">
        <f t="shared" si="196"/>
        <v>6.3</v>
      </c>
      <c r="G1011" s="16">
        <f t="shared" si="198"/>
        <v>15.463911306098947</v>
      </c>
      <c r="H1011" s="14">
        <f t="shared" si="199"/>
        <v>1.0393889254573381</v>
      </c>
      <c r="I1011" s="14">
        <f t="shared" si="200"/>
        <v>17.042602573181</v>
      </c>
      <c r="J1011" s="14">
        <f t="shared" si="201"/>
        <v>3.2836012501969591</v>
      </c>
      <c r="K1011" s="14">
        <f t="shared" si="202"/>
        <v>8.3372053545238956</v>
      </c>
      <c r="L1011" s="14">
        <f t="shared" si="203"/>
        <v>682.67838507195063</v>
      </c>
      <c r="M1011" s="14">
        <f t="shared" si="197"/>
        <v>0.38804290265499758</v>
      </c>
      <c r="N1011" s="14">
        <f t="shared" si="204"/>
        <v>9.9301256686365704</v>
      </c>
      <c r="O1011" s="4">
        <v>6.72</v>
      </c>
      <c r="P1011" s="14">
        <f t="shared" si="207"/>
        <v>10.304906808439389</v>
      </c>
      <c r="Q1011" s="14">
        <f t="shared" si="205"/>
        <v>3.4726697342967225E-2</v>
      </c>
    </row>
    <row r="1012" spans="1:17" x14ac:dyDescent="0.25">
      <c r="A1012" s="5" t="s">
        <v>1069</v>
      </c>
      <c r="B1012" s="6">
        <f t="shared" si="206"/>
        <v>2</v>
      </c>
      <c r="C1012" s="58">
        <v>19.157417299999999</v>
      </c>
      <c r="D1012" s="4">
        <v>1.4</v>
      </c>
      <c r="E1012" s="12">
        <f t="shared" si="195"/>
        <v>0</v>
      </c>
      <c r="F1012" s="12">
        <f t="shared" si="196"/>
        <v>1.4</v>
      </c>
      <c r="G1012" s="16">
        <f t="shared" si="198"/>
        <v>12.817143468082907</v>
      </c>
      <c r="H1012" s="14">
        <f t="shared" si="199"/>
        <v>0.24839631937437143</v>
      </c>
      <c r="I1012" s="14">
        <f t="shared" si="200"/>
        <v>17.193954771604751</v>
      </c>
      <c r="J1012" s="14">
        <f t="shared" si="201"/>
        <v>3.7983715186416664</v>
      </c>
      <c r="K1012" s="14">
        <f t="shared" si="202"/>
        <v>7.9284221961119981</v>
      </c>
      <c r="L1012" s="14">
        <f t="shared" si="203"/>
        <v>682.94752164708189</v>
      </c>
      <c r="M1012" s="14">
        <f t="shared" si="197"/>
        <v>0.37243118400386194</v>
      </c>
      <c r="N1012" s="14">
        <f t="shared" si="204"/>
        <v>9.5306174517654938</v>
      </c>
      <c r="O1012" s="4">
        <v>6.45</v>
      </c>
      <c r="P1012" s="14">
        <f t="shared" si="207"/>
        <v>9.4902038841221241</v>
      </c>
      <c r="Q1012" s="14">
        <f t="shared" si="205"/>
        <v>6.997154239516452E-3</v>
      </c>
    </row>
    <row r="1013" spans="1:17" x14ac:dyDescent="0.25">
      <c r="A1013" s="5" t="s">
        <v>1070</v>
      </c>
      <c r="B1013" s="6">
        <f t="shared" si="206"/>
        <v>2</v>
      </c>
      <c r="C1013" s="58">
        <v>18.100704189999998</v>
      </c>
      <c r="D1013" s="4">
        <v>3.8</v>
      </c>
      <c r="E1013" s="12">
        <f t="shared" si="195"/>
        <v>0</v>
      </c>
      <c r="F1013" s="12">
        <f t="shared" si="196"/>
        <v>3.8</v>
      </c>
      <c r="G1013" s="16">
        <f t="shared" si="198"/>
        <v>13.256323350086491</v>
      </c>
      <c r="H1013" s="14">
        <f t="shared" si="199"/>
        <v>0.61018582083318074</v>
      </c>
      <c r="I1013" s="14">
        <f t="shared" si="200"/>
        <v>15.022399163435232</v>
      </c>
      <c r="J1013" s="14">
        <f t="shared" si="201"/>
        <v>2.7506342971632356</v>
      </c>
      <c r="K1013" s="14">
        <f t="shared" si="202"/>
        <v>7.917388904790025</v>
      </c>
      <c r="L1013" s="14">
        <f t="shared" si="203"/>
        <v>683.19630957523316</v>
      </c>
      <c r="M1013" s="14">
        <f t="shared" si="197"/>
        <v>0.37206101298367095</v>
      </c>
      <c r="N1013" s="14">
        <f t="shared" si="204"/>
        <v>9.5211446725335236</v>
      </c>
      <c r="O1013" s="4">
        <v>6.97</v>
      </c>
      <c r="P1013" s="14">
        <f t="shared" si="207"/>
        <v>6.5083391401961803</v>
      </c>
      <c r="Q1013" s="14">
        <f t="shared" si="205"/>
        <v>0.19040220021653267</v>
      </c>
    </row>
    <row r="1014" spans="1:17" x14ac:dyDescent="0.25">
      <c r="A1014" s="5" t="s">
        <v>1071</v>
      </c>
      <c r="B1014" s="6">
        <f t="shared" si="206"/>
        <v>2</v>
      </c>
      <c r="C1014" s="58">
        <v>18.128393169999999</v>
      </c>
      <c r="D1014" s="4">
        <v>7.7</v>
      </c>
      <c r="E1014" s="12">
        <f t="shared" si="195"/>
        <v>0</v>
      </c>
      <c r="F1014" s="12">
        <f t="shared" si="196"/>
        <v>7.7</v>
      </c>
      <c r="G1014" s="16">
        <f t="shared" si="198"/>
        <v>16.84189033808612</v>
      </c>
      <c r="H1014" s="14">
        <f t="shared" si="199"/>
        <v>1.2587724137119523</v>
      </c>
      <c r="I1014" s="14">
        <f t="shared" si="200"/>
        <v>15.079300283743557</v>
      </c>
      <c r="J1014" s="14">
        <f t="shared" si="201"/>
        <v>2.8556605982884213</v>
      </c>
      <c r="K1014" s="14">
        <f t="shared" si="202"/>
        <v>8.5559127971891513</v>
      </c>
      <c r="L1014" s="14">
        <f t="shared" si="203"/>
        <v>683.44449708356228</v>
      </c>
      <c r="M1014" s="14">
        <f t="shared" si="197"/>
        <v>0.39658841910416065</v>
      </c>
      <c r="N1014" s="14">
        <f t="shared" si="204"/>
        <v>10.148807808325222</v>
      </c>
      <c r="O1014" s="4">
        <v>9.43</v>
      </c>
      <c r="P1014" s="14">
        <f t="shared" si="207"/>
        <v>0.5166846653093089</v>
      </c>
      <c r="Q1014" s="14">
        <f t="shared" si="205"/>
        <v>8.388849148492417</v>
      </c>
    </row>
    <row r="1015" spans="1:17" x14ac:dyDescent="0.25">
      <c r="A1015" s="5" t="s">
        <v>1072</v>
      </c>
      <c r="B1015" s="6">
        <f t="shared" si="206"/>
        <v>2</v>
      </c>
      <c r="C1015" s="58">
        <v>17.079713819999998</v>
      </c>
      <c r="D1015" s="4">
        <v>19.899999999999999</v>
      </c>
      <c r="E1015" s="12">
        <f t="shared" si="195"/>
        <v>0</v>
      </c>
      <c r="F1015" s="12">
        <f t="shared" si="196"/>
        <v>19.899999999999999</v>
      </c>
      <c r="G1015" s="16">
        <f t="shared" si="198"/>
        <v>29.937654400492189</v>
      </c>
      <c r="H1015" s="14">
        <f t="shared" si="199"/>
        <v>3.6946781299982701</v>
      </c>
      <c r="I1015" s="14">
        <f t="shared" si="200"/>
        <v>12.924254129670508</v>
      </c>
      <c r="J1015" s="14">
        <f t="shared" si="201"/>
        <v>3.1095578075956607</v>
      </c>
      <c r="K1015" s="14">
        <f t="shared" si="202"/>
        <v>11.574171910191552</v>
      </c>
      <c r="L1015" s="14">
        <f t="shared" si="203"/>
        <v>683.72432768145393</v>
      </c>
      <c r="M1015" s="14">
        <f t="shared" si="197"/>
        <v>0.51233843446505523</v>
      </c>
      <c r="N1015" s="14">
        <f t="shared" si="204"/>
        <v>13.110882854192559</v>
      </c>
      <c r="O1015" s="4">
        <v>14.16</v>
      </c>
      <c r="P1015" s="14">
        <f t="shared" si="207"/>
        <v>1.1006467856271525</v>
      </c>
      <c r="Q1015" s="14">
        <f t="shared" si="205"/>
        <v>58.161229662860279</v>
      </c>
    </row>
    <row r="1016" spans="1:17" x14ac:dyDescent="0.25">
      <c r="A1016" s="5" t="s">
        <v>1073</v>
      </c>
      <c r="B1016" s="6">
        <f t="shared" si="206"/>
        <v>2</v>
      </c>
      <c r="C1016" s="58">
        <v>18.684829709999999</v>
      </c>
      <c r="D1016" s="4">
        <v>10.199999999999999</v>
      </c>
      <c r="E1016" s="12">
        <f t="shared" si="195"/>
        <v>0</v>
      </c>
      <c r="F1016" s="12">
        <f t="shared" si="196"/>
        <v>10.199999999999999</v>
      </c>
      <c r="G1016" s="16">
        <f t="shared" si="198"/>
        <v>30.628332542662015</v>
      </c>
      <c r="H1016" s="14">
        <f t="shared" si="199"/>
        <v>2.5711439306262234</v>
      </c>
      <c r="I1016" s="14">
        <f t="shared" si="200"/>
        <v>16.222782727173676</v>
      </c>
      <c r="J1016" s="14">
        <f t="shared" si="201"/>
        <v>6.9381779272039514</v>
      </c>
      <c r="K1016" s="14">
        <f t="shared" si="202"/>
        <v>13.203382702118171</v>
      </c>
      <c r="L1016" s="14">
        <f t="shared" si="203"/>
        <v>684.15392238568847</v>
      </c>
      <c r="M1016" s="14">
        <f t="shared" si="197"/>
        <v>0.57487759495077584</v>
      </c>
      <c r="N1016" s="14">
        <f t="shared" si="204"/>
        <v>14.711277343011172</v>
      </c>
      <c r="O1016" s="4">
        <v>22.26</v>
      </c>
      <c r="P1016" s="14">
        <f t="shared" si="207"/>
        <v>56.983213752136493</v>
      </c>
      <c r="Q1016" s="14">
        <f t="shared" si="205"/>
        <v>247.31811595596389</v>
      </c>
    </row>
    <row r="1017" spans="1:17" x14ac:dyDescent="0.25">
      <c r="A1017" s="5" t="s">
        <v>1074</v>
      </c>
      <c r="B1017" s="6">
        <f t="shared" si="206"/>
        <v>2</v>
      </c>
      <c r="C1017" s="58">
        <v>17.736925129999999</v>
      </c>
      <c r="D1017" s="4">
        <v>10</v>
      </c>
      <c r="E1017" s="12">
        <f t="shared" si="195"/>
        <v>0</v>
      </c>
      <c r="F1017" s="12">
        <f t="shared" si="196"/>
        <v>10</v>
      </c>
      <c r="G1017" s="16">
        <f t="shared" si="198"/>
        <v>31.830931995271555</v>
      </c>
      <c r="H1017" s="14">
        <f t="shared" si="199"/>
        <v>2.5514779193662518</v>
      </c>
      <c r="I1017" s="14">
        <f t="shared" si="200"/>
        <v>14.274829695050729</v>
      </c>
      <c r="J1017" s="14">
        <f t="shared" si="201"/>
        <v>6.2459226280242115</v>
      </c>
      <c r="K1017" s="14">
        <f t="shared" si="202"/>
        <v>14.669606960492635</v>
      </c>
      <c r="L1017" s="14">
        <f t="shared" si="203"/>
        <v>684.66429845172956</v>
      </c>
      <c r="M1017" s="14">
        <f t="shared" si="197"/>
        <v>0.63118656107971982</v>
      </c>
      <c r="N1017" s="14">
        <f t="shared" si="204"/>
        <v>16.152239427630331</v>
      </c>
      <c r="O1017" s="4">
        <v>23.13</v>
      </c>
      <c r="P1017" s="14">
        <f t="shared" si="207"/>
        <v>48.689142605316675</v>
      </c>
      <c r="Q1017" s="14">
        <f t="shared" si="205"/>
        <v>275.43886670596379</v>
      </c>
    </row>
    <row r="1018" spans="1:17" x14ac:dyDescent="0.25">
      <c r="A1018" s="5" t="s">
        <v>1075</v>
      </c>
      <c r="B1018" s="6">
        <f t="shared" si="206"/>
        <v>2</v>
      </c>
      <c r="C1018" s="58">
        <v>18.064218520000001</v>
      </c>
      <c r="D1018" s="4">
        <v>17.8</v>
      </c>
      <c r="E1018" s="12">
        <f t="shared" si="195"/>
        <v>0</v>
      </c>
      <c r="F1018" s="12">
        <f t="shared" si="196"/>
        <v>17.8</v>
      </c>
      <c r="G1018" s="16">
        <f t="shared" si="198"/>
        <v>38.198353240689926</v>
      </c>
      <c r="H1018" s="14">
        <f t="shared" si="199"/>
        <v>4.6355684980479772</v>
      </c>
      <c r="I1018" s="14">
        <f t="shared" si="200"/>
        <v>14.947420760539936</v>
      </c>
      <c r="J1018" s="14">
        <f t="shared" si="201"/>
        <v>6.797010256533655</v>
      </c>
      <c r="K1018" s="14">
        <f t="shared" si="202"/>
        <v>18.090939085459617</v>
      </c>
      <c r="L1018" s="14">
        <f t="shared" si="203"/>
        <v>685.24734826373083</v>
      </c>
      <c r="M1018" s="14">
        <f t="shared" si="197"/>
        <v>0.76245075156840725</v>
      </c>
      <c r="N1018" s="14">
        <f t="shared" si="204"/>
        <v>19.511326524510977</v>
      </c>
      <c r="O1018" s="4">
        <v>22.45</v>
      </c>
      <c r="P1018" s="14">
        <f t="shared" si="207"/>
        <v>8.6358017955427275</v>
      </c>
      <c r="Q1018" s="14">
        <f t="shared" si="205"/>
        <v>253.33022933814772</v>
      </c>
    </row>
    <row r="1019" spans="1:17" x14ac:dyDescent="0.25">
      <c r="A1019" s="5" t="s">
        <v>1076</v>
      </c>
      <c r="B1019" s="6">
        <f t="shared" si="206"/>
        <v>2</v>
      </c>
      <c r="C1019" s="58">
        <v>18.92651176</v>
      </c>
      <c r="D1019" s="4">
        <v>3.6</v>
      </c>
      <c r="E1019" s="12">
        <f t="shared" si="195"/>
        <v>0</v>
      </c>
      <c r="F1019" s="12">
        <f t="shared" si="196"/>
        <v>3.6</v>
      </c>
      <c r="G1019" s="16">
        <f t="shared" si="198"/>
        <v>31.641739783143187</v>
      </c>
      <c r="H1019" s="14">
        <f t="shared" si="199"/>
        <v>1.0329612509500132</v>
      </c>
      <c r="I1019" s="14">
        <f t="shared" si="200"/>
        <v>16.719441665257079</v>
      </c>
      <c r="J1019" s="14">
        <f t="shared" si="201"/>
        <v>9.1236522065967254</v>
      </c>
      <c r="K1019" s="14">
        <f t="shared" si="202"/>
        <v>17.608691793542409</v>
      </c>
      <c r="L1019" s="14">
        <f t="shared" si="203"/>
        <v>686.00010605502962</v>
      </c>
      <c r="M1019" s="14">
        <f t="shared" si="197"/>
        <v>0.74412565059822633</v>
      </c>
      <c r="N1019" s="14">
        <f t="shared" si="204"/>
        <v>19.042382100378223</v>
      </c>
      <c r="O1019" s="4">
        <v>23.93</v>
      </c>
      <c r="P1019" s="14">
        <f t="shared" si="207"/>
        <v>23.88880873270319</v>
      </c>
      <c r="Q1019" s="14">
        <f t="shared" si="205"/>
        <v>302.63302831515927</v>
      </c>
    </row>
    <row r="1020" spans="1:17" x14ac:dyDescent="0.25">
      <c r="A1020" s="5" t="s">
        <v>1077</v>
      </c>
      <c r="B1020" s="6">
        <f t="shared" si="206"/>
        <v>2</v>
      </c>
      <c r="C1020" s="58">
        <v>18.9534111</v>
      </c>
      <c r="D1020" s="4">
        <v>2.2000000000000002</v>
      </c>
      <c r="E1020" s="12">
        <f t="shared" si="195"/>
        <v>0</v>
      </c>
      <c r="F1020" s="12">
        <f t="shared" si="196"/>
        <v>2.2000000000000002</v>
      </c>
      <c r="G1020" s="16">
        <f t="shared" si="198"/>
        <v>25.688020567045342</v>
      </c>
      <c r="H1020" s="14">
        <f t="shared" si="199"/>
        <v>0.57112270250941499</v>
      </c>
      <c r="I1020" s="14">
        <f t="shared" si="200"/>
        <v>16.774720067767916</v>
      </c>
      <c r="J1020" s="14">
        <f t="shared" si="201"/>
        <v>7.5825965135884363</v>
      </c>
      <c r="K1020" s="14">
        <f t="shared" si="202"/>
        <v>16.707028906736141</v>
      </c>
      <c r="L1020" s="14">
        <f t="shared" si="203"/>
        <v>686.72876599374706</v>
      </c>
      <c r="M1020" s="14">
        <f t="shared" si="197"/>
        <v>0.70971912696122352</v>
      </c>
      <c r="N1020" s="14">
        <f t="shared" si="204"/>
        <v>18.161909603139645</v>
      </c>
      <c r="O1020" s="4">
        <v>17.23</v>
      </c>
      <c r="P1020" s="14">
        <f t="shared" si="207"/>
        <v>0.86845550842388897</v>
      </c>
      <c r="Q1020" s="14">
        <f t="shared" si="205"/>
        <v>114.4119248381477</v>
      </c>
    </row>
    <row r="1021" spans="1:17" x14ac:dyDescent="0.25">
      <c r="A1021" s="5" t="s">
        <v>1078</v>
      </c>
      <c r="B1021" s="6">
        <f t="shared" si="206"/>
        <v>2</v>
      </c>
      <c r="C1021" s="58">
        <v>19.425039290000001</v>
      </c>
      <c r="D1021" s="4">
        <v>10.9</v>
      </c>
      <c r="E1021" s="12">
        <f t="shared" si="195"/>
        <v>0</v>
      </c>
      <c r="F1021" s="12">
        <f t="shared" si="196"/>
        <v>10.9</v>
      </c>
      <c r="G1021" s="16">
        <f t="shared" si="198"/>
        <v>27.543647643235992</v>
      </c>
      <c r="H1021" s="14">
        <f t="shared" si="199"/>
        <v>2.5328505844707552</v>
      </c>
      <c r="I1021" s="14">
        <f t="shared" si="200"/>
        <v>17.743920535968169</v>
      </c>
      <c r="J1021" s="14">
        <f t="shared" si="201"/>
        <v>6.5115223393385904</v>
      </c>
      <c r="K1021" s="14">
        <f t="shared" si="202"/>
        <v>17.84641254899871</v>
      </c>
      <c r="L1021" s="14">
        <f t="shared" si="203"/>
        <v>687.41251380899405</v>
      </c>
      <c r="M1021" s="14">
        <f t="shared" si="197"/>
        <v>0.75353695426263823</v>
      </c>
      <c r="N1021" s="14">
        <f t="shared" si="204"/>
        <v>19.28321997540154</v>
      </c>
      <c r="O1021" s="4">
        <v>15.2</v>
      </c>
      <c r="P1021" s="14">
        <f t="shared" si="207"/>
        <v>16.672685367518156</v>
      </c>
      <c r="Q1021" s="14">
        <f t="shared" si="205"/>
        <v>75.10563975481432</v>
      </c>
    </row>
    <row r="1022" spans="1:17" x14ac:dyDescent="0.25">
      <c r="A1022" s="5" t="s">
        <v>1079</v>
      </c>
      <c r="B1022" s="6">
        <f t="shared" si="206"/>
        <v>2</v>
      </c>
      <c r="C1022" s="58">
        <v>18.14401054</v>
      </c>
      <c r="D1022" s="4">
        <v>10.4</v>
      </c>
      <c r="E1022" s="12">
        <f t="shared" si="195"/>
        <v>0</v>
      </c>
      <c r="F1022" s="12">
        <f t="shared" si="196"/>
        <v>10.4</v>
      </c>
      <c r="G1022" s="16">
        <f t="shared" si="198"/>
        <v>29.489654136013293</v>
      </c>
      <c r="H1022" s="14">
        <f t="shared" si="199"/>
        <v>2.5079470584036447</v>
      </c>
      <c r="I1022" s="14">
        <f t="shared" si="200"/>
        <v>15.111394129355409</v>
      </c>
      <c r="J1022" s="14">
        <f t="shared" si="201"/>
        <v>5.9460464488190521</v>
      </c>
      <c r="K1022" s="14">
        <f t="shared" si="202"/>
        <v>18.860661891184172</v>
      </c>
      <c r="L1022" s="14">
        <f t="shared" si="203"/>
        <v>688.15267457094956</v>
      </c>
      <c r="M1022" s="14">
        <f t="shared" si="197"/>
        <v>0.79257030804843043</v>
      </c>
      <c r="N1022" s="14">
        <f t="shared" si="204"/>
        <v>20.282094341378237</v>
      </c>
      <c r="O1022" s="4">
        <v>16.55</v>
      </c>
      <c r="P1022" s="14">
        <f t="shared" si="207"/>
        <v>13.928528172947448</v>
      </c>
      <c r="Q1022" s="14">
        <f t="shared" si="205"/>
        <v>100.3272874703316</v>
      </c>
    </row>
    <row r="1023" spans="1:17" x14ac:dyDescent="0.25">
      <c r="A1023" s="5" t="s">
        <v>1080</v>
      </c>
      <c r="B1023" s="6">
        <f t="shared" si="206"/>
        <v>2</v>
      </c>
      <c r="C1023" s="58">
        <v>18.762640000000001</v>
      </c>
      <c r="D1023" s="4">
        <v>0.2</v>
      </c>
      <c r="E1023" s="12">
        <f t="shared" si="195"/>
        <v>0</v>
      </c>
      <c r="F1023" s="12">
        <f t="shared" si="196"/>
        <v>0.2</v>
      </c>
      <c r="G1023" s="16">
        <f t="shared" si="198"/>
        <v>22.737926802417341</v>
      </c>
      <c r="H1023" s="14">
        <f t="shared" si="199"/>
        <v>5.0012134046163163E-2</v>
      </c>
      <c r="I1023" s="14">
        <f t="shared" si="200"/>
        <v>16.382683621772028</v>
      </c>
      <c r="J1023" s="14">
        <f t="shared" si="201"/>
        <v>6.9017151995497885</v>
      </c>
      <c r="K1023" s="14">
        <f t="shared" si="202"/>
        <v>17.327753510969778</v>
      </c>
      <c r="L1023" s="14">
        <f t="shared" si="203"/>
        <v>688.94302477716167</v>
      </c>
      <c r="M1023" s="14">
        <f t="shared" si="197"/>
        <v>0.73398104918898732</v>
      </c>
      <c r="N1023" s="14">
        <f t="shared" si="204"/>
        <v>18.782778932370963</v>
      </c>
      <c r="O1023" s="4">
        <v>17.27</v>
      </c>
      <c r="P1023" s="14">
        <f t="shared" si="207"/>
        <v>2.2885000982254322</v>
      </c>
      <c r="Q1023" s="14">
        <f t="shared" si="205"/>
        <v>115.26923291860744</v>
      </c>
    </row>
    <row r="1024" spans="1:17" x14ac:dyDescent="0.25">
      <c r="A1024" s="5" t="s">
        <v>1081</v>
      </c>
      <c r="B1024" s="6">
        <f t="shared" si="206"/>
        <v>2</v>
      </c>
      <c r="C1024" s="58">
        <v>15.214244839999999</v>
      </c>
      <c r="D1024" s="4">
        <v>3.5</v>
      </c>
      <c r="E1024" s="12">
        <f t="shared" si="195"/>
        <v>0</v>
      </c>
      <c r="F1024" s="12">
        <f t="shared" si="196"/>
        <v>3.5</v>
      </c>
      <c r="G1024" s="16">
        <f t="shared" si="198"/>
        <v>22.522781878007091</v>
      </c>
      <c r="H1024" s="14">
        <f t="shared" si="199"/>
        <v>0.76223378717045986</v>
      </c>
      <c r="I1024" s="14">
        <f t="shared" si="200"/>
        <v>9.0906974272413397</v>
      </c>
      <c r="J1024" s="14">
        <f t="shared" si="201"/>
        <v>2.9529111372397918</v>
      </c>
      <c r="K1024" s="14">
        <f t="shared" si="202"/>
        <v>16.641915651053331</v>
      </c>
      <c r="L1024" s="14">
        <f t="shared" si="203"/>
        <v>689.65711537505967</v>
      </c>
      <c r="M1024" s="14">
        <f t="shared" si="197"/>
        <v>0.70784406942336364</v>
      </c>
      <c r="N1024" s="14">
        <f t="shared" si="204"/>
        <v>18.113926359896492</v>
      </c>
      <c r="O1024" s="4">
        <v>14.19</v>
      </c>
      <c r="P1024" s="14">
        <f t="shared" si="207"/>
        <v>15.397198077890542</v>
      </c>
      <c r="Q1024" s="14">
        <f t="shared" si="205"/>
        <v>58.619710723205102</v>
      </c>
    </row>
    <row r="1025" spans="1:17" x14ac:dyDescent="0.25">
      <c r="A1025" s="5" t="s">
        <v>1082</v>
      </c>
      <c r="B1025" s="6">
        <f t="shared" si="206"/>
        <v>2</v>
      </c>
      <c r="C1025" s="58">
        <v>18.122642519999999</v>
      </c>
      <c r="D1025" s="4">
        <v>0</v>
      </c>
      <c r="E1025" s="12">
        <f t="shared" si="195"/>
        <v>0</v>
      </c>
      <c r="F1025" s="12">
        <f t="shared" si="196"/>
        <v>0</v>
      </c>
      <c r="G1025" s="16">
        <f t="shared" si="198"/>
        <v>17.674754748543656</v>
      </c>
      <c r="H1025" s="14">
        <f t="shared" si="199"/>
        <v>0</v>
      </c>
      <c r="I1025" s="14">
        <f t="shared" si="200"/>
        <v>15.067482642663926</v>
      </c>
      <c r="J1025" s="14">
        <f t="shared" si="201"/>
        <v>4.8480271294634338</v>
      </c>
      <c r="K1025" s="14">
        <f t="shared" si="202"/>
        <v>15.254176675943599</v>
      </c>
      <c r="L1025" s="14">
        <f t="shared" si="203"/>
        <v>690.33701028074609</v>
      </c>
      <c r="M1025" s="14">
        <f t="shared" si="197"/>
        <v>0.65479577923672938</v>
      </c>
      <c r="N1025" s="14">
        <f t="shared" si="204"/>
        <v>16.75640587838436</v>
      </c>
      <c r="O1025" s="4">
        <v>12.17</v>
      </c>
      <c r="P1025" s="14">
        <f t="shared" si="207"/>
        <v>21.035118881278613</v>
      </c>
      <c r="Q1025" s="14">
        <f t="shared" si="205"/>
        <v>31.768452659986696</v>
      </c>
    </row>
    <row r="1026" spans="1:17" x14ac:dyDescent="0.25">
      <c r="A1026" s="5" t="s">
        <v>1083</v>
      </c>
      <c r="B1026" s="6">
        <f t="shared" si="206"/>
        <v>2</v>
      </c>
      <c r="C1026" s="58">
        <v>18.7669754</v>
      </c>
      <c r="D1026" s="4">
        <v>0</v>
      </c>
      <c r="E1026" s="12">
        <f t="shared" si="195"/>
        <v>0</v>
      </c>
      <c r="F1026" s="12">
        <f t="shared" si="196"/>
        <v>0</v>
      </c>
      <c r="G1026" s="16">
        <f t="shared" si="198"/>
        <v>13.535931625805013</v>
      </c>
      <c r="H1026" s="14">
        <f t="shared" si="199"/>
        <v>0</v>
      </c>
      <c r="I1026" s="14">
        <f t="shared" si="200"/>
        <v>16.391592910484889</v>
      </c>
      <c r="J1026" s="14">
        <f t="shared" si="201"/>
        <v>4.1388231227386418</v>
      </c>
      <c r="K1026" s="14">
        <f t="shared" si="202"/>
        <v>13.988516118005871</v>
      </c>
      <c r="L1026" s="14">
        <f t="shared" si="203"/>
        <v>690.94787505944703</v>
      </c>
      <c r="M1026" s="14">
        <f t="shared" si="197"/>
        <v>0.60641215514936653</v>
      </c>
      <c r="N1026" s="14">
        <f t="shared" si="204"/>
        <v>15.518255498093167</v>
      </c>
      <c r="O1026" s="4">
        <v>9.26</v>
      </c>
      <c r="P1026" s="14">
        <f t="shared" si="207"/>
        <v>39.165761879413353</v>
      </c>
      <c r="Q1026" s="14">
        <f t="shared" si="205"/>
        <v>7.4329898065383926</v>
      </c>
    </row>
    <row r="1027" spans="1:17" x14ac:dyDescent="0.25">
      <c r="A1027" s="5" t="s">
        <v>1084</v>
      </c>
      <c r="B1027" s="6">
        <f t="shared" si="206"/>
        <v>3</v>
      </c>
      <c r="C1027" s="58">
        <v>19.532512659999998</v>
      </c>
      <c r="D1027" s="4">
        <v>0</v>
      </c>
      <c r="E1027" s="12">
        <f t="shared" si="195"/>
        <v>0</v>
      </c>
      <c r="F1027" s="12">
        <f t="shared" si="196"/>
        <v>0</v>
      </c>
      <c r="G1027" s="16">
        <f t="shared" si="198"/>
        <v>9.9277667423574396</v>
      </c>
      <c r="H1027" s="14">
        <f t="shared" si="199"/>
        <v>0</v>
      </c>
      <c r="I1027" s="14">
        <f t="shared" si="200"/>
        <v>18.65932429771976</v>
      </c>
      <c r="J1027" s="14">
        <f t="shared" si="201"/>
        <v>3.6081648834475728</v>
      </c>
      <c r="K1027" s="14">
        <f t="shared" si="202"/>
        <v>12.834194825132634</v>
      </c>
      <c r="L1027" s="14">
        <f t="shared" si="203"/>
        <v>691.49578419717091</v>
      </c>
      <c r="M1027" s="14">
        <f t="shared" si="197"/>
        <v>0.56228285019452873</v>
      </c>
      <c r="N1027" s="14">
        <f t="shared" si="204"/>
        <v>14.3889743261586</v>
      </c>
      <c r="O1027" s="4">
        <v>7.69</v>
      </c>
      <c r="P1027" s="14">
        <f t="shared" si="207"/>
        <v>44.876257022532059</v>
      </c>
      <c r="Q1027" s="14">
        <f t="shared" si="205"/>
        <v>1.3371476484924028</v>
      </c>
    </row>
    <row r="1028" spans="1:17" x14ac:dyDescent="0.25">
      <c r="A1028" s="5" t="s">
        <v>1085</v>
      </c>
      <c r="B1028" s="6">
        <f t="shared" si="206"/>
        <v>3</v>
      </c>
      <c r="C1028" s="58">
        <v>20.120870589999999</v>
      </c>
      <c r="D1028" s="4">
        <v>0.9</v>
      </c>
      <c r="E1028" s="12">
        <f t="shared" si="195"/>
        <v>0</v>
      </c>
      <c r="F1028" s="12">
        <f t="shared" si="196"/>
        <v>0.9</v>
      </c>
      <c r="G1028" s="16">
        <f t="shared" si="198"/>
        <v>7.8856747983489264</v>
      </c>
      <c r="H1028" s="14">
        <f t="shared" si="199"/>
        <v>0.12616760245082909</v>
      </c>
      <c r="I1028" s="14">
        <f t="shared" si="200"/>
        <v>19.854872686364409</v>
      </c>
      <c r="J1028" s="14">
        <f t="shared" si="201"/>
        <v>2.8159243415576838</v>
      </c>
      <c r="K1028" s="14">
        <f t="shared" si="202"/>
        <v>11.907585963290661</v>
      </c>
      <c r="L1028" s="14">
        <f t="shared" si="203"/>
        <v>691.98627781126925</v>
      </c>
      <c r="M1028" s="14">
        <f t="shared" si="197"/>
        <v>0.52686965402976105</v>
      </c>
      <c r="N1028" s="14">
        <f t="shared" si="204"/>
        <v>13.482740799303258</v>
      </c>
      <c r="O1028" s="4">
        <v>7.18</v>
      </c>
      <c r="P1028" s="14">
        <f t="shared" si="207"/>
        <v>39.724541583201876</v>
      </c>
      <c r="Q1028" s="14">
        <f t="shared" si="205"/>
        <v>0.41776962263032763</v>
      </c>
    </row>
    <row r="1029" spans="1:17" x14ac:dyDescent="0.25">
      <c r="A1029" s="5" t="s">
        <v>1086</v>
      </c>
      <c r="B1029" s="6">
        <f t="shared" si="206"/>
        <v>3</v>
      </c>
      <c r="C1029" s="58">
        <v>19.449939730000001</v>
      </c>
      <c r="D1029" s="4">
        <v>0</v>
      </c>
      <c r="E1029" s="12">
        <f t="shared" si="195"/>
        <v>0</v>
      </c>
      <c r="F1029" s="12">
        <f t="shared" si="196"/>
        <v>0</v>
      </c>
      <c r="G1029" s="16">
        <f t="shared" si="198"/>
        <v>5.8025554786824856</v>
      </c>
      <c r="H1029" s="14">
        <f t="shared" si="199"/>
        <v>0</v>
      </c>
      <c r="I1029" s="14">
        <f t="shared" si="200"/>
        <v>18.49153539172649</v>
      </c>
      <c r="J1029" s="14">
        <f t="shared" si="201"/>
        <v>2.0831193196664408</v>
      </c>
      <c r="K1029" s="14">
        <f t="shared" si="202"/>
        <v>10.93632262590436</v>
      </c>
      <c r="L1029" s="14">
        <f t="shared" si="203"/>
        <v>692.4306714946257</v>
      </c>
      <c r="M1029" s="14">
        <f t="shared" si="197"/>
        <v>0.48973506734948791</v>
      </c>
      <c r="N1029" s="14">
        <f t="shared" si="204"/>
        <v>12.532456410992104</v>
      </c>
      <c r="O1029" s="4">
        <v>6.8</v>
      </c>
      <c r="P1029" s="14">
        <f t="shared" si="207"/>
        <v>32.86105650392448</v>
      </c>
      <c r="Q1029" s="14">
        <f t="shared" si="205"/>
        <v>7.0942858262508207E-2</v>
      </c>
    </row>
    <row r="1030" spans="1:17" x14ac:dyDescent="0.25">
      <c r="A1030" s="5" t="s">
        <v>1087</v>
      </c>
      <c r="B1030" s="6">
        <f t="shared" si="206"/>
        <v>3</v>
      </c>
      <c r="C1030" s="58">
        <v>19.49826813</v>
      </c>
      <c r="D1030" s="4">
        <v>0.6</v>
      </c>
      <c r="E1030" s="12">
        <f t="shared" si="195"/>
        <v>0</v>
      </c>
      <c r="F1030" s="12">
        <f t="shared" si="196"/>
        <v>0.6</v>
      </c>
      <c r="G1030" s="16">
        <f t="shared" si="198"/>
        <v>4.7983598853657901</v>
      </c>
      <c r="H1030" s="14">
        <f t="shared" si="199"/>
        <v>6.322302658075625E-2</v>
      </c>
      <c r="I1030" s="14">
        <f t="shared" si="200"/>
        <v>18.589739117383374</v>
      </c>
      <c r="J1030" s="14">
        <f t="shared" si="201"/>
        <v>1.5409725667359393</v>
      </c>
      <c r="K1030" s="14">
        <f t="shared" si="202"/>
        <v>10.113723664669571</v>
      </c>
      <c r="L1030" s="14">
        <f t="shared" si="203"/>
        <v>692.82675841509172</v>
      </c>
      <c r="M1030" s="14">
        <f t="shared" si="197"/>
        <v>0.45828858678147832</v>
      </c>
      <c r="N1030" s="14">
        <f t="shared" si="204"/>
        <v>11.727732238123249</v>
      </c>
      <c r="O1030" s="4">
        <v>5.88</v>
      </c>
      <c r="P1030" s="14">
        <f t="shared" si="207"/>
        <v>34.195972328785942</v>
      </c>
      <c r="Q1030" s="14">
        <f t="shared" si="205"/>
        <v>0.42725700768778707</v>
      </c>
    </row>
    <row r="1031" spans="1:17" x14ac:dyDescent="0.25">
      <c r="A1031" s="5" t="s">
        <v>1088</v>
      </c>
      <c r="B1031" s="6">
        <f t="shared" si="206"/>
        <v>3</v>
      </c>
      <c r="C1031" s="58">
        <v>19.332847600000001</v>
      </c>
      <c r="D1031" s="4">
        <v>2.2999999999999998</v>
      </c>
      <c r="E1031" s="12">
        <f t="shared" si="195"/>
        <v>0</v>
      </c>
      <c r="F1031" s="12">
        <f t="shared" si="196"/>
        <v>2.2999999999999998</v>
      </c>
      <c r="G1031" s="16">
        <f t="shared" si="198"/>
        <v>5.6280410977015141</v>
      </c>
      <c r="H1031" s="14">
        <f t="shared" si="199"/>
        <v>0.21906981677011378</v>
      </c>
      <c r="I1031" s="14">
        <f t="shared" si="200"/>
        <v>18.25360317358766</v>
      </c>
      <c r="J1031" s="14">
        <f t="shared" si="201"/>
        <v>1.2512489708941616</v>
      </c>
      <c r="K1031" s="14">
        <f t="shared" si="202"/>
        <v>9.5193349430595333</v>
      </c>
      <c r="L1031" s="14">
        <f t="shared" si="203"/>
        <v>693.1819283666905</v>
      </c>
      <c r="M1031" s="14">
        <f t="shared" si="197"/>
        <v>0.43558079350580403</v>
      </c>
      <c r="N1031" s="14">
        <f t="shared" si="204"/>
        <v>11.146633500478389</v>
      </c>
      <c r="O1031" s="4">
        <v>5.59</v>
      </c>
      <c r="P1031" s="14">
        <f t="shared" si="207"/>
        <v>30.876175858638717</v>
      </c>
      <c r="Q1031" s="14">
        <f t="shared" si="205"/>
        <v>0.89047342435445109</v>
      </c>
    </row>
    <row r="1032" spans="1:17" x14ac:dyDescent="0.25">
      <c r="A1032" s="5" t="s">
        <v>1089</v>
      </c>
      <c r="B1032" s="6">
        <f t="shared" si="206"/>
        <v>3</v>
      </c>
      <c r="C1032" s="58">
        <v>18.618133539999999</v>
      </c>
      <c r="D1032" s="4">
        <v>1.9</v>
      </c>
      <c r="E1032" s="12">
        <f t="shared" si="195"/>
        <v>0</v>
      </c>
      <c r="F1032" s="12">
        <f t="shared" si="196"/>
        <v>1.9</v>
      </c>
      <c r="G1032" s="16">
        <f t="shared" si="198"/>
        <v>5.9802232036961076</v>
      </c>
      <c r="H1032" s="14">
        <f t="shared" si="199"/>
        <v>0.19698257660307497</v>
      </c>
      <c r="I1032" s="14">
        <f t="shared" si="200"/>
        <v>16.801298038897492</v>
      </c>
      <c r="J1032" s="14">
        <f t="shared" si="201"/>
        <v>1.3508353174023315</v>
      </c>
      <c r="K1032" s="14">
        <f t="shared" si="202"/>
        <v>8.9551469371736605</v>
      </c>
      <c r="L1032" s="14">
        <f t="shared" si="203"/>
        <v>693.50751815567367</v>
      </c>
      <c r="M1032" s="14">
        <f t="shared" si="197"/>
        <v>0.41402433151827001</v>
      </c>
      <c r="N1032" s="14">
        <f t="shared" si="204"/>
        <v>10.594997650311283</v>
      </c>
      <c r="O1032" s="4">
        <v>7.15</v>
      </c>
      <c r="P1032" s="14">
        <f t="shared" si="207"/>
        <v>11.868008810650259</v>
      </c>
      <c r="Q1032" s="14">
        <f t="shared" si="205"/>
        <v>0.37988856228550055</v>
      </c>
    </row>
    <row r="1033" spans="1:17" x14ac:dyDescent="0.25">
      <c r="A1033" s="5" t="s">
        <v>1090</v>
      </c>
      <c r="B1033" s="6">
        <f t="shared" si="206"/>
        <v>3</v>
      </c>
      <c r="C1033" s="58">
        <v>18.082723619999999</v>
      </c>
      <c r="D1033" s="4">
        <v>4.5999999999999996</v>
      </c>
      <c r="E1033" s="12">
        <f t="shared" si="195"/>
        <v>0</v>
      </c>
      <c r="F1033" s="12">
        <f t="shared" si="196"/>
        <v>4.5999999999999996</v>
      </c>
      <c r="G1033" s="16">
        <f t="shared" si="198"/>
        <v>8.7452603571095633</v>
      </c>
      <c r="H1033" s="14">
        <f t="shared" si="199"/>
        <v>0.49254343043168169</v>
      </c>
      <c r="I1033" s="14">
        <f t="shared" si="200"/>
        <v>15.713340463276204</v>
      </c>
      <c r="J1033" s="14">
        <f t="shared" si="201"/>
        <v>1.3424194161548633</v>
      </c>
      <c r="K1033" s="14">
        <f t="shared" si="202"/>
        <v>8.7361510053828209</v>
      </c>
      <c r="L1033" s="14">
        <f t="shared" si="203"/>
        <v>693.80503318637784</v>
      </c>
      <c r="M1033" s="14">
        <f t="shared" si="197"/>
        <v>0.40569322480809478</v>
      </c>
      <c r="N1033" s="14">
        <f t="shared" si="204"/>
        <v>10.381802315401591</v>
      </c>
      <c r="O1033" s="4">
        <v>6.9</v>
      </c>
      <c r="P1033" s="14">
        <f t="shared" si="207"/>
        <v>12.12294736353588</v>
      </c>
      <c r="Q1033" s="14">
        <f t="shared" si="205"/>
        <v>0.13421305941193479</v>
      </c>
    </row>
    <row r="1034" spans="1:17" x14ac:dyDescent="0.25">
      <c r="A1034" s="5" t="s">
        <v>1091</v>
      </c>
      <c r="B1034" s="6">
        <f t="shared" si="206"/>
        <v>3</v>
      </c>
      <c r="C1034" s="58">
        <v>17.896446229999999</v>
      </c>
      <c r="D1034" s="4">
        <v>2.2999999999999998</v>
      </c>
      <c r="E1034" s="12">
        <f t="shared" si="195"/>
        <v>0</v>
      </c>
      <c r="F1034" s="12">
        <f t="shared" si="196"/>
        <v>2.2999999999999998</v>
      </c>
      <c r="G1034" s="16">
        <f t="shared" si="198"/>
        <v>8.8280364458819154</v>
      </c>
      <c r="H1034" s="14">
        <f t="shared" si="199"/>
        <v>0.3014077724744364</v>
      </c>
      <c r="I1034" s="14">
        <f t="shared" si="200"/>
        <v>15.334823200059523</v>
      </c>
      <c r="J1034" s="14">
        <f t="shared" si="201"/>
        <v>1.9158161387532111</v>
      </c>
      <c r="K1034" s="14">
        <f t="shared" si="202"/>
        <v>8.3452843330288857</v>
      </c>
      <c r="L1034" s="14">
        <f t="shared" si="203"/>
        <v>694.09161440639809</v>
      </c>
      <c r="M1034" s="14">
        <f t="shared" si="197"/>
        <v>0.3907719478802163</v>
      </c>
      <c r="N1034" s="14">
        <f t="shared" si="204"/>
        <v>9.9999626940180342</v>
      </c>
      <c r="O1034" s="4">
        <v>6.35</v>
      </c>
      <c r="P1034" s="14">
        <f t="shared" si="207"/>
        <v>13.322227667723388</v>
      </c>
      <c r="Q1034" s="14">
        <f t="shared" si="205"/>
        <v>3.3726953090090377E-2</v>
      </c>
    </row>
    <row r="1035" spans="1:17" x14ac:dyDescent="0.25">
      <c r="A1035" s="5" t="s">
        <v>1092</v>
      </c>
      <c r="B1035" s="6">
        <f t="shared" si="206"/>
        <v>3</v>
      </c>
      <c r="C1035" s="58">
        <v>17.610687259999999</v>
      </c>
      <c r="D1035" s="4">
        <v>9</v>
      </c>
      <c r="E1035" s="12">
        <f t="shared" si="195"/>
        <v>0</v>
      </c>
      <c r="F1035" s="12">
        <f t="shared" si="196"/>
        <v>9</v>
      </c>
      <c r="G1035" s="16">
        <f t="shared" si="198"/>
        <v>14.781974184967009</v>
      </c>
      <c r="H1035" s="14">
        <f t="shared" si="199"/>
        <v>1.1853429148838861</v>
      </c>
      <c r="I1035" s="14">
        <f t="shared" si="200"/>
        <v>14.754158508203913</v>
      </c>
      <c r="J1035" s="14">
        <f t="shared" si="201"/>
        <v>1.860719346031019</v>
      </c>
      <c r="K1035" s="14">
        <f t="shared" si="202"/>
        <v>8.8727370680953932</v>
      </c>
      <c r="L1035" s="14">
        <f t="shared" si="203"/>
        <v>694.35873263833525</v>
      </c>
      <c r="M1035" s="14">
        <f t="shared" si="197"/>
        <v>0.41104597911110219</v>
      </c>
      <c r="N1035" s="14">
        <f t="shared" si="204"/>
        <v>10.518780784891748</v>
      </c>
      <c r="O1035" s="4">
        <v>6.43</v>
      </c>
      <c r="P1035" s="14">
        <f t="shared" si="207"/>
        <v>16.718128306899978</v>
      </c>
      <c r="Q1035" s="14">
        <f t="shared" si="205"/>
        <v>1.0743114009631294E-2</v>
      </c>
    </row>
    <row r="1036" spans="1:17" x14ac:dyDescent="0.25">
      <c r="A1036" s="5" t="s">
        <v>1093</v>
      </c>
      <c r="B1036" s="6">
        <f t="shared" si="206"/>
        <v>3</v>
      </c>
      <c r="C1036" s="58">
        <v>17.292551039999999</v>
      </c>
      <c r="D1036" s="4">
        <v>12.6</v>
      </c>
      <c r="E1036" s="12">
        <f t="shared" si="195"/>
        <v>0</v>
      </c>
      <c r="F1036" s="12">
        <f t="shared" si="196"/>
        <v>12.6</v>
      </c>
      <c r="G1036" s="16">
        <f t="shared" si="198"/>
        <v>22.220225503748591</v>
      </c>
      <c r="H1036" s="14">
        <f t="shared" si="199"/>
        <v>2.1826076891477473</v>
      </c>
      <c r="I1036" s="14">
        <f t="shared" si="200"/>
        <v>14.107702965078152</v>
      </c>
      <c r="J1036" s="14">
        <f t="shared" si="201"/>
        <v>2.9791409920706697</v>
      </c>
      <c r="K1036" s="14">
        <f t="shared" si="202"/>
        <v>10.351054932979032</v>
      </c>
      <c r="L1036" s="14">
        <f t="shared" si="203"/>
        <v>694.65197648348828</v>
      </c>
      <c r="M1036" s="14">
        <f t="shared" si="197"/>
        <v>0.46777246880642154</v>
      </c>
      <c r="N1036" s="14">
        <f t="shared" si="204"/>
        <v>11.970427413553219</v>
      </c>
      <c r="O1036" s="4">
        <v>8.59</v>
      </c>
      <c r="P1036" s="14">
        <f t="shared" si="207"/>
        <v>11.427289498302107</v>
      </c>
      <c r="Q1036" s="14">
        <f t="shared" si="205"/>
        <v>4.2285794588372374</v>
      </c>
    </row>
    <row r="1037" spans="1:17" x14ac:dyDescent="0.25">
      <c r="A1037" s="5" t="s">
        <v>1094</v>
      </c>
      <c r="B1037" s="6">
        <f t="shared" si="206"/>
        <v>3</v>
      </c>
      <c r="C1037" s="58">
        <v>17.95985031</v>
      </c>
      <c r="D1037" s="4">
        <v>8</v>
      </c>
      <c r="E1037" s="12">
        <f t="shared" si="195"/>
        <v>0</v>
      </c>
      <c r="F1037" s="12">
        <f t="shared" si="196"/>
        <v>8</v>
      </c>
      <c r="G1037" s="16">
        <f t="shared" si="198"/>
        <v>23.590515593648163</v>
      </c>
      <c r="H1037" s="14">
        <f t="shared" si="199"/>
        <v>1.7210483615057826</v>
      </c>
      <c r="I1037" s="14">
        <f t="shared" si="200"/>
        <v>15.463660837511776</v>
      </c>
      <c r="J1037" s="14">
        <f t="shared" si="201"/>
        <v>4.9086615485946457</v>
      </c>
      <c r="K1037" s="14">
        <f t="shared" si="202"/>
        <v>11.237766892111292</v>
      </c>
      <c r="L1037" s="14">
        <f t="shared" si="203"/>
        <v>695.01854041705531</v>
      </c>
      <c r="M1037" s="14">
        <f t="shared" si="197"/>
        <v>0.50183808479906733</v>
      </c>
      <c r="N1037" s="14">
        <f t="shared" si="204"/>
        <v>12.84217598947613</v>
      </c>
      <c r="O1037" s="4">
        <v>11.09</v>
      </c>
      <c r="P1037" s="14">
        <f t="shared" si="207"/>
        <v>3.0701206980966576</v>
      </c>
      <c r="Q1037" s="14">
        <f t="shared" si="205"/>
        <v>20.760334487572891</v>
      </c>
    </row>
    <row r="1038" spans="1:17" x14ac:dyDescent="0.25">
      <c r="A1038" s="5" t="s">
        <v>1095</v>
      </c>
      <c r="B1038" s="6">
        <f t="shared" si="206"/>
        <v>3</v>
      </c>
      <c r="C1038" s="58">
        <v>19.154087069999999</v>
      </c>
      <c r="D1038" s="4">
        <v>24.7</v>
      </c>
      <c r="E1038" s="12">
        <f t="shared" si="195"/>
        <v>0</v>
      </c>
      <c r="F1038" s="12">
        <f t="shared" si="196"/>
        <v>24.7</v>
      </c>
      <c r="G1038" s="16">
        <f t="shared" si="198"/>
        <v>36.775840119559319</v>
      </c>
      <c r="H1038" s="14">
        <f t="shared" si="199"/>
        <v>5.4854874324675782</v>
      </c>
      <c r="I1038" s="14">
        <f t="shared" si="200"/>
        <v>17.890360234727694</v>
      </c>
      <c r="J1038" s="14">
        <f t="shared" si="201"/>
        <v>6.029188041621266</v>
      </c>
      <c r="K1038" s="14">
        <f t="shared" si="202"/>
        <v>15.810914497642173</v>
      </c>
      <c r="L1038" s="14">
        <f t="shared" si="203"/>
        <v>695.42904215919293</v>
      </c>
      <c r="M1038" s="14">
        <f t="shared" si="197"/>
        <v>0.67721510079174463</v>
      </c>
      <c r="N1038" s="14">
        <f t="shared" si="204"/>
        <v>17.330122544566521</v>
      </c>
      <c r="O1038" s="4">
        <v>16.14</v>
      </c>
      <c r="P1038" s="14">
        <f t="shared" si="207"/>
        <v>1.4163916710854894</v>
      </c>
      <c r="Q1038" s="14">
        <f t="shared" si="205"/>
        <v>92.281979645618947</v>
      </c>
    </row>
    <row r="1039" spans="1:17" x14ac:dyDescent="0.25">
      <c r="A1039" s="5" t="s">
        <v>1096</v>
      </c>
      <c r="B1039" s="6">
        <f t="shared" si="206"/>
        <v>3</v>
      </c>
      <c r="C1039" s="58">
        <v>18.60898018</v>
      </c>
      <c r="D1039" s="4">
        <v>2.9</v>
      </c>
      <c r="E1039" s="12">
        <f t="shared" si="195"/>
        <v>0</v>
      </c>
      <c r="F1039" s="12">
        <f t="shared" si="196"/>
        <v>2.9</v>
      </c>
      <c r="G1039" s="16">
        <f t="shared" si="198"/>
        <v>30.043232284082471</v>
      </c>
      <c r="H1039" s="14">
        <f t="shared" si="199"/>
        <v>0.81548884882812511</v>
      </c>
      <c r="I1039" s="14">
        <f t="shared" si="200"/>
        <v>16.782698332425138</v>
      </c>
      <c r="J1039" s="14">
        <f t="shared" si="201"/>
        <v>8.8171189866487243</v>
      </c>
      <c r="K1039" s="14">
        <f t="shared" si="202"/>
        <v>15.311766955705378</v>
      </c>
      <c r="L1039" s="14">
        <f t="shared" si="203"/>
        <v>696.06646344916612</v>
      </c>
      <c r="M1039" s="14">
        <f t="shared" si="197"/>
        <v>0.65821775959273876</v>
      </c>
      <c r="N1039" s="14">
        <f t="shared" si="204"/>
        <v>16.843975306244737</v>
      </c>
      <c r="O1039" s="4">
        <v>23</v>
      </c>
      <c r="P1039" s="14">
        <f t="shared" si="207"/>
        <v>37.896640030124587</v>
      </c>
      <c r="Q1039" s="14">
        <f t="shared" si="205"/>
        <v>271.14071544446961</v>
      </c>
    </row>
    <row r="1040" spans="1:17" x14ac:dyDescent="0.25">
      <c r="A1040" s="5" t="s">
        <v>1097</v>
      </c>
      <c r="B1040" s="6">
        <f t="shared" si="206"/>
        <v>3</v>
      </c>
      <c r="C1040" s="58">
        <v>18.525001530000001</v>
      </c>
      <c r="D1040" s="4">
        <v>5.3</v>
      </c>
      <c r="E1040" s="12">
        <f t="shared" si="195"/>
        <v>0</v>
      </c>
      <c r="F1040" s="12">
        <f t="shared" si="196"/>
        <v>5.3</v>
      </c>
      <c r="G1040" s="16">
        <f t="shared" si="198"/>
        <v>26.875026564030975</v>
      </c>
      <c r="H1040" s="14">
        <f t="shared" si="199"/>
        <v>1.3384890091462334</v>
      </c>
      <c r="I1040" s="14">
        <f t="shared" si="200"/>
        <v>16.612052991266822</v>
      </c>
      <c r="J1040" s="14">
        <f t="shared" si="201"/>
        <v>7.1297167109052575</v>
      </c>
      <c r="K1040" s="14">
        <f t="shared" si="202"/>
        <v>15.379529230692052</v>
      </c>
      <c r="L1040" s="14">
        <f t="shared" si="203"/>
        <v>696.67897242373294</v>
      </c>
      <c r="M1040" s="14">
        <f t="shared" si="197"/>
        <v>0.66094494573785489</v>
      </c>
      <c r="N1040" s="14">
        <f t="shared" si="204"/>
        <v>16.913764757249968</v>
      </c>
      <c r="O1040" s="4">
        <v>20.73</v>
      </c>
      <c r="P1040" s="14">
        <f t="shared" si="207"/>
        <v>14.563651428007399</v>
      </c>
      <c r="Q1040" s="14">
        <f t="shared" si="205"/>
        <v>201.53638187837763</v>
      </c>
    </row>
    <row r="1041" spans="1:17" x14ac:dyDescent="0.25">
      <c r="A1041" s="5" t="s">
        <v>1098</v>
      </c>
      <c r="B1041" s="6">
        <f t="shared" si="206"/>
        <v>3</v>
      </c>
      <c r="C1041" s="58">
        <v>18.125192640000002</v>
      </c>
      <c r="D1041" s="4">
        <v>14.4</v>
      </c>
      <c r="E1041" s="12">
        <f t="shared" si="195"/>
        <v>0</v>
      </c>
      <c r="F1041" s="12">
        <f t="shared" si="196"/>
        <v>14.4</v>
      </c>
      <c r="G1041" s="16">
        <f t="shared" si="198"/>
        <v>31.781608900464413</v>
      </c>
      <c r="H1041" s="14">
        <f t="shared" si="199"/>
        <v>3.4274743696028733</v>
      </c>
      <c r="I1041" s="14">
        <f t="shared" si="200"/>
        <v>15.799637878232982</v>
      </c>
      <c r="J1041" s="14">
        <f t="shared" si="201"/>
        <v>6.0659432939636826</v>
      </c>
      <c r="K1041" s="14">
        <f t="shared" si="202"/>
        <v>17.53031586668034</v>
      </c>
      <c r="L1041" s="14">
        <f t="shared" si="203"/>
        <v>697.29471521160974</v>
      </c>
      <c r="M1041" s="14">
        <f t="shared" si="197"/>
        <v>0.74351571056782029</v>
      </c>
      <c r="N1041" s="14">
        <f t="shared" si="204"/>
        <v>19.026773565572348</v>
      </c>
      <c r="O1041" s="4">
        <v>19.03</v>
      </c>
      <c r="P1041" s="14">
        <f t="shared" si="207"/>
        <v>1.040987911594255E-5</v>
      </c>
      <c r="Q1041" s="14">
        <f t="shared" si="205"/>
        <v>156.15878845883739</v>
      </c>
    </row>
    <row r="1042" spans="1:17" x14ac:dyDescent="0.25">
      <c r="A1042" s="5" t="s">
        <v>1099</v>
      </c>
      <c r="B1042" s="6">
        <f t="shared" si="206"/>
        <v>3</v>
      </c>
      <c r="C1042" s="58">
        <v>19.66306496</v>
      </c>
      <c r="D1042" s="4">
        <v>6.8</v>
      </c>
      <c r="E1042" s="12">
        <f t="shared" si="195"/>
        <v>0</v>
      </c>
      <c r="F1042" s="12">
        <f t="shared" si="196"/>
        <v>6.8</v>
      </c>
      <c r="G1042" s="16">
        <f t="shared" si="198"/>
        <v>28.219962973428821</v>
      </c>
      <c r="H1042" s="14">
        <f t="shared" si="199"/>
        <v>1.7694321250742857</v>
      </c>
      <c r="I1042" s="14">
        <f t="shared" si="200"/>
        <v>18.924607697399363</v>
      </c>
      <c r="J1042" s="14">
        <f t="shared" si="201"/>
        <v>8.5922138019612984</v>
      </c>
      <c r="K1042" s="14">
        <f t="shared" si="202"/>
        <v>17.833857077350665</v>
      </c>
      <c r="L1042" s="14">
        <f t="shared" si="203"/>
        <v>698.01709041544586</v>
      </c>
      <c r="M1042" s="14">
        <f t="shared" si="197"/>
        <v>0.75530365720884873</v>
      </c>
      <c r="N1042" s="14">
        <f t="shared" si="204"/>
        <v>19.328430394545887</v>
      </c>
      <c r="O1042" s="4">
        <v>18.45</v>
      </c>
      <c r="P1042" s="14">
        <f t="shared" si="207"/>
        <v>0.77163995806204333</v>
      </c>
      <c r="Q1042" s="14">
        <f t="shared" si="205"/>
        <v>141.99942129217067</v>
      </c>
    </row>
    <row r="1043" spans="1:17" x14ac:dyDescent="0.25">
      <c r="A1043" s="5" t="s">
        <v>1100</v>
      </c>
      <c r="B1043" s="6">
        <f t="shared" si="206"/>
        <v>3</v>
      </c>
      <c r="C1043" s="58">
        <v>18.61074829</v>
      </c>
      <c r="D1043" s="4">
        <v>2.9</v>
      </c>
      <c r="E1043" s="12">
        <f t="shared" si="195"/>
        <v>0</v>
      </c>
      <c r="F1043" s="12">
        <f t="shared" si="196"/>
        <v>2.9</v>
      </c>
      <c r="G1043" s="16">
        <f t="shared" si="198"/>
        <v>23.644285437313179</v>
      </c>
      <c r="H1043" s="14">
        <f t="shared" si="199"/>
        <v>0.7084075764328549</v>
      </c>
      <c r="I1043" s="14">
        <f t="shared" si="200"/>
        <v>16.786291147195982</v>
      </c>
      <c r="J1043" s="14">
        <f t="shared" si="201"/>
        <v>6.7672699596827863</v>
      </c>
      <c r="K1043" s="14">
        <f t="shared" si="202"/>
        <v>17.049671433535494</v>
      </c>
      <c r="L1043" s="14">
        <f t="shared" si="203"/>
        <v>698.75437997848508</v>
      </c>
      <c r="M1043" s="14">
        <f t="shared" si="197"/>
        <v>0.72540189771707797</v>
      </c>
      <c r="N1043" s="14">
        <f t="shared" si="204"/>
        <v>18.563236063107169</v>
      </c>
      <c r="O1043" s="4">
        <v>18.28</v>
      </c>
      <c r="P1043" s="14">
        <f t="shared" si="207"/>
        <v>8.0222667444447643E-2</v>
      </c>
      <c r="Q1043" s="14">
        <f t="shared" si="205"/>
        <v>137.97676195021668</v>
      </c>
    </row>
    <row r="1044" spans="1:17" x14ac:dyDescent="0.25">
      <c r="A1044" s="5" t="s">
        <v>1101</v>
      </c>
      <c r="B1044" s="6">
        <f t="shared" si="206"/>
        <v>3</v>
      </c>
      <c r="C1044" s="58">
        <v>18.454360959999999</v>
      </c>
      <c r="D1044" s="4">
        <v>18.899999999999999</v>
      </c>
      <c r="E1044" s="12">
        <f t="shared" si="195"/>
        <v>0</v>
      </c>
      <c r="F1044" s="12">
        <f t="shared" si="196"/>
        <v>18.899999999999999</v>
      </c>
      <c r="G1044" s="16">
        <f t="shared" si="198"/>
        <v>32.779141157626199</v>
      </c>
      <c r="H1044" s="14">
        <f t="shared" si="199"/>
        <v>4.2024802339697533</v>
      </c>
      <c r="I1044" s="14">
        <f t="shared" si="200"/>
        <v>16.46851074371618</v>
      </c>
      <c r="J1044" s="14">
        <f t="shared" si="201"/>
        <v>5.5626640457172263</v>
      </c>
      <c r="K1044" s="14">
        <f t="shared" si="202"/>
        <v>19.828542704299075</v>
      </c>
      <c r="L1044" s="14">
        <f t="shared" si="203"/>
        <v>699.45258704397418</v>
      </c>
      <c r="M1044" s="14">
        <f t="shared" si="197"/>
        <v>0.8320647990671215</v>
      </c>
      <c r="N1044" s="14">
        <f t="shared" si="204"/>
        <v>21.292769337238489</v>
      </c>
      <c r="O1044" s="4">
        <v>16.7</v>
      </c>
      <c r="P1044" s="14">
        <f t="shared" si="207"/>
        <v>21.09353018507808</v>
      </c>
      <c r="Q1044" s="14">
        <f t="shared" si="205"/>
        <v>103.35469277205571</v>
      </c>
    </row>
    <row r="1045" spans="1:17" x14ac:dyDescent="0.25">
      <c r="A1045" s="5" t="s">
        <v>1102</v>
      </c>
      <c r="B1045" s="6">
        <f t="shared" si="206"/>
        <v>3</v>
      </c>
      <c r="C1045" s="58">
        <v>18.480716709999999</v>
      </c>
      <c r="D1045" s="4">
        <v>3.7</v>
      </c>
      <c r="E1045" s="12">
        <f t="shared" si="195"/>
        <v>0</v>
      </c>
      <c r="F1045" s="12">
        <f t="shared" si="196"/>
        <v>3.7</v>
      </c>
      <c r="G1045" s="16">
        <f t="shared" si="198"/>
        <v>27.763563582033623</v>
      </c>
      <c r="H1045" s="14">
        <f t="shared" si="199"/>
        <v>0.97872662945302169</v>
      </c>
      <c r="I1045" s="14">
        <f t="shared" si="200"/>
        <v>16.522065855047853</v>
      </c>
      <c r="J1045" s="14">
        <f t="shared" si="201"/>
        <v>7.7368509461395583</v>
      </c>
      <c r="K1045" s="14">
        <f t="shared" si="202"/>
        <v>19.139205028191107</v>
      </c>
      <c r="L1045" s="14">
        <f t="shared" si="203"/>
        <v>700.28858655046804</v>
      </c>
      <c r="M1045" s="14">
        <f t="shared" si="197"/>
        <v>0.80581951263436224</v>
      </c>
      <c r="N1045" s="14">
        <f t="shared" si="204"/>
        <v>20.621145167066835</v>
      </c>
      <c r="O1045" s="4">
        <v>19.649999999999999</v>
      </c>
      <c r="P1045" s="14">
        <f t="shared" si="207"/>
        <v>0.94312293551727422</v>
      </c>
      <c r="Q1045" s="14">
        <f t="shared" si="205"/>
        <v>172.03866370596376</v>
      </c>
    </row>
    <row r="1046" spans="1:17" x14ac:dyDescent="0.25">
      <c r="A1046" s="5" t="s">
        <v>1103</v>
      </c>
      <c r="B1046" s="6">
        <f t="shared" si="206"/>
        <v>3</v>
      </c>
      <c r="C1046" s="58">
        <v>18.520118709999998</v>
      </c>
      <c r="D1046" s="4">
        <v>0.1</v>
      </c>
      <c r="E1046" s="12">
        <f t="shared" si="195"/>
        <v>0</v>
      </c>
      <c r="F1046" s="12">
        <f t="shared" si="196"/>
        <v>0.1</v>
      </c>
      <c r="G1046" s="16">
        <f t="shared" si="198"/>
        <v>21.254565211713739</v>
      </c>
      <c r="H1046" s="14">
        <f t="shared" si="199"/>
        <v>2.4217034916343048E-2</v>
      </c>
      <c r="I1046" s="14">
        <f t="shared" si="200"/>
        <v>16.602131058910025</v>
      </c>
      <c r="J1046" s="14">
        <f t="shared" si="201"/>
        <v>6.5847813354035418</v>
      </c>
      <c r="K1046" s="14">
        <f t="shared" si="202"/>
        <v>17.555998305881307</v>
      </c>
      <c r="L1046" s="14">
        <f t="shared" si="203"/>
        <v>701.09019079505981</v>
      </c>
      <c r="M1046" s="14">
        <f t="shared" si="197"/>
        <v>0.74530469020312151</v>
      </c>
      <c r="N1046" s="14">
        <f t="shared" si="204"/>
        <v>19.072554051378493</v>
      </c>
      <c r="O1046" s="4">
        <v>17.97</v>
      </c>
      <c r="P1046" s="14">
        <f t="shared" si="207"/>
        <v>1.2156254362111307</v>
      </c>
      <c r="Q1046" s="14">
        <f t="shared" si="205"/>
        <v>130.79012432665343</v>
      </c>
    </row>
    <row r="1047" spans="1:17" x14ac:dyDescent="0.25">
      <c r="A1047" s="5" t="s">
        <v>1104</v>
      </c>
      <c r="B1047" s="6">
        <f t="shared" si="206"/>
        <v>3</v>
      </c>
      <c r="C1047" s="58">
        <v>18.362743380000001</v>
      </c>
      <c r="D1047" s="4">
        <v>0</v>
      </c>
      <c r="E1047" s="12">
        <f t="shared" si="195"/>
        <v>0</v>
      </c>
      <c r="F1047" s="12">
        <f t="shared" si="196"/>
        <v>0</v>
      </c>
      <c r="G1047" s="16">
        <f t="shared" si="198"/>
        <v>16.310645194261408</v>
      </c>
      <c r="H1047" s="14">
        <f t="shared" si="199"/>
        <v>0</v>
      </c>
      <c r="I1047" s="14">
        <f t="shared" si="200"/>
        <v>16.28234303090823</v>
      </c>
      <c r="J1047" s="14">
        <f t="shared" si="201"/>
        <v>4.9439200174523306</v>
      </c>
      <c r="K1047" s="14">
        <f t="shared" si="202"/>
        <v>16.087848125446051</v>
      </c>
      <c r="L1047" s="14">
        <f t="shared" si="203"/>
        <v>701.8130362852919</v>
      </c>
      <c r="M1047" s="14">
        <f t="shared" si="197"/>
        <v>0.68918332119753856</v>
      </c>
      <c r="N1047" s="14">
        <f t="shared" si="204"/>
        <v>17.636392629256456</v>
      </c>
      <c r="O1047" s="4">
        <v>14</v>
      </c>
      <c r="P1047" s="14">
        <f t="shared" si="207"/>
        <v>13.22335135411068</v>
      </c>
      <c r="Q1047" s="14">
        <f t="shared" si="205"/>
        <v>55.746397341021201</v>
      </c>
    </row>
    <row r="1048" spans="1:17" x14ac:dyDescent="0.25">
      <c r="A1048" s="5" t="s">
        <v>1105</v>
      </c>
      <c r="B1048" s="6">
        <f t="shared" si="206"/>
        <v>3</v>
      </c>
      <c r="C1048" s="58">
        <v>15.710821149999999</v>
      </c>
      <c r="D1048" s="4">
        <v>0</v>
      </c>
      <c r="E1048" s="12">
        <f t="shared" si="195"/>
        <v>0</v>
      </c>
      <c r="F1048" s="12">
        <f t="shared" si="196"/>
        <v>0</v>
      </c>
      <c r="G1048" s="16">
        <f t="shared" si="198"/>
        <v>13.772330632152055</v>
      </c>
      <c r="H1048" s="14">
        <f t="shared" si="199"/>
        <v>0</v>
      </c>
      <c r="I1048" s="14">
        <f t="shared" si="200"/>
        <v>10.893614185378045</v>
      </c>
      <c r="J1048" s="14">
        <f t="shared" si="201"/>
        <v>2.5383145621093521</v>
      </c>
      <c r="K1048" s="14">
        <f t="shared" si="202"/>
        <v>14.748850079102981</v>
      </c>
      <c r="L1048" s="14">
        <f t="shared" si="203"/>
        <v>702.46285101043748</v>
      </c>
      <c r="M1048" s="14">
        <f t="shared" si="197"/>
        <v>0.63799690773941786</v>
      </c>
      <c r="N1048" s="14">
        <f t="shared" si="204"/>
        <v>16.326518090414964</v>
      </c>
      <c r="O1048" s="4">
        <v>11.44</v>
      </c>
      <c r="P1048" s="14">
        <f t="shared" si="207"/>
        <v>23.878059047952714</v>
      </c>
      <c r="Q1048" s="14">
        <f t="shared" si="205"/>
        <v>24.07228019159588</v>
      </c>
    </row>
    <row r="1049" spans="1:17" x14ac:dyDescent="0.25">
      <c r="A1049" s="5" t="s">
        <v>1106</v>
      </c>
      <c r="B1049" s="6">
        <f t="shared" si="206"/>
        <v>3</v>
      </c>
      <c r="C1049" s="58">
        <v>16.068790440000001</v>
      </c>
      <c r="D1049" s="4">
        <v>0</v>
      </c>
      <c r="E1049" s="12">
        <f t="shared" si="195"/>
        <v>0</v>
      </c>
      <c r="F1049" s="12">
        <f t="shared" si="196"/>
        <v>0</v>
      </c>
      <c r="G1049" s="16">
        <f t="shared" si="198"/>
        <v>11.485923014540205</v>
      </c>
      <c r="H1049" s="14">
        <f t="shared" si="199"/>
        <v>0</v>
      </c>
      <c r="I1049" s="14">
        <f t="shared" si="200"/>
        <v>11.621010870324181</v>
      </c>
      <c r="J1049" s="14">
        <f t="shared" si="201"/>
        <v>2.2864076176118506</v>
      </c>
      <c r="K1049" s="14">
        <f t="shared" si="202"/>
        <v>13.527642744864858</v>
      </c>
      <c r="L1049" s="14">
        <f t="shared" si="203"/>
        <v>703.04606143693616</v>
      </c>
      <c r="M1049" s="14">
        <f t="shared" si="197"/>
        <v>0.59131132570021072</v>
      </c>
      <c r="N1049" s="14">
        <f t="shared" si="204"/>
        <v>15.131821077814418</v>
      </c>
      <c r="O1049" s="4">
        <v>9.1199999999999992</v>
      </c>
      <c r="P1049" s="14">
        <f t="shared" si="207"/>
        <v>36.141992671653725</v>
      </c>
      <c r="Q1049" s="14">
        <f t="shared" si="205"/>
        <v>6.6892115249291928</v>
      </c>
    </row>
    <row r="1050" spans="1:17" x14ac:dyDescent="0.25">
      <c r="A1050" s="5" t="s">
        <v>1107</v>
      </c>
      <c r="B1050" s="6">
        <f t="shared" si="206"/>
        <v>3</v>
      </c>
      <c r="C1050" s="58">
        <v>14.4309206</v>
      </c>
      <c r="D1050" s="4">
        <v>3</v>
      </c>
      <c r="E1050" s="12">
        <f t="shared" si="195"/>
        <v>0</v>
      </c>
      <c r="F1050" s="12">
        <f t="shared" si="196"/>
        <v>3</v>
      </c>
      <c r="G1050" s="16">
        <f t="shared" si="198"/>
        <v>12.670746698691181</v>
      </c>
      <c r="H1050" s="14">
        <f t="shared" si="199"/>
        <v>0.45444690470634341</v>
      </c>
      <c r="I1050" s="14">
        <f t="shared" si="200"/>
        <v>8.2928452279886216</v>
      </c>
      <c r="J1050" s="14">
        <f t="shared" si="201"/>
        <v>1.3607294111426811</v>
      </c>
      <c r="K1050" s="14">
        <f t="shared" si="202"/>
        <v>12.868311061715907</v>
      </c>
      <c r="L1050" s="14">
        <f t="shared" si="203"/>
        <v>703.56852869909119</v>
      </c>
      <c r="M1050" s="14">
        <f t="shared" si="197"/>
        <v>0.56614971463101149</v>
      </c>
      <c r="N1050" s="14">
        <f t="shared" si="204"/>
        <v>14.487928461217205</v>
      </c>
      <c r="O1050" s="4">
        <v>8.39</v>
      </c>
      <c r="P1050" s="14">
        <f t="shared" si="207"/>
        <v>37.184731518122824</v>
      </c>
      <c r="Q1050" s="14">
        <f t="shared" si="205"/>
        <v>3.4460390565383876</v>
      </c>
    </row>
    <row r="1051" spans="1:17" x14ac:dyDescent="0.25">
      <c r="A1051" s="5" t="s">
        <v>1108</v>
      </c>
      <c r="B1051" s="6">
        <f t="shared" si="206"/>
        <v>3</v>
      </c>
      <c r="C1051" s="58">
        <v>18.77737999</v>
      </c>
      <c r="D1051" s="4">
        <v>0.2</v>
      </c>
      <c r="E1051" s="12">
        <f t="shared" ref="E1051:E1114" si="208">IF(C1051&gt;$C$9,MAX(E1050-$C$10*(C1051-$C$9),0),E1050+D1051)</f>
        <v>0</v>
      </c>
      <c r="F1051" s="12">
        <f t="shared" ref="F1051:F1114" si="209">IF(C1051&gt;$C$9,D1051+MIN(E1050,$C$10*(C1051-$C$9)),0)</f>
        <v>0.2</v>
      </c>
      <c r="G1051" s="16">
        <f t="shared" si="198"/>
        <v>9.739037231322115</v>
      </c>
      <c r="H1051" s="14">
        <f t="shared" si="199"/>
        <v>3.1919526833857653E-2</v>
      </c>
      <c r="I1051" s="14">
        <f t="shared" si="200"/>
        <v>17.124888198878651</v>
      </c>
      <c r="J1051" s="14">
        <f t="shared" si="201"/>
        <v>3.0997899405352074</v>
      </c>
      <c r="K1051" s="14">
        <f t="shared" si="202"/>
        <v>11.84445294302861</v>
      </c>
      <c r="L1051" s="14">
        <f t="shared" si="203"/>
        <v>704.05815662998134</v>
      </c>
      <c r="M1051" s="14">
        <f t="shared" si="197"/>
        <v>0.52700874435942491</v>
      </c>
      <c r="N1051" s="14">
        <f t="shared" si="204"/>
        <v>13.486300159475562</v>
      </c>
      <c r="O1051" s="4">
        <v>8.57</v>
      </c>
      <c r="P1051" s="14">
        <f t="shared" si="207"/>
        <v>24.170007258059428</v>
      </c>
      <c r="Q1051" s="14">
        <f t="shared" si="205"/>
        <v>4.1467254186073541</v>
      </c>
    </row>
    <row r="1052" spans="1:17" x14ac:dyDescent="0.25">
      <c r="A1052" s="5" t="s">
        <v>1109</v>
      </c>
      <c r="B1052" s="6">
        <f t="shared" si="206"/>
        <v>3</v>
      </c>
      <c r="C1052" s="58">
        <v>17.21952057</v>
      </c>
      <c r="D1052" s="4">
        <v>0</v>
      </c>
      <c r="E1052" s="12">
        <f t="shared" si="208"/>
        <v>0</v>
      </c>
      <c r="F1052" s="12">
        <f t="shared" si="209"/>
        <v>0</v>
      </c>
      <c r="G1052" s="16">
        <f t="shared" si="198"/>
        <v>7.7968901562185575</v>
      </c>
      <c r="H1052" s="14">
        <f t="shared" si="199"/>
        <v>0</v>
      </c>
      <c r="I1052" s="14">
        <f t="shared" si="200"/>
        <v>13.959304420113421</v>
      </c>
      <c r="J1052" s="14">
        <f t="shared" si="201"/>
        <v>1.9421470751035579</v>
      </c>
      <c r="K1052" s="14">
        <f t="shared" si="202"/>
        <v>10.878743372829881</v>
      </c>
      <c r="L1052" s="14">
        <f t="shared" si="203"/>
        <v>704.49685745582065</v>
      </c>
      <c r="M1052" s="14">
        <f t="shared" si="197"/>
        <v>0.49008582832200653</v>
      </c>
      <c r="N1052" s="14">
        <f t="shared" si="204"/>
        <v>12.541432481712459</v>
      </c>
      <c r="O1052" s="4">
        <v>7.98</v>
      </c>
      <c r="P1052" s="14">
        <f t="shared" si="207"/>
        <v>20.806666285221475</v>
      </c>
      <c r="Q1052" s="14">
        <f t="shared" si="205"/>
        <v>2.0919312318257393</v>
      </c>
    </row>
    <row r="1053" spans="1:17" x14ac:dyDescent="0.25">
      <c r="A1053" s="5" t="s">
        <v>1110</v>
      </c>
      <c r="B1053" s="6">
        <f t="shared" si="206"/>
        <v>3</v>
      </c>
      <c r="C1053" s="58">
        <v>19.451360699999999</v>
      </c>
      <c r="D1053" s="4">
        <v>0</v>
      </c>
      <c r="E1053" s="12">
        <f t="shared" si="208"/>
        <v>0</v>
      </c>
      <c r="F1053" s="12">
        <f t="shared" si="209"/>
        <v>0</v>
      </c>
      <c r="G1053" s="16">
        <f t="shared" si="198"/>
        <v>5.7369030185170029</v>
      </c>
      <c r="H1053" s="14">
        <f t="shared" si="199"/>
        <v>0</v>
      </c>
      <c r="I1053" s="14">
        <f t="shared" si="200"/>
        <v>18.494422815023068</v>
      </c>
      <c r="J1053" s="14">
        <f t="shared" si="201"/>
        <v>2.0599871377015542</v>
      </c>
      <c r="K1053" s="14">
        <f t="shared" si="202"/>
        <v>9.9979865912262778</v>
      </c>
      <c r="L1053" s="14">
        <f t="shared" si="203"/>
        <v>704.88752840910229</v>
      </c>
      <c r="M1053" s="14">
        <f t="shared" si="197"/>
        <v>0.45640899452455341</v>
      </c>
      <c r="N1053" s="14">
        <f t="shared" si="204"/>
        <v>11.679632950159577</v>
      </c>
      <c r="O1053" s="4">
        <v>7.6</v>
      </c>
      <c r="P1053" s="14">
        <f t="shared" si="207"/>
        <v>16.643405008027742</v>
      </c>
      <c r="Q1053" s="14">
        <f t="shared" si="205"/>
        <v>1.1371044674579174</v>
      </c>
    </row>
    <row r="1054" spans="1:17" x14ac:dyDescent="0.25">
      <c r="A1054" s="5" t="s">
        <v>1111</v>
      </c>
      <c r="B1054" s="6">
        <f t="shared" si="206"/>
        <v>3</v>
      </c>
      <c r="C1054" s="58">
        <v>16.770915989999999</v>
      </c>
      <c r="D1054" s="4">
        <v>8.1999999999999993</v>
      </c>
      <c r="E1054" s="12">
        <f t="shared" si="208"/>
        <v>0</v>
      </c>
      <c r="F1054" s="12">
        <f t="shared" si="209"/>
        <v>8.1999999999999993</v>
      </c>
      <c r="G1054" s="16">
        <f t="shared" si="198"/>
        <v>12.008727697272768</v>
      </c>
      <c r="H1054" s="14">
        <f t="shared" si="199"/>
        <v>0.85883736775553043</v>
      </c>
      <c r="I1054" s="14">
        <f t="shared" si="200"/>
        <v>13.047736044112078</v>
      </c>
      <c r="J1054" s="14">
        <f t="shared" si="201"/>
        <v>1.0693379534887044</v>
      </c>
      <c r="K1054" s="14">
        <f t="shared" si="202"/>
        <v>10.053546729181651</v>
      </c>
      <c r="L1054" s="14">
        <f t="shared" si="203"/>
        <v>705.23439664437785</v>
      </c>
      <c r="M1054" s="14">
        <f t="shared" si="197"/>
        <v>0.45861215891130402</v>
      </c>
      <c r="N1054" s="14">
        <f t="shared" si="204"/>
        <v>11.736012538806634</v>
      </c>
      <c r="O1054" s="4">
        <v>7.44</v>
      </c>
      <c r="P1054" s="14">
        <f t="shared" si="207"/>
        <v>18.455723733583813</v>
      </c>
      <c r="Q1054" s="14">
        <f t="shared" si="205"/>
        <v>0.82147214561883697</v>
      </c>
    </row>
    <row r="1055" spans="1:17" x14ac:dyDescent="0.25">
      <c r="A1055" s="5" t="s">
        <v>1112</v>
      </c>
      <c r="B1055" s="6">
        <f t="shared" si="206"/>
        <v>3</v>
      </c>
      <c r="C1055" s="58">
        <v>18.516221999999999</v>
      </c>
      <c r="D1055" s="4">
        <v>4.0999999999999996</v>
      </c>
      <c r="E1055" s="12">
        <f t="shared" si="208"/>
        <v>0</v>
      </c>
      <c r="F1055" s="12">
        <f t="shared" si="209"/>
        <v>4.0999999999999996</v>
      </c>
      <c r="G1055" s="16">
        <f t="shared" si="198"/>
        <v>12.625985982839705</v>
      </c>
      <c r="H1055" s="14">
        <f t="shared" si="199"/>
        <v>0.63594821274303659</v>
      </c>
      <c r="I1055" s="14">
        <f t="shared" si="200"/>
        <v>16.594212910578932</v>
      </c>
      <c r="J1055" s="14">
        <f t="shared" si="201"/>
        <v>2.8467935016900285</v>
      </c>
      <c r="K1055" s="14">
        <f t="shared" si="202"/>
        <v>9.8813301260430677</v>
      </c>
      <c r="L1055" s="14">
        <f t="shared" si="203"/>
        <v>705.58394930134818</v>
      </c>
      <c r="M1055" s="14">
        <f t="shared" ref="M1055:M1118" si="210">MAX(0,K1055-$F$9)*$F$8+K1055*$F$10+L1055*$F$11</f>
        <v>0.45208514758951335</v>
      </c>
      <c r="N1055" s="14">
        <f t="shared" si="204"/>
        <v>11.568984506023311</v>
      </c>
      <c r="O1055" s="4">
        <v>7.51</v>
      </c>
      <c r="P1055" s="14">
        <f t="shared" si="207"/>
        <v>16.475355220137303</v>
      </c>
      <c r="Q1055" s="14">
        <f t="shared" si="205"/>
        <v>0.95326128642343411</v>
      </c>
    </row>
    <row r="1056" spans="1:17" x14ac:dyDescent="0.25">
      <c r="A1056" s="5" t="s">
        <v>1113</v>
      </c>
      <c r="B1056" s="6">
        <f t="shared" si="206"/>
        <v>3</v>
      </c>
      <c r="C1056" s="58">
        <v>18.060241699999999</v>
      </c>
      <c r="D1056" s="4">
        <v>4.8</v>
      </c>
      <c r="E1056" s="12">
        <f t="shared" si="208"/>
        <v>0</v>
      </c>
      <c r="F1056" s="12">
        <f t="shared" si="209"/>
        <v>4.8</v>
      </c>
      <c r="G1056" s="16">
        <f t="shared" ref="G1056:G1119" si="211">G1055+F1056-H1056-J1056</f>
        <v>13.835360276473292</v>
      </c>
      <c r="H1056" s="14">
        <f t="shared" ref="H1056:H1119" si="212">(F1056*(G1055/$C$11)^$C$12)</f>
        <v>0.76462888472490642</v>
      </c>
      <c r="I1056" s="14">
        <f t="shared" ref="I1056:I1119" si="213">(1+$C$13*(C1056-INDEX($A$16:$A$27,B1056)))*INDEX($C$16:$C$27,B1056)</f>
        <v>15.667657007918274</v>
      </c>
      <c r="J1056" s="14">
        <f t="shared" ref="J1056:J1119" si="214">IF(G1055&gt;$F$13,I1056,I1056*(G1055/$F$13))</f>
        <v>2.8259968216415063</v>
      </c>
      <c r="K1056" s="14">
        <f t="shared" ref="K1056:K1119" si="215">K1055+H1056-MAX(0,K1055-$F$9)*$F$8-K1055*$F$10-K1055*$F$12</f>
        <v>9.8529439677896011</v>
      </c>
      <c r="L1056" s="14">
        <f t="shared" ref="L1056:L1119" si="216">L1055+K1055*$F$12-L1055*$F$11</f>
        <v>705.92487919673704</v>
      </c>
      <c r="M1056" s="14">
        <f t="shared" si="210"/>
        <v>0.45106936868569003</v>
      </c>
      <c r="N1056" s="14">
        <f t="shared" ref="N1056:N1119" si="217">M1056*$C$8*1000/(24*3600)</f>
        <v>11.542990441713664</v>
      </c>
      <c r="O1056" s="4">
        <v>7.33</v>
      </c>
      <c r="P1056" s="14">
        <f t="shared" si="207"/>
        <v>17.749288461970696</v>
      </c>
      <c r="Q1056" s="14">
        <f t="shared" ref="Q1056:Q1119" si="218">(O1056-$F$23)^2</f>
        <v>0.63417492435446743</v>
      </c>
    </row>
    <row r="1057" spans="1:17" x14ac:dyDescent="0.25">
      <c r="A1057" s="5" t="s">
        <v>1114</v>
      </c>
      <c r="B1057" s="6">
        <f t="shared" ref="B1057:B1120" si="219">MONTH(A1057)</f>
        <v>3</v>
      </c>
      <c r="C1057" s="58">
        <v>17.593708039999999</v>
      </c>
      <c r="D1057" s="4">
        <v>0</v>
      </c>
      <c r="E1057" s="12">
        <f t="shared" si="208"/>
        <v>0</v>
      </c>
      <c r="F1057" s="12">
        <f t="shared" si="209"/>
        <v>0</v>
      </c>
      <c r="G1057" s="16">
        <f t="shared" si="211"/>
        <v>10.926047183875982</v>
      </c>
      <c r="H1057" s="14">
        <f t="shared" si="212"/>
        <v>0</v>
      </c>
      <c r="I1057" s="14">
        <f t="shared" si="213"/>
        <v>14.719656586709556</v>
      </c>
      <c r="J1057" s="14">
        <f t="shared" si="214"/>
        <v>2.9093130925973103</v>
      </c>
      <c r="K1057" s="14">
        <f t="shared" si="215"/>
        <v>9.0624260350973334</v>
      </c>
      <c r="L1057" s="14">
        <f t="shared" si="216"/>
        <v>706.26432776074353</v>
      </c>
      <c r="M1057" s="14">
        <f t="shared" si="210"/>
        <v>0.42084055651561114</v>
      </c>
      <c r="N1057" s="14">
        <f t="shared" si="217"/>
        <v>10.769426741389077</v>
      </c>
      <c r="O1057" s="4">
        <v>7.2</v>
      </c>
      <c r="P1057" s="14">
        <f t="shared" ref="P1057:P1120" si="220">(O1057-N1057)^2</f>
        <v>12.740807262143447</v>
      </c>
      <c r="Q1057" s="14">
        <f t="shared" si="218"/>
        <v>0.4440236628602135</v>
      </c>
    </row>
    <row r="1058" spans="1:17" x14ac:dyDescent="0.25">
      <c r="A1058" s="5" t="s">
        <v>1115</v>
      </c>
      <c r="B1058" s="6">
        <f t="shared" si="219"/>
        <v>4</v>
      </c>
      <c r="C1058" s="58">
        <v>18.172906879999999</v>
      </c>
      <c r="D1058" s="4">
        <v>0</v>
      </c>
      <c r="E1058" s="12">
        <f t="shared" si="208"/>
        <v>0</v>
      </c>
      <c r="F1058" s="12">
        <f t="shared" si="209"/>
        <v>0</v>
      </c>
      <c r="G1058" s="16">
        <f t="shared" si="211"/>
        <v>8.6756606817925732</v>
      </c>
      <c r="H1058" s="14">
        <f t="shared" si="212"/>
        <v>0</v>
      </c>
      <c r="I1058" s="14">
        <f t="shared" si="213"/>
        <v>14.417558819225187</v>
      </c>
      <c r="J1058" s="14">
        <f t="shared" si="214"/>
        <v>2.2503865020834084</v>
      </c>
      <c r="K1058" s="14">
        <f t="shared" si="215"/>
        <v>8.3414494064255305</v>
      </c>
      <c r="L1058" s="14">
        <f t="shared" si="216"/>
        <v>706.56446383289972</v>
      </c>
      <c r="M1058" s="14">
        <f t="shared" si="210"/>
        <v>0.39326894807872059</v>
      </c>
      <c r="N1058" s="14">
        <f t="shared" si="217"/>
        <v>10.063861622708925</v>
      </c>
      <c r="O1058" s="4">
        <v>5.83</v>
      </c>
      <c r="P1058" s="14">
        <f t="shared" si="220"/>
        <v>17.925584240247456</v>
      </c>
      <c r="Q1058" s="14">
        <f t="shared" si="218"/>
        <v>0.49512190711307374</v>
      </c>
    </row>
    <row r="1059" spans="1:17" x14ac:dyDescent="0.25">
      <c r="A1059" s="5" t="s">
        <v>1116</v>
      </c>
      <c r="B1059" s="6">
        <f t="shared" si="219"/>
        <v>4</v>
      </c>
      <c r="C1059" s="58">
        <v>17.34072304</v>
      </c>
      <c r="D1059" s="4">
        <v>4.2</v>
      </c>
      <c r="E1059" s="12">
        <f t="shared" si="208"/>
        <v>0</v>
      </c>
      <c r="F1059" s="12">
        <f t="shared" si="209"/>
        <v>4.2</v>
      </c>
      <c r="G1059" s="16">
        <f t="shared" si="211"/>
        <v>10.743053025831729</v>
      </c>
      <c r="H1059" s="14">
        <f t="shared" si="212"/>
        <v>0.54806393540304643</v>
      </c>
      <c r="I1059" s="14">
        <f t="shared" si="213"/>
        <v>12.784959547825112</v>
      </c>
      <c r="J1059" s="14">
        <f t="shared" si="214"/>
        <v>1.5845437205577977</v>
      </c>
      <c r="K1059" s="14">
        <f t="shared" si="215"/>
        <v>8.2319605177950343</v>
      </c>
      <c r="L1059" s="14">
        <f t="shared" si="216"/>
        <v>706.82874770885462</v>
      </c>
      <c r="M1059" s="14">
        <f t="shared" si="210"/>
        <v>0.38912823192969115</v>
      </c>
      <c r="N1059" s="14">
        <f t="shared" si="217"/>
        <v>9.957899546256332</v>
      </c>
      <c r="O1059" s="4">
        <v>5.96</v>
      </c>
      <c r="P1059" s="14">
        <f t="shared" si="220"/>
        <v>15.983200781956585</v>
      </c>
      <c r="Q1059" s="14">
        <f t="shared" si="218"/>
        <v>0.32907316860732799</v>
      </c>
    </row>
    <row r="1060" spans="1:17" x14ac:dyDescent="0.25">
      <c r="A1060" s="5" t="s">
        <v>1117</v>
      </c>
      <c r="B1060" s="6">
        <f t="shared" si="219"/>
        <v>4</v>
      </c>
      <c r="C1060" s="58">
        <v>17.51978493</v>
      </c>
      <c r="D1060" s="4">
        <v>1</v>
      </c>
      <c r="E1060" s="12">
        <f t="shared" si="208"/>
        <v>0</v>
      </c>
      <c r="F1060" s="12">
        <f t="shared" si="209"/>
        <v>1</v>
      </c>
      <c r="G1060" s="16">
        <f t="shared" si="211"/>
        <v>9.580810005376744</v>
      </c>
      <c r="H1060" s="14">
        <f t="shared" si="212"/>
        <v>0.14619274321008105</v>
      </c>
      <c r="I1060" s="14">
        <f t="shared" si="213"/>
        <v>13.136247685250996</v>
      </c>
      <c r="J1060" s="14">
        <f t="shared" si="214"/>
        <v>2.0160502772449043</v>
      </c>
      <c r="K1060" s="14">
        <f t="shared" si="215"/>
        <v>7.7302320971480682</v>
      </c>
      <c r="L1060" s="14">
        <f t="shared" si="216"/>
        <v>707.08754064078198</v>
      </c>
      <c r="M1060" s="14">
        <f t="shared" si="210"/>
        <v>0.36995170332423011</v>
      </c>
      <c r="N1060" s="14">
        <f t="shared" si="217"/>
        <v>9.4671668524290826</v>
      </c>
      <c r="O1060" s="4">
        <v>5.21</v>
      </c>
      <c r="P1060" s="14">
        <f t="shared" si="220"/>
        <v>18.123469609420944</v>
      </c>
      <c r="Q1060" s="14">
        <f t="shared" si="218"/>
        <v>1.7520466599866313</v>
      </c>
    </row>
    <row r="1061" spans="1:17" x14ac:dyDescent="0.25">
      <c r="A1061" s="5" t="s">
        <v>1118</v>
      </c>
      <c r="B1061" s="6">
        <f t="shared" si="219"/>
        <v>4</v>
      </c>
      <c r="C1061" s="58">
        <v>16.51310539</v>
      </c>
      <c r="D1061" s="4">
        <v>1.9</v>
      </c>
      <c r="E1061" s="12">
        <f t="shared" si="208"/>
        <v>0</v>
      </c>
      <c r="F1061" s="12">
        <f t="shared" si="209"/>
        <v>1.9</v>
      </c>
      <c r="G1061" s="16">
        <f t="shared" si="211"/>
        <v>9.6918090973753053</v>
      </c>
      <c r="H1061" s="14">
        <f t="shared" si="212"/>
        <v>0.2613643821270325</v>
      </c>
      <c r="I1061" s="14">
        <f t="shared" si="213"/>
        <v>11.161318343271265</v>
      </c>
      <c r="J1061" s="14">
        <f t="shared" si="214"/>
        <v>1.527636525874406</v>
      </c>
      <c r="K1061" s="14">
        <f t="shared" si="215"/>
        <v>7.387812010100097</v>
      </c>
      <c r="L1061" s="14">
        <f t="shared" si="216"/>
        <v>707.32137340663269</v>
      </c>
      <c r="M1061" s="14">
        <f t="shared" si="210"/>
        <v>0.35687621564006922</v>
      </c>
      <c r="N1061" s="14">
        <f t="shared" si="217"/>
        <v>9.1325614905114918</v>
      </c>
      <c r="O1061" s="4">
        <v>5.19</v>
      </c>
      <c r="P1061" s="14">
        <f t="shared" si="220"/>
        <v>15.543791106464193</v>
      </c>
      <c r="Q1061" s="14">
        <f t="shared" si="218"/>
        <v>1.8053926197567449</v>
      </c>
    </row>
    <row r="1062" spans="1:17" x14ac:dyDescent="0.25">
      <c r="A1062" s="5" t="s">
        <v>1119</v>
      </c>
      <c r="B1062" s="6">
        <f t="shared" si="219"/>
        <v>4</v>
      </c>
      <c r="C1062" s="58">
        <v>16.949405670000001</v>
      </c>
      <c r="D1062" s="4">
        <v>0.2</v>
      </c>
      <c r="E1062" s="12">
        <f t="shared" si="208"/>
        <v>0</v>
      </c>
      <c r="F1062" s="12">
        <f t="shared" si="209"/>
        <v>0.2</v>
      </c>
      <c r="G1062" s="16">
        <f t="shared" si="211"/>
        <v>8.2002835726473311</v>
      </c>
      <c r="H1062" s="14">
        <f t="shared" si="212"/>
        <v>2.7681019792259717E-2</v>
      </c>
      <c r="I1062" s="14">
        <f t="shared" si="213"/>
        <v>12.017263249915512</v>
      </c>
      <c r="J1062" s="14">
        <f t="shared" si="214"/>
        <v>1.6638445049357142</v>
      </c>
      <c r="K1062" s="14">
        <f t="shared" si="215"/>
        <v>6.8418310138475675</v>
      </c>
      <c r="L1062" s="14">
        <f t="shared" si="216"/>
        <v>707.53815920703744</v>
      </c>
      <c r="M1062" s="14">
        <f t="shared" si="210"/>
        <v>0.33599456904498959</v>
      </c>
      <c r="N1062" s="14">
        <f t="shared" si="217"/>
        <v>8.5981943536860186</v>
      </c>
      <c r="O1062" s="4">
        <v>5.57</v>
      </c>
      <c r="P1062" s="14">
        <f t="shared" si="220"/>
        <v>9.1699610436958814</v>
      </c>
      <c r="Q1062" s="14">
        <f t="shared" si="218"/>
        <v>0.92861938412456502</v>
      </c>
    </row>
    <row r="1063" spans="1:17" x14ac:dyDescent="0.25">
      <c r="A1063" s="5" t="s">
        <v>1120</v>
      </c>
      <c r="B1063" s="6">
        <f t="shared" si="219"/>
        <v>4</v>
      </c>
      <c r="C1063" s="58">
        <v>17.346443180000001</v>
      </c>
      <c r="D1063" s="4">
        <v>1.9</v>
      </c>
      <c r="E1063" s="12">
        <f t="shared" si="208"/>
        <v>0</v>
      </c>
      <c r="F1063" s="12">
        <f t="shared" si="209"/>
        <v>1.9</v>
      </c>
      <c r="G1063" s="16">
        <f t="shared" si="211"/>
        <v>8.360632524030887</v>
      </c>
      <c r="H1063" s="14">
        <f t="shared" si="212"/>
        <v>0.2406167431740841</v>
      </c>
      <c r="I1063" s="14">
        <f t="shared" si="213"/>
        <v>12.796181462920588</v>
      </c>
      <c r="J1063" s="14">
        <f t="shared" si="214"/>
        <v>1.4990343054423607</v>
      </c>
      <c r="K1063" s="14">
        <f t="shared" si="215"/>
        <v>6.5568153034695005</v>
      </c>
      <c r="L1063" s="14">
        <f t="shared" si="216"/>
        <v>707.72779709154463</v>
      </c>
      <c r="M1063" s="14">
        <f t="shared" si="210"/>
        <v>0.32511003838219482</v>
      </c>
      <c r="N1063" s="14">
        <f t="shared" si="217"/>
        <v>8.3196561905443609</v>
      </c>
      <c r="O1063" s="4">
        <v>5.47</v>
      </c>
      <c r="P1063" s="14">
        <f t="shared" si="220"/>
        <v>8.1205404043077998</v>
      </c>
      <c r="Q1063" s="14">
        <f t="shared" si="218"/>
        <v>1.1313491829751399</v>
      </c>
    </row>
    <row r="1064" spans="1:17" x14ac:dyDescent="0.25">
      <c r="A1064" s="5" t="s">
        <v>1121</v>
      </c>
      <c r="B1064" s="6">
        <f t="shared" si="219"/>
        <v>4</v>
      </c>
      <c r="C1064" s="58">
        <v>18.4371109</v>
      </c>
      <c r="D1064" s="4">
        <v>8.4</v>
      </c>
      <c r="E1064" s="12">
        <f t="shared" si="208"/>
        <v>0</v>
      </c>
      <c r="F1064" s="12">
        <f t="shared" si="209"/>
        <v>8.4</v>
      </c>
      <c r="G1064" s="16">
        <f t="shared" si="211"/>
        <v>13.901938589462787</v>
      </c>
      <c r="H1064" s="14">
        <f t="shared" si="212"/>
        <v>1.0747866091312743</v>
      </c>
      <c r="I1064" s="14">
        <f t="shared" si="213"/>
        <v>14.935880937271813</v>
      </c>
      <c r="J1064" s="14">
        <f t="shared" si="214"/>
        <v>1.783907325436827</v>
      </c>
      <c r="K1064" s="14">
        <f t="shared" si="215"/>
        <v>7.1310420897206539</v>
      </c>
      <c r="L1064" s="14">
        <f t="shared" si="216"/>
        <v>707.90324687604254</v>
      </c>
      <c r="M1064" s="14">
        <f t="shared" si="210"/>
        <v>0.34715749990853451</v>
      </c>
      <c r="N1064" s="14">
        <f t="shared" si="217"/>
        <v>8.8838568552982604</v>
      </c>
      <c r="O1064" s="4">
        <v>4.97</v>
      </c>
      <c r="P1064" s="14">
        <f t="shared" si="220"/>
        <v>15.31827548376519</v>
      </c>
      <c r="Q1064" s="14">
        <f t="shared" si="218"/>
        <v>2.4449981772280092</v>
      </c>
    </row>
    <row r="1065" spans="1:17" x14ac:dyDescent="0.25">
      <c r="A1065" s="5" t="s">
        <v>1122</v>
      </c>
      <c r="B1065" s="6">
        <f t="shared" si="219"/>
        <v>4</v>
      </c>
      <c r="C1065" s="58">
        <v>16.71845055</v>
      </c>
      <c r="D1065" s="4">
        <v>0.6</v>
      </c>
      <c r="E1065" s="12">
        <f t="shared" si="208"/>
        <v>0</v>
      </c>
      <c r="F1065" s="12">
        <f t="shared" si="209"/>
        <v>0.6</v>
      </c>
      <c r="G1065" s="16">
        <f t="shared" si="211"/>
        <v>12.104705547755341</v>
      </c>
      <c r="H1065" s="14">
        <f t="shared" si="212"/>
        <v>0.10059723706571372</v>
      </c>
      <c r="I1065" s="14">
        <f t="shared" si="213"/>
        <v>11.564169663481392</v>
      </c>
      <c r="J1065" s="14">
        <f t="shared" si="214"/>
        <v>2.2966358046417339</v>
      </c>
      <c r="K1065" s="14">
        <f t="shared" si="215"/>
        <v>6.6805651792237066</v>
      </c>
      <c r="L1065" s="14">
        <f t="shared" si="216"/>
        <v>708.10716352369661</v>
      </c>
      <c r="M1065" s="14">
        <f t="shared" si="210"/>
        <v>0.32993382302551277</v>
      </c>
      <c r="N1065" s="14">
        <f t="shared" si="217"/>
        <v>8.4430981795070466</v>
      </c>
      <c r="O1065" s="4">
        <v>4.83</v>
      </c>
      <c r="P1065" s="14">
        <f t="shared" si="220"/>
        <v>13.054478454757133</v>
      </c>
      <c r="Q1065" s="14">
        <f t="shared" si="218"/>
        <v>2.9024198956188112</v>
      </c>
    </row>
    <row r="1066" spans="1:17" x14ac:dyDescent="0.25">
      <c r="A1066" s="5" t="s">
        <v>1123</v>
      </c>
      <c r="B1066" s="6">
        <f t="shared" si="219"/>
        <v>4</v>
      </c>
      <c r="C1066" s="58">
        <v>16.25576401</v>
      </c>
      <c r="D1066" s="4">
        <v>3</v>
      </c>
      <c r="E1066" s="12">
        <f t="shared" si="208"/>
        <v>0</v>
      </c>
      <c r="F1066" s="12">
        <f t="shared" si="209"/>
        <v>3</v>
      </c>
      <c r="G1066" s="16">
        <f t="shared" si="211"/>
        <v>12.79464131597382</v>
      </c>
      <c r="H1066" s="14">
        <f t="shared" si="212"/>
        <v>0.46730124737873191</v>
      </c>
      <c r="I1066" s="14">
        <f t="shared" si="213"/>
        <v>10.656459525670227</v>
      </c>
      <c r="J1066" s="14">
        <f t="shared" si="214"/>
        <v>1.8427629844027893</v>
      </c>
      <c r="K1066" s="14">
        <f t="shared" si="215"/>
        <v>6.6364204145842551</v>
      </c>
      <c r="L1066" s="14">
        <f t="shared" si="216"/>
        <v>708.28867571268927</v>
      </c>
      <c r="M1066" s="14">
        <f t="shared" si="210"/>
        <v>0.32828021907382854</v>
      </c>
      <c r="N1066" s="14">
        <f t="shared" si="217"/>
        <v>8.4007819950490141</v>
      </c>
      <c r="O1066" s="4">
        <v>4.84</v>
      </c>
      <c r="P1066" s="14">
        <f t="shared" si="220"/>
        <v>12.679168416265238</v>
      </c>
      <c r="Q1066" s="14">
        <f t="shared" si="218"/>
        <v>2.8684469157337547</v>
      </c>
    </row>
    <row r="1067" spans="1:17" x14ac:dyDescent="0.25">
      <c r="A1067" s="5" t="s">
        <v>1124</v>
      </c>
      <c r="B1067" s="6">
        <f t="shared" si="219"/>
        <v>4</v>
      </c>
      <c r="C1067" s="58">
        <v>16.98812294</v>
      </c>
      <c r="D1067" s="4">
        <v>0.7</v>
      </c>
      <c r="E1067" s="12">
        <f t="shared" si="208"/>
        <v>0</v>
      </c>
      <c r="F1067" s="12">
        <f t="shared" si="209"/>
        <v>0.7</v>
      </c>
      <c r="G1067" s="16">
        <f t="shared" si="211"/>
        <v>11.171935976350087</v>
      </c>
      <c r="H1067" s="14">
        <f t="shared" si="212"/>
        <v>0.11229770768082359</v>
      </c>
      <c r="I1067" s="14">
        <f t="shared" si="213"/>
        <v>12.093219767879859</v>
      </c>
      <c r="J1067" s="14">
        <f t="shared" si="214"/>
        <v>2.2104076319429087</v>
      </c>
      <c r="K1067" s="14">
        <f t="shared" si="215"/>
        <v>6.241155494002971</v>
      </c>
      <c r="L1067" s="14">
        <f t="shared" si="216"/>
        <v>708.46795812187759</v>
      </c>
      <c r="M1067" s="14">
        <f t="shared" si="210"/>
        <v>0.31316761089264</v>
      </c>
      <c r="N1067" s="14">
        <f t="shared" si="217"/>
        <v>8.0140461537456833</v>
      </c>
      <c r="O1067" s="4">
        <v>4.87</v>
      </c>
      <c r="P1067" s="14">
        <f t="shared" si="220"/>
        <v>9.8850262168830234</v>
      </c>
      <c r="Q1067" s="14">
        <f t="shared" si="218"/>
        <v>2.7677279760785818</v>
      </c>
    </row>
    <row r="1068" spans="1:17" x14ac:dyDescent="0.25">
      <c r="A1068" s="5" t="s">
        <v>1125</v>
      </c>
      <c r="B1068" s="6">
        <f t="shared" si="219"/>
        <v>4</v>
      </c>
      <c r="C1068" s="58">
        <v>15.80809212</v>
      </c>
      <c r="D1068" s="4">
        <v>0</v>
      </c>
      <c r="E1068" s="12">
        <f t="shared" si="208"/>
        <v>0</v>
      </c>
      <c r="F1068" s="12">
        <f t="shared" si="209"/>
        <v>0</v>
      </c>
      <c r="G1068" s="16">
        <f t="shared" si="211"/>
        <v>9.611342060495577</v>
      </c>
      <c r="H1068" s="14">
        <f t="shared" si="212"/>
        <v>0</v>
      </c>
      <c r="I1068" s="14">
        <f t="shared" si="213"/>
        <v>9.778205507375068</v>
      </c>
      <c r="J1068" s="14">
        <f t="shared" si="214"/>
        <v>1.5605939158545092</v>
      </c>
      <c r="K1068" s="14">
        <f t="shared" si="215"/>
        <v>5.7683640415409547</v>
      </c>
      <c r="L1068" s="14">
        <f t="shared" si="216"/>
        <v>708.62758196344703</v>
      </c>
      <c r="M1068" s="14">
        <f t="shared" si="210"/>
        <v>0.29507922232933392</v>
      </c>
      <c r="N1068" s="14">
        <f t="shared" si="217"/>
        <v>7.5511592658583027</v>
      </c>
      <c r="O1068" s="4">
        <v>4.58</v>
      </c>
      <c r="P1068" s="14">
        <f t="shared" si="220"/>
        <v>8.8277873830956484</v>
      </c>
      <c r="Q1068" s="14">
        <f t="shared" si="218"/>
        <v>3.8167443927452456</v>
      </c>
    </row>
    <row r="1069" spans="1:17" x14ac:dyDescent="0.25">
      <c r="A1069" s="5" t="s">
        <v>1126</v>
      </c>
      <c r="B1069" s="6">
        <f t="shared" si="219"/>
        <v>4</v>
      </c>
      <c r="C1069" s="58">
        <v>14.996763229999999</v>
      </c>
      <c r="D1069" s="4">
        <v>3.3</v>
      </c>
      <c r="E1069" s="12">
        <f t="shared" si="208"/>
        <v>0</v>
      </c>
      <c r="F1069" s="12">
        <f t="shared" si="209"/>
        <v>3.3</v>
      </c>
      <c r="G1069" s="16">
        <f t="shared" si="211"/>
        <v>11.332574858406113</v>
      </c>
      <c r="H1069" s="14">
        <f t="shared" si="212"/>
        <v>0.45471709381046199</v>
      </c>
      <c r="I1069" s="14">
        <f t="shared" si="213"/>
        <v>8.1865200035087167</v>
      </c>
      <c r="J1069" s="14">
        <f t="shared" si="214"/>
        <v>1.1240501082790029</v>
      </c>
      <c r="K1069" s="14">
        <f t="shared" si="215"/>
        <v>5.7918808129248252</v>
      </c>
      <c r="L1069" s="14">
        <f t="shared" si="216"/>
        <v>708.76370306354431</v>
      </c>
      <c r="M1069" s="14">
        <f t="shared" si="210"/>
        <v>0.29600948154895579</v>
      </c>
      <c r="N1069" s="14">
        <f t="shared" si="217"/>
        <v>7.5749648576937636</v>
      </c>
      <c r="O1069" s="4">
        <v>4.6500000000000004</v>
      </c>
      <c r="P1069" s="14">
        <f t="shared" si="220"/>
        <v>8.5554194187434973</v>
      </c>
      <c r="Q1069" s="14">
        <f t="shared" si="218"/>
        <v>3.548133533549843</v>
      </c>
    </row>
    <row r="1070" spans="1:17" x14ac:dyDescent="0.25">
      <c r="A1070" s="5" t="s">
        <v>1127</v>
      </c>
      <c r="B1070" s="6">
        <f t="shared" si="219"/>
        <v>4</v>
      </c>
      <c r="C1070" s="58">
        <v>13.953808779999999</v>
      </c>
      <c r="D1070" s="4">
        <v>6.4</v>
      </c>
      <c r="E1070" s="12">
        <f t="shared" si="208"/>
        <v>0</v>
      </c>
      <c r="F1070" s="12">
        <f t="shared" si="209"/>
        <v>6.4</v>
      </c>
      <c r="G1070" s="16">
        <f t="shared" si="211"/>
        <v>15.775891900454781</v>
      </c>
      <c r="H1070" s="14">
        <f t="shared" si="212"/>
        <v>0.9625845397199857</v>
      </c>
      <c r="I1070" s="14">
        <f t="shared" si="213"/>
        <v>6.140425627086473</v>
      </c>
      <c r="J1070" s="14">
        <f t="shared" si="214"/>
        <v>0.99409841823134615</v>
      </c>
      <c r="K1070" s="14">
        <f t="shared" si="215"/>
        <v>6.3211962764547014</v>
      </c>
      <c r="L1070" s="14">
        <f t="shared" si="216"/>
        <v>708.90096265818545</v>
      </c>
      <c r="M1070" s="14">
        <f t="shared" si="210"/>
        <v>0.31632738424375295</v>
      </c>
      <c r="N1070" s="14">
        <f t="shared" si="217"/>
        <v>8.0949056315154841</v>
      </c>
      <c r="O1070" s="4">
        <v>5</v>
      </c>
      <c r="P1070" s="14">
        <f t="shared" si="220"/>
        <v>9.5784408679862576</v>
      </c>
      <c r="Q1070" s="14">
        <f t="shared" si="218"/>
        <v>2.3520792375728359</v>
      </c>
    </row>
    <row r="1071" spans="1:17" x14ac:dyDescent="0.25">
      <c r="A1071" s="5" t="s">
        <v>1128</v>
      </c>
      <c r="B1071" s="6">
        <f t="shared" si="219"/>
        <v>4</v>
      </c>
      <c r="C1071" s="58">
        <v>17.83756065</v>
      </c>
      <c r="D1071" s="4">
        <v>0.2</v>
      </c>
      <c r="E1071" s="12">
        <f t="shared" si="208"/>
        <v>0</v>
      </c>
      <c r="F1071" s="12">
        <f t="shared" si="209"/>
        <v>0.2</v>
      </c>
      <c r="G1071" s="16">
        <f t="shared" si="211"/>
        <v>12.839010617129501</v>
      </c>
      <c r="H1071" s="14">
        <f t="shared" si="212"/>
        <v>3.5863967646384019E-2</v>
      </c>
      <c r="I1071" s="14">
        <f t="shared" si="213"/>
        <v>13.759668117136137</v>
      </c>
      <c r="J1071" s="14">
        <f t="shared" si="214"/>
        <v>3.1010173156788956</v>
      </c>
      <c r="K1071" s="14">
        <f t="shared" si="215"/>
        <v>5.8772276605573817</v>
      </c>
      <c r="L1071" s="14">
        <f t="shared" si="216"/>
        <v>709.0644678574854</v>
      </c>
      <c r="M1071" s="14">
        <f t="shared" si="210"/>
        <v>0.29934460565511367</v>
      </c>
      <c r="N1071" s="14">
        <f t="shared" si="217"/>
        <v>7.6603116099937081</v>
      </c>
      <c r="O1071" s="4">
        <v>5.19</v>
      </c>
      <c r="P1071" s="14">
        <f t="shared" si="220"/>
        <v>6.1024394504697046</v>
      </c>
      <c r="Q1071" s="14">
        <f t="shared" si="218"/>
        <v>1.8053926197567449</v>
      </c>
    </row>
    <row r="1072" spans="1:17" x14ac:dyDescent="0.25">
      <c r="A1072" s="5" t="s">
        <v>1129</v>
      </c>
      <c r="B1072" s="6">
        <f t="shared" si="219"/>
        <v>4</v>
      </c>
      <c r="C1072" s="58">
        <v>17.33104324</v>
      </c>
      <c r="D1072" s="4">
        <v>0</v>
      </c>
      <c r="E1072" s="12">
        <f t="shared" si="208"/>
        <v>0</v>
      </c>
      <c r="F1072" s="12">
        <f t="shared" si="209"/>
        <v>0</v>
      </c>
      <c r="G1072" s="16">
        <f t="shared" si="211"/>
        <v>10.497545617915387</v>
      </c>
      <c r="H1072" s="14">
        <f t="shared" si="212"/>
        <v>0</v>
      </c>
      <c r="I1072" s="14">
        <f t="shared" si="213"/>
        <v>12.765969471753339</v>
      </c>
      <c r="J1072" s="14">
        <f t="shared" si="214"/>
        <v>2.3414649992141139</v>
      </c>
      <c r="K1072" s="14">
        <f t="shared" si="215"/>
        <v>5.436450682480479</v>
      </c>
      <c r="L1072" s="14">
        <f t="shared" si="216"/>
        <v>709.20590022990723</v>
      </c>
      <c r="M1072" s="14">
        <f t="shared" si="210"/>
        <v>0.2824794844198974</v>
      </c>
      <c r="N1072" s="14">
        <f t="shared" si="217"/>
        <v>7.2287284728286245</v>
      </c>
      <c r="O1072" s="4">
        <v>4.87</v>
      </c>
      <c r="P1072" s="14">
        <f t="shared" si="220"/>
        <v>5.5636000085324548</v>
      </c>
      <c r="Q1072" s="14">
        <f t="shared" si="218"/>
        <v>2.7677279760785818</v>
      </c>
    </row>
    <row r="1073" spans="1:17" x14ac:dyDescent="0.25">
      <c r="A1073" s="5" t="s">
        <v>1130</v>
      </c>
      <c r="B1073" s="6">
        <f t="shared" si="219"/>
        <v>4</v>
      </c>
      <c r="C1073" s="58">
        <v>18.28767204</v>
      </c>
      <c r="D1073" s="4">
        <v>3.7</v>
      </c>
      <c r="E1073" s="12">
        <f t="shared" si="208"/>
        <v>0</v>
      </c>
      <c r="F1073" s="12">
        <f t="shared" si="209"/>
        <v>3.7</v>
      </c>
      <c r="G1073" s="16">
        <f t="shared" si="211"/>
        <v>11.467344482496003</v>
      </c>
      <c r="H1073" s="14">
        <f t="shared" si="212"/>
        <v>0.53430657234043233</v>
      </c>
      <c r="I1073" s="14">
        <f t="shared" si="213"/>
        <v>14.64270800813291</v>
      </c>
      <c r="J1073" s="14">
        <f t="shared" si="214"/>
        <v>2.1958945630789528</v>
      </c>
      <c r="K1073" s="14">
        <f t="shared" si="215"/>
        <v>5.5687551160867121</v>
      </c>
      <c r="L1073" s="14">
        <f t="shared" si="216"/>
        <v>709.32542288422155</v>
      </c>
      <c r="M1073" s="14">
        <f t="shared" si="210"/>
        <v>0.28757608593345552</v>
      </c>
      <c r="N1073" s="14">
        <f t="shared" si="217"/>
        <v>7.3591519212832184</v>
      </c>
      <c r="O1073" s="4">
        <v>4.9000000000000004</v>
      </c>
      <c r="P1073" s="14">
        <f t="shared" si="220"/>
        <v>6.0474281719509424</v>
      </c>
      <c r="Q1073" s="14">
        <f t="shared" si="218"/>
        <v>2.6688090364234087</v>
      </c>
    </row>
    <row r="1074" spans="1:17" x14ac:dyDescent="0.25">
      <c r="A1074" s="5" t="s">
        <v>1131</v>
      </c>
      <c r="B1074" s="6">
        <f t="shared" si="219"/>
        <v>4</v>
      </c>
      <c r="C1074" s="58">
        <v>18.609998699999998</v>
      </c>
      <c r="D1074" s="4">
        <v>0</v>
      </c>
      <c r="E1074" s="12">
        <f t="shared" si="208"/>
        <v>0</v>
      </c>
      <c r="F1074" s="12">
        <f t="shared" si="209"/>
        <v>0</v>
      </c>
      <c r="G1074" s="16">
        <f t="shared" si="211"/>
        <v>8.9649948060708287</v>
      </c>
      <c r="H1074" s="14">
        <f t="shared" si="212"/>
        <v>0</v>
      </c>
      <c r="I1074" s="14">
        <f t="shared" si="213"/>
        <v>15.275056589029193</v>
      </c>
      <c r="J1074" s="14">
        <f t="shared" si="214"/>
        <v>2.5023496764251738</v>
      </c>
      <c r="K1074" s="14">
        <f t="shared" si="215"/>
        <v>5.1551142498041918</v>
      </c>
      <c r="L1074" s="14">
        <f t="shared" si="216"/>
        <v>709.45148766457066</v>
      </c>
      <c r="M1074" s="14">
        <f t="shared" si="210"/>
        <v>0.27174784165997501</v>
      </c>
      <c r="N1074" s="14">
        <f t="shared" si="217"/>
        <v>6.954102753590333</v>
      </c>
      <c r="O1074" s="4">
        <v>5.22</v>
      </c>
      <c r="P1074" s="14">
        <f t="shared" si="220"/>
        <v>3.0071123600095762</v>
      </c>
      <c r="Q1074" s="14">
        <f t="shared" si="218"/>
        <v>1.7256736801015744</v>
      </c>
    </row>
    <row r="1075" spans="1:17" x14ac:dyDescent="0.25">
      <c r="A1075" s="5" t="s">
        <v>1132</v>
      </c>
      <c r="B1075" s="6">
        <f t="shared" si="219"/>
        <v>4</v>
      </c>
      <c r="C1075" s="58">
        <v>17.977062230000001</v>
      </c>
      <c r="D1075" s="4">
        <v>0.6</v>
      </c>
      <c r="E1075" s="12">
        <f t="shared" si="208"/>
        <v>0</v>
      </c>
      <c r="F1075" s="12">
        <f t="shared" si="209"/>
        <v>0.6</v>
      </c>
      <c r="G1075" s="16">
        <f t="shared" si="211"/>
        <v>7.688051540247411</v>
      </c>
      <c r="H1075" s="14">
        <f t="shared" si="212"/>
        <v>7.9672206406949289E-2</v>
      </c>
      <c r="I1075" s="14">
        <f t="shared" si="213"/>
        <v>14.033345839437454</v>
      </c>
      <c r="J1075" s="14">
        <f t="shared" si="214"/>
        <v>1.797271059416468</v>
      </c>
      <c r="K1075" s="14">
        <f t="shared" si="215"/>
        <v>4.8575332846890378</v>
      </c>
      <c r="L1075" s="14">
        <f t="shared" si="216"/>
        <v>709.55699299443279</v>
      </c>
      <c r="M1075" s="14">
        <f t="shared" si="210"/>
        <v>0.26036384693358722</v>
      </c>
      <c r="N1075" s="14">
        <f t="shared" si="217"/>
        <v>6.6627831663213115</v>
      </c>
      <c r="O1075" s="4">
        <v>4.58</v>
      </c>
      <c r="P1075" s="14">
        <f t="shared" si="220"/>
        <v>4.3379857179114278</v>
      </c>
      <c r="Q1075" s="14">
        <f t="shared" si="218"/>
        <v>3.8167443927452456</v>
      </c>
    </row>
    <row r="1076" spans="1:17" x14ac:dyDescent="0.25">
      <c r="A1076" s="5" t="s">
        <v>1133</v>
      </c>
      <c r="B1076" s="6">
        <f t="shared" si="219"/>
        <v>4</v>
      </c>
      <c r="C1076" s="58">
        <v>18.381120679999999</v>
      </c>
      <c r="D1076" s="4">
        <v>0.2</v>
      </c>
      <c r="E1076" s="12">
        <f t="shared" si="208"/>
        <v>0</v>
      </c>
      <c r="F1076" s="12">
        <f t="shared" si="209"/>
        <v>0.2</v>
      </c>
      <c r="G1076" s="16">
        <f t="shared" si="211"/>
        <v>6.2352423854023744</v>
      </c>
      <c r="H1076" s="14">
        <f t="shared" si="212"/>
        <v>2.4474360052051281E-2</v>
      </c>
      <c r="I1076" s="14">
        <f t="shared" si="213"/>
        <v>14.826037909825455</v>
      </c>
      <c r="J1076" s="14">
        <f t="shared" si="214"/>
        <v>1.6283347947929863</v>
      </c>
      <c r="K1076" s="14">
        <f t="shared" si="215"/>
        <v>4.5309324604726049</v>
      </c>
      <c r="L1076" s="14">
        <f t="shared" si="216"/>
        <v>709.64770433176761</v>
      </c>
      <c r="M1076" s="14">
        <f t="shared" si="210"/>
        <v>0.24786437704508041</v>
      </c>
      <c r="N1076" s="14">
        <f t="shared" si="217"/>
        <v>6.3429182597994531</v>
      </c>
      <c r="O1076" s="4">
        <v>4.18</v>
      </c>
      <c r="P1076" s="14">
        <f t="shared" si="220"/>
        <v>4.6782153985738955</v>
      </c>
      <c r="Q1076" s="14">
        <f t="shared" si="218"/>
        <v>5.5396635881475422</v>
      </c>
    </row>
    <row r="1077" spans="1:17" x14ac:dyDescent="0.25">
      <c r="A1077" s="5" t="s">
        <v>1134</v>
      </c>
      <c r="B1077" s="6">
        <f t="shared" si="219"/>
        <v>4</v>
      </c>
      <c r="C1077" s="58">
        <v>19.609771729999999</v>
      </c>
      <c r="D1077" s="4">
        <v>3.5</v>
      </c>
      <c r="E1077" s="12">
        <f t="shared" si="208"/>
        <v>0</v>
      </c>
      <c r="F1077" s="12">
        <f t="shared" si="209"/>
        <v>3.5</v>
      </c>
      <c r="G1077" s="16">
        <f t="shared" si="211"/>
        <v>7.8167339678393137</v>
      </c>
      <c r="H1077" s="14">
        <f t="shared" si="212"/>
        <v>0.3831734656320282</v>
      </c>
      <c r="I1077" s="14">
        <f t="shared" si="213"/>
        <v>17.236436565289544</v>
      </c>
      <c r="J1077" s="14">
        <f t="shared" si="214"/>
        <v>1.5353349519310322</v>
      </c>
      <c r="K1077" s="14">
        <f t="shared" si="215"/>
        <v>4.5917615855917351</v>
      </c>
      <c r="L1077" s="14">
        <f t="shared" si="216"/>
        <v>709.72218429523548</v>
      </c>
      <c r="M1077" s="14">
        <f t="shared" si="210"/>
        <v>0.25021176229824249</v>
      </c>
      <c r="N1077" s="14">
        <f t="shared" si="217"/>
        <v>6.4029885004793305</v>
      </c>
      <c r="O1077" s="4">
        <v>4.09</v>
      </c>
      <c r="P1077" s="14">
        <f t="shared" si="220"/>
        <v>5.3499158033496226</v>
      </c>
      <c r="Q1077" s="14">
        <f t="shared" si="218"/>
        <v>5.9714204071130581</v>
      </c>
    </row>
    <row r="1078" spans="1:17" x14ac:dyDescent="0.25">
      <c r="A1078" s="5" t="s">
        <v>1135</v>
      </c>
      <c r="B1078" s="6">
        <f t="shared" si="219"/>
        <v>4</v>
      </c>
      <c r="C1078" s="58">
        <v>19.561639790000001</v>
      </c>
      <c r="D1078" s="4">
        <v>0</v>
      </c>
      <c r="E1078" s="12">
        <f t="shared" si="208"/>
        <v>0</v>
      </c>
      <c r="F1078" s="12">
        <f t="shared" si="209"/>
        <v>0</v>
      </c>
      <c r="G1078" s="16">
        <f t="shared" si="211"/>
        <v>5.902524811969819</v>
      </c>
      <c r="H1078" s="14">
        <f t="shared" si="212"/>
        <v>0</v>
      </c>
      <c r="I1078" s="14">
        <f t="shared" si="213"/>
        <v>17.142010109982422</v>
      </c>
      <c r="J1078" s="14">
        <f t="shared" si="214"/>
        <v>1.9142091558694945</v>
      </c>
      <c r="K1078" s="14">
        <f t="shared" si="215"/>
        <v>4.2640661499192341</v>
      </c>
      <c r="L1078" s="14">
        <f t="shared" si="216"/>
        <v>709.7996679686097</v>
      </c>
      <c r="M1078" s="14">
        <f t="shared" si="210"/>
        <v>0.23766753165386723</v>
      </c>
      <c r="N1078" s="14">
        <f t="shared" si="217"/>
        <v>6.0819781537812556</v>
      </c>
      <c r="O1078" s="4">
        <v>3.83</v>
      </c>
      <c r="P1078" s="14">
        <f t="shared" si="220"/>
        <v>5.0714056051080325</v>
      </c>
      <c r="Q1078" s="14">
        <f t="shared" si="218"/>
        <v>7.3097178841245487</v>
      </c>
    </row>
    <row r="1079" spans="1:17" x14ac:dyDescent="0.25">
      <c r="A1079" s="5" t="s">
        <v>1136</v>
      </c>
      <c r="B1079" s="6">
        <f t="shared" si="219"/>
        <v>4</v>
      </c>
      <c r="C1079" s="58">
        <v>16.004650120000001</v>
      </c>
      <c r="D1079" s="4">
        <v>0</v>
      </c>
      <c r="E1079" s="12">
        <f t="shared" si="208"/>
        <v>0</v>
      </c>
      <c r="F1079" s="12">
        <f t="shared" si="209"/>
        <v>0</v>
      </c>
      <c r="G1079" s="16">
        <f t="shared" si="211"/>
        <v>5.0454928675188775</v>
      </c>
      <c r="H1079" s="14">
        <f t="shared" si="212"/>
        <v>0</v>
      </c>
      <c r="I1079" s="14">
        <f t="shared" si="213"/>
        <v>10.163817955206136</v>
      </c>
      <c r="J1079" s="14">
        <f t="shared" si="214"/>
        <v>0.85703194445094188</v>
      </c>
      <c r="K1079" s="14">
        <f t="shared" si="215"/>
        <v>3.9651978501987415</v>
      </c>
      <c r="L1079" s="14">
        <f t="shared" si="216"/>
        <v>709.86086873667637</v>
      </c>
      <c r="M1079" s="14">
        <f t="shared" si="210"/>
        <v>0.22622480136140216</v>
      </c>
      <c r="N1079" s="14">
        <f t="shared" si="217"/>
        <v>5.7891555070608813</v>
      </c>
      <c r="O1079" s="4">
        <v>3.51</v>
      </c>
      <c r="P1079" s="14">
        <f t="shared" si="220"/>
        <v>5.1945498253659439</v>
      </c>
      <c r="Q1079" s="14">
        <f t="shared" si="218"/>
        <v>9.1424532404463861</v>
      </c>
    </row>
    <row r="1080" spans="1:17" x14ac:dyDescent="0.25">
      <c r="A1080" s="5" t="s">
        <v>1137</v>
      </c>
      <c r="B1080" s="6">
        <f t="shared" si="219"/>
        <v>4</v>
      </c>
      <c r="C1080" s="58">
        <v>19.694162370000001</v>
      </c>
      <c r="D1080" s="4">
        <v>0</v>
      </c>
      <c r="E1080" s="12">
        <f t="shared" si="208"/>
        <v>0</v>
      </c>
      <c r="F1080" s="12">
        <f t="shared" si="209"/>
        <v>0</v>
      </c>
      <c r="G1080" s="16">
        <f t="shared" si="211"/>
        <v>3.7911825977544114</v>
      </c>
      <c r="H1080" s="14">
        <f t="shared" si="212"/>
        <v>0</v>
      </c>
      <c r="I1080" s="14">
        <f t="shared" si="213"/>
        <v>17.401996253851856</v>
      </c>
      <c r="J1080" s="14">
        <f t="shared" si="214"/>
        <v>1.2543102697644659</v>
      </c>
      <c r="K1080" s="14">
        <f t="shared" si="215"/>
        <v>3.6926207836475702</v>
      </c>
      <c r="L1080" s="14">
        <f t="shared" si="216"/>
        <v>709.90722100186622</v>
      </c>
      <c r="M1080" s="14">
        <f t="shared" si="210"/>
        <v>0.21578667363851597</v>
      </c>
      <c r="N1080" s="14">
        <f t="shared" si="217"/>
        <v>5.5220409191523006</v>
      </c>
      <c r="O1080" s="4">
        <v>3.42</v>
      </c>
      <c r="P1080" s="14">
        <f t="shared" si="220"/>
        <v>4.4185760257906486</v>
      </c>
      <c r="Q1080" s="14">
        <f t="shared" si="218"/>
        <v>9.6948100594119015</v>
      </c>
    </row>
    <row r="1081" spans="1:17" x14ac:dyDescent="0.25">
      <c r="A1081" s="5" t="s">
        <v>1138</v>
      </c>
      <c r="B1081" s="6">
        <f t="shared" si="219"/>
        <v>4</v>
      </c>
      <c r="C1081" s="58">
        <v>20.349250789999999</v>
      </c>
      <c r="D1081" s="4">
        <v>2.5</v>
      </c>
      <c r="E1081" s="12">
        <f t="shared" si="208"/>
        <v>0</v>
      </c>
      <c r="F1081" s="12">
        <f t="shared" si="209"/>
        <v>2.5</v>
      </c>
      <c r="G1081" s="16">
        <f t="shared" si="211"/>
        <v>5.068999941150957</v>
      </c>
      <c r="H1081" s="14">
        <f t="shared" si="212"/>
        <v>0.21008961459337919</v>
      </c>
      <c r="I1081" s="14">
        <f t="shared" si="213"/>
        <v>18.687165258328832</v>
      </c>
      <c r="J1081" s="14">
        <f t="shared" si="214"/>
        <v>1.0120930420100755</v>
      </c>
      <c r="K1081" s="14">
        <f t="shared" si="215"/>
        <v>3.6541117436525341</v>
      </c>
      <c r="L1081" s="14">
        <f t="shared" si="216"/>
        <v>709.94003298281621</v>
      </c>
      <c r="M1081" s="14">
        <f t="shared" si="210"/>
        <v>0.21431756709056093</v>
      </c>
      <c r="N1081" s="14">
        <f t="shared" si="217"/>
        <v>5.4844460745049792</v>
      </c>
      <c r="O1081" s="4">
        <v>3.16</v>
      </c>
      <c r="P1081" s="14">
        <f t="shared" si="220"/>
        <v>5.4030495532816065</v>
      </c>
      <c r="Q1081" s="14">
        <f t="shared" si="218"/>
        <v>11.381507536423392</v>
      </c>
    </row>
    <row r="1082" spans="1:17" x14ac:dyDescent="0.25">
      <c r="A1082" s="5" t="s">
        <v>1139</v>
      </c>
      <c r="B1082" s="6">
        <f t="shared" si="219"/>
        <v>4</v>
      </c>
      <c r="C1082" s="58">
        <v>20.509990689999999</v>
      </c>
      <c r="D1082" s="4">
        <v>0</v>
      </c>
      <c r="E1082" s="12">
        <f t="shared" si="208"/>
        <v>0</v>
      </c>
      <c r="F1082" s="12">
        <f t="shared" si="209"/>
        <v>0</v>
      </c>
      <c r="G1082" s="16">
        <f t="shared" si="211"/>
        <v>3.6929457405190007</v>
      </c>
      <c r="H1082" s="14">
        <f t="shared" si="212"/>
        <v>0</v>
      </c>
      <c r="I1082" s="14">
        <f t="shared" si="213"/>
        <v>19.00250885311063</v>
      </c>
      <c r="J1082" s="14">
        <f t="shared" si="214"/>
        <v>1.376054200631956</v>
      </c>
      <c r="K1082" s="14">
        <f t="shared" si="215"/>
        <v>3.4089007021049902</v>
      </c>
      <c r="L1082" s="14">
        <f t="shared" si="216"/>
        <v>709.97092645727309</v>
      </c>
      <c r="M1082" s="14">
        <f t="shared" si="210"/>
        <v>0.20492510963328359</v>
      </c>
      <c r="N1082" s="14">
        <f t="shared" si="217"/>
        <v>5.2440904791572915</v>
      </c>
      <c r="O1082" s="4">
        <v>3.22</v>
      </c>
      <c r="P1082" s="14">
        <f t="shared" si="220"/>
        <v>4.0969422678151934</v>
      </c>
      <c r="Q1082" s="14">
        <f t="shared" si="218"/>
        <v>10.980269657113048</v>
      </c>
    </row>
    <row r="1083" spans="1:17" x14ac:dyDescent="0.25">
      <c r="A1083" s="5" t="s">
        <v>1140</v>
      </c>
      <c r="B1083" s="6">
        <f t="shared" si="219"/>
        <v>4</v>
      </c>
      <c r="C1083" s="58">
        <v>15.446253779999999</v>
      </c>
      <c r="D1083" s="4">
        <v>0</v>
      </c>
      <c r="E1083" s="12">
        <f t="shared" si="208"/>
        <v>0</v>
      </c>
      <c r="F1083" s="12">
        <f t="shared" si="209"/>
        <v>0</v>
      </c>
      <c r="G1083" s="16">
        <f t="shared" si="211"/>
        <v>3.2145325734879235</v>
      </c>
      <c r="H1083" s="14">
        <f t="shared" si="212"/>
        <v>0</v>
      </c>
      <c r="I1083" s="14">
        <f t="shared" si="213"/>
        <v>9.0683419149162017</v>
      </c>
      <c r="J1083" s="14">
        <f t="shared" si="214"/>
        <v>0.478413167031077</v>
      </c>
      <c r="K1083" s="14">
        <f t="shared" si="215"/>
        <v>3.1852607026353379</v>
      </c>
      <c r="L1083" s="14">
        <f t="shared" si="216"/>
        <v>709.98964134710945</v>
      </c>
      <c r="M1083" s="14">
        <f t="shared" si="210"/>
        <v>0.19635689449985527</v>
      </c>
      <c r="N1083" s="14">
        <f t="shared" si="217"/>
        <v>5.0248274738331018</v>
      </c>
      <c r="O1083" s="4">
        <v>3.01</v>
      </c>
      <c r="P1083" s="14">
        <f t="shared" si="220"/>
        <v>4.059529749312679</v>
      </c>
      <c r="Q1083" s="14">
        <f t="shared" si="218"/>
        <v>12.416102234699256</v>
      </c>
    </row>
    <row r="1084" spans="1:17" x14ac:dyDescent="0.25">
      <c r="A1084" s="5" t="s">
        <v>1141</v>
      </c>
      <c r="B1084" s="6">
        <f t="shared" si="219"/>
        <v>4</v>
      </c>
      <c r="C1084" s="58">
        <v>17.525115970000002</v>
      </c>
      <c r="D1084" s="4">
        <v>0</v>
      </c>
      <c r="E1084" s="12">
        <f t="shared" si="208"/>
        <v>0</v>
      </c>
      <c r="F1084" s="12">
        <f t="shared" si="209"/>
        <v>0</v>
      </c>
      <c r="G1084" s="16">
        <f t="shared" si="211"/>
        <v>2.6108104361244804</v>
      </c>
      <c r="H1084" s="14">
        <f t="shared" si="212"/>
        <v>0</v>
      </c>
      <c r="I1084" s="14">
        <f t="shared" si="213"/>
        <v>13.146706254141023</v>
      </c>
      <c r="J1084" s="14">
        <f t="shared" si="214"/>
        <v>0.60372213736344327</v>
      </c>
      <c r="K1084" s="14">
        <f t="shared" si="215"/>
        <v>2.9812941559124058</v>
      </c>
      <c r="L1084" s="14">
        <f t="shared" si="216"/>
        <v>709.99725099933255</v>
      </c>
      <c r="M1084" s="14">
        <f t="shared" si="210"/>
        <v>0.18854041410052311</v>
      </c>
      <c r="N1084" s="14">
        <f t="shared" si="217"/>
        <v>4.8248015691696367</v>
      </c>
      <c r="O1084" s="4">
        <v>2.79</v>
      </c>
      <c r="P1084" s="14">
        <f t="shared" si="220"/>
        <v>4.1404174258952153</v>
      </c>
      <c r="Q1084" s="14">
        <f t="shared" si="218"/>
        <v>14.014907792170517</v>
      </c>
    </row>
    <row r="1085" spans="1:17" x14ac:dyDescent="0.25">
      <c r="A1085" s="5" t="s">
        <v>1142</v>
      </c>
      <c r="B1085" s="6">
        <f t="shared" si="219"/>
        <v>4</v>
      </c>
      <c r="C1085" s="58">
        <v>17.787425989999999</v>
      </c>
      <c r="D1085" s="4">
        <v>0</v>
      </c>
      <c r="E1085" s="12">
        <f t="shared" si="208"/>
        <v>0</v>
      </c>
      <c r="F1085" s="12">
        <f t="shared" si="209"/>
        <v>0</v>
      </c>
      <c r="G1085" s="16">
        <f t="shared" si="211"/>
        <v>2.1012800574617594</v>
      </c>
      <c r="H1085" s="14">
        <f t="shared" si="212"/>
        <v>0</v>
      </c>
      <c r="I1085" s="14">
        <f t="shared" si="213"/>
        <v>13.66131267516085</v>
      </c>
      <c r="J1085" s="14">
        <f t="shared" si="214"/>
        <v>0.50953037866272111</v>
      </c>
      <c r="K1085" s="14">
        <f t="shared" si="215"/>
        <v>2.7952704021977954</v>
      </c>
      <c r="L1085" s="14">
        <f t="shared" si="216"/>
        <v>709.99473433894661</v>
      </c>
      <c r="M1085" s="14">
        <f t="shared" si="210"/>
        <v>0.18140953928688638</v>
      </c>
      <c r="N1085" s="14">
        <f t="shared" si="217"/>
        <v>4.6423205018901132</v>
      </c>
      <c r="O1085" s="4">
        <v>2.66</v>
      </c>
      <c r="P1085" s="14">
        <f t="shared" si="220"/>
        <v>3.9295945722138699</v>
      </c>
      <c r="Q1085" s="14">
        <f t="shared" si="218"/>
        <v>15.005156530676262</v>
      </c>
    </row>
    <row r="1086" spans="1:17" x14ac:dyDescent="0.25">
      <c r="A1086" s="5" t="s">
        <v>1143</v>
      </c>
      <c r="B1086" s="6">
        <f t="shared" si="219"/>
        <v>4</v>
      </c>
      <c r="C1086" s="58">
        <v>17.630542760000001</v>
      </c>
      <c r="D1086" s="4">
        <v>0</v>
      </c>
      <c r="E1086" s="12">
        <f t="shared" si="208"/>
        <v>0</v>
      </c>
      <c r="F1086" s="12">
        <f t="shared" si="209"/>
        <v>0</v>
      </c>
      <c r="G1086" s="16">
        <f t="shared" si="211"/>
        <v>1.7004294880755328</v>
      </c>
      <c r="H1086" s="14">
        <f t="shared" si="212"/>
        <v>0</v>
      </c>
      <c r="I1086" s="14">
        <f t="shared" si="213"/>
        <v>13.353535192972675</v>
      </c>
      <c r="J1086" s="14">
        <f t="shared" si="214"/>
        <v>0.40085056938622649</v>
      </c>
      <c r="K1086" s="14">
        <f t="shared" si="215"/>
        <v>2.6256110266675465</v>
      </c>
      <c r="L1086" s="14">
        <f t="shared" si="216"/>
        <v>709.98298417518993</v>
      </c>
      <c r="M1086" s="14">
        <f t="shared" si="210"/>
        <v>0.17490395824491742</v>
      </c>
      <c r="N1086" s="14">
        <f t="shared" si="217"/>
        <v>4.4758408759202828</v>
      </c>
      <c r="O1086" s="4">
        <v>2.58</v>
      </c>
      <c r="P1086" s="14">
        <f t="shared" si="220"/>
        <v>3.5942126268101848</v>
      </c>
      <c r="Q1086" s="14">
        <f t="shared" si="218"/>
        <v>15.631340369756721</v>
      </c>
    </row>
    <row r="1087" spans="1:17" x14ac:dyDescent="0.25">
      <c r="A1087" s="5" t="s">
        <v>1144</v>
      </c>
      <c r="B1087" s="6">
        <f t="shared" si="219"/>
        <v>4</v>
      </c>
      <c r="C1087" s="58">
        <v>16.68989754</v>
      </c>
      <c r="D1087" s="4">
        <v>0</v>
      </c>
      <c r="E1087" s="12">
        <f t="shared" si="208"/>
        <v>0</v>
      </c>
      <c r="F1087" s="12">
        <f t="shared" si="209"/>
        <v>0</v>
      </c>
      <c r="G1087" s="16">
        <f t="shared" si="211"/>
        <v>1.4208749221013628</v>
      </c>
      <c r="H1087" s="14">
        <f t="shared" si="212"/>
        <v>0</v>
      </c>
      <c r="I1087" s="14">
        <f t="shared" si="213"/>
        <v>11.508153647450271</v>
      </c>
      <c r="J1087" s="14">
        <f t="shared" si="214"/>
        <v>0.27955456597416994</v>
      </c>
      <c r="K1087" s="14">
        <f t="shared" si="215"/>
        <v>2.4708764665345773</v>
      </c>
      <c r="L1087" s="14">
        <f t="shared" si="216"/>
        <v>709.96281477707794</v>
      </c>
      <c r="M1087" s="14">
        <f t="shared" si="210"/>
        <v>0.16896866474816685</v>
      </c>
      <c r="N1087" s="14">
        <f t="shared" si="217"/>
        <v>4.323955066645798</v>
      </c>
      <c r="O1087" s="4">
        <v>2.5099999999999998</v>
      </c>
      <c r="P1087" s="14">
        <f t="shared" si="220"/>
        <v>3.290432983809962</v>
      </c>
      <c r="Q1087" s="14">
        <f t="shared" si="218"/>
        <v>16.189751228952126</v>
      </c>
    </row>
    <row r="1088" spans="1:17" x14ac:dyDescent="0.25">
      <c r="A1088" s="5" t="s">
        <v>1145</v>
      </c>
      <c r="B1088" s="6">
        <f t="shared" si="219"/>
        <v>5</v>
      </c>
      <c r="C1088" s="58">
        <v>17.341241839999999</v>
      </c>
      <c r="D1088" s="4">
        <v>0</v>
      </c>
      <c r="E1088" s="12">
        <f t="shared" si="208"/>
        <v>0</v>
      </c>
      <c r="F1088" s="12">
        <f t="shared" si="209"/>
        <v>0</v>
      </c>
      <c r="G1088" s="16">
        <f t="shared" si="211"/>
        <v>1.1775214333530262</v>
      </c>
      <c r="H1088" s="14">
        <f t="shared" si="212"/>
        <v>0</v>
      </c>
      <c r="I1088" s="14">
        <f t="shared" si="213"/>
        <v>11.988902183462359</v>
      </c>
      <c r="J1088" s="14">
        <f t="shared" si="214"/>
        <v>0.24335348874833668</v>
      </c>
      <c r="K1088" s="14">
        <f t="shared" si="215"/>
        <v>2.3297537963331032</v>
      </c>
      <c r="L1088" s="14">
        <f t="shared" si="216"/>
        <v>709.93496878253131</v>
      </c>
      <c r="M1088" s="14">
        <f t="shared" si="210"/>
        <v>0.16355349142897288</v>
      </c>
      <c r="N1088" s="14">
        <f t="shared" si="217"/>
        <v>4.1853792771928129</v>
      </c>
      <c r="O1088" s="4">
        <v>2.48</v>
      </c>
      <c r="P1088" s="14">
        <f t="shared" si="220"/>
        <v>2.9083184790786811</v>
      </c>
      <c r="Q1088" s="14">
        <f t="shared" si="218"/>
        <v>16.4320701686073</v>
      </c>
    </row>
    <row r="1089" spans="1:17" x14ac:dyDescent="0.25">
      <c r="A1089" s="5" t="s">
        <v>1146</v>
      </c>
      <c r="B1089" s="6">
        <f t="shared" si="219"/>
        <v>5</v>
      </c>
      <c r="C1089" s="58">
        <v>18.365262990000002</v>
      </c>
      <c r="D1089" s="4">
        <v>0</v>
      </c>
      <c r="E1089" s="12">
        <f t="shared" si="208"/>
        <v>0</v>
      </c>
      <c r="F1089" s="12">
        <f t="shared" si="209"/>
        <v>0</v>
      </c>
      <c r="G1089" s="16">
        <f t="shared" si="211"/>
        <v>0.94303908497382838</v>
      </c>
      <c r="H1089" s="14">
        <f t="shared" si="212"/>
        <v>0</v>
      </c>
      <c r="I1089" s="14">
        <f t="shared" si="213"/>
        <v>13.9392376790125</v>
      </c>
      <c r="J1089" s="14">
        <f t="shared" si="214"/>
        <v>0.23448234837919785</v>
      </c>
      <c r="K1089" s="14">
        <f t="shared" si="215"/>
        <v>2.2010455877229522</v>
      </c>
      <c r="L1089" s="14">
        <f t="shared" si="216"/>
        <v>709.90012349971255</v>
      </c>
      <c r="M1089" s="14">
        <f t="shared" si="210"/>
        <v>0.15861268410747248</v>
      </c>
      <c r="N1089" s="14">
        <f t="shared" si="217"/>
        <v>4.0589426453891395</v>
      </c>
      <c r="O1089" s="4">
        <v>2.42</v>
      </c>
      <c r="P1089" s="14">
        <f t="shared" si="220"/>
        <v>2.6861329948751509</v>
      </c>
      <c r="Q1089" s="14">
        <f t="shared" si="218"/>
        <v>16.922108047917639</v>
      </c>
    </row>
    <row r="1090" spans="1:17" x14ac:dyDescent="0.25">
      <c r="A1090" s="5" t="s">
        <v>1147</v>
      </c>
      <c r="B1090" s="6">
        <f t="shared" si="219"/>
        <v>5</v>
      </c>
      <c r="C1090" s="58">
        <v>18.584329610000001</v>
      </c>
      <c r="D1090" s="4">
        <v>0</v>
      </c>
      <c r="E1090" s="12">
        <f t="shared" si="208"/>
        <v>0</v>
      </c>
      <c r="F1090" s="12">
        <f t="shared" si="209"/>
        <v>0</v>
      </c>
      <c r="G1090" s="16">
        <f t="shared" si="211"/>
        <v>0.74962876992754812</v>
      </c>
      <c r="H1090" s="14">
        <f t="shared" si="212"/>
        <v>0</v>
      </c>
      <c r="I1090" s="14">
        <f t="shared" si="213"/>
        <v>14.356468714598229</v>
      </c>
      <c r="J1090" s="14">
        <f t="shared" si="214"/>
        <v>0.19341031504628031</v>
      </c>
      <c r="K1090" s="14">
        <f t="shared" si="215"/>
        <v>2.083659749289029</v>
      </c>
      <c r="L1090" s="14">
        <f t="shared" si="216"/>
        <v>709.85889665403897</v>
      </c>
      <c r="M1090" s="14">
        <f t="shared" si="210"/>
        <v>0.1541045135665888</v>
      </c>
      <c r="N1090" s="14">
        <f t="shared" si="217"/>
        <v>3.9435773089783317</v>
      </c>
      <c r="O1090" s="4">
        <v>2.39</v>
      </c>
      <c r="P1090" s="14">
        <f t="shared" si="220"/>
        <v>2.4136024549723545</v>
      </c>
      <c r="Q1090" s="14">
        <f t="shared" si="218"/>
        <v>17.169826987572815</v>
      </c>
    </row>
    <row r="1091" spans="1:17" x14ac:dyDescent="0.25">
      <c r="A1091" s="5" t="s">
        <v>1148</v>
      </c>
      <c r="B1091" s="6">
        <f t="shared" si="219"/>
        <v>5</v>
      </c>
      <c r="C1091" s="58">
        <v>18.725763319999999</v>
      </c>
      <c r="D1091" s="4">
        <v>0</v>
      </c>
      <c r="E1091" s="12">
        <f t="shared" si="208"/>
        <v>0</v>
      </c>
      <c r="F1091" s="12">
        <f t="shared" si="209"/>
        <v>0</v>
      </c>
      <c r="G1091" s="16">
        <f t="shared" si="211"/>
        <v>0.59300076638949506</v>
      </c>
      <c r="H1091" s="14">
        <f t="shared" si="212"/>
        <v>0</v>
      </c>
      <c r="I1091" s="14">
        <f t="shared" si="213"/>
        <v>14.625841261132392</v>
      </c>
      <c r="J1091" s="14">
        <f t="shared" si="214"/>
        <v>0.15662800353805309</v>
      </c>
      <c r="K1091" s="14">
        <f t="shared" si="215"/>
        <v>1.9766002601264365</v>
      </c>
      <c r="L1091" s="14">
        <f t="shared" si="216"/>
        <v>709.81185162963504</v>
      </c>
      <c r="M1091" s="14">
        <f t="shared" si="210"/>
        <v>0.15088290302897936</v>
      </c>
      <c r="N1091" s="14">
        <f t="shared" si="217"/>
        <v>3.8611354004290894</v>
      </c>
      <c r="O1091" s="4">
        <v>2.38</v>
      </c>
      <c r="P1091" s="14">
        <f t="shared" si="220"/>
        <v>2.1937620744042392</v>
      </c>
      <c r="Q1091" s="14">
        <f t="shared" si="218"/>
        <v>17.252799967457868</v>
      </c>
    </row>
    <row r="1092" spans="1:17" x14ac:dyDescent="0.25">
      <c r="A1092" s="5" t="s">
        <v>1149</v>
      </c>
      <c r="B1092" s="6">
        <f t="shared" si="219"/>
        <v>5</v>
      </c>
      <c r="C1092" s="58">
        <v>18.50686073</v>
      </c>
      <c r="D1092" s="4">
        <v>0</v>
      </c>
      <c r="E1092" s="12">
        <f t="shared" si="208"/>
        <v>0</v>
      </c>
      <c r="F1092" s="12">
        <f t="shared" si="209"/>
        <v>0</v>
      </c>
      <c r="G1092" s="16">
        <f t="shared" si="211"/>
        <v>0.47263064044314512</v>
      </c>
      <c r="H1092" s="14">
        <f t="shared" si="212"/>
        <v>0</v>
      </c>
      <c r="I1092" s="14">
        <f t="shared" si="213"/>
        <v>14.208922634652014</v>
      </c>
      <c r="J1092" s="14">
        <f t="shared" si="214"/>
        <v>0.12037012594634994</v>
      </c>
      <c r="K1092" s="14">
        <f t="shared" si="215"/>
        <v>1.8780667370354902</v>
      </c>
      <c r="L1092" s="14">
        <f t="shared" si="216"/>
        <v>709.75950224969699</v>
      </c>
      <c r="M1092" s="14">
        <f t="shared" si="210"/>
        <v>0.15085101741243481</v>
      </c>
      <c r="N1092" s="14">
        <f t="shared" si="217"/>
        <v>3.8603194386445994</v>
      </c>
      <c r="O1092" s="4">
        <v>2.38</v>
      </c>
      <c r="P1092" s="14">
        <f t="shared" si="220"/>
        <v>2.1913456404290619</v>
      </c>
      <c r="Q1092" s="14">
        <f t="shared" si="218"/>
        <v>17.252799967457868</v>
      </c>
    </row>
    <row r="1093" spans="1:17" x14ac:dyDescent="0.25">
      <c r="A1093" s="5" t="s">
        <v>1150</v>
      </c>
      <c r="B1093" s="6">
        <f t="shared" si="219"/>
        <v>5</v>
      </c>
      <c r="C1093" s="58">
        <v>18.06886673</v>
      </c>
      <c r="D1093" s="4">
        <v>0</v>
      </c>
      <c r="E1093" s="12">
        <f t="shared" si="208"/>
        <v>0</v>
      </c>
      <c r="F1093" s="12">
        <f t="shared" si="209"/>
        <v>0</v>
      </c>
      <c r="G1093" s="16">
        <f t="shared" si="211"/>
        <v>0.38232620750772817</v>
      </c>
      <c r="H1093" s="14">
        <f t="shared" si="212"/>
        <v>0</v>
      </c>
      <c r="I1093" s="14">
        <f t="shared" si="213"/>
        <v>13.374725757919551</v>
      </c>
      <c r="J1093" s="14">
        <f t="shared" si="214"/>
        <v>9.0304432935416956E-2</v>
      </c>
      <c r="K1093" s="14">
        <f t="shared" si="215"/>
        <v>1.7844451100767911</v>
      </c>
      <c r="L1093" s="14">
        <f t="shared" si="216"/>
        <v>709.70227285924329</v>
      </c>
      <c r="M1093" s="14">
        <f t="shared" si="210"/>
        <v>0.15081913364310554</v>
      </c>
      <c r="N1093" s="14">
        <f t="shared" si="217"/>
        <v>3.8595035241308606</v>
      </c>
      <c r="O1093" s="4">
        <v>2.37</v>
      </c>
      <c r="P1093" s="14">
        <f t="shared" si="220"/>
        <v>2.2186207483982532</v>
      </c>
      <c r="Q1093" s="14">
        <f t="shared" si="218"/>
        <v>17.335972947342924</v>
      </c>
    </row>
    <row r="1094" spans="1:17" x14ac:dyDescent="0.25">
      <c r="A1094" s="5" t="s">
        <v>1151</v>
      </c>
      <c r="B1094" s="6">
        <f t="shared" si="219"/>
        <v>5</v>
      </c>
      <c r="C1094" s="58">
        <v>18.988555909999999</v>
      </c>
      <c r="D1094" s="4">
        <v>0</v>
      </c>
      <c r="E1094" s="12">
        <f t="shared" si="208"/>
        <v>0</v>
      </c>
      <c r="F1094" s="12">
        <f t="shared" si="209"/>
        <v>0</v>
      </c>
      <c r="G1094" s="16">
        <f t="shared" si="211"/>
        <v>0.2997089858823766</v>
      </c>
      <c r="H1094" s="14">
        <f t="shared" si="212"/>
        <v>0</v>
      </c>
      <c r="I1094" s="14">
        <f t="shared" si="213"/>
        <v>15.126352130702374</v>
      </c>
      <c r="J1094" s="14">
        <f t="shared" si="214"/>
        <v>8.2617221625351581E-2</v>
      </c>
      <c r="K1094" s="14">
        <f t="shared" si="215"/>
        <v>1.6954905212278395</v>
      </c>
      <c r="L1094" s="14">
        <f t="shared" si="216"/>
        <v>709.64040831444913</v>
      </c>
      <c r="M1094" s="14">
        <f t="shared" si="210"/>
        <v>0.15078725196545792</v>
      </c>
      <c r="N1094" s="14">
        <f t="shared" si="217"/>
        <v>3.8586876631438369</v>
      </c>
      <c r="O1094" s="4">
        <v>2.37</v>
      </c>
      <c r="P1094" s="14">
        <f t="shared" si="220"/>
        <v>2.2161909583966577</v>
      </c>
      <c r="Q1094" s="14">
        <f t="shared" si="218"/>
        <v>17.335972947342924</v>
      </c>
    </row>
    <row r="1095" spans="1:17" x14ac:dyDescent="0.25">
      <c r="A1095" s="5" t="s">
        <v>1152</v>
      </c>
      <c r="B1095" s="6">
        <f t="shared" si="219"/>
        <v>5</v>
      </c>
      <c r="C1095" s="58">
        <v>18.175510410000001</v>
      </c>
      <c r="D1095" s="4">
        <v>0</v>
      </c>
      <c r="E1095" s="12">
        <f t="shared" si="208"/>
        <v>0</v>
      </c>
      <c r="F1095" s="12">
        <f t="shared" si="209"/>
        <v>0</v>
      </c>
      <c r="G1095" s="16">
        <f t="shared" si="211"/>
        <v>0.24157465356018165</v>
      </c>
      <c r="H1095" s="14">
        <f t="shared" si="212"/>
        <v>0</v>
      </c>
      <c r="I1095" s="14">
        <f t="shared" si="213"/>
        <v>13.57783772926906</v>
      </c>
      <c r="J1095" s="14">
        <f t="shared" si="214"/>
        <v>5.8134332322194955E-2</v>
      </c>
      <c r="K1095" s="14">
        <f t="shared" si="215"/>
        <v>1.6109703186385727</v>
      </c>
      <c r="L1095" s="14">
        <f t="shared" si="216"/>
        <v>709.57414126507297</v>
      </c>
      <c r="M1095" s="14">
        <f t="shared" si="210"/>
        <v>0.15075537261170047</v>
      </c>
      <c r="N1095" s="14">
        <f t="shared" si="217"/>
        <v>3.857871861625807</v>
      </c>
      <c r="O1095" s="4">
        <v>2.48</v>
      </c>
      <c r="P1095" s="14">
        <f t="shared" si="220"/>
        <v>1.898530867060167</v>
      </c>
      <c r="Q1095" s="14">
        <f t="shared" si="218"/>
        <v>16.4320701686073</v>
      </c>
    </row>
    <row r="1096" spans="1:17" x14ac:dyDescent="0.25">
      <c r="A1096" s="5" t="s">
        <v>1153</v>
      </c>
      <c r="B1096" s="6">
        <f t="shared" si="219"/>
        <v>5</v>
      </c>
      <c r="C1096" s="58">
        <v>17.802713390000001</v>
      </c>
      <c r="D1096" s="4">
        <v>0</v>
      </c>
      <c r="E1096" s="12">
        <f t="shared" si="208"/>
        <v>0</v>
      </c>
      <c r="F1096" s="12">
        <f t="shared" si="209"/>
        <v>0</v>
      </c>
      <c r="G1096" s="16">
        <f t="shared" si="211"/>
        <v>0.1971669359543935</v>
      </c>
      <c r="H1096" s="14">
        <f t="shared" si="212"/>
        <v>0</v>
      </c>
      <c r="I1096" s="14">
        <f t="shared" si="213"/>
        <v>12.867814053741153</v>
      </c>
      <c r="J1096" s="14">
        <f t="shared" si="214"/>
        <v>4.4407717605788148E-2</v>
      </c>
      <c r="K1096" s="14">
        <f t="shared" si="215"/>
        <v>1.5306634481536678</v>
      </c>
      <c r="L1096" s="14">
        <f t="shared" si="216"/>
        <v>709.50369276294623</v>
      </c>
      <c r="M1096" s="14">
        <f t="shared" si="210"/>
        <v>0.15072349580239466</v>
      </c>
      <c r="N1096" s="14">
        <f t="shared" si="217"/>
        <v>3.8570561252210025</v>
      </c>
      <c r="O1096" s="4">
        <v>2.56</v>
      </c>
      <c r="P1096" s="14">
        <f t="shared" si="220"/>
        <v>1.6823545919733207</v>
      </c>
      <c r="Q1096" s="14">
        <f t="shared" si="218"/>
        <v>15.789886329526835</v>
      </c>
    </row>
    <row r="1097" spans="1:17" x14ac:dyDescent="0.25">
      <c r="A1097" s="5" t="s">
        <v>1154</v>
      </c>
      <c r="B1097" s="6">
        <f t="shared" si="219"/>
        <v>5</v>
      </c>
      <c r="C1097" s="58">
        <v>16.983587270000001</v>
      </c>
      <c r="D1097" s="4">
        <v>0</v>
      </c>
      <c r="E1097" s="12">
        <f t="shared" si="208"/>
        <v>0</v>
      </c>
      <c r="F1097" s="12">
        <f t="shared" si="209"/>
        <v>0</v>
      </c>
      <c r="G1097" s="16">
        <f t="shared" si="211"/>
        <v>0.16531679269470703</v>
      </c>
      <c r="H1097" s="14">
        <f t="shared" si="212"/>
        <v>0</v>
      </c>
      <c r="I1097" s="14">
        <f t="shared" si="213"/>
        <v>11.307718593634437</v>
      </c>
      <c r="J1097" s="14">
        <f t="shared" si="214"/>
        <v>3.1850143259686471E-2</v>
      </c>
      <c r="K1097" s="14">
        <f t="shared" si="215"/>
        <v>1.4543598751674591</v>
      </c>
      <c r="L1097" s="14">
        <f t="shared" si="216"/>
        <v>709.42927284013001</v>
      </c>
      <c r="M1097" s="14">
        <f t="shared" si="210"/>
        <v>0.15069162174703576</v>
      </c>
      <c r="N1097" s="14">
        <f t="shared" si="217"/>
        <v>3.856240459290464</v>
      </c>
      <c r="O1097" s="4">
        <v>2.4700000000000002</v>
      </c>
      <c r="P1097" s="14">
        <f t="shared" si="220"/>
        <v>1.9216626109738359</v>
      </c>
      <c r="Q1097" s="14">
        <f t="shared" si="218"/>
        <v>16.513243148492354</v>
      </c>
    </row>
    <row r="1098" spans="1:17" x14ac:dyDescent="0.25">
      <c r="A1098" s="5" t="s">
        <v>1155</v>
      </c>
      <c r="B1098" s="6">
        <f t="shared" si="219"/>
        <v>5</v>
      </c>
      <c r="C1098" s="58">
        <v>16.63551331</v>
      </c>
      <c r="D1098" s="4">
        <v>0</v>
      </c>
      <c r="E1098" s="12">
        <f t="shared" si="208"/>
        <v>0</v>
      </c>
      <c r="F1098" s="12">
        <f t="shared" si="209"/>
        <v>0</v>
      </c>
      <c r="G1098" s="16">
        <f t="shared" si="211"/>
        <v>0.14017732618901596</v>
      </c>
      <c r="H1098" s="14">
        <f t="shared" si="212"/>
        <v>0</v>
      </c>
      <c r="I1098" s="14">
        <f t="shared" si="213"/>
        <v>10.644782091527329</v>
      </c>
      <c r="J1098" s="14">
        <f t="shared" si="214"/>
        <v>2.5139466505691058E-2</v>
      </c>
      <c r="K1098" s="14">
        <f t="shared" si="215"/>
        <v>1.3818600352993857</v>
      </c>
      <c r="L1098" s="14">
        <f t="shared" si="216"/>
        <v>709.35108105825111</v>
      </c>
      <c r="M1098" s="14">
        <f t="shared" si="210"/>
        <v>0.15065975064460441</v>
      </c>
      <c r="N1098" s="14">
        <f t="shared" si="217"/>
        <v>3.855424868926161</v>
      </c>
      <c r="O1098" s="4">
        <v>2.41</v>
      </c>
      <c r="P1098" s="14">
        <f t="shared" si="220"/>
        <v>2.0892530517102093</v>
      </c>
      <c r="Q1098" s="14">
        <f t="shared" si="218"/>
        <v>17.004481027802694</v>
      </c>
    </row>
    <row r="1099" spans="1:17" x14ac:dyDescent="0.25">
      <c r="A1099" s="5" t="s">
        <v>1156</v>
      </c>
      <c r="B1099" s="6">
        <f t="shared" si="219"/>
        <v>5</v>
      </c>
      <c r="C1099" s="58">
        <v>14.496786119999999</v>
      </c>
      <c r="D1099" s="4">
        <v>0</v>
      </c>
      <c r="E1099" s="12">
        <f t="shared" si="208"/>
        <v>0</v>
      </c>
      <c r="F1099" s="12">
        <f t="shared" si="209"/>
        <v>0</v>
      </c>
      <c r="G1099" s="16">
        <f t="shared" si="211"/>
        <v>0.12701788069367201</v>
      </c>
      <c r="H1099" s="14">
        <f t="shared" si="212"/>
        <v>0</v>
      </c>
      <c r="I1099" s="14">
        <f t="shared" si="213"/>
        <v>6.571394003834806</v>
      </c>
      <c r="J1099" s="14">
        <f t="shared" si="214"/>
        <v>1.3159445495343945E-2</v>
      </c>
      <c r="K1099" s="14">
        <f t="shared" si="215"/>
        <v>1.3129743124532711</v>
      </c>
      <c r="L1099" s="14">
        <f t="shared" si="216"/>
        <v>709.26930703045264</v>
      </c>
      <c r="M1099" s="14">
        <f t="shared" si="210"/>
        <v>0.15062788268409066</v>
      </c>
      <c r="N1099" s="14">
        <f t="shared" si="217"/>
        <v>3.854609358964403</v>
      </c>
      <c r="O1099" s="4">
        <v>2.31</v>
      </c>
      <c r="P1099" s="14">
        <f t="shared" si="220"/>
        <v>2.3858180718004238</v>
      </c>
      <c r="Q1099" s="14">
        <f t="shared" si="218"/>
        <v>17.839210826653275</v>
      </c>
    </row>
    <row r="1100" spans="1:17" x14ac:dyDescent="0.25">
      <c r="A1100" s="5" t="s">
        <v>1157</v>
      </c>
      <c r="B1100" s="6">
        <f t="shared" si="219"/>
        <v>5</v>
      </c>
      <c r="C1100" s="58">
        <v>16.621774670000001</v>
      </c>
      <c r="D1100" s="4">
        <v>0</v>
      </c>
      <c r="E1100" s="12">
        <f t="shared" si="208"/>
        <v>0</v>
      </c>
      <c r="F1100" s="12">
        <f t="shared" si="209"/>
        <v>0</v>
      </c>
      <c r="G1100" s="16">
        <f t="shared" si="211"/>
        <v>0.10774994999433284</v>
      </c>
      <c r="H1100" s="14">
        <f t="shared" si="212"/>
        <v>0</v>
      </c>
      <c r="I1100" s="14">
        <f t="shared" si="213"/>
        <v>10.618615681534152</v>
      </c>
      <c r="J1100" s="14">
        <f t="shared" si="214"/>
        <v>1.9267930699339169E-2</v>
      </c>
      <c r="K1100" s="14">
        <f t="shared" si="215"/>
        <v>1.2475225428953443</v>
      </c>
      <c r="L1100" s="14">
        <f t="shared" si="216"/>
        <v>709.18413091732646</v>
      </c>
      <c r="M1100" s="14">
        <f t="shared" si="210"/>
        <v>0.15059601804499229</v>
      </c>
      <c r="N1100" s="14">
        <f t="shared" si="217"/>
        <v>3.8537939339985874</v>
      </c>
      <c r="O1100" s="4">
        <v>2.4900000000000002</v>
      </c>
      <c r="P1100" s="14">
        <f t="shared" si="220"/>
        <v>1.8599338944113428</v>
      </c>
      <c r="Q1100" s="14">
        <f t="shared" si="218"/>
        <v>16.351097188722235</v>
      </c>
    </row>
    <row r="1101" spans="1:17" x14ac:dyDescent="0.25">
      <c r="A1101" s="5" t="s">
        <v>1158</v>
      </c>
      <c r="B1101" s="6">
        <f t="shared" si="219"/>
        <v>5</v>
      </c>
      <c r="C1101" s="58">
        <v>16.141387940000001</v>
      </c>
      <c r="D1101" s="4">
        <v>0</v>
      </c>
      <c r="E1101" s="12">
        <f t="shared" si="208"/>
        <v>0</v>
      </c>
      <c r="F1101" s="12">
        <f t="shared" si="209"/>
        <v>0</v>
      </c>
      <c r="G1101" s="16">
        <f t="shared" si="211"/>
        <v>9.2813211573403803E-2</v>
      </c>
      <c r="H1101" s="14">
        <f t="shared" si="212"/>
        <v>0</v>
      </c>
      <c r="I1101" s="14">
        <f t="shared" si="213"/>
        <v>9.7036782399488324</v>
      </c>
      <c r="J1101" s="14">
        <f t="shared" si="214"/>
        <v>1.4936738420929034E-2</v>
      </c>
      <c r="K1101" s="14">
        <f t="shared" si="215"/>
        <v>1.1853335440539743</v>
      </c>
      <c r="L1101" s="14">
        <f t="shared" si="216"/>
        <v>709.09572389812286</v>
      </c>
      <c r="M1101" s="14">
        <f t="shared" si="210"/>
        <v>0.15056415689778774</v>
      </c>
      <c r="N1101" s="14">
        <f t="shared" si="217"/>
        <v>3.8529785983913043</v>
      </c>
      <c r="O1101" s="4">
        <v>2.42</v>
      </c>
      <c r="P1101" s="14">
        <f t="shared" si="220"/>
        <v>2.0534276634475073</v>
      </c>
      <c r="Q1101" s="14">
        <f t="shared" si="218"/>
        <v>16.922108047917639</v>
      </c>
    </row>
    <row r="1102" spans="1:17" x14ac:dyDescent="0.25">
      <c r="A1102" s="5" t="s">
        <v>1159</v>
      </c>
      <c r="B1102" s="6">
        <f t="shared" si="219"/>
        <v>5</v>
      </c>
      <c r="C1102" s="58">
        <v>16.10955238</v>
      </c>
      <c r="D1102" s="4">
        <v>0</v>
      </c>
      <c r="E1102" s="12">
        <f t="shared" si="208"/>
        <v>0</v>
      </c>
      <c r="F1102" s="12">
        <f t="shared" si="209"/>
        <v>0</v>
      </c>
      <c r="G1102" s="16">
        <f t="shared" si="211"/>
        <v>8.0027459128701045E-2</v>
      </c>
      <c r="H1102" s="14">
        <f t="shared" si="212"/>
        <v>0</v>
      </c>
      <c r="I1102" s="14">
        <f t="shared" si="213"/>
        <v>9.6430447045099221</v>
      </c>
      <c r="J1102" s="14">
        <f t="shared" si="214"/>
        <v>1.2785752444702762E-2</v>
      </c>
      <c r="K1102" s="14">
        <f t="shared" si="215"/>
        <v>1.1262446668087369</v>
      </c>
      <c r="L1102" s="14">
        <f t="shared" si="216"/>
        <v>709.00424861847034</v>
      </c>
      <c r="M1102" s="14">
        <f t="shared" si="210"/>
        <v>0.15053229940438595</v>
      </c>
      <c r="N1102" s="14">
        <f t="shared" si="217"/>
        <v>3.8521633562858484</v>
      </c>
      <c r="O1102" s="4">
        <v>2.35</v>
      </c>
      <c r="P1102" s="14">
        <f t="shared" si="220"/>
        <v>2.2564947489679645</v>
      </c>
      <c r="Q1102" s="14">
        <f t="shared" si="218"/>
        <v>17.502918907113035</v>
      </c>
    </row>
    <row r="1103" spans="1:17" x14ac:dyDescent="0.25">
      <c r="A1103" s="5" t="s">
        <v>1160</v>
      </c>
      <c r="B1103" s="6">
        <f t="shared" si="219"/>
        <v>5</v>
      </c>
      <c r="C1103" s="58">
        <v>16.9861927</v>
      </c>
      <c r="D1103" s="4">
        <v>0</v>
      </c>
      <c r="E1103" s="12">
        <f t="shared" si="208"/>
        <v>0</v>
      </c>
      <c r="F1103" s="12">
        <f t="shared" si="209"/>
        <v>0</v>
      </c>
      <c r="G1103" s="16">
        <f t="shared" si="211"/>
        <v>6.7094232899964037E-2</v>
      </c>
      <c r="H1103" s="14">
        <f t="shared" si="212"/>
        <v>0</v>
      </c>
      <c r="I1103" s="14">
        <f t="shared" si="213"/>
        <v>11.312680856972621</v>
      </c>
      <c r="J1103" s="14">
        <f t="shared" si="214"/>
        <v>1.2933226228737004E-2</v>
      </c>
      <c r="K1103" s="14">
        <f t="shared" si="215"/>
        <v>1.0701013700978708</v>
      </c>
      <c r="L1103" s="14">
        <f t="shared" si="216"/>
        <v>708.90985961577678</v>
      </c>
      <c r="M1103" s="14">
        <f t="shared" si="210"/>
        <v>0.15050044571855348</v>
      </c>
      <c r="N1103" s="14">
        <f t="shared" si="217"/>
        <v>3.8513482116171502</v>
      </c>
      <c r="O1103" s="4">
        <v>2.2999999999999998</v>
      </c>
      <c r="P1103" s="14">
        <f t="shared" si="220"/>
        <v>2.406681273687731</v>
      </c>
      <c r="Q1103" s="14">
        <f t="shared" si="218"/>
        <v>17.923783806538328</v>
      </c>
    </row>
    <row r="1104" spans="1:17" x14ac:dyDescent="0.25">
      <c r="A1104" s="5" t="s">
        <v>1161</v>
      </c>
      <c r="B1104" s="6">
        <f t="shared" si="219"/>
        <v>5</v>
      </c>
      <c r="C1104" s="58">
        <v>16.343902589999999</v>
      </c>
      <c r="D1104" s="4">
        <v>0</v>
      </c>
      <c r="E1104" s="12">
        <f t="shared" si="208"/>
        <v>0</v>
      </c>
      <c r="F1104" s="12">
        <f t="shared" si="209"/>
        <v>0</v>
      </c>
      <c r="G1104" s="16">
        <f t="shared" si="211"/>
        <v>5.7423660479328717E-2</v>
      </c>
      <c r="H1104" s="14">
        <f t="shared" si="212"/>
        <v>0</v>
      </c>
      <c r="I1104" s="14">
        <f t="shared" si="213"/>
        <v>10.089384638946457</v>
      </c>
      <c r="J1104" s="14">
        <f t="shared" si="214"/>
        <v>9.6705724206353188E-3</v>
      </c>
      <c r="K1104" s="14">
        <f t="shared" si="215"/>
        <v>1.0167568167315533</v>
      </c>
      <c r="L1104" s="14">
        <f t="shared" si="216"/>
        <v>708.81270372342453</v>
      </c>
      <c r="M1104" s="14">
        <f t="shared" si="210"/>
        <v>0.15046859598632031</v>
      </c>
      <c r="N1104" s="14">
        <f t="shared" si="217"/>
        <v>3.8505331681221548</v>
      </c>
      <c r="O1104" s="4">
        <v>2.17</v>
      </c>
      <c r="P1104" s="14">
        <f t="shared" si="220"/>
        <v>2.8241917291586871</v>
      </c>
      <c r="Q1104" s="14">
        <f t="shared" si="218"/>
        <v>19.041432545044074</v>
      </c>
    </row>
    <row r="1105" spans="1:17" x14ac:dyDescent="0.25">
      <c r="A1105" s="5" t="s">
        <v>1162</v>
      </c>
      <c r="B1105" s="6">
        <f t="shared" si="219"/>
        <v>5</v>
      </c>
      <c r="C1105" s="58">
        <v>17.290126799999999</v>
      </c>
      <c r="D1105" s="4">
        <v>0</v>
      </c>
      <c r="E1105" s="12">
        <f t="shared" si="208"/>
        <v>0</v>
      </c>
      <c r="F1105" s="12">
        <f t="shared" si="209"/>
        <v>0</v>
      </c>
      <c r="G1105" s="16">
        <f t="shared" si="211"/>
        <v>4.7668562802749517E-2</v>
      </c>
      <c r="H1105" s="14">
        <f t="shared" si="212"/>
        <v>0</v>
      </c>
      <c r="I1105" s="14">
        <f t="shared" si="213"/>
        <v>11.891549236339671</v>
      </c>
      <c r="J1105" s="14">
        <f t="shared" si="214"/>
        <v>9.7550976765791979E-3</v>
      </c>
      <c r="K1105" s="14">
        <f t="shared" si="215"/>
        <v>0.96607148935388354</v>
      </c>
      <c r="L1105" s="14">
        <f t="shared" si="216"/>
        <v>708.71292045481584</v>
      </c>
      <c r="M1105" s="14">
        <f t="shared" si="210"/>
        <v>0.15043675034636578</v>
      </c>
      <c r="N1105" s="14">
        <f t="shared" si="217"/>
        <v>3.8497182293497079</v>
      </c>
      <c r="O1105" s="4">
        <v>2.12</v>
      </c>
      <c r="P1105" s="14">
        <f t="shared" si="220"/>
        <v>2.9919251529446882</v>
      </c>
      <c r="Q1105" s="14">
        <f t="shared" si="218"/>
        <v>19.480297444469361</v>
      </c>
    </row>
    <row r="1106" spans="1:17" x14ac:dyDescent="0.25">
      <c r="A1106" s="5" t="s">
        <v>1163</v>
      </c>
      <c r="B1106" s="6">
        <f t="shared" si="219"/>
        <v>5</v>
      </c>
      <c r="C1106" s="58">
        <v>16.56527328</v>
      </c>
      <c r="D1106" s="4">
        <v>0</v>
      </c>
      <c r="E1106" s="12">
        <f t="shared" si="208"/>
        <v>0</v>
      </c>
      <c r="F1106" s="12">
        <f t="shared" si="209"/>
        <v>0</v>
      </c>
      <c r="G1106" s="16">
        <f t="shared" si="211"/>
        <v>4.0510779123020188E-2</v>
      </c>
      <c r="H1106" s="14">
        <f t="shared" si="212"/>
        <v>0</v>
      </c>
      <c r="I1106" s="14">
        <f t="shared" si="213"/>
        <v>10.511003972083696</v>
      </c>
      <c r="J1106" s="14">
        <f t="shared" si="214"/>
        <v>7.1577836797293293E-3</v>
      </c>
      <c r="K1106" s="14">
        <f t="shared" si="215"/>
        <v>0.9179128255491612</v>
      </c>
      <c r="L1106" s="14">
        <f t="shared" si="216"/>
        <v>708.61064236827417</v>
      </c>
      <c r="M1106" s="14">
        <f t="shared" si="210"/>
        <v>0.1504049089303848</v>
      </c>
      <c r="N1106" s="14">
        <f t="shared" si="217"/>
        <v>3.8489033986699166</v>
      </c>
      <c r="O1106" s="4">
        <v>2.08</v>
      </c>
      <c r="P1106" s="14">
        <f t="shared" si="220"/>
        <v>3.1290192338259817</v>
      </c>
      <c r="Q1106" s="14">
        <f t="shared" si="218"/>
        <v>19.834989364009591</v>
      </c>
    </row>
    <row r="1107" spans="1:17" x14ac:dyDescent="0.25">
      <c r="A1107" s="5" t="s">
        <v>1164</v>
      </c>
      <c r="B1107" s="6">
        <f t="shared" si="219"/>
        <v>5</v>
      </c>
      <c r="C1107" s="58">
        <v>17.519302369999998</v>
      </c>
      <c r="D1107" s="4">
        <v>0</v>
      </c>
      <c r="E1107" s="12">
        <f t="shared" si="208"/>
        <v>0</v>
      </c>
      <c r="F1107" s="12">
        <f t="shared" si="209"/>
        <v>0</v>
      </c>
      <c r="G1107" s="16">
        <f t="shared" si="211"/>
        <v>3.337622697106675E-2</v>
      </c>
      <c r="H1107" s="14">
        <f t="shared" si="212"/>
        <v>0</v>
      </c>
      <c r="I1107" s="14">
        <f t="shared" si="213"/>
        <v>12.328033628174676</v>
      </c>
      <c r="J1107" s="14">
        <f t="shared" si="214"/>
        <v>7.1345521519534418E-3</v>
      </c>
      <c r="K1107" s="14">
        <f t="shared" si="215"/>
        <v>0.87215487113811674</v>
      </c>
      <c r="L1107" s="14">
        <f t="shared" si="216"/>
        <v>708.50599541375482</v>
      </c>
      <c r="M1107" s="14">
        <f t="shared" si="210"/>
        <v>0.15037307186343618</v>
      </c>
      <c r="N1107" s="14">
        <f t="shared" si="217"/>
        <v>3.8480886792830717</v>
      </c>
      <c r="O1107" s="4">
        <v>2.09</v>
      </c>
      <c r="P1107" s="14">
        <f t="shared" si="220"/>
        <v>3.090875804223296</v>
      </c>
      <c r="Q1107" s="14">
        <f t="shared" si="218"/>
        <v>19.746016384124534</v>
      </c>
    </row>
    <row r="1108" spans="1:17" x14ac:dyDescent="0.25">
      <c r="A1108" s="5" t="s">
        <v>1165</v>
      </c>
      <c r="B1108" s="6">
        <f t="shared" si="219"/>
        <v>5</v>
      </c>
      <c r="C1108" s="58">
        <v>16.474153520000002</v>
      </c>
      <c r="D1108" s="4">
        <v>0</v>
      </c>
      <c r="E1108" s="12">
        <f t="shared" si="208"/>
        <v>0</v>
      </c>
      <c r="F1108" s="12">
        <f t="shared" si="209"/>
        <v>0</v>
      </c>
      <c r="G1108" s="16">
        <f t="shared" si="211"/>
        <v>2.8447289197996287E-2</v>
      </c>
      <c r="H1108" s="14">
        <f t="shared" si="212"/>
        <v>0</v>
      </c>
      <c r="I1108" s="14">
        <f t="shared" si="213"/>
        <v>10.337458628538784</v>
      </c>
      <c r="J1108" s="14">
        <f t="shared" si="214"/>
        <v>4.9289377730704631E-3</v>
      </c>
      <c r="K1108" s="14">
        <f t="shared" si="215"/>
        <v>0.8286779507573252</v>
      </c>
      <c r="L1108" s="14">
        <f t="shared" si="216"/>
        <v>708.39909926227222</v>
      </c>
      <c r="M1108" s="14">
        <f t="shared" si="210"/>
        <v>0.15034123926427337</v>
      </c>
      <c r="N1108" s="14">
        <f t="shared" si="217"/>
        <v>3.8472740742281073</v>
      </c>
      <c r="O1108" s="4">
        <v>2.02</v>
      </c>
      <c r="P1108" s="14">
        <f t="shared" si="220"/>
        <v>3.3389305423461866</v>
      </c>
      <c r="Q1108" s="14">
        <f t="shared" si="218"/>
        <v>20.373027243319932</v>
      </c>
    </row>
    <row r="1109" spans="1:17" x14ac:dyDescent="0.25">
      <c r="A1109" s="5" t="s">
        <v>1166</v>
      </c>
      <c r="B1109" s="6">
        <f t="shared" si="219"/>
        <v>5</v>
      </c>
      <c r="C1109" s="58">
        <v>17.257112500000002</v>
      </c>
      <c r="D1109" s="4">
        <v>0</v>
      </c>
      <c r="E1109" s="12">
        <f t="shared" si="208"/>
        <v>0</v>
      </c>
      <c r="F1109" s="12">
        <f t="shared" si="209"/>
        <v>0</v>
      </c>
      <c r="G1109" s="16">
        <f t="shared" si="211"/>
        <v>2.3640233659619665E-2</v>
      </c>
      <c r="H1109" s="14">
        <f t="shared" si="212"/>
        <v>0</v>
      </c>
      <c r="I1109" s="14">
        <f t="shared" si="213"/>
        <v>11.828670690178065</v>
      </c>
      <c r="J1109" s="14">
        <f t="shared" si="214"/>
        <v>4.8070555383766212E-3</v>
      </c>
      <c r="K1109" s="14">
        <f t="shared" si="215"/>
        <v>0.78736835486023571</v>
      </c>
      <c r="L1109" s="14">
        <f t="shared" si="216"/>
        <v>708.29006761890503</v>
      </c>
      <c r="M1109" s="14">
        <f t="shared" si="210"/>
        <v>0.15030941124565877</v>
      </c>
      <c r="N1109" s="14">
        <f t="shared" si="217"/>
        <v>3.846459586390643</v>
      </c>
      <c r="O1109" s="4">
        <v>2.02</v>
      </c>
      <c r="P1109" s="14">
        <f t="shared" si="220"/>
        <v>3.3359546207182786</v>
      </c>
      <c r="Q1109" s="14">
        <f t="shared" si="218"/>
        <v>20.373027243319932</v>
      </c>
    </row>
    <row r="1110" spans="1:17" x14ac:dyDescent="0.25">
      <c r="A1110" s="5" t="s">
        <v>1167</v>
      </c>
      <c r="B1110" s="6">
        <f t="shared" si="219"/>
        <v>5</v>
      </c>
      <c r="C1110" s="58">
        <v>17.964681630000001</v>
      </c>
      <c r="D1110" s="4">
        <v>0</v>
      </c>
      <c r="E1110" s="12">
        <f t="shared" si="208"/>
        <v>0</v>
      </c>
      <c r="F1110" s="12">
        <f t="shared" si="209"/>
        <v>0</v>
      </c>
      <c r="G1110" s="16">
        <f t="shared" si="211"/>
        <v>1.9190362569619566E-2</v>
      </c>
      <c r="H1110" s="14">
        <f t="shared" si="212"/>
        <v>0</v>
      </c>
      <c r="I1110" s="14">
        <f t="shared" si="213"/>
        <v>13.176296361576089</v>
      </c>
      <c r="J1110" s="14">
        <f t="shared" si="214"/>
        <v>4.4498710900000987E-3</v>
      </c>
      <c r="K1110" s="14">
        <f t="shared" si="215"/>
        <v>0.74811804232120016</v>
      </c>
      <c r="L1110" s="14">
        <f t="shared" si="216"/>
        <v>708.17900852019841</v>
      </c>
      <c r="M1110" s="14">
        <f t="shared" si="210"/>
        <v>0.15027758791466259</v>
      </c>
      <c r="N1110" s="14">
        <f t="shared" si="217"/>
        <v>3.8456452185106369</v>
      </c>
      <c r="O1110" s="4">
        <v>1.98</v>
      </c>
      <c r="P1110" s="14">
        <f t="shared" si="220"/>
        <v>3.4806320813516023</v>
      </c>
      <c r="Q1110" s="14">
        <f t="shared" si="218"/>
        <v>20.735719162860168</v>
      </c>
    </row>
    <row r="1111" spans="1:17" x14ac:dyDescent="0.25">
      <c r="A1111" s="5" t="s">
        <v>1168</v>
      </c>
      <c r="B1111" s="6">
        <f t="shared" si="219"/>
        <v>5</v>
      </c>
      <c r="C1111" s="58">
        <v>17.680545810000002</v>
      </c>
      <c r="D1111" s="4">
        <v>0</v>
      </c>
      <c r="E1111" s="12">
        <f t="shared" si="208"/>
        <v>0</v>
      </c>
      <c r="F1111" s="12">
        <f t="shared" si="209"/>
        <v>0</v>
      </c>
      <c r="G1111" s="16">
        <f t="shared" si="211"/>
        <v>1.5726462183485126E-2</v>
      </c>
      <c r="H1111" s="14">
        <f t="shared" si="212"/>
        <v>0</v>
      </c>
      <c r="I1111" s="14">
        <f t="shared" si="213"/>
        <v>12.63513549267876</v>
      </c>
      <c r="J1111" s="14">
        <f t="shared" si="214"/>
        <v>3.4639003861344398E-3</v>
      </c>
      <c r="K1111" s="14">
        <f t="shared" si="215"/>
        <v>0.71082435786469078</v>
      </c>
      <c r="L1111" s="14">
        <f t="shared" si="216"/>
        <v>708.06602461674026</v>
      </c>
      <c r="M1111" s="14">
        <f t="shared" si="210"/>
        <v>0.15024576937294642</v>
      </c>
      <c r="N1111" s="14">
        <f t="shared" si="217"/>
        <v>3.8448309731896364</v>
      </c>
      <c r="O1111" s="4">
        <v>1.96</v>
      </c>
      <c r="P1111" s="14">
        <f t="shared" si="220"/>
        <v>3.5525877974949922</v>
      </c>
      <c r="Q1111" s="14">
        <f t="shared" si="218"/>
        <v>20.918265122630277</v>
      </c>
    </row>
    <row r="1112" spans="1:17" x14ac:dyDescent="0.25">
      <c r="A1112" s="5" t="s">
        <v>1169</v>
      </c>
      <c r="B1112" s="6">
        <f t="shared" si="219"/>
        <v>5</v>
      </c>
      <c r="C1112" s="58">
        <v>18.03822899</v>
      </c>
      <c r="D1112" s="4">
        <v>0</v>
      </c>
      <c r="E1112" s="12">
        <f t="shared" si="208"/>
        <v>0</v>
      </c>
      <c r="F1112" s="12">
        <f t="shared" si="209"/>
        <v>0</v>
      </c>
      <c r="G1112" s="16">
        <f t="shared" si="211"/>
        <v>1.2734753404507124E-2</v>
      </c>
      <c r="H1112" s="14">
        <f t="shared" si="212"/>
        <v>0</v>
      </c>
      <c r="I1112" s="14">
        <f t="shared" si="213"/>
        <v>13.316373572688381</v>
      </c>
      <c r="J1112" s="14">
        <f t="shared" si="214"/>
        <v>2.9917087789780019E-3</v>
      </c>
      <c r="K1112" s="14">
        <f t="shared" si="215"/>
        <v>0.67538976358067127</v>
      </c>
      <c r="L1112" s="14">
        <f t="shared" si="216"/>
        <v>707.95121344165136</v>
      </c>
      <c r="M1112" s="14">
        <f t="shared" si="210"/>
        <v>0.15021395571703292</v>
      </c>
      <c r="N1112" s="14">
        <f t="shared" si="217"/>
        <v>3.844016852897683</v>
      </c>
      <c r="O1112" s="4">
        <v>1.9</v>
      </c>
      <c r="P1112" s="14">
        <f t="shared" si="220"/>
        <v>3.7792015243502122</v>
      </c>
      <c r="Q1112" s="14">
        <f t="shared" si="218"/>
        <v>21.470703001940628</v>
      </c>
    </row>
    <row r="1113" spans="1:17" x14ac:dyDescent="0.25">
      <c r="A1113" s="5" t="s">
        <v>1170</v>
      </c>
      <c r="B1113" s="6">
        <f t="shared" si="219"/>
        <v>5</v>
      </c>
      <c r="C1113" s="58">
        <v>17.936378479999998</v>
      </c>
      <c r="D1113" s="4">
        <v>0</v>
      </c>
      <c r="E1113" s="12">
        <f t="shared" si="208"/>
        <v>0</v>
      </c>
      <c r="F1113" s="12">
        <f t="shared" si="209"/>
        <v>0</v>
      </c>
      <c r="G1113" s="16">
        <f t="shared" si="211"/>
        <v>1.0347459928195617E-2</v>
      </c>
      <c r="H1113" s="14">
        <f t="shared" si="212"/>
        <v>0</v>
      </c>
      <c r="I1113" s="14">
        <f t="shared" si="213"/>
        <v>13.122390601835789</v>
      </c>
      <c r="J1113" s="14">
        <f t="shared" si="214"/>
        <v>2.3872934763115054E-3</v>
      </c>
      <c r="K1113" s="14">
        <f t="shared" si="215"/>
        <v>0.64172158382392674</v>
      </c>
      <c r="L1113" s="14">
        <f t="shared" si="216"/>
        <v>707.83466766569109</v>
      </c>
      <c r="M1113" s="14">
        <f t="shared" si="210"/>
        <v>0.15018214703856203</v>
      </c>
      <c r="N1113" s="14">
        <f t="shared" si="217"/>
        <v>3.8432028599798684</v>
      </c>
      <c r="O1113" s="4">
        <v>1.94</v>
      </c>
      <c r="P1113" s="14">
        <f t="shared" si="220"/>
        <v>3.6221811262355508</v>
      </c>
      <c r="Q1113" s="14">
        <f t="shared" si="218"/>
        <v>21.101611082400389</v>
      </c>
    </row>
    <row r="1114" spans="1:17" x14ac:dyDescent="0.25">
      <c r="A1114" s="5" t="s">
        <v>1171</v>
      </c>
      <c r="B1114" s="6">
        <f t="shared" si="219"/>
        <v>5</v>
      </c>
      <c r="C1114" s="58">
        <v>18.320047379999998</v>
      </c>
      <c r="D1114" s="4">
        <v>0</v>
      </c>
      <c r="E1114" s="12">
        <f t="shared" si="208"/>
        <v>0</v>
      </c>
      <c r="F1114" s="12">
        <f t="shared" si="209"/>
        <v>0</v>
      </c>
      <c r="G1114" s="16">
        <f t="shared" si="211"/>
        <v>8.2996781129269018E-3</v>
      </c>
      <c r="H1114" s="14">
        <f t="shared" si="212"/>
        <v>0</v>
      </c>
      <c r="I1114" s="14">
        <f t="shared" si="213"/>
        <v>13.85312069877634</v>
      </c>
      <c r="J1114" s="14">
        <f t="shared" si="214"/>
        <v>2.0477818152687148E-3</v>
      </c>
      <c r="K1114" s="14">
        <f t="shared" si="215"/>
        <v>0.60973176283016195</v>
      </c>
      <c r="L1114" s="14">
        <f t="shared" si="216"/>
        <v>707.71647533964631</v>
      </c>
      <c r="M1114" s="14">
        <f t="shared" si="210"/>
        <v>0.15015034342453443</v>
      </c>
      <c r="N1114" s="14">
        <f t="shared" si="217"/>
        <v>3.8423889966625651</v>
      </c>
      <c r="O1114" s="4">
        <v>1.91</v>
      </c>
      <c r="P1114" s="14">
        <f t="shared" si="220"/>
        <v>3.7341272344225551</v>
      </c>
      <c r="Q1114" s="14">
        <f t="shared" si="218"/>
        <v>21.378130022055565</v>
      </c>
    </row>
    <row r="1115" spans="1:17" x14ac:dyDescent="0.25">
      <c r="A1115" s="5" t="s">
        <v>1172</v>
      </c>
      <c r="B1115" s="6">
        <f t="shared" si="219"/>
        <v>5</v>
      </c>
      <c r="C1115" s="58">
        <v>16.959964750000001</v>
      </c>
      <c r="D1115" s="4">
        <v>0</v>
      </c>
      <c r="E1115" s="12">
        <f t="shared" ref="E1115:E1178" si="221">IF(C1115&gt;$C$9,MAX(E1114-$C$10*(C1115-$C$9),0),E1114+D1115)</f>
        <v>0</v>
      </c>
      <c r="F1115" s="12">
        <f t="shared" ref="F1115:F1178" si="222">IF(C1115&gt;$C$9,D1115+MIN(E1114,$C$10*(C1115-$C$9)),0)</f>
        <v>0</v>
      </c>
      <c r="G1115" s="16">
        <f t="shared" si="211"/>
        <v>6.9642911365328918E-3</v>
      </c>
      <c r="H1115" s="14">
        <f t="shared" si="212"/>
        <v>0</v>
      </c>
      <c r="I1115" s="14">
        <f t="shared" si="213"/>
        <v>11.262727492376087</v>
      </c>
      <c r="J1115" s="14">
        <f t="shared" si="214"/>
        <v>1.3353869763940095E-3</v>
      </c>
      <c r="K1115" s="14">
        <f t="shared" si="215"/>
        <v>0.57933663441493743</v>
      </c>
      <c r="L1115" s="14">
        <f t="shared" si="216"/>
        <v>707.59672012463693</v>
      </c>
      <c r="M1115" s="14">
        <f t="shared" si="210"/>
        <v>0.1501185449575427</v>
      </c>
      <c r="N1115" s="14">
        <f t="shared" si="217"/>
        <v>3.8415752650593391</v>
      </c>
      <c r="O1115" s="4">
        <v>1.86</v>
      </c>
      <c r="P1115" s="14">
        <f t="shared" si="220"/>
        <v>3.9266405310949897</v>
      </c>
      <c r="Q1115" s="14">
        <f t="shared" si="218"/>
        <v>21.842994921480848</v>
      </c>
    </row>
    <row r="1116" spans="1:17" x14ac:dyDescent="0.25">
      <c r="A1116" s="5" t="s">
        <v>1173</v>
      </c>
      <c r="B1116" s="6">
        <f t="shared" si="219"/>
        <v>5</v>
      </c>
      <c r="C1116" s="58">
        <v>17.502151489999999</v>
      </c>
      <c r="D1116" s="4">
        <v>0</v>
      </c>
      <c r="E1116" s="12">
        <f t="shared" si="221"/>
        <v>0</v>
      </c>
      <c r="F1116" s="12">
        <f t="shared" si="222"/>
        <v>0</v>
      </c>
      <c r="G1116" s="16">
        <f t="shared" si="211"/>
        <v>5.7410255117314977E-3</v>
      </c>
      <c r="H1116" s="14">
        <f t="shared" si="212"/>
        <v>0</v>
      </c>
      <c r="I1116" s="14">
        <f t="shared" si="213"/>
        <v>12.295368316482708</v>
      </c>
      <c r="J1116" s="14">
        <f t="shared" si="214"/>
        <v>1.2232656248013941E-3</v>
      </c>
      <c r="K1116" s="14">
        <f t="shared" si="215"/>
        <v>0.55045670315311312</v>
      </c>
      <c r="L1116" s="14">
        <f t="shared" si="216"/>
        <v>707.47548151094122</v>
      </c>
      <c r="M1116" s="14">
        <f t="shared" si="210"/>
        <v>0.15008675171599123</v>
      </c>
      <c r="N1116" s="14">
        <f t="shared" si="217"/>
        <v>3.8407616671765816</v>
      </c>
      <c r="O1116" s="4">
        <v>1.85</v>
      </c>
      <c r="P1116" s="14">
        <f t="shared" si="220"/>
        <v>3.9631320154996823</v>
      </c>
      <c r="Q1116" s="14">
        <f t="shared" si="218"/>
        <v>21.936567901365905</v>
      </c>
    </row>
    <row r="1117" spans="1:17" x14ac:dyDescent="0.25">
      <c r="A1117" s="5" t="s">
        <v>1174</v>
      </c>
      <c r="B1117" s="6">
        <f t="shared" si="219"/>
        <v>5</v>
      </c>
      <c r="C1117" s="58">
        <v>18.05812263</v>
      </c>
      <c r="D1117" s="4">
        <v>0</v>
      </c>
      <c r="E1117" s="12">
        <f t="shared" si="221"/>
        <v>0</v>
      </c>
      <c r="F1117" s="12">
        <f t="shared" si="222"/>
        <v>0</v>
      </c>
      <c r="G1117" s="16">
        <f t="shared" si="211"/>
        <v>4.645779443320109E-3</v>
      </c>
      <c r="H1117" s="14">
        <f t="shared" si="212"/>
        <v>0</v>
      </c>
      <c r="I1117" s="14">
        <f t="shared" si="213"/>
        <v>13.354262704399865</v>
      </c>
      <c r="J1117" s="14">
        <f t="shared" si="214"/>
        <v>1.0952460684113883E-3</v>
      </c>
      <c r="K1117" s="14">
        <f t="shared" si="215"/>
        <v>0.52301643646649731</v>
      </c>
      <c r="L1117" s="14">
        <f t="shared" si="216"/>
        <v>707.35283502591187</v>
      </c>
      <c r="M1117" s="14">
        <f t="shared" si="210"/>
        <v>0.15005496377430494</v>
      </c>
      <c r="N1117" s="14">
        <f t="shared" si="217"/>
        <v>3.8399482049188456</v>
      </c>
      <c r="O1117" s="4">
        <v>1.78</v>
      </c>
      <c r="P1117" s="14">
        <f t="shared" si="220"/>
        <v>4.2433866069483752</v>
      </c>
      <c r="Q1117" s="14">
        <f t="shared" si="218"/>
        <v>22.597178760561309</v>
      </c>
    </row>
    <row r="1118" spans="1:17" x14ac:dyDescent="0.25">
      <c r="A1118" s="5" t="s">
        <v>1175</v>
      </c>
      <c r="B1118" s="6">
        <f t="shared" si="219"/>
        <v>5</v>
      </c>
      <c r="C1118" s="58">
        <v>19.225448610000001</v>
      </c>
      <c r="D1118" s="4">
        <v>0</v>
      </c>
      <c r="E1118" s="12">
        <f t="shared" si="221"/>
        <v>0</v>
      </c>
      <c r="F1118" s="12">
        <f t="shared" si="222"/>
        <v>0</v>
      </c>
      <c r="G1118" s="16">
        <f t="shared" si="211"/>
        <v>3.6119244749542351E-3</v>
      </c>
      <c r="H1118" s="14">
        <f t="shared" si="212"/>
        <v>0</v>
      </c>
      <c r="I1118" s="14">
        <f t="shared" si="213"/>
        <v>15.577534453886532</v>
      </c>
      <c r="J1118" s="14">
        <f t="shared" si="214"/>
        <v>1.0338549683658739E-3</v>
      </c>
      <c r="K1118" s="14">
        <f t="shared" si="215"/>
        <v>0.49694406707592587</v>
      </c>
      <c r="L1118" s="14">
        <f t="shared" si="216"/>
        <v>707.22885243152814</v>
      </c>
      <c r="M1118" s="14">
        <f t="shared" si="210"/>
        <v>0.15002318120312758</v>
      </c>
      <c r="N1118" s="14">
        <f t="shared" si="217"/>
        <v>3.839134880093924</v>
      </c>
      <c r="O1118" s="4">
        <v>1.79</v>
      </c>
      <c r="P1118" s="14">
        <f t="shared" si="220"/>
        <v>4.1989537568175406</v>
      </c>
      <c r="Q1118" s="14">
        <f t="shared" si="218"/>
        <v>22.502205780676253</v>
      </c>
    </row>
    <row r="1119" spans="1:17" x14ac:dyDescent="0.25">
      <c r="A1119" s="5" t="s">
        <v>1176</v>
      </c>
      <c r="B1119" s="6">
        <f t="shared" si="219"/>
        <v>6</v>
      </c>
      <c r="C1119" s="58">
        <v>18.299043659999999</v>
      </c>
      <c r="D1119" s="4">
        <v>0</v>
      </c>
      <c r="E1119" s="12">
        <f t="shared" si="221"/>
        <v>0</v>
      </c>
      <c r="F1119" s="12">
        <f t="shared" si="222"/>
        <v>0</v>
      </c>
      <c r="G1119" s="16">
        <f t="shared" si="211"/>
        <v>2.9594682978204834E-3</v>
      </c>
      <c r="H1119" s="14">
        <f t="shared" si="212"/>
        <v>0</v>
      </c>
      <c r="I1119" s="14">
        <f t="shared" si="213"/>
        <v>12.644753741053306</v>
      </c>
      <c r="J1119" s="14">
        <f t="shared" si="214"/>
        <v>6.5245617713375172E-4</v>
      </c>
      <c r="K1119" s="14">
        <f t="shared" si="215"/>
        <v>0.47217140530110535</v>
      </c>
      <c r="L1119" s="14">
        <f t="shared" si="216"/>
        <v>707.10360191209986</v>
      </c>
      <c r="M1119" s="14">
        <f t="shared" ref="M1119:M1182" si="223">MAX(0,K1119-$F$9)*$F$8+K1119*$F$10+L1119*$F$11</f>
        <v>0.14999140406951039</v>
      </c>
      <c r="N1119" s="14">
        <f t="shared" si="217"/>
        <v>3.8383216944176786</v>
      </c>
      <c r="O1119" s="4">
        <v>1.75</v>
      </c>
      <c r="P1119" s="14">
        <f t="shared" si="220"/>
        <v>4.3610874993755244</v>
      </c>
      <c r="Q1119" s="14">
        <f t="shared" si="218"/>
        <v>22.883297700216485</v>
      </c>
    </row>
    <row r="1120" spans="1:17" x14ac:dyDescent="0.25">
      <c r="A1120" s="5" t="s">
        <v>1177</v>
      </c>
      <c r="B1120" s="6">
        <f t="shared" si="219"/>
        <v>6</v>
      </c>
      <c r="C1120" s="58">
        <v>15.803940770000001</v>
      </c>
      <c r="D1120" s="4">
        <v>0</v>
      </c>
      <c r="E1120" s="12">
        <f t="shared" si="221"/>
        <v>0</v>
      </c>
      <c r="F1120" s="12">
        <f t="shared" si="222"/>
        <v>0</v>
      </c>
      <c r="G1120" s="16">
        <f t="shared" ref="G1120:G1183" si="224">G1119+F1120-H1120-J1120</f>
        <v>2.6150317286063583E-3</v>
      </c>
      <c r="H1120" s="14">
        <f t="shared" ref="H1120:H1183" si="225">(F1120*(G1119/$C$11)^$C$12)</f>
        <v>0</v>
      </c>
      <c r="I1120" s="14">
        <f t="shared" ref="I1120:I1183" si="226">(1+$C$13*(C1120-INDEX($A$16:$A$27,B1120)))*INDEX($C$16:$C$27,B1120)</f>
        <v>8.1469162525943819</v>
      </c>
      <c r="J1120" s="14">
        <f t="shared" ref="J1120:J1183" si="227">IF(G1119&gt;$F$13,I1120,I1120*(G1119/$F$13))</f>
        <v>3.4443656921412505E-4</v>
      </c>
      <c r="K1120" s="14">
        <f t="shared" ref="K1120:K1183" si="228">K1119+H1120-MAX(0,K1119-$F$9)*$F$8-K1119*$F$10-K1119*$F$12</f>
        <v>0.4486336607173092</v>
      </c>
      <c r="L1120" s="14">
        <f t="shared" ref="L1120:L1183" si="229">L1119+K1119*$F$12-L1119*$F$11</f>
        <v>706.97714825261414</v>
      </c>
      <c r="M1120" s="14">
        <f t="shared" si="223"/>
        <v>0.14995963243709121</v>
      </c>
      <c r="N1120" s="14">
        <f t="shared" ref="N1120:N1183" si="230">M1120*$C$8*1000/(24*3600)</f>
        <v>3.8375086495186181</v>
      </c>
      <c r="O1120" s="4">
        <v>1.77</v>
      </c>
      <c r="P1120" s="14">
        <f t="shared" si="220"/>
        <v>4.2745920158343003</v>
      </c>
      <c r="Q1120" s="14">
        <f t="shared" ref="Q1120:Q1183" si="231">(O1120-$F$23)^2</f>
        <v>22.692351740446366</v>
      </c>
    </row>
    <row r="1121" spans="1:17" x14ac:dyDescent="0.25">
      <c r="A1121" s="5" t="s">
        <v>1178</v>
      </c>
      <c r="B1121" s="6">
        <f t="shared" ref="B1121:B1184" si="232">MONTH(A1121)</f>
        <v>6</v>
      </c>
      <c r="C1121" s="58">
        <v>18.27415276</v>
      </c>
      <c r="D1121" s="4">
        <v>0</v>
      </c>
      <c r="E1121" s="12">
        <f t="shared" si="221"/>
        <v>0</v>
      </c>
      <c r="F1121" s="12">
        <f t="shared" si="222"/>
        <v>0</v>
      </c>
      <c r="G1121" s="16">
        <f t="shared" si="224"/>
        <v>2.1443299798458893E-3</v>
      </c>
      <c r="H1121" s="14">
        <f t="shared" si="225"/>
        <v>0</v>
      </c>
      <c r="I1121" s="14">
        <f t="shared" si="226"/>
        <v>12.599883758500612</v>
      </c>
      <c r="J1121" s="14">
        <f t="shared" si="227"/>
        <v>4.7070174876046896E-4</v>
      </c>
      <c r="K1121" s="14">
        <f t="shared" si="228"/>
        <v>0.42626927270248766</v>
      </c>
      <c r="L1121" s="14">
        <f t="shared" si="229"/>
        <v>706.84955300819183</v>
      </c>
      <c r="M1121" s="14">
        <f t="shared" si="223"/>
        <v>0.14992786636626446</v>
      </c>
      <c r="N1121" s="14">
        <f t="shared" si="230"/>
        <v>3.8366957469422536</v>
      </c>
      <c r="O1121" s="4">
        <v>1.74</v>
      </c>
      <c r="P1121" s="14">
        <f t="shared" ref="P1121:P1184" si="233">(O1121-N1121)^2</f>
        <v>4.3961330552457341</v>
      </c>
      <c r="Q1121" s="14">
        <f t="shared" si="231"/>
        <v>22.97907068010154</v>
      </c>
    </row>
    <row r="1122" spans="1:17" x14ac:dyDescent="0.25">
      <c r="A1122" s="5" t="s">
        <v>1179</v>
      </c>
      <c r="B1122" s="6">
        <f t="shared" si="232"/>
        <v>6</v>
      </c>
      <c r="C1122" s="58">
        <v>18.082386020000001</v>
      </c>
      <c r="D1122" s="4">
        <v>0</v>
      </c>
      <c r="E1122" s="12">
        <f t="shared" si="221"/>
        <v>0</v>
      </c>
      <c r="F1122" s="12">
        <f t="shared" si="222"/>
        <v>0</v>
      </c>
      <c r="G1122" s="16">
        <f t="shared" si="224"/>
        <v>1.7689435047737703E-3</v>
      </c>
      <c r="H1122" s="14">
        <f t="shared" si="225"/>
        <v>0</v>
      </c>
      <c r="I1122" s="14">
        <f t="shared" si="226"/>
        <v>12.254192350074744</v>
      </c>
      <c r="J1122" s="14">
        <f t="shared" si="227"/>
        <v>3.7538647507211903E-4</v>
      </c>
      <c r="K1122" s="14">
        <f t="shared" si="228"/>
        <v>0.40501974943160396</v>
      </c>
      <c r="L1122" s="14">
        <f t="shared" si="229"/>
        <v>706.7208746650964</v>
      </c>
      <c r="M1122" s="14">
        <f t="shared" si="223"/>
        <v>0.14989610591434302</v>
      </c>
      <c r="N1122" s="14">
        <f t="shared" si="230"/>
        <v>3.8358829881552361</v>
      </c>
      <c r="O1122" s="4">
        <v>1.71</v>
      </c>
      <c r="P1122" s="14">
        <f t="shared" si="233"/>
        <v>4.5193784793278358</v>
      </c>
      <c r="Q1122" s="14">
        <f t="shared" si="231"/>
        <v>23.267589619756713</v>
      </c>
    </row>
    <row r="1123" spans="1:17" x14ac:dyDescent="0.25">
      <c r="A1123" s="5" t="s">
        <v>1180</v>
      </c>
      <c r="B1123" s="6">
        <f t="shared" si="232"/>
        <v>6</v>
      </c>
      <c r="C1123" s="58">
        <v>19.825710300000001</v>
      </c>
      <c r="D1123" s="4">
        <v>0</v>
      </c>
      <c r="E1123" s="12">
        <f t="shared" si="221"/>
        <v>0</v>
      </c>
      <c r="F1123" s="12">
        <f t="shared" si="222"/>
        <v>0</v>
      </c>
      <c r="G1123" s="16">
        <f t="shared" si="224"/>
        <v>1.3798558791199124E-3</v>
      </c>
      <c r="H1123" s="14">
        <f t="shared" si="225"/>
        <v>0</v>
      </c>
      <c r="I1123" s="14">
        <f t="shared" si="226"/>
        <v>15.396823995667789</v>
      </c>
      <c r="J1123" s="14">
        <f t="shared" si="227"/>
        <v>3.8908762565385797E-4</v>
      </c>
      <c r="K1123" s="14">
        <f t="shared" si="228"/>
        <v>0.38482951489710304</v>
      </c>
      <c r="L1123" s="14">
        <f t="shared" si="229"/>
        <v>706.59116879371652</v>
      </c>
      <c r="M1123" s="14">
        <f t="shared" si="223"/>
        <v>0.14986435113571181</v>
      </c>
      <c r="N1123" s="14">
        <f t="shared" si="230"/>
        <v>3.835070374549292</v>
      </c>
      <c r="O1123" s="4">
        <v>1.72</v>
      </c>
      <c r="P1123" s="14">
        <f t="shared" si="233"/>
        <v>4.4735226892960833</v>
      </c>
      <c r="Q1123" s="14">
        <f t="shared" si="231"/>
        <v>23.171216639871659</v>
      </c>
    </row>
    <row r="1124" spans="1:17" x14ac:dyDescent="0.25">
      <c r="A1124" s="5" t="s">
        <v>1181</v>
      </c>
      <c r="B1124" s="6">
        <f t="shared" si="232"/>
        <v>6</v>
      </c>
      <c r="C1124" s="58">
        <v>21.020336149999999</v>
      </c>
      <c r="D1124" s="4">
        <v>0</v>
      </c>
      <c r="E1124" s="12">
        <f t="shared" si="221"/>
        <v>0</v>
      </c>
      <c r="F1124" s="12">
        <f t="shared" si="222"/>
        <v>0</v>
      </c>
      <c r="G1124" s="16">
        <f t="shared" si="224"/>
        <v>1.0338994039468764E-3</v>
      </c>
      <c r="H1124" s="14">
        <f t="shared" si="225"/>
        <v>0</v>
      </c>
      <c r="I1124" s="14">
        <f t="shared" si="226"/>
        <v>17.550335562003276</v>
      </c>
      <c r="J1124" s="14">
        <f t="shared" si="227"/>
        <v>3.4595647517303603E-4</v>
      </c>
      <c r="K1124" s="14">
        <f t="shared" si="228"/>
        <v>0.36564576355540995</v>
      </c>
      <c r="L1124" s="14">
        <f t="shared" si="229"/>
        <v>706.46048819392252</v>
      </c>
      <c r="M1124" s="14">
        <f t="shared" si="223"/>
        <v>0.1498326020819738</v>
      </c>
      <c r="N1124" s="14">
        <f t="shared" si="230"/>
        <v>3.8342579074449543</v>
      </c>
      <c r="O1124" s="4">
        <v>1.71</v>
      </c>
      <c r="P1124" s="14">
        <f t="shared" si="233"/>
        <v>4.5124716573424166</v>
      </c>
      <c r="Q1124" s="14">
        <f t="shared" si="231"/>
        <v>23.267589619756713</v>
      </c>
    </row>
    <row r="1125" spans="1:17" x14ac:dyDescent="0.25">
      <c r="A1125" s="5" t="s">
        <v>1182</v>
      </c>
      <c r="B1125" s="6">
        <f t="shared" si="232"/>
        <v>6</v>
      </c>
      <c r="C1125" s="58">
        <v>20.359756470000001</v>
      </c>
      <c r="D1125" s="4">
        <v>0</v>
      </c>
      <c r="E1125" s="12">
        <f t="shared" si="221"/>
        <v>0</v>
      </c>
      <c r="F1125" s="12">
        <f t="shared" si="222"/>
        <v>0</v>
      </c>
      <c r="G1125" s="16">
        <f t="shared" si="224"/>
        <v>7.9226907610768999E-4</v>
      </c>
      <c r="H1125" s="14">
        <f t="shared" si="225"/>
        <v>0</v>
      </c>
      <c r="I1125" s="14">
        <f t="shared" si="226"/>
        <v>16.359530941990919</v>
      </c>
      <c r="J1125" s="14">
        <f t="shared" si="227"/>
        <v>2.4163032783918638E-4</v>
      </c>
      <c r="K1125" s="14">
        <f t="shared" si="228"/>
        <v>0.3474183222193003</v>
      </c>
      <c r="L1125" s="14">
        <f t="shared" si="229"/>
        <v>706.32888303317657</v>
      </c>
      <c r="M1125" s="14">
        <f t="shared" si="223"/>
        <v>0.14980085880208854</v>
      </c>
      <c r="N1125" s="14">
        <f t="shared" si="230"/>
        <v>3.8334455880951128</v>
      </c>
      <c r="O1125" s="4">
        <v>1.74</v>
      </c>
      <c r="P1125" s="14">
        <f t="shared" si="233"/>
        <v>4.3825144303148935</v>
      </c>
      <c r="Q1125" s="14">
        <f t="shared" si="231"/>
        <v>22.97907068010154</v>
      </c>
    </row>
    <row r="1126" spans="1:17" x14ac:dyDescent="0.25">
      <c r="A1126" s="5" t="s">
        <v>1183</v>
      </c>
      <c r="B1126" s="6">
        <f t="shared" si="232"/>
        <v>6</v>
      </c>
      <c r="C1126" s="58">
        <v>20.186216349999999</v>
      </c>
      <c r="D1126" s="4">
        <v>0</v>
      </c>
      <c r="E1126" s="12">
        <f t="shared" si="221"/>
        <v>0</v>
      </c>
      <c r="F1126" s="12">
        <f t="shared" si="222"/>
        <v>0</v>
      </c>
      <c r="G1126" s="16">
        <f t="shared" si="224"/>
        <v>6.1065034301974229E-4</v>
      </c>
      <c r="H1126" s="14">
        <f t="shared" si="225"/>
        <v>0</v>
      </c>
      <c r="I1126" s="14">
        <f t="shared" si="226"/>
        <v>16.046696044233386</v>
      </c>
      <c r="J1126" s="14">
        <f t="shared" si="227"/>
        <v>1.8161873308794764E-4</v>
      </c>
      <c r="K1126" s="14">
        <f t="shared" si="228"/>
        <v>0.33009951883493588</v>
      </c>
      <c r="L1126" s="14">
        <f t="shared" si="229"/>
        <v>706.1964009777588</v>
      </c>
      <c r="M1126" s="14">
        <f t="shared" si="223"/>
        <v>0.14976912134250414</v>
      </c>
      <c r="N1126" s="14">
        <f t="shared" si="230"/>
        <v>3.8326334176883869</v>
      </c>
      <c r="O1126" s="4">
        <v>1.71</v>
      </c>
      <c r="P1126" s="14">
        <f t="shared" si="233"/>
        <v>4.5055726258874822</v>
      </c>
      <c r="Q1126" s="14">
        <f t="shared" si="231"/>
        <v>23.267589619756713</v>
      </c>
    </row>
    <row r="1127" spans="1:17" x14ac:dyDescent="0.25">
      <c r="A1127" s="5" t="s">
        <v>1184</v>
      </c>
      <c r="B1127" s="6">
        <f t="shared" si="232"/>
        <v>6</v>
      </c>
      <c r="C1127" s="58">
        <v>19.758998869999999</v>
      </c>
      <c r="D1127" s="4">
        <v>0</v>
      </c>
      <c r="E1127" s="12">
        <f t="shared" si="221"/>
        <v>0</v>
      </c>
      <c r="F1127" s="12">
        <f t="shared" si="222"/>
        <v>0</v>
      </c>
      <c r="G1127" s="16">
        <f t="shared" si="224"/>
        <v>4.7738394969665569E-4</v>
      </c>
      <c r="H1127" s="14">
        <f t="shared" si="225"/>
        <v>0</v>
      </c>
      <c r="I1127" s="14">
        <f t="shared" si="226"/>
        <v>15.276565559847251</v>
      </c>
      <c r="J1127" s="14">
        <f t="shared" si="227"/>
        <v>1.3326639332308663E-4</v>
      </c>
      <c r="K1127" s="14">
        <f t="shared" si="228"/>
        <v>0.31364405780036542</v>
      </c>
      <c r="L1127" s="14">
        <f t="shared" si="229"/>
        <v>706.06308731745082</v>
      </c>
      <c r="M1127" s="14">
        <f t="shared" si="223"/>
        <v>0.14973738974728251</v>
      </c>
      <c r="N1127" s="14">
        <f t="shared" si="230"/>
        <v>3.8318213973523334</v>
      </c>
      <c r="O1127" s="4">
        <v>1.75</v>
      </c>
      <c r="P1127" s="14">
        <f t="shared" si="233"/>
        <v>4.3339803304740219</v>
      </c>
      <c r="Q1127" s="14">
        <f t="shared" si="231"/>
        <v>22.883297700216485</v>
      </c>
    </row>
    <row r="1128" spans="1:17" x14ac:dyDescent="0.25">
      <c r="A1128" s="5" t="s">
        <v>1185</v>
      </c>
      <c r="B1128" s="6">
        <f t="shared" si="232"/>
        <v>6</v>
      </c>
      <c r="C1128" s="58">
        <v>18.19618225</v>
      </c>
      <c r="D1128" s="4">
        <v>0</v>
      </c>
      <c r="E1128" s="12">
        <f t="shared" si="221"/>
        <v>0</v>
      </c>
      <c r="F1128" s="12">
        <f t="shared" si="222"/>
        <v>0</v>
      </c>
      <c r="G1128" s="16">
        <f t="shared" si="224"/>
        <v>3.9241411436943303E-4</v>
      </c>
      <c r="H1128" s="14">
        <f t="shared" si="225"/>
        <v>0</v>
      </c>
      <c r="I1128" s="14">
        <f t="shared" si="226"/>
        <v>12.459328960428831</v>
      </c>
      <c r="J1128" s="14">
        <f t="shared" si="227"/>
        <v>8.4969835327222641E-5</v>
      </c>
      <c r="K1128" s="14">
        <f t="shared" si="228"/>
        <v>0.29800890149939763</v>
      </c>
      <c r="L1128" s="14">
        <f t="shared" si="229"/>
        <v>705.92898508400447</v>
      </c>
      <c r="M1128" s="14">
        <f t="shared" si="223"/>
        <v>0.14970566405821806</v>
      </c>
      <c r="N1128" s="14">
        <f t="shared" si="230"/>
        <v>3.8310095281564829</v>
      </c>
      <c r="O1128" s="4">
        <v>1.74</v>
      </c>
      <c r="P1128" s="14">
        <f t="shared" si="233"/>
        <v>4.3723208468411965</v>
      </c>
      <c r="Q1128" s="14">
        <f t="shared" si="231"/>
        <v>22.97907068010154</v>
      </c>
    </row>
    <row r="1129" spans="1:17" x14ac:dyDescent="0.25">
      <c r="A1129" s="5" t="s">
        <v>1186</v>
      </c>
      <c r="B1129" s="6">
        <f t="shared" si="232"/>
        <v>6</v>
      </c>
      <c r="C1129" s="58">
        <v>18.1445446</v>
      </c>
      <c r="D1129" s="4">
        <v>0</v>
      </c>
      <c r="E1129" s="12">
        <f t="shared" si="221"/>
        <v>0</v>
      </c>
      <c r="F1129" s="12">
        <f t="shared" si="222"/>
        <v>0</v>
      </c>
      <c r="G1129" s="16">
        <f t="shared" si="224"/>
        <v>3.2308993698758679E-4</v>
      </c>
      <c r="H1129" s="14">
        <f t="shared" si="225"/>
        <v>0</v>
      </c>
      <c r="I1129" s="14">
        <f t="shared" si="226"/>
        <v>12.366243517372848</v>
      </c>
      <c r="J1129" s="14">
        <f t="shared" si="227"/>
        <v>6.9324177381846234E-5</v>
      </c>
      <c r="K1129" s="14">
        <f t="shared" si="228"/>
        <v>0.28315315774101113</v>
      </c>
      <c r="L1129" s="14">
        <f t="shared" si="229"/>
        <v>705.7941351637046</v>
      </c>
      <c r="M1129" s="14">
        <f t="shared" si="223"/>
        <v>0.14967394431495101</v>
      </c>
      <c r="N1129" s="14">
        <f t="shared" si="230"/>
        <v>3.830197811115239</v>
      </c>
      <c r="O1129" s="4">
        <v>1.54</v>
      </c>
      <c r="P1129" s="14">
        <f t="shared" si="233"/>
        <v>5.245006014037032</v>
      </c>
      <c r="Q1129" s="14">
        <f t="shared" si="231"/>
        <v>24.936530277802689</v>
      </c>
    </row>
    <row r="1130" spans="1:17" x14ac:dyDescent="0.25">
      <c r="A1130" s="5" t="s">
        <v>1187</v>
      </c>
      <c r="B1130" s="6">
        <f t="shared" si="232"/>
        <v>6</v>
      </c>
      <c r="C1130" s="58">
        <v>18.839420319999999</v>
      </c>
      <c r="D1130" s="4">
        <v>0</v>
      </c>
      <c r="E1130" s="12">
        <f t="shared" si="221"/>
        <v>0</v>
      </c>
      <c r="F1130" s="12">
        <f t="shared" si="222"/>
        <v>0</v>
      </c>
      <c r="G1130" s="16">
        <f t="shared" si="224"/>
        <v>2.6023101992812782E-4</v>
      </c>
      <c r="H1130" s="14">
        <f t="shared" si="225"/>
        <v>0</v>
      </c>
      <c r="I1130" s="14">
        <f t="shared" si="226"/>
        <v>13.618872447330874</v>
      </c>
      <c r="J1130" s="14">
        <f t="shared" si="227"/>
        <v>6.2858917059458943E-5</v>
      </c>
      <c r="K1130" s="14">
        <f t="shared" si="228"/>
        <v>0.26903797280990943</v>
      </c>
      <c r="L1130" s="14">
        <f t="shared" si="229"/>
        <v>705.65857640432068</v>
      </c>
      <c r="M1130" s="14">
        <f t="shared" si="223"/>
        <v>0.14964223055507467</v>
      </c>
      <c r="N1130" s="14">
        <f t="shared" si="230"/>
        <v>3.8293862471906257</v>
      </c>
      <c r="O1130" s="4">
        <v>1.55</v>
      </c>
      <c r="P1130" s="14">
        <f t="shared" si="233"/>
        <v>5.1956016638817646</v>
      </c>
      <c r="Q1130" s="14">
        <f t="shared" si="231"/>
        <v>24.836757297917632</v>
      </c>
    </row>
    <row r="1131" spans="1:17" x14ac:dyDescent="0.25">
      <c r="A1131" s="5" t="s">
        <v>1188</v>
      </c>
      <c r="B1131" s="6">
        <f t="shared" si="232"/>
        <v>6</v>
      </c>
      <c r="C1131" s="58">
        <v>17.5938549</v>
      </c>
      <c r="D1131" s="4">
        <v>0</v>
      </c>
      <c r="E1131" s="12">
        <f t="shared" si="221"/>
        <v>0</v>
      </c>
      <c r="F1131" s="12">
        <f t="shared" si="222"/>
        <v>0</v>
      </c>
      <c r="G1131" s="16">
        <f t="shared" si="224"/>
        <v>2.1794889560925986E-4</v>
      </c>
      <c r="H1131" s="14">
        <f t="shared" si="225"/>
        <v>0</v>
      </c>
      <c r="I1131" s="14">
        <f t="shared" si="226"/>
        <v>11.373533843116407</v>
      </c>
      <c r="J1131" s="14">
        <f t="shared" si="227"/>
        <v>4.228212431886795E-5</v>
      </c>
      <c r="K1131" s="14">
        <f t="shared" si="228"/>
        <v>0.25562642984850614</v>
      </c>
      <c r="L1131" s="14">
        <f t="shared" si="229"/>
        <v>705.52234571672705</v>
      </c>
      <c r="M1131" s="14">
        <f t="shared" si="223"/>
        <v>0.14961052281423759</v>
      </c>
      <c r="N1131" s="14">
        <f t="shared" si="230"/>
        <v>3.8285748372948993</v>
      </c>
      <c r="O1131" s="4">
        <v>1.58</v>
      </c>
      <c r="P1131" s="14">
        <f t="shared" si="233"/>
        <v>5.0560887989157823</v>
      </c>
      <c r="Q1131" s="14">
        <f t="shared" si="231"/>
        <v>24.538638358262457</v>
      </c>
    </row>
    <row r="1132" spans="1:17" x14ac:dyDescent="0.25">
      <c r="A1132" s="5" t="s">
        <v>1189</v>
      </c>
      <c r="B1132" s="6">
        <f t="shared" si="232"/>
        <v>6</v>
      </c>
      <c r="C1132" s="58">
        <v>16.580049509999998</v>
      </c>
      <c r="D1132" s="4">
        <v>0</v>
      </c>
      <c r="E1132" s="12">
        <f t="shared" si="221"/>
        <v>0</v>
      </c>
      <c r="F1132" s="12">
        <f t="shared" si="222"/>
        <v>0</v>
      </c>
      <c r="G1132" s="16">
        <f t="shared" si="224"/>
        <v>1.8822692790196677E-4</v>
      </c>
      <c r="H1132" s="14">
        <f t="shared" si="225"/>
        <v>0</v>
      </c>
      <c r="I1132" s="14">
        <f t="shared" si="226"/>
        <v>9.5459811969232362</v>
      </c>
      <c r="J1132" s="14">
        <f t="shared" si="227"/>
        <v>2.9721967707293084E-5</v>
      </c>
      <c r="K1132" s="14">
        <f t="shared" si="228"/>
        <v>0.24288345230456776</v>
      </c>
      <c r="L1132" s="14">
        <f t="shared" si="229"/>
        <v>705.38547817145673</v>
      </c>
      <c r="M1132" s="14">
        <f t="shared" si="223"/>
        <v>0.14957882112624038</v>
      </c>
      <c r="N1132" s="14">
        <f t="shared" si="230"/>
        <v>3.8277635822930267</v>
      </c>
      <c r="O1132" s="4">
        <v>1.51</v>
      </c>
      <c r="P1132" s="14">
        <f t="shared" si="233"/>
        <v>5.3720280234038027</v>
      </c>
      <c r="Q1132" s="14">
        <f t="shared" si="231"/>
        <v>25.237049217457862</v>
      </c>
    </row>
    <row r="1133" spans="1:17" x14ac:dyDescent="0.25">
      <c r="A1133" s="5" t="s">
        <v>1190</v>
      </c>
      <c r="B1133" s="6">
        <f t="shared" si="232"/>
        <v>6</v>
      </c>
      <c r="C1133" s="58">
        <v>17.215801240000001</v>
      </c>
      <c r="D1133" s="4">
        <v>0</v>
      </c>
      <c r="E1133" s="12">
        <f t="shared" si="221"/>
        <v>0</v>
      </c>
      <c r="F1133" s="12">
        <f t="shared" si="222"/>
        <v>0</v>
      </c>
      <c r="G1133" s="16">
        <f t="shared" si="224"/>
        <v>1.5947650710638653E-4</v>
      </c>
      <c r="H1133" s="14">
        <f t="shared" si="225"/>
        <v>0</v>
      </c>
      <c r="I1133" s="14">
        <f t="shared" si="226"/>
        <v>10.692029312216242</v>
      </c>
      <c r="J1133" s="14">
        <f t="shared" si="227"/>
        <v>2.8750420795580236E-5</v>
      </c>
      <c r="K1133" s="14">
        <f t="shared" si="228"/>
        <v>0.23077571219199181</v>
      </c>
      <c r="L1133" s="14">
        <f t="shared" si="229"/>
        <v>705.24800709044302</v>
      </c>
      <c r="M1133" s="14">
        <f t="shared" si="223"/>
        <v>0.14954712552312791</v>
      </c>
      <c r="N1133" s="14">
        <f t="shared" si="230"/>
        <v>3.8269524830050439</v>
      </c>
      <c r="O1133" s="4">
        <v>1.51</v>
      </c>
      <c r="P1133" s="14">
        <f t="shared" si="233"/>
        <v>5.3682688085032373</v>
      </c>
      <c r="Q1133" s="14">
        <f t="shared" si="231"/>
        <v>25.237049217457862</v>
      </c>
    </row>
    <row r="1134" spans="1:17" x14ac:dyDescent="0.25">
      <c r="A1134" s="5" t="s">
        <v>1191</v>
      </c>
      <c r="B1134" s="6">
        <f t="shared" si="232"/>
        <v>6</v>
      </c>
      <c r="C1134" s="58">
        <v>15.634323119999999</v>
      </c>
      <c r="D1134" s="4">
        <v>0</v>
      </c>
      <c r="E1134" s="12">
        <f t="shared" si="221"/>
        <v>0</v>
      </c>
      <c r="F1134" s="12">
        <f t="shared" si="222"/>
        <v>0</v>
      </c>
      <c r="G1134" s="16">
        <f t="shared" si="224"/>
        <v>1.4161249876743162E-4</v>
      </c>
      <c r="H1134" s="14">
        <f t="shared" si="225"/>
        <v>0</v>
      </c>
      <c r="I1134" s="14">
        <f t="shared" si="226"/>
        <v>7.8411522586797622</v>
      </c>
      <c r="J1134" s="14">
        <f t="shared" si="227"/>
        <v>1.7864008338954914E-5</v>
      </c>
      <c r="K1134" s="14">
        <f t="shared" si="228"/>
        <v>0.21927154292478515</v>
      </c>
      <c r="L1134" s="14">
        <f t="shared" si="229"/>
        <v>705.10996413418718</v>
      </c>
      <c r="M1134" s="14">
        <f t="shared" si="223"/>
        <v>0.14951543603527695</v>
      </c>
      <c r="N1134" s="14">
        <f t="shared" si="230"/>
        <v>3.8261415402083023</v>
      </c>
      <c r="O1134" s="4">
        <v>1.54</v>
      </c>
      <c r="P1134" s="14">
        <f t="shared" si="233"/>
        <v>5.2264431418659889</v>
      </c>
      <c r="Q1134" s="14">
        <f t="shared" si="231"/>
        <v>24.936530277802689</v>
      </c>
    </row>
    <row r="1135" spans="1:17" x14ac:dyDescent="0.25">
      <c r="A1135" s="5" t="s">
        <v>1192</v>
      </c>
      <c r="B1135" s="6">
        <f t="shared" si="232"/>
        <v>6</v>
      </c>
      <c r="C1135" s="58">
        <v>15.35177803</v>
      </c>
      <c r="D1135" s="4">
        <v>0</v>
      </c>
      <c r="E1135" s="12">
        <f t="shared" si="221"/>
        <v>0</v>
      </c>
      <c r="F1135" s="12">
        <f t="shared" si="222"/>
        <v>0</v>
      </c>
      <c r="G1135" s="16">
        <f t="shared" si="224"/>
        <v>1.2677995767322372E-4</v>
      </c>
      <c r="H1135" s="14">
        <f t="shared" si="225"/>
        <v>0</v>
      </c>
      <c r="I1135" s="14">
        <f t="shared" si="226"/>
        <v>7.3318177927243333</v>
      </c>
      <c r="J1135" s="14">
        <f t="shared" si="227"/>
        <v>1.4832541094207903E-5</v>
      </c>
      <c r="K1135" s="14">
        <f t="shared" si="228"/>
        <v>0.20834085649626838</v>
      </c>
      <c r="L1135" s="14">
        <f t="shared" si="229"/>
        <v>704.97137938458047</v>
      </c>
      <c r="M1135" s="14">
        <f t="shared" si="223"/>
        <v>0.14948375269147915</v>
      </c>
      <c r="N1135" s="14">
        <f t="shared" si="230"/>
        <v>3.8253307546395874</v>
      </c>
      <c r="O1135" s="4">
        <v>1.47</v>
      </c>
      <c r="P1135" s="14">
        <f t="shared" si="233"/>
        <v>5.5475829637510889</v>
      </c>
      <c r="Q1135" s="14">
        <f t="shared" si="231"/>
        <v>25.640541136998092</v>
      </c>
    </row>
    <row r="1136" spans="1:17" x14ac:dyDescent="0.25">
      <c r="A1136" s="5" t="s">
        <v>1193</v>
      </c>
      <c r="B1136" s="6">
        <f t="shared" si="232"/>
        <v>6</v>
      </c>
      <c r="C1136" s="58">
        <v>16.98264885</v>
      </c>
      <c r="D1136" s="4">
        <v>0</v>
      </c>
      <c r="E1136" s="12">
        <f t="shared" si="221"/>
        <v>0</v>
      </c>
      <c r="F1136" s="12">
        <f t="shared" si="222"/>
        <v>0</v>
      </c>
      <c r="G1136" s="16">
        <f t="shared" si="224"/>
        <v>1.0817637229395565E-4</v>
      </c>
      <c r="H1136" s="14">
        <f t="shared" si="225"/>
        <v>0</v>
      </c>
      <c r="I1136" s="14">
        <f t="shared" si="226"/>
        <v>10.271733393972243</v>
      </c>
      <c r="J1136" s="14">
        <f t="shared" si="227"/>
        <v>1.860358537926807E-5</v>
      </c>
      <c r="K1136" s="14">
        <f t="shared" si="228"/>
        <v>0.19795506478689692</v>
      </c>
      <c r="L1136" s="14">
        <f t="shared" si="229"/>
        <v>704.83228142359826</v>
      </c>
      <c r="M1136" s="14">
        <f t="shared" si="223"/>
        <v>0.14945207551902023</v>
      </c>
      <c r="N1136" s="14">
        <f t="shared" si="230"/>
        <v>3.8245201269971498</v>
      </c>
      <c r="O1136" s="4">
        <v>1.44</v>
      </c>
      <c r="P1136" s="14">
        <f t="shared" si="233"/>
        <v>5.6859362360545038</v>
      </c>
      <c r="Q1136" s="14">
        <f t="shared" si="231"/>
        <v>25.945260076653259</v>
      </c>
    </row>
    <row r="1137" spans="1:17" x14ac:dyDescent="0.25">
      <c r="A1137" s="5" t="s">
        <v>1194</v>
      </c>
      <c r="B1137" s="6">
        <f t="shared" si="232"/>
        <v>6</v>
      </c>
      <c r="C1137" s="58">
        <v>15.012638089999999</v>
      </c>
      <c r="D1137" s="4">
        <v>0</v>
      </c>
      <c r="E1137" s="12">
        <f t="shared" si="221"/>
        <v>0</v>
      </c>
      <c r="F1137" s="12">
        <f t="shared" si="222"/>
        <v>0</v>
      </c>
      <c r="G1137" s="16">
        <f t="shared" si="224"/>
        <v>9.779071865534595E-5</v>
      </c>
      <c r="H1137" s="14">
        <f t="shared" si="225"/>
        <v>0</v>
      </c>
      <c r="I1137" s="14">
        <f t="shared" si="226"/>
        <v>6.7204617071379316</v>
      </c>
      <c r="J1137" s="14">
        <f t="shared" si="227"/>
        <v>1.0385653638609702E-5</v>
      </c>
      <c r="K1137" s="14">
        <f t="shared" si="228"/>
        <v>0.1880870047948873</v>
      </c>
      <c r="L1137" s="14">
        <f t="shared" si="229"/>
        <v>704.69269740807124</v>
      </c>
      <c r="M1137" s="14">
        <f t="shared" si="223"/>
        <v>0.14942040454375499</v>
      </c>
      <c r="N1137" s="14">
        <f t="shared" si="230"/>
        <v>3.8237096579426186</v>
      </c>
      <c r="O1137" s="4">
        <v>1.48</v>
      </c>
      <c r="P1137" s="14">
        <f t="shared" si="233"/>
        <v>5.4929749607335063</v>
      </c>
      <c r="Q1137" s="14">
        <f t="shared" si="231"/>
        <v>25.539368157113039</v>
      </c>
    </row>
    <row r="1138" spans="1:17" x14ac:dyDescent="0.25">
      <c r="A1138" s="5" t="s">
        <v>1195</v>
      </c>
      <c r="B1138" s="6">
        <f t="shared" si="232"/>
        <v>6</v>
      </c>
      <c r="C1138" s="58">
        <v>16.058750150000002</v>
      </c>
      <c r="D1138" s="4">
        <v>0</v>
      </c>
      <c r="E1138" s="12">
        <f t="shared" si="221"/>
        <v>0</v>
      </c>
      <c r="F1138" s="12">
        <f t="shared" si="222"/>
        <v>0</v>
      </c>
      <c r="G1138" s="16">
        <f t="shared" si="224"/>
        <v>8.576768585683375E-5</v>
      </c>
      <c r="H1138" s="14">
        <f t="shared" si="225"/>
        <v>0</v>
      </c>
      <c r="I1138" s="14">
        <f t="shared" si="226"/>
        <v>8.6062524933435487</v>
      </c>
      <c r="J1138" s="14">
        <f t="shared" si="227"/>
        <v>1.2023032798512204E-5</v>
      </c>
      <c r="K1138" s="14">
        <f t="shared" si="228"/>
        <v>0.17871086759409663</v>
      </c>
      <c r="L1138" s="14">
        <f t="shared" si="229"/>
        <v>704.55265314072835</v>
      </c>
      <c r="M1138" s="14">
        <f t="shared" si="223"/>
        <v>0.14938873979017869</v>
      </c>
      <c r="N1138" s="14">
        <f t="shared" si="230"/>
        <v>3.8228993481028368</v>
      </c>
      <c r="O1138" s="4">
        <v>1.51</v>
      </c>
      <c r="P1138" s="14">
        <f t="shared" si="233"/>
        <v>5.3495033944545289</v>
      </c>
      <c r="Q1138" s="14">
        <f t="shared" si="231"/>
        <v>25.237049217457862</v>
      </c>
    </row>
    <row r="1139" spans="1:17" x14ac:dyDescent="0.25">
      <c r="A1139" s="5" t="s">
        <v>1196</v>
      </c>
      <c r="B1139" s="6">
        <f t="shared" si="232"/>
        <v>6</v>
      </c>
      <c r="C1139" s="58">
        <v>17.942399980000001</v>
      </c>
      <c r="D1139" s="4">
        <v>0</v>
      </c>
      <c r="E1139" s="12">
        <f t="shared" si="221"/>
        <v>0</v>
      </c>
      <c r="F1139" s="12">
        <f t="shared" si="222"/>
        <v>0</v>
      </c>
      <c r="G1139" s="16">
        <f t="shared" si="224"/>
        <v>7.1062382440744117E-5</v>
      </c>
      <c r="H1139" s="14">
        <f t="shared" si="225"/>
        <v>0</v>
      </c>
      <c r="I1139" s="14">
        <f t="shared" si="226"/>
        <v>12.001844256095778</v>
      </c>
      <c r="J1139" s="14">
        <f t="shared" si="227"/>
        <v>1.4705303416089629E-5</v>
      </c>
      <c r="K1139" s="14">
        <f t="shared" si="228"/>
        <v>0.16980213083335191</v>
      </c>
      <c r="L1139" s="14">
        <f t="shared" si="229"/>
        <v>704.41217313769891</v>
      </c>
      <c r="M1139" s="14">
        <f t="shared" si="223"/>
        <v>0.14935708128149477</v>
      </c>
      <c r="N1139" s="14">
        <f t="shared" si="230"/>
        <v>3.822089198071585</v>
      </c>
      <c r="O1139" s="4">
        <v>1.48</v>
      </c>
      <c r="P1139" s="14">
        <f t="shared" si="233"/>
        <v>5.4853818117235997</v>
      </c>
      <c r="Q1139" s="14">
        <f t="shared" si="231"/>
        <v>25.539368157113039</v>
      </c>
    </row>
    <row r="1140" spans="1:17" x14ac:dyDescent="0.25">
      <c r="A1140" s="5" t="s">
        <v>1197</v>
      </c>
      <c r="B1140" s="6">
        <f t="shared" si="232"/>
        <v>6</v>
      </c>
      <c r="C1140" s="58">
        <v>16.56002617</v>
      </c>
      <c r="D1140" s="4">
        <v>0</v>
      </c>
      <c r="E1140" s="12">
        <f t="shared" si="221"/>
        <v>0</v>
      </c>
      <c r="F1140" s="12">
        <f t="shared" si="222"/>
        <v>0</v>
      </c>
      <c r="G1140" s="16">
        <f t="shared" si="224"/>
        <v>6.1408158334721303E-5</v>
      </c>
      <c r="H1140" s="14">
        <f t="shared" si="225"/>
        <v>0</v>
      </c>
      <c r="I1140" s="14">
        <f t="shared" si="226"/>
        <v>9.5098857999529933</v>
      </c>
      <c r="J1140" s="14">
        <f t="shared" si="227"/>
        <v>9.6542241060228146E-6</v>
      </c>
      <c r="K1140" s="14">
        <f t="shared" si="228"/>
        <v>0.16133749460068758</v>
      </c>
      <c r="L1140" s="14">
        <f t="shared" si="229"/>
        <v>704.27128069265018</v>
      </c>
      <c r="M1140" s="14">
        <f t="shared" si="223"/>
        <v>0.14932542903967944</v>
      </c>
      <c r="N1140" s="14">
        <f t="shared" si="230"/>
        <v>3.8212792084112417</v>
      </c>
      <c r="O1140" s="4">
        <v>1.48</v>
      </c>
      <c r="P1140" s="14">
        <f t="shared" si="233"/>
        <v>5.481588331738771</v>
      </c>
      <c r="Q1140" s="14">
        <f t="shared" si="231"/>
        <v>25.539368157113039</v>
      </c>
    </row>
    <row r="1141" spans="1:17" x14ac:dyDescent="0.25">
      <c r="A1141" s="5" t="s">
        <v>1198</v>
      </c>
      <c r="B1141" s="6">
        <f t="shared" si="232"/>
        <v>6</v>
      </c>
      <c r="C1141" s="58">
        <v>17.806426999999999</v>
      </c>
      <c r="D1141" s="4">
        <v>0</v>
      </c>
      <c r="E1141" s="12">
        <f t="shared" si="221"/>
        <v>0</v>
      </c>
      <c r="F1141" s="12">
        <f t="shared" si="222"/>
        <v>0</v>
      </c>
      <c r="G1141" s="16">
        <f t="shared" si="224"/>
        <v>5.1094447719789901E-5</v>
      </c>
      <c r="H1141" s="14">
        <f t="shared" si="225"/>
        <v>0</v>
      </c>
      <c r="I1141" s="14">
        <f t="shared" si="226"/>
        <v>11.75673036948508</v>
      </c>
      <c r="J1141" s="14">
        <f t="shared" si="227"/>
        <v>1.0313710614931401E-5</v>
      </c>
      <c r="K1141" s="14">
        <f t="shared" si="228"/>
        <v>0.15329482048475104</v>
      </c>
      <c r="L1141" s="14">
        <f t="shared" si="229"/>
        <v>704.12999793772644</v>
      </c>
      <c r="M1141" s="14">
        <f t="shared" si="223"/>
        <v>0.1492937830855425</v>
      </c>
      <c r="N1141" s="14">
        <f t="shared" si="230"/>
        <v>3.8204693796543343</v>
      </c>
      <c r="O1141" s="4">
        <v>1.5</v>
      </c>
      <c r="P1141" s="14">
        <f t="shared" si="233"/>
        <v>5.3845781419133711</v>
      </c>
      <c r="Q1141" s="14">
        <f t="shared" si="231"/>
        <v>25.337622197342917</v>
      </c>
    </row>
    <row r="1142" spans="1:17" x14ac:dyDescent="0.25">
      <c r="A1142" s="5" t="s">
        <v>1199</v>
      </c>
      <c r="B1142" s="6">
        <f t="shared" si="232"/>
        <v>6</v>
      </c>
      <c r="C1142" s="58">
        <v>17.84883499</v>
      </c>
      <c r="D1142" s="4">
        <v>0</v>
      </c>
      <c r="E1142" s="12">
        <f t="shared" si="221"/>
        <v>0</v>
      </c>
      <c r="F1142" s="12">
        <f t="shared" si="222"/>
        <v>0</v>
      </c>
      <c r="G1142" s="16">
        <f t="shared" si="224"/>
        <v>4.2457159525767247E-5</v>
      </c>
      <c r="H1142" s="14">
        <f t="shared" si="225"/>
        <v>0</v>
      </c>
      <c r="I1142" s="14">
        <f t="shared" si="226"/>
        <v>11.833177817001841</v>
      </c>
      <c r="J1142" s="14">
        <f t="shared" si="227"/>
        <v>8.637288194022656E-6</v>
      </c>
      <c r="K1142" s="14">
        <f t="shared" si="228"/>
        <v>0.14565307367399707</v>
      </c>
      <c r="L1142" s="14">
        <f t="shared" si="229"/>
        <v>703.98834590145168</v>
      </c>
      <c r="M1142" s="14">
        <f t="shared" si="223"/>
        <v>0.14926214343878605</v>
      </c>
      <c r="N1142" s="14">
        <f t="shared" si="230"/>
        <v>3.8196597123050458</v>
      </c>
      <c r="O1142" s="4">
        <v>1.47</v>
      </c>
      <c r="P1142" s="14">
        <f t="shared" si="233"/>
        <v>5.5209007636294318</v>
      </c>
      <c r="Q1142" s="14">
        <f t="shared" si="231"/>
        <v>25.640541136998092</v>
      </c>
    </row>
    <row r="1143" spans="1:17" x14ac:dyDescent="0.25">
      <c r="A1143" s="5" t="s">
        <v>1200</v>
      </c>
      <c r="B1143" s="6">
        <f t="shared" si="232"/>
        <v>6</v>
      </c>
      <c r="C1143" s="58">
        <v>16.62333679</v>
      </c>
      <c r="D1143" s="4">
        <v>0</v>
      </c>
      <c r="E1143" s="12">
        <f t="shared" si="221"/>
        <v>0</v>
      </c>
      <c r="F1143" s="12">
        <f t="shared" si="222"/>
        <v>0</v>
      </c>
      <c r="G1143" s="16">
        <f t="shared" si="224"/>
        <v>3.6619893591960026E-5</v>
      </c>
      <c r="H1143" s="14">
        <f t="shared" si="225"/>
        <v>0</v>
      </c>
      <c r="I1143" s="14">
        <f t="shared" si="226"/>
        <v>9.6240137107477146</v>
      </c>
      <c r="J1143" s="14">
        <f t="shared" si="227"/>
        <v>5.8372659338072181E-6</v>
      </c>
      <c r="K1143" s="14">
        <f t="shared" si="228"/>
        <v>0.13839226794223719</v>
      </c>
      <c r="L1143" s="14">
        <f t="shared" si="229"/>
        <v>703.84634456374465</v>
      </c>
      <c r="M1143" s="14">
        <f t="shared" si="223"/>
        <v>0.14923051011805921</v>
      </c>
      <c r="N1143" s="14">
        <f t="shared" si="230"/>
        <v>3.818850206840612</v>
      </c>
      <c r="O1143" s="4">
        <v>1.39</v>
      </c>
      <c r="P1143" s="14">
        <f t="shared" si="233"/>
        <v>5.8993133272696836</v>
      </c>
      <c r="Q1143" s="14">
        <f t="shared" si="231"/>
        <v>26.457124976078553</v>
      </c>
    </row>
    <row r="1144" spans="1:17" x14ac:dyDescent="0.25">
      <c r="A1144" s="5" t="s">
        <v>1201</v>
      </c>
      <c r="B1144" s="6">
        <f t="shared" si="232"/>
        <v>6</v>
      </c>
      <c r="C1144" s="58">
        <v>17.882850650000002</v>
      </c>
      <c r="D1144" s="4">
        <v>0</v>
      </c>
      <c r="E1144" s="12">
        <f t="shared" si="221"/>
        <v>0</v>
      </c>
      <c r="F1144" s="12">
        <f t="shared" si="222"/>
        <v>0</v>
      </c>
      <c r="G1144" s="16">
        <f t="shared" si="224"/>
        <v>3.0397385662470411E-5</v>
      </c>
      <c r="H1144" s="14">
        <f t="shared" si="225"/>
        <v>0</v>
      </c>
      <c r="I1144" s="14">
        <f t="shared" si="226"/>
        <v>11.894496695415981</v>
      </c>
      <c r="J1144" s="14">
        <f t="shared" si="227"/>
        <v>6.2225079294896168E-6</v>
      </c>
      <c r="K1144" s="14">
        <f t="shared" si="228"/>
        <v>0.13149341337665973</v>
      </c>
      <c r="L1144" s="14">
        <f t="shared" si="229"/>
        <v>703.70401290819223</v>
      </c>
      <c r="M1144" s="14">
        <f t="shared" si="223"/>
        <v>0.14919888314101093</v>
      </c>
      <c r="N1144" s="14">
        <f t="shared" si="230"/>
        <v>3.8180408637126755</v>
      </c>
      <c r="O1144" s="4">
        <v>1.39</v>
      </c>
      <c r="P1144" s="14">
        <f t="shared" si="233"/>
        <v>5.8953824358585969</v>
      </c>
      <c r="Q1144" s="14">
        <f t="shared" si="231"/>
        <v>26.457124976078553</v>
      </c>
    </row>
    <row r="1145" spans="1:17" x14ac:dyDescent="0.25">
      <c r="A1145" s="5" t="s">
        <v>1202</v>
      </c>
      <c r="B1145" s="6">
        <f t="shared" si="232"/>
        <v>6</v>
      </c>
      <c r="C1145" s="58">
        <v>16.695858000000001</v>
      </c>
      <c r="D1145" s="4">
        <v>0</v>
      </c>
      <c r="E1145" s="12">
        <f t="shared" si="221"/>
        <v>0</v>
      </c>
      <c r="F1145" s="12">
        <f t="shared" si="222"/>
        <v>0</v>
      </c>
      <c r="G1145" s="16">
        <f t="shared" si="224"/>
        <v>2.6161400054469988E-5</v>
      </c>
      <c r="H1145" s="14">
        <f t="shared" si="225"/>
        <v>0</v>
      </c>
      <c r="I1145" s="14">
        <f t="shared" si="226"/>
        <v>9.7547452402384334</v>
      </c>
      <c r="J1145" s="14">
        <f t="shared" si="227"/>
        <v>4.2359856080004236E-6</v>
      </c>
      <c r="K1145" s="14">
        <f t="shared" si="228"/>
        <v>0.12493846671160785</v>
      </c>
      <c r="L1145" s="14">
        <f t="shared" si="229"/>
        <v>703.56136897171632</v>
      </c>
      <c r="M1145" s="14">
        <f t="shared" si="223"/>
        <v>0.14916726252433971</v>
      </c>
      <c r="N1145" s="14">
        <f t="shared" si="230"/>
        <v>3.8172316833485542</v>
      </c>
      <c r="O1145" s="4">
        <v>1.38</v>
      </c>
      <c r="P1145" s="14">
        <f t="shared" si="233"/>
        <v>5.9400982783180281</v>
      </c>
      <c r="Q1145" s="14">
        <f t="shared" si="231"/>
        <v>26.560097955963606</v>
      </c>
    </row>
    <row r="1146" spans="1:17" x14ac:dyDescent="0.25">
      <c r="A1146" s="5" t="s">
        <v>1203</v>
      </c>
      <c r="B1146" s="6">
        <f t="shared" si="232"/>
        <v>6</v>
      </c>
      <c r="C1146" s="58">
        <v>17.641563420000001</v>
      </c>
      <c r="D1146" s="4">
        <v>0</v>
      </c>
      <c r="E1146" s="12">
        <f t="shared" si="221"/>
        <v>0</v>
      </c>
      <c r="F1146" s="12">
        <f t="shared" si="222"/>
        <v>0</v>
      </c>
      <c r="G1146" s="16">
        <f t="shared" si="224"/>
        <v>2.1878574944650089E-5</v>
      </c>
      <c r="H1146" s="14">
        <f t="shared" si="225"/>
        <v>0</v>
      </c>
      <c r="I1146" s="14">
        <f t="shared" si="226"/>
        <v>11.459536376573011</v>
      </c>
      <c r="J1146" s="14">
        <f t="shared" si="227"/>
        <v>4.2828251098199002E-6</v>
      </c>
      <c r="K1146" s="14">
        <f t="shared" si="228"/>
        <v>0.11871028413821885</v>
      </c>
      <c r="L1146" s="14">
        <f t="shared" si="229"/>
        <v>703.4184298917653</v>
      </c>
      <c r="M1146" s="14">
        <f t="shared" si="223"/>
        <v>0.1491356482838411</v>
      </c>
      <c r="N1146" s="14">
        <f t="shared" si="230"/>
        <v>3.8164226661524614</v>
      </c>
      <c r="O1146" s="4">
        <v>1.37</v>
      </c>
      <c r="P1146" s="14">
        <f t="shared" si="233"/>
        <v>5.9849838614645172</v>
      </c>
      <c r="Q1146" s="14">
        <f t="shared" si="231"/>
        <v>26.663270935848661</v>
      </c>
    </row>
    <row r="1147" spans="1:17" x14ac:dyDescent="0.25">
      <c r="A1147" s="5" t="s">
        <v>1204</v>
      </c>
      <c r="B1147" s="6">
        <f t="shared" si="232"/>
        <v>6</v>
      </c>
      <c r="C1147" s="58">
        <v>16.857925420000001</v>
      </c>
      <c r="D1147" s="4">
        <v>0</v>
      </c>
      <c r="E1147" s="12">
        <f t="shared" si="221"/>
        <v>0</v>
      </c>
      <c r="F1147" s="12">
        <f t="shared" si="222"/>
        <v>0</v>
      </c>
      <c r="G1147" s="16">
        <f t="shared" si="224"/>
        <v>1.8738403466597005E-5</v>
      </c>
      <c r="H1147" s="14">
        <f t="shared" si="225"/>
        <v>0</v>
      </c>
      <c r="I1147" s="14">
        <f t="shared" si="226"/>
        <v>10.046898690204506</v>
      </c>
      <c r="J1147" s="14">
        <f t="shared" si="227"/>
        <v>3.1401714780530832E-6</v>
      </c>
      <c r="K1147" s="14">
        <f t="shared" si="228"/>
        <v>0.11279257646650288</v>
      </c>
      <c r="L1147" s="14">
        <f t="shared" si="229"/>
        <v>703.27521195115321</v>
      </c>
      <c r="M1147" s="14">
        <f t="shared" si="223"/>
        <v>0.14910404043445269</v>
      </c>
      <c r="N1147" s="14">
        <f t="shared" si="230"/>
        <v>3.8156138125066543</v>
      </c>
      <c r="O1147" s="4">
        <v>1.34</v>
      </c>
      <c r="P1147" s="14">
        <f t="shared" si="233"/>
        <v>6.1286637486737305</v>
      </c>
      <c r="Q1147" s="14">
        <f t="shared" si="231"/>
        <v>26.973989875503836</v>
      </c>
    </row>
    <row r="1148" spans="1:17" x14ac:dyDescent="0.25">
      <c r="A1148" s="5" t="s">
        <v>1205</v>
      </c>
      <c r="B1148" s="6">
        <f t="shared" si="232"/>
        <v>6</v>
      </c>
      <c r="C1148" s="58">
        <v>17.490667340000002</v>
      </c>
      <c r="D1148" s="4">
        <v>0</v>
      </c>
      <c r="E1148" s="12">
        <f t="shared" si="221"/>
        <v>0</v>
      </c>
      <c r="F1148" s="12">
        <f t="shared" si="222"/>
        <v>0</v>
      </c>
      <c r="G1148" s="16">
        <f t="shared" si="224"/>
        <v>1.5743596982538617E-5</v>
      </c>
      <c r="H1148" s="14">
        <f t="shared" si="225"/>
        <v>0</v>
      </c>
      <c r="I1148" s="14">
        <f t="shared" si="226"/>
        <v>11.18752112293131</v>
      </c>
      <c r="J1148" s="14">
        <f t="shared" si="227"/>
        <v>2.9948064840583872E-6</v>
      </c>
      <c r="K1148" s="14">
        <f t="shared" si="228"/>
        <v>0.10716986652259214</v>
      </c>
      <c r="L1148" s="14">
        <f t="shared" si="229"/>
        <v>703.13173062066267</v>
      </c>
      <c r="M1148" s="14">
        <f t="shared" si="223"/>
        <v>0.14907243899029682</v>
      </c>
      <c r="N1148" s="14">
        <f t="shared" si="230"/>
        <v>3.8148051227725261</v>
      </c>
      <c r="O1148" s="4">
        <v>1.36</v>
      </c>
      <c r="P1148" s="14">
        <f t="shared" si="233"/>
        <v>6.0260681907902356</v>
      </c>
      <c r="Q1148" s="14">
        <f t="shared" si="231"/>
        <v>26.766643915733717</v>
      </c>
    </row>
    <row r="1149" spans="1:17" x14ac:dyDescent="0.25">
      <c r="A1149" s="5" t="s">
        <v>1206</v>
      </c>
      <c r="B1149" s="6">
        <f t="shared" si="232"/>
        <v>7</v>
      </c>
      <c r="C1149" s="58">
        <v>17.021196369999998</v>
      </c>
      <c r="D1149" s="4">
        <v>0</v>
      </c>
      <c r="E1149" s="12">
        <f t="shared" si="221"/>
        <v>0</v>
      </c>
      <c r="F1149" s="12">
        <f t="shared" si="222"/>
        <v>0</v>
      </c>
      <c r="G1149" s="16">
        <f t="shared" si="224"/>
        <v>1.3560416975909681E-5</v>
      </c>
      <c r="H1149" s="14">
        <f t="shared" si="225"/>
        <v>0</v>
      </c>
      <c r="I1149" s="14">
        <f t="shared" si="226"/>
        <v>9.7069606915064615</v>
      </c>
      <c r="J1149" s="14">
        <f t="shared" si="227"/>
        <v>2.1831800066289353E-6</v>
      </c>
      <c r="K1149" s="14">
        <f t="shared" si="228"/>
        <v>0.10182744866973706</v>
      </c>
      <c r="L1149" s="14">
        <f t="shared" si="229"/>
        <v>702.98800059952521</v>
      </c>
      <c r="M1149" s="14">
        <f t="shared" si="223"/>
        <v>0.14904084396472136</v>
      </c>
      <c r="N1149" s="14">
        <f t="shared" si="230"/>
        <v>3.8139965972916543</v>
      </c>
      <c r="O1149" s="4">
        <v>1.32</v>
      </c>
      <c r="P1149" s="14">
        <f t="shared" si="233"/>
        <v>6.2200190273023512</v>
      </c>
      <c r="Q1149" s="14">
        <f t="shared" si="231"/>
        <v>27.182135835273947</v>
      </c>
    </row>
    <row r="1150" spans="1:17" x14ac:dyDescent="0.25">
      <c r="A1150" s="5" t="s">
        <v>1207</v>
      </c>
      <c r="B1150" s="6">
        <f t="shared" si="232"/>
        <v>7</v>
      </c>
      <c r="C1150" s="58">
        <v>16.463779450000001</v>
      </c>
      <c r="D1150" s="4">
        <v>0</v>
      </c>
      <c r="E1150" s="12">
        <f t="shared" si="221"/>
        <v>0</v>
      </c>
      <c r="F1150" s="12">
        <f t="shared" si="222"/>
        <v>0</v>
      </c>
      <c r="G1150" s="16">
        <f t="shared" si="224"/>
        <v>1.1863051411682042E-5</v>
      </c>
      <c r="H1150" s="14">
        <f t="shared" si="225"/>
        <v>0</v>
      </c>
      <c r="I1150" s="14">
        <f t="shared" si="226"/>
        <v>8.7619351055138583</v>
      </c>
      <c r="J1150" s="14">
        <f t="shared" si="227"/>
        <v>1.6973655642276402E-6</v>
      </c>
      <c r="K1150" s="14">
        <f t="shared" si="228"/>
        <v>9.6751350347180992E-2</v>
      </c>
      <c r="L1150" s="14">
        <f t="shared" si="229"/>
        <v>702.84403585388304</v>
      </c>
      <c r="M1150" s="14">
        <f t="shared" si="223"/>
        <v>0.14900925537033829</v>
      </c>
      <c r="N1150" s="14">
        <f t="shared" si="230"/>
        <v>3.8131882363867819</v>
      </c>
      <c r="O1150" s="4">
        <v>1.27</v>
      </c>
      <c r="P1150" s="14">
        <f t="shared" si="233"/>
        <v>6.46780640569611</v>
      </c>
      <c r="Q1150" s="14">
        <f t="shared" si="231"/>
        <v>27.706000734699234</v>
      </c>
    </row>
    <row r="1151" spans="1:17" x14ac:dyDescent="0.25">
      <c r="A1151" s="5" t="s">
        <v>1208</v>
      </c>
      <c r="B1151" s="6">
        <f t="shared" si="232"/>
        <v>7</v>
      </c>
      <c r="C1151" s="58">
        <v>17.486207960000002</v>
      </c>
      <c r="D1151" s="4">
        <v>0</v>
      </c>
      <c r="E1151" s="12">
        <f t="shared" si="221"/>
        <v>0</v>
      </c>
      <c r="F1151" s="12">
        <f t="shared" si="222"/>
        <v>0</v>
      </c>
      <c r="G1151" s="16">
        <f t="shared" si="224"/>
        <v>1.0084384471246025E-5</v>
      </c>
      <c r="H1151" s="14">
        <f t="shared" si="225"/>
        <v>0</v>
      </c>
      <c r="I1151" s="14">
        <f t="shared" si="226"/>
        <v>10.495325440701921</v>
      </c>
      <c r="J1151" s="14">
        <f t="shared" si="227"/>
        <v>1.7786669404360169E-6</v>
      </c>
      <c r="K1151" s="14">
        <f t="shared" si="228"/>
        <v>9.1928295526321868E-2</v>
      </c>
      <c r="L1151" s="14">
        <f t="shared" si="229"/>
        <v>702.69984965333356</v>
      </c>
      <c r="M1151" s="14">
        <f t="shared" si="223"/>
        <v>0.14897767321906036</v>
      </c>
      <c r="N1151" s="14">
        <f t="shared" si="230"/>
        <v>3.8123800403627595</v>
      </c>
      <c r="O1151" s="4">
        <v>1.28</v>
      </c>
      <c r="P1151" s="14">
        <f t="shared" si="233"/>
        <v>6.4129486688276902</v>
      </c>
      <c r="Q1151" s="14">
        <f t="shared" si="231"/>
        <v>27.600827754814176</v>
      </c>
    </row>
    <row r="1152" spans="1:17" x14ac:dyDescent="0.25">
      <c r="A1152" s="5" t="s">
        <v>1209</v>
      </c>
      <c r="B1152" s="6">
        <f t="shared" si="232"/>
        <v>7</v>
      </c>
      <c r="C1152" s="58">
        <v>17.000810619999999</v>
      </c>
      <c r="D1152" s="4">
        <v>0</v>
      </c>
      <c r="E1152" s="12">
        <f t="shared" si="221"/>
        <v>0</v>
      </c>
      <c r="F1152" s="12">
        <f t="shared" si="222"/>
        <v>0</v>
      </c>
      <c r="G1152" s="16">
        <f t="shared" si="224"/>
        <v>8.6909520004357449E-6</v>
      </c>
      <c r="H1152" s="14">
        <f t="shared" si="225"/>
        <v>0</v>
      </c>
      <c r="I1152" s="14">
        <f t="shared" si="226"/>
        <v>9.6723993880217236</v>
      </c>
      <c r="J1152" s="14">
        <f t="shared" si="227"/>
        <v>1.3934324708102812E-6</v>
      </c>
      <c r="K1152" s="14">
        <f t="shared" si="228"/>
        <v>8.7345669988584271E-2</v>
      </c>
      <c r="L1152" s="14">
        <f t="shared" si="229"/>
        <v>702.55545460565213</v>
      </c>
      <c r="M1152" s="14">
        <f t="shared" si="223"/>
        <v>0.14894609752213595</v>
      </c>
      <c r="N1152" s="14">
        <f t="shared" si="230"/>
        <v>3.8115720095074379</v>
      </c>
      <c r="O1152" s="4">
        <v>1.32</v>
      </c>
      <c r="P1152" s="14">
        <f t="shared" si="233"/>
        <v>6.2079310785609332</v>
      </c>
      <c r="Q1152" s="14">
        <f t="shared" si="231"/>
        <v>27.182135835273947</v>
      </c>
    </row>
    <row r="1153" spans="1:17" x14ac:dyDescent="0.25">
      <c r="A1153" s="5" t="s">
        <v>1210</v>
      </c>
      <c r="B1153" s="6">
        <f t="shared" si="232"/>
        <v>7</v>
      </c>
      <c r="C1153" s="58">
        <v>16.477529530000002</v>
      </c>
      <c r="D1153" s="4">
        <v>0</v>
      </c>
      <c r="E1153" s="12">
        <f t="shared" si="221"/>
        <v>0</v>
      </c>
      <c r="F1153" s="12">
        <f t="shared" si="222"/>
        <v>0</v>
      </c>
      <c r="G1153" s="16">
        <f t="shared" si="224"/>
        <v>7.6002060363798366E-6</v>
      </c>
      <c r="H1153" s="14">
        <f t="shared" si="225"/>
        <v>0</v>
      </c>
      <c r="I1153" s="14">
        <f t="shared" si="226"/>
        <v>8.7852465209790491</v>
      </c>
      <c r="J1153" s="14">
        <f t="shared" si="227"/>
        <v>1.0907459640559083E-6</v>
      </c>
      <c r="K1153" s="14">
        <f t="shared" si="228"/>
        <v>8.2991488334189553E-2</v>
      </c>
      <c r="L1153" s="14">
        <f t="shared" si="229"/>
        <v>702.41086268978438</v>
      </c>
      <c r="M1153" s="14">
        <f t="shared" si="223"/>
        <v>0.14891452829018226</v>
      </c>
      <c r="N1153" s="14">
        <f t="shared" si="230"/>
        <v>3.8107641440925115</v>
      </c>
      <c r="O1153" s="4">
        <v>1.3</v>
      </c>
      <c r="P1153" s="14">
        <f t="shared" si="233"/>
        <v>6.3039365872606004</v>
      </c>
      <c r="Q1153" s="14">
        <f t="shared" si="231"/>
        <v>27.391081795044066</v>
      </c>
    </row>
    <row r="1154" spans="1:17" x14ac:dyDescent="0.25">
      <c r="A1154" s="5" t="s">
        <v>1211</v>
      </c>
      <c r="B1154" s="6">
        <f t="shared" si="232"/>
        <v>7</v>
      </c>
      <c r="C1154" s="58">
        <v>17.731096269999998</v>
      </c>
      <c r="D1154" s="4">
        <v>0</v>
      </c>
      <c r="E1154" s="12">
        <f t="shared" si="221"/>
        <v>0</v>
      </c>
      <c r="F1154" s="12">
        <f t="shared" si="222"/>
        <v>0</v>
      </c>
      <c r="G1154" s="16">
        <f t="shared" si="224"/>
        <v>6.4156043177634379E-6</v>
      </c>
      <c r="H1154" s="14">
        <f t="shared" si="225"/>
        <v>0</v>
      </c>
      <c r="I1154" s="14">
        <f t="shared" si="226"/>
        <v>10.910500707826008</v>
      </c>
      <c r="J1154" s="14">
        <f t="shared" si="227"/>
        <v>1.1846017186163987E-6</v>
      </c>
      <c r="K1154" s="14">
        <f t="shared" si="228"/>
        <v>7.8854362635538786E-2</v>
      </c>
      <c r="L1154" s="14">
        <f t="shared" si="229"/>
        <v>702.26608528719294</v>
      </c>
      <c r="M1154" s="14">
        <f t="shared" si="223"/>
        <v>0.14888296553321687</v>
      </c>
      <c r="N1154" s="14">
        <f t="shared" si="230"/>
        <v>3.8099564443743339</v>
      </c>
      <c r="O1154" s="4">
        <v>1.23</v>
      </c>
      <c r="P1154" s="14">
        <f t="shared" si="233"/>
        <v>6.6561752548686552</v>
      </c>
      <c r="Q1154" s="14">
        <f t="shared" si="231"/>
        <v>28.128692654239472</v>
      </c>
    </row>
    <row r="1155" spans="1:17" x14ac:dyDescent="0.25">
      <c r="A1155" s="5" t="s">
        <v>1212</v>
      </c>
      <c r="B1155" s="6">
        <f t="shared" si="232"/>
        <v>7</v>
      </c>
      <c r="C1155" s="58">
        <v>17.5177269</v>
      </c>
      <c r="D1155" s="4">
        <v>0</v>
      </c>
      <c r="E1155" s="12">
        <f t="shared" si="221"/>
        <v>0</v>
      </c>
      <c r="F1155" s="12">
        <f t="shared" si="222"/>
        <v>0</v>
      </c>
      <c r="G1155" s="16">
        <f t="shared" si="224"/>
        <v>5.4487938184445479E-6</v>
      </c>
      <c r="H1155" s="14">
        <f t="shared" si="225"/>
        <v>0</v>
      </c>
      <c r="I1155" s="14">
        <f t="shared" si="226"/>
        <v>10.548761573827131</v>
      </c>
      <c r="J1155" s="14">
        <f t="shared" si="227"/>
        <v>9.6681049931889019E-7</v>
      </c>
      <c r="K1155" s="14">
        <f t="shared" si="228"/>
        <v>7.4923472653224549E-2</v>
      </c>
      <c r="L1155" s="14">
        <f t="shared" si="229"/>
        <v>702.12113321164202</v>
      </c>
      <c r="M1155" s="14">
        <f t="shared" si="223"/>
        <v>0.14885140926068727</v>
      </c>
      <c r="N1155" s="14">
        <f t="shared" si="230"/>
        <v>3.8091489105946703</v>
      </c>
      <c r="O1155" s="4">
        <v>1.23</v>
      </c>
      <c r="P1155" s="14">
        <f t="shared" si="233"/>
        <v>6.6520091030216744</v>
      </c>
      <c r="Q1155" s="14">
        <f t="shared" si="231"/>
        <v>28.128692654239472</v>
      </c>
    </row>
    <row r="1156" spans="1:17" x14ac:dyDescent="0.25">
      <c r="A1156" s="5" t="s">
        <v>1213</v>
      </c>
      <c r="B1156" s="6">
        <f t="shared" si="232"/>
        <v>7</v>
      </c>
      <c r="C1156" s="58">
        <v>17.48708534</v>
      </c>
      <c r="D1156" s="4">
        <v>0</v>
      </c>
      <c r="E1156" s="12">
        <f t="shared" si="221"/>
        <v>0</v>
      </c>
      <c r="F1156" s="12">
        <f t="shared" si="222"/>
        <v>0</v>
      </c>
      <c r="G1156" s="16">
        <f t="shared" si="224"/>
        <v>4.6317221678203333E-6</v>
      </c>
      <c r="H1156" s="14">
        <f t="shared" si="225"/>
        <v>0</v>
      </c>
      <c r="I1156" s="14">
        <f t="shared" si="226"/>
        <v>10.496812920753007</v>
      </c>
      <c r="J1156" s="14">
        <f t="shared" si="227"/>
        <v>8.1707165062421442E-7</v>
      </c>
      <c r="K1156" s="14">
        <f t="shared" si="228"/>
        <v>7.1188537536774565E-2</v>
      </c>
      <c r="L1156" s="14">
        <f t="shared" si="229"/>
        <v>701.97601673749773</v>
      </c>
      <c r="M1156" s="14">
        <f t="shared" si="223"/>
        <v>0.14881985948149987</v>
      </c>
      <c r="N1156" s="14">
        <f t="shared" si="230"/>
        <v>3.8083415429814376</v>
      </c>
      <c r="O1156" s="4">
        <v>1.21</v>
      </c>
      <c r="P1156" s="14">
        <f t="shared" si="233"/>
        <v>6.7513787739831583</v>
      </c>
      <c r="Q1156" s="14">
        <f t="shared" si="231"/>
        <v>28.341238614009583</v>
      </c>
    </row>
    <row r="1157" spans="1:17" x14ac:dyDescent="0.25">
      <c r="A1157" s="5" t="s">
        <v>1214</v>
      </c>
      <c r="B1157" s="6">
        <f t="shared" si="232"/>
        <v>7</v>
      </c>
      <c r="C1157" s="58">
        <v>17.098157879999999</v>
      </c>
      <c r="D1157" s="4">
        <v>0</v>
      </c>
      <c r="E1157" s="12">
        <f t="shared" si="221"/>
        <v>0</v>
      </c>
      <c r="F1157" s="12">
        <f t="shared" si="222"/>
        <v>0</v>
      </c>
      <c r="G1157" s="16">
        <f t="shared" si="224"/>
        <v>3.980803321364578E-6</v>
      </c>
      <c r="H1157" s="14">
        <f t="shared" si="225"/>
        <v>0</v>
      </c>
      <c r="I1157" s="14">
        <f t="shared" si="226"/>
        <v>9.8374386039577466</v>
      </c>
      <c r="J1157" s="14">
        <f t="shared" si="227"/>
        <v>6.5091884645575524E-7</v>
      </c>
      <c r="K1157" s="14">
        <f t="shared" si="228"/>
        <v>6.7639788936113263E-2</v>
      </c>
      <c r="L1157" s="14">
        <f t="shared" si="229"/>
        <v>701.83074562661693</v>
      </c>
      <c r="M1157" s="14">
        <f t="shared" si="223"/>
        <v>0.14878831620404656</v>
      </c>
      <c r="N1157" s="14">
        <f t="shared" si="230"/>
        <v>3.8075343417493861</v>
      </c>
      <c r="O1157" s="4">
        <v>1.23</v>
      </c>
      <c r="P1157" s="14">
        <f t="shared" si="233"/>
        <v>6.6436832828974408</v>
      </c>
      <c r="Q1157" s="14">
        <f t="shared" si="231"/>
        <v>28.128692654239472</v>
      </c>
    </row>
    <row r="1158" spans="1:17" x14ac:dyDescent="0.25">
      <c r="A1158" s="5" t="s">
        <v>1215</v>
      </c>
      <c r="B1158" s="6">
        <f t="shared" si="232"/>
        <v>7</v>
      </c>
      <c r="C1158" s="58">
        <v>16.959123609999999</v>
      </c>
      <c r="D1158" s="4">
        <v>0</v>
      </c>
      <c r="E1158" s="12">
        <f t="shared" si="221"/>
        <v>0</v>
      </c>
      <c r="F1158" s="12">
        <f t="shared" si="222"/>
        <v>0</v>
      </c>
      <c r="G1158" s="16">
        <f t="shared" si="224"/>
        <v>3.4347660603527679E-6</v>
      </c>
      <c r="H1158" s="14">
        <f t="shared" si="225"/>
        <v>0</v>
      </c>
      <c r="I1158" s="14">
        <f t="shared" si="226"/>
        <v>9.601724656702963</v>
      </c>
      <c r="J1158" s="14">
        <f t="shared" si="227"/>
        <v>5.4603726101180986E-7</v>
      </c>
      <c r="K1158" s="14">
        <f t="shared" si="228"/>
        <v>6.4267945453416908E-2</v>
      </c>
      <c r="L1158" s="14">
        <f t="shared" si="229"/>
        <v>701.68532915389551</v>
      </c>
      <c r="M1158" s="14">
        <f t="shared" si="223"/>
        <v>0.14875677943623042</v>
      </c>
      <c r="N1158" s="14">
        <f t="shared" si="230"/>
        <v>3.8067273071007577</v>
      </c>
      <c r="O1158" s="4">
        <v>1.18</v>
      </c>
      <c r="P1158" s="14">
        <f t="shared" si="233"/>
        <v>6.8996963458687999</v>
      </c>
      <c r="Q1158" s="14">
        <f t="shared" si="231"/>
        <v>28.661557553664757</v>
      </c>
    </row>
    <row r="1159" spans="1:17" x14ac:dyDescent="0.25">
      <c r="A1159" s="5" t="s">
        <v>1216</v>
      </c>
      <c r="B1159" s="6">
        <f t="shared" si="232"/>
        <v>7</v>
      </c>
      <c r="C1159" s="58">
        <v>16.32628441</v>
      </c>
      <c r="D1159" s="4">
        <v>0</v>
      </c>
      <c r="E1159" s="12">
        <f t="shared" si="221"/>
        <v>0</v>
      </c>
      <c r="F1159" s="12">
        <f t="shared" si="222"/>
        <v>0</v>
      </c>
      <c r="G1159" s="16">
        <f t="shared" si="224"/>
        <v>3.0162723184219118E-6</v>
      </c>
      <c r="H1159" s="14">
        <f t="shared" si="225"/>
        <v>0</v>
      </c>
      <c r="I1159" s="14">
        <f t="shared" si="226"/>
        <v>8.5288307161690255</v>
      </c>
      <c r="J1159" s="14">
        <f t="shared" si="227"/>
        <v>4.1849374193085596E-7</v>
      </c>
      <c r="K1159" s="14">
        <f t="shared" si="228"/>
        <v>6.1064188368543881E-2</v>
      </c>
      <c r="L1159" s="14">
        <f t="shared" si="229"/>
        <v>701.53977613154416</v>
      </c>
      <c r="M1159" s="14">
        <f t="shared" si="223"/>
        <v>0.14872524918549035</v>
      </c>
      <c r="N1159" s="14">
        <f t="shared" si="230"/>
        <v>3.8059204392259165</v>
      </c>
      <c r="O1159" s="4">
        <v>1.1399999999999999</v>
      </c>
      <c r="P1159" s="14">
        <f t="shared" si="233"/>
        <v>7.1071317882825049</v>
      </c>
      <c r="Q1159" s="14">
        <f t="shared" si="231"/>
        <v>29.091449473204985</v>
      </c>
    </row>
    <row r="1160" spans="1:17" x14ac:dyDescent="0.25">
      <c r="A1160" s="5" t="s">
        <v>1217</v>
      </c>
      <c r="B1160" s="6">
        <f t="shared" si="232"/>
        <v>7</v>
      </c>
      <c r="C1160" s="58">
        <v>17.710586549999999</v>
      </c>
      <c r="D1160" s="4">
        <v>0</v>
      </c>
      <c r="E1160" s="12">
        <f t="shared" si="221"/>
        <v>0</v>
      </c>
      <c r="F1160" s="12">
        <f t="shared" si="222"/>
        <v>0</v>
      </c>
      <c r="G1160" s="16">
        <f t="shared" si="224"/>
        <v>2.5476410682849807E-6</v>
      </c>
      <c r="H1160" s="14">
        <f t="shared" si="225"/>
        <v>0</v>
      </c>
      <c r="I1160" s="14">
        <f t="shared" si="226"/>
        <v>10.875729229842268</v>
      </c>
      <c r="J1160" s="14">
        <f t="shared" si="227"/>
        <v>4.6863125013693104E-7</v>
      </c>
      <c r="K1160" s="14">
        <f t="shared" si="228"/>
        <v>5.8020138574552182E-2</v>
      </c>
      <c r="L1160" s="14">
        <f t="shared" si="229"/>
        <v>701.39409493215271</v>
      </c>
      <c r="M1160" s="14">
        <f t="shared" si="223"/>
        <v>0.14869372545882395</v>
      </c>
      <c r="N1160" s="14">
        <f t="shared" si="230"/>
        <v>3.8051137383039322</v>
      </c>
      <c r="O1160" s="4">
        <v>1.1399999999999999</v>
      </c>
      <c r="P1160" s="14">
        <f t="shared" si="233"/>
        <v>7.1028312380963623</v>
      </c>
      <c r="Q1160" s="14">
        <f t="shared" si="231"/>
        <v>29.091449473204985</v>
      </c>
    </row>
    <row r="1161" spans="1:17" x14ac:dyDescent="0.25">
      <c r="A1161" s="5" t="s">
        <v>1218</v>
      </c>
      <c r="B1161" s="6">
        <f t="shared" si="232"/>
        <v>7</v>
      </c>
      <c r="C1161" s="58">
        <v>17.908168790000001</v>
      </c>
      <c r="D1161" s="4">
        <v>0</v>
      </c>
      <c r="E1161" s="12">
        <f t="shared" si="221"/>
        <v>0</v>
      </c>
      <c r="F1161" s="12">
        <f t="shared" si="222"/>
        <v>0</v>
      </c>
      <c r="G1161" s="16">
        <f t="shared" si="224"/>
        <v>2.1396286188664695E-6</v>
      </c>
      <c r="H1161" s="14">
        <f t="shared" si="225"/>
        <v>0</v>
      </c>
      <c r="I1161" s="14">
        <f t="shared" si="226"/>
        <v>11.210703403460347</v>
      </c>
      <c r="J1161" s="14">
        <f t="shared" si="227"/>
        <v>4.0801244941851115E-7</v>
      </c>
      <c r="K1161" s="14">
        <f t="shared" si="228"/>
        <v>5.5127834662981386E-2</v>
      </c>
      <c r="L1161" s="14">
        <f t="shared" si="229"/>
        <v>701.24829351060555</v>
      </c>
      <c r="M1161" s="14">
        <f t="shared" si="223"/>
        <v>0.14866220826280963</v>
      </c>
      <c r="N1161" s="14">
        <f t="shared" si="230"/>
        <v>3.8043072045031496</v>
      </c>
      <c r="O1161" s="4">
        <v>1.1399999999999999</v>
      </c>
      <c r="P1161" s="14">
        <f t="shared" si="233"/>
        <v>7.0985328799673875</v>
      </c>
      <c r="Q1161" s="14">
        <f t="shared" si="231"/>
        <v>29.091449473204985</v>
      </c>
    </row>
    <row r="1162" spans="1:17" x14ac:dyDescent="0.25">
      <c r="A1162" s="5" t="s">
        <v>1219</v>
      </c>
      <c r="B1162" s="6">
        <f t="shared" si="232"/>
        <v>7</v>
      </c>
      <c r="C1162" s="58">
        <v>15.483381270000001</v>
      </c>
      <c r="D1162" s="4">
        <v>0</v>
      </c>
      <c r="E1162" s="12">
        <f t="shared" si="221"/>
        <v>0</v>
      </c>
      <c r="F1162" s="12">
        <f t="shared" si="222"/>
        <v>0</v>
      </c>
      <c r="G1162" s="16">
        <f t="shared" si="224"/>
        <v>1.9226150351237617E-6</v>
      </c>
      <c r="H1162" s="14">
        <f t="shared" si="225"/>
        <v>0</v>
      </c>
      <c r="I1162" s="14">
        <f t="shared" si="226"/>
        <v>7.0998015546331565</v>
      </c>
      <c r="J1162" s="14">
        <f t="shared" si="227"/>
        <v>2.1701358374270761E-7</v>
      </c>
      <c r="K1162" s="14">
        <f t="shared" si="228"/>
        <v>5.2379712101583313E-2</v>
      </c>
      <c r="L1162" s="14">
        <f t="shared" si="229"/>
        <v>701.10237942490414</v>
      </c>
      <c r="M1162" s="14">
        <f t="shared" si="223"/>
        <v>0.14863069760362754</v>
      </c>
      <c r="N1162" s="14">
        <f t="shared" si="230"/>
        <v>3.8035008379817183</v>
      </c>
      <c r="O1162" s="4">
        <v>1.1200000000000001</v>
      </c>
      <c r="P1162" s="14">
        <f t="shared" si="233"/>
        <v>7.2011767474485842</v>
      </c>
      <c r="Q1162" s="14">
        <f t="shared" si="231"/>
        <v>29.307595432975099</v>
      </c>
    </row>
    <row r="1163" spans="1:17" x14ac:dyDescent="0.25">
      <c r="A1163" s="5" t="s">
        <v>1220</v>
      </c>
      <c r="B1163" s="6">
        <f t="shared" si="232"/>
        <v>7</v>
      </c>
      <c r="C1163" s="58">
        <v>16.01314545</v>
      </c>
      <c r="D1163" s="4">
        <v>0</v>
      </c>
      <c r="E1163" s="12">
        <f t="shared" si="221"/>
        <v>0</v>
      </c>
      <c r="F1163" s="12">
        <f t="shared" si="222"/>
        <v>0</v>
      </c>
      <c r="G1163" s="16">
        <f t="shared" si="224"/>
        <v>1.7029438503024054E-6</v>
      </c>
      <c r="H1163" s="14">
        <f t="shared" si="225"/>
        <v>0</v>
      </c>
      <c r="I1163" s="14">
        <f t="shared" si="226"/>
        <v>7.9979456307806691</v>
      </c>
      <c r="J1163" s="14">
        <f t="shared" si="227"/>
        <v>2.1967118482135635E-7</v>
      </c>
      <c r="K1163" s="14">
        <f t="shared" si="228"/>
        <v>4.9768583450042848E-2</v>
      </c>
      <c r="L1163" s="14">
        <f t="shared" si="229"/>
        <v>700.95635985595209</v>
      </c>
      <c r="M1163" s="14">
        <f t="shared" si="223"/>
        <v>0.14859919348707945</v>
      </c>
      <c r="N1163" s="14">
        <f t="shared" si="230"/>
        <v>3.8026946388881098</v>
      </c>
      <c r="O1163" s="4">
        <v>1.22</v>
      </c>
      <c r="P1163" s="14">
        <f t="shared" si="233"/>
        <v>6.6703115977413825</v>
      </c>
      <c r="Q1163" s="14">
        <f t="shared" si="231"/>
        <v>28.234865634124528</v>
      </c>
    </row>
    <row r="1164" spans="1:17" x14ac:dyDescent="0.25">
      <c r="A1164" s="5" t="s">
        <v>1221</v>
      </c>
      <c r="B1164" s="6">
        <f t="shared" si="232"/>
        <v>7</v>
      </c>
      <c r="C1164" s="58">
        <v>16.028980260000001</v>
      </c>
      <c r="D1164" s="4">
        <v>0</v>
      </c>
      <c r="E1164" s="12">
        <f t="shared" si="221"/>
        <v>0</v>
      </c>
      <c r="F1164" s="12">
        <f t="shared" si="222"/>
        <v>0</v>
      </c>
      <c r="G1164" s="16">
        <f t="shared" si="224"/>
        <v>1.5077184182311598E-6</v>
      </c>
      <c r="H1164" s="14">
        <f t="shared" si="225"/>
        <v>0</v>
      </c>
      <c r="I1164" s="14">
        <f t="shared" si="226"/>
        <v>8.0247914262031195</v>
      </c>
      <c r="J1164" s="14">
        <f t="shared" si="227"/>
        <v>1.9522543207124556E-7</v>
      </c>
      <c r="K1164" s="14">
        <f t="shared" si="228"/>
        <v>4.7287619561945007E-2</v>
      </c>
      <c r="L1164" s="14">
        <f t="shared" si="229"/>
        <v>700.8102416263531</v>
      </c>
      <c r="M1164" s="14">
        <f t="shared" si="223"/>
        <v>0.14856769591860763</v>
      </c>
      <c r="N1164" s="14">
        <f t="shared" si="230"/>
        <v>3.8018886073615907</v>
      </c>
      <c r="O1164" s="4">
        <v>1.73</v>
      </c>
      <c r="P1164" s="14">
        <f t="shared" si="233"/>
        <v>4.2927224013147516</v>
      </c>
      <c r="Q1164" s="14">
        <f t="shared" si="231"/>
        <v>23.075043659986601</v>
      </c>
    </row>
    <row r="1165" spans="1:17" x14ac:dyDescent="0.25">
      <c r="A1165" s="5" t="s">
        <v>1222</v>
      </c>
      <c r="B1165" s="6">
        <f t="shared" si="232"/>
        <v>7</v>
      </c>
      <c r="C1165" s="58">
        <v>15.35908031</v>
      </c>
      <c r="D1165" s="4">
        <v>0</v>
      </c>
      <c r="E1165" s="12">
        <f t="shared" si="221"/>
        <v>0</v>
      </c>
      <c r="F1165" s="12">
        <f t="shared" si="222"/>
        <v>0</v>
      </c>
      <c r="G1165" s="16">
        <f t="shared" si="224"/>
        <v>1.3593358465718242E-6</v>
      </c>
      <c r="H1165" s="14">
        <f t="shared" si="225"/>
        <v>0</v>
      </c>
      <c r="I1165" s="14">
        <f t="shared" si="226"/>
        <v>6.8890659573652364</v>
      </c>
      <c r="J1165" s="14">
        <f t="shared" si="227"/>
        <v>1.4838257165933571E-7</v>
      </c>
      <c r="K1165" s="14">
        <f t="shared" si="228"/>
        <v>4.4930331723824032E-2</v>
      </c>
      <c r="L1165" s="14">
        <f t="shared" si="229"/>
        <v>700.66403121827261</v>
      </c>
      <c r="M1165" s="14">
        <f t="shared" si="223"/>
        <v>0.14853620490331271</v>
      </c>
      <c r="N1165" s="14">
        <f t="shared" si="230"/>
        <v>3.8010827435326893</v>
      </c>
      <c r="O1165" s="4">
        <v>1.86</v>
      </c>
      <c r="P1165" s="14">
        <f t="shared" si="233"/>
        <v>3.7678022172403915</v>
      </c>
      <c r="Q1165" s="14">
        <f t="shared" si="231"/>
        <v>21.842994921480848</v>
      </c>
    </row>
    <row r="1166" spans="1:17" x14ac:dyDescent="0.25">
      <c r="A1166" s="5" t="s">
        <v>1223</v>
      </c>
      <c r="B1166" s="6">
        <f t="shared" si="232"/>
        <v>7</v>
      </c>
      <c r="C1166" s="58">
        <v>16.501043320000001</v>
      </c>
      <c r="D1166" s="4">
        <v>0</v>
      </c>
      <c r="E1166" s="12">
        <f t="shared" si="221"/>
        <v>0</v>
      </c>
      <c r="F1166" s="12">
        <f t="shared" si="222"/>
        <v>0</v>
      </c>
      <c r="G1166" s="16">
        <f t="shared" si="224"/>
        <v>1.1879601406413337E-6</v>
      </c>
      <c r="H1166" s="14">
        <f t="shared" si="225"/>
        <v>0</v>
      </c>
      <c r="I1166" s="14">
        <f t="shared" si="226"/>
        <v>8.8251109965203653</v>
      </c>
      <c r="J1166" s="14">
        <f t="shared" si="227"/>
        <v>1.713757059304906E-7</v>
      </c>
      <c r="K1166" s="14">
        <f t="shared" si="228"/>
        <v>4.2690554684580849E-2</v>
      </c>
      <c r="L1166" s="14">
        <f t="shared" si="229"/>
        <v>700.51773479040855</v>
      </c>
      <c r="M1166" s="14">
        <f t="shared" si="223"/>
        <v>0.14850472044597079</v>
      </c>
      <c r="N1166" s="14">
        <f t="shared" si="230"/>
        <v>3.800277047523628</v>
      </c>
      <c r="O1166" s="4">
        <v>1.86</v>
      </c>
      <c r="P1166" s="14">
        <f t="shared" si="233"/>
        <v>3.7646750211470068</v>
      </c>
      <c r="Q1166" s="14">
        <f t="shared" si="231"/>
        <v>21.842994921480848</v>
      </c>
    </row>
    <row r="1167" spans="1:17" x14ac:dyDescent="0.25">
      <c r="A1167" s="5" t="s">
        <v>1224</v>
      </c>
      <c r="B1167" s="6">
        <f t="shared" si="232"/>
        <v>7</v>
      </c>
      <c r="C1167" s="58">
        <v>17.800254819999999</v>
      </c>
      <c r="D1167" s="4">
        <v>0</v>
      </c>
      <c r="E1167" s="12">
        <f t="shared" si="221"/>
        <v>0</v>
      </c>
      <c r="F1167" s="12">
        <f t="shared" si="222"/>
        <v>0</v>
      </c>
      <c r="G1167" s="16">
        <f t="shared" si="224"/>
        <v>1.0008096017592691E-6</v>
      </c>
      <c r="H1167" s="14">
        <f t="shared" si="225"/>
        <v>0</v>
      </c>
      <c r="I1167" s="14">
        <f t="shared" si="226"/>
        <v>11.027749748705768</v>
      </c>
      <c r="J1167" s="14">
        <f t="shared" si="227"/>
        <v>1.8715053888206453E-7</v>
      </c>
      <c r="K1167" s="14">
        <f t="shared" si="228"/>
        <v>4.0562430530884049E-2</v>
      </c>
      <c r="L1167" s="14">
        <f t="shared" si="229"/>
        <v>700.37135819411628</v>
      </c>
      <c r="M1167" s="14">
        <f t="shared" si="223"/>
        <v>0.14847324255104963</v>
      </c>
      <c r="N1167" s="14">
        <f t="shared" si="230"/>
        <v>3.7994715194487356</v>
      </c>
      <c r="O1167" s="4">
        <v>1.82</v>
      </c>
      <c r="P1167" s="14">
        <f t="shared" si="233"/>
        <v>3.9183074963086857</v>
      </c>
      <c r="Q1167" s="14">
        <f t="shared" si="231"/>
        <v>22.218486841021079</v>
      </c>
    </row>
    <row r="1168" spans="1:17" x14ac:dyDescent="0.25">
      <c r="A1168" s="5" t="s">
        <v>1225</v>
      </c>
      <c r="B1168" s="6">
        <f t="shared" si="232"/>
        <v>7</v>
      </c>
      <c r="C1168" s="58">
        <v>16.117481229999999</v>
      </c>
      <c r="D1168" s="4">
        <v>0</v>
      </c>
      <c r="E1168" s="12">
        <f t="shared" si="221"/>
        <v>0</v>
      </c>
      <c r="F1168" s="12">
        <f t="shared" si="222"/>
        <v>0</v>
      </c>
      <c r="G1168" s="16">
        <f t="shared" si="224"/>
        <v>8.8393163160761823E-7</v>
      </c>
      <c r="H1168" s="14">
        <f t="shared" si="225"/>
        <v>0</v>
      </c>
      <c r="I1168" s="14">
        <f t="shared" si="226"/>
        <v>8.1748329445609809</v>
      </c>
      <c r="J1168" s="14">
        <f t="shared" si="227"/>
        <v>1.1687797015165095E-7</v>
      </c>
      <c r="K1168" s="14">
        <f t="shared" si="228"/>
        <v>3.8540393366382153E-2</v>
      </c>
      <c r="L1168" s="14">
        <f t="shared" si="229"/>
        <v>700.2249069887298</v>
      </c>
      <c r="M1168" s="14">
        <f t="shared" si="223"/>
        <v>0.14844177122272409</v>
      </c>
      <c r="N1168" s="14">
        <f t="shared" si="230"/>
        <v>3.7986661594148488</v>
      </c>
      <c r="O1168" s="4">
        <v>1.72</v>
      </c>
      <c r="P1168" s="14">
        <f t="shared" si="233"/>
        <v>4.3208530022964764</v>
      </c>
      <c r="Q1168" s="14">
        <f t="shared" si="231"/>
        <v>23.171216639871659</v>
      </c>
    </row>
    <row r="1169" spans="1:17" x14ac:dyDescent="0.25">
      <c r="A1169" s="5" t="s">
        <v>1226</v>
      </c>
      <c r="B1169" s="6">
        <f t="shared" si="232"/>
        <v>7</v>
      </c>
      <c r="C1169" s="58">
        <v>15.955864910000001</v>
      </c>
      <c r="D1169" s="4">
        <v>0</v>
      </c>
      <c r="E1169" s="12">
        <f t="shared" si="221"/>
        <v>0</v>
      </c>
      <c r="F1169" s="12">
        <f t="shared" si="222"/>
        <v>0</v>
      </c>
      <c r="G1169" s="16">
        <f t="shared" si="224"/>
        <v>7.8416301915694107E-7</v>
      </c>
      <c r="H1169" s="14">
        <f t="shared" si="225"/>
        <v>0</v>
      </c>
      <c r="I1169" s="14">
        <f t="shared" si="226"/>
        <v>7.9008341619011953</v>
      </c>
      <c r="J1169" s="14">
        <f t="shared" si="227"/>
        <v>9.9768612450677108E-8</v>
      </c>
      <c r="K1169" s="14">
        <f t="shared" si="228"/>
        <v>3.6619154754657164E-2</v>
      </c>
      <c r="L1169" s="14">
        <f t="shared" si="229"/>
        <v>700.07838645611878</v>
      </c>
      <c r="M1169" s="14">
        <f t="shared" si="223"/>
        <v>0.14841030646489053</v>
      </c>
      <c r="N1169" s="14">
        <f t="shared" si="230"/>
        <v>3.7978609675216775</v>
      </c>
      <c r="O1169" s="4">
        <v>1.56</v>
      </c>
      <c r="P1169" s="14">
        <f t="shared" si="233"/>
        <v>5.0080217099570579</v>
      </c>
      <c r="Q1169" s="14">
        <f t="shared" si="231"/>
        <v>24.737184318032579</v>
      </c>
    </row>
    <row r="1170" spans="1:17" x14ac:dyDescent="0.25">
      <c r="A1170" s="5" t="s">
        <v>1227</v>
      </c>
      <c r="B1170" s="6">
        <f t="shared" si="232"/>
        <v>7</v>
      </c>
      <c r="C1170" s="58">
        <v>17.796325679999999</v>
      </c>
      <c r="D1170" s="4">
        <v>0</v>
      </c>
      <c r="E1170" s="12">
        <f t="shared" si="221"/>
        <v>0</v>
      </c>
      <c r="F1170" s="12">
        <f t="shared" si="222"/>
        <v>0</v>
      </c>
      <c r="G1170" s="16">
        <f t="shared" si="224"/>
        <v>6.6070106275377813E-7</v>
      </c>
      <c r="H1170" s="14">
        <f t="shared" si="225"/>
        <v>0</v>
      </c>
      <c r="I1170" s="14">
        <f t="shared" si="226"/>
        <v>11.021088419101803</v>
      </c>
      <c r="J1170" s="14">
        <f t="shared" si="227"/>
        <v>1.2346195640316293E-7</v>
      </c>
      <c r="K1170" s="14">
        <f t="shared" si="228"/>
        <v>3.479368988784684E-2</v>
      </c>
      <c r="L1170" s="14">
        <f t="shared" si="229"/>
        <v>699.93180161452074</v>
      </c>
      <c r="M1170" s="14">
        <f t="shared" si="223"/>
        <v>0.14837884828118098</v>
      </c>
      <c r="N1170" s="14">
        <f t="shared" si="230"/>
        <v>3.7970559438621656</v>
      </c>
      <c r="O1170" s="4">
        <v>1.66</v>
      </c>
      <c r="P1170" s="14">
        <f t="shared" si="233"/>
        <v>4.5670081071966111</v>
      </c>
      <c r="Q1170" s="14">
        <f t="shared" si="231"/>
        <v>23.752454519181999</v>
      </c>
    </row>
    <row r="1171" spans="1:17" x14ac:dyDescent="0.25">
      <c r="A1171" s="5" t="s">
        <v>1228</v>
      </c>
      <c r="B1171" s="6">
        <f t="shared" si="232"/>
        <v>7</v>
      </c>
      <c r="C1171" s="58">
        <v>16.64545631</v>
      </c>
      <c r="D1171" s="4">
        <v>0</v>
      </c>
      <c r="E1171" s="12">
        <f t="shared" si="221"/>
        <v>0</v>
      </c>
      <c r="F1171" s="12">
        <f t="shared" si="222"/>
        <v>0</v>
      </c>
      <c r="G1171" s="16">
        <f t="shared" si="224"/>
        <v>5.7509354311647676E-7</v>
      </c>
      <c r="H1171" s="14">
        <f t="shared" si="225"/>
        <v>0</v>
      </c>
      <c r="I1171" s="14">
        <f t="shared" si="226"/>
        <v>9.0699438417445357</v>
      </c>
      <c r="J1171" s="14">
        <f t="shared" si="227"/>
        <v>8.5607519637301379E-8</v>
      </c>
      <c r="K1171" s="14">
        <f t="shared" si="228"/>
        <v>3.3059224444761205E-2</v>
      </c>
      <c r="L1171" s="14">
        <f t="shared" si="229"/>
        <v>699.78515723168255</v>
      </c>
      <c r="M1171" s="14">
        <f t="shared" si="223"/>
        <v>0.14834739667497618</v>
      </c>
      <c r="N1171" s="14">
        <f t="shared" si="230"/>
        <v>3.796251088522828</v>
      </c>
      <c r="O1171" s="4">
        <v>1.74</v>
      </c>
      <c r="P1171" s="14">
        <f t="shared" si="233"/>
        <v>4.228168539051314</v>
      </c>
      <c r="Q1171" s="14">
        <f t="shared" si="231"/>
        <v>22.97907068010154</v>
      </c>
    </row>
    <row r="1172" spans="1:17" x14ac:dyDescent="0.25">
      <c r="A1172" s="5" t="s">
        <v>1229</v>
      </c>
      <c r="B1172" s="6">
        <f t="shared" si="232"/>
        <v>7</v>
      </c>
      <c r="C1172" s="58">
        <v>15.510654450000001</v>
      </c>
      <c r="D1172" s="4">
        <v>0</v>
      </c>
      <c r="E1172" s="12">
        <f t="shared" si="221"/>
        <v>0</v>
      </c>
      <c r="F1172" s="12">
        <f t="shared" si="222"/>
        <v>0</v>
      </c>
      <c r="G1172" s="16">
        <f t="shared" si="224"/>
        <v>5.1638433547188298E-7</v>
      </c>
      <c r="H1172" s="14">
        <f t="shared" si="225"/>
        <v>0</v>
      </c>
      <c r="I1172" s="14">
        <f t="shared" si="226"/>
        <v>7.1460395714328291</v>
      </c>
      <c r="J1172" s="14">
        <f t="shared" si="227"/>
        <v>5.8709207644593783E-8</v>
      </c>
      <c r="K1172" s="14">
        <f t="shared" si="228"/>
        <v>3.1411222104121887E-2</v>
      </c>
      <c r="L1172" s="14">
        <f t="shared" si="229"/>
        <v>699.63845783734826</v>
      </c>
      <c r="M1172" s="14">
        <f t="shared" si="223"/>
        <v>0.14831595164941816</v>
      </c>
      <c r="N1172" s="14">
        <f t="shared" si="230"/>
        <v>3.7954464015840692</v>
      </c>
      <c r="O1172" s="4">
        <v>1.74</v>
      </c>
      <c r="P1172" s="14">
        <f t="shared" si="233"/>
        <v>4.2248599097848976</v>
      </c>
      <c r="Q1172" s="14">
        <f t="shared" si="231"/>
        <v>22.97907068010154</v>
      </c>
    </row>
    <row r="1173" spans="1:17" x14ac:dyDescent="0.25">
      <c r="A1173" s="5" t="s">
        <v>1230</v>
      </c>
      <c r="B1173" s="6">
        <f t="shared" si="232"/>
        <v>7</v>
      </c>
      <c r="C1173" s="58">
        <v>16.40276909</v>
      </c>
      <c r="D1173" s="4">
        <v>0</v>
      </c>
      <c r="E1173" s="12">
        <f t="shared" si="221"/>
        <v>0</v>
      </c>
      <c r="F1173" s="12">
        <f t="shared" si="222"/>
        <v>0</v>
      </c>
      <c r="G1173" s="16">
        <f t="shared" si="224"/>
        <v>4.5251122837585242E-7</v>
      </c>
      <c r="H1173" s="14">
        <f t="shared" si="225"/>
        <v>0</v>
      </c>
      <c r="I1173" s="14">
        <f t="shared" si="226"/>
        <v>8.6585002273429179</v>
      </c>
      <c r="J1173" s="14">
        <f t="shared" si="227"/>
        <v>6.387310709603057E-8</v>
      </c>
      <c r="K1173" s="14">
        <f t="shared" si="228"/>
        <v>2.9845372680266522E-2</v>
      </c>
      <c r="L1173" s="14">
        <f t="shared" si="229"/>
        <v>699.49170773512265</v>
      </c>
      <c r="M1173" s="14">
        <f t="shared" si="223"/>
        <v>0.14828451320742211</v>
      </c>
      <c r="N1173" s="14">
        <f t="shared" si="230"/>
        <v>3.7946418831204896</v>
      </c>
      <c r="O1173" s="4">
        <v>1.73</v>
      </c>
      <c r="P1173" s="14">
        <f t="shared" si="233"/>
        <v>4.2627461055353217</v>
      </c>
      <c r="Q1173" s="14">
        <f t="shared" si="231"/>
        <v>23.075043659986601</v>
      </c>
    </row>
    <row r="1174" spans="1:17" x14ac:dyDescent="0.25">
      <c r="A1174" s="5" t="s">
        <v>1231</v>
      </c>
      <c r="B1174" s="6">
        <f t="shared" si="232"/>
        <v>7</v>
      </c>
      <c r="C1174" s="58">
        <v>17.525560380000002</v>
      </c>
      <c r="D1174" s="4">
        <v>0</v>
      </c>
      <c r="E1174" s="12">
        <f t="shared" si="221"/>
        <v>0</v>
      </c>
      <c r="F1174" s="12">
        <f t="shared" si="222"/>
        <v>0</v>
      </c>
      <c r="G1174" s="16">
        <f t="shared" si="224"/>
        <v>3.8423342060062663E-7</v>
      </c>
      <c r="H1174" s="14">
        <f t="shared" si="225"/>
        <v>0</v>
      </c>
      <c r="I1174" s="14">
        <f t="shared" si="226"/>
        <v>10.562042187963069</v>
      </c>
      <c r="J1174" s="14">
        <f t="shared" si="227"/>
        <v>6.8277807775225808E-8</v>
      </c>
      <c r="K1174" s="14">
        <f t="shared" si="228"/>
        <v>2.8357580850288298E-2</v>
      </c>
      <c r="L1174" s="14">
        <f t="shared" si="229"/>
        <v>699.34491101374522</v>
      </c>
      <c r="M1174" s="14">
        <f t="shared" si="223"/>
        <v>0.1482530813516878</v>
      </c>
      <c r="N1174" s="14">
        <f t="shared" si="230"/>
        <v>3.7938375332011773</v>
      </c>
      <c r="O1174" s="4">
        <v>1.71</v>
      </c>
      <c r="P1174" s="14">
        <f t="shared" si="233"/>
        <v>4.3423788647779684</v>
      </c>
      <c r="Q1174" s="14">
        <f t="shared" si="231"/>
        <v>23.267589619756713</v>
      </c>
    </row>
    <row r="1175" spans="1:17" x14ac:dyDescent="0.25">
      <c r="A1175" s="5" t="s">
        <v>1232</v>
      </c>
      <c r="B1175" s="6">
        <f t="shared" si="232"/>
        <v>7</v>
      </c>
      <c r="C1175" s="58">
        <v>16.642648699999999</v>
      </c>
      <c r="D1175" s="4">
        <v>0</v>
      </c>
      <c r="E1175" s="12">
        <f t="shared" si="221"/>
        <v>0</v>
      </c>
      <c r="F1175" s="12">
        <f t="shared" si="222"/>
        <v>0</v>
      </c>
      <c r="G1175" s="16">
        <f t="shared" si="224"/>
        <v>3.3447414292727767E-7</v>
      </c>
      <c r="H1175" s="14">
        <f t="shared" si="225"/>
        <v>0</v>
      </c>
      <c r="I1175" s="14">
        <f t="shared" si="226"/>
        <v>9.0651839157532503</v>
      </c>
      <c r="J1175" s="14">
        <f t="shared" si="227"/>
        <v>4.9759277673348955E-8</v>
      </c>
      <c r="K1175" s="14">
        <f t="shared" si="228"/>
        <v>2.6943955443127558E-2</v>
      </c>
      <c r="L1175" s="14">
        <f t="shared" si="229"/>
        <v>699.19807155780063</v>
      </c>
      <c r="M1175" s="14">
        <f t="shared" si="223"/>
        <v>0.14822165608471025</v>
      </c>
      <c r="N1175" s="14">
        <f t="shared" si="230"/>
        <v>3.793033351889981</v>
      </c>
      <c r="O1175" s="4">
        <v>1.72</v>
      </c>
      <c r="P1175" s="14">
        <f t="shared" si="233"/>
        <v>4.2974672780482095</v>
      </c>
      <c r="Q1175" s="14">
        <f t="shared" si="231"/>
        <v>23.171216639871659</v>
      </c>
    </row>
    <row r="1176" spans="1:17" x14ac:dyDescent="0.25">
      <c r="A1176" s="5" t="s">
        <v>1233</v>
      </c>
      <c r="B1176" s="6">
        <f t="shared" si="232"/>
        <v>7</v>
      </c>
      <c r="C1176" s="58">
        <v>16.789667130000002</v>
      </c>
      <c r="D1176" s="4">
        <v>0</v>
      </c>
      <c r="E1176" s="12">
        <f t="shared" si="221"/>
        <v>0</v>
      </c>
      <c r="F1176" s="12">
        <f t="shared" si="222"/>
        <v>0</v>
      </c>
      <c r="G1176" s="16">
        <f t="shared" si="224"/>
        <v>2.8996785974036568E-7</v>
      </c>
      <c r="H1176" s="14">
        <f t="shared" si="225"/>
        <v>0</v>
      </c>
      <c r="I1176" s="14">
        <f t="shared" si="226"/>
        <v>9.3144339348636596</v>
      </c>
      <c r="J1176" s="14">
        <f t="shared" si="227"/>
        <v>4.4506283186911984E-8</v>
      </c>
      <c r="K1176" s="14">
        <f t="shared" si="228"/>
        <v>2.5600799262602204E-2</v>
      </c>
      <c r="L1176" s="14">
        <f t="shared" si="229"/>
        <v>699.05119305789651</v>
      </c>
      <c r="M1176" s="14">
        <f t="shared" si="223"/>
        <v>0.14819023740878998</v>
      </c>
      <c r="N1176" s="14">
        <f t="shared" si="230"/>
        <v>3.7922293392457713</v>
      </c>
      <c r="O1176" s="4">
        <v>1.69</v>
      </c>
      <c r="P1176" s="14">
        <f t="shared" si="233"/>
        <v>4.4193681947857124</v>
      </c>
      <c r="Q1176" s="14">
        <f t="shared" si="231"/>
        <v>23.460935579526822</v>
      </c>
    </row>
    <row r="1177" spans="1:17" x14ac:dyDescent="0.25">
      <c r="A1177" s="5" t="s">
        <v>1234</v>
      </c>
      <c r="B1177" s="6">
        <f t="shared" si="232"/>
        <v>7</v>
      </c>
      <c r="C1177" s="58">
        <v>17.414031980000001</v>
      </c>
      <c r="D1177" s="4">
        <v>0</v>
      </c>
      <c r="E1177" s="12">
        <f t="shared" si="221"/>
        <v>0</v>
      </c>
      <c r="F1177" s="12">
        <f t="shared" si="222"/>
        <v>0</v>
      </c>
      <c r="G1177" s="16">
        <f t="shared" si="224"/>
        <v>2.4699889320543337E-7</v>
      </c>
      <c r="H1177" s="14">
        <f t="shared" si="225"/>
        <v>0</v>
      </c>
      <c r="I1177" s="14">
        <f t="shared" si="226"/>
        <v>10.372960752177413</v>
      </c>
      <c r="J1177" s="14">
        <f t="shared" si="227"/>
        <v>4.2968966534932317E-8</v>
      </c>
      <c r="K1177" s="14">
        <f t="shared" si="228"/>
        <v>2.4324599417760061E-2</v>
      </c>
      <c r="L1177" s="14">
        <f t="shared" si="229"/>
        <v>698.90427902033252</v>
      </c>
      <c r="M1177" s="14">
        <f t="shared" si="223"/>
        <v>0.14815882532604269</v>
      </c>
      <c r="N1177" s="14">
        <f t="shared" si="230"/>
        <v>3.7914254953226898</v>
      </c>
      <c r="O1177" s="4">
        <v>1.71</v>
      </c>
      <c r="P1177" s="14">
        <f t="shared" si="233"/>
        <v>4.3323320925793043</v>
      </c>
      <c r="Q1177" s="14">
        <f t="shared" si="231"/>
        <v>23.267589619756713</v>
      </c>
    </row>
    <row r="1178" spans="1:17" x14ac:dyDescent="0.25">
      <c r="A1178" s="5" t="s">
        <v>1235</v>
      </c>
      <c r="B1178" s="6">
        <f t="shared" si="232"/>
        <v>7</v>
      </c>
      <c r="C1178" s="58">
        <v>15.27194023</v>
      </c>
      <c r="D1178" s="4">
        <v>0</v>
      </c>
      <c r="E1178" s="12">
        <f t="shared" si="221"/>
        <v>0</v>
      </c>
      <c r="F1178" s="12">
        <f t="shared" si="222"/>
        <v>0</v>
      </c>
      <c r="G1178" s="16">
        <f t="shared" si="224"/>
        <v>2.2321171035128884E-7</v>
      </c>
      <c r="H1178" s="14">
        <f t="shared" si="225"/>
        <v>0</v>
      </c>
      <c r="I1178" s="14">
        <f t="shared" si="226"/>
        <v>6.7413316453794403</v>
      </c>
      <c r="J1178" s="14">
        <f t="shared" si="227"/>
        <v>2.3787182854144528E-8</v>
      </c>
      <c r="K1178" s="14">
        <f t="shared" si="228"/>
        <v>2.3112018135263129E-2</v>
      </c>
      <c r="L1178" s="14">
        <f t="shared" si="229"/>
        <v>698.75733277628899</v>
      </c>
      <c r="M1178" s="14">
        <f t="shared" si="223"/>
        <v>0.14812741983840849</v>
      </c>
      <c r="N1178" s="14">
        <f t="shared" si="230"/>
        <v>3.7906218201703843</v>
      </c>
      <c r="O1178" s="4">
        <v>1.66</v>
      </c>
      <c r="P1178" s="14">
        <f t="shared" si="233"/>
        <v>4.5395493405861629</v>
      </c>
      <c r="Q1178" s="14">
        <f t="shared" si="231"/>
        <v>23.752454519181999</v>
      </c>
    </row>
    <row r="1179" spans="1:17" x14ac:dyDescent="0.25">
      <c r="A1179" s="5" t="s">
        <v>1236</v>
      </c>
      <c r="B1179" s="6">
        <f t="shared" si="232"/>
        <v>7</v>
      </c>
      <c r="C1179" s="58">
        <v>15.9823904</v>
      </c>
      <c r="D1179" s="4">
        <v>0</v>
      </c>
      <c r="E1179" s="12">
        <f t="shared" ref="E1179:E1242" si="234">IF(C1179&gt;$C$9,MAX(E1178-$C$10*(C1179-$C$9),0),E1178+D1179)</f>
        <v>0</v>
      </c>
      <c r="F1179" s="12">
        <f t="shared" ref="F1179:F1242" si="235">IF(C1179&gt;$C$9,D1179+MIN(E1178,$C$10*(C1179-$C$9)),0)</f>
        <v>0</v>
      </c>
      <c r="G1179" s="16">
        <f t="shared" si="224"/>
        <v>1.9787459519992191E-7</v>
      </c>
      <c r="H1179" s="14">
        <f t="shared" si="225"/>
        <v>0</v>
      </c>
      <c r="I1179" s="14">
        <f t="shared" si="226"/>
        <v>7.9458045706411919</v>
      </c>
      <c r="J1179" s="14">
        <f t="shared" si="227"/>
        <v>2.5337115151366926E-8</v>
      </c>
      <c r="K1179" s="14">
        <f t="shared" si="228"/>
        <v>2.1959884029774519E-2</v>
      </c>
      <c r="L1179" s="14">
        <f t="shared" si="229"/>
        <v>698.61035749055611</v>
      </c>
      <c r="M1179" s="14">
        <f t="shared" si="223"/>
        <v>0.14809602094766081</v>
      </c>
      <c r="N1179" s="14">
        <f t="shared" si="230"/>
        <v>3.7898183138342367</v>
      </c>
      <c r="O1179" s="4">
        <v>1.7</v>
      </c>
      <c r="P1179" s="14">
        <f t="shared" si="233"/>
        <v>4.3673405848369731</v>
      </c>
      <c r="Q1179" s="14">
        <f t="shared" si="231"/>
        <v>23.364162599641769</v>
      </c>
    </row>
    <row r="1180" spans="1:17" x14ac:dyDescent="0.25">
      <c r="A1180" s="5" t="s">
        <v>1237</v>
      </c>
      <c r="B1180" s="6">
        <f t="shared" si="232"/>
        <v>8</v>
      </c>
      <c r="C1180" s="58">
        <v>16.964658740000001</v>
      </c>
      <c r="D1180" s="4">
        <v>0</v>
      </c>
      <c r="E1180" s="12">
        <f t="shared" si="234"/>
        <v>0</v>
      </c>
      <c r="F1180" s="12">
        <f t="shared" si="235"/>
        <v>0</v>
      </c>
      <c r="G1180" s="16">
        <f t="shared" si="224"/>
        <v>1.756269463193251E-7</v>
      </c>
      <c r="H1180" s="14">
        <f t="shared" si="225"/>
        <v>0</v>
      </c>
      <c r="I1180" s="14">
        <f t="shared" si="226"/>
        <v>7.8703087803921497</v>
      </c>
      <c r="J1180" s="14">
        <f t="shared" si="227"/>
        <v>2.2247648880596809E-8</v>
      </c>
      <c r="K1180" s="14">
        <f t="shared" si="228"/>
        <v>2.0865183809516588E-2</v>
      </c>
      <c r="L1180" s="14">
        <f t="shared" si="229"/>
        <v>698.46335616982867</v>
      </c>
      <c r="M1180" s="14">
        <f t="shared" si="223"/>
        <v>0.14806462865541448</v>
      </c>
      <c r="N1180" s="14">
        <f t="shared" si="230"/>
        <v>3.7890149763555714</v>
      </c>
      <c r="O1180" s="4">
        <v>1.55</v>
      </c>
      <c r="P1180" s="14">
        <f t="shared" si="233"/>
        <v>5.0131880643445408</v>
      </c>
      <c r="Q1180" s="14">
        <f t="shared" si="231"/>
        <v>24.836757297917632</v>
      </c>
    </row>
    <row r="1181" spans="1:17" x14ac:dyDescent="0.25">
      <c r="A1181" s="5" t="s">
        <v>1238</v>
      </c>
      <c r="B1181" s="6">
        <f t="shared" si="232"/>
        <v>8</v>
      </c>
      <c r="C1181" s="58">
        <v>14.08752441</v>
      </c>
      <c r="D1181" s="4">
        <v>0</v>
      </c>
      <c r="E1181" s="12">
        <f t="shared" si="234"/>
        <v>0</v>
      </c>
      <c r="F1181" s="12">
        <f t="shared" si="235"/>
        <v>0</v>
      </c>
      <c r="G1181" s="16">
        <f t="shared" si="224"/>
        <v>1.6709509243077228E-7</v>
      </c>
      <c r="H1181" s="14">
        <f t="shared" si="225"/>
        <v>0</v>
      </c>
      <c r="I1181" s="14">
        <f t="shared" si="226"/>
        <v>3.4005561357369105</v>
      </c>
      <c r="J1181" s="14">
        <f t="shared" si="227"/>
        <v>8.5318538885528076E-9</v>
      </c>
      <c r="K1181" s="14">
        <f t="shared" si="228"/>
        <v>1.9825054395306994E-2</v>
      </c>
      <c r="L1181" s="14">
        <f t="shared" si="229"/>
        <v>698.31633167058749</v>
      </c>
      <c r="M1181" s="14">
        <f t="shared" si="223"/>
        <v>0.14803324296313386</v>
      </c>
      <c r="N1181" s="14">
        <f t="shared" si="230"/>
        <v>3.7882118077718627</v>
      </c>
      <c r="O1181" s="4">
        <v>1.48</v>
      </c>
      <c r="P1181" s="14">
        <f t="shared" si="233"/>
        <v>5.327841749537451</v>
      </c>
      <c r="Q1181" s="14">
        <f t="shared" si="231"/>
        <v>25.539368157113039</v>
      </c>
    </row>
    <row r="1182" spans="1:17" x14ac:dyDescent="0.25">
      <c r="A1182" s="5" t="s">
        <v>1239</v>
      </c>
      <c r="B1182" s="6">
        <f t="shared" si="232"/>
        <v>8</v>
      </c>
      <c r="C1182" s="58">
        <v>14.191771510000001</v>
      </c>
      <c r="D1182" s="4">
        <v>0</v>
      </c>
      <c r="E1182" s="12">
        <f t="shared" si="234"/>
        <v>0</v>
      </c>
      <c r="F1182" s="12">
        <f t="shared" si="235"/>
        <v>0</v>
      </c>
      <c r="G1182" s="16">
        <f t="shared" si="224"/>
        <v>1.5859111856853087E-7</v>
      </c>
      <c r="H1182" s="14">
        <f t="shared" si="225"/>
        <v>0</v>
      </c>
      <c r="I1182" s="14">
        <f t="shared" si="226"/>
        <v>3.5625085152501184</v>
      </c>
      <c r="J1182" s="14">
        <f t="shared" si="227"/>
        <v>8.5039738622413999E-9</v>
      </c>
      <c r="K1182" s="14">
        <f t="shared" si="228"/>
        <v>1.883677543246081E-2</v>
      </c>
      <c r="L1182" s="14">
        <f t="shared" si="229"/>
        <v>698.16928670658717</v>
      </c>
      <c r="M1182" s="14">
        <f t="shared" si="223"/>
        <v>0.1480018638721402</v>
      </c>
      <c r="N1182" s="14">
        <f t="shared" si="230"/>
        <v>3.7874088081169215</v>
      </c>
      <c r="O1182" s="4">
        <v>1.4</v>
      </c>
      <c r="P1182" s="14">
        <f t="shared" si="233"/>
        <v>5.6997208170742599</v>
      </c>
      <c r="Q1182" s="14">
        <f t="shared" si="231"/>
        <v>26.354351996193497</v>
      </c>
    </row>
    <row r="1183" spans="1:17" x14ac:dyDescent="0.25">
      <c r="A1183" s="5" t="s">
        <v>1240</v>
      </c>
      <c r="B1183" s="6">
        <f t="shared" si="232"/>
        <v>8</v>
      </c>
      <c r="C1183" s="58">
        <v>16.058849330000001</v>
      </c>
      <c r="D1183" s="4">
        <v>0</v>
      </c>
      <c r="E1183" s="12">
        <f t="shared" si="234"/>
        <v>0</v>
      </c>
      <c r="F1183" s="12">
        <f t="shared" si="235"/>
        <v>0</v>
      </c>
      <c r="G1183" s="16">
        <f t="shared" si="224"/>
        <v>1.4394840082562602E-7</v>
      </c>
      <c r="H1183" s="14">
        <f t="shared" si="225"/>
        <v>0</v>
      </c>
      <c r="I1183" s="14">
        <f t="shared" si="226"/>
        <v>6.4630946772184883</v>
      </c>
      <c r="J1183" s="14">
        <f t="shared" si="227"/>
        <v>1.4642717742904841E-8</v>
      </c>
      <c r="K1183" s="14">
        <f t="shared" si="228"/>
        <v>1.789776217597433E-2</v>
      </c>
      <c r="L1183" s="14">
        <f t="shared" si="229"/>
        <v>698.02222385597145</v>
      </c>
      <c r="M1183" s="14">
        <f t="shared" ref="M1183:M1246" si="236">MAX(0,K1183-$F$9)*$F$8+K1183*$F$10+L1183*$F$11</f>
        <v>0.14797049138361895</v>
      </c>
      <c r="N1183" s="14">
        <f t="shared" si="230"/>
        <v>3.7866059774210825</v>
      </c>
      <c r="O1183" s="4">
        <v>1.48</v>
      </c>
      <c r="P1183" s="14">
        <f t="shared" si="233"/>
        <v>5.3204311350746671</v>
      </c>
      <c r="Q1183" s="14">
        <f t="shared" si="231"/>
        <v>25.539368157113039</v>
      </c>
    </row>
    <row r="1184" spans="1:17" x14ac:dyDescent="0.25">
      <c r="A1184" s="5" t="s">
        <v>1241</v>
      </c>
      <c r="B1184" s="6">
        <f t="shared" si="232"/>
        <v>8</v>
      </c>
      <c r="C1184" s="58">
        <v>16.905929570000001</v>
      </c>
      <c r="D1184" s="4">
        <v>0</v>
      </c>
      <c r="E1184" s="12">
        <f t="shared" si="234"/>
        <v>0</v>
      </c>
      <c r="F1184" s="12">
        <f t="shared" si="235"/>
        <v>0</v>
      </c>
      <c r="G1184" s="16">
        <f t="shared" ref="G1184:G1247" si="237">G1183+F1184-H1184-J1184</f>
        <v>1.2795146284057936E-7</v>
      </c>
      <c r="H1184" s="14">
        <f t="shared" ref="H1184:H1247" si="238">(F1184*(G1183/$C$11)^$C$12)</f>
        <v>0</v>
      </c>
      <c r="I1184" s="14">
        <f t="shared" ref="I1184:I1247" si="239">(1+$C$13*(C1184-INDEX($A$16:$A$27,B1184)))*INDEX($C$16:$C$27,B1184)</f>
        <v>7.7790704742106289</v>
      </c>
      <c r="J1184" s="14">
        <f t="shared" ref="J1184:J1247" si="240">IF(G1183&gt;$F$13,I1184,I1184*(G1183/$F$13))</f>
        <v>1.5996937985046657E-8</v>
      </c>
      <c r="K1184" s="14">
        <f t="shared" ref="K1184:K1247" si="241">K1183+H1184-MAX(0,K1183-$F$9)*$F$8-K1183*$F$10-K1183*$F$12</f>
        <v>1.7005558730382439E-2</v>
      </c>
      <c r="L1184" s="14">
        <f t="shared" ref="L1184:L1247" si="242">L1183+K1183*$F$12-L1183*$F$11</f>
        <v>697.87514556803342</v>
      </c>
      <c r="M1184" s="14">
        <f t="shared" si="236"/>
        <v>0.14793912549862642</v>
      </c>
      <c r="N1184" s="14">
        <f t="shared" ref="N1184:N1247" si="243">M1184*$C$8*1000/(24*3600)</f>
        <v>3.7858033157113775</v>
      </c>
      <c r="O1184" s="4">
        <v>1.61</v>
      </c>
      <c r="P1184" s="14">
        <f t="shared" si="233"/>
        <v>4.7341200686606228</v>
      </c>
      <c r="Q1184" s="14">
        <f t="shared" ref="Q1184:Q1247" si="244">(O1184-$F$23)^2</f>
        <v>24.242319418607284</v>
      </c>
    </row>
    <row r="1185" spans="1:17" x14ac:dyDescent="0.25">
      <c r="A1185" s="5" t="s">
        <v>1242</v>
      </c>
      <c r="B1185" s="6">
        <f t="shared" ref="B1185:B1248" si="245">MONTH(A1185)</f>
        <v>8</v>
      </c>
      <c r="C1185" s="58">
        <v>17.575942990000001</v>
      </c>
      <c r="D1185" s="4">
        <v>0</v>
      </c>
      <c r="E1185" s="12">
        <f t="shared" si="234"/>
        <v>0</v>
      </c>
      <c r="F1185" s="12">
        <f t="shared" si="235"/>
        <v>0</v>
      </c>
      <c r="G1185" s="16">
        <f t="shared" si="237"/>
        <v>1.1182962891893289E-7</v>
      </c>
      <c r="H1185" s="14">
        <f t="shared" si="238"/>
        <v>0</v>
      </c>
      <c r="I1185" s="14">
        <f t="shared" si="239"/>
        <v>8.8199653065348116</v>
      </c>
      <c r="J1185" s="14">
        <f t="shared" si="240"/>
        <v>1.6121833921646475E-8</v>
      </c>
      <c r="K1185" s="14">
        <f t="shared" si="241"/>
        <v>1.6157831626609113E-2</v>
      </c>
      <c r="L1185" s="14">
        <f t="shared" si="242"/>
        <v>697.72805416963854</v>
      </c>
      <c r="M1185" s="14">
        <f t="shared" si="236"/>
        <v>0.14790776621809626</v>
      </c>
      <c r="N1185" s="14">
        <f t="shared" si="243"/>
        <v>3.7850008230116994</v>
      </c>
      <c r="O1185" s="4">
        <v>1.63</v>
      </c>
      <c r="P1185" s="14">
        <f t="shared" ref="P1185:P1248" si="246">(O1185-N1185)^2</f>
        <v>4.6440285471811018</v>
      </c>
      <c r="Q1185" s="14">
        <f t="shared" si="244"/>
        <v>24.045773458837171</v>
      </c>
    </row>
    <row r="1186" spans="1:17" x14ac:dyDescent="0.25">
      <c r="A1186" s="5" t="s">
        <v>1243</v>
      </c>
      <c r="B1186" s="6">
        <f t="shared" si="245"/>
        <v>8</v>
      </c>
      <c r="C1186" s="58">
        <v>16.826976779999999</v>
      </c>
      <c r="D1186" s="4">
        <v>0</v>
      </c>
      <c r="E1186" s="12">
        <f t="shared" si="234"/>
        <v>0</v>
      </c>
      <c r="F1186" s="12">
        <f t="shared" si="235"/>
        <v>0</v>
      </c>
      <c r="G1186" s="16">
        <f t="shared" si="237"/>
        <v>9.9597991538002277E-8</v>
      </c>
      <c r="H1186" s="14">
        <f t="shared" si="238"/>
        <v>0</v>
      </c>
      <c r="I1186" s="14">
        <f t="shared" si="239"/>
        <v>7.6564138994981716</v>
      </c>
      <c r="J1186" s="14">
        <f t="shared" si="240"/>
        <v>1.2231637380930612E-8</v>
      </c>
      <c r="K1186" s="14">
        <f t="shared" si="241"/>
        <v>1.5352363719011917E-2</v>
      </c>
      <c r="L1186" s="14">
        <f t="shared" si="242"/>
        <v>697.58095187132812</v>
      </c>
      <c r="M1186" s="14">
        <f t="shared" si="236"/>
        <v>0.14787641354284559</v>
      </c>
      <c r="N1186" s="14">
        <f t="shared" si="243"/>
        <v>3.7841984993429585</v>
      </c>
      <c r="O1186" s="4">
        <v>1.53</v>
      </c>
      <c r="P1186" s="14">
        <f t="shared" si="246"/>
        <v>5.0814108744400466</v>
      </c>
      <c r="Q1186" s="14">
        <f t="shared" si="244"/>
        <v>25.036503257687745</v>
      </c>
    </row>
    <row r="1187" spans="1:17" x14ac:dyDescent="0.25">
      <c r="A1187" s="5" t="s">
        <v>1244</v>
      </c>
      <c r="B1187" s="6">
        <f t="shared" si="245"/>
        <v>8</v>
      </c>
      <c r="C1187" s="58">
        <v>14.11181259</v>
      </c>
      <c r="D1187" s="4">
        <v>0</v>
      </c>
      <c r="E1187" s="12">
        <f t="shared" si="234"/>
        <v>0</v>
      </c>
      <c r="F1187" s="12">
        <f t="shared" si="235"/>
        <v>0</v>
      </c>
      <c r="G1187" s="16">
        <f t="shared" si="237"/>
        <v>9.4705892356201819E-8</v>
      </c>
      <c r="H1187" s="14">
        <f t="shared" si="238"/>
        <v>0</v>
      </c>
      <c r="I1187" s="14">
        <f t="shared" si="239"/>
        <v>3.4382888740581201</v>
      </c>
      <c r="J1187" s="14">
        <f t="shared" si="240"/>
        <v>4.8920991818004593E-9</v>
      </c>
      <c r="K1187" s="14">
        <f t="shared" si="241"/>
        <v>1.4587048386658828E-2</v>
      </c>
      <c r="L1187" s="14">
        <f t="shared" si="242"/>
        <v>697.43384077311771</v>
      </c>
      <c r="M1187" s="14">
        <f t="shared" si="236"/>
        <v>0.14784506747358081</v>
      </c>
      <c r="N1187" s="14">
        <f t="shared" si="243"/>
        <v>3.7833963447232315</v>
      </c>
      <c r="O1187" s="4">
        <v>1.59</v>
      </c>
      <c r="P1187" s="14">
        <f t="shared" si="246"/>
        <v>4.8109875250452321</v>
      </c>
      <c r="Q1187" s="14">
        <f t="shared" si="244"/>
        <v>24.439665378377402</v>
      </c>
    </row>
    <row r="1188" spans="1:17" x14ac:dyDescent="0.25">
      <c r="A1188" s="5" t="s">
        <v>1245</v>
      </c>
      <c r="B1188" s="6">
        <f t="shared" si="245"/>
        <v>8</v>
      </c>
      <c r="C1188" s="58">
        <v>14.70528507</v>
      </c>
      <c r="D1188" s="4">
        <v>0</v>
      </c>
      <c r="E1188" s="12">
        <f t="shared" si="234"/>
        <v>0</v>
      </c>
      <c r="F1188" s="12">
        <f t="shared" si="235"/>
        <v>0</v>
      </c>
      <c r="G1188" s="16">
        <f t="shared" si="237"/>
        <v>8.8806692673065486E-8</v>
      </c>
      <c r="H1188" s="14">
        <f t="shared" si="238"/>
        <v>0</v>
      </c>
      <c r="I1188" s="14">
        <f t="shared" si="239"/>
        <v>4.3602740449799473</v>
      </c>
      <c r="J1188" s="14">
        <f t="shared" si="240"/>
        <v>5.8991996831363387E-9</v>
      </c>
      <c r="K1188" s="14">
        <f t="shared" si="241"/>
        <v>1.3859884023671413E-2</v>
      </c>
      <c r="L1188" s="14">
        <f t="shared" si="242"/>
        <v>697.28672287000711</v>
      </c>
      <c r="M1188" s="14">
        <f t="shared" si="236"/>
        <v>0.14781372801090323</v>
      </c>
      <c r="N1188" s="14">
        <f t="shared" si="243"/>
        <v>3.7825943591679052</v>
      </c>
      <c r="O1188" s="4">
        <v>1.56</v>
      </c>
      <c r="P1188" s="14">
        <f t="shared" si="246"/>
        <v>4.9399256854049911</v>
      </c>
      <c r="Q1188" s="14">
        <f t="shared" si="244"/>
        <v>24.737184318032579</v>
      </c>
    </row>
    <row r="1189" spans="1:17" x14ac:dyDescent="0.25">
      <c r="A1189" s="5" t="s">
        <v>1246</v>
      </c>
      <c r="B1189" s="6">
        <f t="shared" si="245"/>
        <v>8</v>
      </c>
      <c r="C1189" s="58">
        <v>14.896413799999999</v>
      </c>
      <c r="D1189" s="4">
        <v>0</v>
      </c>
      <c r="E1189" s="12">
        <f t="shared" si="234"/>
        <v>0</v>
      </c>
      <c r="F1189" s="12">
        <f t="shared" si="235"/>
        <v>0</v>
      </c>
      <c r="G1189" s="16">
        <f t="shared" si="237"/>
        <v>8.2898250762700798E-8</v>
      </c>
      <c r="H1189" s="14">
        <f t="shared" si="238"/>
        <v>0</v>
      </c>
      <c r="I1189" s="14">
        <f t="shared" si="239"/>
        <v>4.6572007951421801</v>
      </c>
      <c r="J1189" s="14">
        <f t="shared" si="240"/>
        <v>5.9084419103646849E-9</v>
      </c>
      <c r="K1189" s="14">
        <f t="shared" si="241"/>
        <v>1.3168968804224407E-2</v>
      </c>
      <c r="L1189" s="14">
        <f t="shared" si="242"/>
        <v>697.1396000572156</v>
      </c>
      <c r="M1189" s="14">
        <f t="shared" si="236"/>
        <v>0.14778239515531419</v>
      </c>
      <c r="N1189" s="14">
        <f t="shared" si="243"/>
        <v>3.7817925426898107</v>
      </c>
      <c r="O1189" s="4">
        <v>1.5</v>
      </c>
      <c r="P1189" s="14">
        <f t="shared" si="246"/>
        <v>5.2065772078748314</v>
      </c>
      <c r="Q1189" s="14">
        <f t="shared" si="244"/>
        <v>25.337622197342917</v>
      </c>
    </row>
    <row r="1190" spans="1:17" x14ac:dyDescent="0.25">
      <c r="A1190" s="5" t="s">
        <v>1247</v>
      </c>
      <c r="B1190" s="6">
        <f t="shared" si="245"/>
        <v>8</v>
      </c>
      <c r="C1190" s="58">
        <v>15.93663883</v>
      </c>
      <c r="D1190" s="4">
        <v>0</v>
      </c>
      <c r="E1190" s="12">
        <f t="shared" si="234"/>
        <v>0</v>
      </c>
      <c r="F1190" s="12">
        <f t="shared" si="235"/>
        <v>0</v>
      </c>
      <c r="G1190" s="16">
        <f t="shared" si="237"/>
        <v>7.546909848446601E-8</v>
      </c>
      <c r="H1190" s="14">
        <f t="shared" si="238"/>
        <v>0</v>
      </c>
      <c r="I1190" s="14">
        <f t="shared" si="239"/>
        <v>6.2732353787200257</v>
      </c>
      <c r="J1190" s="14">
        <f t="shared" si="240"/>
        <v>7.4291522782347841E-9</v>
      </c>
      <c r="K1190" s="14">
        <f t="shared" si="241"/>
        <v>1.2512495708510055E-2</v>
      </c>
      <c r="L1190" s="14">
        <f t="shared" si="242"/>
        <v>696.99247413515604</v>
      </c>
      <c r="M1190" s="14">
        <f t="shared" si="236"/>
        <v>0.14775106890722017</v>
      </c>
      <c r="N1190" s="14">
        <f t="shared" si="243"/>
        <v>3.7809908952993498</v>
      </c>
      <c r="O1190" s="4">
        <v>1.46</v>
      </c>
      <c r="P1190" s="14">
        <f t="shared" si="246"/>
        <v>5.3869987360624778</v>
      </c>
      <c r="Q1190" s="14">
        <f t="shared" si="244"/>
        <v>25.741914116883148</v>
      </c>
    </row>
    <row r="1191" spans="1:17" x14ac:dyDescent="0.25">
      <c r="A1191" s="5" t="s">
        <v>1248</v>
      </c>
      <c r="B1191" s="6">
        <f t="shared" si="245"/>
        <v>8</v>
      </c>
      <c r="C1191" s="58">
        <v>15.46216869</v>
      </c>
      <c r="D1191" s="4">
        <v>0</v>
      </c>
      <c r="E1191" s="12">
        <f t="shared" si="234"/>
        <v>0</v>
      </c>
      <c r="F1191" s="12">
        <f t="shared" si="235"/>
        <v>0</v>
      </c>
      <c r="G1191" s="16">
        <f t="shared" si="237"/>
        <v>6.9500430808777556E-8</v>
      </c>
      <c r="H1191" s="14">
        <f t="shared" si="238"/>
        <v>0</v>
      </c>
      <c r="I1191" s="14">
        <f t="shared" si="239"/>
        <v>5.5361254909537019</v>
      </c>
      <c r="J1191" s="14">
        <f t="shared" si="240"/>
        <v>5.9686676756884574E-9</v>
      </c>
      <c r="K1191" s="14">
        <f t="shared" si="241"/>
        <v>1.1888747796658126E-2</v>
      </c>
      <c r="L1191" s="14">
        <f t="shared" si="242"/>
        <v>696.84534681416073</v>
      </c>
      <c r="M1191" s="14">
        <f t="shared" si="236"/>
        <v>0.14771974926693743</v>
      </c>
      <c r="N1191" s="14">
        <f t="shared" si="243"/>
        <v>3.7801894170046144</v>
      </c>
      <c r="O1191" s="4">
        <v>1.53</v>
      </c>
      <c r="P1191" s="14">
        <f t="shared" si="246"/>
        <v>5.063352412399567</v>
      </c>
      <c r="Q1191" s="14">
        <f t="shared" si="244"/>
        <v>25.036503257687745</v>
      </c>
    </row>
    <row r="1192" spans="1:17" x14ac:dyDescent="0.25">
      <c r="A1192" s="5" t="s">
        <v>1249</v>
      </c>
      <c r="B1192" s="6">
        <f t="shared" si="245"/>
        <v>8</v>
      </c>
      <c r="C1192" s="58">
        <v>14.778428079999999</v>
      </c>
      <c r="D1192" s="4">
        <v>0</v>
      </c>
      <c r="E1192" s="12">
        <f t="shared" si="234"/>
        <v>0</v>
      </c>
      <c r="F1192" s="12">
        <f t="shared" si="235"/>
        <v>0</v>
      </c>
      <c r="G1192" s="16">
        <f t="shared" si="237"/>
        <v>6.5058451275674292E-8</v>
      </c>
      <c r="H1192" s="14">
        <f t="shared" si="238"/>
        <v>0</v>
      </c>
      <c r="I1192" s="14">
        <f t="shared" si="239"/>
        <v>4.4739048751350134</v>
      </c>
      <c r="J1192" s="14">
        <f t="shared" si="240"/>
        <v>4.4419795331032638E-9</v>
      </c>
      <c r="K1192" s="14">
        <f t="shared" si="241"/>
        <v>1.1296093718251035E-2</v>
      </c>
      <c r="L1192" s="14">
        <f t="shared" si="242"/>
        <v>696.69821971897215</v>
      </c>
      <c r="M1192" s="14">
        <f t="shared" si="236"/>
        <v>0.14768843623469663</v>
      </c>
      <c r="N1192" s="14">
        <f t="shared" si="243"/>
        <v>3.7793881078115068</v>
      </c>
      <c r="O1192" s="4">
        <v>1.53</v>
      </c>
      <c r="P1192" s="14">
        <f t="shared" si="246"/>
        <v>5.0597468595638322</v>
      </c>
      <c r="Q1192" s="14">
        <f t="shared" si="244"/>
        <v>25.036503257687745</v>
      </c>
    </row>
    <row r="1193" spans="1:17" x14ac:dyDescent="0.25">
      <c r="A1193" s="5" t="s">
        <v>1250</v>
      </c>
      <c r="B1193" s="6">
        <f t="shared" si="245"/>
        <v>8</v>
      </c>
      <c r="C1193" s="58">
        <v>15.42883396</v>
      </c>
      <c r="D1193" s="4">
        <v>0</v>
      </c>
      <c r="E1193" s="12">
        <f t="shared" si="234"/>
        <v>0</v>
      </c>
      <c r="F1193" s="12">
        <f t="shared" si="235"/>
        <v>0</v>
      </c>
      <c r="G1193" s="16">
        <f t="shared" si="237"/>
        <v>5.9961267558523142E-8</v>
      </c>
      <c r="H1193" s="14">
        <f t="shared" si="238"/>
        <v>0</v>
      </c>
      <c r="I1193" s="14">
        <f t="shared" si="239"/>
        <v>5.4843385458594947</v>
      </c>
      <c r="J1193" s="14">
        <f t="shared" si="240"/>
        <v>5.0971837171511515E-9</v>
      </c>
      <c r="K1193" s="14">
        <f t="shared" si="241"/>
        <v>1.073298344568961E-2</v>
      </c>
      <c r="L1193" s="14">
        <f t="shared" si="242"/>
        <v>696.55109439300998</v>
      </c>
      <c r="M1193" s="14">
        <f t="shared" si="236"/>
        <v>0.14765712981064694</v>
      </c>
      <c r="N1193" s="14">
        <f t="shared" si="243"/>
        <v>3.7785869677238475</v>
      </c>
      <c r="O1193" s="4">
        <v>1.51</v>
      </c>
      <c r="P1193" s="14">
        <f t="shared" si="246"/>
        <v>5.1464868301264817</v>
      </c>
      <c r="Q1193" s="14">
        <f t="shared" si="244"/>
        <v>25.237049217457862</v>
      </c>
    </row>
    <row r="1194" spans="1:17" x14ac:dyDescent="0.25">
      <c r="A1194" s="5" t="s">
        <v>1251</v>
      </c>
      <c r="B1194" s="6">
        <f t="shared" si="245"/>
        <v>8</v>
      </c>
      <c r="C1194" s="58">
        <v>11.938711169999999</v>
      </c>
      <c r="D1194" s="4">
        <v>0</v>
      </c>
      <c r="E1194" s="12">
        <f t="shared" si="234"/>
        <v>0</v>
      </c>
      <c r="F1194" s="12">
        <f t="shared" si="235"/>
        <v>0</v>
      </c>
      <c r="G1194" s="16">
        <f t="shared" si="237"/>
        <v>5.9907917567731747E-8</v>
      </c>
      <c r="H1194" s="14">
        <f t="shared" si="238"/>
        <v>0</v>
      </c>
      <c r="I1194" s="14">
        <f t="shared" si="239"/>
        <v>6.2281811103554283E-2</v>
      </c>
      <c r="J1194" s="14">
        <f t="shared" si="240"/>
        <v>5.334999079139346E-11</v>
      </c>
      <c r="K1194" s="14">
        <f t="shared" si="241"/>
        <v>1.0197944220250596E-2</v>
      </c>
      <c r="L1194" s="14">
        <f t="shared" si="242"/>
        <v>696.40397230242479</v>
      </c>
      <c r="M1194" s="14">
        <f t="shared" si="236"/>
        <v>0.1476258299948604</v>
      </c>
      <c r="N1194" s="14">
        <f t="shared" si="243"/>
        <v>3.7777859967434764</v>
      </c>
      <c r="O1194" s="4">
        <v>1.48</v>
      </c>
      <c r="P1194" s="14">
        <f t="shared" si="246"/>
        <v>5.2798204868304115</v>
      </c>
      <c r="Q1194" s="14">
        <f t="shared" si="244"/>
        <v>25.539368157113039</v>
      </c>
    </row>
    <row r="1195" spans="1:17" x14ac:dyDescent="0.25">
      <c r="A1195" s="5" t="s">
        <v>1252</v>
      </c>
      <c r="B1195" s="6">
        <f t="shared" si="245"/>
        <v>8</v>
      </c>
      <c r="C1195" s="58">
        <v>13.292188640000001</v>
      </c>
      <c r="D1195" s="4">
        <v>0</v>
      </c>
      <c r="E1195" s="12">
        <f t="shared" si="234"/>
        <v>0</v>
      </c>
      <c r="F1195" s="12">
        <f t="shared" si="235"/>
        <v>0</v>
      </c>
      <c r="G1195" s="16">
        <f t="shared" si="237"/>
        <v>5.8055077482961015E-8</v>
      </c>
      <c r="H1195" s="14">
        <f t="shared" si="238"/>
        <v>0</v>
      </c>
      <c r="I1195" s="14">
        <f t="shared" si="239"/>
        <v>2.1649676113226173</v>
      </c>
      <c r="J1195" s="14">
        <f t="shared" si="240"/>
        <v>1.85284008477073E-9</v>
      </c>
      <c r="K1195" s="14">
        <f t="shared" si="241"/>
        <v>9.6895767002331858E-3</v>
      </c>
      <c r="L1195" s="14">
        <f t="shared" si="242"/>
        <v>696.25685483994994</v>
      </c>
      <c r="M1195" s="14">
        <f t="shared" si="236"/>
        <v>0.1475945367873355</v>
      </c>
      <c r="N1195" s="14">
        <f t="shared" si="243"/>
        <v>3.7769851948703566</v>
      </c>
      <c r="O1195" s="4">
        <v>1.46</v>
      </c>
      <c r="P1195" s="14">
        <f t="shared" si="246"/>
        <v>5.3684203932484245</v>
      </c>
      <c r="Q1195" s="14">
        <f t="shared" si="244"/>
        <v>25.741914116883148</v>
      </c>
    </row>
    <row r="1196" spans="1:17" x14ac:dyDescent="0.25">
      <c r="A1196" s="5" t="s">
        <v>1253</v>
      </c>
      <c r="B1196" s="6">
        <f t="shared" si="245"/>
        <v>8</v>
      </c>
      <c r="C1196" s="58">
        <v>14.27179241</v>
      </c>
      <c r="D1196" s="4">
        <v>0</v>
      </c>
      <c r="E1196" s="12">
        <f t="shared" si="234"/>
        <v>0</v>
      </c>
      <c r="F1196" s="12">
        <f t="shared" si="235"/>
        <v>0</v>
      </c>
      <c r="G1196" s="16">
        <f t="shared" si="237"/>
        <v>5.4997376744811311E-8</v>
      </c>
      <c r="H1196" s="14">
        <f t="shared" si="238"/>
        <v>0</v>
      </c>
      <c r="I1196" s="14">
        <f t="shared" si="239"/>
        <v>3.6868244450533303</v>
      </c>
      <c r="J1196" s="14">
        <f t="shared" si="240"/>
        <v>3.0577007381497027E-9</v>
      </c>
      <c r="K1196" s="14">
        <f t="shared" si="241"/>
        <v>9.2065513011204431E-3</v>
      </c>
      <c r="L1196" s="14">
        <f t="shared" si="242"/>
        <v>696.10974332856165</v>
      </c>
      <c r="M1196" s="14">
        <f t="shared" si="236"/>
        <v>0.14756325018800098</v>
      </c>
      <c r="N1196" s="14">
        <f t="shared" si="243"/>
        <v>3.7761845621026642</v>
      </c>
      <c r="O1196" s="4">
        <v>1.43</v>
      </c>
      <c r="P1196" s="14">
        <f t="shared" si="246"/>
        <v>5.5045819994488694</v>
      </c>
      <c r="Q1196" s="14">
        <f t="shared" si="244"/>
        <v>26.047233056538321</v>
      </c>
    </row>
    <row r="1197" spans="1:17" x14ac:dyDescent="0.25">
      <c r="A1197" s="5" t="s">
        <v>1254</v>
      </c>
      <c r="B1197" s="6">
        <f t="shared" si="245"/>
        <v>8</v>
      </c>
      <c r="C1197" s="58">
        <v>15.63793087</v>
      </c>
      <c r="D1197" s="4">
        <v>0</v>
      </c>
      <c r="E1197" s="12">
        <f t="shared" si="234"/>
        <v>0</v>
      </c>
      <c r="F1197" s="12">
        <f t="shared" si="235"/>
        <v>0</v>
      </c>
      <c r="G1197" s="16">
        <f t="shared" si="237"/>
        <v>5.0433235326315047E-8</v>
      </c>
      <c r="H1197" s="14">
        <f t="shared" si="238"/>
        <v>0</v>
      </c>
      <c r="I1197" s="14">
        <f t="shared" si="239"/>
        <v>5.8091796409437606</v>
      </c>
      <c r="J1197" s="14">
        <f t="shared" si="240"/>
        <v>4.5641414184962655E-9</v>
      </c>
      <c r="K1197" s="14">
        <f t="shared" si="241"/>
        <v>8.7476047181836852E-3</v>
      </c>
      <c r="L1197" s="14">
        <f t="shared" si="242"/>
        <v>695.96263902495662</v>
      </c>
      <c r="M1197" s="14">
        <f t="shared" si="236"/>
        <v>0.14753197019671943</v>
      </c>
      <c r="N1197" s="14">
        <f t="shared" si="243"/>
        <v>3.7753840984368825</v>
      </c>
      <c r="O1197" s="4">
        <v>1.39</v>
      </c>
      <c r="P1197" s="14">
        <f t="shared" si="246"/>
        <v>5.6900572970755405</v>
      </c>
      <c r="Q1197" s="14">
        <f t="shared" si="244"/>
        <v>26.457124976078553</v>
      </c>
    </row>
    <row r="1198" spans="1:17" x14ac:dyDescent="0.25">
      <c r="A1198" s="5" t="s">
        <v>1255</v>
      </c>
      <c r="B1198" s="6">
        <f t="shared" si="245"/>
        <v>8</v>
      </c>
      <c r="C1198" s="58">
        <v>14.63026619</v>
      </c>
      <c r="D1198" s="4">
        <v>0</v>
      </c>
      <c r="E1198" s="12">
        <f t="shared" si="234"/>
        <v>0</v>
      </c>
      <c r="F1198" s="12">
        <f t="shared" si="235"/>
        <v>0</v>
      </c>
      <c r="G1198" s="16">
        <f t="shared" si="237"/>
        <v>4.7375733117427782E-8</v>
      </c>
      <c r="H1198" s="14">
        <f t="shared" si="238"/>
        <v>0</v>
      </c>
      <c r="I1198" s="14">
        <f t="shared" si="239"/>
        <v>4.2437289696309373</v>
      </c>
      <c r="J1198" s="14">
        <f t="shared" si="240"/>
        <v>3.0575022088872625E-9</v>
      </c>
      <c r="K1198" s="14">
        <f t="shared" si="241"/>
        <v>8.3115366224350354E-3</v>
      </c>
      <c r="L1198" s="14">
        <f t="shared" si="242"/>
        <v>695.81554312285562</v>
      </c>
      <c r="M1198" s="14">
        <f t="shared" si="236"/>
        <v>0.14750069681329031</v>
      </c>
      <c r="N1198" s="14">
        <f t="shared" si="243"/>
        <v>3.7745838038678805</v>
      </c>
      <c r="O1198" s="4">
        <v>1.5</v>
      </c>
      <c r="P1198" s="14">
        <f t="shared" si="246"/>
        <v>5.173731480818077</v>
      </c>
      <c r="Q1198" s="14">
        <f t="shared" si="244"/>
        <v>25.337622197342917</v>
      </c>
    </row>
    <row r="1199" spans="1:17" x14ac:dyDescent="0.25">
      <c r="A1199" s="5" t="s">
        <v>1256</v>
      </c>
      <c r="B1199" s="6">
        <f t="shared" si="245"/>
        <v>8</v>
      </c>
      <c r="C1199" s="58">
        <v>14.58900738</v>
      </c>
      <c r="D1199" s="4">
        <v>0</v>
      </c>
      <c r="E1199" s="12">
        <f t="shared" si="234"/>
        <v>0</v>
      </c>
      <c r="F1199" s="12">
        <f t="shared" si="235"/>
        <v>0</v>
      </c>
      <c r="G1199" s="16">
        <f t="shared" si="237"/>
        <v>4.4546972085602989E-8</v>
      </c>
      <c r="H1199" s="14">
        <f t="shared" si="238"/>
        <v>0</v>
      </c>
      <c r="I1199" s="14">
        <f t="shared" si="239"/>
        <v>4.1796316234660704</v>
      </c>
      <c r="J1199" s="14">
        <f t="shared" si="240"/>
        <v>2.8287610318247897E-9</v>
      </c>
      <c r="K1199" s="14">
        <f t="shared" si="241"/>
        <v>7.8972065212867329E-3</v>
      </c>
      <c r="L1199" s="14">
        <f t="shared" si="242"/>
        <v>695.66845675614343</v>
      </c>
      <c r="M1199" s="14">
        <f t="shared" si="236"/>
        <v>0.14746943003745344</v>
      </c>
      <c r="N1199" s="14">
        <f t="shared" si="243"/>
        <v>3.7737836783889995</v>
      </c>
      <c r="O1199" s="4">
        <v>1.38</v>
      </c>
      <c r="P1199" s="14">
        <f t="shared" si="246"/>
        <v>5.7302002989215692</v>
      </c>
      <c r="Q1199" s="14">
        <f t="shared" si="244"/>
        <v>26.560097955963606</v>
      </c>
    </row>
    <row r="1200" spans="1:17" x14ac:dyDescent="0.25">
      <c r="A1200" s="5" t="s">
        <v>1257</v>
      </c>
      <c r="B1200" s="6">
        <f t="shared" si="245"/>
        <v>8</v>
      </c>
      <c r="C1200" s="58">
        <v>14.52370644</v>
      </c>
      <c r="D1200" s="4">
        <v>0</v>
      </c>
      <c r="E1200" s="12">
        <f t="shared" si="234"/>
        <v>0</v>
      </c>
      <c r="F1200" s="12">
        <f t="shared" si="235"/>
        <v>0</v>
      </c>
      <c r="G1200" s="16">
        <f t="shared" si="237"/>
        <v>4.1951673712955926E-8</v>
      </c>
      <c r="H1200" s="14">
        <f t="shared" si="238"/>
        <v>0</v>
      </c>
      <c r="I1200" s="14">
        <f t="shared" si="239"/>
        <v>4.0781837882989613</v>
      </c>
      <c r="J1200" s="14">
        <f t="shared" si="240"/>
        <v>2.595298372647066E-9</v>
      </c>
      <c r="K1200" s="14">
        <f t="shared" si="241"/>
        <v>7.5035307757065905E-3</v>
      </c>
      <c r="L1200" s="14">
        <f t="shared" si="242"/>
        <v>695.52138100185164</v>
      </c>
      <c r="M1200" s="14">
        <f t="shared" si="236"/>
        <v>0.14743816986889174</v>
      </c>
      <c r="N1200" s="14">
        <f t="shared" si="243"/>
        <v>3.7729837219921261</v>
      </c>
      <c r="O1200" s="4">
        <v>1.39</v>
      </c>
      <c r="P1200" s="14">
        <f t="shared" si="246"/>
        <v>5.6786114192794459</v>
      </c>
      <c r="Q1200" s="14">
        <f t="shared" si="244"/>
        <v>26.457124976078553</v>
      </c>
    </row>
    <row r="1201" spans="1:17" x14ac:dyDescent="0.25">
      <c r="A1201" s="5" t="s">
        <v>1258</v>
      </c>
      <c r="B1201" s="6">
        <f t="shared" si="245"/>
        <v>8</v>
      </c>
      <c r="C1201" s="58">
        <v>15.04784012</v>
      </c>
      <c r="D1201" s="4">
        <v>0</v>
      </c>
      <c r="E1201" s="12">
        <f t="shared" si="234"/>
        <v>0</v>
      </c>
      <c r="F1201" s="12">
        <f t="shared" si="235"/>
        <v>0</v>
      </c>
      <c r="G1201" s="16">
        <f t="shared" si="237"/>
        <v>3.9019580091297691E-8</v>
      </c>
      <c r="H1201" s="14">
        <f t="shared" si="238"/>
        <v>0</v>
      </c>
      <c r="I1201" s="14">
        <f t="shared" si="239"/>
        <v>4.8924481338684238</v>
      </c>
      <c r="J1201" s="14">
        <f t="shared" si="240"/>
        <v>2.9320936216582324E-9</v>
      </c>
      <c r="K1201" s="14">
        <f t="shared" si="241"/>
        <v>7.1294797660682438E-3</v>
      </c>
      <c r="L1201" s="14">
        <f t="shared" si="242"/>
        <v>695.37431688299239</v>
      </c>
      <c r="M1201" s="14">
        <f t="shared" si="236"/>
        <v>0.14740691630723424</v>
      </c>
      <c r="N1201" s="14">
        <f t="shared" si="243"/>
        <v>3.7721839346677646</v>
      </c>
      <c r="O1201" s="4">
        <v>1.39</v>
      </c>
      <c r="P1201" s="14">
        <f t="shared" si="246"/>
        <v>5.6748002985891937</v>
      </c>
      <c r="Q1201" s="14">
        <f t="shared" si="244"/>
        <v>26.457124976078553</v>
      </c>
    </row>
    <row r="1202" spans="1:17" x14ac:dyDescent="0.25">
      <c r="A1202" s="5" t="s">
        <v>1259</v>
      </c>
      <c r="B1202" s="6">
        <f t="shared" si="245"/>
        <v>8</v>
      </c>
      <c r="C1202" s="58">
        <v>14.703679080000001</v>
      </c>
      <c r="D1202" s="4">
        <v>0</v>
      </c>
      <c r="E1202" s="12">
        <f t="shared" si="234"/>
        <v>0</v>
      </c>
      <c r="F1202" s="12">
        <f t="shared" si="235"/>
        <v>0</v>
      </c>
      <c r="G1202" s="16">
        <f t="shared" si="237"/>
        <v>3.6590453709037834E-8</v>
      </c>
      <c r="H1202" s="14">
        <f t="shared" si="238"/>
        <v>0</v>
      </c>
      <c r="I1202" s="14">
        <f t="shared" si="239"/>
        <v>4.3577790700408423</v>
      </c>
      <c r="J1202" s="14">
        <f t="shared" si="240"/>
        <v>2.429126382259859E-9</v>
      </c>
      <c r="K1202" s="14">
        <f t="shared" si="241"/>
        <v>6.7740751992837675E-3</v>
      </c>
      <c r="L1202" s="14">
        <f t="shared" si="242"/>
        <v>695.22726537125197</v>
      </c>
      <c r="M1202" s="14">
        <f t="shared" si="236"/>
        <v>0.1473756693520587</v>
      </c>
      <c r="N1202" s="14">
        <f t="shared" si="243"/>
        <v>3.7713843164051131</v>
      </c>
      <c r="O1202" s="4">
        <v>1.37</v>
      </c>
      <c r="P1202" s="14">
        <f t="shared" si="246"/>
        <v>5.7666466350764516</v>
      </c>
      <c r="Q1202" s="14">
        <f t="shared" si="244"/>
        <v>26.663270935848661</v>
      </c>
    </row>
    <row r="1203" spans="1:17" x14ac:dyDescent="0.25">
      <c r="A1203" s="5" t="s">
        <v>1260</v>
      </c>
      <c r="B1203" s="6">
        <f t="shared" si="245"/>
        <v>8</v>
      </c>
      <c r="C1203" s="58">
        <v>15.128968240000001</v>
      </c>
      <c r="D1203" s="4">
        <v>0</v>
      </c>
      <c r="E1203" s="12">
        <f t="shared" si="234"/>
        <v>0</v>
      </c>
      <c r="F1203" s="12">
        <f t="shared" si="235"/>
        <v>0</v>
      </c>
      <c r="G1203" s="16">
        <f t="shared" si="237"/>
        <v>3.3967185690640303E-8</v>
      </c>
      <c r="H1203" s="14">
        <f t="shared" si="238"/>
        <v>0</v>
      </c>
      <c r="I1203" s="14">
        <f t="shared" si="239"/>
        <v>5.0184841778392695</v>
      </c>
      <c r="J1203" s="14">
        <f t="shared" si="240"/>
        <v>2.6232680183975312E-9</v>
      </c>
      <c r="K1203" s="14">
        <f t="shared" si="241"/>
        <v>6.4363875501757288E-3</v>
      </c>
      <c r="L1203" s="14">
        <f t="shared" si="242"/>
        <v>695.08022738954901</v>
      </c>
      <c r="M1203" s="14">
        <f t="shared" si="236"/>
        <v>0.14734442900289421</v>
      </c>
      <c r="N1203" s="14">
        <f t="shared" si="243"/>
        <v>3.7705848671921194</v>
      </c>
      <c r="O1203" s="4">
        <v>1.41</v>
      </c>
      <c r="P1203" s="14">
        <f t="shared" si="246"/>
        <v>5.5723609152164348</v>
      </c>
      <c r="Q1203" s="14">
        <f t="shared" si="244"/>
        <v>26.251779016308433</v>
      </c>
    </row>
    <row r="1204" spans="1:17" x14ac:dyDescent="0.25">
      <c r="A1204" s="5" t="s">
        <v>1261</v>
      </c>
      <c r="B1204" s="6">
        <f t="shared" si="245"/>
        <v>8</v>
      </c>
      <c r="C1204" s="58">
        <v>15.772888180000001</v>
      </c>
      <c r="D1204" s="4">
        <v>0</v>
      </c>
      <c r="E1204" s="12">
        <f t="shared" si="234"/>
        <v>0</v>
      </c>
      <c r="F1204" s="12">
        <f t="shared" si="235"/>
        <v>0</v>
      </c>
      <c r="G1204" s="16">
        <f t="shared" si="237"/>
        <v>3.1046567441894201E-8</v>
      </c>
      <c r="H1204" s="14">
        <f t="shared" si="238"/>
        <v>0</v>
      </c>
      <c r="I1204" s="14">
        <f t="shared" si="239"/>
        <v>6.0188416601961121</v>
      </c>
      <c r="J1204" s="14">
        <f t="shared" si="240"/>
        <v>2.9206182487461001E-9</v>
      </c>
      <c r="K1204" s="14">
        <f t="shared" si="241"/>
        <v>6.1155336303968487E-3</v>
      </c>
      <c r="L1204" s="14">
        <f t="shared" si="242"/>
        <v>694.93320381446597</v>
      </c>
      <c r="M1204" s="14">
        <f t="shared" si="236"/>
        <v>0.14731319525922362</v>
      </c>
      <c r="N1204" s="14">
        <f t="shared" si="243"/>
        <v>3.7697855870155492</v>
      </c>
      <c r="O1204" s="4">
        <v>1.39</v>
      </c>
      <c r="P1204" s="14">
        <f t="shared" si="246"/>
        <v>5.6633794401669419</v>
      </c>
      <c r="Q1204" s="14">
        <f t="shared" si="244"/>
        <v>26.457124976078553</v>
      </c>
    </row>
    <row r="1205" spans="1:17" x14ac:dyDescent="0.25">
      <c r="A1205" s="5" t="s">
        <v>1262</v>
      </c>
      <c r="B1205" s="6">
        <f t="shared" si="245"/>
        <v>8</v>
      </c>
      <c r="C1205" s="58">
        <v>15.705828670000001</v>
      </c>
      <c r="D1205" s="4">
        <v>0</v>
      </c>
      <c r="E1205" s="12">
        <f t="shared" si="234"/>
        <v>0</v>
      </c>
      <c r="F1205" s="12">
        <f t="shared" si="235"/>
        <v>0</v>
      </c>
      <c r="G1205" s="16">
        <f t="shared" si="237"/>
        <v>2.8423280369257617E-8</v>
      </c>
      <c r="H1205" s="14">
        <f t="shared" si="238"/>
        <v>0</v>
      </c>
      <c r="I1205" s="14">
        <f t="shared" si="239"/>
        <v>5.9146618104593838</v>
      </c>
      <c r="J1205" s="14">
        <f t="shared" si="240"/>
        <v>2.6232870726365856E-9</v>
      </c>
      <c r="K1205" s="14">
        <f t="shared" si="241"/>
        <v>5.8106742785390174E-3</v>
      </c>
      <c r="L1205" s="14">
        <f t="shared" si="242"/>
        <v>694.78619547855862</v>
      </c>
      <c r="M1205" s="14">
        <f t="shared" si="236"/>
        <v>0.14728196812048583</v>
      </c>
      <c r="N1205" s="14">
        <f t="shared" si="243"/>
        <v>3.7689864758610438</v>
      </c>
      <c r="O1205" s="4">
        <v>1.36</v>
      </c>
      <c r="P1205" s="14">
        <f t="shared" si="246"/>
        <v>5.8032158408814096</v>
      </c>
      <c r="Q1205" s="14">
        <f t="shared" si="244"/>
        <v>26.766643915733717</v>
      </c>
    </row>
    <row r="1206" spans="1:17" x14ac:dyDescent="0.25">
      <c r="A1206" s="5" t="s">
        <v>1263</v>
      </c>
      <c r="B1206" s="6">
        <f t="shared" si="245"/>
        <v>8</v>
      </c>
      <c r="C1206" s="58">
        <v>17.175575259999999</v>
      </c>
      <c r="D1206" s="4">
        <v>0</v>
      </c>
      <c r="E1206" s="12">
        <f t="shared" si="234"/>
        <v>0</v>
      </c>
      <c r="F1206" s="12">
        <f t="shared" si="235"/>
        <v>0</v>
      </c>
      <c r="G1206" s="16">
        <f t="shared" si="237"/>
        <v>2.5094514956467329E-8</v>
      </c>
      <c r="H1206" s="14">
        <f t="shared" si="238"/>
        <v>0</v>
      </c>
      <c r="I1206" s="14">
        <f t="shared" si="239"/>
        <v>8.1979767183265846</v>
      </c>
      <c r="J1206" s="14">
        <f t="shared" si="240"/>
        <v>3.3287654127902873E-9</v>
      </c>
      <c r="K1206" s="14">
        <f t="shared" si="241"/>
        <v>5.5210121653903686E-3</v>
      </c>
      <c r="L1206" s="14">
        <f t="shared" si="242"/>
        <v>694.63920317255122</v>
      </c>
      <c r="M1206" s="14">
        <f t="shared" si="236"/>
        <v>0.14725074758607803</v>
      </c>
      <c r="N1206" s="14">
        <f t="shared" si="243"/>
        <v>3.7681875337131774</v>
      </c>
      <c r="O1206" s="4">
        <v>1.4</v>
      </c>
      <c r="P1206" s="14">
        <f t="shared" si="246"/>
        <v>5.6083121948345021</v>
      </c>
      <c r="Q1206" s="14">
        <f t="shared" si="244"/>
        <v>26.354351996193497</v>
      </c>
    </row>
    <row r="1207" spans="1:17" x14ac:dyDescent="0.25">
      <c r="A1207" s="5" t="s">
        <v>1264</v>
      </c>
      <c r="B1207" s="6">
        <f t="shared" si="245"/>
        <v>8</v>
      </c>
      <c r="C1207" s="58">
        <v>16.618679050000001</v>
      </c>
      <c r="D1207" s="4">
        <v>0</v>
      </c>
      <c r="E1207" s="12">
        <f t="shared" si="234"/>
        <v>0</v>
      </c>
      <c r="F1207" s="12">
        <f t="shared" si="235"/>
        <v>0</v>
      </c>
      <c r="G1207" s="16">
        <f t="shared" si="237"/>
        <v>2.2465749694207174E-8</v>
      </c>
      <c r="H1207" s="14">
        <f t="shared" si="238"/>
        <v>0</v>
      </c>
      <c r="I1207" s="14">
        <f t="shared" si="239"/>
        <v>7.3328143651159259</v>
      </c>
      <c r="J1207" s="14">
        <f t="shared" si="240"/>
        <v>2.6287652622601554E-9</v>
      </c>
      <c r="K1207" s="14">
        <f t="shared" si="241"/>
        <v>5.2457897086002989E-3</v>
      </c>
      <c r="L1207" s="14">
        <f t="shared" si="242"/>
        <v>694.49222764742183</v>
      </c>
      <c r="M1207" s="14">
        <f t="shared" si="236"/>
        <v>0.14721953365535789</v>
      </c>
      <c r="N1207" s="14">
        <f t="shared" si="243"/>
        <v>3.7673887605555132</v>
      </c>
      <c r="O1207" s="4">
        <v>1.48</v>
      </c>
      <c r="P1207" s="14">
        <f t="shared" si="246"/>
        <v>5.2321473419156872</v>
      </c>
      <c r="Q1207" s="14">
        <f t="shared" si="244"/>
        <v>25.539368157113039</v>
      </c>
    </row>
    <row r="1208" spans="1:17" x14ac:dyDescent="0.25">
      <c r="A1208" s="5" t="s">
        <v>1265</v>
      </c>
      <c r="B1208" s="6">
        <f t="shared" si="245"/>
        <v>8</v>
      </c>
      <c r="C1208" s="58">
        <v>15.98263073</v>
      </c>
      <c r="D1208" s="4">
        <v>0</v>
      </c>
      <c r="E1208" s="12">
        <f t="shared" si="234"/>
        <v>0</v>
      </c>
      <c r="F1208" s="12">
        <f t="shared" si="235"/>
        <v>0</v>
      </c>
      <c r="G1208" s="16">
        <f t="shared" si="237"/>
        <v>2.0429489153641822E-8</v>
      </c>
      <c r="H1208" s="14">
        <f t="shared" si="238"/>
        <v>0</v>
      </c>
      <c r="I1208" s="14">
        <f t="shared" si="239"/>
        <v>6.3446857849503537</v>
      </c>
      <c r="J1208" s="14">
        <f t="shared" si="240"/>
        <v>2.0362605405653532E-9</v>
      </c>
      <c r="K1208" s="14">
        <f t="shared" si="241"/>
        <v>4.9842870912984311E-3</v>
      </c>
      <c r="L1208" s="14">
        <f t="shared" si="242"/>
        <v>694.3452696163838</v>
      </c>
      <c r="M1208" s="14">
        <f t="shared" si="236"/>
        <v>0.14718832632764536</v>
      </c>
      <c r="N1208" s="14">
        <f t="shared" si="243"/>
        <v>3.7665901563706474</v>
      </c>
      <c r="O1208" s="4">
        <v>1.56</v>
      </c>
      <c r="P1208" s="14">
        <f t="shared" si="246"/>
        <v>4.8690401181918377</v>
      </c>
      <c r="Q1208" s="14">
        <f t="shared" si="244"/>
        <v>24.737184318032579</v>
      </c>
    </row>
    <row r="1209" spans="1:17" x14ac:dyDescent="0.25">
      <c r="A1209" s="5" t="s">
        <v>1266</v>
      </c>
      <c r="B1209" s="6">
        <f t="shared" si="245"/>
        <v>8</v>
      </c>
      <c r="C1209" s="58">
        <v>17.133897780000002</v>
      </c>
      <c r="D1209" s="4">
        <v>0</v>
      </c>
      <c r="E1209" s="12">
        <f t="shared" si="234"/>
        <v>0</v>
      </c>
      <c r="F1209" s="12">
        <f t="shared" si="235"/>
        <v>0</v>
      </c>
      <c r="G1209" s="16">
        <f t="shared" si="237"/>
        <v>1.8055805627888081E-8</v>
      </c>
      <c r="H1209" s="14">
        <f t="shared" si="238"/>
        <v>0</v>
      </c>
      <c r="I1209" s="14">
        <f t="shared" si="239"/>
        <v>8.133228950205325</v>
      </c>
      <c r="J1209" s="14">
        <f t="shared" si="240"/>
        <v>2.3736835257537401E-9</v>
      </c>
      <c r="K1209" s="14">
        <f t="shared" si="241"/>
        <v>4.7358203794854187E-3</v>
      </c>
      <c r="L1209" s="14">
        <f t="shared" si="242"/>
        <v>694.19832975676798</v>
      </c>
      <c r="M1209" s="14">
        <f t="shared" si="236"/>
        <v>0.14715712560222469</v>
      </c>
      <c r="N1209" s="14">
        <f t="shared" si="243"/>
        <v>3.7657917211402632</v>
      </c>
      <c r="O1209" s="4">
        <v>1.6</v>
      </c>
      <c r="P1209" s="14">
        <f t="shared" si="246"/>
        <v>4.6906537793597032</v>
      </c>
      <c r="Q1209" s="14">
        <f t="shared" si="244"/>
        <v>24.34089239849234</v>
      </c>
    </row>
    <row r="1210" spans="1:17" x14ac:dyDescent="0.25">
      <c r="A1210" s="5" t="s">
        <v>1267</v>
      </c>
      <c r="B1210" s="6">
        <f t="shared" si="245"/>
        <v>8</v>
      </c>
      <c r="C1210" s="58">
        <v>17.09599304</v>
      </c>
      <c r="D1210" s="4">
        <v>0</v>
      </c>
      <c r="E1210" s="12">
        <f t="shared" si="234"/>
        <v>0</v>
      </c>
      <c r="F1210" s="12">
        <f t="shared" si="235"/>
        <v>0</v>
      </c>
      <c r="G1210" s="16">
        <f t="shared" si="237"/>
        <v>1.5973107444787543E-8</v>
      </c>
      <c r="H1210" s="14">
        <f t="shared" si="238"/>
        <v>0</v>
      </c>
      <c r="I1210" s="14">
        <f t="shared" si="239"/>
        <v>8.0743422968803902</v>
      </c>
      <c r="J1210" s="14">
        <f t="shared" si="240"/>
        <v>2.0826981831005368E-9</v>
      </c>
      <c r="K1210" s="14">
        <f t="shared" si="241"/>
        <v>4.4997397332718287E-3</v>
      </c>
      <c r="L1210" s="14">
        <f t="shared" si="242"/>
        <v>694.05140871181197</v>
      </c>
      <c r="M1210" s="14">
        <f t="shared" si="236"/>
        <v>0.1471259314783461</v>
      </c>
      <c r="N1210" s="14">
        <f t="shared" si="243"/>
        <v>3.7649934548451767</v>
      </c>
      <c r="O1210" s="4">
        <v>1.55</v>
      </c>
      <c r="P1210" s="14">
        <f t="shared" si="246"/>
        <v>4.9061960050069704</v>
      </c>
      <c r="Q1210" s="14">
        <f t="shared" si="244"/>
        <v>24.836757297917632</v>
      </c>
    </row>
    <row r="1211" spans="1:17" x14ac:dyDescent="0.25">
      <c r="A1211" s="5" t="s">
        <v>1268</v>
      </c>
      <c r="B1211" s="6">
        <f t="shared" si="245"/>
        <v>9</v>
      </c>
      <c r="C1211" s="58">
        <v>15.395735739999999</v>
      </c>
      <c r="D1211" s="4">
        <v>0</v>
      </c>
      <c r="E1211" s="12">
        <f t="shared" si="234"/>
        <v>0</v>
      </c>
      <c r="F1211" s="12">
        <f t="shared" si="235"/>
        <v>0</v>
      </c>
      <c r="G1211" s="16">
        <f t="shared" si="237"/>
        <v>1.5116462911475045E-8</v>
      </c>
      <c r="H1211" s="14">
        <f t="shared" si="238"/>
        <v>0</v>
      </c>
      <c r="I1211" s="14">
        <f t="shared" si="239"/>
        <v>3.7541266853949256</v>
      </c>
      <c r="J1211" s="14">
        <f t="shared" si="240"/>
        <v>8.5664453331249891E-10</v>
      </c>
      <c r="K1211" s="14">
        <f t="shared" si="241"/>
        <v>4.2754277072867527E-3</v>
      </c>
      <c r="L1211" s="14">
        <f t="shared" si="242"/>
        <v>693.90450709235961</v>
      </c>
      <c r="M1211" s="14">
        <f t="shared" si="236"/>
        <v>0.14709474395522765</v>
      </c>
      <c r="N1211" s="14">
        <f t="shared" si="243"/>
        <v>3.7641953574653741</v>
      </c>
      <c r="O1211" s="4">
        <v>1.55</v>
      </c>
      <c r="P1211" s="14">
        <f t="shared" si="246"/>
        <v>4.9026610810212148</v>
      </c>
      <c r="Q1211" s="14">
        <f t="shared" si="244"/>
        <v>24.836757297917632</v>
      </c>
    </row>
    <row r="1212" spans="1:17" x14ac:dyDescent="0.25">
      <c r="A1212" s="5" t="s">
        <v>1269</v>
      </c>
      <c r="B1212" s="6">
        <f t="shared" si="245"/>
        <v>9</v>
      </c>
      <c r="C1212" s="58">
        <v>16.265043259999999</v>
      </c>
      <c r="D1212" s="4">
        <v>0</v>
      </c>
      <c r="E1212" s="12">
        <f t="shared" si="234"/>
        <v>0</v>
      </c>
      <c r="F1212" s="12">
        <f t="shared" si="235"/>
        <v>0</v>
      </c>
      <c r="G1212" s="16">
        <f t="shared" si="237"/>
        <v>1.4026380192889999E-8</v>
      </c>
      <c r="H1212" s="14">
        <f t="shared" si="238"/>
        <v>0</v>
      </c>
      <c r="I1212" s="14">
        <f t="shared" si="239"/>
        <v>5.0478560445798113</v>
      </c>
      <c r="J1212" s="14">
        <f t="shared" si="240"/>
        <v>1.0900827185850457E-9</v>
      </c>
      <c r="K1212" s="14">
        <f t="shared" si="241"/>
        <v>4.0622976358110647E-3</v>
      </c>
      <c r="L1212" s="14">
        <f t="shared" si="242"/>
        <v>693.75762547847592</v>
      </c>
      <c r="M1212" s="14">
        <f t="shared" si="236"/>
        <v>0.14706356303205684</v>
      </c>
      <c r="N1212" s="14">
        <f t="shared" si="243"/>
        <v>3.7633974289800656</v>
      </c>
      <c r="O1212" s="4">
        <v>1.6</v>
      </c>
      <c r="P1212" s="14">
        <f t="shared" si="246"/>
        <v>4.6802884357175571</v>
      </c>
      <c r="Q1212" s="14">
        <f t="shared" si="244"/>
        <v>24.34089239849234</v>
      </c>
    </row>
    <row r="1213" spans="1:17" x14ac:dyDescent="0.25">
      <c r="A1213" s="5" t="s">
        <v>1270</v>
      </c>
      <c r="B1213" s="6">
        <f t="shared" si="245"/>
        <v>9</v>
      </c>
      <c r="C1213" s="58">
        <v>15.326743130000001</v>
      </c>
      <c r="D1213" s="4">
        <v>0</v>
      </c>
      <c r="E1213" s="12">
        <f t="shared" si="234"/>
        <v>0</v>
      </c>
      <c r="F1213" s="12">
        <f t="shared" si="235"/>
        <v>0</v>
      </c>
      <c r="G1213" s="16">
        <f t="shared" si="237"/>
        <v>1.3294713551621009E-8</v>
      </c>
      <c r="H1213" s="14">
        <f t="shared" si="238"/>
        <v>0</v>
      </c>
      <c r="I1213" s="14">
        <f t="shared" si="239"/>
        <v>3.6514498270102291</v>
      </c>
      <c r="J1213" s="14">
        <f t="shared" si="240"/>
        <v>7.3166664126898899E-10</v>
      </c>
      <c r="K1213" s="14">
        <f t="shared" si="241"/>
        <v>3.8597920984117721E-3</v>
      </c>
      <c r="L1213" s="14">
        <f t="shared" si="242"/>
        <v>693.61076442098135</v>
      </c>
      <c r="M1213" s="14">
        <f t="shared" si="236"/>
        <v>0.14703238870799201</v>
      </c>
      <c r="N1213" s="14">
        <f t="shared" si="243"/>
        <v>3.7625996693677122</v>
      </c>
      <c r="O1213" s="4">
        <v>1.55</v>
      </c>
      <c r="P1213" s="14">
        <f t="shared" si="246"/>
        <v>4.8955972968861099</v>
      </c>
      <c r="Q1213" s="14">
        <f t="shared" si="244"/>
        <v>24.836757297917632</v>
      </c>
    </row>
    <row r="1214" spans="1:17" x14ac:dyDescent="0.25">
      <c r="A1214" s="5" t="s">
        <v>1271</v>
      </c>
      <c r="B1214" s="6">
        <f t="shared" si="245"/>
        <v>9</v>
      </c>
      <c r="C1214" s="58">
        <v>16.83707047</v>
      </c>
      <c r="D1214" s="4">
        <v>0</v>
      </c>
      <c r="E1214" s="12">
        <f t="shared" si="234"/>
        <v>0</v>
      </c>
      <c r="F1214" s="12">
        <f t="shared" si="235"/>
        <v>0</v>
      </c>
      <c r="G1214" s="16">
        <f t="shared" si="237"/>
        <v>1.2174316998335159E-8</v>
      </c>
      <c r="H1214" s="14">
        <f t="shared" si="238"/>
        <v>0</v>
      </c>
      <c r="I1214" s="14">
        <f t="shared" si="239"/>
        <v>5.8991639865951075</v>
      </c>
      <c r="J1214" s="14">
        <f t="shared" si="240"/>
        <v>1.1203965532858508E-9</v>
      </c>
      <c r="K1214" s="14">
        <f t="shared" si="241"/>
        <v>3.6673814620645012E-3</v>
      </c>
      <c r="L1214" s="14">
        <f t="shared" si="242"/>
        <v>693.46392444290962</v>
      </c>
      <c r="M1214" s="14">
        <f t="shared" si="236"/>
        <v>0.14700122098216384</v>
      </c>
      <c r="N1214" s="14">
        <f t="shared" si="243"/>
        <v>3.7618020786060677</v>
      </c>
      <c r="O1214" s="4">
        <v>1.5</v>
      </c>
      <c r="P1214" s="14">
        <f t="shared" si="246"/>
        <v>5.1157486427867287</v>
      </c>
      <c r="Q1214" s="14">
        <f t="shared" si="244"/>
        <v>25.337622197342917</v>
      </c>
    </row>
    <row r="1215" spans="1:17" x14ac:dyDescent="0.25">
      <c r="A1215" s="5" t="s">
        <v>1272</v>
      </c>
      <c r="B1215" s="6">
        <f t="shared" si="245"/>
        <v>9</v>
      </c>
      <c r="C1215" s="58">
        <v>17.399734500000001</v>
      </c>
      <c r="D1215" s="4">
        <v>0</v>
      </c>
      <c r="E1215" s="12">
        <f t="shared" si="234"/>
        <v>0</v>
      </c>
      <c r="F1215" s="12">
        <f t="shared" si="235"/>
        <v>0</v>
      </c>
      <c r="G1215" s="16">
        <f t="shared" si="237"/>
        <v>1.1002705461435849E-8</v>
      </c>
      <c r="H1215" s="14">
        <f t="shared" si="238"/>
        <v>0</v>
      </c>
      <c r="I1215" s="14">
        <f t="shared" si="239"/>
        <v>6.7365373650840983</v>
      </c>
      <c r="J1215" s="14">
        <f t="shared" si="240"/>
        <v>1.17161153689931E-9</v>
      </c>
      <c r="K1215" s="14">
        <f t="shared" si="241"/>
        <v>3.4845624959511778E-3</v>
      </c>
      <c r="L1215" s="14">
        <f t="shared" si="242"/>
        <v>693.31710604089358</v>
      </c>
      <c r="M1215" s="14">
        <f t="shared" si="236"/>
        <v>0.14697005985367695</v>
      </c>
      <c r="N1215" s="14">
        <f t="shared" si="243"/>
        <v>3.7610046566722191</v>
      </c>
      <c r="O1215" s="4">
        <v>1.6</v>
      </c>
      <c r="P1215" s="14">
        <f t="shared" si="246"/>
        <v>4.6699411261590154</v>
      </c>
      <c r="Q1215" s="14">
        <f t="shared" si="244"/>
        <v>24.34089239849234</v>
      </c>
    </row>
    <row r="1216" spans="1:17" x14ac:dyDescent="0.25">
      <c r="A1216" s="5" t="s">
        <v>1273</v>
      </c>
      <c r="B1216" s="6">
        <f t="shared" si="245"/>
        <v>9</v>
      </c>
      <c r="C1216" s="58">
        <v>16.294046399999999</v>
      </c>
      <c r="D1216" s="4">
        <v>0</v>
      </c>
      <c r="E1216" s="12">
        <f t="shared" si="234"/>
        <v>0</v>
      </c>
      <c r="F1216" s="12">
        <f t="shared" si="235"/>
        <v>0</v>
      </c>
      <c r="G1216" s="16">
        <f t="shared" si="237"/>
        <v>1.0202490718687076E-8</v>
      </c>
      <c r="H1216" s="14">
        <f t="shared" si="238"/>
        <v>0</v>
      </c>
      <c r="I1216" s="14">
        <f t="shared" si="239"/>
        <v>5.0910193819066869</v>
      </c>
      <c r="J1216" s="14">
        <f t="shared" si="240"/>
        <v>8.0021474274877328E-10</v>
      </c>
      <c r="K1216" s="14">
        <f t="shared" si="241"/>
        <v>3.3108570553100395E-3</v>
      </c>
      <c r="L1216" s="14">
        <f t="shared" si="242"/>
        <v>693.17030968648055</v>
      </c>
      <c r="M1216" s="14">
        <f t="shared" si="236"/>
        <v>0.14693890532161097</v>
      </c>
      <c r="N1216" s="14">
        <f t="shared" si="243"/>
        <v>3.7602074035426138</v>
      </c>
      <c r="O1216" s="4">
        <v>1.63</v>
      </c>
      <c r="P1216" s="14">
        <f t="shared" si="246"/>
        <v>4.5377835821077648</v>
      </c>
      <c r="Q1216" s="14">
        <f t="shared" si="244"/>
        <v>24.045773458837171</v>
      </c>
    </row>
    <row r="1217" spans="1:17" x14ac:dyDescent="0.25">
      <c r="A1217" s="5" t="s">
        <v>1274</v>
      </c>
      <c r="B1217" s="6">
        <f t="shared" si="245"/>
        <v>9</v>
      </c>
      <c r="C1217" s="58">
        <v>16.47977066</v>
      </c>
      <c r="D1217" s="4">
        <v>0</v>
      </c>
      <c r="E1217" s="12">
        <f t="shared" si="234"/>
        <v>0</v>
      </c>
      <c r="F1217" s="12">
        <f t="shared" si="235"/>
        <v>0</v>
      </c>
      <c r="G1217" s="16">
        <f t="shared" si="237"/>
        <v>9.4201893684763505E-9</v>
      </c>
      <c r="H1217" s="14">
        <f t="shared" si="238"/>
        <v>0</v>
      </c>
      <c r="I1217" s="14">
        <f t="shared" si="239"/>
        <v>5.3674197607678842</v>
      </c>
      <c r="J1217" s="14">
        <f t="shared" si="240"/>
        <v>7.8230135021072518E-10</v>
      </c>
      <c r="K1217" s="14">
        <f t="shared" si="241"/>
        <v>3.1458108308957278E-3</v>
      </c>
      <c r="L1217" s="14">
        <f t="shared" si="242"/>
        <v>693.0235358273834</v>
      </c>
      <c r="M1217" s="14">
        <f t="shared" si="236"/>
        <v>0.1469077573850219</v>
      </c>
      <c r="N1217" s="14">
        <f t="shared" si="243"/>
        <v>3.7594103191930954</v>
      </c>
      <c r="O1217" s="4">
        <v>1.7</v>
      </c>
      <c r="P1217" s="14">
        <f t="shared" si="246"/>
        <v>4.2411708627990086</v>
      </c>
      <c r="Q1217" s="14">
        <f t="shared" si="244"/>
        <v>23.364162599641769</v>
      </c>
    </row>
    <row r="1218" spans="1:17" x14ac:dyDescent="0.25">
      <c r="A1218" s="5" t="s">
        <v>1275</v>
      </c>
      <c r="B1218" s="6">
        <f t="shared" si="245"/>
        <v>9</v>
      </c>
      <c r="C1218" s="58">
        <v>16.62962151</v>
      </c>
      <c r="D1218" s="4">
        <v>0</v>
      </c>
      <c r="E1218" s="12">
        <f t="shared" si="234"/>
        <v>0</v>
      </c>
      <c r="F1218" s="12">
        <f t="shared" si="235"/>
        <v>0</v>
      </c>
      <c r="G1218" s="16">
        <f t="shared" si="237"/>
        <v>8.6678611815469479E-9</v>
      </c>
      <c r="H1218" s="14">
        <f t="shared" si="238"/>
        <v>0</v>
      </c>
      <c r="I1218" s="14">
        <f t="shared" si="239"/>
        <v>5.5904322617339535</v>
      </c>
      <c r="J1218" s="14">
        <f t="shared" si="240"/>
        <v>7.5232818692940271E-10</v>
      </c>
      <c r="K1218" s="14">
        <f t="shared" si="241"/>
        <v>2.9889921607787941E-3</v>
      </c>
      <c r="L1218" s="14">
        <f t="shared" si="242"/>
        <v>692.87678488866857</v>
      </c>
      <c r="M1218" s="14">
        <f t="shared" si="236"/>
        <v>0.14687661604294328</v>
      </c>
      <c r="N1218" s="14">
        <f t="shared" si="243"/>
        <v>3.7586134035989298</v>
      </c>
      <c r="O1218" s="4">
        <v>1.78</v>
      </c>
      <c r="P1218" s="14">
        <f t="shared" si="246"/>
        <v>3.9149110009013413</v>
      </c>
      <c r="Q1218" s="14">
        <f t="shared" si="244"/>
        <v>22.597178760561309</v>
      </c>
    </row>
    <row r="1219" spans="1:17" x14ac:dyDescent="0.25">
      <c r="A1219" s="5" t="s">
        <v>1276</v>
      </c>
      <c r="B1219" s="6">
        <f t="shared" si="245"/>
        <v>9</v>
      </c>
      <c r="C1219" s="58">
        <v>16.23346329</v>
      </c>
      <c r="D1219" s="4">
        <v>0</v>
      </c>
      <c r="E1219" s="12">
        <f t="shared" si="234"/>
        <v>0</v>
      </c>
      <c r="F1219" s="12">
        <f t="shared" si="235"/>
        <v>0</v>
      </c>
      <c r="G1219" s="16">
        <f t="shared" si="237"/>
        <v>8.0486215224790516E-9</v>
      </c>
      <c r="H1219" s="14">
        <f t="shared" si="238"/>
        <v>0</v>
      </c>
      <c r="I1219" s="14">
        <f t="shared" si="239"/>
        <v>5.0008577920498238</v>
      </c>
      <c r="J1219" s="14">
        <f t="shared" si="240"/>
        <v>6.1923965906789624E-10</v>
      </c>
      <c r="K1219" s="14">
        <f t="shared" si="241"/>
        <v>2.8399909013769988E-3</v>
      </c>
      <c r="L1219" s="14">
        <f t="shared" si="242"/>
        <v>692.73005727388511</v>
      </c>
      <c r="M1219" s="14">
        <f t="shared" si="236"/>
        <v>0.14684548129438735</v>
      </c>
      <c r="N1219" s="14">
        <f t="shared" si="243"/>
        <v>3.757816656734843</v>
      </c>
      <c r="O1219" s="4">
        <v>1.89</v>
      </c>
      <c r="P1219" s="14">
        <f t="shared" si="246"/>
        <v>3.4887390631761268</v>
      </c>
      <c r="Q1219" s="14">
        <f t="shared" si="244"/>
        <v>21.563475981825682</v>
      </c>
    </row>
    <row r="1220" spans="1:17" x14ac:dyDescent="0.25">
      <c r="A1220" s="5" t="s">
        <v>1277</v>
      </c>
      <c r="B1220" s="6">
        <f t="shared" si="245"/>
        <v>9</v>
      </c>
      <c r="C1220" s="58">
        <v>16.163784029999999</v>
      </c>
      <c r="D1220" s="4">
        <v>0</v>
      </c>
      <c r="E1220" s="12">
        <f t="shared" si="234"/>
        <v>0</v>
      </c>
      <c r="F1220" s="12">
        <f t="shared" si="235"/>
        <v>0</v>
      </c>
      <c r="G1220" s="16">
        <f t="shared" si="237"/>
        <v>7.4855442155706463E-9</v>
      </c>
      <c r="H1220" s="14">
        <f t="shared" si="238"/>
        <v>0</v>
      </c>
      <c r="I1220" s="14">
        <f t="shared" si="239"/>
        <v>4.8971590406709353</v>
      </c>
      <c r="J1220" s="14">
        <f t="shared" si="240"/>
        <v>5.630773069084046E-10</v>
      </c>
      <c r="K1220" s="14">
        <f t="shared" si="241"/>
        <v>2.6984173547657036E-3</v>
      </c>
      <c r="L1220" s="14">
        <f t="shared" si="242"/>
        <v>692.58335336613732</v>
      </c>
      <c r="M1220" s="14">
        <f t="shared" si="236"/>
        <v>0.14681435313834609</v>
      </c>
      <c r="N1220" s="14">
        <f t="shared" si="243"/>
        <v>3.7570200785750374</v>
      </c>
      <c r="O1220" s="4">
        <v>1.89</v>
      </c>
      <c r="P1220" s="14">
        <f t="shared" si="246"/>
        <v>3.4857639738023392</v>
      </c>
      <c r="Q1220" s="14">
        <f t="shared" si="244"/>
        <v>21.563475981825682</v>
      </c>
    </row>
    <row r="1221" spans="1:17" x14ac:dyDescent="0.25">
      <c r="A1221" s="5" t="s">
        <v>1278</v>
      </c>
      <c r="B1221" s="6">
        <f t="shared" si="245"/>
        <v>9</v>
      </c>
      <c r="C1221" s="58">
        <v>15.30986118</v>
      </c>
      <c r="D1221" s="4">
        <v>0</v>
      </c>
      <c r="E1221" s="12">
        <f t="shared" si="234"/>
        <v>0</v>
      </c>
      <c r="F1221" s="12">
        <f t="shared" si="235"/>
        <v>0</v>
      </c>
      <c r="G1221" s="16">
        <f t="shared" si="237"/>
        <v>7.0977578929440433E-9</v>
      </c>
      <c r="H1221" s="14">
        <f t="shared" si="238"/>
        <v>0</v>
      </c>
      <c r="I1221" s="14">
        <f t="shared" si="239"/>
        <v>3.6263256058884661</v>
      </c>
      <c r="J1221" s="14">
        <f t="shared" si="240"/>
        <v>3.877863226266026E-10</v>
      </c>
      <c r="K1221" s="14">
        <f t="shared" si="241"/>
        <v>2.5639012494618374E-3</v>
      </c>
      <c r="L1221" s="14">
        <f t="shared" si="242"/>
        <v>692.43667352910427</v>
      </c>
      <c r="M1221" s="14">
        <f t="shared" si="236"/>
        <v>0.14678323157379233</v>
      </c>
      <c r="N1221" s="14">
        <f t="shared" si="243"/>
        <v>3.7562236690932269</v>
      </c>
      <c r="O1221" s="4">
        <v>1.81</v>
      </c>
      <c r="P1221" s="14">
        <f t="shared" si="246"/>
        <v>3.7877865701387021</v>
      </c>
      <c r="Q1221" s="14">
        <f t="shared" si="244"/>
        <v>22.312859820906144</v>
      </c>
    </row>
    <row r="1222" spans="1:17" x14ac:dyDescent="0.25">
      <c r="A1222" s="5" t="s">
        <v>1279</v>
      </c>
      <c r="B1222" s="6">
        <f t="shared" si="245"/>
        <v>9</v>
      </c>
      <c r="C1222" s="58">
        <v>15.398087500000001</v>
      </c>
      <c r="D1222" s="4">
        <v>0</v>
      </c>
      <c r="E1222" s="12">
        <f t="shared" si="234"/>
        <v>0</v>
      </c>
      <c r="F1222" s="12">
        <f t="shared" si="235"/>
        <v>0</v>
      </c>
      <c r="G1222" s="16">
        <f t="shared" si="237"/>
        <v>6.7167472398842945E-9</v>
      </c>
      <c r="H1222" s="14">
        <f t="shared" si="238"/>
        <v>0</v>
      </c>
      <c r="I1222" s="14">
        <f t="shared" si="239"/>
        <v>3.7576266447162929</v>
      </c>
      <c r="J1222" s="14">
        <f t="shared" si="240"/>
        <v>3.8101065305974885E-10</v>
      </c>
      <c r="K1222" s="14">
        <f t="shared" si="241"/>
        <v>2.4360907720157835E-3</v>
      </c>
      <c r="L1222" s="14">
        <f t="shared" si="242"/>
        <v>692.29001810800798</v>
      </c>
      <c r="M1222" s="14">
        <f t="shared" si="236"/>
        <v>0.1467521165996806</v>
      </c>
      <c r="N1222" s="14">
        <f t="shared" si="243"/>
        <v>3.7554274282626601</v>
      </c>
      <c r="O1222" s="4">
        <v>1.75</v>
      </c>
      <c r="P1222" s="14">
        <f t="shared" si="246"/>
        <v>4.0217391700281864</v>
      </c>
      <c r="Q1222" s="14">
        <f t="shared" si="244"/>
        <v>22.883297700216485</v>
      </c>
    </row>
    <row r="1223" spans="1:17" x14ac:dyDescent="0.25">
      <c r="A1223" s="5" t="s">
        <v>1280</v>
      </c>
      <c r="B1223" s="6">
        <f t="shared" si="245"/>
        <v>9</v>
      </c>
      <c r="C1223" s="58">
        <v>16.964170459999998</v>
      </c>
      <c r="D1223" s="4">
        <v>0</v>
      </c>
      <c r="E1223" s="12">
        <f t="shared" si="234"/>
        <v>0</v>
      </c>
      <c r="F1223" s="12">
        <f t="shared" si="235"/>
        <v>0</v>
      </c>
      <c r="G1223" s="16">
        <f t="shared" si="237"/>
        <v>6.1325511540397907E-9</v>
      </c>
      <c r="H1223" s="14">
        <f t="shared" si="238"/>
        <v>0</v>
      </c>
      <c r="I1223" s="14">
        <f t="shared" si="239"/>
        <v>6.0883179796666296</v>
      </c>
      <c r="J1223" s="14">
        <f t="shared" si="240"/>
        <v>5.8419608584450337E-10</v>
      </c>
      <c r="K1223" s="14">
        <f t="shared" si="241"/>
        <v>2.3146516468784102E-3</v>
      </c>
      <c r="L1223" s="14">
        <f t="shared" si="242"/>
        <v>692.14338743053349</v>
      </c>
      <c r="M1223" s="14">
        <f t="shared" si="236"/>
        <v>0.14672100821494816</v>
      </c>
      <c r="N1223" s="14">
        <f t="shared" si="243"/>
        <v>3.7546313560561391</v>
      </c>
      <c r="O1223" s="4">
        <v>1.78</v>
      </c>
      <c r="P1223" s="14">
        <f t="shared" si="246"/>
        <v>3.8991689923201065</v>
      </c>
      <c r="Q1223" s="14">
        <f t="shared" si="244"/>
        <v>22.597178760561309</v>
      </c>
    </row>
    <row r="1224" spans="1:17" x14ac:dyDescent="0.25">
      <c r="A1224" s="5" t="s">
        <v>1281</v>
      </c>
      <c r="B1224" s="6">
        <f t="shared" si="245"/>
        <v>9</v>
      </c>
      <c r="C1224" s="58">
        <v>17.43523407</v>
      </c>
      <c r="D1224" s="4">
        <v>0</v>
      </c>
      <c r="E1224" s="12">
        <f t="shared" si="234"/>
        <v>0</v>
      </c>
      <c r="F1224" s="12">
        <f t="shared" si="235"/>
        <v>0</v>
      </c>
      <c r="G1224" s="16">
        <f t="shared" si="237"/>
        <v>5.5377485025714363E-9</v>
      </c>
      <c r="H1224" s="14">
        <f t="shared" si="238"/>
        <v>0</v>
      </c>
      <c r="I1224" s="14">
        <f t="shared" si="239"/>
        <v>6.7893688831496934</v>
      </c>
      <c r="J1224" s="14">
        <f t="shared" si="240"/>
        <v>5.9480265146835464E-10</v>
      </c>
      <c r="K1224" s="14">
        <f t="shared" si="241"/>
        <v>2.1992662621367317E-3</v>
      </c>
      <c r="L1224" s="14">
        <f t="shared" si="242"/>
        <v>691.99678180770331</v>
      </c>
      <c r="M1224" s="14">
        <f t="shared" si="236"/>
        <v>0.14668990641851576</v>
      </c>
      <c r="N1224" s="14">
        <f t="shared" si="243"/>
        <v>3.7538354524460456</v>
      </c>
      <c r="O1224" s="4">
        <v>1.79</v>
      </c>
      <c r="P1224" s="14">
        <f t="shared" si="246"/>
        <v>3.8566496842839642</v>
      </c>
      <c r="Q1224" s="14">
        <f t="shared" si="244"/>
        <v>22.502205780676253</v>
      </c>
    </row>
    <row r="1225" spans="1:17" x14ac:dyDescent="0.25">
      <c r="A1225" s="5" t="s">
        <v>1282</v>
      </c>
      <c r="B1225" s="6">
        <f t="shared" si="245"/>
        <v>9</v>
      </c>
      <c r="C1225" s="58">
        <v>18.138858800000001</v>
      </c>
      <c r="D1225" s="4">
        <v>0.6</v>
      </c>
      <c r="E1225" s="12">
        <f t="shared" si="234"/>
        <v>0</v>
      </c>
      <c r="F1225" s="12">
        <f t="shared" si="235"/>
        <v>0.6</v>
      </c>
      <c r="G1225" s="16">
        <f t="shared" si="237"/>
        <v>0.59999899127924361</v>
      </c>
      <c r="H1225" s="14">
        <f t="shared" si="238"/>
        <v>1.0136385515776683E-6</v>
      </c>
      <c r="I1225" s="14">
        <f t="shared" si="239"/>
        <v>7.8365241764221372</v>
      </c>
      <c r="J1225" s="14">
        <f t="shared" si="240"/>
        <v>6.1995335811854687E-10</v>
      </c>
      <c r="K1225" s="14">
        <f t="shared" si="241"/>
        <v>2.0906464773832213E-3</v>
      </c>
      <c r="L1225" s="14">
        <f t="shared" si="242"/>
        <v>691.85020153470805</v>
      </c>
      <c r="M1225" s="14">
        <f t="shared" si="236"/>
        <v>0.14665881142314602</v>
      </c>
      <c r="N1225" s="14">
        <f t="shared" si="243"/>
        <v>3.7530397228770354</v>
      </c>
      <c r="O1225" s="4">
        <v>1.79</v>
      </c>
      <c r="P1225" s="14">
        <f t="shared" si="246"/>
        <v>3.8535249535931477</v>
      </c>
      <c r="Q1225" s="14">
        <f t="shared" si="244"/>
        <v>22.502205780676253</v>
      </c>
    </row>
    <row r="1226" spans="1:17" x14ac:dyDescent="0.25">
      <c r="A1226" s="5" t="s">
        <v>1283</v>
      </c>
      <c r="B1226" s="6">
        <f t="shared" si="245"/>
        <v>9</v>
      </c>
      <c r="C1226" s="58">
        <v>16.235305790000002</v>
      </c>
      <c r="D1226" s="4">
        <v>0.4</v>
      </c>
      <c r="E1226" s="12">
        <f t="shared" si="234"/>
        <v>0</v>
      </c>
      <c r="F1226" s="12">
        <f t="shared" si="235"/>
        <v>0.4</v>
      </c>
      <c r="G1226" s="16">
        <f t="shared" si="237"/>
        <v>0.94449479452551022</v>
      </c>
      <c r="H1226" s="14">
        <f t="shared" si="238"/>
        <v>1.2616235461897949E-2</v>
      </c>
      <c r="I1226" s="14">
        <f t="shared" si="239"/>
        <v>5.0035998554617453</v>
      </c>
      <c r="J1226" s="14">
        <f t="shared" si="240"/>
        <v>4.2887961291835516E-2</v>
      </c>
      <c r="K1226" s="14">
        <f t="shared" si="241"/>
        <v>1.4602663212252839E-2</v>
      </c>
      <c r="L1226" s="14">
        <f t="shared" si="242"/>
        <v>691.70364694201191</v>
      </c>
      <c r="M1226" s="14">
        <f t="shared" si="236"/>
        <v>0.14663038457273223</v>
      </c>
      <c r="N1226" s="14">
        <f t="shared" si="243"/>
        <v>3.7523122718785991</v>
      </c>
      <c r="O1226" s="4">
        <v>1.87</v>
      </c>
      <c r="P1226" s="14">
        <f t="shared" si="246"/>
        <v>3.5430994888647724</v>
      </c>
      <c r="Q1226" s="14">
        <f t="shared" si="244"/>
        <v>21.749621941595795</v>
      </c>
    </row>
    <row r="1227" spans="1:17" x14ac:dyDescent="0.25">
      <c r="A1227" s="5" t="s">
        <v>1284</v>
      </c>
      <c r="B1227" s="6">
        <f t="shared" si="245"/>
        <v>9</v>
      </c>
      <c r="C1227" s="58">
        <v>16.21374702</v>
      </c>
      <c r="D1227" s="4">
        <v>0.2</v>
      </c>
      <c r="E1227" s="12">
        <f t="shared" si="234"/>
        <v>0</v>
      </c>
      <c r="F1227" s="12">
        <f t="shared" si="235"/>
        <v>0.2</v>
      </c>
      <c r="G1227" s="16">
        <f t="shared" si="237"/>
        <v>1.0693864319404491</v>
      </c>
      <c r="H1227" s="14">
        <f t="shared" si="238"/>
        <v>8.0287303467216128E-3</v>
      </c>
      <c r="I1227" s="14">
        <f t="shared" si="239"/>
        <v>4.9715154514329889</v>
      </c>
      <c r="J1227" s="14">
        <f t="shared" si="240"/>
        <v>6.7079632238339348E-2</v>
      </c>
      <c r="K1227" s="14">
        <f t="shared" si="241"/>
        <v>2.1903450796930197E-2</v>
      </c>
      <c r="L1227" s="14">
        <f t="shared" si="242"/>
        <v>691.55774450020124</v>
      </c>
      <c r="M1227" s="14">
        <f t="shared" si="236"/>
        <v>0.14660099650037017</v>
      </c>
      <c r="N1227" s="14">
        <f t="shared" si="243"/>
        <v>3.7515602229435001</v>
      </c>
      <c r="O1227" s="4">
        <v>1.96</v>
      </c>
      <c r="P1227" s="14">
        <f t="shared" si="246"/>
        <v>3.2096880324333639</v>
      </c>
      <c r="Q1227" s="14">
        <f t="shared" si="244"/>
        <v>20.918265122630277</v>
      </c>
    </row>
    <row r="1228" spans="1:17" x14ac:dyDescent="0.25">
      <c r="A1228" s="5" t="s">
        <v>1285</v>
      </c>
      <c r="B1228" s="6">
        <f t="shared" si="245"/>
        <v>9</v>
      </c>
      <c r="C1228" s="58">
        <v>16.878812790000001</v>
      </c>
      <c r="D1228" s="4">
        <v>0</v>
      </c>
      <c r="E1228" s="12">
        <f t="shared" si="234"/>
        <v>0</v>
      </c>
      <c r="F1228" s="12">
        <f t="shared" si="235"/>
        <v>0</v>
      </c>
      <c r="G1228" s="16">
        <f t="shared" si="237"/>
        <v>0.97831609372426653</v>
      </c>
      <c r="H1228" s="14">
        <f t="shared" si="238"/>
        <v>0</v>
      </c>
      <c r="I1228" s="14">
        <f t="shared" si="239"/>
        <v>5.9612861512630166</v>
      </c>
      <c r="J1228" s="14">
        <f t="shared" si="240"/>
        <v>9.1070338216182656E-2</v>
      </c>
      <c r="K1228" s="14">
        <f t="shared" si="241"/>
        <v>2.0811563773333087E-2</v>
      </c>
      <c r="L1228" s="14">
        <f t="shared" si="242"/>
        <v>691.4122353907245</v>
      </c>
      <c r="M1228" s="14">
        <f t="shared" si="236"/>
        <v>0.14656992112051656</v>
      </c>
      <c r="N1228" s="14">
        <f t="shared" si="243"/>
        <v>3.7507649953409965</v>
      </c>
      <c r="O1228" s="4">
        <v>2.02</v>
      </c>
      <c r="P1228" s="14">
        <f t="shared" si="246"/>
        <v>2.9955474690977195</v>
      </c>
      <c r="Q1228" s="14">
        <f t="shared" si="244"/>
        <v>20.373027243319932</v>
      </c>
    </row>
    <row r="1229" spans="1:17" x14ac:dyDescent="0.25">
      <c r="A1229" s="5" t="s">
        <v>1286</v>
      </c>
      <c r="B1229" s="6">
        <f t="shared" si="245"/>
        <v>9</v>
      </c>
      <c r="C1229" s="58">
        <v>16.36110687</v>
      </c>
      <c r="D1229" s="4">
        <v>0.6</v>
      </c>
      <c r="E1229" s="12">
        <f t="shared" si="234"/>
        <v>0</v>
      </c>
      <c r="F1229" s="12">
        <f t="shared" si="235"/>
        <v>0.6</v>
      </c>
      <c r="G1229" s="16">
        <f t="shared" si="237"/>
        <v>1.4812285155813218</v>
      </c>
      <c r="H1229" s="14">
        <f t="shared" si="238"/>
        <v>2.4540898117343817E-2</v>
      </c>
      <c r="I1229" s="14">
        <f t="shared" si="239"/>
        <v>5.190820771959932</v>
      </c>
      <c r="J1229" s="14">
        <f t="shared" si="240"/>
        <v>7.2546680025600954E-2</v>
      </c>
      <c r="K1229" s="14">
        <f t="shared" si="241"/>
        <v>4.4315005435274411E-2</v>
      </c>
      <c r="L1229" s="14">
        <f t="shared" si="242"/>
        <v>691.26670292605945</v>
      </c>
      <c r="M1229" s="14">
        <f t="shared" si="236"/>
        <v>0.1465440299110195</v>
      </c>
      <c r="N1229" s="14">
        <f t="shared" si="243"/>
        <v>3.7501024320979641</v>
      </c>
      <c r="O1229" s="4">
        <v>1.98</v>
      </c>
      <c r="P1229" s="14">
        <f t="shared" si="246"/>
        <v>3.1332626201191278</v>
      </c>
      <c r="Q1229" s="14">
        <f t="shared" si="244"/>
        <v>20.735719162860168</v>
      </c>
    </row>
    <row r="1230" spans="1:17" x14ac:dyDescent="0.25">
      <c r="A1230" s="5" t="s">
        <v>1287</v>
      </c>
      <c r="B1230" s="6">
        <f t="shared" si="245"/>
        <v>9</v>
      </c>
      <c r="C1230" s="58">
        <v>16.141061780000001</v>
      </c>
      <c r="D1230" s="4">
        <v>0</v>
      </c>
      <c r="E1230" s="12">
        <f t="shared" si="234"/>
        <v>0</v>
      </c>
      <c r="F1230" s="12">
        <f t="shared" si="235"/>
        <v>0</v>
      </c>
      <c r="G1230" s="16">
        <f t="shared" si="237"/>
        <v>1.3783181110888587</v>
      </c>
      <c r="H1230" s="14">
        <f t="shared" si="238"/>
        <v>0</v>
      </c>
      <c r="I1230" s="14">
        <f t="shared" si="239"/>
        <v>4.8633431110310585</v>
      </c>
      <c r="J1230" s="14">
        <f t="shared" si="240"/>
        <v>0.10291040449246322</v>
      </c>
      <c r="K1230" s="14">
        <f t="shared" si="241"/>
        <v>4.2105902411553917E-2</v>
      </c>
      <c r="L1230" s="14">
        <f t="shared" si="242"/>
        <v>691.12236799917218</v>
      </c>
      <c r="M1230" s="14">
        <f t="shared" si="236"/>
        <v>0.14651296772415656</v>
      </c>
      <c r="N1230" s="14">
        <f t="shared" si="243"/>
        <v>3.749307542107756</v>
      </c>
      <c r="O1230" s="4">
        <v>1.96</v>
      </c>
      <c r="P1230" s="14">
        <f t="shared" si="246"/>
        <v>3.2016214802436989</v>
      </c>
      <c r="Q1230" s="14">
        <f t="shared" si="244"/>
        <v>20.918265122630277</v>
      </c>
    </row>
    <row r="1231" spans="1:17" x14ac:dyDescent="0.25">
      <c r="A1231" s="5" t="s">
        <v>1288</v>
      </c>
      <c r="B1231" s="6">
        <f t="shared" si="245"/>
        <v>9</v>
      </c>
      <c r="C1231" s="58">
        <v>15.24895573</v>
      </c>
      <c r="D1231" s="4">
        <v>0</v>
      </c>
      <c r="E1231" s="12">
        <f t="shared" si="234"/>
        <v>0</v>
      </c>
      <c r="F1231" s="12">
        <f t="shared" si="235"/>
        <v>0</v>
      </c>
      <c r="G1231" s="16">
        <f t="shared" si="237"/>
        <v>1.3086995162137303</v>
      </c>
      <c r="H1231" s="14">
        <f t="shared" si="238"/>
        <v>0</v>
      </c>
      <c r="I1231" s="14">
        <f t="shared" si="239"/>
        <v>3.5356843000369227</v>
      </c>
      <c r="J1231" s="14">
        <f t="shared" si="240"/>
        <v>6.9618594875128489E-2</v>
      </c>
      <c r="K1231" s="14">
        <f t="shared" si="241"/>
        <v>4.0006923173704079E-2</v>
      </c>
      <c r="L1231" s="14">
        <f t="shared" si="242"/>
        <v>690.97795401068583</v>
      </c>
      <c r="M1231" s="14">
        <f t="shared" si="236"/>
        <v>0.14648191201173061</v>
      </c>
      <c r="N1231" s="14">
        <f t="shared" si="243"/>
        <v>3.7485128178001901</v>
      </c>
      <c r="O1231" s="4">
        <v>1.98</v>
      </c>
      <c r="P1231" s="14">
        <f t="shared" si="246"/>
        <v>3.1276375867235684</v>
      </c>
      <c r="Q1231" s="14">
        <f t="shared" si="244"/>
        <v>20.735719162860168</v>
      </c>
    </row>
    <row r="1232" spans="1:17" x14ac:dyDescent="0.25">
      <c r="A1232" s="5" t="s">
        <v>1289</v>
      </c>
      <c r="B1232" s="6">
        <f t="shared" si="245"/>
        <v>9</v>
      </c>
      <c r="C1232" s="58">
        <v>16.483892440000002</v>
      </c>
      <c r="D1232" s="4">
        <v>0</v>
      </c>
      <c r="E1232" s="12">
        <f t="shared" si="234"/>
        <v>0</v>
      </c>
      <c r="F1232" s="12">
        <f t="shared" si="235"/>
        <v>0</v>
      </c>
      <c r="G1232" s="16">
        <f t="shared" si="237"/>
        <v>1.2082370434996006</v>
      </c>
      <c r="H1232" s="14">
        <f t="shared" si="238"/>
        <v>0</v>
      </c>
      <c r="I1232" s="14">
        <f t="shared" si="239"/>
        <v>5.3735539166050543</v>
      </c>
      <c r="J1232" s="14">
        <f t="shared" si="240"/>
        <v>0.10046247271412977</v>
      </c>
      <c r="K1232" s="14">
        <f t="shared" si="241"/>
        <v>3.8012578050992354E-2</v>
      </c>
      <c r="L1232" s="14">
        <f t="shared" si="242"/>
        <v>690.83346644379674</v>
      </c>
      <c r="M1232" s="14">
        <f t="shared" si="236"/>
        <v>0.14645086277785888</v>
      </c>
      <c r="N1232" s="14">
        <f t="shared" si="243"/>
        <v>3.7477182592806249</v>
      </c>
      <c r="O1232" s="4">
        <v>1.91</v>
      </c>
      <c r="P1232" s="14">
        <f t="shared" si="246"/>
        <v>3.3772084004934104</v>
      </c>
      <c r="Q1232" s="14">
        <f t="shared" si="244"/>
        <v>21.378130022055565</v>
      </c>
    </row>
    <row r="1233" spans="1:17" x14ac:dyDescent="0.25">
      <c r="A1233" s="5" t="s">
        <v>1290</v>
      </c>
      <c r="B1233" s="6">
        <f t="shared" si="245"/>
        <v>9</v>
      </c>
      <c r="C1233" s="58">
        <v>17.3046875</v>
      </c>
      <c r="D1233" s="4">
        <v>0</v>
      </c>
      <c r="E1233" s="12">
        <f t="shared" si="234"/>
        <v>0</v>
      </c>
      <c r="F1233" s="12">
        <f t="shared" si="235"/>
        <v>0</v>
      </c>
      <c r="G1233" s="16">
        <f t="shared" si="237"/>
        <v>1.0944022842687195</v>
      </c>
      <c r="H1233" s="14">
        <f t="shared" si="238"/>
        <v>0</v>
      </c>
      <c r="I1233" s="14">
        <f t="shared" si="239"/>
        <v>6.5950855870039469</v>
      </c>
      <c r="J1233" s="14">
        <f t="shared" si="240"/>
        <v>0.11383475923088097</v>
      </c>
      <c r="K1233" s="14">
        <f t="shared" si="241"/>
        <v>3.6117651032772563E-2</v>
      </c>
      <c r="L1233" s="14">
        <f t="shared" si="242"/>
        <v>690.688910508037</v>
      </c>
      <c r="M1233" s="14">
        <f t="shared" si="236"/>
        <v>0.14641982002638401</v>
      </c>
      <c r="N1233" s="14">
        <f t="shared" si="243"/>
        <v>3.7469238666473967</v>
      </c>
      <c r="O1233" s="4">
        <v>1.8</v>
      </c>
      <c r="P1233" s="14">
        <f t="shared" si="246"/>
        <v>3.7905125425212502</v>
      </c>
      <c r="Q1233" s="14">
        <f t="shared" si="244"/>
        <v>22.407432800791199</v>
      </c>
    </row>
    <row r="1234" spans="1:17" x14ac:dyDescent="0.25">
      <c r="A1234" s="5" t="s">
        <v>1291</v>
      </c>
      <c r="B1234" s="6">
        <f t="shared" si="245"/>
        <v>9</v>
      </c>
      <c r="C1234" s="58">
        <v>16.11709785</v>
      </c>
      <c r="D1234" s="4">
        <v>0</v>
      </c>
      <c r="E1234" s="12">
        <f t="shared" si="234"/>
        <v>0</v>
      </c>
      <c r="F1234" s="12">
        <f t="shared" si="235"/>
        <v>0</v>
      </c>
      <c r="G1234" s="16">
        <f t="shared" si="237"/>
        <v>1.0189247486369721</v>
      </c>
      <c r="H1234" s="14">
        <f t="shared" si="238"/>
        <v>0</v>
      </c>
      <c r="I1234" s="14">
        <f t="shared" si="239"/>
        <v>4.8276792762094614</v>
      </c>
      <c r="J1234" s="14">
        <f t="shared" si="240"/>
        <v>7.5477535631747472E-2</v>
      </c>
      <c r="K1234" s="14">
        <f t="shared" si="241"/>
        <v>3.4317186126529557E-2</v>
      </c>
      <c r="L1234" s="14">
        <f t="shared" si="242"/>
        <v>690.54429115291691</v>
      </c>
      <c r="M1234" s="14">
        <f t="shared" si="236"/>
        <v>0.14638878376088796</v>
      </c>
      <c r="N1234" s="14">
        <f t="shared" si="243"/>
        <v>3.7461296399921675</v>
      </c>
      <c r="O1234" s="4">
        <v>1.78</v>
      </c>
      <c r="P1234" s="14">
        <f t="shared" si="246"/>
        <v>3.8656657612557304</v>
      </c>
      <c r="Q1234" s="14">
        <f t="shared" si="244"/>
        <v>22.597178760561309</v>
      </c>
    </row>
    <row r="1235" spans="1:17" x14ac:dyDescent="0.25">
      <c r="A1235" s="5" t="s">
        <v>1292</v>
      </c>
      <c r="B1235" s="6">
        <f t="shared" si="245"/>
        <v>9</v>
      </c>
      <c r="C1235" s="58">
        <v>17.23873901</v>
      </c>
      <c r="D1235" s="4">
        <v>0</v>
      </c>
      <c r="E1235" s="12">
        <f t="shared" si="234"/>
        <v>0</v>
      </c>
      <c r="F1235" s="12">
        <f t="shared" si="235"/>
        <v>0</v>
      </c>
      <c r="G1235" s="16">
        <f t="shared" si="237"/>
        <v>0.92435478630001122</v>
      </c>
      <c r="H1235" s="14">
        <f t="shared" si="238"/>
        <v>0</v>
      </c>
      <c r="I1235" s="14">
        <f t="shared" si="239"/>
        <v>6.4969390787269772</v>
      </c>
      <c r="J1235" s="14">
        <f t="shared" si="240"/>
        <v>9.4569962336960911E-2</v>
      </c>
      <c r="K1235" s="14">
        <f t="shared" si="241"/>
        <v>3.2606474395975395E-2</v>
      </c>
      <c r="L1235" s="14">
        <f t="shared" si="242"/>
        <v>690.39961308088664</v>
      </c>
      <c r="M1235" s="14">
        <f t="shared" si="236"/>
        <v>0.14635775398470471</v>
      </c>
      <c r="N1235" s="14">
        <f t="shared" si="243"/>
        <v>3.7453355794002561</v>
      </c>
      <c r="O1235" s="4">
        <v>1.69</v>
      </c>
      <c r="P1235" s="14">
        <f t="shared" si="246"/>
        <v>4.2244043439485868</v>
      </c>
      <c r="Q1235" s="14">
        <f t="shared" si="244"/>
        <v>23.460935579526822</v>
      </c>
    </row>
    <row r="1236" spans="1:17" x14ac:dyDescent="0.25">
      <c r="A1236" s="5" t="s">
        <v>1293</v>
      </c>
      <c r="B1236" s="6">
        <f t="shared" si="245"/>
        <v>9</v>
      </c>
      <c r="C1236" s="58">
        <v>16.614728929999998</v>
      </c>
      <c r="D1236" s="4">
        <v>2.9</v>
      </c>
      <c r="E1236" s="12">
        <f t="shared" si="234"/>
        <v>0</v>
      </c>
      <c r="F1236" s="12">
        <f t="shared" si="235"/>
        <v>2.9</v>
      </c>
      <c r="G1236" s="16">
        <f t="shared" si="237"/>
        <v>3.6357350290087687</v>
      </c>
      <c r="H1236" s="14">
        <f t="shared" si="238"/>
        <v>0.11509032925451523</v>
      </c>
      <c r="I1236" s="14">
        <f t="shared" si="239"/>
        <v>5.5682686803352652</v>
      </c>
      <c r="J1236" s="14">
        <f t="shared" si="240"/>
        <v>7.3529428036727656E-2</v>
      </c>
      <c r="K1236" s="14">
        <f t="shared" si="241"/>
        <v>0.14607137089981159</v>
      </c>
      <c r="L1236" s="14">
        <f t="shared" si="242"/>
        <v>690.25488075965256</v>
      </c>
      <c r="M1236" s="14">
        <f t="shared" si="236"/>
        <v>0.14635101245271295</v>
      </c>
      <c r="N1236" s="14">
        <f t="shared" si="243"/>
        <v>3.7451630617239391</v>
      </c>
      <c r="O1236" s="4">
        <v>1.65</v>
      </c>
      <c r="P1236" s="14">
        <f t="shared" si="246"/>
        <v>4.3897082552124314</v>
      </c>
      <c r="Q1236" s="14">
        <f t="shared" si="244"/>
        <v>23.850027499067064</v>
      </c>
    </row>
    <row r="1237" spans="1:17" x14ac:dyDescent="0.25">
      <c r="A1237" s="5" t="s">
        <v>1294</v>
      </c>
      <c r="B1237" s="6">
        <f t="shared" si="245"/>
        <v>9</v>
      </c>
      <c r="C1237" s="58">
        <v>17.624692920000001</v>
      </c>
      <c r="D1237" s="4">
        <v>0.7</v>
      </c>
      <c r="E1237" s="12">
        <f t="shared" si="234"/>
        <v>0</v>
      </c>
      <c r="F1237" s="12">
        <f t="shared" si="235"/>
        <v>0.7</v>
      </c>
      <c r="G1237" s="16">
        <f t="shared" si="237"/>
        <v>3.9109261874525916</v>
      </c>
      <c r="H1237" s="14">
        <f t="shared" si="238"/>
        <v>5.7530374006671443E-2</v>
      </c>
      <c r="I1237" s="14">
        <f t="shared" si="239"/>
        <v>7.071327190150658</v>
      </c>
      <c r="J1237" s="14">
        <f t="shared" si="240"/>
        <v>0.36727846754950522</v>
      </c>
      <c r="K1237" s="14">
        <f t="shared" si="241"/>
        <v>0.19632008705799014</v>
      </c>
      <c r="L1237" s="14">
        <f t="shared" si="242"/>
        <v>690.11581140504836</v>
      </c>
      <c r="M1237" s="14">
        <f t="shared" si="236"/>
        <v>0.14633213400960149</v>
      </c>
      <c r="N1237" s="14">
        <f t="shared" si="243"/>
        <v>3.744679957120705</v>
      </c>
      <c r="O1237" s="4">
        <v>1.76</v>
      </c>
      <c r="P1237" s="14">
        <f t="shared" si="246"/>
        <v>3.9389545321966435</v>
      </c>
      <c r="Q1237" s="14">
        <f t="shared" si="244"/>
        <v>22.787724720331429</v>
      </c>
    </row>
    <row r="1238" spans="1:17" x14ac:dyDescent="0.25">
      <c r="A1238" s="5" t="s">
        <v>1295</v>
      </c>
      <c r="B1238" s="6">
        <f t="shared" si="245"/>
        <v>9</v>
      </c>
      <c r="C1238" s="58">
        <v>17.55220413</v>
      </c>
      <c r="D1238" s="4">
        <v>0.2</v>
      </c>
      <c r="E1238" s="12">
        <f t="shared" si="234"/>
        <v>0</v>
      </c>
      <c r="F1238" s="12">
        <f t="shared" si="235"/>
        <v>0.2</v>
      </c>
      <c r="G1238" s="16">
        <f t="shared" si="237"/>
        <v>3.7047881703319709</v>
      </c>
      <c r="H1238" s="14">
        <f t="shared" si="238"/>
        <v>1.7087302110810314E-2</v>
      </c>
      <c r="I1238" s="14">
        <f t="shared" si="239"/>
        <v>6.9634472124935112</v>
      </c>
      <c r="J1238" s="14">
        <f t="shared" si="240"/>
        <v>0.3890507150098102</v>
      </c>
      <c r="K1238" s="14">
        <f t="shared" si="241"/>
        <v>0.20362083281667911</v>
      </c>
      <c r="L1238" s="14">
        <f t="shared" si="242"/>
        <v>689.97926582739092</v>
      </c>
      <c r="M1238" s="14">
        <f t="shared" si="236"/>
        <v>0.1463047293959997</v>
      </c>
      <c r="N1238" s="14">
        <f t="shared" si="243"/>
        <v>3.7439786654462424</v>
      </c>
      <c r="O1238" s="4">
        <v>1.79</v>
      </c>
      <c r="P1238" s="14">
        <f t="shared" si="246"/>
        <v>3.8180326250190784</v>
      </c>
      <c r="Q1238" s="14">
        <f t="shared" si="244"/>
        <v>22.502205780676253</v>
      </c>
    </row>
    <row r="1239" spans="1:17" x14ac:dyDescent="0.25">
      <c r="A1239" s="5" t="s">
        <v>1296</v>
      </c>
      <c r="B1239" s="6">
        <f t="shared" si="245"/>
        <v>9</v>
      </c>
      <c r="C1239" s="58">
        <v>17.2755127</v>
      </c>
      <c r="D1239" s="4">
        <v>2.9</v>
      </c>
      <c r="E1239" s="12">
        <f t="shared" si="234"/>
        <v>0</v>
      </c>
      <c r="F1239" s="12">
        <f t="shared" si="235"/>
        <v>2.9</v>
      </c>
      <c r="G1239" s="16">
        <f t="shared" si="237"/>
        <v>6.017301504058814</v>
      </c>
      <c r="H1239" s="14">
        <f t="shared" si="238"/>
        <v>0.24073584935442513</v>
      </c>
      <c r="I1239" s="14">
        <f t="shared" si="239"/>
        <v>6.5516667801490982</v>
      </c>
      <c r="J1239" s="14">
        <f t="shared" si="240"/>
        <v>0.3467508169187315</v>
      </c>
      <c r="K1239" s="14">
        <f t="shared" si="241"/>
        <v>0.43420618364245561</v>
      </c>
      <c r="L1239" s="14">
        <f t="shared" si="242"/>
        <v>689.84311159652361</v>
      </c>
      <c r="M1239" s="14">
        <f t="shared" si="236"/>
        <v>0.14632451631462826</v>
      </c>
      <c r="N1239" s="14">
        <f t="shared" si="243"/>
        <v>3.7444850181903133</v>
      </c>
      <c r="O1239" s="4">
        <v>1.88</v>
      </c>
      <c r="P1239" s="14">
        <f t="shared" si="246"/>
        <v>3.4763043830561333</v>
      </c>
      <c r="Q1239" s="14">
        <f t="shared" si="244"/>
        <v>21.656448961710737</v>
      </c>
    </row>
    <row r="1240" spans="1:17" x14ac:dyDescent="0.25">
      <c r="A1240" s="5" t="s">
        <v>1297</v>
      </c>
      <c r="B1240" s="6">
        <f t="shared" si="245"/>
        <v>9</v>
      </c>
      <c r="C1240" s="58">
        <v>16.038923260000001</v>
      </c>
      <c r="D1240" s="4">
        <v>0</v>
      </c>
      <c r="E1240" s="12">
        <f t="shared" si="234"/>
        <v>0</v>
      </c>
      <c r="F1240" s="12">
        <f t="shared" si="235"/>
        <v>0</v>
      </c>
      <c r="G1240" s="16">
        <f t="shared" si="237"/>
        <v>5.6123077719428327</v>
      </c>
      <c r="H1240" s="14">
        <f t="shared" si="238"/>
        <v>0</v>
      </c>
      <c r="I1240" s="14">
        <f t="shared" si="239"/>
        <v>4.7113375215387538</v>
      </c>
      <c r="J1240" s="14">
        <f t="shared" si="240"/>
        <v>0.40499373211598144</v>
      </c>
      <c r="K1240" s="14">
        <f t="shared" si="241"/>
        <v>0.41256100536071799</v>
      </c>
      <c r="L1240" s="14">
        <f t="shared" si="242"/>
        <v>689.71843225849068</v>
      </c>
      <c r="M1240" s="14">
        <f t="shared" si="236"/>
        <v>0.14629352009632149</v>
      </c>
      <c r="N1240" s="14">
        <f t="shared" si="243"/>
        <v>3.7436918163537829</v>
      </c>
      <c r="O1240" s="4">
        <v>1.84</v>
      </c>
      <c r="P1240" s="14">
        <f t="shared" si="246"/>
        <v>3.6240425316523646</v>
      </c>
      <c r="Q1240" s="14">
        <f t="shared" si="244"/>
        <v>22.030340881250968</v>
      </c>
    </row>
    <row r="1241" spans="1:17" x14ac:dyDescent="0.25">
      <c r="A1241" s="5" t="s">
        <v>1298</v>
      </c>
      <c r="B1241" s="6">
        <f t="shared" si="245"/>
        <v>10</v>
      </c>
      <c r="C1241" s="58">
        <v>16.21718216</v>
      </c>
      <c r="D1241" s="4">
        <v>0</v>
      </c>
      <c r="E1241" s="12">
        <f t="shared" si="234"/>
        <v>0</v>
      </c>
      <c r="F1241" s="12">
        <f t="shared" si="235"/>
        <v>0</v>
      </c>
      <c r="G1241" s="16">
        <f t="shared" si="237"/>
        <v>5.19943578960706</v>
      </c>
      <c r="H1241" s="14">
        <f t="shared" si="238"/>
        <v>0</v>
      </c>
      <c r="I1241" s="14">
        <f t="shared" si="239"/>
        <v>5.1495777849189261</v>
      </c>
      <c r="J1241" s="14">
        <f t="shared" si="240"/>
        <v>0.41287198233577299</v>
      </c>
      <c r="K1241" s="14">
        <f t="shared" si="241"/>
        <v>0.39199483921767903</v>
      </c>
      <c r="L1241" s="14">
        <f t="shared" si="242"/>
        <v>689.59270490453741</v>
      </c>
      <c r="M1241" s="14">
        <f t="shared" si="236"/>
        <v>0.14626252936957937</v>
      </c>
      <c r="N1241" s="14">
        <f t="shared" si="243"/>
        <v>3.7428987550479165</v>
      </c>
      <c r="O1241" s="4">
        <v>1.92</v>
      </c>
      <c r="P1241" s="14">
        <f t="shared" si="246"/>
        <v>3.3229598711552439</v>
      </c>
      <c r="Q1241" s="14">
        <f t="shared" si="244"/>
        <v>21.285757042170509</v>
      </c>
    </row>
    <row r="1242" spans="1:17" x14ac:dyDescent="0.25">
      <c r="A1242" s="5" t="s">
        <v>1299</v>
      </c>
      <c r="B1242" s="6">
        <f t="shared" si="245"/>
        <v>10</v>
      </c>
      <c r="C1242" s="58">
        <v>16.258010859999999</v>
      </c>
      <c r="D1242" s="4">
        <v>5.8</v>
      </c>
      <c r="E1242" s="12">
        <f t="shared" si="234"/>
        <v>0</v>
      </c>
      <c r="F1242" s="12">
        <f t="shared" si="235"/>
        <v>5.8</v>
      </c>
      <c r="G1242" s="16">
        <f t="shared" si="237"/>
        <v>10.036140240044197</v>
      </c>
      <c r="H1242" s="14">
        <f t="shared" si="238"/>
        <v>0.57652128382989853</v>
      </c>
      <c r="I1242" s="14">
        <f t="shared" si="239"/>
        <v>5.2071374343552428</v>
      </c>
      <c r="J1242" s="14">
        <f t="shared" si="240"/>
        <v>0.3867742657329637</v>
      </c>
      <c r="K1242" s="14">
        <f t="shared" si="241"/>
        <v>0.94897518028805561</v>
      </c>
      <c r="L1242" s="14">
        <f t="shared" si="242"/>
        <v>689.46598331792734</v>
      </c>
      <c r="M1242" s="14">
        <f t="shared" si="236"/>
        <v>0.14635317861800445</v>
      </c>
      <c r="N1242" s="14">
        <f t="shared" si="243"/>
        <v>3.7452184944954618</v>
      </c>
      <c r="O1242" s="4">
        <v>2.0699999999999998</v>
      </c>
      <c r="P1242" s="14">
        <f t="shared" si="246"/>
        <v>2.8063570042996422</v>
      </c>
      <c r="Q1242" s="14">
        <f t="shared" si="244"/>
        <v>19.924162343894654</v>
      </c>
    </row>
    <row r="1243" spans="1:17" x14ac:dyDescent="0.25">
      <c r="A1243" s="5" t="s">
        <v>1300</v>
      </c>
      <c r="B1243" s="6">
        <f t="shared" si="245"/>
        <v>10</v>
      </c>
      <c r="C1243" s="58">
        <v>16.255168909999998</v>
      </c>
      <c r="D1243" s="4">
        <v>4.8</v>
      </c>
      <c r="E1243" s="12">
        <f t="shared" ref="E1243:E1306" si="247">IF(C1243&gt;$C$9,MAX(E1242-$C$10*(C1243-$C$9),0),E1242+D1243)</f>
        <v>0</v>
      </c>
      <c r="F1243" s="12">
        <f t="shared" ref="F1243:F1306" si="248">IF(C1243&gt;$C$9,D1243+MIN(E1242,$C$10*(C1243-$C$9)),0)</f>
        <v>4.8</v>
      </c>
      <c r="G1243" s="16">
        <f t="shared" si="237"/>
        <v>13.413360271663793</v>
      </c>
      <c r="H1243" s="14">
        <f t="shared" si="238"/>
        <v>0.67678863187332539</v>
      </c>
      <c r="I1243" s="14">
        <f t="shared" si="239"/>
        <v>5.2031308986165197</v>
      </c>
      <c r="J1243" s="14">
        <f t="shared" si="240"/>
        <v>0.74599133650707961</v>
      </c>
      <c r="K1243" s="14">
        <f t="shared" si="241"/>
        <v>1.5784573993646593</v>
      </c>
      <c r="L1243" s="14">
        <f t="shared" si="242"/>
        <v>689.36693655210604</v>
      </c>
      <c r="M1243" s="14">
        <f t="shared" si="236"/>
        <v>0.14646499081603886</v>
      </c>
      <c r="N1243" s="14">
        <f t="shared" si="243"/>
        <v>3.7480797997021056</v>
      </c>
      <c r="O1243" s="4">
        <v>2.35</v>
      </c>
      <c r="P1243" s="14">
        <f t="shared" si="246"/>
        <v>1.9546271263350794</v>
      </c>
      <c r="Q1243" s="14">
        <f t="shared" si="244"/>
        <v>17.502918907113035</v>
      </c>
    </row>
    <row r="1244" spans="1:17" x14ac:dyDescent="0.25">
      <c r="A1244" s="5" t="s">
        <v>1301</v>
      </c>
      <c r="B1244" s="6">
        <f t="shared" si="245"/>
        <v>10</v>
      </c>
      <c r="C1244" s="58">
        <v>17.378627779999999</v>
      </c>
      <c r="D1244" s="4">
        <v>1.7</v>
      </c>
      <c r="E1244" s="12">
        <f t="shared" si="247"/>
        <v>0</v>
      </c>
      <c r="F1244" s="12">
        <f t="shared" si="248"/>
        <v>1.7</v>
      </c>
      <c r="G1244" s="16">
        <f t="shared" si="237"/>
        <v>13.533188766834975</v>
      </c>
      <c r="H1244" s="14">
        <f t="shared" si="238"/>
        <v>0.27965602001320516</v>
      </c>
      <c r="I1244" s="14">
        <f t="shared" si="239"/>
        <v>6.7869652777008849</v>
      </c>
      <c r="J1244" s="14">
        <f t="shared" si="240"/>
        <v>1.3005154848156133</v>
      </c>
      <c r="K1244" s="14">
        <f t="shared" si="241"/>
        <v>1.7794273179207982</v>
      </c>
      <c r="L1244" s="14">
        <f t="shared" si="242"/>
        <v>689.29915766274712</v>
      </c>
      <c r="M1244" s="14">
        <f t="shared" si="236"/>
        <v>0.14649302367367786</v>
      </c>
      <c r="N1244" s="14">
        <f t="shared" si="243"/>
        <v>3.7487971683159924</v>
      </c>
      <c r="O1244" s="4">
        <v>2.39</v>
      </c>
      <c r="P1244" s="14">
        <f t="shared" si="246"/>
        <v>1.8463297446235591</v>
      </c>
      <c r="Q1244" s="14">
        <f t="shared" si="244"/>
        <v>17.169826987572815</v>
      </c>
    </row>
    <row r="1245" spans="1:17" x14ac:dyDescent="0.25">
      <c r="A1245" s="5" t="s">
        <v>1302</v>
      </c>
      <c r="B1245" s="6">
        <f t="shared" si="245"/>
        <v>10</v>
      </c>
      <c r="C1245" s="58">
        <v>17.3260231</v>
      </c>
      <c r="D1245" s="4">
        <v>0.4</v>
      </c>
      <c r="E1245" s="12">
        <f t="shared" si="247"/>
        <v>0</v>
      </c>
      <c r="F1245" s="12">
        <f t="shared" si="248"/>
        <v>0.4</v>
      </c>
      <c r="G1245" s="16">
        <f t="shared" si="237"/>
        <v>12.569279553573807</v>
      </c>
      <c r="H1245" s="14">
        <f t="shared" si="238"/>
        <v>6.6113247749607709E-2</v>
      </c>
      <c r="I1245" s="14">
        <f t="shared" si="239"/>
        <v>6.7128040396622115</v>
      </c>
      <c r="J1245" s="14">
        <f t="shared" si="240"/>
        <v>1.2977959655115621</v>
      </c>
      <c r="K1245" s="14">
        <f t="shared" si="241"/>
        <v>1.7568361137607447</v>
      </c>
      <c r="L1245" s="14">
        <f t="shared" si="242"/>
        <v>689.24136909098308</v>
      </c>
      <c r="M1245" s="14">
        <f t="shared" si="236"/>
        <v>0.14647600736409244</v>
      </c>
      <c r="N1245" s="14">
        <f t="shared" si="243"/>
        <v>3.7483617162269485</v>
      </c>
      <c r="O1245" s="4">
        <v>2.2999999999999998</v>
      </c>
      <c r="P1245" s="14">
        <f t="shared" si="246"/>
        <v>2.0977516610318721</v>
      </c>
      <c r="Q1245" s="14">
        <f t="shared" si="244"/>
        <v>17.923783806538328</v>
      </c>
    </row>
    <row r="1246" spans="1:17" x14ac:dyDescent="0.25">
      <c r="A1246" s="5" t="s">
        <v>1303</v>
      </c>
      <c r="B1246" s="6">
        <f t="shared" si="245"/>
        <v>10</v>
      </c>
      <c r="C1246" s="58">
        <v>14.533682819999999</v>
      </c>
      <c r="D1246" s="4">
        <v>0.1</v>
      </c>
      <c r="E1246" s="12">
        <f t="shared" si="247"/>
        <v>0</v>
      </c>
      <c r="F1246" s="12">
        <f t="shared" si="248"/>
        <v>0.1</v>
      </c>
      <c r="G1246" s="16">
        <f t="shared" si="237"/>
        <v>12.154888517737765</v>
      </c>
      <c r="H1246" s="14">
        <f t="shared" si="238"/>
        <v>1.5891696786017491E-2</v>
      </c>
      <c r="I1246" s="14">
        <f t="shared" si="239"/>
        <v>2.776207292185322</v>
      </c>
      <c r="J1246" s="14">
        <f t="shared" si="240"/>
        <v>0.49849933905002414</v>
      </c>
      <c r="K1246" s="14">
        <f t="shared" si="241"/>
        <v>1.6851495301658925</v>
      </c>
      <c r="L1246" s="14">
        <f t="shared" si="242"/>
        <v>689.18247136399987</v>
      </c>
      <c r="M1246" s="14">
        <f t="shared" si="236"/>
        <v>0.14644839779519803</v>
      </c>
      <c r="N1246" s="14">
        <f t="shared" si="243"/>
        <v>3.7476551796896165</v>
      </c>
      <c r="O1246" s="4">
        <v>2.27</v>
      </c>
      <c r="P1246" s="14">
        <f t="shared" si="246"/>
        <v>2.1834648300635529</v>
      </c>
      <c r="Q1246" s="14">
        <f t="shared" si="244"/>
        <v>18.178702746193498</v>
      </c>
    </row>
    <row r="1247" spans="1:17" x14ac:dyDescent="0.25">
      <c r="A1247" s="5" t="s">
        <v>1304</v>
      </c>
      <c r="B1247" s="6">
        <f t="shared" si="245"/>
        <v>10</v>
      </c>
      <c r="C1247" s="58">
        <v>17.040370939999999</v>
      </c>
      <c r="D1247" s="4">
        <v>0.2</v>
      </c>
      <c r="E1247" s="12">
        <f t="shared" si="247"/>
        <v>0</v>
      </c>
      <c r="F1247" s="12">
        <f t="shared" si="248"/>
        <v>0.2</v>
      </c>
      <c r="G1247" s="16">
        <f t="shared" si="237"/>
        <v>11.227972546530465</v>
      </c>
      <c r="H1247" s="14">
        <f t="shared" si="238"/>
        <v>3.1222005474784251E-2</v>
      </c>
      <c r="I1247" s="14">
        <f t="shared" si="239"/>
        <v>6.3100961848853743</v>
      </c>
      <c r="J1247" s="14">
        <f t="shared" si="240"/>
        <v>1.0956939657325158</v>
      </c>
      <c r="K1247" s="14">
        <f t="shared" si="241"/>
        <v>1.6323668314564947</v>
      </c>
      <c r="L1247" s="14">
        <f t="shared" si="242"/>
        <v>689.12002767038882</v>
      </c>
      <c r="M1247" s="14">
        <f t="shared" ref="M1247:M1310" si="249">MAX(0,K1247-$F$9)*$F$8+K1247*$F$10+L1247*$F$11</f>
        <v>0.14642402489314557</v>
      </c>
      <c r="N1247" s="14">
        <f t="shared" si="243"/>
        <v>3.7470314703558434</v>
      </c>
      <c r="O1247" s="4">
        <v>2.27</v>
      </c>
      <c r="P1247" s="14">
        <f t="shared" si="246"/>
        <v>2.1816219644215447</v>
      </c>
      <c r="Q1247" s="14">
        <f t="shared" si="244"/>
        <v>18.178702746193498</v>
      </c>
    </row>
    <row r="1248" spans="1:17" x14ac:dyDescent="0.25">
      <c r="A1248" s="5" t="s">
        <v>1305</v>
      </c>
      <c r="B1248" s="6">
        <f t="shared" si="245"/>
        <v>10</v>
      </c>
      <c r="C1248" s="58">
        <v>16.910839079999999</v>
      </c>
      <c r="D1248" s="4">
        <v>2</v>
      </c>
      <c r="E1248" s="12">
        <f t="shared" si="247"/>
        <v>0</v>
      </c>
      <c r="F1248" s="12">
        <f t="shared" si="248"/>
        <v>2</v>
      </c>
      <c r="G1248" s="16">
        <f t="shared" ref="G1248:G1311" si="250">G1247+F1248-H1248-J1248</f>
        <v>11.945797162613511</v>
      </c>
      <c r="H1248" s="14">
        <f t="shared" ref="H1248:H1311" si="251">(F1248*(G1247/$C$11)^$C$12)</f>
        <v>0.29932852182100139</v>
      </c>
      <c r="I1248" s="14">
        <f t="shared" ref="I1248:I1311" si="252">(1+$C$13*(C1248-INDEX($A$16:$A$27,B1248)))*INDEX($C$16:$C$27,B1248)</f>
        <v>6.1274842366128555</v>
      </c>
      <c r="J1248" s="14">
        <f t="shared" ref="J1248:J1311" si="253">IF(G1247&gt;$F$13,I1248,I1248*(G1247/$F$13))</f>
        <v>0.98284686209595262</v>
      </c>
      <c r="K1248" s="14">
        <f t="shared" ref="K1248:K1311" si="254">K1247+H1248-MAX(0,K1247-$F$9)*$F$8-K1247*$F$10-K1247*$F$12</f>
        <v>1.8503218666272794</v>
      </c>
      <c r="L1248" s="14">
        <f t="shared" ref="L1248:L1311" si="255">L1247+K1247*$F$12-L1247*$F$11</f>
        <v>689.05497713214584</v>
      </c>
      <c r="M1248" s="14">
        <f t="shared" si="249"/>
        <v>0.14645621962554931</v>
      </c>
      <c r="N1248" s="14">
        <f t="shared" ref="N1248:N1311" si="256">M1248*$C$8*1000/(24*3600)</f>
        <v>3.7478553425010364</v>
      </c>
      <c r="O1248" s="4">
        <v>2.2999999999999998</v>
      </c>
      <c r="P1248" s="14">
        <f t="shared" si="246"/>
        <v>2.0962850928087939</v>
      </c>
      <c r="Q1248" s="14">
        <f t="shared" ref="Q1248:Q1311" si="257">(O1248-$F$23)^2</f>
        <v>17.923783806538328</v>
      </c>
    </row>
    <row r="1249" spans="1:17" x14ac:dyDescent="0.25">
      <c r="A1249" s="5" t="s">
        <v>1306</v>
      </c>
      <c r="B1249" s="6">
        <f t="shared" ref="B1249:B1312" si="258">MONTH(A1249)</f>
        <v>10</v>
      </c>
      <c r="C1249" s="58">
        <v>16.328140260000001</v>
      </c>
      <c r="D1249" s="4">
        <v>2.4</v>
      </c>
      <c r="E1249" s="12">
        <f t="shared" si="247"/>
        <v>0</v>
      </c>
      <c r="F1249" s="12">
        <f t="shared" si="248"/>
        <v>2.4</v>
      </c>
      <c r="G1249" s="16">
        <f t="shared" si="250"/>
        <v>13.069080110402153</v>
      </c>
      <c r="H1249" s="14">
        <f t="shared" si="251"/>
        <v>0.37122408666511719</v>
      </c>
      <c r="I1249" s="14">
        <f t="shared" si="252"/>
        <v>5.3060047428705621</v>
      </c>
      <c r="J1249" s="14">
        <f t="shared" si="253"/>
        <v>0.90549296554624015</v>
      </c>
      <c r="K1249" s="14">
        <f t="shared" si="254"/>
        <v>2.1293074081252819</v>
      </c>
      <c r="L1249" s="14">
        <f t="shared" si="255"/>
        <v>689.00075945768742</v>
      </c>
      <c r="M1249" s="14">
        <f t="shared" si="249"/>
        <v>0.15143269395205972</v>
      </c>
      <c r="N1249" s="14">
        <f t="shared" si="256"/>
        <v>3.8752047028704166</v>
      </c>
      <c r="O1249" s="4">
        <v>2.35</v>
      </c>
      <c r="P1249" s="14">
        <f t="shared" ref="P1249:P1312" si="259">(O1249-N1249)^2</f>
        <v>2.3262493856580355</v>
      </c>
      <c r="Q1249" s="14">
        <f t="shared" si="257"/>
        <v>17.502918907113035</v>
      </c>
    </row>
    <row r="1250" spans="1:17" x14ac:dyDescent="0.25">
      <c r="A1250" s="5" t="s">
        <v>1307</v>
      </c>
      <c r="B1250" s="6">
        <f t="shared" si="258"/>
        <v>10</v>
      </c>
      <c r="C1250" s="58">
        <v>15.459370610000001</v>
      </c>
      <c r="D1250" s="4">
        <v>3.2</v>
      </c>
      <c r="E1250" s="12">
        <f t="shared" si="247"/>
        <v>0</v>
      </c>
      <c r="F1250" s="12">
        <f t="shared" si="248"/>
        <v>3.2</v>
      </c>
      <c r="G1250" s="16">
        <f t="shared" si="250"/>
        <v>14.987924470546243</v>
      </c>
      <c r="H1250" s="14">
        <f t="shared" si="251"/>
        <v>0.51918524304677149</v>
      </c>
      <c r="I1250" s="14">
        <f t="shared" si="252"/>
        <v>4.0812271600694299</v>
      </c>
      <c r="J1250" s="14">
        <f t="shared" si="253"/>
        <v>0.76197039680913781</v>
      </c>
      <c r="K1250" s="14">
        <f t="shared" si="254"/>
        <v>2.5374175697127201</v>
      </c>
      <c r="L1250" s="14">
        <f t="shared" si="255"/>
        <v>688.96040184519472</v>
      </c>
      <c r="M1250" s="14">
        <f t="shared" si="249"/>
        <v>0.16706711300374055</v>
      </c>
      <c r="N1250" s="14">
        <f t="shared" si="256"/>
        <v>4.2752938292971114</v>
      </c>
      <c r="O1250" s="4">
        <v>2.33</v>
      </c>
      <c r="P1250" s="14">
        <f t="shared" si="259"/>
        <v>3.7841680823014192</v>
      </c>
      <c r="Q1250" s="14">
        <f t="shared" si="257"/>
        <v>17.670664866883154</v>
      </c>
    </row>
    <row r="1251" spans="1:17" x14ac:dyDescent="0.25">
      <c r="A1251" s="5" t="s">
        <v>1308</v>
      </c>
      <c r="B1251" s="6">
        <f t="shared" si="258"/>
        <v>10</v>
      </c>
      <c r="C1251" s="58">
        <v>15.63764286</v>
      </c>
      <c r="D1251" s="4">
        <v>0</v>
      </c>
      <c r="E1251" s="12">
        <f t="shared" si="247"/>
        <v>0</v>
      </c>
      <c r="F1251" s="12">
        <f t="shared" si="248"/>
        <v>0</v>
      </c>
      <c r="G1251" s="16">
        <f t="shared" si="250"/>
        <v>14.060267005493055</v>
      </c>
      <c r="H1251" s="14">
        <f t="shared" si="251"/>
        <v>0</v>
      </c>
      <c r="I1251" s="14">
        <f t="shared" si="252"/>
        <v>4.3325525320313973</v>
      </c>
      <c r="J1251" s="14">
        <f t="shared" si="253"/>
        <v>0.92765746505318958</v>
      </c>
      <c r="K1251" s="14">
        <f t="shared" si="254"/>
        <v>2.3904413256774313</v>
      </c>
      <c r="L1251" s="14">
        <f t="shared" si="255"/>
        <v>688.94031097622621</v>
      </c>
      <c r="M1251" s="14">
        <f t="shared" si="249"/>
        <v>0.16142921453046297</v>
      </c>
      <c r="N1251" s="14">
        <f t="shared" si="256"/>
        <v>4.131018441283028</v>
      </c>
      <c r="O1251" s="4">
        <v>2.38</v>
      </c>
      <c r="P1251" s="14">
        <f t="shared" si="259"/>
        <v>3.0660655817132452</v>
      </c>
      <c r="Q1251" s="14">
        <f t="shared" si="257"/>
        <v>17.252799967457868</v>
      </c>
    </row>
    <row r="1252" spans="1:17" x14ac:dyDescent="0.25">
      <c r="A1252" s="5" t="s">
        <v>1309</v>
      </c>
      <c r="B1252" s="6">
        <f t="shared" si="258"/>
        <v>10</v>
      </c>
      <c r="C1252" s="58">
        <v>15.908472059999999</v>
      </c>
      <c r="D1252" s="4">
        <v>0</v>
      </c>
      <c r="E1252" s="12">
        <f t="shared" si="247"/>
        <v>0</v>
      </c>
      <c r="F1252" s="12">
        <f t="shared" si="248"/>
        <v>0</v>
      </c>
      <c r="G1252" s="16">
        <f t="shared" si="250"/>
        <v>13.113334732856949</v>
      </c>
      <c r="H1252" s="14">
        <f t="shared" si="251"/>
        <v>0</v>
      </c>
      <c r="I1252" s="14">
        <f t="shared" si="252"/>
        <v>4.7143632144464238</v>
      </c>
      <c r="J1252" s="14">
        <f t="shared" si="253"/>
        <v>0.94693227263610646</v>
      </c>
      <c r="K1252" s="14">
        <f t="shared" si="254"/>
        <v>2.2563944779879468</v>
      </c>
      <c r="L1252" s="14">
        <f t="shared" si="255"/>
        <v>688.91292860938518</v>
      </c>
      <c r="M1252" s="14">
        <f t="shared" si="249"/>
        <v>0.15628535770220672</v>
      </c>
      <c r="N1252" s="14">
        <f t="shared" si="256"/>
        <v>3.999385716198832</v>
      </c>
      <c r="O1252" s="4">
        <v>2.2200000000000002</v>
      </c>
      <c r="P1252" s="14">
        <f t="shared" si="259"/>
        <v>3.1662135270124296</v>
      </c>
      <c r="Q1252" s="14">
        <f t="shared" si="257"/>
        <v>18.60756764561879</v>
      </c>
    </row>
    <row r="1253" spans="1:17" x14ac:dyDescent="0.25">
      <c r="A1253" s="5" t="s">
        <v>1310</v>
      </c>
      <c r="B1253" s="6">
        <f t="shared" si="258"/>
        <v>10</v>
      </c>
      <c r="C1253" s="58">
        <v>16.010566709999999</v>
      </c>
      <c r="D1253" s="4">
        <v>0</v>
      </c>
      <c r="E1253" s="12">
        <f t="shared" si="247"/>
        <v>0</v>
      </c>
      <c r="F1253" s="12">
        <f t="shared" si="248"/>
        <v>0</v>
      </c>
      <c r="G1253" s="16">
        <f t="shared" si="250"/>
        <v>12.203213374885499</v>
      </c>
      <c r="H1253" s="14">
        <f t="shared" si="251"/>
        <v>0</v>
      </c>
      <c r="I1253" s="14">
        <f t="shared" si="252"/>
        <v>4.8582946220916234</v>
      </c>
      <c r="J1253" s="14">
        <f t="shared" si="253"/>
        <v>0.91012135797145</v>
      </c>
      <c r="K1253" s="14">
        <f t="shared" si="254"/>
        <v>2.1341396367826317</v>
      </c>
      <c r="L1253" s="14">
        <f t="shared" si="255"/>
        <v>688.87889809288833</v>
      </c>
      <c r="M1253" s="14">
        <f t="shared" si="249"/>
        <v>0.1515920824315759</v>
      </c>
      <c r="N1253" s="14">
        <f t="shared" si="256"/>
        <v>3.879283498335814</v>
      </c>
      <c r="O1253" s="4">
        <v>2.11</v>
      </c>
      <c r="P1253" s="14">
        <f t="shared" si="259"/>
        <v>3.1303640974834166</v>
      </c>
      <c r="Q1253" s="14">
        <f t="shared" si="257"/>
        <v>19.568670424354416</v>
      </c>
    </row>
    <row r="1254" spans="1:17" x14ac:dyDescent="0.25">
      <c r="A1254" s="5" t="s">
        <v>1311</v>
      </c>
      <c r="B1254" s="6">
        <f t="shared" si="258"/>
        <v>10</v>
      </c>
      <c r="C1254" s="58">
        <v>15.16587925</v>
      </c>
      <c r="D1254" s="4">
        <v>0</v>
      </c>
      <c r="E1254" s="12">
        <f t="shared" si="247"/>
        <v>0</v>
      </c>
      <c r="F1254" s="12">
        <f t="shared" si="248"/>
        <v>0</v>
      </c>
      <c r="G1254" s="16">
        <f t="shared" si="250"/>
        <v>11.563857269869652</v>
      </c>
      <c r="H1254" s="14">
        <f t="shared" si="251"/>
        <v>0</v>
      </c>
      <c r="I1254" s="14">
        <f t="shared" si="252"/>
        <v>3.6674677262841713</v>
      </c>
      <c r="J1254" s="14">
        <f t="shared" si="253"/>
        <v>0.63935610501584661</v>
      </c>
      <c r="K1254" s="14">
        <f t="shared" si="254"/>
        <v>2.0226394675823882</v>
      </c>
      <c r="L1254" s="14">
        <f t="shared" si="255"/>
        <v>688.83880617965701</v>
      </c>
      <c r="M1254" s="14">
        <f t="shared" si="249"/>
        <v>0.14730975178427089</v>
      </c>
      <c r="N1254" s="14">
        <f t="shared" si="256"/>
        <v>3.7696974675349879</v>
      </c>
      <c r="O1254" s="4">
        <v>2.0699999999999998</v>
      </c>
      <c r="P1254" s="14">
        <f t="shared" si="259"/>
        <v>2.8889714811448517</v>
      </c>
      <c r="Q1254" s="14">
        <f t="shared" si="257"/>
        <v>19.924162343894654</v>
      </c>
    </row>
    <row r="1255" spans="1:17" x14ac:dyDescent="0.25">
      <c r="A1255" s="5" t="s">
        <v>1312</v>
      </c>
      <c r="B1255" s="6">
        <f t="shared" si="258"/>
        <v>10</v>
      </c>
      <c r="C1255" s="58">
        <v>15.423794750000001</v>
      </c>
      <c r="D1255" s="4">
        <v>1.8</v>
      </c>
      <c r="E1255" s="12">
        <f t="shared" si="247"/>
        <v>0</v>
      </c>
      <c r="F1255" s="12">
        <f t="shared" si="248"/>
        <v>1.8</v>
      </c>
      <c r="G1255" s="16">
        <f t="shared" si="250"/>
        <v>12.42428164889221</v>
      </c>
      <c r="H1255" s="14">
        <f t="shared" si="251"/>
        <v>0.27365006269978093</v>
      </c>
      <c r="I1255" s="14">
        <f t="shared" si="252"/>
        <v>4.0310728806043601</v>
      </c>
      <c r="J1255" s="14">
        <f t="shared" si="253"/>
        <v>0.66592555827766176</v>
      </c>
      <c r="K1255" s="14">
        <f t="shared" si="254"/>
        <v>2.1945979521891261</v>
      </c>
      <c r="L1255" s="14">
        <f t="shared" si="255"/>
        <v>688.79318800596582</v>
      </c>
      <c r="M1255" s="14">
        <f t="shared" si="249"/>
        <v>0.15389129736839727</v>
      </c>
      <c r="N1255" s="14">
        <f t="shared" si="256"/>
        <v>3.9381210472398887</v>
      </c>
      <c r="O1255" s="4">
        <v>2.08</v>
      </c>
      <c r="P1255" s="14">
        <f t="shared" si="259"/>
        <v>3.4526138261958601</v>
      </c>
      <c r="Q1255" s="14">
        <f t="shared" si="257"/>
        <v>19.834989364009591</v>
      </c>
    </row>
    <row r="1256" spans="1:17" x14ac:dyDescent="0.25">
      <c r="A1256" s="5" t="s">
        <v>1313</v>
      </c>
      <c r="B1256" s="6">
        <f t="shared" si="258"/>
        <v>10</v>
      </c>
      <c r="C1256" s="58">
        <v>15.415468219999999</v>
      </c>
      <c r="D1256" s="4">
        <v>0.9</v>
      </c>
      <c r="E1256" s="12">
        <f t="shared" si="247"/>
        <v>0</v>
      </c>
      <c r="F1256" s="12">
        <f t="shared" si="248"/>
        <v>0.9</v>
      </c>
      <c r="G1256" s="16">
        <f t="shared" si="250"/>
        <v>12.46874466358369</v>
      </c>
      <c r="H1256" s="14">
        <f t="shared" si="251"/>
        <v>0.14214582305820489</v>
      </c>
      <c r="I1256" s="14">
        <f t="shared" si="252"/>
        <v>4.019334271542081</v>
      </c>
      <c r="J1256" s="14">
        <f t="shared" si="253"/>
        <v>0.7133911622503164</v>
      </c>
      <c r="K1256" s="14">
        <f t="shared" si="254"/>
        <v>2.2199251307559207</v>
      </c>
      <c r="L1256" s="14">
        <f t="shared" si="255"/>
        <v>688.75611535308883</v>
      </c>
      <c r="M1256" s="14">
        <f t="shared" si="249"/>
        <v>0.15485423638734297</v>
      </c>
      <c r="N1256" s="14">
        <f t="shared" si="256"/>
        <v>3.9627629242177695</v>
      </c>
      <c r="O1256" s="4">
        <v>2.14</v>
      </c>
      <c r="P1256" s="14">
        <f t="shared" si="259"/>
        <v>3.3224646779029139</v>
      </c>
      <c r="Q1256" s="14">
        <f t="shared" si="257"/>
        <v>19.304151484699247</v>
      </c>
    </row>
    <row r="1257" spans="1:17" x14ac:dyDescent="0.25">
      <c r="A1257" s="5" t="s">
        <v>1314</v>
      </c>
      <c r="B1257" s="6">
        <f t="shared" si="258"/>
        <v>10</v>
      </c>
      <c r="C1257" s="58">
        <v>15.13525963</v>
      </c>
      <c r="D1257" s="4">
        <v>0.6</v>
      </c>
      <c r="E1257" s="12">
        <f t="shared" si="247"/>
        <v>0</v>
      </c>
      <c r="F1257" s="12">
        <f t="shared" si="248"/>
        <v>0.6</v>
      </c>
      <c r="G1257" s="16">
        <f t="shared" si="250"/>
        <v>12.328221853580148</v>
      </c>
      <c r="H1257" s="14">
        <f t="shared" si="251"/>
        <v>9.4944007257553614E-2</v>
      </c>
      <c r="I1257" s="14">
        <f t="shared" si="252"/>
        <v>3.6243006748455207</v>
      </c>
      <c r="J1257" s="14">
        <f t="shared" si="253"/>
        <v>0.64557880274598789</v>
      </c>
      <c r="K1257" s="14">
        <f t="shared" si="254"/>
        <v>2.1958224795177572</v>
      </c>
      <c r="L1257" s="14">
        <f t="shared" si="255"/>
        <v>688.72030777519717</v>
      </c>
      <c r="M1257" s="14">
        <f t="shared" si="249"/>
        <v>0.15392278468805443</v>
      </c>
      <c r="N1257" s="14">
        <f t="shared" si="256"/>
        <v>3.9389268164963931</v>
      </c>
      <c r="O1257" s="4">
        <v>2.21</v>
      </c>
      <c r="P1257" s="14">
        <f t="shared" si="259"/>
        <v>2.9891879368003527</v>
      </c>
      <c r="Q1257" s="14">
        <f t="shared" si="257"/>
        <v>18.693940625503846</v>
      </c>
    </row>
    <row r="1258" spans="1:17" x14ac:dyDescent="0.25">
      <c r="A1258" s="5" t="s">
        <v>1315</v>
      </c>
      <c r="B1258" s="6">
        <f t="shared" si="258"/>
        <v>10</v>
      </c>
      <c r="C1258" s="58">
        <v>15.62596035</v>
      </c>
      <c r="D1258" s="4">
        <v>0.3</v>
      </c>
      <c r="E1258" s="12">
        <f t="shared" si="247"/>
        <v>0</v>
      </c>
      <c r="F1258" s="12">
        <f t="shared" si="248"/>
        <v>0.3</v>
      </c>
      <c r="G1258" s="16">
        <f t="shared" si="250"/>
        <v>11.820896887014083</v>
      </c>
      <c r="H1258" s="14">
        <f t="shared" si="251"/>
        <v>4.7186848995878328E-2</v>
      </c>
      <c r="I1258" s="14">
        <f t="shared" si="252"/>
        <v>4.3160827159428052</v>
      </c>
      <c r="J1258" s="14">
        <f t="shared" si="253"/>
        <v>0.76013811757018701</v>
      </c>
      <c r="K1258" s="14">
        <f t="shared" si="254"/>
        <v>2.1260829632182814</v>
      </c>
      <c r="L1258" s="14">
        <f t="shared" si="255"/>
        <v>688.68331135580456</v>
      </c>
      <c r="M1258" s="14">
        <f t="shared" si="249"/>
        <v>0.15124180746492472</v>
      </c>
      <c r="N1258" s="14">
        <f t="shared" si="256"/>
        <v>3.8703198646406083</v>
      </c>
      <c r="O1258" s="4">
        <v>2.3199999999999998</v>
      </c>
      <c r="P1258" s="14">
        <f t="shared" si="259"/>
        <v>2.4034916826992747</v>
      </c>
      <c r="Q1258" s="14">
        <f t="shared" si="257"/>
        <v>17.754837846768218</v>
      </c>
    </row>
    <row r="1259" spans="1:17" x14ac:dyDescent="0.25">
      <c r="A1259" s="5" t="s">
        <v>1316</v>
      </c>
      <c r="B1259" s="6">
        <f t="shared" si="258"/>
        <v>10</v>
      </c>
      <c r="C1259" s="58">
        <v>15.208756449999999</v>
      </c>
      <c r="D1259" s="4">
        <v>0.8</v>
      </c>
      <c r="E1259" s="12">
        <f t="shared" si="247"/>
        <v>0</v>
      </c>
      <c r="F1259" s="12">
        <f t="shared" si="248"/>
        <v>0.8</v>
      </c>
      <c r="G1259" s="16">
        <f t="shared" si="250"/>
        <v>11.868311565467625</v>
      </c>
      <c r="H1259" s="14">
        <f t="shared" si="251"/>
        <v>0.12305191914880527</v>
      </c>
      <c r="I1259" s="14">
        <f t="shared" si="252"/>
        <v>3.7279153183165126</v>
      </c>
      <c r="J1259" s="14">
        <f t="shared" si="253"/>
        <v>0.62953340239765399</v>
      </c>
      <c r="K1259" s="14">
        <f t="shared" si="254"/>
        <v>2.1383434530480807</v>
      </c>
      <c r="L1259" s="14">
        <f t="shared" si="255"/>
        <v>688.64286097765864</v>
      </c>
      <c r="M1259" s="14">
        <f t="shared" si="249"/>
        <v>0.15170318072258804</v>
      </c>
      <c r="N1259" s="14">
        <f t="shared" si="256"/>
        <v>3.8821265344634508</v>
      </c>
      <c r="O1259" s="4">
        <v>2.21</v>
      </c>
      <c r="P1259" s="14">
        <f t="shared" si="259"/>
        <v>2.7960071472567498</v>
      </c>
      <c r="Q1259" s="14">
        <f t="shared" si="257"/>
        <v>18.693940625503846</v>
      </c>
    </row>
    <row r="1260" spans="1:17" x14ac:dyDescent="0.25">
      <c r="A1260" s="5" t="s">
        <v>1317</v>
      </c>
      <c r="B1260" s="6">
        <f t="shared" si="258"/>
        <v>10</v>
      </c>
      <c r="C1260" s="58">
        <v>16.298612590000001</v>
      </c>
      <c r="D1260" s="4">
        <v>3.1</v>
      </c>
      <c r="E1260" s="12">
        <f t="shared" si="247"/>
        <v>0</v>
      </c>
      <c r="F1260" s="12">
        <f t="shared" si="248"/>
        <v>3.1</v>
      </c>
      <c r="G1260" s="16">
        <f t="shared" si="250"/>
        <v>13.597907950799488</v>
      </c>
      <c r="H1260" s="14">
        <f t="shared" si="251"/>
        <v>0.47784192700234868</v>
      </c>
      <c r="I1260" s="14">
        <f t="shared" si="252"/>
        <v>5.2643771051091033</v>
      </c>
      <c r="J1260" s="14">
        <f t="shared" si="253"/>
        <v>0.89256168766578747</v>
      </c>
      <c r="K1260" s="14">
        <f t="shared" si="254"/>
        <v>2.5043154041034046</v>
      </c>
      <c r="L1260" s="14">
        <f t="shared" si="255"/>
        <v>688.60302777288302</v>
      </c>
      <c r="M1260" s="14">
        <f t="shared" si="249"/>
        <v>0.16572254180942003</v>
      </c>
      <c r="N1260" s="14">
        <f t="shared" si="256"/>
        <v>4.2408858789424499</v>
      </c>
      <c r="O1260" s="4">
        <v>2.23</v>
      </c>
      <c r="P1260" s="14">
        <f t="shared" si="259"/>
        <v>4.0436620181301492</v>
      </c>
      <c r="Q1260" s="14">
        <f t="shared" si="257"/>
        <v>18.521394665733734</v>
      </c>
    </row>
    <row r="1261" spans="1:17" x14ac:dyDescent="0.25">
      <c r="A1261" s="5" t="s">
        <v>1318</v>
      </c>
      <c r="B1261" s="6">
        <f t="shared" si="258"/>
        <v>10</v>
      </c>
      <c r="C1261" s="58">
        <v>16.047039030000001</v>
      </c>
      <c r="D1261" s="4">
        <v>3.4</v>
      </c>
      <c r="E1261" s="12">
        <f t="shared" si="247"/>
        <v>0</v>
      </c>
      <c r="F1261" s="12">
        <f t="shared" si="248"/>
        <v>3.4</v>
      </c>
      <c r="G1261" s="16">
        <f t="shared" si="250"/>
        <v>15.480777271779717</v>
      </c>
      <c r="H1261" s="14">
        <f t="shared" si="251"/>
        <v>0.56338960047716591</v>
      </c>
      <c r="I1261" s="14">
        <f t="shared" si="252"/>
        <v>4.9097127165528551</v>
      </c>
      <c r="J1261" s="14">
        <f t="shared" si="253"/>
        <v>0.9537410785426047</v>
      </c>
      <c r="K1261" s="14">
        <f t="shared" si="254"/>
        <v>2.9236407346665185</v>
      </c>
      <c r="L1261" s="14">
        <f t="shared" si="255"/>
        <v>688.58136950098765</v>
      </c>
      <c r="M1261" s="14">
        <f t="shared" si="249"/>
        <v>0.1817908052390266</v>
      </c>
      <c r="N1261" s="14">
        <f t="shared" si="256"/>
        <v>4.6520772035125901</v>
      </c>
      <c r="O1261" s="4">
        <v>2.2200000000000002</v>
      </c>
      <c r="P1261" s="14">
        <f t="shared" si="259"/>
        <v>5.9149995238456201</v>
      </c>
      <c r="Q1261" s="14">
        <f t="shared" si="257"/>
        <v>18.60756764561879</v>
      </c>
    </row>
    <row r="1262" spans="1:17" x14ac:dyDescent="0.25">
      <c r="A1262" s="5" t="s">
        <v>1319</v>
      </c>
      <c r="B1262" s="6">
        <f t="shared" si="258"/>
        <v>10</v>
      </c>
      <c r="C1262" s="58">
        <v>16.475400919999998</v>
      </c>
      <c r="D1262" s="4">
        <v>0</v>
      </c>
      <c r="E1262" s="12">
        <f t="shared" si="247"/>
        <v>0</v>
      </c>
      <c r="F1262" s="12">
        <f t="shared" si="248"/>
        <v>0</v>
      </c>
      <c r="G1262" s="16">
        <f t="shared" si="250"/>
        <v>14.261419492021449</v>
      </c>
      <c r="H1262" s="14">
        <f t="shared" si="251"/>
        <v>0</v>
      </c>
      <c r="I1262" s="14">
        <f t="shared" si="252"/>
        <v>5.5136104703456139</v>
      </c>
      <c r="J1262" s="14">
        <f t="shared" si="253"/>
        <v>1.2193577797582666</v>
      </c>
      <c r="K1262" s="14">
        <f t="shared" si="254"/>
        <v>2.7426887116854863</v>
      </c>
      <c r="L1262" s="14">
        <f t="shared" si="255"/>
        <v>688.58053071872962</v>
      </c>
      <c r="M1262" s="14">
        <f t="shared" si="249"/>
        <v>0.17485468692735676</v>
      </c>
      <c r="N1262" s="14">
        <f t="shared" si="256"/>
        <v>4.4745800092174273</v>
      </c>
      <c r="O1262" s="4">
        <v>2.21</v>
      </c>
      <c r="P1262" s="14">
        <f t="shared" si="259"/>
        <v>5.1283226181472035</v>
      </c>
      <c r="Q1262" s="14">
        <f t="shared" si="257"/>
        <v>18.693940625503846</v>
      </c>
    </row>
    <row r="1263" spans="1:17" x14ac:dyDescent="0.25">
      <c r="A1263" s="5" t="s">
        <v>1320</v>
      </c>
      <c r="B1263" s="6">
        <f t="shared" si="258"/>
        <v>10</v>
      </c>
      <c r="C1263" s="58">
        <v>16.561365129999999</v>
      </c>
      <c r="D1263" s="4">
        <v>1.3</v>
      </c>
      <c r="E1263" s="12">
        <f t="shared" si="247"/>
        <v>0</v>
      </c>
      <c r="F1263" s="12">
        <f t="shared" si="248"/>
        <v>1.3</v>
      </c>
      <c r="G1263" s="16">
        <f t="shared" si="250"/>
        <v>14.192475957301518</v>
      </c>
      <c r="H1263" s="14">
        <f t="shared" si="251"/>
        <v>0.2209387918339778</v>
      </c>
      <c r="I1263" s="14">
        <f t="shared" si="252"/>
        <v>5.6348014411987153</v>
      </c>
      <c r="J1263" s="14">
        <f t="shared" si="253"/>
        <v>1.1480047428859541</v>
      </c>
      <c r="K1263" s="14">
        <f t="shared" si="254"/>
        <v>2.7985937021534513</v>
      </c>
      <c r="L1263" s="14">
        <f t="shared" si="255"/>
        <v>688.57070983316828</v>
      </c>
      <c r="M1263" s="14">
        <f t="shared" si="249"/>
        <v>0.17699545866359218</v>
      </c>
      <c r="N1263" s="14">
        <f t="shared" si="256"/>
        <v>4.5293629526065082</v>
      </c>
      <c r="O1263" s="4">
        <v>2.1800000000000002</v>
      </c>
      <c r="P1263" s="14">
        <f t="shared" si="259"/>
        <v>5.519506283079969</v>
      </c>
      <c r="Q1263" s="14">
        <f t="shared" si="257"/>
        <v>18.95425956515901</v>
      </c>
    </row>
    <row r="1264" spans="1:17" x14ac:dyDescent="0.25">
      <c r="A1264" s="5" t="s">
        <v>1321</v>
      </c>
      <c r="B1264" s="6">
        <f t="shared" si="258"/>
        <v>10</v>
      </c>
      <c r="C1264" s="58">
        <v>16.608076100000002</v>
      </c>
      <c r="D1264" s="4">
        <v>0</v>
      </c>
      <c r="E1264" s="12">
        <f t="shared" si="247"/>
        <v>0</v>
      </c>
      <c r="F1264" s="12">
        <f t="shared" si="248"/>
        <v>0</v>
      </c>
      <c r="G1264" s="16">
        <f t="shared" si="250"/>
        <v>13.036669419717303</v>
      </c>
      <c r="H1264" s="14">
        <f t="shared" si="251"/>
        <v>0</v>
      </c>
      <c r="I1264" s="14">
        <f t="shared" si="252"/>
        <v>5.7006538209715352</v>
      </c>
      <c r="J1264" s="14">
        <f t="shared" si="253"/>
        <v>1.1558065375842164</v>
      </c>
      <c r="K1264" s="14">
        <f t="shared" si="254"/>
        <v>2.6286419782740884</v>
      </c>
      <c r="L1264" s="14">
        <f t="shared" si="255"/>
        <v>688.56366609838403</v>
      </c>
      <c r="M1264" s="14">
        <f t="shared" si="249"/>
        <v>0.17047966949805698</v>
      </c>
      <c r="N1264" s="14">
        <f t="shared" si="256"/>
        <v>4.3626220979190276</v>
      </c>
      <c r="O1264" s="4">
        <v>2.1800000000000002</v>
      </c>
      <c r="P1264" s="14">
        <f t="shared" si="259"/>
        <v>4.7638392223244566</v>
      </c>
      <c r="Q1264" s="14">
        <f t="shared" si="257"/>
        <v>18.95425956515901</v>
      </c>
    </row>
    <row r="1265" spans="1:17" x14ac:dyDescent="0.25">
      <c r="A1265" s="5" t="s">
        <v>1322</v>
      </c>
      <c r="B1265" s="6">
        <f t="shared" si="258"/>
        <v>10</v>
      </c>
      <c r="C1265" s="58">
        <v>16.579326630000001</v>
      </c>
      <c r="D1265" s="4">
        <v>18.899999999999999</v>
      </c>
      <c r="E1265" s="12">
        <f t="shared" si="247"/>
        <v>0</v>
      </c>
      <c r="F1265" s="12">
        <f t="shared" si="248"/>
        <v>18.899999999999999</v>
      </c>
      <c r="G1265" s="16">
        <f t="shared" si="250"/>
        <v>27.820144730390947</v>
      </c>
      <c r="H1265" s="14">
        <f t="shared" si="251"/>
        <v>3.0623930375071464</v>
      </c>
      <c r="I1265" s="14">
        <f t="shared" si="252"/>
        <v>5.6601232771462362</v>
      </c>
      <c r="J1265" s="14">
        <f t="shared" si="253"/>
        <v>1.054131651819209</v>
      </c>
      <c r="K1265" s="14">
        <f t="shared" si="254"/>
        <v>5.5360338249768732</v>
      </c>
      <c r="L1265" s="14">
        <f t="shared" si="255"/>
        <v>688.54818761969034</v>
      </c>
      <c r="M1265" s="14">
        <f t="shared" si="249"/>
        <v>0.28191751263160514</v>
      </c>
      <c r="N1265" s="14">
        <f t="shared" si="256"/>
        <v>7.2143474586629504</v>
      </c>
      <c r="O1265" s="4">
        <v>2.21</v>
      </c>
      <c r="P1265" s="14">
        <f t="shared" si="259"/>
        <v>25.043493487026328</v>
      </c>
      <c r="Q1265" s="14">
        <f t="shared" si="257"/>
        <v>18.693940625503846</v>
      </c>
    </row>
    <row r="1266" spans="1:17" x14ac:dyDescent="0.25">
      <c r="A1266" s="5" t="s">
        <v>1323</v>
      </c>
      <c r="B1266" s="6">
        <f t="shared" si="258"/>
        <v>10</v>
      </c>
      <c r="C1266" s="58">
        <v>16.051557540000001</v>
      </c>
      <c r="D1266" s="4">
        <v>3.8</v>
      </c>
      <c r="E1266" s="12">
        <f t="shared" si="247"/>
        <v>0</v>
      </c>
      <c r="F1266" s="12">
        <f t="shared" si="248"/>
        <v>3.8</v>
      </c>
      <c r="G1266" s="16">
        <f t="shared" si="250"/>
        <v>28.745097417455714</v>
      </c>
      <c r="H1266" s="14">
        <f t="shared" si="251"/>
        <v>0.92124379071338025</v>
      </c>
      <c r="I1266" s="14">
        <f t="shared" si="252"/>
        <v>4.9160828398135639</v>
      </c>
      <c r="J1266" s="14">
        <f t="shared" si="253"/>
        <v>1.9538035222218528</v>
      </c>
      <c r="K1266" s="14">
        <f t="shared" si="254"/>
        <v>6.0465152182683477</v>
      </c>
      <c r="L1266" s="14">
        <f t="shared" si="255"/>
        <v>688.67703250448062</v>
      </c>
      <c r="M1266" s="14">
        <f t="shared" si="249"/>
        <v>0.30151171651584185</v>
      </c>
      <c r="N1266" s="14">
        <f t="shared" si="256"/>
        <v>7.7157685788949806</v>
      </c>
      <c r="O1266" s="4">
        <v>2.79</v>
      </c>
      <c r="P1266" s="14">
        <f t="shared" si="259"/>
        <v>24.263196092829077</v>
      </c>
      <c r="Q1266" s="14">
        <f t="shared" si="257"/>
        <v>14.014907792170517</v>
      </c>
    </row>
    <row r="1267" spans="1:17" x14ac:dyDescent="0.25">
      <c r="A1267" s="5" t="s">
        <v>1324</v>
      </c>
      <c r="B1267" s="6">
        <f t="shared" si="258"/>
        <v>10</v>
      </c>
      <c r="C1267" s="58">
        <v>14.52993393</v>
      </c>
      <c r="D1267" s="4">
        <v>0.1</v>
      </c>
      <c r="E1267" s="12">
        <f t="shared" si="247"/>
        <v>0</v>
      </c>
      <c r="F1267" s="12">
        <f t="shared" si="248"/>
        <v>0.1</v>
      </c>
      <c r="G1267" s="16">
        <f t="shared" si="250"/>
        <v>27.682564804096057</v>
      </c>
      <c r="H1267" s="14">
        <f t="shared" si="251"/>
        <v>2.4668442706398355E-2</v>
      </c>
      <c r="I1267" s="14">
        <f t="shared" si="252"/>
        <v>2.770922166913754</v>
      </c>
      <c r="J1267" s="14">
        <f t="shared" si="253"/>
        <v>1.1378641706532602</v>
      </c>
      <c r="K1267" s="14">
        <f t="shared" si="254"/>
        <v>5.6155145760514289</v>
      </c>
      <c r="L1267" s="14">
        <f t="shared" si="255"/>
        <v>688.8311898728881</v>
      </c>
      <c r="M1267" s="14">
        <f t="shared" si="249"/>
        <v>0.28502402235063629</v>
      </c>
      <c r="N1267" s="14">
        <f t="shared" si="256"/>
        <v>7.2938439052923236</v>
      </c>
      <c r="O1267" s="4">
        <v>3.07</v>
      </c>
      <c r="P1267" s="14">
        <f t="shared" si="259"/>
        <v>17.840857336275107</v>
      </c>
      <c r="Q1267" s="14">
        <f t="shared" si="257"/>
        <v>11.996864355388912</v>
      </c>
    </row>
    <row r="1268" spans="1:17" x14ac:dyDescent="0.25">
      <c r="A1268" s="5" t="s">
        <v>1325</v>
      </c>
      <c r="B1268" s="6">
        <f t="shared" si="258"/>
        <v>10</v>
      </c>
      <c r="C1268" s="58">
        <v>15.94372368</v>
      </c>
      <c r="D1268" s="4">
        <v>0</v>
      </c>
      <c r="E1268" s="12">
        <f t="shared" si="247"/>
        <v>0</v>
      </c>
      <c r="F1268" s="12">
        <f t="shared" si="248"/>
        <v>0</v>
      </c>
      <c r="G1268" s="16">
        <f t="shared" si="250"/>
        <v>25.798543134754684</v>
      </c>
      <c r="H1268" s="14">
        <f t="shared" si="251"/>
        <v>0</v>
      </c>
      <c r="I1268" s="14">
        <f t="shared" si="252"/>
        <v>4.7640603855359345</v>
      </c>
      <c r="J1268" s="14">
        <f t="shared" si="253"/>
        <v>1.8840216693413725</v>
      </c>
      <c r="K1268" s="14">
        <f t="shared" si="254"/>
        <v>5.1977603131124095</v>
      </c>
      <c r="L1268" s="14">
        <f t="shared" si="255"/>
        <v>688.96392011347655</v>
      </c>
      <c r="M1268" s="14">
        <f t="shared" si="249"/>
        <v>0.26903952340277781</v>
      </c>
      <c r="N1268" s="14">
        <f t="shared" si="256"/>
        <v>6.8847961370780295</v>
      </c>
      <c r="O1268" s="4">
        <v>2.52</v>
      </c>
      <c r="P1268" s="14">
        <f t="shared" si="259"/>
        <v>19.051445318251286</v>
      </c>
      <c r="Q1268" s="14">
        <f t="shared" si="257"/>
        <v>16.109378249067063</v>
      </c>
    </row>
    <row r="1269" spans="1:17" x14ac:dyDescent="0.25">
      <c r="A1269" s="5" t="s">
        <v>1326</v>
      </c>
      <c r="B1269" s="6">
        <f t="shared" si="258"/>
        <v>10</v>
      </c>
      <c r="C1269" s="58">
        <v>15.136939050000001</v>
      </c>
      <c r="D1269" s="4">
        <v>0</v>
      </c>
      <c r="E1269" s="12">
        <f t="shared" si="247"/>
        <v>0</v>
      </c>
      <c r="F1269" s="12">
        <f t="shared" si="248"/>
        <v>0</v>
      </c>
      <c r="G1269" s="16">
        <f t="shared" si="250"/>
        <v>24.461931220701508</v>
      </c>
      <c r="H1269" s="14">
        <f t="shared" si="251"/>
        <v>0</v>
      </c>
      <c r="I1269" s="14">
        <f t="shared" si="252"/>
        <v>3.6266682943498481</v>
      </c>
      <c r="J1269" s="14">
        <f t="shared" si="253"/>
        <v>1.3366119140531751</v>
      </c>
      <c r="K1269" s="14">
        <f t="shared" si="254"/>
        <v>4.816755597531472</v>
      </c>
      <c r="L1269" s="14">
        <f t="shared" si="255"/>
        <v>689.07588530565477</v>
      </c>
      <c r="M1269" s="14">
        <f t="shared" si="249"/>
        <v>0.25445924287726157</v>
      </c>
      <c r="N1269" s="14">
        <f t="shared" si="256"/>
        <v>6.5116827083521454</v>
      </c>
      <c r="O1269" s="4">
        <v>2.3199999999999998</v>
      </c>
      <c r="P1269" s="14">
        <f t="shared" si="259"/>
        <v>17.570203927498373</v>
      </c>
      <c r="Q1269" s="14">
        <f t="shared" si="257"/>
        <v>17.754837846768218</v>
      </c>
    </row>
    <row r="1270" spans="1:17" x14ac:dyDescent="0.25">
      <c r="A1270" s="5" t="s">
        <v>1327</v>
      </c>
      <c r="B1270" s="6">
        <f t="shared" si="258"/>
        <v>10</v>
      </c>
      <c r="C1270" s="58">
        <v>15.36432838</v>
      </c>
      <c r="D1270" s="4">
        <v>0</v>
      </c>
      <c r="E1270" s="12">
        <f t="shared" si="247"/>
        <v>0</v>
      </c>
      <c r="F1270" s="12">
        <f t="shared" si="248"/>
        <v>0</v>
      </c>
      <c r="G1270" s="16">
        <f t="shared" si="250"/>
        <v>23.082543422060734</v>
      </c>
      <c r="H1270" s="14">
        <f t="shared" si="251"/>
        <v>0</v>
      </c>
      <c r="I1270" s="14">
        <f t="shared" si="252"/>
        <v>3.9472381415494691</v>
      </c>
      <c r="J1270" s="14">
        <f t="shared" si="253"/>
        <v>1.3793877986407743</v>
      </c>
      <c r="K1270" s="14">
        <f t="shared" si="254"/>
        <v>4.4692675975918981</v>
      </c>
      <c r="L1270" s="14">
        <f t="shared" si="255"/>
        <v>689.16891406271702</v>
      </c>
      <c r="M1270" s="14">
        <f t="shared" si="249"/>
        <v>0.24115965307999809</v>
      </c>
      <c r="N1270" s="14">
        <f t="shared" si="256"/>
        <v>6.1713425111096738</v>
      </c>
      <c r="O1270" s="4">
        <v>2.2599999999999998</v>
      </c>
      <c r="P1270" s="14">
        <f t="shared" si="259"/>
        <v>15.29860023921373</v>
      </c>
      <c r="Q1270" s="14">
        <f t="shared" si="257"/>
        <v>18.264075726078559</v>
      </c>
    </row>
    <row r="1271" spans="1:17" x14ac:dyDescent="0.25">
      <c r="A1271" s="5" t="s">
        <v>1328</v>
      </c>
      <c r="B1271" s="6">
        <f t="shared" si="258"/>
        <v>10</v>
      </c>
      <c r="C1271" s="58">
        <v>16.224765779999998</v>
      </c>
      <c r="D1271" s="4">
        <v>0</v>
      </c>
      <c r="E1271" s="12">
        <f t="shared" si="247"/>
        <v>0</v>
      </c>
      <c r="F1271" s="12">
        <f t="shared" si="248"/>
        <v>0</v>
      </c>
      <c r="G1271" s="16">
        <f t="shared" si="250"/>
        <v>21.380940127267138</v>
      </c>
      <c r="H1271" s="14">
        <f t="shared" si="251"/>
        <v>0</v>
      </c>
      <c r="I1271" s="14">
        <f t="shared" si="252"/>
        <v>5.1602690513236409</v>
      </c>
      <c r="J1271" s="14">
        <f t="shared" si="253"/>
        <v>1.7016032947935968</v>
      </c>
      <c r="K1271" s="14">
        <f t="shared" si="254"/>
        <v>4.1523478714990203</v>
      </c>
      <c r="L1271" s="14">
        <f t="shared" si="255"/>
        <v>689.24467413572984</v>
      </c>
      <c r="M1271" s="14">
        <f t="shared" si="249"/>
        <v>0.2290280929607855</v>
      </c>
      <c r="N1271" s="14">
        <f t="shared" si="256"/>
        <v>5.8608925177812115</v>
      </c>
      <c r="O1271" s="4">
        <v>2.17</v>
      </c>
      <c r="P1271" s="14">
        <f t="shared" si="259"/>
        <v>13.622687577813331</v>
      </c>
      <c r="Q1271" s="14">
        <f t="shared" si="257"/>
        <v>19.041432545044074</v>
      </c>
    </row>
    <row r="1272" spans="1:17" x14ac:dyDescent="0.25">
      <c r="A1272" s="5" t="s">
        <v>1329</v>
      </c>
      <c r="B1272" s="6">
        <f t="shared" si="258"/>
        <v>11</v>
      </c>
      <c r="C1272" s="58">
        <v>17.308935170000002</v>
      </c>
      <c r="D1272" s="4">
        <v>0</v>
      </c>
      <c r="E1272" s="12">
        <f t="shared" si="247"/>
        <v>0</v>
      </c>
      <c r="F1272" s="12">
        <f t="shared" si="248"/>
        <v>0</v>
      </c>
      <c r="G1272" s="16">
        <f t="shared" si="250"/>
        <v>19.610765048168346</v>
      </c>
      <c r="H1272" s="14">
        <f t="shared" si="251"/>
        <v>0</v>
      </c>
      <c r="I1272" s="14">
        <f t="shared" si="252"/>
        <v>5.7954493457367349</v>
      </c>
      <c r="J1272" s="14">
        <f t="shared" si="253"/>
        <v>1.7701750790987913</v>
      </c>
      <c r="K1272" s="14">
        <f t="shared" si="254"/>
        <v>3.863307349799709</v>
      </c>
      <c r="L1272" s="14">
        <f t="shared" si="255"/>
        <v>689.3046865644684</v>
      </c>
      <c r="M1272" s="14">
        <f t="shared" si="249"/>
        <v>0.21796181218232397</v>
      </c>
      <c r="N1272" s="14">
        <f t="shared" si="256"/>
        <v>5.5777033186934997</v>
      </c>
      <c r="O1272" s="4">
        <v>2</v>
      </c>
      <c r="P1272" s="14">
        <f t="shared" si="259"/>
        <v>12.799961036590481</v>
      </c>
      <c r="Q1272" s="14">
        <f t="shared" si="257"/>
        <v>20.553973203090049</v>
      </c>
    </row>
    <row r="1273" spans="1:17" x14ac:dyDescent="0.25">
      <c r="A1273" s="5" t="s">
        <v>1330</v>
      </c>
      <c r="B1273" s="6">
        <f t="shared" si="258"/>
        <v>11</v>
      </c>
      <c r="C1273" s="58">
        <v>17.35497475</v>
      </c>
      <c r="D1273" s="4">
        <v>0</v>
      </c>
      <c r="E1273" s="12">
        <f t="shared" si="247"/>
        <v>0</v>
      </c>
      <c r="F1273" s="12">
        <f t="shared" si="248"/>
        <v>0</v>
      </c>
      <c r="G1273" s="16">
        <f t="shared" si="250"/>
        <v>17.971151583877489</v>
      </c>
      <c r="H1273" s="14">
        <f t="shared" si="251"/>
        <v>0</v>
      </c>
      <c r="I1273" s="14">
        <f t="shared" si="252"/>
        <v>5.852543209496365</v>
      </c>
      <c r="J1273" s="14">
        <f t="shared" si="253"/>
        <v>1.6396134642908577</v>
      </c>
      <c r="K1273" s="14">
        <f t="shared" si="254"/>
        <v>3.5996935185807395</v>
      </c>
      <c r="L1273" s="14">
        <f t="shared" si="255"/>
        <v>689.35033858350505</v>
      </c>
      <c r="M1273" s="14">
        <f t="shared" si="249"/>
        <v>0.20786709928180408</v>
      </c>
      <c r="N1273" s="14">
        <f t="shared" si="256"/>
        <v>5.3193768114822779</v>
      </c>
      <c r="O1273" s="4">
        <v>1.92</v>
      </c>
      <c r="P1273" s="14">
        <f t="shared" si="259"/>
        <v>11.555762706443419</v>
      </c>
      <c r="Q1273" s="14">
        <f t="shared" si="257"/>
        <v>21.285757042170509</v>
      </c>
    </row>
    <row r="1274" spans="1:17" x14ac:dyDescent="0.25">
      <c r="A1274" s="5" t="s">
        <v>1331</v>
      </c>
      <c r="B1274" s="6">
        <f t="shared" si="258"/>
        <v>11</v>
      </c>
      <c r="C1274" s="58">
        <v>17.664718629999999</v>
      </c>
      <c r="D1274" s="4">
        <v>0.2</v>
      </c>
      <c r="E1274" s="12">
        <f t="shared" si="247"/>
        <v>0</v>
      </c>
      <c r="F1274" s="12">
        <f t="shared" si="248"/>
        <v>0.2</v>
      </c>
      <c r="G1274" s="16">
        <f t="shared" si="250"/>
        <v>16.53157271868821</v>
      </c>
      <c r="H1274" s="14">
        <f t="shared" si="251"/>
        <v>3.8435816722896587E-2</v>
      </c>
      <c r="I1274" s="14">
        <f t="shared" si="252"/>
        <v>6.2366578101312902</v>
      </c>
      <c r="J1274" s="14">
        <f t="shared" si="253"/>
        <v>1.601143048466382</v>
      </c>
      <c r="K1274" s="14">
        <f t="shared" si="254"/>
        <v>3.397705426567974</v>
      </c>
      <c r="L1274" s="14">
        <f t="shared" si="255"/>
        <v>689.38289539295897</v>
      </c>
      <c r="M1274" s="14">
        <f t="shared" si="249"/>
        <v>0.20013174188946503</v>
      </c>
      <c r="N1274" s="14">
        <f t="shared" si="256"/>
        <v>5.1214268671019347</v>
      </c>
      <c r="O1274" s="4">
        <v>1.96</v>
      </c>
      <c r="P1274" s="14">
        <f t="shared" si="259"/>
        <v>9.9946198360339551</v>
      </c>
      <c r="Q1274" s="14">
        <f t="shared" si="257"/>
        <v>20.918265122630277</v>
      </c>
    </row>
    <row r="1275" spans="1:17" x14ac:dyDescent="0.25">
      <c r="A1275" s="5" t="s">
        <v>1332</v>
      </c>
      <c r="B1275" s="6">
        <f t="shared" si="258"/>
        <v>11</v>
      </c>
      <c r="C1275" s="58">
        <v>17.107242580000001</v>
      </c>
      <c r="D1275" s="4">
        <v>0</v>
      </c>
      <c r="E1275" s="12">
        <f t="shared" si="247"/>
        <v>0</v>
      </c>
      <c r="F1275" s="12">
        <f t="shared" si="248"/>
        <v>0</v>
      </c>
      <c r="G1275" s="16">
        <f t="shared" si="250"/>
        <v>15.221957102588769</v>
      </c>
      <c r="H1275" s="14">
        <f t="shared" si="251"/>
        <v>0</v>
      </c>
      <c r="I1275" s="14">
        <f t="shared" si="252"/>
        <v>5.5453295736886998</v>
      </c>
      <c r="J1275" s="14">
        <f t="shared" si="253"/>
        <v>1.3096156160994408</v>
      </c>
      <c r="K1275" s="14">
        <f t="shared" si="254"/>
        <v>3.1750502675776029</v>
      </c>
      <c r="L1275" s="14">
        <f t="shared" si="255"/>
        <v>689.40541881005981</v>
      </c>
      <c r="M1275" s="14">
        <f t="shared" si="249"/>
        <v>0.19160208329224238</v>
      </c>
      <c r="N1275" s="14">
        <f t="shared" si="256"/>
        <v>4.903150534249396</v>
      </c>
      <c r="O1275" s="4">
        <v>1.98</v>
      </c>
      <c r="P1275" s="14">
        <f t="shared" si="259"/>
        <v>8.5448090458825288</v>
      </c>
      <c r="Q1275" s="14">
        <f t="shared" si="257"/>
        <v>20.735719162860168</v>
      </c>
    </row>
    <row r="1276" spans="1:17" x14ac:dyDescent="0.25">
      <c r="A1276" s="5" t="s">
        <v>1333</v>
      </c>
      <c r="B1276" s="6">
        <f t="shared" si="258"/>
        <v>11</v>
      </c>
      <c r="C1276" s="58">
        <v>17.5845108</v>
      </c>
      <c r="D1276" s="4">
        <v>1.7</v>
      </c>
      <c r="E1276" s="12">
        <f t="shared" si="247"/>
        <v>0</v>
      </c>
      <c r="F1276" s="12">
        <f t="shared" si="248"/>
        <v>1.7</v>
      </c>
      <c r="G1276" s="16">
        <f t="shared" si="250"/>
        <v>15.28827745420802</v>
      </c>
      <c r="H1276" s="14">
        <f t="shared" si="251"/>
        <v>0.29910614514837558</v>
      </c>
      <c r="I1276" s="14">
        <f t="shared" si="252"/>
        <v>6.1371917655132542</v>
      </c>
      <c r="J1276" s="14">
        <f t="shared" si="253"/>
        <v>1.3345735032323751</v>
      </c>
      <c r="K1276" s="14">
        <f t="shared" si="254"/>
        <v>3.2710880707611762</v>
      </c>
      <c r="L1276" s="14">
        <f t="shared" si="255"/>
        <v>689.41688506873231</v>
      </c>
      <c r="M1276" s="14">
        <f t="shared" si="249"/>
        <v>0.19528566915848328</v>
      </c>
      <c r="N1276" s="14">
        <f t="shared" si="256"/>
        <v>4.9974145197847974</v>
      </c>
      <c r="O1276" s="4">
        <v>1.97</v>
      </c>
      <c r="P1276" s="14">
        <f t="shared" si="259"/>
        <v>9.1652386746038168</v>
      </c>
      <c r="Q1276" s="14">
        <f t="shared" si="257"/>
        <v>20.826892142745223</v>
      </c>
    </row>
    <row r="1277" spans="1:17" x14ac:dyDescent="0.25">
      <c r="A1277" s="5" t="s">
        <v>1334</v>
      </c>
      <c r="B1277" s="6">
        <f t="shared" si="258"/>
        <v>11</v>
      </c>
      <c r="C1277" s="58">
        <v>17.632659910000001</v>
      </c>
      <c r="D1277" s="4">
        <v>0</v>
      </c>
      <c r="E1277" s="12">
        <f t="shared" si="247"/>
        <v>0</v>
      </c>
      <c r="F1277" s="12">
        <f t="shared" si="248"/>
        <v>0</v>
      </c>
      <c r="G1277" s="16">
        <f t="shared" si="250"/>
        <v>13.934848475224976</v>
      </c>
      <c r="H1277" s="14">
        <f t="shared" si="251"/>
        <v>0</v>
      </c>
      <c r="I1277" s="14">
        <f t="shared" si="252"/>
        <v>6.1969016657010396</v>
      </c>
      <c r="J1277" s="14">
        <f t="shared" si="253"/>
        <v>1.3534289789830438</v>
      </c>
      <c r="K1277" s="14">
        <f t="shared" si="254"/>
        <v>3.0595713511031555</v>
      </c>
      <c r="L1277" s="14">
        <f t="shared" si="255"/>
        <v>689.43311611923184</v>
      </c>
      <c r="M1277" s="14">
        <f t="shared" si="249"/>
        <v>0.18718161613016865</v>
      </c>
      <c r="N1277" s="14">
        <f t="shared" si="256"/>
        <v>4.7900295516643849</v>
      </c>
      <c r="O1277" s="4">
        <v>1.95</v>
      </c>
      <c r="P1277" s="14">
        <f t="shared" si="259"/>
        <v>8.0657678543270066</v>
      </c>
      <c r="Q1277" s="14">
        <f t="shared" si="257"/>
        <v>21.009838102515335</v>
      </c>
    </row>
    <row r="1278" spans="1:17" x14ac:dyDescent="0.25">
      <c r="A1278" s="5" t="s">
        <v>1335</v>
      </c>
      <c r="B1278" s="6">
        <f t="shared" si="258"/>
        <v>11</v>
      </c>
      <c r="C1278" s="58">
        <v>17.26148796</v>
      </c>
      <c r="D1278" s="4">
        <v>0</v>
      </c>
      <c r="E1278" s="12">
        <f t="shared" si="247"/>
        <v>0</v>
      </c>
      <c r="F1278" s="12">
        <f t="shared" si="248"/>
        <v>0</v>
      </c>
      <c r="G1278" s="16">
        <f t="shared" si="250"/>
        <v>12.792864847839247</v>
      </c>
      <c r="H1278" s="14">
        <f t="shared" si="251"/>
        <v>0</v>
      </c>
      <c r="I1278" s="14">
        <f t="shared" si="252"/>
        <v>5.7366098744923253</v>
      </c>
      <c r="J1278" s="14">
        <f t="shared" si="253"/>
        <v>1.141983627385728</v>
      </c>
      <c r="K1278" s="14">
        <f t="shared" si="254"/>
        <v>2.8666616078321914</v>
      </c>
      <c r="L1278" s="14">
        <f t="shared" si="255"/>
        <v>689.4388442463727</v>
      </c>
      <c r="M1278" s="14">
        <f t="shared" si="249"/>
        <v>0.17978854718409282</v>
      </c>
      <c r="N1278" s="14">
        <f t="shared" si="256"/>
        <v>4.600838863704042</v>
      </c>
      <c r="O1278" s="4">
        <v>2.0299999999999998</v>
      </c>
      <c r="P1278" s="14">
        <f t="shared" si="259"/>
        <v>6.6092124631310911</v>
      </c>
      <c r="Q1278" s="14">
        <f t="shared" si="257"/>
        <v>20.282854263434874</v>
      </c>
    </row>
    <row r="1279" spans="1:17" x14ac:dyDescent="0.25">
      <c r="A1279" s="5" t="s">
        <v>1336</v>
      </c>
      <c r="B1279" s="6">
        <f t="shared" si="258"/>
        <v>11</v>
      </c>
      <c r="C1279" s="58">
        <v>17.595148089999999</v>
      </c>
      <c r="D1279" s="4">
        <v>0</v>
      </c>
      <c r="E1279" s="12">
        <f t="shared" si="247"/>
        <v>0</v>
      </c>
      <c r="F1279" s="12">
        <f t="shared" si="248"/>
        <v>0</v>
      </c>
      <c r="G1279" s="16">
        <f t="shared" si="250"/>
        <v>11.668849370200512</v>
      </c>
      <c r="H1279" s="14">
        <f t="shared" si="251"/>
        <v>0</v>
      </c>
      <c r="I1279" s="14">
        <f t="shared" si="252"/>
        <v>6.1503831105696509</v>
      </c>
      <c r="J1279" s="14">
        <f t="shared" si="253"/>
        <v>1.1240154776387363</v>
      </c>
      <c r="K1279" s="14">
        <f t="shared" si="254"/>
        <v>2.6907219983817572</v>
      </c>
      <c r="L1279" s="14">
        <f t="shared" si="255"/>
        <v>689.43499530863903</v>
      </c>
      <c r="M1279" s="14">
        <f t="shared" si="249"/>
        <v>0.17304391796066096</v>
      </c>
      <c r="N1279" s="14">
        <f t="shared" si="256"/>
        <v>4.428241928368303</v>
      </c>
      <c r="O1279" s="4">
        <v>2.0499999999999998</v>
      </c>
      <c r="P1279" s="14">
        <f t="shared" si="259"/>
        <v>5.6560346698489852</v>
      </c>
      <c r="Q1279" s="14">
        <f t="shared" si="257"/>
        <v>20.103108303664765</v>
      </c>
    </row>
    <row r="1280" spans="1:17" x14ac:dyDescent="0.25">
      <c r="A1280" s="5" t="s">
        <v>1337</v>
      </c>
      <c r="B1280" s="6">
        <f t="shared" si="258"/>
        <v>11</v>
      </c>
      <c r="C1280" s="58">
        <v>17.048114779999999</v>
      </c>
      <c r="D1280" s="4">
        <v>0</v>
      </c>
      <c r="E1280" s="12">
        <f t="shared" si="247"/>
        <v>0</v>
      </c>
      <c r="F1280" s="12">
        <f t="shared" si="248"/>
        <v>0</v>
      </c>
      <c r="G1280" s="16">
        <f t="shared" si="250"/>
        <v>10.756677182208742</v>
      </c>
      <c r="H1280" s="14">
        <f t="shared" si="251"/>
        <v>0</v>
      </c>
      <c r="I1280" s="14">
        <f t="shared" si="252"/>
        <v>5.4720049569652867</v>
      </c>
      <c r="J1280" s="14">
        <f t="shared" si="253"/>
        <v>0.91217218799176891</v>
      </c>
      <c r="K1280" s="14">
        <f t="shared" si="254"/>
        <v>2.5302596720694366</v>
      </c>
      <c r="L1280" s="14">
        <f t="shared" si="255"/>
        <v>689.42241371699072</v>
      </c>
      <c r="M1280" s="14">
        <f t="shared" si="249"/>
        <v>0.16689068608331631</v>
      </c>
      <c r="N1280" s="14">
        <f t="shared" si="256"/>
        <v>4.2707790153959762</v>
      </c>
      <c r="O1280" s="4">
        <v>2.0499999999999998</v>
      </c>
      <c r="P1280" s="14">
        <f t="shared" si="259"/>
        <v>4.9318594352231218</v>
      </c>
      <c r="Q1280" s="14">
        <f t="shared" si="257"/>
        <v>20.103108303664765</v>
      </c>
    </row>
    <row r="1281" spans="1:17" x14ac:dyDescent="0.25">
      <c r="A1281" s="5" t="s">
        <v>1338</v>
      </c>
      <c r="B1281" s="6">
        <f t="shared" si="258"/>
        <v>11</v>
      </c>
      <c r="C1281" s="58">
        <v>16.949066160000001</v>
      </c>
      <c r="D1281" s="4">
        <v>0</v>
      </c>
      <c r="E1281" s="12">
        <f t="shared" si="247"/>
        <v>0</v>
      </c>
      <c r="F1281" s="12">
        <f t="shared" si="248"/>
        <v>0</v>
      </c>
      <c r="G1281" s="16">
        <f t="shared" si="250"/>
        <v>9.9346859192592021</v>
      </c>
      <c r="H1281" s="14">
        <f t="shared" si="251"/>
        <v>0</v>
      </c>
      <c r="I1281" s="14">
        <f t="shared" si="252"/>
        <v>5.3491743747605973</v>
      </c>
      <c r="J1281" s="14">
        <f t="shared" si="253"/>
        <v>0.82199126294954072</v>
      </c>
      <c r="K1281" s="14">
        <f t="shared" si="254"/>
        <v>2.3839131032326142</v>
      </c>
      <c r="L1281" s="14">
        <f t="shared" si="255"/>
        <v>689.40186959974426</v>
      </c>
      <c r="M1281" s="14">
        <f t="shared" si="249"/>
        <v>0.16127682715297975</v>
      </c>
      <c r="N1281" s="14">
        <f t="shared" si="256"/>
        <v>4.1271188059634056</v>
      </c>
      <c r="O1281" s="4">
        <v>1.91</v>
      </c>
      <c r="P1281" s="14">
        <f t="shared" si="259"/>
        <v>4.9156157997565968</v>
      </c>
      <c r="Q1281" s="14">
        <f t="shared" si="257"/>
        <v>21.378130022055565</v>
      </c>
    </row>
    <row r="1282" spans="1:17" x14ac:dyDescent="0.25">
      <c r="A1282" s="5" t="s">
        <v>1339</v>
      </c>
      <c r="B1282" s="6">
        <f t="shared" si="258"/>
        <v>11</v>
      </c>
      <c r="C1282" s="58">
        <v>17.873319630000001</v>
      </c>
      <c r="D1282" s="4">
        <v>0</v>
      </c>
      <c r="E1282" s="12">
        <f t="shared" si="247"/>
        <v>0</v>
      </c>
      <c r="F1282" s="12">
        <f t="shared" si="248"/>
        <v>0</v>
      </c>
      <c r="G1282" s="16">
        <f t="shared" si="250"/>
        <v>9.0128393203213619</v>
      </c>
      <c r="H1282" s="14">
        <f t="shared" si="251"/>
        <v>0</v>
      </c>
      <c r="I1282" s="14">
        <f t="shared" si="252"/>
        <v>6.4953447285202728</v>
      </c>
      <c r="J1282" s="14">
        <f t="shared" si="253"/>
        <v>0.92184659893784082</v>
      </c>
      <c r="K1282" s="14">
        <f t="shared" si="254"/>
        <v>2.2504405386592663</v>
      </c>
      <c r="L1282" s="14">
        <f t="shared" si="255"/>
        <v>689.37406533716455</v>
      </c>
      <c r="M1282" s="14">
        <f t="shared" si="249"/>
        <v>0.15615489332011631</v>
      </c>
      <c r="N1282" s="14">
        <f t="shared" si="256"/>
        <v>3.996047096421032</v>
      </c>
      <c r="O1282" s="4">
        <v>1.87</v>
      </c>
      <c r="P1282" s="14">
        <f t="shared" si="259"/>
        <v>4.5200762562003005</v>
      </c>
      <c r="Q1282" s="14">
        <f t="shared" si="257"/>
        <v>21.749621941595795</v>
      </c>
    </row>
    <row r="1283" spans="1:17" x14ac:dyDescent="0.25">
      <c r="A1283" s="5" t="s">
        <v>1340</v>
      </c>
      <c r="B1283" s="6">
        <f t="shared" si="258"/>
        <v>11</v>
      </c>
      <c r="C1283" s="58">
        <v>17.97549248</v>
      </c>
      <c r="D1283" s="4">
        <v>0</v>
      </c>
      <c r="E1283" s="12">
        <f t="shared" si="247"/>
        <v>0</v>
      </c>
      <c r="F1283" s="12">
        <f t="shared" si="248"/>
        <v>0</v>
      </c>
      <c r="G1283" s="16">
        <f t="shared" si="250"/>
        <v>8.1602176354673972</v>
      </c>
      <c r="H1283" s="14">
        <f t="shared" si="251"/>
        <v>0</v>
      </c>
      <c r="I1283" s="14">
        <f t="shared" si="252"/>
        <v>6.6220496806035278</v>
      </c>
      <c r="J1283" s="14">
        <f t="shared" si="253"/>
        <v>0.8526216848539655</v>
      </c>
      <c r="K1283" s="14">
        <f t="shared" si="254"/>
        <v>2.128709461290105</v>
      </c>
      <c r="L1283" s="14">
        <f t="shared" si="255"/>
        <v>689.33964152121359</v>
      </c>
      <c r="M1283" s="14">
        <f t="shared" si="249"/>
        <v>0.15148161068890531</v>
      </c>
      <c r="N1283" s="14">
        <f t="shared" si="256"/>
        <v>3.8764564957542786</v>
      </c>
      <c r="O1283" s="4">
        <v>1.89</v>
      </c>
      <c r="P1283" s="14">
        <f t="shared" si="259"/>
        <v>3.9460094095243687</v>
      </c>
      <c r="Q1283" s="14">
        <f t="shared" si="257"/>
        <v>21.563475981825682</v>
      </c>
    </row>
    <row r="1284" spans="1:17" x14ac:dyDescent="0.25">
      <c r="A1284" s="5" t="s">
        <v>1341</v>
      </c>
      <c r="B1284" s="6">
        <f t="shared" si="258"/>
        <v>11</v>
      </c>
      <c r="C1284" s="58">
        <v>17.41784668</v>
      </c>
      <c r="D1284" s="4">
        <v>0</v>
      </c>
      <c r="E1284" s="12">
        <f t="shared" si="247"/>
        <v>0</v>
      </c>
      <c r="F1284" s="12">
        <f t="shared" si="248"/>
        <v>0</v>
      </c>
      <c r="G1284" s="16">
        <f t="shared" si="250"/>
        <v>7.4688705067209931</v>
      </c>
      <c r="H1284" s="14">
        <f t="shared" si="251"/>
        <v>0</v>
      </c>
      <c r="I1284" s="14">
        <f t="shared" si="252"/>
        <v>5.9305109365200499</v>
      </c>
      <c r="J1284" s="14">
        <f t="shared" si="253"/>
        <v>0.69134712874640381</v>
      </c>
      <c r="K1284" s="14">
        <f t="shared" si="254"/>
        <v>2.0176869807913995</v>
      </c>
      <c r="L1284" s="14">
        <f t="shared" si="255"/>
        <v>689.29918239102335</v>
      </c>
      <c r="M1284" s="14">
        <f t="shared" si="249"/>
        <v>0.14721751213748105</v>
      </c>
      <c r="N1284" s="14">
        <f t="shared" si="256"/>
        <v>3.7673370293515114</v>
      </c>
      <c r="O1284" s="4">
        <v>2.02</v>
      </c>
      <c r="P1284" s="14">
        <f t="shared" si="259"/>
        <v>3.0531866941429646</v>
      </c>
      <c r="Q1284" s="14">
        <f t="shared" si="257"/>
        <v>20.373027243319932</v>
      </c>
    </row>
    <row r="1285" spans="1:17" x14ac:dyDescent="0.25">
      <c r="A1285" s="5" t="s">
        <v>1342</v>
      </c>
      <c r="B1285" s="6">
        <f t="shared" si="258"/>
        <v>11</v>
      </c>
      <c r="C1285" s="58">
        <v>17.939857480000001</v>
      </c>
      <c r="D1285" s="4">
        <v>0</v>
      </c>
      <c r="E1285" s="12">
        <f t="shared" si="247"/>
        <v>0</v>
      </c>
      <c r="F1285" s="12">
        <f t="shared" si="248"/>
        <v>0</v>
      </c>
      <c r="G1285" s="16">
        <f t="shared" si="250"/>
        <v>6.7670245981537871</v>
      </c>
      <c r="H1285" s="14">
        <f t="shared" si="251"/>
        <v>0</v>
      </c>
      <c r="I1285" s="14">
        <f t="shared" si="252"/>
        <v>6.5778585773164338</v>
      </c>
      <c r="J1285" s="14">
        <f t="shared" si="253"/>
        <v>0.70184590856720575</v>
      </c>
      <c r="K1285" s="14">
        <f t="shared" si="254"/>
        <v>1.9164310694623177</v>
      </c>
      <c r="L1285" s="14">
        <f t="shared" si="255"/>
        <v>689.25322079021487</v>
      </c>
      <c r="M1285" s="14">
        <f t="shared" si="249"/>
        <v>0.14651219102228136</v>
      </c>
      <c r="N1285" s="14">
        <f t="shared" si="256"/>
        <v>3.749287666091019</v>
      </c>
      <c r="O1285" s="4">
        <v>1.93</v>
      </c>
      <c r="P1285" s="14">
        <f t="shared" si="259"/>
        <v>3.3098076119909074</v>
      </c>
      <c r="Q1285" s="14">
        <f t="shared" si="257"/>
        <v>21.193584062285453</v>
      </c>
    </row>
    <row r="1286" spans="1:17" x14ac:dyDescent="0.25">
      <c r="A1286" s="5" t="s">
        <v>1343</v>
      </c>
      <c r="B1286" s="6">
        <f t="shared" si="258"/>
        <v>11</v>
      </c>
      <c r="C1286" s="58">
        <v>17.871761320000001</v>
      </c>
      <c r="D1286" s="4">
        <v>3.9</v>
      </c>
      <c r="E1286" s="12">
        <f t="shared" si="247"/>
        <v>0</v>
      </c>
      <c r="F1286" s="12">
        <f t="shared" si="248"/>
        <v>3.9</v>
      </c>
      <c r="G1286" s="16">
        <f t="shared" si="250"/>
        <v>9.5933438810524692</v>
      </c>
      <c r="H1286" s="14">
        <f t="shared" si="251"/>
        <v>0.44595048869179177</v>
      </c>
      <c r="I1286" s="14">
        <f t="shared" si="252"/>
        <v>6.4934122621764168</v>
      </c>
      <c r="J1286" s="14">
        <f t="shared" si="253"/>
        <v>0.62773022840952519</v>
      </c>
      <c r="K1286" s="14">
        <f t="shared" si="254"/>
        <v>2.2668474692215335</v>
      </c>
      <c r="L1286" s="14">
        <f t="shared" si="255"/>
        <v>689.20224268812512</v>
      </c>
      <c r="M1286" s="14">
        <f t="shared" si="249"/>
        <v>0.15674735249727781</v>
      </c>
      <c r="N1286" s="14">
        <f t="shared" si="256"/>
        <v>4.0112082913365885</v>
      </c>
      <c r="O1286" s="4">
        <v>2.19</v>
      </c>
      <c r="P1286" s="14">
        <f t="shared" si="259"/>
        <v>3.3167996404331364</v>
      </c>
      <c r="Q1286" s="14">
        <f t="shared" si="257"/>
        <v>18.867286585273956</v>
      </c>
    </row>
    <row r="1287" spans="1:17" x14ac:dyDescent="0.25">
      <c r="A1287" s="5" t="s">
        <v>1344</v>
      </c>
      <c r="B1287" s="6">
        <f t="shared" si="258"/>
        <v>11</v>
      </c>
      <c r="C1287" s="58">
        <v>16.989334110000001</v>
      </c>
      <c r="D1287" s="4">
        <v>0.1</v>
      </c>
      <c r="E1287" s="12">
        <f t="shared" si="247"/>
        <v>0</v>
      </c>
      <c r="F1287" s="12">
        <f t="shared" si="248"/>
        <v>0.1</v>
      </c>
      <c r="G1287" s="16">
        <f t="shared" si="250"/>
        <v>8.939641603983068</v>
      </c>
      <c r="H1287" s="14">
        <f t="shared" si="251"/>
        <v>1.3765583472817814E-2</v>
      </c>
      <c r="I1287" s="14">
        <f t="shared" si="252"/>
        <v>5.3991108175165836</v>
      </c>
      <c r="J1287" s="14">
        <f t="shared" si="253"/>
        <v>0.73993669359658309</v>
      </c>
      <c r="K1287" s="14">
        <f t="shared" si="254"/>
        <v>2.1574386692354883</v>
      </c>
      <c r="L1287" s="14">
        <f t="shared" si="255"/>
        <v>689.16866971908667</v>
      </c>
      <c r="M1287" s="14">
        <f t="shared" si="249"/>
        <v>0.15254656648911488</v>
      </c>
      <c r="N1287" s="14">
        <f t="shared" si="256"/>
        <v>3.903709010502697</v>
      </c>
      <c r="O1287" s="4">
        <v>2.35</v>
      </c>
      <c r="P1287" s="14">
        <f t="shared" si="259"/>
        <v>2.4140116893172698</v>
      </c>
      <c r="Q1287" s="14">
        <f t="shared" si="257"/>
        <v>17.502918907113035</v>
      </c>
    </row>
    <row r="1288" spans="1:17" x14ac:dyDescent="0.25">
      <c r="A1288" s="5" t="s">
        <v>1345</v>
      </c>
      <c r="B1288" s="6">
        <f t="shared" si="258"/>
        <v>11</v>
      </c>
      <c r="C1288" s="58">
        <v>16.784076689999999</v>
      </c>
      <c r="D1288" s="4">
        <v>0.4</v>
      </c>
      <c r="E1288" s="12">
        <f t="shared" si="247"/>
        <v>0</v>
      </c>
      <c r="F1288" s="12">
        <f t="shared" si="248"/>
        <v>0.4</v>
      </c>
      <c r="G1288" s="16">
        <f t="shared" si="250"/>
        <v>8.6295973910063193</v>
      </c>
      <c r="H1288" s="14">
        <f t="shared" si="251"/>
        <v>5.303490295915593E-2</v>
      </c>
      <c r="I1288" s="14">
        <f t="shared" si="252"/>
        <v>5.1445702858016196</v>
      </c>
      <c r="J1288" s="14">
        <f t="shared" si="253"/>
        <v>0.65700931001759222</v>
      </c>
      <c r="K1288" s="14">
        <f t="shared" si="254"/>
        <v>2.0969238035708071</v>
      </c>
      <c r="L1288" s="14">
        <f t="shared" si="255"/>
        <v>689.1296729212213</v>
      </c>
      <c r="M1288" s="14">
        <f t="shared" si="249"/>
        <v>0.15021874860637882</v>
      </c>
      <c r="N1288" s="14">
        <f t="shared" si="256"/>
        <v>3.8441395042674023</v>
      </c>
      <c r="O1288" s="4">
        <v>2.4300000000000002</v>
      </c>
      <c r="P1288" s="14">
        <f t="shared" si="259"/>
        <v>1.9997905375296536</v>
      </c>
      <c r="Q1288" s="14">
        <f t="shared" si="257"/>
        <v>16.839935068032577</v>
      </c>
    </row>
    <row r="1289" spans="1:17" x14ac:dyDescent="0.25">
      <c r="A1289" s="5" t="s">
        <v>1346</v>
      </c>
      <c r="B1289" s="6">
        <f t="shared" si="258"/>
        <v>11</v>
      </c>
      <c r="C1289" s="58">
        <v>18.13300323</v>
      </c>
      <c r="D1289" s="4">
        <v>5.5</v>
      </c>
      <c r="E1289" s="12">
        <f t="shared" si="247"/>
        <v>0</v>
      </c>
      <c r="F1289" s="12">
        <f t="shared" si="248"/>
        <v>5.5</v>
      </c>
      <c r="G1289" s="16">
        <f t="shared" si="250"/>
        <v>12.573475840452867</v>
      </c>
      <c r="H1289" s="14">
        <f t="shared" si="251"/>
        <v>0.71567459603360994</v>
      </c>
      <c r="I1289" s="14">
        <f t="shared" si="252"/>
        <v>6.8173793795533753</v>
      </c>
      <c r="J1289" s="14">
        <f t="shared" si="253"/>
        <v>0.84044695451984341</v>
      </c>
      <c r="K1289" s="14">
        <f t="shared" si="254"/>
        <v>2.704372080958005</v>
      </c>
      <c r="L1289" s="14">
        <f t="shared" si="255"/>
        <v>689.08768049126127</v>
      </c>
      <c r="M1289" s="14">
        <f t="shared" si="249"/>
        <v>0.17349350558002571</v>
      </c>
      <c r="N1289" s="14">
        <f t="shared" si="256"/>
        <v>4.4397470004332966</v>
      </c>
      <c r="O1289" s="4">
        <v>3.19</v>
      </c>
      <c r="P1289" s="14">
        <f t="shared" si="259"/>
        <v>1.5618675650920224</v>
      </c>
      <c r="Q1289" s="14">
        <f t="shared" si="257"/>
        <v>11.179988596768222</v>
      </c>
    </row>
    <row r="1290" spans="1:17" x14ac:dyDescent="0.25">
      <c r="A1290" s="5" t="s">
        <v>1347</v>
      </c>
      <c r="B1290" s="6">
        <f t="shared" si="258"/>
        <v>11</v>
      </c>
      <c r="C1290" s="58">
        <v>18.250324249999998</v>
      </c>
      <c r="D1290" s="4">
        <v>0</v>
      </c>
      <c r="E1290" s="12">
        <f t="shared" si="247"/>
        <v>0</v>
      </c>
      <c r="F1290" s="12">
        <f t="shared" si="248"/>
        <v>0</v>
      </c>
      <c r="G1290" s="16">
        <f t="shared" si="250"/>
        <v>11.322796642512529</v>
      </c>
      <c r="H1290" s="14">
        <f t="shared" si="251"/>
        <v>0</v>
      </c>
      <c r="I1290" s="14">
        <f t="shared" si="252"/>
        <v>6.9628696366760732</v>
      </c>
      <c r="J1290" s="14">
        <f t="shared" si="253"/>
        <v>1.2506791979403387</v>
      </c>
      <c r="K1290" s="14">
        <f t="shared" si="254"/>
        <v>2.542708966525538</v>
      </c>
      <c r="L1290" s="14">
        <f t="shared" si="255"/>
        <v>689.07585010011371</v>
      </c>
      <c r="M1290" s="14">
        <f t="shared" si="249"/>
        <v>0.16729440640522722</v>
      </c>
      <c r="N1290" s="14">
        <f t="shared" si="256"/>
        <v>4.281110330578211</v>
      </c>
      <c r="O1290" s="4">
        <v>4.4400000000000004</v>
      </c>
      <c r="P1290" s="14">
        <f t="shared" si="259"/>
        <v>2.5245927048965514E-2</v>
      </c>
      <c r="Q1290" s="14">
        <f t="shared" si="257"/>
        <v>4.3833661111360476</v>
      </c>
    </row>
    <row r="1291" spans="1:17" x14ac:dyDescent="0.25">
      <c r="A1291" s="5" t="s">
        <v>1348</v>
      </c>
      <c r="B1291" s="6">
        <f t="shared" si="258"/>
        <v>11</v>
      </c>
      <c r="C1291" s="58">
        <v>16.45396423</v>
      </c>
      <c r="D1291" s="4">
        <v>0</v>
      </c>
      <c r="E1291" s="12">
        <f t="shared" si="247"/>
        <v>0</v>
      </c>
      <c r="F1291" s="12">
        <f t="shared" si="248"/>
        <v>0</v>
      </c>
      <c r="G1291" s="16">
        <f t="shared" si="250"/>
        <v>10.556857918800835</v>
      </c>
      <c r="H1291" s="14">
        <f t="shared" si="251"/>
        <v>0</v>
      </c>
      <c r="I1291" s="14">
        <f t="shared" si="252"/>
        <v>4.7351965292079061</v>
      </c>
      <c r="J1291" s="14">
        <f t="shared" si="253"/>
        <v>0.7659387237116928</v>
      </c>
      <c r="K1291" s="14">
        <f t="shared" si="254"/>
        <v>2.3952672420511147</v>
      </c>
      <c r="L1291" s="14">
        <f t="shared" si="255"/>
        <v>689.05599741818287</v>
      </c>
      <c r="M1291" s="14">
        <f t="shared" si="249"/>
        <v>0.16163871643034805</v>
      </c>
      <c r="N1291" s="14">
        <f t="shared" si="256"/>
        <v>4.1363796530960588</v>
      </c>
      <c r="O1291" s="4">
        <v>4.47</v>
      </c>
      <c r="P1291" s="14">
        <f t="shared" si="259"/>
        <v>0.11130253586830589</v>
      </c>
      <c r="Q1291" s="14">
        <f t="shared" si="257"/>
        <v>4.2586471714808782</v>
      </c>
    </row>
    <row r="1292" spans="1:17" x14ac:dyDescent="0.25">
      <c r="A1292" s="5" t="s">
        <v>1349</v>
      </c>
      <c r="B1292" s="6">
        <f t="shared" si="258"/>
        <v>11</v>
      </c>
      <c r="C1292" s="58">
        <v>17.06647873</v>
      </c>
      <c r="D1292" s="4">
        <v>0</v>
      </c>
      <c r="E1292" s="12">
        <f t="shared" si="247"/>
        <v>0</v>
      </c>
      <c r="F1292" s="12">
        <f t="shared" si="248"/>
        <v>0</v>
      </c>
      <c r="G1292" s="16">
        <f t="shared" si="250"/>
        <v>9.7281773586540368</v>
      </c>
      <c r="H1292" s="14">
        <f t="shared" si="251"/>
        <v>0</v>
      </c>
      <c r="I1292" s="14">
        <f t="shared" si="252"/>
        <v>5.494778163397422</v>
      </c>
      <c r="J1292" s="14">
        <f t="shared" si="253"/>
        <v>0.82868056014679792</v>
      </c>
      <c r="K1292" s="14">
        <f t="shared" si="254"/>
        <v>2.2607958619078543</v>
      </c>
      <c r="L1292" s="14">
        <f t="shared" si="255"/>
        <v>689.02883008189588</v>
      </c>
      <c r="M1292" s="14">
        <f t="shared" si="249"/>
        <v>0.1564786327392525</v>
      </c>
      <c r="N1292" s="14">
        <f t="shared" si="256"/>
        <v>4.004331678084343</v>
      </c>
      <c r="O1292" s="4">
        <v>4.49</v>
      </c>
      <c r="P1292" s="14">
        <f t="shared" si="259"/>
        <v>0.23587371891237047</v>
      </c>
      <c r="Q1292" s="14">
        <f t="shared" si="257"/>
        <v>4.1765012117107618</v>
      </c>
    </row>
    <row r="1293" spans="1:17" x14ac:dyDescent="0.25">
      <c r="A1293" s="5" t="s">
        <v>1350</v>
      </c>
      <c r="B1293" s="6">
        <f t="shared" si="258"/>
        <v>11</v>
      </c>
      <c r="C1293" s="58">
        <v>17.5910759</v>
      </c>
      <c r="D1293" s="4">
        <v>0</v>
      </c>
      <c r="E1293" s="12">
        <f t="shared" si="247"/>
        <v>0</v>
      </c>
      <c r="F1293" s="12">
        <f t="shared" si="248"/>
        <v>0</v>
      </c>
      <c r="G1293" s="16">
        <f t="shared" si="250"/>
        <v>8.8741353686445841</v>
      </c>
      <c r="H1293" s="14">
        <f t="shared" si="251"/>
        <v>0</v>
      </c>
      <c r="I1293" s="14">
        <f t="shared" si="252"/>
        <v>6.145333171776481</v>
      </c>
      <c r="J1293" s="14">
        <f t="shared" si="253"/>
        <v>0.85404199000945269</v>
      </c>
      <c r="K1293" s="14">
        <f t="shared" si="254"/>
        <v>2.1381538340687802</v>
      </c>
      <c r="L1293" s="14">
        <f t="shared" si="255"/>
        <v>688.99499347699566</v>
      </c>
      <c r="M1293" s="14">
        <f t="shared" si="249"/>
        <v>0.15177055760447711</v>
      </c>
      <c r="N1293" s="14">
        <f t="shared" si="256"/>
        <v>3.8838507275867924</v>
      </c>
      <c r="O1293" s="4">
        <v>3.35</v>
      </c>
      <c r="P1293" s="14">
        <f t="shared" si="259"/>
        <v>0.28499659934494753</v>
      </c>
      <c r="Q1293" s="14">
        <f t="shared" si="257"/>
        <v>10.135620918607303</v>
      </c>
    </row>
    <row r="1294" spans="1:17" x14ac:dyDescent="0.25">
      <c r="A1294" s="5" t="s">
        <v>1351</v>
      </c>
      <c r="B1294" s="6">
        <f t="shared" si="258"/>
        <v>11</v>
      </c>
      <c r="C1294" s="58">
        <v>17.797389979999998</v>
      </c>
      <c r="D1294" s="4">
        <v>2.2999999999999998</v>
      </c>
      <c r="E1294" s="12">
        <f t="shared" si="247"/>
        <v>0</v>
      </c>
      <c r="F1294" s="12">
        <f t="shared" si="248"/>
        <v>2.2999999999999998</v>
      </c>
      <c r="G1294" s="16">
        <f t="shared" si="250"/>
        <v>10.058874283990137</v>
      </c>
      <c r="H1294" s="14">
        <f t="shared" si="251"/>
        <v>0.30376080115893284</v>
      </c>
      <c r="I1294" s="14">
        <f t="shared" si="252"/>
        <v>6.4011840717024509</v>
      </c>
      <c r="J1294" s="14">
        <f t="shared" si="253"/>
        <v>0.8115002834955134</v>
      </c>
      <c r="K1294" s="14">
        <f t="shared" si="254"/>
        <v>2.3300613399283265</v>
      </c>
      <c r="L1294" s="14">
        <f t="shared" si="255"/>
        <v>688.95507621469062</v>
      </c>
      <c r="M1294" s="14">
        <f t="shared" si="249"/>
        <v>0.15911796310547394</v>
      </c>
      <c r="N1294" s="14">
        <f t="shared" si="256"/>
        <v>4.0718728753032742</v>
      </c>
      <c r="O1294" s="4">
        <v>2.79</v>
      </c>
      <c r="P1294" s="14">
        <f t="shared" si="259"/>
        <v>1.6431980684382836</v>
      </c>
      <c r="Q1294" s="14">
        <f t="shared" si="257"/>
        <v>14.014907792170517</v>
      </c>
    </row>
    <row r="1295" spans="1:17" x14ac:dyDescent="0.25">
      <c r="A1295" s="5" t="s">
        <v>1352</v>
      </c>
      <c r="B1295" s="6">
        <f t="shared" si="258"/>
        <v>11</v>
      </c>
      <c r="C1295" s="58">
        <v>16.72159576</v>
      </c>
      <c r="D1295" s="4">
        <v>0.6</v>
      </c>
      <c r="E1295" s="12">
        <f t="shared" si="247"/>
        <v>0</v>
      </c>
      <c r="F1295" s="12">
        <f t="shared" si="248"/>
        <v>0.6</v>
      </c>
      <c r="G1295" s="16">
        <f t="shared" si="250"/>
        <v>9.8460419374773132</v>
      </c>
      <c r="H1295" s="14">
        <f t="shared" si="251"/>
        <v>8.470039366797831E-2</v>
      </c>
      <c r="I1295" s="14">
        <f t="shared" si="252"/>
        <v>5.0670874394117291</v>
      </c>
      <c r="J1295" s="14">
        <f t="shared" si="253"/>
        <v>0.72813195284484644</v>
      </c>
      <c r="K1295" s="14">
        <f t="shared" si="254"/>
        <v>2.2860264705933684</v>
      </c>
      <c r="L1295" s="14">
        <f t="shared" si="255"/>
        <v>688.92469351458806</v>
      </c>
      <c r="M1295" s="14">
        <f t="shared" si="249"/>
        <v>0.15742365400309871</v>
      </c>
      <c r="N1295" s="14">
        <f t="shared" si="256"/>
        <v>4.0285150347320746</v>
      </c>
      <c r="O1295" s="4">
        <v>2.91</v>
      </c>
      <c r="P1295" s="14">
        <f t="shared" si="259"/>
        <v>1.2510758829216937</v>
      </c>
      <c r="Q1295" s="14">
        <f t="shared" si="257"/>
        <v>13.130832033549826</v>
      </c>
    </row>
    <row r="1296" spans="1:17" x14ac:dyDescent="0.25">
      <c r="A1296" s="5" t="s">
        <v>1353</v>
      </c>
      <c r="B1296" s="6">
        <f t="shared" si="258"/>
        <v>11</v>
      </c>
      <c r="C1296" s="58">
        <v>17.290184020000002</v>
      </c>
      <c r="D1296" s="4">
        <v>0</v>
      </c>
      <c r="E1296" s="12">
        <f t="shared" si="247"/>
        <v>0</v>
      </c>
      <c r="F1296" s="12">
        <f t="shared" si="248"/>
        <v>0</v>
      </c>
      <c r="G1296" s="16">
        <f t="shared" si="250"/>
        <v>9.0341372303616154</v>
      </c>
      <c r="H1296" s="14">
        <f t="shared" si="251"/>
        <v>0</v>
      </c>
      <c r="I1296" s="14">
        <f t="shared" si="252"/>
        <v>5.7721959710657149</v>
      </c>
      <c r="J1296" s="14">
        <f t="shared" si="253"/>
        <v>0.8119047071156984</v>
      </c>
      <c r="K1296" s="14">
        <f t="shared" si="254"/>
        <v>2.1611649239342152</v>
      </c>
      <c r="L1296" s="14">
        <f t="shared" si="255"/>
        <v>688.89213140724405</v>
      </c>
      <c r="M1296" s="14">
        <f t="shared" si="249"/>
        <v>0.1526307742731397</v>
      </c>
      <c r="N1296" s="14">
        <f t="shared" si="256"/>
        <v>3.9058639110869429</v>
      </c>
      <c r="O1296" s="4">
        <v>3.45</v>
      </c>
      <c r="P1296" s="14">
        <f t="shared" si="259"/>
        <v>0.20781190543148398</v>
      </c>
      <c r="Q1296" s="14">
        <f t="shared" si="257"/>
        <v>9.5088911197567292</v>
      </c>
    </row>
    <row r="1297" spans="1:17" x14ac:dyDescent="0.25">
      <c r="A1297" s="5" t="s">
        <v>1354</v>
      </c>
      <c r="B1297" s="6">
        <f t="shared" si="258"/>
        <v>11</v>
      </c>
      <c r="C1297" s="58">
        <v>17.392885209999999</v>
      </c>
      <c r="D1297" s="4">
        <v>2.6</v>
      </c>
      <c r="E1297" s="12">
        <f t="shared" si="247"/>
        <v>0</v>
      </c>
      <c r="F1297" s="12">
        <f t="shared" si="248"/>
        <v>2.6</v>
      </c>
      <c r="G1297" s="16">
        <f t="shared" si="250"/>
        <v>10.526086073498188</v>
      </c>
      <c r="H1297" s="14">
        <f t="shared" si="251"/>
        <v>0.34665911938575422</v>
      </c>
      <c r="I1297" s="14">
        <f t="shared" si="252"/>
        <v>5.8995561196555135</v>
      </c>
      <c r="J1297" s="14">
        <f t="shared" si="253"/>
        <v>0.76139203747767237</v>
      </c>
      <c r="K1297" s="14">
        <f t="shared" si="254"/>
        <v>2.3939464787029667</v>
      </c>
      <c r="L1297" s="14">
        <f t="shared" si="255"/>
        <v>688.85337819758786</v>
      </c>
      <c r="M1297" s="14">
        <f t="shared" si="249"/>
        <v>0.1615451399981449</v>
      </c>
      <c r="N1297" s="14">
        <f t="shared" si="256"/>
        <v>4.1339850062025274</v>
      </c>
      <c r="O1297" s="4">
        <v>4.3899999999999997</v>
      </c>
      <c r="P1297" s="14">
        <f t="shared" si="259"/>
        <v>6.5543677049119772E-2</v>
      </c>
      <c r="Q1297" s="14">
        <f t="shared" si="257"/>
        <v>4.5952310105613376</v>
      </c>
    </row>
    <row r="1298" spans="1:17" x14ac:dyDescent="0.25">
      <c r="A1298" s="5" t="s">
        <v>1355</v>
      </c>
      <c r="B1298" s="6">
        <f t="shared" si="258"/>
        <v>11</v>
      </c>
      <c r="C1298" s="58">
        <v>18.322248460000001</v>
      </c>
      <c r="D1298" s="4">
        <v>0</v>
      </c>
      <c r="E1298" s="12">
        <f t="shared" si="247"/>
        <v>0</v>
      </c>
      <c r="F1298" s="12">
        <f t="shared" si="248"/>
        <v>0</v>
      </c>
      <c r="G1298" s="16">
        <f t="shared" si="250"/>
        <v>9.4656477382952033</v>
      </c>
      <c r="H1298" s="14">
        <f t="shared" si="251"/>
        <v>0</v>
      </c>
      <c r="I1298" s="14">
        <f t="shared" si="252"/>
        <v>7.0520631316375662</v>
      </c>
      <c r="J1298" s="14">
        <f t="shared" si="253"/>
        <v>1.0604383352029847</v>
      </c>
      <c r="K1298" s="14">
        <f t="shared" si="254"/>
        <v>2.2595912851782947</v>
      </c>
      <c r="L1298" s="14">
        <f t="shared" si="255"/>
        <v>688.82618825111444</v>
      </c>
      <c r="M1298" s="14">
        <f t="shared" si="249"/>
        <v>0.15638950497899493</v>
      </c>
      <c r="N1298" s="14">
        <f t="shared" si="256"/>
        <v>4.0020508739416414</v>
      </c>
      <c r="O1298" s="4">
        <v>5.26</v>
      </c>
      <c r="P1298" s="14">
        <f t="shared" si="259"/>
        <v>1.5824360037509877</v>
      </c>
      <c r="Q1298" s="14">
        <f t="shared" si="257"/>
        <v>1.6221817605613449</v>
      </c>
    </row>
    <row r="1299" spans="1:17" x14ac:dyDescent="0.25">
      <c r="A1299" s="5" t="s">
        <v>1356</v>
      </c>
      <c r="B1299" s="6">
        <f t="shared" si="258"/>
        <v>11</v>
      </c>
      <c r="C1299" s="58">
        <v>17.61195755</v>
      </c>
      <c r="D1299" s="4">
        <v>0</v>
      </c>
      <c r="E1299" s="12">
        <f t="shared" si="247"/>
        <v>0</v>
      </c>
      <c r="F1299" s="12">
        <f t="shared" si="248"/>
        <v>0</v>
      </c>
      <c r="G1299" s="16">
        <f t="shared" si="250"/>
        <v>8.6311516940404704</v>
      </c>
      <c r="H1299" s="14">
        <f t="shared" si="251"/>
        <v>0</v>
      </c>
      <c r="I1299" s="14">
        <f t="shared" si="252"/>
        <v>6.1712285878549133</v>
      </c>
      <c r="J1299" s="14">
        <f t="shared" si="253"/>
        <v>0.83449604425473245</v>
      </c>
      <c r="K1299" s="14">
        <f t="shared" si="254"/>
        <v>2.1370552231030602</v>
      </c>
      <c r="L1299" s="14">
        <f t="shared" si="255"/>
        <v>688.79233480821074</v>
      </c>
      <c r="M1299" s="14">
        <f t="shared" si="249"/>
        <v>0.15168548797159562</v>
      </c>
      <c r="N1299" s="14">
        <f t="shared" si="256"/>
        <v>3.881673772050902</v>
      </c>
      <c r="O1299" s="4">
        <v>5.26</v>
      </c>
      <c r="P1299" s="14">
        <f t="shared" si="259"/>
        <v>1.8997831906523881</v>
      </c>
      <c r="Q1299" s="14">
        <f t="shared" si="257"/>
        <v>1.6221817605613449</v>
      </c>
    </row>
    <row r="1300" spans="1:17" x14ac:dyDescent="0.25">
      <c r="A1300" s="5" t="s">
        <v>1357</v>
      </c>
      <c r="B1300" s="6">
        <f t="shared" si="258"/>
        <v>11</v>
      </c>
      <c r="C1300" s="58">
        <v>18.08238411</v>
      </c>
      <c r="D1300" s="4">
        <v>0</v>
      </c>
      <c r="E1300" s="12">
        <f t="shared" si="247"/>
        <v>0</v>
      </c>
      <c r="F1300" s="12">
        <f t="shared" si="248"/>
        <v>0</v>
      </c>
      <c r="G1300" s="16">
        <f t="shared" si="250"/>
        <v>7.7982934134584072</v>
      </c>
      <c r="H1300" s="14">
        <f t="shared" si="251"/>
        <v>0</v>
      </c>
      <c r="I1300" s="14">
        <f t="shared" si="252"/>
        <v>6.7546064102753665</v>
      </c>
      <c r="J1300" s="14">
        <f t="shared" si="253"/>
        <v>0.83285828058206346</v>
      </c>
      <c r="K1300" s="14">
        <f t="shared" si="254"/>
        <v>2.025298571834135</v>
      </c>
      <c r="L1300" s="14">
        <f t="shared" si="255"/>
        <v>688.7524059715081</v>
      </c>
      <c r="M1300" s="14">
        <f t="shared" si="249"/>
        <v>0.14739336086543925</v>
      </c>
      <c r="N1300" s="14">
        <f t="shared" si="256"/>
        <v>3.771837047146831</v>
      </c>
      <c r="O1300" s="4">
        <v>4.96</v>
      </c>
      <c r="P1300" s="14">
        <f t="shared" si="259"/>
        <v>1.4117312025327617</v>
      </c>
      <c r="Q1300" s="14">
        <f t="shared" si="257"/>
        <v>2.4763711571130655</v>
      </c>
    </row>
    <row r="1301" spans="1:17" x14ac:dyDescent="0.25">
      <c r="A1301" s="5" t="s">
        <v>1358</v>
      </c>
      <c r="B1301" s="6">
        <f t="shared" si="258"/>
        <v>11</v>
      </c>
      <c r="C1301" s="58">
        <v>16.999971389999999</v>
      </c>
      <c r="D1301" s="4">
        <v>3.5</v>
      </c>
      <c r="E1301" s="12">
        <f t="shared" si="247"/>
        <v>0</v>
      </c>
      <c r="F1301" s="12">
        <f t="shared" si="248"/>
        <v>3.5</v>
      </c>
      <c r="G1301" s="16">
        <f t="shared" si="250"/>
        <v>10.263784637797299</v>
      </c>
      <c r="H1301" s="14">
        <f t="shared" si="251"/>
        <v>0.43155514289942676</v>
      </c>
      <c r="I1301" s="14">
        <f t="shared" si="252"/>
        <v>5.4123021501719411</v>
      </c>
      <c r="J1301" s="14">
        <f t="shared" si="253"/>
        <v>0.60295363276168035</v>
      </c>
      <c r="K1301" s="14">
        <f t="shared" si="254"/>
        <v>2.354928217118208</v>
      </c>
      <c r="L1301" s="14">
        <f t="shared" si="255"/>
        <v>688.70693810825799</v>
      </c>
      <c r="M1301" s="14">
        <f t="shared" si="249"/>
        <v>0.16001851700276229</v>
      </c>
      <c r="N1301" s="14">
        <f t="shared" si="256"/>
        <v>4.0949182996887439</v>
      </c>
      <c r="O1301" s="4">
        <v>4.87</v>
      </c>
      <c r="P1301" s="14">
        <f t="shared" si="259"/>
        <v>0.60075164215738797</v>
      </c>
      <c r="Q1301" s="14">
        <f t="shared" si="257"/>
        <v>2.7677279760785818</v>
      </c>
    </row>
    <row r="1302" spans="1:17" x14ac:dyDescent="0.25">
      <c r="A1302" s="5" t="s">
        <v>1359</v>
      </c>
      <c r="B1302" s="6">
        <f t="shared" si="258"/>
        <v>12</v>
      </c>
      <c r="C1302" s="58">
        <v>17.785800930000001</v>
      </c>
      <c r="D1302" s="4">
        <v>11.7</v>
      </c>
      <c r="E1302" s="12">
        <f t="shared" si="247"/>
        <v>0</v>
      </c>
      <c r="F1302" s="12">
        <f t="shared" si="248"/>
        <v>11.7</v>
      </c>
      <c r="G1302" s="16">
        <f t="shared" si="250"/>
        <v>19.126292626969978</v>
      </c>
      <c r="H1302" s="14">
        <f t="shared" si="251"/>
        <v>1.6694587266018532</v>
      </c>
      <c r="I1302" s="14">
        <f t="shared" si="252"/>
        <v>7.9660930888660921</v>
      </c>
      <c r="J1302" s="14">
        <f t="shared" si="253"/>
        <v>1.1680332842254664</v>
      </c>
      <c r="K1302" s="14">
        <f t="shared" si="254"/>
        <v>3.8934641590997319</v>
      </c>
      <c r="L1302" s="14">
        <f t="shared" si="255"/>
        <v>688.67784237587546</v>
      </c>
      <c r="M1302" s="14">
        <f t="shared" si="249"/>
        <v>0.21898485252754302</v>
      </c>
      <c r="N1302" s="14">
        <f t="shared" si="256"/>
        <v>5.6038832053055279</v>
      </c>
      <c r="O1302" s="4">
        <v>6.93</v>
      </c>
      <c r="P1302" s="14">
        <f t="shared" si="259"/>
        <v>1.7585857531707401</v>
      </c>
      <c r="Q1302" s="14">
        <f t="shared" si="257"/>
        <v>0.15709411975676218</v>
      </c>
    </row>
    <row r="1303" spans="1:17" x14ac:dyDescent="0.25">
      <c r="A1303" s="5" t="s">
        <v>1360</v>
      </c>
      <c r="B1303" s="6">
        <f t="shared" si="258"/>
        <v>12</v>
      </c>
      <c r="C1303" s="58">
        <v>15.76282024</v>
      </c>
      <c r="D1303" s="4">
        <v>5.0999999999999996</v>
      </c>
      <c r="E1303" s="12">
        <f t="shared" si="247"/>
        <v>0</v>
      </c>
      <c r="F1303" s="12">
        <f t="shared" si="248"/>
        <v>5.0999999999999996</v>
      </c>
      <c r="G1303" s="16">
        <f t="shared" si="250"/>
        <v>21.799333165743121</v>
      </c>
      <c r="H1303" s="14">
        <f t="shared" si="251"/>
        <v>1.0131134882985544</v>
      </c>
      <c r="I1303" s="14">
        <f t="shared" si="252"/>
        <v>5.1745071620947094</v>
      </c>
      <c r="J1303" s="14">
        <f t="shared" si="253"/>
        <v>1.4138459729283028</v>
      </c>
      <c r="K1303" s="14">
        <f t="shared" si="254"/>
        <v>4.6403109429716487</v>
      </c>
      <c r="L1303" s="14">
        <f t="shared" si="255"/>
        <v>688.72512422777459</v>
      </c>
      <c r="M1303" s="14">
        <f t="shared" si="249"/>
        <v>0.24762171671899916</v>
      </c>
      <c r="N1303" s="14">
        <f t="shared" si="256"/>
        <v>6.3367085146493887</v>
      </c>
      <c r="O1303" s="4">
        <v>9.35</v>
      </c>
      <c r="P1303" s="14">
        <f t="shared" si="259"/>
        <v>9.0799255756864916</v>
      </c>
      <c r="Q1303" s="14">
        <f t="shared" si="257"/>
        <v>7.931832987572875</v>
      </c>
    </row>
    <row r="1304" spans="1:17" x14ac:dyDescent="0.25">
      <c r="A1304" s="5" t="s">
        <v>1361</v>
      </c>
      <c r="B1304" s="6">
        <f t="shared" si="258"/>
        <v>12</v>
      </c>
      <c r="C1304" s="58">
        <v>15.88409996</v>
      </c>
      <c r="D1304" s="4">
        <v>0</v>
      </c>
      <c r="E1304" s="12">
        <f t="shared" si="247"/>
        <v>0</v>
      </c>
      <c r="F1304" s="12">
        <f t="shared" si="248"/>
        <v>0</v>
      </c>
      <c r="G1304" s="16">
        <f t="shared" si="250"/>
        <v>20.135773157268964</v>
      </c>
      <c r="H1304" s="14">
        <f t="shared" si="251"/>
        <v>0</v>
      </c>
      <c r="I1304" s="14">
        <f t="shared" si="252"/>
        <v>5.3418655364125467</v>
      </c>
      <c r="J1304" s="14">
        <f t="shared" si="253"/>
        <v>1.6635600084741569</v>
      </c>
      <c r="K1304" s="14">
        <f t="shared" si="254"/>
        <v>4.3083446546316351</v>
      </c>
      <c r="L1304" s="14">
        <f t="shared" si="255"/>
        <v>688.80946879939552</v>
      </c>
      <c r="M1304" s="14">
        <f t="shared" si="249"/>
        <v>0.2349152374972398</v>
      </c>
      <c r="N1304" s="14">
        <f t="shared" si="256"/>
        <v>6.0115461817870042</v>
      </c>
      <c r="O1304" s="4">
        <v>10.92</v>
      </c>
      <c r="P1304" s="14">
        <f t="shared" si="259"/>
        <v>24.092918885529738</v>
      </c>
      <c r="Q1304" s="14">
        <f t="shared" si="257"/>
        <v>19.240075145618867</v>
      </c>
    </row>
    <row r="1305" spans="1:17" x14ac:dyDescent="0.25">
      <c r="A1305" s="5" t="s">
        <v>1362</v>
      </c>
      <c r="B1305" s="6">
        <f t="shared" si="258"/>
        <v>12</v>
      </c>
      <c r="C1305" s="58">
        <v>17.102153779999998</v>
      </c>
      <c r="D1305" s="4">
        <v>0</v>
      </c>
      <c r="E1305" s="12">
        <f t="shared" si="247"/>
        <v>0</v>
      </c>
      <c r="F1305" s="12">
        <f t="shared" si="248"/>
        <v>0</v>
      </c>
      <c r="G1305" s="16">
        <f t="shared" si="250"/>
        <v>18.115663579477179</v>
      </c>
      <c r="H1305" s="14">
        <f t="shared" si="251"/>
        <v>0</v>
      </c>
      <c r="I1305" s="14">
        <f t="shared" si="252"/>
        <v>7.022703084081928</v>
      </c>
      <c r="J1305" s="14">
        <f t="shared" si="253"/>
        <v>2.0201095777917857</v>
      </c>
      <c r="K1305" s="14">
        <f t="shared" si="254"/>
        <v>4.0055812061353393</v>
      </c>
      <c r="L1305" s="14">
        <f t="shared" si="255"/>
        <v>688.87731701039468</v>
      </c>
      <c r="M1305" s="14">
        <f t="shared" si="249"/>
        <v>0.22332461421201724</v>
      </c>
      <c r="N1305" s="14">
        <f t="shared" si="256"/>
        <v>5.71493891230058</v>
      </c>
      <c r="O1305" s="4">
        <v>7.75</v>
      </c>
      <c r="P1305" s="14">
        <f t="shared" si="259"/>
        <v>4.1414736306683464</v>
      </c>
      <c r="Q1305" s="14">
        <f t="shared" si="257"/>
        <v>1.4795097691820576</v>
      </c>
    </row>
    <row r="1306" spans="1:17" x14ac:dyDescent="0.25">
      <c r="A1306" s="5" t="s">
        <v>1363</v>
      </c>
      <c r="B1306" s="6">
        <f t="shared" si="258"/>
        <v>12</v>
      </c>
      <c r="C1306" s="58">
        <v>16.870355610000001</v>
      </c>
      <c r="D1306" s="4">
        <v>5.5</v>
      </c>
      <c r="E1306" s="12">
        <f t="shared" si="247"/>
        <v>0</v>
      </c>
      <c r="F1306" s="12">
        <f t="shared" si="248"/>
        <v>5.5</v>
      </c>
      <c r="G1306" s="16">
        <f t="shared" si="250"/>
        <v>20.819505708576489</v>
      </c>
      <c r="H1306" s="14">
        <f t="shared" si="251"/>
        <v>1.0614946727564816</v>
      </c>
      <c r="I1306" s="14">
        <f t="shared" si="252"/>
        <v>6.7028362102051675</v>
      </c>
      <c r="J1306" s="14">
        <f t="shared" si="253"/>
        <v>1.7346631981442096</v>
      </c>
      <c r="K1306" s="14">
        <f t="shared" si="254"/>
        <v>4.7909463170506443</v>
      </c>
      <c r="L1306" s="14">
        <f t="shared" si="255"/>
        <v>688.93012195802385</v>
      </c>
      <c r="M1306" s="14">
        <f t="shared" si="249"/>
        <v>0.25343906719412457</v>
      </c>
      <c r="N1306" s="14">
        <f t="shared" si="256"/>
        <v>6.4855761292385337</v>
      </c>
      <c r="O1306" s="4">
        <v>6.89</v>
      </c>
      <c r="P1306" s="14">
        <f t="shared" si="259"/>
        <v>0.16355866724168697</v>
      </c>
      <c r="Q1306" s="14">
        <f t="shared" si="257"/>
        <v>0.12698603929699168</v>
      </c>
    </row>
    <row r="1307" spans="1:17" x14ac:dyDescent="0.25">
      <c r="A1307" s="5" t="s">
        <v>1364</v>
      </c>
      <c r="B1307" s="6">
        <f t="shared" si="258"/>
        <v>12</v>
      </c>
      <c r="C1307" s="58">
        <v>15.9599247</v>
      </c>
      <c r="D1307" s="4">
        <v>1.5</v>
      </c>
      <c r="E1307" s="12">
        <f t="shared" ref="E1307:E1370" si="260">IF(C1307&gt;$C$9,MAX(E1306-$C$10*(C1307-$C$9),0),E1306+D1307)</f>
        <v>0</v>
      </c>
      <c r="F1307" s="12">
        <f t="shared" ref="F1307:F1370" si="261">IF(C1307&gt;$C$9,D1307+MIN(E1306,$C$10*(C1307-$C$9)),0)</f>
        <v>1.5</v>
      </c>
      <c r="G1307" s="16">
        <f t="shared" si="250"/>
        <v>20.387880144529234</v>
      </c>
      <c r="H1307" s="14">
        <f t="shared" si="251"/>
        <v>0.3117183277318652</v>
      </c>
      <c r="I1307" s="14">
        <f t="shared" si="252"/>
        <v>5.4464989014918244</v>
      </c>
      <c r="J1307" s="14">
        <f t="shared" si="253"/>
        <v>1.6199072363153917</v>
      </c>
      <c r="K1307" s="14">
        <f t="shared" si="254"/>
        <v>4.7574470690120041</v>
      </c>
      <c r="L1307" s="14">
        <f t="shared" si="255"/>
        <v>689.02190046660019</v>
      </c>
      <c r="M1307" s="14">
        <f t="shared" si="249"/>
        <v>0.25217448706286605</v>
      </c>
      <c r="N1307" s="14">
        <f t="shared" si="256"/>
        <v>6.4532151724073712</v>
      </c>
      <c r="O1307" s="4">
        <v>6.1</v>
      </c>
      <c r="P1307" s="14">
        <f t="shared" si="259"/>
        <v>0.1247609580187692</v>
      </c>
      <c r="Q1307" s="14">
        <f t="shared" si="257"/>
        <v>0.18805145021652497</v>
      </c>
    </row>
    <row r="1308" spans="1:17" x14ac:dyDescent="0.25">
      <c r="A1308" s="5" t="s">
        <v>1365</v>
      </c>
      <c r="B1308" s="6">
        <f t="shared" si="258"/>
        <v>12</v>
      </c>
      <c r="C1308" s="58">
        <v>17.997600559999999</v>
      </c>
      <c r="D1308" s="4">
        <v>7.4</v>
      </c>
      <c r="E1308" s="12">
        <f t="shared" si="260"/>
        <v>0</v>
      </c>
      <c r="F1308" s="12">
        <f t="shared" si="261"/>
        <v>7.4</v>
      </c>
      <c r="G1308" s="16">
        <f t="shared" si="250"/>
        <v>23.861805339042835</v>
      </c>
      <c r="H1308" s="14">
        <f t="shared" si="251"/>
        <v>1.5207797220858916</v>
      </c>
      <c r="I1308" s="14">
        <f t="shared" si="252"/>
        <v>8.2583632372298812</v>
      </c>
      <c r="J1308" s="14">
        <f t="shared" si="253"/>
        <v>2.4052950834005076</v>
      </c>
      <c r="K1308" s="14">
        <f t="shared" si="254"/>
        <v>5.9359561205093865</v>
      </c>
      <c r="L1308" s="14">
        <f t="shared" si="255"/>
        <v>689.11199665012589</v>
      </c>
      <c r="M1308" s="14">
        <f t="shared" si="249"/>
        <v>0.29736615975320163</v>
      </c>
      <c r="N1308" s="14">
        <f t="shared" si="256"/>
        <v>7.6096826297954721</v>
      </c>
      <c r="O1308" s="4">
        <v>6.16</v>
      </c>
      <c r="P1308" s="14">
        <f t="shared" si="259"/>
        <v>2.1015797271307153</v>
      </c>
      <c r="Q1308" s="14">
        <f t="shared" si="257"/>
        <v>0.13961357090618029</v>
      </c>
    </row>
    <row r="1309" spans="1:17" x14ac:dyDescent="0.25">
      <c r="A1309" s="5" t="s">
        <v>1366</v>
      </c>
      <c r="B1309" s="6">
        <f t="shared" si="258"/>
        <v>12</v>
      </c>
      <c r="C1309" s="58">
        <v>16.35128593</v>
      </c>
      <c r="D1309" s="4">
        <v>0.4</v>
      </c>
      <c r="E1309" s="12">
        <f t="shared" si="260"/>
        <v>0</v>
      </c>
      <c r="F1309" s="12">
        <f t="shared" si="261"/>
        <v>0.4</v>
      </c>
      <c r="G1309" s="16">
        <f t="shared" si="250"/>
        <v>22.131714626907989</v>
      </c>
      <c r="H1309" s="14">
        <f t="shared" si="251"/>
        <v>8.9375402562180156E-2</v>
      </c>
      <c r="I1309" s="14">
        <f t="shared" si="252"/>
        <v>5.9865527474590507</v>
      </c>
      <c r="J1309" s="14">
        <f t="shared" si="253"/>
        <v>2.040715309572664</v>
      </c>
      <c r="K1309" s="14">
        <f t="shared" si="254"/>
        <v>5.5793882438656484</v>
      </c>
      <c r="L1309" s="14">
        <f t="shared" si="255"/>
        <v>689.26057376957863</v>
      </c>
      <c r="M1309" s="14">
        <f t="shared" si="249"/>
        <v>0.28373031093877388</v>
      </c>
      <c r="N1309" s="14">
        <f t="shared" si="256"/>
        <v>7.2607374708984844</v>
      </c>
      <c r="O1309" s="4">
        <v>6.17</v>
      </c>
      <c r="P1309" s="14">
        <f t="shared" si="259"/>
        <v>1.1897082304220223</v>
      </c>
      <c r="Q1309" s="14">
        <f t="shared" si="257"/>
        <v>0.13224059102112307</v>
      </c>
    </row>
    <row r="1310" spans="1:17" x14ac:dyDescent="0.25">
      <c r="A1310" s="5" t="s">
        <v>1367</v>
      </c>
      <c r="B1310" s="6">
        <f t="shared" si="258"/>
        <v>12</v>
      </c>
      <c r="C1310" s="58">
        <v>15.842439649999999</v>
      </c>
      <c r="D1310" s="4">
        <v>7.6</v>
      </c>
      <c r="E1310" s="12">
        <f t="shared" si="260"/>
        <v>0</v>
      </c>
      <c r="F1310" s="12">
        <f t="shared" si="261"/>
        <v>7.6</v>
      </c>
      <c r="G1310" s="16">
        <f t="shared" si="250"/>
        <v>26.429435152604022</v>
      </c>
      <c r="H1310" s="14">
        <f t="shared" si="251"/>
        <v>1.6315306642842498</v>
      </c>
      <c r="I1310" s="14">
        <f t="shared" si="252"/>
        <v>5.2843769327517096</v>
      </c>
      <c r="J1310" s="14">
        <f t="shared" si="253"/>
        <v>1.670748810019717</v>
      </c>
      <c r="K1310" s="14">
        <f t="shared" si="254"/>
        <v>6.7963426531292059</v>
      </c>
      <c r="L1310" s="14">
        <f t="shared" si="255"/>
        <v>689.39141971366053</v>
      </c>
      <c r="M1310" s="14">
        <f t="shared" si="249"/>
        <v>0.33040424283402625</v>
      </c>
      <c r="N1310" s="14">
        <f t="shared" si="256"/>
        <v>8.4551363530790749</v>
      </c>
      <c r="O1310" s="4">
        <v>6.27</v>
      </c>
      <c r="P1310" s="14">
        <f t="shared" si="259"/>
        <v>4.7748208815477211</v>
      </c>
      <c r="Q1310" s="14">
        <f t="shared" si="257"/>
        <v>6.9510792170549479E-2</v>
      </c>
    </row>
    <row r="1311" spans="1:17" x14ac:dyDescent="0.25">
      <c r="A1311" s="5" t="s">
        <v>1368</v>
      </c>
      <c r="B1311" s="6">
        <f t="shared" si="258"/>
        <v>12</v>
      </c>
      <c r="C1311" s="58">
        <v>15.158200259999999</v>
      </c>
      <c r="D1311" s="4">
        <v>0</v>
      </c>
      <c r="E1311" s="12">
        <f t="shared" si="260"/>
        <v>0</v>
      </c>
      <c r="F1311" s="12">
        <f t="shared" si="261"/>
        <v>0</v>
      </c>
      <c r="G1311" s="16">
        <f t="shared" si="250"/>
        <v>24.79074478710859</v>
      </c>
      <c r="H1311" s="14">
        <f t="shared" si="251"/>
        <v>0</v>
      </c>
      <c r="I1311" s="14">
        <f t="shared" si="252"/>
        <v>4.3401696740721247</v>
      </c>
      <c r="J1311" s="14">
        <f t="shared" si="253"/>
        <v>1.6386903654954312</v>
      </c>
      <c r="K1311" s="14">
        <f t="shared" si="254"/>
        <v>6.2747117785309117</v>
      </c>
      <c r="L1311" s="14">
        <f t="shared" si="255"/>
        <v>689.58264634542479</v>
      </c>
      <c r="M1311" s="14">
        <f t="shared" ref="M1311:M1374" si="262">MAX(0,K1311-$F$9)*$F$8+K1311*$F$10+L1311*$F$11</f>
        <v>0.31045052502714132</v>
      </c>
      <c r="N1311" s="14">
        <f t="shared" si="256"/>
        <v>7.9445151717014983</v>
      </c>
      <c r="O1311" s="4">
        <v>9.33</v>
      </c>
      <c r="P1311" s="14">
        <f t="shared" si="259"/>
        <v>1.9195682094453288</v>
      </c>
      <c r="Q1311" s="14">
        <f t="shared" si="257"/>
        <v>7.8195789473429924</v>
      </c>
    </row>
    <row r="1312" spans="1:17" x14ac:dyDescent="0.25">
      <c r="A1312" s="5" t="s">
        <v>1369</v>
      </c>
      <c r="B1312" s="6">
        <f t="shared" si="258"/>
        <v>12</v>
      </c>
      <c r="C1312" s="58">
        <v>14.759830470000001</v>
      </c>
      <c r="D1312" s="4">
        <v>0</v>
      </c>
      <c r="E1312" s="12">
        <f t="shared" si="260"/>
        <v>0</v>
      </c>
      <c r="F1312" s="12">
        <f t="shared" si="261"/>
        <v>0</v>
      </c>
      <c r="G1312" s="16">
        <f t="shared" ref="G1312:G1375" si="263">G1311+F1312-H1312-J1312</f>
        <v>23.448344543664163</v>
      </c>
      <c r="H1312" s="14">
        <f t="shared" ref="H1312:H1375" si="264">(F1312*(G1311/$C$11)^$C$12)</f>
        <v>0</v>
      </c>
      <c r="I1312" s="14">
        <f t="shared" ref="I1312:I1375" si="265">(1+$C$13*(C1312-INDEX($A$16:$A$27,B1312)))*INDEX($C$16:$C$27,B1312)</f>
        <v>3.790444456766731</v>
      </c>
      <c r="J1312" s="14">
        <f t="shared" ref="J1312:J1375" si="266">IF(G1311&gt;$F$13,I1312,I1312*(G1311/$F$13))</f>
        <v>1.3424002434444258</v>
      </c>
      <c r="K1312" s="14">
        <f t="shared" ref="K1312:K1375" si="267">K1311+H1312-MAX(0,K1311-$F$9)*$F$8-K1311*$F$10-K1311*$F$12</f>
        <v>5.7989684034272333</v>
      </c>
      <c r="L1312" s="14">
        <f t="shared" ref="L1312:L1375" si="268">L1311+K1311*$F$12-L1311*$F$11</f>
        <v>689.74793919550132</v>
      </c>
      <c r="M1312" s="14">
        <f t="shared" si="262"/>
        <v>0.29225019017816412</v>
      </c>
      <c r="N1312" s="14">
        <f t="shared" ref="N1312:N1375" si="269">M1312*$C$8*1000/(24*3600)</f>
        <v>7.4787635472676026</v>
      </c>
      <c r="O1312" s="4">
        <v>10.119999999999999</v>
      </c>
      <c r="P1312" s="14">
        <f t="shared" si="259"/>
        <v>6.9761299992424135</v>
      </c>
      <c r="Q1312" s="14">
        <f t="shared" ref="Q1312:Q1375" si="270">(O1312-$F$23)^2</f>
        <v>12.861913536423454</v>
      </c>
    </row>
    <row r="1313" spans="1:17" x14ac:dyDescent="0.25">
      <c r="A1313" s="5" t="s">
        <v>1370</v>
      </c>
      <c r="B1313" s="6">
        <f t="shared" ref="B1313:B1376" si="271">MONTH(A1313)</f>
        <v>12</v>
      </c>
      <c r="C1313" s="58">
        <v>17.091934200000001</v>
      </c>
      <c r="D1313" s="4">
        <v>0</v>
      </c>
      <c r="E1313" s="12">
        <f t="shared" si="260"/>
        <v>0</v>
      </c>
      <c r="F1313" s="12">
        <f t="shared" si="261"/>
        <v>0</v>
      </c>
      <c r="G1313" s="16">
        <f t="shared" si="263"/>
        <v>21.100627159824505</v>
      </c>
      <c r="H1313" s="14">
        <f t="shared" si="264"/>
        <v>0</v>
      </c>
      <c r="I1313" s="14">
        <f t="shared" si="265"/>
        <v>7.0086007074025414</v>
      </c>
      <c r="J1313" s="14">
        <f t="shared" si="266"/>
        <v>2.3477173838396572</v>
      </c>
      <c r="K1313" s="14">
        <f t="shared" si="267"/>
        <v>5.3650758369081668</v>
      </c>
      <c r="L1313" s="14">
        <f t="shared" si="268"/>
        <v>689.8895815718422</v>
      </c>
      <c r="M1313" s="14">
        <f t="shared" si="262"/>
        <v>0.27564899483653071</v>
      </c>
      <c r="N1313" s="14">
        <f t="shared" si="269"/>
        <v>7.0539343470320537</v>
      </c>
      <c r="O1313" s="4">
        <v>7.08</v>
      </c>
      <c r="P1313" s="14">
        <f t="shared" ref="P1313:P1376" si="272">(O1313-N1313)^2</f>
        <v>6.7941826464541213E-4</v>
      </c>
      <c r="Q1313" s="14">
        <f t="shared" si="270"/>
        <v>0.29849942148090186</v>
      </c>
    </row>
    <row r="1314" spans="1:17" x14ac:dyDescent="0.25">
      <c r="A1314" s="5" t="s">
        <v>1371</v>
      </c>
      <c r="B1314" s="6">
        <f t="shared" si="271"/>
        <v>12</v>
      </c>
      <c r="C1314" s="58">
        <v>17.83970261</v>
      </c>
      <c r="D1314" s="4">
        <v>0</v>
      </c>
      <c r="E1314" s="12">
        <f t="shared" si="260"/>
        <v>0</v>
      </c>
      <c r="F1314" s="12">
        <f t="shared" si="261"/>
        <v>0</v>
      </c>
      <c r="G1314" s="16">
        <f t="shared" si="263"/>
        <v>18.676924569473044</v>
      </c>
      <c r="H1314" s="14">
        <f t="shared" si="264"/>
        <v>0</v>
      </c>
      <c r="I1314" s="14">
        <f t="shared" si="265"/>
        <v>8.0404740120558884</v>
      </c>
      <c r="J1314" s="14">
        <f t="shared" si="266"/>
        <v>2.4237025903514597</v>
      </c>
      <c r="K1314" s="14">
        <f t="shared" si="267"/>
        <v>4.9693524929110495</v>
      </c>
      <c r="L1314" s="14">
        <f t="shared" si="268"/>
        <v>690.00965592100283</v>
      </c>
      <c r="M1314" s="14">
        <f t="shared" si="262"/>
        <v>0.26050626423896006</v>
      </c>
      <c r="N1314" s="14">
        <f t="shared" si="269"/>
        <v>6.6664276647261662</v>
      </c>
      <c r="O1314" s="4">
        <v>6.08</v>
      </c>
      <c r="P1314" s="14">
        <f t="shared" si="272"/>
        <v>0.34389740595618473</v>
      </c>
      <c r="Q1314" s="14">
        <f t="shared" si="270"/>
        <v>0.20579740998663934</v>
      </c>
    </row>
    <row r="1315" spans="1:17" x14ac:dyDescent="0.25">
      <c r="A1315" s="5" t="s">
        <v>1372</v>
      </c>
      <c r="B1315" s="6">
        <f t="shared" si="271"/>
        <v>12</v>
      </c>
      <c r="C1315" s="58">
        <v>18.040876390000001</v>
      </c>
      <c r="D1315" s="4">
        <v>0</v>
      </c>
      <c r="E1315" s="12">
        <f t="shared" si="260"/>
        <v>0</v>
      </c>
      <c r="F1315" s="12">
        <f t="shared" si="261"/>
        <v>0</v>
      </c>
      <c r="G1315" s="16">
        <f t="shared" si="263"/>
        <v>16.457548858262989</v>
      </c>
      <c r="H1315" s="14">
        <f t="shared" si="264"/>
        <v>0</v>
      </c>
      <c r="I1315" s="14">
        <f t="shared" si="265"/>
        <v>8.3180811567308108</v>
      </c>
      <c r="J1315" s="14">
        <f t="shared" si="266"/>
        <v>2.2193757112100565</v>
      </c>
      <c r="K1315" s="14">
        <f t="shared" si="267"/>
        <v>4.6084406518980288</v>
      </c>
      <c r="L1315" s="14">
        <f t="shared" si="268"/>
        <v>690.11006149777688</v>
      </c>
      <c r="M1315" s="14">
        <f t="shared" si="262"/>
        <v>0.24669369868162042</v>
      </c>
      <c r="N1315" s="14">
        <f t="shared" si="269"/>
        <v>6.3129602752900773</v>
      </c>
      <c r="O1315" s="4">
        <v>5.63</v>
      </c>
      <c r="P1315" s="14">
        <f t="shared" si="272"/>
        <v>0.46643473762429832</v>
      </c>
      <c r="Q1315" s="14">
        <f t="shared" si="270"/>
        <v>0.81658150481422154</v>
      </c>
    </row>
    <row r="1316" spans="1:17" x14ac:dyDescent="0.25">
      <c r="A1316" s="5" t="s">
        <v>1373</v>
      </c>
      <c r="B1316" s="6">
        <f t="shared" si="271"/>
        <v>12</v>
      </c>
      <c r="C1316" s="58">
        <v>17.86617661</v>
      </c>
      <c r="D1316" s="4">
        <v>2.5</v>
      </c>
      <c r="E1316" s="12">
        <f t="shared" si="260"/>
        <v>0</v>
      </c>
      <c r="F1316" s="12">
        <f t="shared" si="261"/>
        <v>2.5</v>
      </c>
      <c r="G1316" s="16">
        <f t="shared" si="263"/>
        <v>16.600085303571909</v>
      </c>
      <c r="H1316" s="14">
        <f t="shared" si="264"/>
        <v>0.45849447092800538</v>
      </c>
      <c r="I1316" s="14">
        <f t="shared" si="265"/>
        <v>8.0770064644864377</v>
      </c>
      <c r="J1316" s="14">
        <f t="shared" si="266"/>
        <v>1.8989690837630748</v>
      </c>
      <c r="K1316" s="14">
        <f t="shared" si="267"/>
        <v>4.7377724414746991</v>
      </c>
      <c r="L1316" s="14">
        <f t="shared" si="268"/>
        <v>690.19253048044652</v>
      </c>
      <c r="M1316" s="14">
        <f t="shared" si="262"/>
        <v>0.25166850330149099</v>
      </c>
      <c r="N1316" s="14">
        <f t="shared" si="269"/>
        <v>6.4402669074027372</v>
      </c>
      <c r="O1316" s="4">
        <v>5.51</v>
      </c>
      <c r="P1316" s="14">
        <f t="shared" si="272"/>
        <v>0.86539651900865322</v>
      </c>
      <c r="Q1316" s="14">
        <f t="shared" si="270"/>
        <v>1.0478572634349104</v>
      </c>
    </row>
    <row r="1317" spans="1:17" x14ac:dyDescent="0.25">
      <c r="A1317" s="5" t="s">
        <v>1374</v>
      </c>
      <c r="B1317" s="6">
        <f t="shared" si="271"/>
        <v>12</v>
      </c>
      <c r="C1317" s="58">
        <v>17.156642909999999</v>
      </c>
      <c r="D1317" s="4">
        <v>9.1999999999999993</v>
      </c>
      <c r="E1317" s="12">
        <f t="shared" si="260"/>
        <v>0</v>
      </c>
      <c r="F1317" s="12">
        <f t="shared" si="261"/>
        <v>9.1999999999999993</v>
      </c>
      <c r="G1317" s="16">
        <f t="shared" si="263"/>
        <v>22.421848295959709</v>
      </c>
      <c r="H1317" s="14">
        <f t="shared" si="264"/>
        <v>1.6950119813722822</v>
      </c>
      <c r="I1317" s="14">
        <f t="shared" si="265"/>
        <v>7.0978946512688683</v>
      </c>
      <c r="J1317" s="14">
        <f t="shared" si="266"/>
        <v>1.6832250262399164</v>
      </c>
      <c r="K1317" s="14">
        <f t="shared" si="267"/>
        <v>6.0922445153423679</v>
      </c>
      <c r="L1317" s="14">
        <f t="shared" si="268"/>
        <v>690.28140188464965</v>
      </c>
      <c r="M1317" s="14">
        <f t="shared" si="262"/>
        <v>0.30360462711259456</v>
      </c>
      <c r="N1317" s="14">
        <f t="shared" si="269"/>
        <v>7.7693267424299366</v>
      </c>
      <c r="O1317" s="4">
        <v>5.73</v>
      </c>
      <c r="P1317" s="14">
        <f t="shared" si="272"/>
        <v>4.1588535623898952</v>
      </c>
      <c r="Q1317" s="14">
        <f t="shared" si="270"/>
        <v>0.64585170596364694</v>
      </c>
    </row>
    <row r="1318" spans="1:17" x14ac:dyDescent="0.25">
      <c r="A1318" s="5" t="s">
        <v>1375</v>
      </c>
      <c r="B1318" s="6">
        <f t="shared" si="271"/>
        <v>12</v>
      </c>
      <c r="C1318" s="58">
        <v>18.76379013</v>
      </c>
      <c r="D1318" s="4">
        <v>0</v>
      </c>
      <c r="E1318" s="12">
        <f t="shared" si="260"/>
        <v>0</v>
      </c>
      <c r="F1318" s="12">
        <f t="shared" si="261"/>
        <v>0</v>
      </c>
      <c r="G1318" s="16">
        <f t="shared" si="263"/>
        <v>19.437928191060738</v>
      </c>
      <c r="H1318" s="14">
        <f t="shared" si="264"/>
        <v>0</v>
      </c>
      <c r="I1318" s="14">
        <f t="shared" si="265"/>
        <v>9.3156565823537143</v>
      </c>
      <c r="J1318" s="14">
        <f t="shared" si="266"/>
        <v>2.9839201048989721</v>
      </c>
      <c r="K1318" s="14">
        <f t="shared" si="267"/>
        <v>5.6325526564642132</v>
      </c>
      <c r="L1318" s="14">
        <f t="shared" si="268"/>
        <v>690.43748911641524</v>
      </c>
      <c r="M1318" s="14">
        <f t="shared" si="262"/>
        <v>0.28601759986195119</v>
      </c>
      <c r="N1318" s="14">
        <f t="shared" si="269"/>
        <v>7.3192698298006249</v>
      </c>
      <c r="O1318" s="4">
        <v>8.4700000000000006</v>
      </c>
      <c r="P1318" s="14">
        <f t="shared" si="272"/>
        <v>1.3241799246070842</v>
      </c>
      <c r="Q1318" s="14">
        <f t="shared" si="270"/>
        <v>3.7494552174579288</v>
      </c>
    </row>
    <row r="1319" spans="1:17" x14ac:dyDescent="0.25">
      <c r="A1319" s="5" t="s">
        <v>1376</v>
      </c>
      <c r="B1319" s="6">
        <f t="shared" si="271"/>
        <v>12</v>
      </c>
      <c r="C1319" s="58">
        <v>18.360778809999999</v>
      </c>
      <c r="D1319" s="4">
        <v>0.5</v>
      </c>
      <c r="E1319" s="12">
        <f t="shared" si="260"/>
        <v>0</v>
      </c>
      <c r="F1319" s="12">
        <f t="shared" si="261"/>
        <v>0.5</v>
      </c>
      <c r="G1319" s="16">
        <f t="shared" si="263"/>
        <v>17.405358003940371</v>
      </c>
      <c r="H1319" s="14">
        <f t="shared" si="264"/>
        <v>0.10018187854243343</v>
      </c>
      <c r="I1319" s="14">
        <f t="shared" si="265"/>
        <v>8.7595263460134145</v>
      </c>
      <c r="J1319" s="14">
        <f t="shared" si="266"/>
        <v>2.4323883085779356</v>
      </c>
      <c r="K1319" s="14">
        <f t="shared" si="267"/>
        <v>5.3134814441714973</v>
      </c>
      <c r="L1319" s="14">
        <f t="shared" si="268"/>
        <v>690.57072460738834</v>
      </c>
      <c r="M1319" s="14">
        <f t="shared" si="262"/>
        <v>0.27381575632471944</v>
      </c>
      <c r="N1319" s="14">
        <f t="shared" si="269"/>
        <v>7.0070212642818834</v>
      </c>
      <c r="O1319" s="4">
        <v>7.69</v>
      </c>
      <c r="P1319" s="14">
        <f t="shared" si="272"/>
        <v>0.46645995344311747</v>
      </c>
      <c r="Q1319" s="14">
        <f t="shared" si="270"/>
        <v>1.3371476484924028</v>
      </c>
    </row>
    <row r="1320" spans="1:17" x14ac:dyDescent="0.25">
      <c r="A1320" s="5" t="s">
        <v>1377</v>
      </c>
      <c r="B1320" s="6">
        <f t="shared" si="271"/>
        <v>12</v>
      </c>
      <c r="C1320" s="58">
        <v>18.546060560000001</v>
      </c>
      <c r="D1320" s="4">
        <v>2.2999999999999998</v>
      </c>
      <c r="E1320" s="12">
        <f t="shared" si="260"/>
        <v>0</v>
      </c>
      <c r="F1320" s="12">
        <f t="shared" si="261"/>
        <v>2.2999999999999998</v>
      </c>
      <c r="G1320" s="16">
        <f t="shared" si="263"/>
        <v>17.029185122995408</v>
      </c>
      <c r="H1320" s="14">
        <f t="shared" si="264"/>
        <v>0.43455901034491534</v>
      </c>
      <c r="I1320" s="14">
        <f t="shared" si="265"/>
        <v>9.0152034903106149</v>
      </c>
      <c r="J1320" s="14">
        <f t="shared" si="266"/>
        <v>2.2416138706000486</v>
      </c>
      <c r="K1320" s="14">
        <f t="shared" si="267"/>
        <v>5.3568558327957563</v>
      </c>
      <c r="L1320" s="14">
        <f t="shared" si="268"/>
        <v>690.68809347278432</v>
      </c>
      <c r="M1320" s="14">
        <f t="shared" si="262"/>
        <v>0.27550318834377213</v>
      </c>
      <c r="N1320" s="14">
        <f t="shared" si="269"/>
        <v>7.0502031183805576</v>
      </c>
      <c r="O1320" s="4">
        <v>8.2100000000000009</v>
      </c>
      <c r="P1320" s="14">
        <f t="shared" si="272"/>
        <v>1.3451288066141849</v>
      </c>
      <c r="Q1320" s="14">
        <f t="shared" si="270"/>
        <v>2.8101526944694211</v>
      </c>
    </row>
    <row r="1321" spans="1:17" x14ac:dyDescent="0.25">
      <c r="A1321" s="5" t="s">
        <v>1378</v>
      </c>
      <c r="B1321" s="6">
        <f t="shared" si="271"/>
        <v>12</v>
      </c>
      <c r="C1321" s="58">
        <v>17.61277771</v>
      </c>
      <c r="D1321" s="4">
        <v>0</v>
      </c>
      <c r="E1321" s="12">
        <f t="shared" si="260"/>
        <v>0</v>
      </c>
      <c r="F1321" s="12">
        <f t="shared" si="261"/>
        <v>0</v>
      </c>
      <c r="G1321" s="16">
        <f t="shared" si="263"/>
        <v>15.149324088087237</v>
      </c>
      <c r="H1321" s="14">
        <f t="shared" si="264"/>
        <v>0</v>
      </c>
      <c r="I1321" s="14">
        <f t="shared" si="265"/>
        <v>7.7273319438169663</v>
      </c>
      <c r="J1321" s="14">
        <f t="shared" si="266"/>
        <v>1.8798610349081704</v>
      </c>
      <c r="K1321" s="14">
        <f t="shared" si="267"/>
        <v>4.9618555967527929</v>
      </c>
      <c r="L1321" s="14">
        <f t="shared" si="268"/>
        <v>690.80759052048347</v>
      </c>
      <c r="M1321" s="14">
        <f t="shared" si="262"/>
        <v>0.26038805229542172</v>
      </c>
      <c r="N1321" s="14">
        <f t="shared" si="269"/>
        <v>6.6634025882543684</v>
      </c>
      <c r="O1321" s="4">
        <v>9.36</v>
      </c>
      <c r="P1321" s="14">
        <f t="shared" si="272"/>
        <v>7.2716376010332366</v>
      </c>
      <c r="Q1321" s="14">
        <f t="shared" si="270"/>
        <v>7.988260007687817</v>
      </c>
    </row>
    <row r="1322" spans="1:17" x14ac:dyDescent="0.25">
      <c r="A1322" s="5" t="s">
        <v>1379</v>
      </c>
      <c r="B1322" s="6">
        <f t="shared" si="271"/>
        <v>12</v>
      </c>
      <c r="C1322" s="58">
        <v>17.571575159999998</v>
      </c>
      <c r="D1322" s="4">
        <v>0</v>
      </c>
      <c r="E1322" s="12">
        <f t="shared" si="260"/>
        <v>0</v>
      </c>
      <c r="F1322" s="12">
        <f t="shared" si="261"/>
        <v>0</v>
      </c>
      <c r="G1322" s="16">
        <f t="shared" si="263"/>
        <v>13.489286861964295</v>
      </c>
      <c r="H1322" s="14">
        <f t="shared" si="264"/>
        <v>0</v>
      </c>
      <c r="I1322" s="14">
        <f t="shared" si="265"/>
        <v>7.6704750201223062</v>
      </c>
      <c r="J1322" s="14">
        <f t="shared" si="266"/>
        <v>1.6600372261229419</v>
      </c>
      <c r="K1322" s="14">
        <f t="shared" si="267"/>
        <v>4.6016032523980908</v>
      </c>
      <c r="L1322" s="14">
        <f t="shared" si="268"/>
        <v>690.90745481254282</v>
      </c>
      <c r="M1322" s="14">
        <f t="shared" si="262"/>
        <v>0.24660065068377193</v>
      </c>
      <c r="N1322" s="14">
        <f t="shared" si="269"/>
        <v>6.3105791511784695</v>
      </c>
      <c r="O1322" s="4">
        <v>7.63</v>
      </c>
      <c r="P1322" s="14">
        <f t="shared" si="272"/>
        <v>1.7408713763049279</v>
      </c>
      <c r="Q1322" s="14">
        <f t="shared" si="270"/>
        <v>1.2019855278027458</v>
      </c>
    </row>
    <row r="1323" spans="1:17" x14ac:dyDescent="0.25">
      <c r="A1323" s="5" t="s">
        <v>1380</v>
      </c>
      <c r="B1323" s="6">
        <f t="shared" si="271"/>
        <v>12</v>
      </c>
      <c r="C1323" s="58">
        <v>17.96247864</v>
      </c>
      <c r="D1323" s="4">
        <v>0</v>
      </c>
      <c r="E1323" s="12">
        <f t="shared" si="260"/>
        <v>0</v>
      </c>
      <c r="F1323" s="12">
        <f t="shared" si="261"/>
        <v>0</v>
      </c>
      <c r="G1323" s="16">
        <f t="shared" si="263"/>
        <v>11.907204749542647</v>
      </c>
      <c r="H1323" s="14">
        <f t="shared" si="264"/>
        <v>0</v>
      </c>
      <c r="I1323" s="14">
        <f t="shared" si="265"/>
        <v>8.2098971999227306</v>
      </c>
      <c r="J1323" s="14">
        <f t="shared" si="266"/>
        <v>1.5820821124216489</v>
      </c>
      <c r="K1323" s="14">
        <f t="shared" si="267"/>
        <v>4.2730420522499912</v>
      </c>
      <c r="L1323" s="14">
        <f t="shared" si="268"/>
        <v>690.98941536200709</v>
      </c>
      <c r="M1323" s="14">
        <f t="shared" si="262"/>
        <v>0.23402418405834269</v>
      </c>
      <c r="N1323" s="14">
        <f t="shared" si="269"/>
        <v>5.9887438767707835</v>
      </c>
      <c r="O1323" s="4">
        <v>5.98</v>
      </c>
      <c r="P1323" s="14">
        <f t="shared" si="272"/>
        <v>7.6455380982639112E-5</v>
      </c>
      <c r="Q1323" s="14">
        <f t="shared" si="270"/>
        <v>0.30652720883721268</v>
      </c>
    </row>
    <row r="1324" spans="1:17" x14ac:dyDescent="0.25">
      <c r="A1324" s="5" t="s">
        <v>1381</v>
      </c>
      <c r="B1324" s="6">
        <f t="shared" si="271"/>
        <v>12</v>
      </c>
      <c r="C1324" s="58">
        <v>17.580837249999998</v>
      </c>
      <c r="D1324" s="4">
        <v>6.2</v>
      </c>
      <c r="E1324" s="12">
        <f t="shared" si="260"/>
        <v>0</v>
      </c>
      <c r="F1324" s="12">
        <f t="shared" si="261"/>
        <v>6.2</v>
      </c>
      <c r="G1324" s="16">
        <f t="shared" si="263"/>
        <v>15.842911959606967</v>
      </c>
      <c r="H1324" s="14">
        <f t="shared" si="264"/>
        <v>0.95734739487313336</v>
      </c>
      <c r="I1324" s="14">
        <f t="shared" si="265"/>
        <v>7.6832561209129873</v>
      </c>
      <c r="J1324" s="14">
        <f t="shared" si="266"/>
        <v>1.3069453950625476</v>
      </c>
      <c r="K1324" s="14">
        <f t="shared" si="267"/>
        <v>4.93073154361627</v>
      </c>
      <c r="L1324" s="14">
        <f t="shared" si="268"/>
        <v>691.05504908145565</v>
      </c>
      <c r="M1324" s="14">
        <f t="shared" si="262"/>
        <v>0.25924751508359933</v>
      </c>
      <c r="N1324" s="14">
        <f t="shared" si="269"/>
        <v>6.6342159241879415</v>
      </c>
      <c r="O1324" s="4">
        <v>5.48</v>
      </c>
      <c r="P1324" s="14">
        <f t="shared" si="272"/>
        <v>1.332214399649023</v>
      </c>
      <c r="Q1324" s="14">
        <f t="shared" si="270"/>
        <v>1.110176203090081</v>
      </c>
    </row>
    <row r="1325" spans="1:17" x14ac:dyDescent="0.25">
      <c r="A1325" s="5" t="s">
        <v>1382</v>
      </c>
      <c r="B1325" s="6">
        <f t="shared" si="271"/>
        <v>12</v>
      </c>
      <c r="C1325" s="58">
        <v>17.02877617</v>
      </c>
      <c r="D1325" s="4">
        <v>3.8</v>
      </c>
      <c r="E1325" s="12">
        <f t="shared" si="260"/>
        <v>0</v>
      </c>
      <c r="F1325" s="12">
        <f t="shared" si="261"/>
        <v>3.8</v>
      </c>
      <c r="G1325" s="16">
        <f t="shared" si="263"/>
        <v>17.393445591138597</v>
      </c>
      <c r="H1325" s="14">
        <f t="shared" si="264"/>
        <v>0.68295268651290819</v>
      </c>
      <c r="I1325" s="14">
        <f t="shared" si="265"/>
        <v>6.9214466042605061</v>
      </c>
      <c r="J1325" s="14">
        <f t="shared" si="266"/>
        <v>1.5665136819554586</v>
      </c>
      <c r="K1325" s="14">
        <f t="shared" si="267"/>
        <v>5.256169846739061</v>
      </c>
      <c r="L1325" s="14">
        <f t="shared" si="268"/>
        <v>691.15331594976215</v>
      </c>
      <c r="M1325" s="14">
        <f t="shared" si="262"/>
        <v>0.27174248481116248</v>
      </c>
      <c r="N1325" s="14">
        <f t="shared" si="269"/>
        <v>6.9539656703412067</v>
      </c>
      <c r="O1325" s="4">
        <v>5.49</v>
      </c>
      <c r="P1325" s="14">
        <f t="shared" si="272"/>
        <v>2.143195483937578</v>
      </c>
      <c r="Q1325" s="14">
        <f t="shared" si="270"/>
        <v>1.0892032232050242</v>
      </c>
    </row>
    <row r="1326" spans="1:17" x14ac:dyDescent="0.25">
      <c r="A1326" s="5" t="s">
        <v>1383</v>
      </c>
      <c r="B1326" s="6">
        <f t="shared" si="271"/>
        <v>12</v>
      </c>
      <c r="C1326" s="58">
        <v>15.91875267</v>
      </c>
      <c r="D1326" s="4">
        <v>5.9</v>
      </c>
      <c r="E1326" s="12">
        <f t="shared" si="260"/>
        <v>0</v>
      </c>
      <c r="F1326" s="12">
        <f t="shared" si="261"/>
        <v>5.9</v>
      </c>
      <c r="G1326" s="16">
        <f t="shared" si="263"/>
        <v>20.839894991082168</v>
      </c>
      <c r="H1326" s="14">
        <f t="shared" si="264"/>
        <v>1.1143327038124238</v>
      </c>
      <c r="I1326" s="14">
        <f t="shared" si="265"/>
        <v>5.3896840934747434</v>
      </c>
      <c r="J1326" s="14">
        <f t="shared" si="266"/>
        <v>1.3392178962440076</v>
      </c>
      <c r="K1326" s="14">
        <f t="shared" si="267"/>
        <v>5.9843595895650425</v>
      </c>
      <c r="L1326" s="14">
        <f t="shared" si="268"/>
        <v>691.26771642593735</v>
      </c>
      <c r="M1326" s="14">
        <f t="shared" si="262"/>
        <v>0.29967844732170412</v>
      </c>
      <c r="N1326" s="14">
        <f t="shared" si="269"/>
        <v>7.6688547109755527</v>
      </c>
      <c r="O1326" s="4">
        <v>5.92</v>
      </c>
      <c r="P1326" s="14">
        <f t="shared" si="272"/>
        <v>3.0584928001013845</v>
      </c>
      <c r="Q1326" s="14">
        <f t="shared" si="270"/>
        <v>0.37656508814755751</v>
      </c>
    </row>
    <row r="1327" spans="1:17" x14ac:dyDescent="0.25">
      <c r="A1327" s="5" t="s">
        <v>1384</v>
      </c>
      <c r="B1327" s="6">
        <f t="shared" si="271"/>
        <v>12</v>
      </c>
      <c r="C1327" s="58">
        <v>15.67702866</v>
      </c>
      <c r="D1327" s="4">
        <v>3.6</v>
      </c>
      <c r="E1327" s="12">
        <f t="shared" si="260"/>
        <v>0</v>
      </c>
      <c r="F1327" s="12">
        <f t="shared" si="261"/>
        <v>3.6</v>
      </c>
      <c r="G1327" s="16">
        <f t="shared" si="263"/>
        <v>22.186108784689843</v>
      </c>
      <c r="H1327" s="14">
        <f t="shared" si="264"/>
        <v>0.7485133660901826</v>
      </c>
      <c r="I1327" s="14">
        <f t="shared" si="265"/>
        <v>5.056120185616213</v>
      </c>
      <c r="J1327" s="14">
        <f t="shared" si="266"/>
        <v>1.5052728403021458</v>
      </c>
      <c r="K1327" s="14">
        <f t="shared" si="267"/>
        <v>6.282671657474606</v>
      </c>
      <c r="L1327" s="14">
        <f t="shared" si="268"/>
        <v>691.41823927679627</v>
      </c>
      <c r="M1327" s="14">
        <f t="shared" si="262"/>
        <v>0.31114473825871436</v>
      </c>
      <c r="N1327" s="14">
        <f t="shared" si="269"/>
        <v>7.9622802811344622</v>
      </c>
      <c r="O1327" s="4">
        <v>6.3</v>
      </c>
      <c r="P1327" s="14">
        <f t="shared" si="272"/>
        <v>2.7631757330484672</v>
      </c>
      <c r="Q1327" s="14">
        <f t="shared" si="270"/>
        <v>5.4591852515377209E-2</v>
      </c>
    </row>
    <row r="1328" spans="1:17" x14ac:dyDescent="0.25">
      <c r="A1328" s="5" t="s">
        <v>1385</v>
      </c>
      <c r="B1328" s="6">
        <f t="shared" si="271"/>
        <v>12</v>
      </c>
      <c r="C1328" s="58">
        <v>15.484532359999999</v>
      </c>
      <c r="D1328" s="4">
        <v>5</v>
      </c>
      <c r="E1328" s="12">
        <f t="shared" si="260"/>
        <v>0</v>
      </c>
      <c r="F1328" s="12">
        <f t="shared" si="261"/>
        <v>5</v>
      </c>
      <c r="G1328" s="16">
        <f t="shared" si="263"/>
        <v>24.593012364035879</v>
      </c>
      <c r="H1328" s="14">
        <f t="shared" si="264"/>
        <v>1.0747769808260279</v>
      </c>
      <c r="I1328" s="14">
        <f t="shared" si="265"/>
        <v>4.7904874167559424</v>
      </c>
      <c r="J1328" s="14">
        <f t="shared" si="266"/>
        <v>1.5183194398279369</v>
      </c>
      <c r="K1328" s="14">
        <f t="shared" si="267"/>
        <v>6.8810050382701089</v>
      </c>
      <c r="L1328" s="14">
        <f t="shared" si="268"/>
        <v>691.58353813856809</v>
      </c>
      <c r="M1328" s="14">
        <f t="shared" si="262"/>
        <v>0.33411406035173608</v>
      </c>
      <c r="N1328" s="14">
        <f t="shared" si="269"/>
        <v>8.5500716138621353</v>
      </c>
      <c r="O1328" s="4">
        <v>6.24</v>
      </c>
      <c r="P1328" s="14">
        <f t="shared" si="272"/>
        <v>5.3364308611716096</v>
      </c>
      <c r="Q1328" s="14">
        <f t="shared" si="270"/>
        <v>8.6229731825721259E-2</v>
      </c>
    </row>
    <row r="1329" spans="1:17" x14ac:dyDescent="0.25">
      <c r="A1329" s="5" t="s">
        <v>1386</v>
      </c>
      <c r="B1329" s="6">
        <f t="shared" si="271"/>
        <v>12</v>
      </c>
      <c r="C1329" s="58">
        <v>16.761903759999999</v>
      </c>
      <c r="D1329" s="4">
        <v>11.4</v>
      </c>
      <c r="E1329" s="12">
        <f t="shared" si="260"/>
        <v>0</v>
      </c>
      <c r="F1329" s="12">
        <f t="shared" si="261"/>
        <v>11.4</v>
      </c>
      <c r="G1329" s="16">
        <f t="shared" si="263"/>
        <v>31.102292292292383</v>
      </c>
      <c r="H1329" s="14">
        <f t="shared" si="264"/>
        <v>2.5883978670251055</v>
      </c>
      <c r="I1329" s="14">
        <f t="shared" si="265"/>
        <v>6.5531794884732735</v>
      </c>
      <c r="J1329" s="14">
        <f t="shared" si="266"/>
        <v>2.3023222047183851</v>
      </c>
      <c r="K1329" s="14">
        <f t="shared" si="267"/>
        <v>8.9403243404919319</v>
      </c>
      <c r="L1329" s="14">
        <f t="shared" si="268"/>
        <v>691.77850264301969</v>
      </c>
      <c r="M1329" s="14">
        <f t="shared" si="262"/>
        <v>0.41308966071554676</v>
      </c>
      <c r="N1329" s="14">
        <f t="shared" si="269"/>
        <v>10.571079164838817</v>
      </c>
      <c r="O1329" s="4">
        <v>9.5</v>
      </c>
      <c r="P1329" s="14">
        <f t="shared" si="272"/>
        <v>1.1472105773518184</v>
      </c>
      <c r="Q1329" s="14">
        <f t="shared" si="270"/>
        <v>8.7992382892970173</v>
      </c>
    </row>
    <row r="1330" spans="1:17" x14ac:dyDescent="0.25">
      <c r="A1330" s="5" t="s">
        <v>1387</v>
      </c>
      <c r="B1330" s="6">
        <f t="shared" si="271"/>
        <v>12</v>
      </c>
      <c r="C1330" s="58">
        <v>17.067939760000002</v>
      </c>
      <c r="D1330" s="4">
        <v>3.2</v>
      </c>
      <c r="E1330" s="12">
        <f t="shared" si="260"/>
        <v>0</v>
      </c>
      <c r="F1330" s="12">
        <f t="shared" si="261"/>
        <v>3.2</v>
      </c>
      <c r="G1330" s="16">
        <f t="shared" si="263"/>
        <v>30.379785818943006</v>
      </c>
      <c r="H1330" s="14">
        <f t="shared" si="264"/>
        <v>0.82316503490955617</v>
      </c>
      <c r="I1330" s="14">
        <f t="shared" si="265"/>
        <v>6.9754898915871131</v>
      </c>
      <c r="J1330" s="14">
        <f t="shared" si="266"/>
        <v>3.0993414384398217</v>
      </c>
      <c r="K1330" s="14">
        <f t="shared" si="267"/>
        <v>9.0532539465365645</v>
      </c>
      <c r="L1330" s="14">
        <f t="shared" si="268"/>
        <v>692.07564841116914</v>
      </c>
      <c r="M1330" s="14">
        <f t="shared" si="262"/>
        <v>0.41748127233087307</v>
      </c>
      <c r="N1330" s="14">
        <f t="shared" si="269"/>
        <v>10.683461725967133</v>
      </c>
      <c r="O1330" s="4">
        <v>14.19</v>
      </c>
      <c r="P1330" s="14">
        <f t="shared" si="272"/>
        <v>12.295810667257395</v>
      </c>
      <c r="Q1330" s="14">
        <f t="shared" si="270"/>
        <v>58.619710723205102</v>
      </c>
    </row>
    <row r="1331" spans="1:17" x14ac:dyDescent="0.25">
      <c r="A1331" s="5" t="s">
        <v>1388</v>
      </c>
      <c r="B1331" s="6">
        <f t="shared" si="271"/>
        <v>12</v>
      </c>
      <c r="C1331" s="58">
        <v>16.96824646</v>
      </c>
      <c r="D1331" s="4">
        <v>16.8</v>
      </c>
      <c r="E1331" s="12">
        <f t="shared" si="260"/>
        <v>0</v>
      </c>
      <c r="F1331" s="12">
        <f t="shared" si="261"/>
        <v>16.8</v>
      </c>
      <c r="G1331" s="16">
        <f t="shared" si="263"/>
        <v>39.944190397778712</v>
      </c>
      <c r="H1331" s="14">
        <f t="shared" si="264"/>
        <v>4.2679569197874843</v>
      </c>
      <c r="I1331" s="14">
        <f t="shared" si="265"/>
        <v>6.8379194171633539</v>
      </c>
      <c r="J1331" s="14">
        <f t="shared" si="266"/>
        <v>2.9676385013768054</v>
      </c>
      <c r="K1331" s="14">
        <f t="shared" si="267"/>
        <v>12.601041099802652</v>
      </c>
      <c r="L1331" s="14">
        <f t="shared" si="268"/>
        <v>692.37833690535956</v>
      </c>
      <c r="M1331" s="14">
        <f t="shared" si="262"/>
        <v>0.55353308764471876</v>
      </c>
      <c r="N1331" s="14">
        <f t="shared" si="269"/>
        <v>14.165065472019366</v>
      </c>
      <c r="O1331" s="4">
        <v>15.89</v>
      </c>
      <c r="P1331" s="14">
        <f t="shared" si="272"/>
        <v>2.9753991258197745</v>
      </c>
      <c r="Q1331" s="14">
        <f t="shared" si="270"/>
        <v>87.541304142745375</v>
      </c>
    </row>
    <row r="1332" spans="1:17" x14ac:dyDescent="0.25">
      <c r="A1332" s="5" t="s">
        <v>1389</v>
      </c>
      <c r="B1332" s="6">
        <f t="shared" si="271"/>
        <v>12</v>
      </c>
      <c r="C1332" s="58">
        <v>17.272968290000001</v>
      </c>
      <c r="D1332" s="4">
        <v>9.5</v>
      </c>
      <c r="E1332" s="12">
        <f t="shared" si="260"/>
        <v>0</v>
      </c>
      <c r="F1332" s="12">
        <f t="shared" si="261"/>
        <v>9.5</v>
      </c>
      <c r="G1332" s="16">
        <f t="shared" si="263"/>
        <v>42.510904583439832</v>
      </c>
      <c r="H1332" s="14">
        <f t="shared" si="264"/>
        <v>2.79140297515417</v>
      </c>
      <c r="I1332" s="14">
        <f t="shared" si="265"/>
        <v>7.2584163484553805</v>
      </c>
      <c r="J1332" s="14">
        <f t="shared" si="266"/>
        <v>4.1418828391847118</v>
      </c>
      <c r="K1332" s="14">
        <f t="shared" si="267"/>
        <v>14.360177979153013</v>
      </c>
      <c r="L1332" s="14">
        <f t="shared" si="268"/>
        <v>692.85706991351867</v>
      </c>
      <c r="M1332" s="14">
        <f t="shared" si="262"/>
        <v>0.62106276691367213</v>
      </c>
      <c r="N1332" s="14">
        <f t="shared" si="269"/>
        <v>15.893168722756123</v>
      </c>
      <c r="O1332" s="4">
        <v>16.12</v>
      </c>
      <c r="P1332" s="14">
        <f t="shared" si="272"/>
        <v>5.1452428336089186E-2</v>
      </c>
      <c r="Q1332" s="14">
        <f t="shared" si="270"/>
        <v>91.898125605389069</v>
      </c>
    </row>
    <row r="1333" spans="1:17" x14ac:dyDescent="0.25">
      <c r="A1333" s="5" t="s">
        <v>1390</v>
      </c>
      <c r="B1333" s="6">
        <f t="shared" si="271"/>
        <v>1</v>
      </c>
      <c r="C1333" s="58">
        <v>15.148000720000001</v>
      </c>
      <c r="D1333" s="4">
        <v>5.5</v>
      </c>
      <c r="E1333" s="12">
        <f t="shared" si="260"/>
        <v>0</v>
      </c>
      <c r="F1333" s="12">
        <f t="shared" si="261"/>
        <v>5.5</v>
      </c>
      <c r="G1333" s="16">
        <f t="shared" si="263"/>
        <v>42.169614773372842</v>
      </c>
      <c r="H1333" s="14">
        <f t="shared" si="264"/>
        <v>1.6704715513285529</v>
      </c>
      <c r="I1333" s="14">
        <f t="shared" si="265"/>
        <v>6.8678153335714249</v>
      </c>
      <c r="J1333" s="14">
        <f t="shared" si="266"/>
        <v>4.1708182587384339</v>
      </c>
      <c r="K1333" s="14">
        <f t="shared" si="267"/>
        <v>14.843633406270573</v>
      </c>
      <c r="L1333" s="14">
        <f t="shared" si="268"/>
        <v>693.42302327081609</v>
      </c>
      <c r="M1333" s="14">
        <f t="shared" si="262"/>
        <v>0.63971371635818119</v>
      </c>
      <c r="N1333" s="14">
        <f t="shared" si="269"/>
        <v>16.3704516998604</v>
      </c>
      <c r="O1333" s="4">
        <v>18.89</v>
      </c>
      <c r="P1333" s="14">
        <f t="shared" si="272"/>
        <v>6.3481236367363509</v>
      </c>
      <c r="Q1333" s="14">
        <f t="shared" si="270"/>
        <v>152.67941017722816</v>
      </c>
    </row>
    <row r="1334" spans="1:17" x14ac:dyDescent="0.25">
      <c r="A1334" s="5" t="s">
        <v>1391</v>
      </c>
      <c r="B1334" s="6">
        <f t="shared" si="271"/>
        <v>1</v>
      </c>
      <c r="C1334" s="58">
        <v>16.928283690000001</v>
      </c>
      <c r="D1334" s="4">
        <v>1.5</v>
      </c>
      <c r="E1334" s="12">
        <f t="shared" si="260"/>
        <v>0</v>
      </c>
      <c r="F1334" s="12">
        <f t="shared" si="261"/>
        <v>1.5</v>
      </c>
      <c r="G1334" s="16">
        <f t="shared" si="263"/>
        <v>36.943403420870695</v>
      </c>
      <c r="H1334" s="14">
        <f t="shared" si="264"/>
        <v>0.45363520271855762</v>
      </c>
      <c r="I1334" s="14">
        <f t="shared" si="265"/>
        <v>10.412235878038057</v>
      </c>
      <c r="J1334" s="14">
        <f t="shared" si="266"/>
        <v>6.2725761497835855</v>
      </c>
      <c r="K1334" s="14">
        <f t="shared" si="267"/>
        <v>14.0677232524266</v>
      </c>
      <c r="L1334" s="14">
        <f t="shared" si="268"/>
        <v>694.01285491102044</v>
      </c>
      <c r="M1334" s="14">
        <f t="shared" si="262"/>
        <v>0.61009790053628699</v>
      </c>
      <c r="N1334" s="14">
        <f t="shared" si="269"/>
        <v>15.61257474636262</v>
      </c>
      <c r="O1334" s="4">
        <v>17.95</v>
      </c>
      <c r="P1334" s="14">
        <f t="shared" si="272"/>
        <v>5.4635568163417663</v>
      </c>
      <c r="Q1334" s="14">
        <f t="shared" si="270"/>
        <v>130.33307028642355</v>
      </c>
    </row>
    <row r="1335" spans="1:17" x14ac:dyDescent="0.25">
      <c r="A1335" s="5" t="s">
        <v>1392</v>
      </c>
      <c r="B1335" s="6">
        <f t="shared" si="271"/>
        <v>1</v>
      </c>
      <c r="C1335" s="58">
        <v>16.67848206</v>
      </c>
      <c r="D1335" s="4">
        <v>7</v>
      </c>
      <c r="E1335" s="12">
        <f t="shared" si="260"/>
        <v>0</v>
      </c>
      <c r="F1335" s="12">
        <f t="shared" si="261"/>
        <v>7</v>
      </c>
      <c r="G1335" s="16">
        <f t="shared" si="263"/>
        <v>36.737499870327731</v>
      </c>
      <c r="H1335" s="14">
        <f t="shared" si="264"/>
        <v>1.9731839064595755</v>
      </c>
      <c r="I1335" s="14">
        <f t="shared" si="265"/>
        <v>9.9148980703224385</v>
      </c>
      <c r="J1335" s="14">
        <f t="shared" si="266"/>
        <v>5.2327196440833896</v>
      </c>
      <c r="K1335" s="14">
        <f t="shared" si="267"/>
        <v>14.879618070359546</v>
      </c>
      <c r="L1335" s="14">
        <f t="shared" si="268"/>
        <v>694.56404609901085</v>
      </c>
      <c r="M1335" s="14">
        <f t="shared" si="262"/>
        <v>0.6413348923303932</v>
      </c>
      <c r="N1335" s="14">
        <f t="shared" si="269"/>
        <v>16.411938043315963</v>
      </c>
      <c r="O1335" s="4">
        <v>15.95</v>
      </c>
      <c r="P1335" s="14">
        <f t="shared" si="272"/>
        <v>0.21338675586258155</v>
      </c>
      <c r="Q1335" s="14">
        <f t="shared" si="270"/>
        <v>88.667666263435009</v>
      </c>
    </row>
    <row r="1336" spans="1:17" x14ac:dyDescent="0.25">
      <c r="A1336" s="5" t="s">
        <v>1393</v>
      </c>
      <c r="B1336" s="6">
        <f t="shared" si="271"/>
        <v>1</v>
      </c>
      <c r="C1336" s="58">
        <v>15.678052900000001</v>
      </c>
      <c r="D1336" s="4">
        <v>3</v>
      </c>
      <c r="E1336" s="12">
        <f t="shared" si="260"/>
        <v>0</v>
      </c>
      <c r="F1336" s="12">
        <f t="shared" si="261"/>
        <v>3</v>
      </c>
      <c r="G1336" s="16">
        <f t="shared" si="263"/>
        <v>34.736135709940953</v>
      </c>
      <c r="H1336" s="14">
        <f t="shared" si="264"/>
        <v>0.8431415186594251</v>
      </c>
      <c r="I1336" s="14">
        <f t="shared" si="265"/>
        <v>7.9231126475884919</v>
      </c>
      <c r="J1336" s="14">
        <f t="shared" si="266"/>
        <v>4.1582226417273578</v>
      </c>
      <c r="K1336" s="14">
        <f t="shared" si="267"/>
        <v>14.490048686980501</v>
      </c>
      <c r="L1336" s="14">
        <f t="shared" si="268"/>
        <v>695.15542210871888</v>
      </c>
      <c r="M1336" s="14">
        <f t="shared" si="262"/>
        <v>0.62652795122748473</v>
      </c>
      <c r="N1336" s="14">
        <f t="shared" si="269"/>
        <v>16.033024307453342</v>
      </c>
      <c r="O1336" s="4">
        <v>14.06</v>
      </c>
      <c r="P1336" s="14">
        <f t="shared" si="272"/>
        <v>3.8928249178017382</v>
      </c>
      <c r="Q1336" s="14">
        <f t="shared" si="270"/>
        <v>56.645959461710859</v>
      </c>
    </row>
    <row r="1337" spans="1:17" x14ac:dyDescent="0.25">
      <c r="A1337" s="5" t="s">
        <v>1394</v>
      </c>
      <c r="B1337" s="6">
        <f t="shared" si="271"/>
        <v>1</v>
      </c>
      <c r="C1337" s="58">
        <v>16.82557869</v>
      </c>
      <c r="D1337" s="4">
        <v>0</v>
      </c>
      <c r="E1337" s="12">
        <f t="shared" si="260"/>
        <v>0</v>
      </c>
      <c r="F1337" s="12">
        <f t="shared" si="261"/>
        <v>0</v>
      </c>
      <c r="G1337" s="16">
        <f t="shared" si="263"/>
        <v>29.6707310019274</v>
      </c>
      <c r="H1337" s="14">
        <f t="shared" si="264"/>
        <v>0</v>
      </c>
      <c r="I1337" s="14">
        <f t="shared" si="265"/>
        <v>10.207757310218334</v>
      </c>
      <c r="J1337" s="14">
        <f t="shared" si="266"/>
        <v>5.0654047080135509</v>
      </c>
      <c r="K1337" s="14">
        <f t="shared" si="267"/>
        <v>13.291607928358461</v>
      </c>
      <c r="L1337" s="14">
        <f t="shared" si="268"/>
        <v>695.72733491611348</v>
      </c>
      <c r="M1337" s="14">
        <f t="shared" si="262"/>
        <v>0.58071262338648655</v>
      </c>
      <c r="N1337" s="14">
        <f t="shared" si="269"/>
        <v>14.860597341522242</v>
      </c>
      <c r="O1337" s="4">
        <v>13.21</v>
      </c>
      <c r="P1337" s="14">
        <f t="shared" si="272"/>
        <v>2.7244715838402898</v>
      </c>
      <c r="Q1337" s="14">
        <f t="shared" si="270"/>
        <v>44.573662751940745</v>
      </c>
    </row>
    <row r="1338" spans="1:17" x14ac:dyDescent="0.25">
      <c r="A1338" s="5" t="s">
        <v>1395</v>
      </c>
      <c r="B1338" s="6">
        <f t="shared" si="271"/>
        <v>1</v>
      </c>
      <c r="C1338" s="58">
        <v>17.29368401</v>
      </c>
      <c r="D1338" s="4">
        <v>0.7</v>
      </c>
      <c r="E1338" s="12">
        <f t="shared" si="260"/>
        <v>0</v>
      </c>
      <c r="F1338" s="12">
        <f t="shared" si="261"/>
        <v>0.7</v>
      </c>
      <c r="G1338" s="16">
        <f t="shared" si="263"/>
        <v>25.473346819244828</v>
      </c>
      <c r="H1338" s="14">
        <f t="shared" si="264"/>
        <v>0.17561300267508023</v>
      </c>
      <c r="I1338" s="14">
        <f t="shared" si="265"/>
        <v>11.139722700631593</v>
      </c>
      <c r="J1338" s="14">
        <f t="shared" si="266"/>
        <v>4.7217711800074911</v>
      </c>
      <c r="K1338" s="14">
        <f t="shared" si="267"/>
        <v>12.374206159222476</v>
      </c>
      <c r="L1338" s="14">
        <f t="shared" si="268"/>
        <v>696.23963706453799</v>
      </c>
      <c r="M1338" s="14">
        <f t="shared" si="262"/>
        <v>0.54565696057401913</v>
      </c>
      <c r="N1338" s="14">
        <f t="shared" si="269"/>
        <v>13.963513192467088</v>
      </c>
      <c r="O1338" s="4">
        <v>12.23</v>
      </c>
      <c r="P1338" s="14">
        <f t="shared" si="272"/>
        <v>3.0050679884574349</v>
      </c>
      <c r="Q1338" s="14">
        <f t="shared" si="270"/>
        <v>32.448414780676359</v>
      </c>
    </row>
    <row r="1339" spans="1:17" x14ac:dyDescent="0.25">
      <c r="A1339" s="5" t="s">
        <v>1396</v>
      </c>
      <c r="B1339" s="6">
        <f t="shared" si="271"/>
        <v>1</v>
      </c>
      <c r="C1339" s="58">
        <v>18.0167942</v>
      </c>
      <c r="D1339" s="4">
        <v>0.1</v>
      </c>
      <c r="E1339" s="12">
        <f t="shared" si="260"/>
        <v>0</v>
      </c>
      <c r="F1339" s="12">
        <f t="shared" si="261"/>
        <v>0.1</v>
      </c>
      <c r="G1339" s="16">
        <f t="shared" si="263"/>
        <v>20.972508796257859</v>
      </c>
      <c r="H1339" s="14">
        <f t="shared" si="264"/>
        <v>2.3133730102668691E-2</v>
      </c>
      <c r="I1339" s="14">
        <f t="shared" si="265"/>
        <v>12.579385190549793</v>
      </c>
      <c r="J1339" s="14">
        <f t="shared" si="266"/>
        <v>4.5777042928843015</v>
      </c>
      <c r="K1339" s="14">
        <f t="shared" si="267"/>
        <v>11.385028302980253</v>
      </c>
      <c r="L1339" s="14">
        <f t="shared" si="268"/>
        <v>696.70629169030883</v>
      </c>
      <c r="M1339" s="14">
        <f t="shared" si="262"/>
        <v>0.50784042436224675</v>
      </c>
      <c r="N1339" s="14">
        <f t="shared" si="269"/>
        <v>12.995777526214439</v>
      </c>
      <c r="O1339" s="4">
        <v>10.02</v>
      </c>
      <c r="P1339" s="14">
        <f t="shared" si="272"/>
        <v>8.8552518855229323</v>
      </c>
      <c r="Q1339" s="14">
        <f t="shared" si="270"/>
        <v>12.154643335274031</v>
      </c>
    </row>
    <row r="1340" spans="1:17" x14ac:dyDescent="0.25">
      <c r="A1340" s="5" t="s">
        <v>1397</v>
      </c>
      <c r="B1340" s="6">
        <f t="shared" si="271"/>
        <v>1</v>
      </c>
      <c r="C1340" s="58">
        <v>17.71366119</v>
      </c>
      <c r="D1340" s="4">
        <v>4.4000000000000004</v>
      </c>
      <c r="E1340" s="12">
        <f t="shared" si="260"/>
        <v>0</v>
      </c>
      <c r="F1340" s="12">
        <f t="shared" si="261"/>
        <v>4.4000000000000004</v>
      </c>
      <c r="G1340" s="16">
        <f t="shared" si="263"/>
        <v>20.866508998992906</v>
      </c>
      <c r="H1340" s="14">
        <f t="shared" si="264"/>
        <v>0.91793971461491108</v>
      </c>
      <c r="I1340" s="14">
        <f t="shared" si="265"/>
        <v>11.975868285397345</v>
      </c>
      <c r="J1340" s="14">
        <f t="shared" si="266"/>
        <v>3.5880600826500437</v>
      </c>
      <c r="K1340" s="14">
        <f t="shared" si="267"/>
        <v>11.377673708387778</v>
      </c>
      <c r="L1340" s="14">
        <f t="shared" si="268"/>
        <v>697.12374557515398</v>
      </c>
      <c r="M1340" s="14">
        <f t="shared" si="262"/>
        <v>0.50764701259419498</v>
      </c>
      <c r="N1340" s="14">
        <f t="shared" si="269"/>
        <v>12.990828065344505</v>
      </c>
      <c r="O1340" s="4">
        <v>9.32</v>
      </c>
      <c r="P1340" s="14">
        <f t="shared" si="272"/>
        <v>13.474978685320883</v>
      </c>
      <c r="Q1340" s="14">
        <f t="shared" si="270"/>
        <v>7.7637519272280509</v>
      </c>
    </row>
    <row r="1341" spans="1:17" x14ac:dyDescent="0.25">
      <c r="A1341" s="5" t="s">
        <v>1398</v>
      </c>
      <c r="B1341" s="6">
        <f t="shared" si="271"/>
        <v>1</v>
      </c>
      <c r="C1341" s="58">
        <v>16.577539439999999</v>
      </c>
      <c r="D1341" s="4">
        <v>2.7</v>
      </c>
      <c r="E1341" s="12">
        <f t="shared" si="260"/>
        <v>0</v>
      </c>
      <c r="F1341" s="12">
        <f t="shared" si="261"/>
        <v>2.7</v>
      </c>
      <c r="G1341" s="16">
        <f t="shared" si="263"/>
        <v>20.10908676255664</v>
      </c>
      <c r="H1341" s="14">
        <f t="shared" si="264"/>
        <v>0.56176601435284823</v>
      </c>
      <c r="I1341" s="14">
        <f t="shared" si="265"/>
        <v>9.7139282794693056</v>
      </c>
      <c r="J1341" s="14">
        <f t="shared" si="266"/>
        <v>2.8956562220834172</v>
      </c>
      <c r="K1341" s="14">
        <f t="shared" si="267"/>
        <v>11.014792392023356</v>
      </c>
      <c r="L1341" s="14">
        <f t="shared" si="268"/>
        <v>697.54074589327706</v>
      </c>
      <c r="M1341" s="14">
        <f t="shared" si="262"/>
        <v>0.49382606824533209</v>
      </c>
      <c r="N1341" s="14">
        <f t="shared" si="269"/>
        <v>12.637146260305892</v>
      </c>
      <c r="O1341" s="4">
        <v>10.38</v>
      </c>
      <c r="P1341" s="14">
        <f t="shared" si="272"/>
        <v>5.09470924041287</v>
      </c>
      <c r="Q1341" s="14">
        <f t="shared" si="270"/>
        <v>14.794416059411974</v>
      </c>
    </row>
    <row r="1342" spans="1:17" x14ac:dyDescent="0.25">
      <c r="A1342" s="5" t="s">
        <v>1399</v>
      </c>
      <c r="B1342" s="6">
        <f t="shared" si="271"/>
        <v>1</v>
      </c>
      <c r="C1342" s="58">
        <v>17.362009050000001</v>
      </c>
      <c r="D1342" s="4">
        <v>7.5</v>
      </c>
      <c r="E1342" s="12">
        <f t="shared" si="260"/>
        <v>0</v>
      </c>
      <c r="F1342" s="12">
        <f t="shared" si="261"/>
        <v>7.5</v>
      </c>
      <c r="G1342" s="16">
        <f t="shared" si="263"/>
        <v>22.839777802901466</v>
      </c>
      <c r="H1342" s="14">
        <f t="shared" si="264"/>
        <v>1.5300906550414062</v>
      </c>
      <c r="I1342" s="14">
        <f t="shared" si="265"/>
        <v>11.27575314048774</v>
      </c>
      <c r="J1342" s="14">
        <f t="shared" si="266"/>
        <v>3.2392183046137668</v>
      </c>
      <c r="K1342" s="14">
        <f t="shared" si="267"/>
        <v>11.652158129364363</v>
      </c>
      <c r="L1342" s="14">
        <f t="shared" si="268"/>
        <v>697.93964474273207</v>
      </c>
      <c r="M1342" s="14">
        <f t="shared" si="262"/>
        <v>0.51834102974823026</v>
      </c>
      <c r="N1342" s="14">
        <f t="shared" si="269"/>
        <v>13.264490934876585</v>
      </c>
      <c r="O1342" s="4">
        <v>9.42</v>
      </c>
      <c r="P1342" s="14">
        <f t="shared" si="272"/>
        <v>14.780110548348242</v>
      </c>
      <c r="Q1342" s="14">
        <f t="shared" si="270"/>
        <v>8.3310221283774748</v>
      </c>
    </row>
    <row r="1343" spans="1:17" x14ac:dyDescent="0.25">
      <c r="A1343" s="5" t="s">
        <v>1400</v>
      </c>
      <c r="B1343" s="6">
        <f t="shared" si="271"/>
        <v>1</v>
      </c>
      <c r="C1343" s="58">
        <v>17.318073269999999</v>
      </c>
      <c r="D1343" s="4">
        <v>3.9</v>
      </c>
      <c r="E1343" s="12">
        <f t="shared" si="260"/>
        <v>0</v>
      </c>
      <c r="F1343" s="12">
        <f t="shared" si="261"/>
        <v>3.9</v>
      </c>
      <c r="G1343" s="16">
        <f t="shared" si="263"/>
        <v>22.237867924982261</v>
      </c>
      <c r="H1343" s="14">
        <f t="shared" si="264"/>
        <v>0.85136650164152095</v>
      </c>
      <c r="I1343" s="14">
        <f t="shared" si="265"/>
        <v>11.18828003430554</v>
      </c>
      <c r="J1343" s="14">
        <f t="shared" si="266"/>
        <v>3.6505433762776813</v>
      </c>
      <c r="K1343" s="14">
        <f t="shared" si="267"/>
        <v>11.554731099704643</v>
      </c>
      <c r="L1343" s="14">
        <f t="shared" si="268"/>
        <v>698.37009724428503</v>
      </c>
      <c r="M1343" s="14">
        <f t="shared" si="262"/>
        <v>0.51469787236758602</v>
      </c>
      <c r="N1343" s="14">
        <f t="shared" si="269"/>
        <v>13.171261525517739</v>
      </c>
      <c r="O1343" s="4">
        <v>9.5299999999999994</v>
      </c>
      <c r="P1343" s="14">
        <f t="shared" si="272"/>
        <v>13.258785497215776</v>
      </c>
      <c r="Q1343" s="14">
        <f t="shared" si="270"/>
        <v>8.9781193496418403</v>
      </c>
    </row>
    <row r="1344" spans="1:17" x14ac:dyDescent="0.25">
      <c r="A1344" s="5" t="s">
        <v>1401</v>
      </c>
      <c r="B1344" s="6">
        <f t="shared" si="271"/>
        <v>1</v>
      </c>
      <c r="C1344" s="58">
        <v>16.01102066</v>
      </c>
      <c r="D1344" s="4">
        <v>5.8</v>
      </c>
      <c r="E1344" s="12">
        <f t="shared" si="260"/>
        <v>0</v>
      </c>
      <c r="F1344" s="12">
        <f t="shared" si="261"/>
        <v>5.8</v>
      </c>
      <c r="G1344" s="16">
        <f t="shared" si="263"/>
        <v>24.061936733742542</v>
      </c>
      <c r="H1344" s="14">
        <f t="shared" si="264"/>
        <v>1.2482865975940334</v>
      </c>
      <c r="I1344" s="14">
        <f t="shared" si="265"/>
        <v>8.5860284812376975</v>
      </c>
      <c r="J1344" s="14">
        <f t="shared" si="266"/>
        <v>2.7276445936456857</v>
      </c>
      <c r="K1344" s="14">
        <f t="shared" si="267"/>
        <v>11.862794752962239</v>
      </c>
      <c r="L1344" s="14">
        <f t="shared" si="268"/>
        <v>698.79562231625391</v>
      </c>
      <c r="M1344" s="14">
        <f t="shared" si="262"/>
        <v>0.52659623919348642</v>
      </c>
      <c r="N1344" s="14">
        <f t="shared" si="269"/>
        <v>13.475744037694426</v>
      </c>
      <c r="O1344" s="4">
        <v>12.01</v>
      </c>
      <c r="P1344" s="14">
        <f t="shared" si="272"/>
        <v>2.1484055840367593</v>
      </c>
      <c r="Q1344" s="14">
        <f t="shared" si="270"/>
        <v>29.990420338147612</v>
      </c>
    </row>
    <row r="1345" spans="1:17" x14ac:dyDescent="0.25">
      <c r="A1345" s="5" t="s">
        <v>1402</v>
      </c>
      <c r="B1345" s="6">
        <f t="shared" si="271"/>
        <v>1</v>
      </c>
      <c r="C1345" s="58">
        <v>16.503524779999999</v>
      </c>
      <c r="D1345" s="4">
        <v>2.1</v>
      </c>
      <c r="E1345" s="12">
        <f t="shared" si="260"/>
        <v>0</v>
      </c>
      <c r="F1345" s="12">
        <f t="shared" si="261"/>
        <v>2.1</v>
      </c>
      <c r="G1345" s="16">
        <f t="shared" si="263"/>
        <v>22.402193803787355</v>
      </c>
      <c r="H1345" s="14">
        <f t="shared" si="264"/>
        <v>0.47130874749219359</v>
      </c>
      <c r="I1345" s="14">
        <f t="shared" si="265"/>
        <v>9.5665701988065948</v>
      </c>
      <c r="J1345" s="14">
        <f t="shared" si="266"/>
        <v>3.2884341824629937</v>
      </c>
      <c r="K1345" s="14">
        <f t="shared" si="267"/>
        <v>11.366780414194738</v>
      </c>
      <c r="L1345" s="14">
        <f t="shared" si="268"/>
        <v>699.23634916332014</v>
      </c>
      <c r="M1345" s="14">
        <f t="shared" si="262"/>
        <v>0.50767729925051663</v>
      </c>
      <c r="N1345" s="14">
        <f t="shared" si="269"/>
        <v>12.991603109292736</v>
      </c>
      <c r="O1345" s="4">
        <v>12.71</v>
      </c>
      <c r="P1345" s="14">
        <f t="shared" si="272"/>
        <v>7.930031116333626E-2</v>
      </c>
      <c r="Q1345" s="14">
        <f t="shared" si="270"/>
        <v>38.147311746193608</v>
      </c>
    </row>
    <row r="1346" spans="1:17" x14ac:dyDescent="0.25">
      <c r="A1346" s="5" t="s">
        <v>1403</v>
      </c>
      <c r="B1346" s="6">
        <f t="shared" si="271"/>
        <v>1</v>
      </c>
      <c r="C1346" s="58">
        <v>16.424215319999998</v>
      </c>
      <c r="D1346" s="4">
        <v>7.8</v>
      </c>
      <c r="E1346" s="12">
        <f t="shared" si="260"/>
        <v>0</v>
      </c>
      <c r="F1346" s="12">
        <f t="shared" si="261"/>
        <v>7.8</v>
      </c>
      <c r="G1346" s="16">
        <f t="shared" si="263"/>
        <v>25.505808863687463</v>
      </c>
      <c r="H1346" s="14">
        <f t="shared" si="264"/>
        <v>1.6853130685227351</v>
      </c>
      <c r="I1346" s="14">
        <f t="shared" si="265"/>
        <v>9.4086705367126751</v>
      </c>
      <c r="J1346" s="14">
        <f t="shared" si="266"/>
        <v>3.0110718715771565</v>
      </c>
      <c r="K1346" s="14">
        <f t="shared" si="267"/>
        <v>12.128404427394011</v>
      </c>
      <c r="L1346" s="14">
        <f t="shared" si="268"/>
        <v>699.652360919393</v>
      </c>
      <c r="M1346" s="14">
        <f t="shared" si="262"/>
        <v>0.53695874202788352</v>
      </c>
      <c r="N1346" s="14">
        <f t="shared" si="269"/>
        <v>13.740923363699659</v>
      </c>
      <c r="O1346" s="4">
        <v>14.39</v>
      </c>
      <c r="P1346" s="14">
        <f t="shared" si="272"/>
        <v>0.42130047979096552</v>
      </c>
      <c r="Q1346" s="14">
        <f t="shared" si="270"/>
        <v>61.722251125503966</v>
      </c>
    </row>
    <row r="1347" spans="1:17" x14ac:dyDescent="0.25">
      <c r="A1347" s="5" t="s">
        <v>1404</v>
      </c>
      <c r="B1347" s="6">
        <f t="shared" si="271"/>
        <v>1</v>
      </c>
      <c r="C1347" s="58">
        <v>15.264214519999999</v>
      </c>
      <c r="D1347" s="4">
        <v>0.4</v>
      </c>
      <c r="E1347" s="12">
        <f t="shared" si="260"/>
        <v>0</v>
      </c>
      <c r="F1347" s="12">
        <f t="shared" si="261"/>
        <v>0.4</v>
      </c>
      <c r="G1347" s="16">
        <f t="shared" si="263"/>
        <v>23.226486938624706</v>
      </c>
      <c r="H1347" s="14">
        <f t="shared" si="264"/>
        <v>9.2597586637243448E-2</v>
      </c>
      <c r="I1347" s="14">
        <f t="shared" si="265"/>
        <v>7.099188990013543</v>
      </c>
      <c r="J1347" s="14">
        <f t="shared" si="266"/>
        <v>2.5867243384255123</v>
      </c>
      <c r="K1347" s="14">
        <f t="shared" si="267"/>
        <v>11.230313432370931</v>
      </c>
      <c r="L1347" s="14">
        <f t="shared" si="268"/>
        <v>700.10609075902551</v>
      </c>
      <c r="M1347" s="14">
        <f t="shared" si="262"/>
        <v>0.50263085031101395</v>
      </c>
      <c r="N1347" s="14">
        <f t="shared" si="269"/>
        <v>12.862463079139488</v>
      </c>
      <c r="O1347" s="4">
        <v>13.61</v>
      </c>
      <c r="P1347" s="14">
        <f t="shared" si="272"/>
        <v>0.5588114480496148</v>
      </c>
      <c r="Q1347" s="14">
        <f t="shared" si="270"/>
        <v>50.074743556538429</v>
      </c>
    </row>
    <row r="1348" spans="1:17" x14ac:dyDescent="0.25">
      <c r="A1348" s="5" t="s">
        <v>1405</v>
      </c>
      <c r="B1348" s="6">
        <f t="shared" si="271"/>
        <v>1</v>
      </c>
      <c r="C1348" s="58">
        <v>14.775883670000001</v>
      </c>
      <c r="D1348" s="4">
        <v>7.5</v>
      </c>
      <c r="E1348" s="12">
        <f t="shared" si="260"/>
        <v>0</v>
      </c>
      <c r="F1348" s="12">
        <f t="shared" si="261"/>
        <v>7.5</v>
      </c>
      <c r="G1348" s="16">
        <f t="shared" si="263"/>
        <v>27.041597582312907</v>
      </c>
      <c r="H1348" s="14">
        <f t="shared" si="264"/>
        <v>1.6519211046568731</v>
      </c>
      <c r="I1348" s="14">
        <f t="shared" si="265"/>
        <v>6.1269559650372658</v>
      </c>
      <c r="J1348" s="14">
        <f t="shared" si="266"/>
        <v>2.0329682516549257</v>
      </c>
      <c r="K1348" s="14">
        <f t="shared" si="267"/>
        <v>11.970550385678429</v>
      </c>
      <c r="L1348" s="14">
        <f t="shared" si="268"/>
        <v>700.51514406006379</v>
      </c>
      <c r="M1348" s="14">
        <f t="shared" si="262"/>
        <v>0.53109104618333225</v>
      </c>
      <c r="N1348" s="14">
        <f t="shared" si="269"/>
        <v>13.590767397122079</v>
      </c>
      <c r="O1348" s="4">
        <v>12.23</v>
      </c>
      <c r="P1348" s="14">
        <f t="shared" si="272"/>
        <v>1.8516879090703962</v>
      </c>
      <c r="Q1348" s="14">
        <f t="shared" si="270"/>
        <v>32.448414780676359</v>
      </c>
    </row>
    <row r="1349" spans="1:17" x14ac:dyDescent="0.25">
      <c r="A1349" s="5" t="s">
        <v>1406</v>
      </c>
      <c r="B1349" s="6">
        <f t="shared" si="271"/>
        <v>1</v>
      </c>
      <c r="C1349" s="58">
        <v>15.515825270000001</v>
      </c>
      <c r="D1349" s="4">
        <v>3.6</v>
      </c>
      <c r="E1349" s="12">
        <f t="shared" si="260"/>
        <v>0</v>
      </c>
      <c r="F1349" s="12">
        <f t="shared" si="261"/>
        <v>3.6</v>
      </c>
      <c r="G1349" s="16">
        <f t="shared" si="263"/>
        <v>26.845912993590417</v>
      </c>
      <c r="H1349" s="14">
        <f t="shared" si="264"/>
        <v>0.85968764621810034</v>
      </c>
      <c r="I1349" s="14">
        <f t="shared" si="265"/>
        <v>7.6001286308104561</v>
      </c>
      <c r="J1349" s="14">
        <f t="shared" si="266"/>
        <v>2.935996942504393</v>
      </c>
      <c r="K1349" s="14">
        <f t="shared" si="267"/>
        <v>11.85343575875854</v>
      </c>
      <c r="L1349" s="14">
        <f t="shared" si="268"/>
        <v>700.96085528701849</v>
      </c>
      <c r="M1349" s="14">
        <f t="shared" si="262"/>
        <v>0.52669649236165372</v>
      </c>
      <c r="N1349" s="14">
        <f t="shared" si="269"/>
        <v>13.478309544115929</v>
      </c>
      <c r="O1349" s="4">
        <v>12.52</v>
      </c>
      <c r="P1349" s="14">
        <f t="shared" si="272"/>
        <v>0.9183571823436798</v>
      </c>
      <c r="Q1349" s="14">
        <f t="shared" si="270"/>
        <v>35.836398364009682</v>
      </c>
    </row>
    <row r="1350" spans="1:17" x14ac:dyDescent="0.25">
      <c r="A1350" s="5" t="s">
        <v>1407</v>
      </c>
      <c r="B1350" s="6">
        <f t="shared" si="271"/>
        <v>1</v>
      </c>
      <c r="C1350" s="58">
        <v>17.022207259999998</v>
      </c>
      <c r="D1350" s="4">
        <v>3.7</v>
      </c>
      <c r="E1350" s="12">
        <f t="shared" si="260"/>
        <v>0</v>
      </c>
      <c r="F1350" s="12">
        <f t="shared" si="261"/>
        <v>3.7</v>
      </c>
      <c r="G1350" s="16">
        <f t="shared" si="263"/>
        <v>25.600803063682889</v>
      </c>
      <c r="H1350" s="14">
        <f t="shared" si="264"/>
        <v>0.88016322930983926</v>
      </c>
      <c r="I1350" s="14">
        <f t="shared" si="265"/>
        <v>10.599231224692215</v>
      </c>
      <c r="J1350" s="14">
        <f t="shared" si="266"/>
        <v>4.0649467005976865</v>
      </c>
      <c r="K1350" s="14">
        <f t="shared" si="267"/>
        <v>11.767099205916448</v>
      </c>
      <c r="L1350" s="14">
        <f t="shared" si="268"/>
        <v>701.40065857680884</v>
      </c>
      <c r="M1350" s="14">
        <f t="shared" si="262"/>
        <v>0.52348041816877966</v>
      </c>
      <c r="N1350" s="14">
        <f t="shared" si="269"/>
        <v>13.396009312166342</v>
      </c>
      <c r="O1350" s="4">
        <v>13.41</v>
      </c>
      <c r="P1350" s="14">
        <f t="shared" si="272"/>
        <v>1.9573934605887156E-4</v>
      </c>
      <c r="Q1350" s="14">
        <f t="shared" si="270"/>
        <v>47.284203154239584</v>
      </c>
    </row>
    <row r="1351" spans="1:17" x14ac:dyDescent="0.25">
      <c r="A1351" s="5" t="s">
        <v>1408</v>
      </c>
      <c r="B1351" s="6">
        <f t="shared" si="271"/>
        <v>1</v>
      </c>
      <c r="C1351" s="58">
        <v>17.191190720000002</v>
      </c>
      <c r="D1351" s="4">
        <v>2.2999999999999998</v>
      </c>
      <c r="E1351" s="12">
        <f t="shared" si="260"/>
        <v>0</v>
      </c>
      <c r="F1351" s="12">
        <f t="shared" si="261"/>
        <v>2.2999999999999998</v>
      </c>
      <c r="G1351" s="16">
        <f t="shared" si="263"/>
        <v>23.36785589785887</v>
      </c>
      <c r="H1351" s="14">
        <f t="shared" si="264"/>
        <v>0.53348933269901688</v>
      </c>
      <c r="I1351" s="14">
        <f t="shared" si="265"/>
        <v>10.935665632812778</v>
      </c>
      <c r="J1351" s="14">
        <f t="shared" si="266"/>
        <v>3.9994578331250041</v>
      </c>
      <c r="K1351" s="14">
        <f t="shared" si="267"/>
        <v>11.341683722018358</v>
      </c>
      <c r="L1351" s="14">
        <f t="shared" si="268"/>
        <v>701.8360829752371</v>
      </c>
      <c r="M1351" s="14">
        <f t="shared" si="262"/>
        <v>0.5072664276193557</v>
      </c>
      <c r="N1351" s="14">
        <f t="shared" si="269"/>
        <v>12.981088790120317</v>
      </c>
      <c r="O1351" s="4">
        <v>13.89</v>
      </c>
      <c r="P1351" s="14">
        <f t="shared" si="272"/>
        <v>0.82611958744494951</v>
      </c>
      <c r="Q1351" s="14">
        <f t="shared" si="270"/>
        <v>54.115900119756837</v>
      </c>
    </row>
    <row r="1352" spans="1:17" x14ac:dyDescent="0.25">
      <c r="A1352" s="5" t="s">
        <v>1409</v>
      </c>
      <c r="B1352" s="6">
        <f t="shared" si="271"/>
        <v>1</v>
      </c>
      <c r="C1352" s="58">
        <v>16.591749190000002</v>
      </c>
      <c r="D1352" s="4">
        <v>2.4</v>
      </c>
      <c r="E1352" s="12">
        <f t="shared" si="260"/>
        <v>0</v>
      </c>
      <c r="F1352" s="12">
        <f t="shared" si="261"/>
        <v>2.4</v>
      </c>
      <c r="G1352" s="16">
        <f t="shared" si="263"/>
        <v>21.985319662501528</v>
      </c>
      <c r="H1352" s="14">
        <f t="shared" si="264"/>
        <v>0.53032264272873764</v>
      </c>
      <c r="I1352" s="14">
        <f t="shared" si="265"/>
        <v>9.7422189111725022</v>
      </c>
      <c r="J1352" s="14">
        <f t="shared" si="266"/>
        <v>3.2522135926286029</v>
      </c>
      <c r="K1352" s="14">
        <f t="shared" si="267"/>
        <v>10.950525047703017</v>
      </c>
      <c r="L1352" s="14">
        <f t="shared" si="268"/>
        <v>702.25029786466177</v>
      </c>
      <c r="M1352" s="14">
        <f t="shared" si="262"/>
        <v>0.49236101395518661</v>
      </c>
      <c r="N1352" s="14">
        <f t="shared" si="269"/>
        <v>12.599655114061548</v>
      </c>
      <c r="O1352" s="4">
        <v>11.44</v>
      </c>
      <c r="P1352" s="14">
        <f t="shared" si="272"/>
        <v>1.3447999835691031</v>
      </c>
      <c r="Q1352" s="14">
        <f t="shared" si="270"/>
        <v>24.07228019159588</v>
      </c>
    </row>
    <row r="1353" spans="1:17" x14ac:dyDescent="0.25">
      <c r="A1353" s="5" t="s">
        <v>1410</v>
      </c>
      <c r="B1353" s="6">
        <f t="shared" si="271"/>
        <v>1</v>
      </c>
      <c r="C1353" s="58">
        <v>18.005323409999999</v>
      </c>
      <c r="D1353" s="4">
        <v>6.7</v>
      </c>
      <c r="E1353" s="12">
        <f t="shared" si="260"/>
        <v>0</v>
      </c>
      <c r="F1353" s="12">
        <f t="shared" si="261"/>
        <v>6.7</v>
      </c>
      <c r="G1353" s="16">
        <f t="shared" si="263"/>
        <v>23.308348548072612</v>
      </c>
      <c r="H1353" s="14">
        <f t="shared" si="264"/>
        <v>1.4332577339001589</v>
      </c>
      <c r="I1353" s="14">
        <f t="shared" si="265"/>
        <v>12.556547639204085</v>
      </c>
      <c r="J1353" s="14">
        <f t="shared" si="266"/>
        <v>3.9437133805287572</v>
      </c>
      <c r="K1353" s="14">
        <f t="shared" si="267"/>
        <v>11.49671141677633</v>
      </c>
      <c r="L1353" s="14">
        <f t="shared" si="268"/>
        <v>702.64500821553349</v>
      </c>
      <c r="M1353" s="14">
        <f t="shared" si="262"/>
        <v>0.51338015746950272</v>
      </c>
      <c r="N1353" s="14">
        <f t="shared" si="269"/>
        <v>13.13754083524387</v>
      </c>
      <c r="O1353" s="4">
        <v>10.08</v>
      </c>
      <c r="P1353" s="14">
        <f t="shared" si="272"/>
        <v>9.3485559591837823</v>
      </c>
      <c r="Q1353" s="14">
        <f t="shared" si="270"/>
        <v>12.576605455963689</v>
      </c>
    </row>
    <row r="1354" spans="1:17" x14ac:dyDescent="0.25">
      <c r="A1354" s="5" t="s">
        <v>1411</v>
      </c>
      <c r="B1354" s="6">
        <f t="shared" si="271"/>
        <v>1</v>
      </c>
      <c r="C1354" s="58">
        <v>17.05940056</v>
      </c>
      <c r="D1354" s="4">
        <v>1.6</v>
      </c>
      <c r="E1354" s="12">
        <f t="shared" si="260"/>
        <v>0</v>
      </c>
      <c r="F1354" s="12">
        <f t="shared" si="261"/>
        <v>1.6</v>
      </c>
      <c r="G1354" s="16">
        <f t="shared" si="263"/>
        <v>21.001325523704335</v>
      </c>
      <c r="H1354" s="14">
        <f t="shared" si="264"/>
        <v>0.35306954758505937</v>
      </c>
      <c r="I1354" s="14">
        <f t="shared" si="265"/>
        <v>10.673280518460677</v>
      </c>
      <c r="J1354" s="14">
        <f t="shared" si="266"/>
        <v>3.5539534767832222</v>
      </c>
      <c r="K1354" s="14">
        <f t="shared" si="267"/>
        <v>10.914661970539964</v>
      </c>
      <c r="L1354" s="14">
        <f t="shared" si="268"/>
        <v>703.06674705188539</v>
      </c>
      <c r="M1354" s="14">
        <f t="shared" si="262"/>
        <v>0.49115944326080174</v>
      </c>
      <c r="N1354" s="14">
        <f t="shared" si="269"/>
        <v>12.568906586222599</v>
      </c>
      <c r="O1354" s="4">
        <v>9.76</v>
      </c>
      <c r="P1354" s="14">
        <f t="shared" si="272"/>
        <v>7.8899562101246987</v>
      </c>
      <c r="Q1354" s="14">
        <f t="shared" si="270"/>
        <v>10.409340812285523</v>
      </c>
    </row>
    <row r="1355" spans="1:17" x14ac:dyDescent="0.25">
      <c r="A1355" s="5" t="s">
        <v>1412</v>
      </c>
      <c r="B1355" s="6">
        <f t="shared" si="271"/>
        <v>1</v>
      </c>
      <c r="C1355" s="58">
        <v>18.15279198</v>
      </c>
      <c r="D1355" s="4">
        <v>1.6</v>
      </c>
      <c r="E1355" s="12">
        <f t="shared" si="260"/>
        <v>0</v>
      </c>
      <c r="F1355" s="12">
        <f t="shared" si="261"/>
        <v>1.6</v>
      </c>
      <c r="G1355" s="16">
        <f t="shared" si="263"/>
        <v>18.411994876649487</v>
      </c>
      <c r="H1355" s="14">
        <f t="shared" si="264"/>
        <v>0.33403998685895675</v>
      </c>
      <c r="I1355" s="14">
        <f t="shared" si="265"/>
        <v>12.850147385974184</v>
      </c>
      <c r="J1355" s="14">
        <f t="shared" si="266"/>
        <v>3.855290660195891</v>
      </c>
      <c r="K1355" s="14">
        <f t="shared" si="267"/>
        <v>10.364785442132048</v>
      </c>
      <c r="L1355" s="14">
        <f t="shared" si="268"/>
        <v>703.45950412389152</v>
      </c>
      <c r="M1355" s="14">
        <f t="shared" si="262"/>
        <v>0.47016578223446209</v>
      </c>
      <c r="N1355" s="14">
        <f t="shared" si="269"/>
        <v>12.031672968986062</v>
      </c>
      <c r="O1355" s="4">
        <v>10.44</v>
      </c>
      <c r="P1355" s="14">
        <f t="shared" si="272"/>
        <v>2.5334228402009056</v>
      </c>
      <c r="Q1355" s="14">
        <f t="shared" si="270"/>
        <v>15.25957818010162</v>
      </c>
    </row>
    <row r="1356" spans="1:17" x14ac:dyDescent="0.25">
      <c r="A1356" s="5" t="s">
        <v>1413</v>
      </c>
      <c r="B1356" s="6">
        <f t="shared" si="271"/>
        <v>1</v>
      </c>
      <c r="C1356" s="58">
        <v>18.541671749999999</v>
      </c>
      <c r="D1356" s="4">
        <v>0.1</v>
      </c>
      <c r="E1356" s="12">
        <f t="shared" si="260"/>
        <v>0</v>
      </c>
      <c r="F1356" s="12">
        <f t="shared" si="261"/>
        <v>0.1</v>
      </c>
      <c r="G1356" s="16">
        <f t="shared" si="263"/>
        <v>14.908924640139489</v>
      </c>
      <c r="H1356" s="14">
        <f t="shared" si="264"/>
        <v>1.9467086169887668E-2</v>
      </c>
      <c r="I1356" s="14">
        <f t="shared" si="265"/>
        <v>13.624380173313298</v>
      </c>
      <c r="J1356" s="14">
        <f t="shared" si="266"/>
        <v>3.5836031503401129</v>
      </c>
      <c r="K1356" s="14">
        <f t="shared" si="267"/>
        <v>9.5487082627391313</v>
      </c>
      <c r="L1356" s="14">
        <f t="shared" si="268"/>
        <v>703.82488260721993</v>
      </c>
      <c r="M1356" s="14">
        <f t="shared" si="262"/>
        <v>0.43896277377433857</v>
      </c>
      <c r="N1356" s="14">
        <f t="shared" si="269"/>
        <v>11.233179314989151</v>
      </c>
      <c r="O1356" s="4">
        <v>8.6300000000000008</v>
      </c>
      <c r="P1356" s="14">
        <f t="shared" si="272"/>
        <v>6.7765425459873816</v>
      </c>
      <c r="Q1356" s="14">
        <f t="shared" si="270"/>
        <v>4.3946875392970117</v>
      </c>
    </row>
    <row r="1357" spans="1:17" x14ac:dyDescent="0.25">
      <c r="A1357" s="5" t="s">
        <v>1414</v>
      </c>
      <c r="B1357" s="6">
        <f t="shared" si="271"/>
        <v>1</v>
      </c>
      <c r="C1357" s="58">
        <v>17.360275269999999</v>
      </c>
      <c r="D1357" s="4">
        <v>2.8</v>
      </c>
      <c r="E1357" s="12">
        <f t="shared" si="260"/>
        <v>0</v>
      </c>
      <c r="F1357" s="12">
        <f t="shared" si="261"/>
        <v>2.8</v>
      </c>
      <c r="G1357" s="16">
        <f t="shared" si="263"/>
        <v>14.820861916002343</v>
      </c>
      <c r="H1357" s="14">
        <f t="shared" si="264"/>
        <v>0.48723377585964017</v>
      </c>
      <c r="I1357" s="14">
        <f t="shared" si="265"/>
        <v>11.272301304147591</v>
      </c>
      <c r="J1357" s="14">
        <f t="shared" si="266"/>
        <v>2.4008289482775065</v>
      </c>
      <c r="K1357" s="14">
        <f t="shared" si="267"/>
        <v>9.2721875059305106</v>
      </c>
      <c r="L1357" s="14">
        <f t="shared" si="268"/>
        <v>704.1496743661138</v>
      </c>
      <c r="M1357" s="14">
        <f t="shared" si="262"/>
        <v>0.42843250691545642</v>
      </c>
      <c r="N1357" s="14">
        <f t="shared" si="269"/>
        <v>10.963706860996229</v>
      </c>
      <c r="O1357" s="4">
        <v>8.68</v>
      </c>
      <c r="P1357" s="14">
        <f t="shared" si="272"/>
        <v>5.2153170269612517</v>
      </c>
      <c r="Q1357" s="14">
        <f t="shared" si="270"/>
        <v>4.6068226398717202</v>
      </c>
    </row>
    <row r="1358" spans="1:17" x14ac:dyDescent="0.25">
      <c r="A1358" s="5" t="s">
        <v>1415</v>
      </c>
      <c r="B1358" s="6">
        <f t="shared" si="271"/>
        <v>1</v>
      </c>
      <c r="C1358" s="58">
        <v>16.619337080000001</v>
      </c>
      <c r="D1358" s="4">
        <v>2.7</v>
      </c>
      <c r="E1358" s="12">
        <f t="shared" si="260"/>
        <v>0</v>
      </c>
      <c r="F1358" s="12">
        <f t="shared" si="261"/>
        <v>2.7</v>
      </c>
      <c r="G1358" s="16">
        <f t="shared" si="263"/>
        <v>14.978188854917963</v>
      </c>
      <c r="H1358" s="14">
        <f t="shared" si="264"/>
        <v>0.46835530378623808</v>
      </c>
      <c r="I1358" s="14">
        <f t="shared" si="265"/>
        <v>9.7971444964543117</v>
      </c>
      <c r="J1358" s="14">
        <f t="shared" si="266"/>
        <v>2.0743177572981391</v>
      </c>
      <c r="K1358" s="14">
        <f t="shared" si="267"/>
        <v>9.0011136126568889</v>
      </c>
      <c r="L1358" s="14">
        <f t="shared" si="268"/>
        <v>704.46067105625821</v>
      </c>
      <c r="M1358" s="14">
        <f t="shared" si="262"/>
        <v>0.41810809554687972</v>
      </c>
      <c r="N1358" s="14">
        <f t="shared" si="269"/>
        <v>10.699502306182303</v>
      </c>
      <c r="O1358" s="4">
        <v>10.3</v>
      </c>
      <c r="P1358" s="14">
        <f t="shared" si="272"/>
        <v>0.15960209264497829</v>
      </c>
      <c r="Q1358" s="14">
        <f t="shared" si="270"/>
        <v>14.185399898492433</v>
      </c>
    </row>
    <row r="1359" spans="1:17" x14ac:dyDescent="0.25">
      <c r="A1359" s="5" t="s">
        <v>1416</v>
      </c>
      <c r="B1359" s="6">
        <f t="shared" si="271"/>
        <v>1</v>
      </c>
      <c r="C1359" s="58">
        <v>17.224462509999999</v>
      </c>
      <c r="D1359" s="4">
        <v>2.6</v>
      </c>
      <c r="E1359" s="12">
        <f t="shared" si="260"/>
        <v>0</v>
      </c>
      <c r="F1359" s="12">
        <f t="shared" si="261"/>
        <v>2.6</v>
      </c>
      <c r="G1359" s="16">
        <f t="shared" si="263"/>
        <v>14.770515929006471</v>
      </c>
      <c r="H1359" s="14">
        <f t="shared" si="264"/>
        <v>0.45354748396172623</v>
      </c>
      <c r="I1359" s="14">
        <f t="shared" si="265"/>
        <v>11.001907470775858</v>
      </c>
      <c r="J1359" s="14">
        <f t="shared" si="266"/>
        <v>2.354125441949765</v>
      </c>
      <c r="K1359" s="14">
        <f t="shared" si="267"/>
        <v>8.7390780784303121</v>
      </c>
      <c r="L1359" s="14">
        <f t="shared" si="268"/>
        <v>704.75814597889962</v>
      </c>
      <c r="M1359" s="14">
        <f t="shared" si="262"/>
        <v>0.40812726060775539</v>
      </c>
      <c r="N1359" s="14">
        <f t="shared" si="269"/>
        <v>10.444089967635962</v>
      </c>
      <c r="O1359" s="4">
        <v>11.74</v>
      </c>
      <c r="P1359" s="14">
        <f t="shared" si="272"/>
        <v>1.6793828119817615</v>
      </c>
      <c r="Q1359" s="14">
        <f t="shared" si="270"/>
        <v>27.106090795044167</v>
      </c>
    </row>
    <row r="1360" spans="1:17" x14ac:dyDescent="0.25">
      <c r="A1360" s="5" t="s">
        <v>1417</v>
      </c>
      <c r="B1360" s="6">
        <f t="shared" si="271"/>
        <v>1</v>
      </c>
      <c r="C1360" s="58">
        <v>16.86147308</v>
      </c>
      <c r="D1360" s="4">
        <v>10.8</v>
      </c>
      <c r="E1360" s="12">
        <f t="shared" si="260"/>
        <v>0</v>
      </c>
      <c r="F1360" s="12">
        <f t="shared" si="261"/>
        <v>10.8</v>
      </c>
      <c r="G1360" s="16">
        <f t="shared" si="263"/>
        <v>21.531487298182984</v>
      </c>
      <c r="H1360" s="14">
        <f t="shared" si="264"/>
        <v>1.8700355781786304</v>
      </c>
      <c r="I1360" s="14">
        <f t="shared" si="265"/>
        <v>10.279220563808348</v>
      </c>
      <c r="J1360" s="14">
        <f t="shared" si="266"/>
        <v>2.1689930526448591</v>
      </c>
      <c r="K1360" s="14">
        <f t="shared" si="267"/>
        <v>9.9165817192326262</v>
      </c>
      <c r="L1360" s="14">
        <f t="shared" si="268"/>
        <v>705.04255065566815</v>
      </c>
      <c r="M1360" s="14">
        <f t="shared" si="262"/>
        <v>0.45332158513576615</v>
      </c>
      <c r="N1360" s="14">
        <f t="shared" si="269"/>
        <v>11.600625286286792</v>
      </c>
      <c r="O1360" s="4">
        <v>15.56</v>
      </c>
      <c r="P1360" s="14">
        <f t="shared" si="272"/>
        <v>15.676648123591548</v>
      </c>
      <c r="Q1360" s="14">
        <f t="shared" si="270"/>
        <v>81.475012478952237</v>
      </c>
    </row>
    <row r="1361" spans="1:17" x14ac:dyDescent="0.25">
      <c r="A1361" s="5" t="s">
        <v>1418</v>
      </c>
      <c r="B1361" s="6">
        <f t="shared" si="271"/>
        <v>1</v>
      </c>
      <c r="C1361" s="58">
        <v>17.590051649999999</v>
      </c>
      <c r="D1361" s="4">
        <v>7.8</v>
      </c>
      <c r="E1361" s="12">
        <f t="shared" si="260"/>
        <v>0</v>
      </c>
      <c r="F1361" s="12">
        <f t="shared" si="261"/>
        <v>7.8</v>
      </c>
      <c r="G1361" s="16">
        <f t="shared" si="263"/>
        <v>24.073323108943541</v>
      </c>
      <c r="H1361" s="14">
        <f t="shared" si="264"/>
        <v>1.650169868136111</v>
      </c>
      <c r="I1361" s="14">
        <f t="shared" si="265"/>
        <v>11.72977022095983</v>
      </c>
      <c r="J1361" s="14">
        <f t="shared" si="266"/>
        <v>3.6079943211033325</v>
      </c>
      <c r="K1361" s="14">
        <f t="shared" si="267"/>
        <v>10.770635486643512</v>
      </c>
      <c r="L1361" s="14">
        <f t="shared" si="268"/>
        <v>705.38534517125754</v>
      </c>
      <c r="M1361" s="14">
        <f t="shared" si="262"/>
        <v>0.48613036507214735</v>
      </c>
      <c r="N1361" s="14">
        <f t="shared" si="269"/>
        <v>12.440211078408769</v>
      </c>
      <c r="O1361" s="4">
        <v>25.98</v>
      </c>
      <c r="P1361" s="14">
        <f t="shared" si="272"/>
        <v>183.32588404124465</v>
      </c>
      <c r="Q1361" s="14">
        <f t="shared" si="270"/>
        <v>378.16056743872252</v>
      </c>
    </row>
    <row r="1362" spans="1:17" x14ac:dyDescent="0.25">
      <c r="A1362" s="5" t="s">
        <v>1419</v>
      </c>
      <c r="B1362" s="6">
        <f t="shared" si="271"/>
        <v>1</v>
      </c>
      <c r="C1362" s="58">
        <v>18.21912193</v>
      </c>
      <c r="D1362" s="4">
        <v>15.5</v>
      </c>
      <c r="E1362" s="12">
        <f t="shared" si="260"/>
        <v>0</v>
      </c>
      <c r="F1362" s="12">
        <f t="shared" si="261"/>
        <v>15.5</v>
      </c>
      <c r="G1362" s="16">
        <f t="shared" si="263"/>
        <v>31.629096635781515</v>
      </c>
      <c r="H1362" s="14">
        <f t="shared" si="264"/>
        <v>3.4795823901865681</v>
      </c>
      <c r="I1362" s="14">
        <f t="shared" si="265"/>
        <v>12.982205739311937</v>
      </c>
      <c r="J1362" s="14">
        <f t="shared" si="266"/>
        <v>4.4646440829754628</v>
      </c>
      <c r="K1362" s="14">
        <f t="shared" si="267"/>
        <v>13.37897126959367</v>
      </c>
      <c r="L1362" s="14">
        <f t="shared" si="268"/>
        <v>705.7704614134218</v>
      </c>
      <c r="M1362" s="14">
        <f t="shared" si="262"/>
        <v>0.58619022557930611</v>
      </c>
      <c r="N1362" s="14">
        <f t="shared" si="269"/>
        <v>15.000770703192659</v>
      </c>
      <c r="O1362" s="4">
        <v>22.36</v>
      </c>
      <c r="P1362" s="14">
        <f t="shared" si="272"/>
        <v>54.158255842987465</v>
      </c>
      <c r="Q1362" s="14">
        <f t="shared" si="270"/>
        <v>250.47338615711325</v>
      </c>
    </row>
    <row r="1363" spans="1:17" x14ac:dyDescent="0.25">
      <c r="A1363" s="5" t="s">
        <v>1420</v>
      </c>
      <c r="B1363" s="6">
        <f t="shared" si="271"/>
        <v>1</v>
      </c>
      <c r="C1363" s="58">
        <v>17.575283049999999</v>
      </c>
      <c r="D1363" s="4">
        <v>5.0999999999999996</v>
      </c>
      <c r="E1363" s="12">
        <f t="shared" si="260"/>
        <v>0</v>
      </c>
      <c r="F1363" s="12">
        <f t="shared" si="261"/>
        <v>5.0999999999999996</v>
      </c>
      <c r="G1363" s="16">
        <f t="shared" si="263"/>
        <v>30.118663955287346</v>
      </c>
      <c r="H1363" s="14">
        <f t="shared" si="264"/>
        <v>1.3236850230206232</v>
      </c>
      <c r="I1363" s="14">
        <f t="shared" si="265"/>
        <v>11.700366957470202</v>
      </c>
      <c r="J1363" s="14">
        <f t="shared" si="266"/>
        <v>5.2867476574735495</v>
      </c>
      <c r="K1363" s="14">
        <f t="shared" si="267"/>
        <v>13.601956229398906</v>
      </c>
      <c r="L1363" s="14">
        <f t="shared" si="268"/>
        <v>706.28497125105787</v>
      </c>
      <c r="M1363" s="14">
        <f t="shared" si="262"/>
        <v>0.59484636581379235</v>
      </c>
      <c r="N1363" s="14">
        <f t="shared" si="269"/>
        <v>15.222283736276562</v>
      </c>
      <c r="O1363" s="4">
        <v>20.34</v>
      </c>
      <c r="P1363" s="14">
        <f t="shared" si="272"/>
        <v>26.191019755979379</v>
      </c>
      <c r="Q1363" s="14">
        <f t="shared" si="270"/>
        <v>190.61532809389485</v>
      </c>
    </row>
    <row r="1364" spans="1:17" x14ac:dyDescent="0.25">
      <c r="A1364" s="5" t="s">
        <v>1421</v>
      </c>
      <c r="B1364" s="6">
        <f t="shared" si="271"/>
        <v>2</v>
      </c>
      <c r="C1364" s="58">
        <v>17.8784256</v>
      </c>
      <c r="D1364" s="4">
        <v>10.8</v>
      </c>
      <c r="E1364" s="12">
        <f t="shared" si="260"/>
        <v>0</v>
      </c>
      <c r="F1364" s="12">
        <f t="shared" si="261"/>
        <v>10.8</v>
      </c>
      <c r="G1364" s="16">
        <f t="shared" si="263"/>
        <v>31.920435849005575</v>
      </c>
      <c r="H1364" s="14">
        <f t="shared" si="264"/>
        <v>2.7311252009995641</v>
      </c>
      <c r="I1364" s="14">
        <f t="shared" si="265"/>
        <v>14.565614522341384</v>
      </c>
      <c r="J1364" s="14">
        <f t="shared" si="266"/>
        <v>6.2671029052822043</v>
      </c>
      <c r="K1364" s="14">
        <f t="shared" si="267"/>
        <v>15.212765537812846</v>
      </c>
      <c r="L1364" s="14">
        <f t="shared" si="268"/>
        <v>706.81044077782974</v>
      </c>
      <c r="M1364" s="14">
        <f t="shared" si="262"/>
        <v>0.6567005159461452</v>
      </c>
      <c r="N1364" s="14">
        <f t="shared" si="269"/>
        <v>16.805148619871844</v>
      </c>
      <c r="O1364" s="4">
        <v>20.81</v>
      </c>
      <c r="P1364" s="14">
        <f t="shared" si="272"/>
        <v>16.03883457691439</v>
      </c>
      <c r="Q1364" s="14">
        <f t="shared" si="270"/>
        <v>203.81419803929711</v>
      </c>
    </row>
    <row r="1365" spans="1:17" x14ac:dyDescent="0.25">
      <c r="A1365" s="5" t="s">
        <v>1422</v>
      </c>
      <c r="B1365" s="6">
        <f t="shared" si="271"/>
        <v>2</v>
      </c>
      <c r="C1365" s="58">
        <v>16.535221100000001</v>
      </c>
      <c r="D1365" s="4">
        <v>2.4</v>
      </c>
      <c r="E1365" s="12">
        <f t="shared" si="260"/>
        <v>0</v>
      </c>
      <c r="F1365" s="12">
        <f t="shared" si="261"/>
        <v>2.4</v>
      </c>
      <c r="G1365" s="16">
        <f t="shared" si="263"/>
        <v>28.311179652656911</v>
      </c>
      <c r="H1365" s="14">
        <f t="shared" si="264"/>
        <v>0.62595408810851427</v>
      </c>
      <c r="I1365" s="14">
        <f t="shared" si="265"/>
        <v>11.805316351257341</v>
      </c>
      <c r="J1365" s="14">
        <f t="shared" si="266"/>
        <v>5.3833021082401507</v>
      </c>
      <c r="K1365" s="14">
        <f t="shared" si="267"/>
        <v>14.576701976547104</v>
      </c>
      <c r="L1365" s="14">
        <f t="shared" si="268"/>
        <v>707.41575791125786</v>
      </c>
      <c r="M1365" s="14">
        <f t="shared" si="262"/>
        <v>0.63244834086087398</v>
      </c>
      <c r="N1365" s="14">
        <f t="shared" si="269"/>
        <v>16.184528722724451</v>
      </c>
      <c r="O1365" s="4">
        <v>18.37</v>
      </c>
      <c r="P1365" s="14">
        <f t="shared" si="272"/>
        <v>4.7762847037964233</v>
      </c>
      <c r="Q1365" s="14">
        <f t="shared" si="270"/>
        <v>140.09920513125118</v>
      </c>
    </row>
    <row r="1366" spans="1:17" x14ac:dyDescent="0.25">
      <c r="A1366" s="5" t="s">
        <v>1423</v>
      </c>
      <c r="B1366" s="6">
        <f t="shared" si="271"/>
        <v>2</v>
      </c>
      <c r="C1366" s="58">
        <v>15.90202618</v>
      </c>
      <c r="D1366" s="4">
        <v>0</v>
      </c>
      <c r="E1366" s="12">
        <f t="shared" si="260"/>
        <v>0</v>
      </c>
      <c r="F1366" s="12">
        <f t="shared" si="261"/>
        <v>0</v>
      </c>
      <c r="G1366" s="16">
        <f t="shared" si="263"/>
        <v>24.062843191993409</v>
      </c>
      <c r="H1366" s="14">
        <f t="shared" si="264"/>
        <v>0</v>
      </c>
      <c r="I1366" s="14">
        <f t="shared" si="265"/>
        <v>10.504094698399781</v>
      </c>
      <c r="J1366" s="14">
        <f t="shared" si="266"/>
        <v>4.2483364606635021</v>
      </c>
      <c r="K1366" s="14">
        <f t="shared" si="267"/>
        <v>13.370638389264366</v>
      </c>
      <c r="L1366" s="14">
        <f t="shared" si="268"/>
        <v>707.98937315767967</v>
      </c>
      <c r="M1366" s="14">
        <f t="shared" si="262"/>
        <v>0.58634118879644148</v>
      </c>
      <c r="N1366" s="14">
        <f t="shared" si="269"/>
        <v>15.004633893853381</v>
      </c>
      <c r="O1366" s="4">
        <v>14.62</v>
      </c>
      <c r="P1366" s="14">
        <f t="shared" si="272"/>
        <v>0.14794323230081438</v>
      </c>
      <c r="Q1366" s="14">
        <f t="shared" si="270"/>
        <v>65.389072588147613</v>
      </c>
    </row>
    <row r="1367" spans="1:17" x14ac:dyDescent="0.25">
      <c r="A1367" s="5" t="s">
        <v>1424</v>
      </c>
      <c r="B1367" s="6">
        <f t="shared" si="271"/>
        <v>2</v>
      </c>
      <c r="C1367" s="58">
        <v>15.482210159999999</v>
      </c>
      <c r="D1367" s="4">
        <v>4.3</v>
      </c>
      <c r="E1367" s="12">
        <f t="shared" si="260"/>
        <v>0</v>
      </c>
      <c r="F1367" s="12">
        <f t="shared" si="261"/>
        <v>4.3</v>
      </c>
      <c r="G1367" s="16">
        <f t="shared" si="263"/>
        <v>24.083492648309438</v>
      </c>
      <c r="H1367" s="14">
        <f t="shared" si="264"/>
        <v>0.96508009439283404</v>
      </c>
      <c r="I1367" s="14">
        <f t="shared" si="265"/>
        <v>9.6413687380580857</v>
      </c>
      <c r="J1367" s="14">
        <f t="shared" si="266"/>
        <v>3.3142704492911368</v>
      </c>
      <c r="K1367" s="14">
        <f t="shared" si="267"/>
        <v>13.235751458037017</v>
      </c>
      <c r="L1367" s="14">
        <f t="shared" si="268"/>
        <v>708.5029989945034</v>
      </c>
      <c r="M1367" s="14">
        <f t="shared" si="262"/>
        <v>0.58127981422787478</v>
      </c>
      <c r="N1367" s="14">
        <f t="shared" si="269"/>
        <v>14.875111912706378</v>
      </c>
      <c r="O1367" s="4">
        <v>11.38</v>
      </c>
      <c r="P1367" s="14">
        <f t="shared" si="272"/>
        <v>12.215807282342034</v>
      </c>
      <c r="Q1367" s="14">
        <f t="shared" si="270"/>
        <v>23.487118070906238</v>
      </c>
    </row>
    <row r="1368" spans="1:17" x14ac:dyDescent="0.25">
      <c r="A1368" s="5" t="s">
        <v>1425</v>
      </c>
      <c r="B1368" s="6">
        <f t="shared" si="271"/>
        <v>2</v>
      </c>
      <c r="C1368" s="58">
        <v>15.98930073</v>
      </c>
      <c r="D1368" s="4">
        <v>2.6</v>
      </c>
      <c r="E1368" s="12">
        <f t="shared" si="260"/>
        <v>0</v>
      </c>
      <c r="F1368" s="12">
        <f t="shared" si="261"/>
        <v>2.6</v>
      </c>
      <c r="G1368" s="16">
        <f t="shared" si="263"/>
        <v>22.424048698512369</v>
      </c>
      <c r="H1368" s="14">
        <f t="shared" si="264"/>
        <v>0.58380294132770305</v>
      </c>
      <c r="I1368" s="14">
        <f t="shared" si="265"/>
        <v>10.683444738358091</v>
      </c>
      <c r="J1368" s="14">
        <f t="shared" si="266"/>
        <v>3.6756410084693676</v>
      </c>
      <c r="K1368" s="14">
        <f t="shared" si="267"/>
        <v>12.731453281783994</v>
      </c>
      <c r="L1368" s="14">
        <f t="shared" si="268"/>
        <v>709.00982029785621</v>
      </c>
      <c r="M1368" s="14">
        <f t="shared" si="262"/>
        <v>0.56205736322904476</v>
      </c>
      <c r="N1368" s="14">
        <f t="shared" si="269"/>
        <v>14.383204052076598</v>
      </c>
      <c r="O1368" s="4">
        <v>10.15</v>
      </c>
      <c r="P1368" s="14">
        <f t="shared" si="272"/>
        <v>17.920016546517729</v>
      </c>
      <c r="Q1368" s="14">
        <f t="shared" si="270"/>
        <v>13.07799459676829</v>
      </c>
    </row>
    <row r="1369" spans="1:17" x14ac:dyDescent="0.25">
      <c r="A1369" s="5" t="s">
        <v>1426</v>
      </c>
      <c r="B1369" s="6">
        <f t="shared" si="271"/>
        <v>2</v>
      </c>
      <c r="C1369" s="58">
        <v>16.735174180000001</v>
      </c>
      <c r="D1369" s="4">
        <v>0.6</v>
      </c>
      <c r="E1369" s="12">
        <f t="shared" si="260"/>
        <v>0</v>
      </c>
      <c r="F1369" s="12">
        <f t="shared" si="261"/>
        <v>0.6</v>
      </c>
      <c r="G1369" s="16">
        <f t="shared" si="263"/>
        <v>18.980950945722114</v>
      </c>
      <c r="H1369" s="14">
        <f t="shared" si="264"/>
        <v>0.12970668143755393</v>
      </c>
      <c r="I1369" s="14">
        <f t="shared" si="265"/>
        <v>12.21622185449726</v>
      </c>
      <c r="J1369" s="14">
        <f t="shared" si="266"/>
        <v>3.9133910713527036</v>
      </c>
      <c r="K1369" s="14">
        <f t="shared" si="267"/>
        <v>11.817421599907943</v>
      </c>
      <c r="L1369" s="14">
        <f t="shared" si="268"/>
        <v>709.49150129794077</v>
      </c>
      <c r="M1369" s="14">
        <f t="shared" si="262"/>
        <v>0.52712438571305242</v>
      </c>
      <c r="N1369" s="14">
        <f t="shared" si="269"/>
        <v>13.489259453837489</v>
      </c>
      <c r="O1369" s="4">
        <v>8.39</v>
      </c>
      <c r="P1369" s="14">
        <f t="shared" si="272"/>
        <v>26.002446977551003</v>
      </c>
      <c r="Q1369" s="14">
        <f t="shared" si="270"/>
        <v>3.4460390565383876</v>
      </c>
    </row>
    <row r="1370" spans="1:17" x14ac:dyDescent="0.25">
      <c r="A1370" s="5" t="s">
        <v>1427</v>
      </c>
      <c r="B1370" s="6">
        <f t="shared" si="271"/>
        <v>2</v>
      </c>
      <c r="C1370" s="58">
        <v>15.963567729999999</v>
      </c>
      <c r="D1370" s="4">
        <v>7.1</v>
      </c>
      <c r="E1370" s="12">
        <f t="shared" si="260"/>
        <v>0</v>
      </c>
      <c r="F1370" s="12">
        <f t="shared" si="261"/>
        <v>7.1</v>
      </c>
      <c r="G1370" s="16">
        <f t="shared" si="263"/>
        <v>21.793697566824726</v>
      </c>
      <c r="H1370" s="14">
        <f t="shared" si="264"/>
        <v>1.4047053630343913</v>
      </c>
      <c r="I1370" s="14">
        <f t="shared" si="265"/>
        <v>10.630563175769142</v>
      </c>
      <c r="J1370" s="14">
        <f t="shared" si="266"/>
        <v>2.8825480158629966</v>
      </c>
      <c r="K1370" s="14">
        <f t="shared" si="267"/>
        <v>12.258795320899685</v>
      </c>
      <c r="L1370" s="14">
        <f t="shared" si="268"/>
        <v>709.92770855427034</v>
      </c>
      <c r="M1370" s="14">
        <f t="shared" si="262"/>
        <v>0.54413482828628357</v>
      </c>
      <c r="N1370" s="14">
        <f t="shared" si="269"/>
        <v>13.92456140440941</v>
      </c>
      <c r="O1370" s="4">
        <v>7.77</v>
      </c>
      <c r="P1370" s="14">
        <f t="shared" si="272"/>
        <v>37.87862608064593</v>
      </c>
      <c r="Q1370" s="14">
        <f t="shared" si="270"/>
        <v>1.5285638094119418</v>
      </c>
    </row>
    <row r="1371" spans="1:17" x14ac:dyDescent="0.25">
      <c r="A1371" s="5" t="s">
        <v>1428</v>
      </c>
      <c r="B1371" s="6">
        <f t="shared" si="271"/>
        <v>2</v>
      </c>
      <c r="C1371" s="58">
        <v>18.388353349999999</v>
      </c>
      <c r="D1371" s="4">
        <v>0.5</v>
      </c>
      <c r="E1371" s="12">
        <f t="shared" ref="E1371:E1423" si="273">IF(C1371&gt;$C$9,MAX(E1370-$C$10*(C1371-$C$9),0),E1370+D1371)</f>
        <v>0</v>
      </c>
      <c r="F1371" s="12">
        <f t="shared" ref="F1371:F1423" si="274">IF(C1371&gt;$C$9,D1371+MIN(E1370,$C$10*(C1371-$C$9)),0)</f>
        <v>0.5</v>
      </c>
      <c r="G1371" s="16">
        <f t="shared" si="263"/>
        <v>17.326139922667238</v>
      </c>
      <c r="H1371" s="14">
        <f t="shared" si="264"/>
        <v>0.10646295226039405</v>
      </c>
      <c r="I1371" s="14">
        <f t="shared" si="265"/>
        <v>15.613520954839194</v>
      </c>
      <c r="J1371" s="14">
        <f t="shared" si="266"/>
        <v>4.8610946918970956</v>
      </c>
      <c r="K1371" s="14">
        <f t="shared" si="267"/>
        <v>11.363099296722122</v>
      </c>
      <c r="L1371" s="14">
        <f t="shared" si="268"/>
        <v>710.38573270242205</v>
      </c>
      <c r="M1371" s="14">
        <f t="shared" si="262"/>
        <v>0.50989964676392197</v>
      </c>
      <c r="N1371" s="14">
        <f t="shared" si="269"/>
        <v>13.048473599479529</v>
      </c>
      <c r="O1371" s="4">
        <v>8.01</v>
      </c>
      <c r="P1371" s="14">
        <f t="shared" si="272"/>
        <v>25.386216212652201</v>
      </c>
      <c r="Q1371" s="14">
        <f t="shared" si="270"/>
        <v>2.1796122921705652</v>
      </c>
    </row>
    <row r="1372" spans="1:17" x14ac:dyDescent="0.25">
      <c r="A1372" s="5" t="s">
        <v>1429</v>
      </c>
      <c r="B1372" s="6">
        <f t="shared" si="271"/>
        <v>2</v>
      </c>
      <c r="C1372" s="58">
        <v>18.07247353</v>
      </c>
      <c r="D1372" s="4">
        <v>0</v>
      </c>
      <c r="E1372" s="12">
        <f t="shared" si="273"/>
        <v>0</v>
      </c>
      <c r="F1372" s="12">
        <f t="shared" si="274"/>
        <v>0</v>
      </c>
      <c r="G1372" s="16">
        <f t="shared" si="263"/>
        <v>13.622207983234222</v>
      </c>
      <c r="H1372" s="14">
        <f t="shared" si="264"/>
        <v>0</v>
      </c>
      <c r="I1372" s="14">
        <f t="shared" si="265"/>
        <v>14.964384885515157</v>
      </c>
      <c r="J1372" s="14">
        <f t="shared" si="266"/>
        <v>3.7039319394330148</v>
      </c>
      <c r="K1372" s="14">
        <f t="shared" si="267"/>
        <v>10.439734066701934</v>
      </c>
      <c r="L1372" s="14">
        <f t="shared" si="268"/>
        <v>710.79919828567824</v>
      </c>
      <c r="M1372" s="14">
        <f t="shared" si="262"/>
        <v>0.47459445149553725</v>
      </c>
      <c r="N1372" s="14">
        <f t="shared" si="269"/>
        <v>12.145003845562881</v>
      </c>
      <c r="O1372" s="4">
        <v>7.51</v>
      </c>
      <c r="P1372" s="14">
        <f t="shared" si="272"/>
        <v>21.483260648382696</v>
      </c>
      <c r="Q1372" s="14">
        <f t="shared" si="270"/>
        <v>0.95326128642343411</v>
      </c>
    </row>
    <row r="1373" spans="1:17" x14ac:dyDescent="0.25">
      <c r="A1373" s="5" t="s">
        <v>1430</v>
      </c>
      <c r="B1373" s="6">
        <f t="shared" si="271"/>
        <v>2</v>
      </c>
      <c r="C1373" s="58">
        <v>18.137119290000001</v>
      </c>
      <c r="D1373" s="4">
        <v>0</v>
      </c>
      <c r="E1373" s="12">
        <f t="shared" si="273"/>
        <v>0</v>
      </c>
      <c r="F1373" s="12">
        <f t="shared" si="274"/>
        <v>0</v>
      </c>
      <c r="G1373" s="16">
        <f t="shared" si="263"/>
        <v>10.684239300829883</v>
      </c>
      <c r="H1373" s="14">
        <f t="shared" si="264"/>
        <v>0</v>
      </c>
      <c r="I1373" s="14">
        <f t="shared" si="265"/>
        <v>15.097232544301546</v>
      </c>
      <c r="J1373" s="14">
        <f t="shared" si="266"/>
        <v>2.9379686824043381</v>
      </c>
      <c r="K1373" s="14">
        <f t="shared" si="267"/>
        <v>9.5975966235885828</v>
      </c>
      <c r="L1373" s="14">
        <f t="shared" si="268"/>
        <v>711.16674127729607</v>
      </c>
      <c r="M1373" s="14">
        <f t="shared" si="262"/>
        <v>0.44239300483542543</v>
      </c>
      <c r="N1373" s="14">
        <f t="shared" si="269"/>
        <v>11.320959880684324</v>
      </c>
      <c r="O1373" s="4">
        <v>6.8</v>
      </c>
      <c r="P1373" s="14">
        <f t="shared" si="272"/>
        <v>20.439078242757219</v>
      </c>
      <c r="Q1373" s="14">
        <f t="shared" si="270"/>
        <v>7.0942858262508207E-2</v>
      </c>
    </row>
    <row r="1374" spans="1:17" x14ac:dyDescent="0.25">
      <c r="A1374" s="5" t="s">
        <v>1431</v>
      </c>
      <c r="B1374" s="6">
        <f t="shared" si="271"/>
        <v>2</v>
      </c>
      <c r="C1374" s="58">
        <v>16.922388080000001</v>
      </c>
      <c r="D1374" s="4">
        <v>0</v>
      </c>
      <c r="E1374" s="12">
        <f t="shared" si="273"/>
        <v>0</v>
      </c>
      <c r="F1374" s="12">
        <f t="shared" si="274"/>
        <v>0</v>
      </c>
      <c r="G1374" s="16">
        <f t="shared" si="263"/>
        <v>8.7609299447692237</v>
      </c>
      <c r="H1374" s="14">
        <f t="shared" si="264"/>
        <v>0</v>
      </c>
      <c r="I1374" s="14">
        <f t="shared" si="265"/>
        <v>12.600948220267707</v>
      </c>
      <c r="J1374" s="14">
        <f t="shared" si="266"/>
        <v>1.9233093560606596</v>
      </c>
      <c r="K1374" s="14">
        <f t="shared" si="267"/>
        <v>8.8295414163571095</v>
      </c>
      <c r="L1374" s="14">
        <f t="shared" si="268"/>
        <v>711.49240347969214</v>
      </c>
      <c r="M1374" s="14">
        <f t="shared" si="262"/>
        <v>0.41302227264053232</v>
      </c>
      <c r="N1374" s="14">
        <f t="shared" si="269"/>
        <v>10.569354685280288</v>
      </c>
      <c r="O1374" s="4">
        <v>5.71</v>
      </c>
      <c r="P1374" s="14">
        <f t="shared" si="272"/>
        <v>23.613327957355491</v>
      </c>
      <c r="Q1374" s="14">
        <f t="shared" si="270"/>
        <v>0.67839766573376237</v>
      </c>
    </row>
    <row r="1375" spans="1:17" x14ac:dyDescent="0.25">
      <c r="A1375" s="5" t="s">
        <v>1432</v>
      </c>
      <c r="B1375" s="6">
        <f t="shared" si="271"/>
        <v>2</v>
      </c>
      <c r="C1375" s="58">
        <v>15.557034489999999</v>
      </c>
      <c r="D1375" s="4">
        <v>0</v>
      </c>
      <c r="E1375" s="12">
        <f t="shared" si="273"/>
        <v>0</v>
      </c>
      <c r="F1375" s="12">
        <f t="shared" si="274"/>
        <v>0</v>
      </c>
      <c r="G1375" s="16">
        <f t="shared" si="263"/>
        <v>7.5350078403667764</v>
      </c>
      <c r="H1375" s="14">
        <f t="shared" si="264"/>
        <v>0</v>
      </c>
      <c r="I1375" s="14">
        <f t="shared" si="265"/>
        <v>9.795133456127143</v>
      </c>
      <c r="J1375" s="14">
        <f t="shared" si="266"/>
        <v>1.2259221044024475</v>
      </c>
      <c r="K1375" s="14">
        <f t="shared" si="267"/>
        <v>8.1290514830577312</v>
      </c>
      <c r="L1375" s="14">
        <f t="shared" si="268"/>
        <v>711.77987114035102</v>
      </c>
      <c r="M1375" s="14">
        <f t="shared" ref="M1375:M1423" si="275">MAX(0,K1375-$F$9)*$F$8+K1375*$F$10+L1375*$F$11</f>
        <v>0.38623323938837256</v>
      </c>
      <c r="N1375" s="14">
        <f t="shared" si="269"/>
        <v>9.8838158829593947</v>
      </c>
      <c r="O1375" s="4">
        <v>5.21</v>
      </c>
      <c r="P1375" s="14">
        <f t="shared" si="272"/>
        <v>21.844554907803506</v>
      </c>
      <c r="Q1375" s="14">
        <f t="shared" si="270"/>
        <v>1.7520466599866313</v>
      </c>
    </row>
    <row r="1376" spans="1:17" x14ac:dyDescent="0.25">
      <c r="A1376" s="5" t="s">
        <v>1433</v>
      </c>
      <c r="B1376" s="6">
        <f t="shared" si="271"/>
        <v>2</v>
      </c>
      <c r="C1376" s="58">
        <v>16.80536652</v>
      </c>
      <c r="D1376" s="4">
        <v>0</v>
      </c>
      <c r="E1376" s="12">
        <f t="shared" si="273"/>
        <v>0</v>
      </c>
      <c r="F1376" s="12">
        <f t="shared" si="274"/>
        <v>0</v>
      </c>
      <c r="G1376" s="16">
        <f t="shared" ref="G1376:G1423" si="276">G1375+F1376-H1376-J1376</f>
        <v>6.2044893130901304</v>
      </c>
      <c r="H1376" s="14">
        <f t="shared" ref="H1376:H1423" si="277">(F1376*(G1375/$C$11)^$C$12)</f>
        <v>0</v>
      </c>
      <c r="I1376" s="14">
        <f t="shared" ref="I1376:I1423" si="278">(1+$C$13*(C1376-INDEX($A$16:$A$27,B1376)))*INDEX($C$16:$C$27,B1376)</f>
        <v>12.360467788549823</v>
      </c>
      <c r="J1376" s="14">
        <f t="shared" ref="J1376:J1423" si="279">IF(G1375&gt;$F$13,I1376,I1376*(G1375/$F$13))</f>
        <v>1.3305185272766455</v>
      </c>
      <c r="K1376" s="14">
        <f t="shared" ref="K1376:K1423" si="280">K1375+H1376-MAX(0,K1375-$F$9)*$F$8-K1375*$F$10-K1375*$F$12</f>
        <v>7.4901831542790056</v>
      </c>
      <c r="L1376" s="14">
        <f t="shared" ref="L1376:L1423" si="281">L1375+K1375*$F$12-L1375*$F$11</f>
        <v>712.03250622974133</v>
      </c>
      <c r="M1376" s="14">
        <f t="shared" si="275"/>
        <v>0.36179879527594772</v>
      </c>
      <c r="N1376" s="14">
        <f t="shared" ref="N1376:N1423" si="282">M1376*$C$8*1000/(24*3600)</f>
        <v>9.2585316707768577</v>
      </c>
      <c r="O1376" s="4">
        <v>5.28</v>
      </c>
      <c r="P1376" s="14">
        <f t="shared" si="272"/>
        <v>15.828714255374493</v>
      </c>
      <c r="Q1376" s="14">
        <f t="shared" ref="Q1376:Q1423" si="283">(O1376-$F$23)^2</f>
        <v>1.571635800791229</v>
      </c>
    </row>
    <row r="1377" spans="1:17" x14ac:dyDescent="0.25">
      <c r="A1377" s="5" t="s">
        <v>1434</v>
      </c>
      <c r="B1377" s="6">
        <f t="shared" ref="B1377:B1423" si="284">MONTH(A1377)</f>
        <v>2</v>
      </c>
      <c r="C1377" s="58">
        <v>18.681123729999999</v>
      </c>
      <c r="D1377" s="4">
        <v>0.4</v>
      </c>
      <c r="E1377" s="12">
        <f t="shared" si="273"/>
        <v>0</v>
      </c>
      <c r="F1377" s="12">
        <f t="shared" si="274"/>
        <v>0.4</v>
      </c>
      <c r="G1377" s="16">
        <f t="shared" si="276"/>
        <v>5.123571419831447</v>
      </c>
      <c r="H1377" s="14">
        <f t="shared" si="277"/>
        <v>4.3676307513253319E-2</v>
      </c>
      <c r="I1377" s="14">
        <f t="shared" si="278"/>
        <v>16.215166902616755</v>
      </c>
      <c r="J1377" s="14">
        <f t="shared" si="279"/>
        <v>1.4372415857454299</v>
      </c>
      <c r="K1377" s="14">
        <f t="shared" si="280"/>
        <v>6.9511919285215376</v>
      </c>
      <c r="L1377" s="14">
        <f t="shared" si="281"/>
        <v>712.25337496773602</v>
      </c>
      <c r="M1377" s="14">
        <f t="shared" si="275"/>
        <v>0.3411859339955976</v>
      </c>
      <c r="N1377" s="14">
        <f t="shared" si="282"/>
        <v>8.731042824817898</v>
      </c>
      <c r="O1377" s="4">
        <v>6.01</v>
      </c>
      <c r="P1377" s="14">
        <f t="shared" ref="P1377:P1423" si="285">(O1377-N1377)^2</f>
        <v>7.4040740544929671</v>
      </c>
      <c r="Q1377" s="14">
        <f t="shared" si="283"/>
        <v>0.27420826918204128</v>
      </c>
    </row>
    <row r="1378" spans="1:17" x14ac:dyDescent="0.25">
      <c r="A1378" s="5" t="s">
        <v>1435</v>
      </c>
      <c r="B1378" s="6">
        <f t="shared" si="284"/>
        <v>2</v>
      </c>
      <c r="C1378" s="58">
        <v>19.64956093</v>
      </c>
      <c r="D1378" s="4">
        <v>1.7</v>
      </c>
      <c r="E1378" s="12">
        <f t="shared" si="273"/>
        <v>0</v>
      </c>
      <c r="F1378" s="12">
        <f t="shared" si="274"/>
        <v>1.7</v>
      </c>
      <c r="G1378" s="16">
        <f t="shared" si="276"/>
        <v>5.3233875547481713</v>
      </c>
      <c r="H1378" s="14">
        <f t="shared" si="277"/>
        <v>0.16766521881361426</v>
      </c>
      <c r="I1378" s="14">
        <f t="shared" si="278"/>
        <v>18.20531466639342</v>
      </c>
      <c r="J1378" s="14">
        <f t="shared" si="279"/>
        <v>1.3325186462696621</v>
      </c>
      <c r="K1378" s="14">
        <f t="shared" si="280"/>
        <v>6.5836042913850452</v>
      </c>
      <c r="L1378" s="14">
        <f t="shared" si="281"/>
        <v>712.44744188969059</v>
      </c>
      <c r="M1378" s="14">
        <f t="shared" si="275"/>
        <v>0.32713733767508368</v>
      </c>
      <c r="N1378" s="14">
        <f t="shared" si="282"/>
        <v>8.3715353425880785</v>
      </c>
      <c r="O1378" s="4">
        <v>6.19</v>
      </c>
      <c r="P1378" s="14">
        <f t="shared" si="285"/>
        <v>4.7590964509608833</v>
      </c>
      <c r="Q1378" s="14">
        <f t="shared" si="283"/>
        <v>0.118094631251008</v>
      </c>
    </row>
    <row r="1379" spans="1:17" x14ac:dyDescent="0.25">
      <c r="A1379" s="5" t="s">
        <v>1436</v>
      </c>
      <c r="B1379" s="6">
        <f t="shared" si="284"/>
        <v>2</v>
      </c>
      <c r="C1379" s="58">
        <v>19.044126510000002</v>
      </c>
      <c r="D1379" s="4">
        <v>2.4</v>
      </c>
      <c r="E1379" s="12">
        <f t="shared" si="273"/>
        <v>0</v>
      </c>
      <c r="F1379" s="12">
        <f t="shared" si="274"/>
        <v>2.4</v>
      </c>
      <c r="G1379" s="16">
        <f t="shared" si="276"/>
        <v>6.1919519611687344</v>
      </c>
      <c r="H1379" s="14">
        <f t="shared" si="277"/>
        <v>0.24156701638622149</v>
      </c>
      <c r="I1379" s="14">
        <f t="shared" si="278"/>
        <v>16.961141108132317</v>
      </c>
      <c r="J1379" s="14">
        <f t="shared" si="279"/>
        <v>1.2898685771932159</v>
      </c>
      <c r="K1379" s="14">
        <f t="shared" si="280"/>
        <v>6.322254876551229</v>
      </c>
      <c r="L1379" s="14">
        <f t="shared" si="281"/>
        <v>712.62322098323557</v>
      </c>
      <c r="M1379" s="14">
        <f t="shared" si="275"/>
        <v>0.31715700480421616</v>
      </c>
      <c r="N1379" s="14">
        <f t="shared" si="282"/>
        <v>8.1161358521078935</v>
      </c>
      <c r="O1379" s="4">
        <v>5.41</v>
      </c>
      <c r="P1379" s="14">
        <f t="shared" si="285"/>
        <v>7.3231712500637141</v>
      </c>
      <c r="Q1379" s="14">
        <f t="shared" si="283"/>
        <v>1.2625870622854833</v>
      </c>
    </row>
    <row r="1380" spans="1:17" x14ac:dyDescent="0.25">
      <c r="A1380" s="5" t="s">
        <v>1437</v>
      </c>
      <c r="B1380" s="6">
        <f t="shared" si="284"/>
        <v>2</v>
      </c>
      <c r="C1380" s="58">
        <v>18.159133910000001</v>
      </c>
      <c r="D1380" s="4">
        <v>0</v>
      </c>
      <c r="E1380" s="12">
        <f t="shared" si="273"/>
        <v>0</v>
      </c>
      <c r="F1380" s="12">
        <f t="shared" si="274"/>
        <v>0</v>
      </c>
      <c r="G1380" s="16">
        <f t="shared" si="276"/>
        <v>4.8525013916089348</v>
      </c>
      <c r="H1380" s="14">
        <f t="shared" si="277"/>
        <v>0</v>
      </c>
      <c r="I1380" s="14">
        <f t="shared" si="278"/>
        <v>15.142472800214263</v>
      </c>
      <c r="J1380" s="14">
        <f t="shared" si="279"/>
        <v>1.3394505695597998</v>
      </c>
      <c r="K1380" s="14">
        <f t="shared" si="280"/>
        <v>5.8423291687049579</v>
      </c>
      <c r="L1380" s="14">
        <f t="shared" si="281"/>
        <v>712.78598968627762</v>
      </c>
      <c r="M1380" s="14">
        <f t="shared" si="275"/>
        <v>0.29879582492935641</v>
      </c>
      <c r="N1380" s="14">
        <f t="shared" si="282"/>
        <v>7.6462681587824877</v>
      </c>
      <c r="O1380" s="4">
        <v>5.45</v>
      </c>
      <c r="P1380" s="14">
        <f t="shared" si="285"/>
        <v>4.8235938252818178</v>
      </c>
      <c r="Q1380" s="14">
        <f t="shared" si="283"/>
        <v>1.1742951427452537</v>
      </c>
    </row>
    <row r="1381" spans="1:17" x14ac:dyDescent="0.25">
      <c r="A1381" s="5" t="s">
        <v>1438</v>
      </c>
      <c r="B1381" s="6">
        <f t="shared" si="284"/>
        <v>2</v>
      </c>
      <c r="C1381" s="58">
        <v>18.826202389999999</v>
      </c>
      <c r="D1381" s="4">
        <v>2.5</v>
      </c>
      <c r="E1381" s="12">
        <f t="shared" si="273"/>
        <v>0</v>
      </c>
      <c r="F1381" s="12">
        <f t="shared" si="274"/>
        <v>2.5</v>
      </c>
      <c r="G1381" s="16">
        <f t="shared" si="276"/>
        <v>5.9682304017992323</v>
      </c>
      <c r="H1381" s="14">
        <f t="shared" si="277"/>
        <v>0.23954384789272509</v>
      </c>
      <c r="I1381" s="14">
        <f t="shared" si="278"/>
        <v>16.51330494478481</v>
      </c>
      <c r="J1381" s="14">
        <f t="shared" si="279"/>
        <v>1.1447271419169778</v>
      </c>
      <c r="K1381" s="14">
        <f t="shared" si="280"/>
        <v>5.6441660341924784</v>
      </c>
      <c r="L1381" s="14">
        <f t="shared" si="281"/>
        <v>712.92490084375345</v>
      </c>
      <c r="M1381" s="14">
        <f t="shared" si="275"/>
        <v>0.29122962419286391</v>
      </c>
      <c r="N1381" s="14">
        <f t="shared" si="282"/>
        <v>7.4526469802132187</v>
      </c>
      <c r="O1381" s="4">
        <v>5.79</v>
      </c>
      <c r="P1381" s="14">
        <f t="shared" si="285"/>
        <v>2.7643949808121353</v>
      </c>
      <c r="Q1381" s="14">
        <f t="shared" si="283"/>
        <v>0.55301382665330323</v>
      </c>
    </row>
    <row r="1382" spans="1:17" x14ac:dyDescent="0.25">
      <c r="A1382" s="5" t="s">
        <v>1439</v>
      </c>
      <c r="B1382" s="6">
        <f t="shared" si="284"/>
        <v>2</v>
      </c>
      <c r="C1382" s="58">
        <v>16.530111309999999</v>
      </c>
      <c r="D1382" s="4">
        <v>2.9</v>
      </c>
      <c r="E1382" s="12">
        <f t="shared" si="273"/>
        <v>0</v>
      </c>
      <c r="F1382" s="12">
        <f t="shared" si="274"/>
        <v>2.9</v>
      </c>
      <c r="G1382" s="16">
        <f t="shared" si="276"/>
        <v>7.5524131480380596</v>
      </c>
      <c r="H1382" s="14">
        <f t="shared" si="277"/>
        <v>0.31018533385442604</v>
      </c>
      <c r="I1382" s="14">
        <f t="shared" si="278"/>
        <v>11.794815683643712</v>
      </c>
      <c r="J1382" s="14">
        <f t="shared" si="279"/>
        <v>1.0056319199067472</v>
      </c>
      <c r="K1382" s="14">
        <f t="shared" si="280"/>
        <v>5.5340766565781081</v>
      </c>
      <c r="L1382" s="14">
        <f t="shared" si="281"/>
        <v>713.05394593102938</v>
      </c>
      <c r="M1382" s="14">
        <f t="shared" si="275"/>
        <v>0.28703722322542274</v>
      </c>
      <c r="N1382" s="14">
        <f t="shared" si="282"/>
        <v>7.345362274900574</v>
      </c>
      <c r="O1382" s="4">
        <v>7.05</v>
      </c>
      <c r="P1382" s="14">
        <f t="shared" si="285"/>
        <v>8.7238873434442366E-2</v>
      </c>
      <c r="Q1382" s="14">
        <f t="shared" si="283"/>
        <v>0.26661836113607373</v>
      </c>
    </row>
    <row r="1383" spans="1:17" x14ac:dyDescent="0.25">
      <c r="A1383" s="5" t="s">
        <v>1440</v>
      </c>
      <c r="B1383" s="6">
        <f t="shared" si="284"/>
        <v>2</v>
      </c>
      <c r="C1383" s="58">
        <v>17.947818760000001</v>
      </c>
      <c r="D1383" s="4">
        <v>2.4</v>
      </c>
      <c r="E1383" s="12">
        <f t="shared" si="273"/>
        <v>0</v>
      </c>
      <c r="F1383" s="12">
        <f t="shared" si="274"/>
        <v>2.4</v>
      </c>
      <c r="G1383" s="16">
        <f t="shared" si="276"/>
        <v>8.0745919949093352</v>
      </c>
      <c r="H1383" s="14">
        <f t="shared" si="277"/>
        <v>0.29092644280691421</v>
      </c>
      <c r="I1383" s="14">
        <f t="shared" si="278"/>
        <v>14.708218133804678</v>
      </c>
      <c r="J1383" s="14">
        <f t="shared" si="279"/>
        <v>1.5868947103218118</v>
      </c>
      <c r="K1383" s="14">
        <f t="shared" si="280"/>
        <v>5.4144128726843723</v>
      </c>
      <c r="L1383" s="14">
        <f t="shared" si="281"/>
        <v>713.17749893450457</v>
      </c>
      <c r="M1383" s="14">
        <f t="shared" si="275"/>
        <v>0.28247666843635133</v>
      </c>
      <c r="N1383" s="14">
        <f t="shared" si="282"/>
        <v>7.2286564110274627</v>
      </c>
      <c r="O1383" s="4">
        <v>6.37</v>
      </c>
      <c r="P1383" s="14">
        <f t="shared" si="285"/>
        <v>0.73729083219856284</v>
      </c>
      <c r="Q1383" s="14">
        <f t="shared" si="283"/>
        <v>2.6780993319975459E-2</v>
      </c>
    </row>
    <row r="1384" spans="1:17" x14ac:dyDescent="0.25">
      <c r="A1384" s="5" t="s">
        <v>1441</v>
      </c>
      <c r="B1384" s="6">
        <f t="shared" si="284"/>
        <v>2</v>
      </c>
      <c r="C1384" s="58">
        <v>16.881486890000001</v>
      </c>
      <c r="D1384" s="4">
        <v>0.6</v>
      </c>
      <c r="E1384" s="12">
        <f t="shared" si="273"/>
        <v>0</v>
      </c>
      <c r="F1384" s="12">
        <f t="shared" si="274"/>
        <v>0.6</v>
      </c>
      <c r="G1384" s="16">
        <f t="shared" si="276"/>
        <v>7.1553875546810417</v>
      </c>
      <c r="H1384" s="14">
        <f t="shared" si="277"/>
        <v>7.5362884482946285E-2</v>
      </c>
      <c r="I1384" s="14">
        <f t="shared" si="278"/>
        <v>12.516895881288676</v>
      </c>
      <c r="J1384" s="14">
        <f t="shared" si="279"/>
        <v>1.4438415557453477</v>
      </c>
      <c r="K1384" s="14">
        <f t="shared" si="280"/>
        <v>5.08971226899068</v>
      </c>
      <c r="L1384" s="14">
        <f t="shared" si="281"/>
        <v>713.29508575424484</v>
      </c>
      <c r="M1384" s="14">
        <f t="shared" si="275"/>
        <v>0.27005573158331903</v>
      </c>
      <c r="N1384" s="14">
        <f t="shared" si="282"/>
        <v>6.9108011866981283</v>
      </c>
      <c r="O1384" s="4">
        <v>6.15</v>
      </c>
      <c r="P1384" s="14">
        <f t="shared" si="285"/>
        <v>0.57881844568127971</v>
      </c>
      <c r="Q1384" s="14">
        <f t="shared" si="283"/>
        <v>0.14718655079123749</v>
      </c>
    </row>
    <row r="1385" spans="1:17" x14ac:dyDescent="0.25">
      <c r="A1385" s="5" t="s">
        <v>1442</v>
      </c>
      <c r="B1385" s="6">
        <f t="shared" si="284"/>
        <v>2</v>
      </c>
      <c r="C1385" s="58">
        <v>17.65215302</v>
      </c>
      <c r="D1385" s="4">
        <v>1.2</v>
      </c>
      <c r="E1385" s="12">
        <f t="shared" si="273"/>
        <v>0</v>
      </c>
      <c r="F1385" s="12">
        <f t="shared" si="274"/>
        <v>1.2</v>
      </c>
      <c r="G1385" s="16">
        <f t="shared" si="276"/>
        <v>6.7726763900854561</v>
      </c>
      <c r="H1385" s="14">
        <f t="shared" si="277"/>
        <v>0.1413469069717965</v>
      </c>
      <c r="I1385" s="14">
        <f t="shared" si="278"/>
        <v>14.100622193369535</v>
      </c>
      <c r="J1385" s="14">
        <f t="shared" si="279"/>
        <v>1.4413642576237888</v>
      </c>
      <c r="K1385" s="14">
        <f t="shared" si="280"/>
        <v>4.8595593704845852</v>
      </c>
      <c r="L1385" s="14">
        <f t="shared" si="281"/>
        <v>713.39652982813936</v>
      </c>
      <c r="M1385" s="14">
        <f t="shared" si="275"/>
        <v>0.26125541217763681</v>
      </c>
      <c r="N1385" s="14">
        <f t="shared" si="282"/>
        <v>6.6855985685735533</v>
      </c>
      <c r="O1385" s="4">
        <v>5.31</v>
      </c>
      <c r="P1385" s="14">
        <f t="shared" si="285"/>
        <v>1.8922714218616099</v>
      </c>
      <c r="Q1385" s="14">
        <f t="shared" si="283"/>
        <v>1.4973168611360583</v>
      </c>
    </row>
    <row r="1386" spans="1:17" x14ac:dyDescent="0.25">
      <c r="A1386" s="5" t="s">
        <v>1443</v>
      </c>
      <c r="B1386" s="6">
        <f t="shared" si="284"/>
        <v>2</v>
      </c>
      <c r="C1386" s="58">
        <v>17.641778949999999</v>
      </c>
      <c r="D1386" s="4">
        <v>5.0999999999999996</v>
      </c>
      <c r="E1386" s="12">
        <f t="shared" si="273"/>
        <v>0</v>
      </c>
      <c r="F1386" s="12">
        <f t="shared" si="274"/>
        <v>5.0999999999999996</v>
      </c>
      <c r="G1386" s="16">
        <f t="shared" si="276"/>
        <v>9.9270423275145383</v>
      </c>
      <c r="H1386" s="14">
        <f t="shared" si="277"/>
        <v>0.58342488268453996</v>
      </c>
      <c r="I1386" s="14">
        <f t="shared" si="278"/>
        <v>14.079303379705868</v>
      </c>
      <c r="J1386" s="14">
        <f t="shared" si="279"/>
        <v>1.3622091798863782</v>
      </c>
      <c r="K1386" s="14">
        <f t="shared" si="280"/>
        <v>5.0917308355646824</v>
      </c>
      <c r="L1386" s="14">
        <f t="shared" si="281"/>
        <v>713.48652783356624</v>
      </c>
      <c r="M1386" s="14">
        <f t="shared" si="275"/>
        <v>0.27017368567408795</v>
      </c>
      <c r="N1386" s="14">
        <f t="shared" si="282"/>
        <v>6.9138196646459313</v>
      </c>
      <c r="O1386" s="4">
        <v>4.9400000000000004</v>
      </c>
      <c r="P1386" s="14">
        <f t="shared" si="285"/>
        <v>3.8959640685429755</v>
      </c>
      <c r="Q1386" s="14">
        <f t="shared" si="283"/>
        <v>2.5397171168831791</v>
      </c>
    </row>
    <row r="1387" spans="1:17" x14ac:dyDescent="0.25">
      <c r="A1387" s="5" t="s">
        <v>1444</v>
      </c>
      <c r="B1387" s="6">
        <f t="shared" si="284"/>
        <v>2</v>
      </c>
      <c r="C1387" s="58">
        <v>16.633897780000002</v>
      </c>
      <c r="D1387" s="4">
        <v>0</v>
      </c>
      <c r="E1387" s="12">
        <f t="shared" si="273"/>
        <v>0</v>
      </c>
      <c r="F1387" s="12">
        <f t="shared" si="274"/>
        <v>0</v>
      </c>
      <c r="G1387" s="16">
        <f t="shared" si="276"/>
        <v>8.2241138679100665</v>
      </c>
      <c r="H1387" s="14">
        <f t="shared" si="277"/>
        <v>0</v>
      </c>
      <c r="I1387" s="14">
        <f t="shared" si="278"/>
        <v>12.008097878070755</v>
      </c>
      <c r="J1387" s="14">
        <f t="shared" si="279"/>
        <v>1.7029284596044714</v>
      </c>
      <c r="K1387" s="14">
        <f t="shared" si="280"/>
        <v>4.7200534582114386</v>
      </c>
      <c r="L1387" s="14">
        <f t="shared" si="281"/>
        <v>713.58803152524536</v>
      </c>
      <c r="M1387" s="14">
        <f t="shared" si="275"/>
        <v>0.25594870694425786</v>
      </c>
      <c r="N1387" s="14">
        <f t="shared" si="282"/>
        <v>6.5497985075665985</v>
      </c>
      <c r="O1387" s="4">
        <v>5.23</v>
      </c>
      <c r="P1387" s="14">
        <f t="shared" si="285"/>
        <v>1.7418681005750198</v>
      </c>
      <c r="Q1387" s="14">
        <f t="shared" si="283"/>
        <v>1.6995007002165152</v>
      </c>
    </row>
    <row r="1388" spans="1:17" x14ac:dyDescent="0.25">
      <c r="A1388" s="5" t="s">
        <v>1445</v>
      </c>
      <c r="B1388" s="6">
        <f t="shared" si="284"/>
        <v>2</v>
      </c>
      <c r="C1388" s="58">
        <v>17.189180369999999</v>
      </c>
      <c r="D1388" s="4">
        <v>9.6</v>
      </c>
      <c r="E1388" s="12">
        <f t="shared" si="273"/>
        <v>0</v>
      </c>
      <c r="F1388" s="12">
        <f t="shared" si="274"/>
        <v>9.6</v>
      </c>
      <c r="G1388" s="16">
        <f t="shared" si="276"/>
        <v>15.061622477898627</v>
      </c>
      <c r="H1388" s="14">
        <f t="shared" si="277"/>
        <v>1.217624547865811</v>
      </c>
      <c r="I1388" s="14">
        <f t="shared" si="278"/>
        <v>13.14920894314819</v>
      </c>
      <c r="J1388" s="14">
        <f t="shared" si="279"/>
        <v>1.5448668421456269</v>
      </c>
      <c r="K1388" s="14">
        <f t="shared" si="280"/>
        <v>5.5986968250114497</v>
      </c>
      <c r="L1388" s="14">
        <f t="shared" si="281"/>
        <v>713.67106399936688</v>
      </c>
      <c r="M1388" s="14">
        <f t="shared" si="275"/>
        <v>0.28964494860287227</v>
      </c>
      <c r="N1388" s="14">
        <f t="shared" si="282"/>
        <v>7.4120946916776695</v>
      </c>
      <c r="O1388" s="4">
        <v>6.2</v>
      </c>
      <c r="P1388" s="14">
        <f t="shared" si="285"/>
        <v>1.4691735415931844</v>
      </c>
      <c r="Q1388" s="14">
        <f t="shared" si="283"/>
        <v>0.11132165136595078</v>
      </c>
    </row>
    <row r="1389" spans="1:17" x14ac:dyDescent="0.25">
      <c r="A1389" s="5" t="s">
        <v>1446</v>
      </c>
      <c r="B1389" s="6">
        <f t="shared" si="284"/>
        <v>2</v>
      </c>
      <c r="C1389" s="58">
        <v>18.27195549</v>
      </c>
      <c r="D1389" s="4">
        <v>6</v>
      </c>
      <c r="E1389" s="12">
        <f t="shared" si="273"/>
        <v>0</v>
      </c>
      <c r="F1389" s="12">
        <f t="shared" si="274"/>
        <v>6</v>
      </c>
      <c r="G1389" s="16">
        <f t="shared" si="276"/>
        <v>16.703844633967801</v>
      </c>
      <c r="H1389" s="14">
        <f t="shared" si="277"/>
        <v>1.0497432108005482</v>
      </c>
      <c r="I1389" s="14">
        <f t="shared" si="278"/>
        <v>15.374322232622214</v>
      </c>
      <c r="J1389" s="14">
        <f t="shared" si="279"/>
        <v>3.3080346331302759</v>
      </c>
      <c r="K1389" s="14">
        <f t="shared" si="280"/>
        <v>6.2321652185498513</v>
      </c>
      <c r="L1389" s="14">
        <f t="shared" si="281"/>
        <v>713.79769386802616</v>
      </c>
      <c r="M1389" s="14">
        <f t="shared" si="275"/>
        <v>0.31395280828779809</v>
      </c>
      <c r="N1389" s="14">
        <f t="shared" si="282"/>
        <v>8.0341395731981677</v>
      </c>
      <c r="O1389" s="4">
        <v>9.6199999999999992</v>
      </c>
      <c r="P1389" s="14">
        <f t="shared" si="285"/>
        <v>2.5149532932960872</v>
      </c>
      <c r="Q1389" s="14">
        <f t="shared" si="283"/>
        <v>9.5255625306763232</v>
      </c>
    </row>
    <row r="1390" spans="1:17" x14ac:dyDescent="0.25">
      <c r="A1390" s="5" t="s">
        <v>1447</v>
      </c>
      <c r="B1390" s="6">
        <f t="shared" si="284"/>
        <v>2</v>
      </c>
      <c r="C1390" s="58">
        <v>18.543518070000001</v>
      </c>
      <c r="D1390" s="4">
        <v>1.6</v>
      </c>
      <c r="E1390" s="12">
        <f t="shared" si="273"/>
        <v>0</v>
      </c>
      <c r="F1390" s="12">
        <f t="shared" si="274"/>
        <v>1.6</v>
      </c>
      <c r="G1390" s="16">
        <f t="shared" si="276"/>
        <v>14.206191698970654</v>
      </c>
      <c r="H1390" s="14">
        <f t="shared" si="277"/>
        <v>0.29576272888867233</v>
      </c>
      <c r="I1390" s="14">
        <f t="shared" si="278"/>
        <v>15.932385947349845</v>
      </c>
      <c r="J1390" s="14">
        <f t="shared" si="279"/>
        <v>3.8018902061084767</v>
      </c>
      <c r="K1390" s="14">
        <f t="shared" si="280"/>
        <v>6.0559273631562895</v>
      </c>
      <c r="L1390" s="14">
        <f t="shared" si="281"/>
        <v>713.95574164402058</v>
      </c>
      <c r="M1390" s="14">
        <f t="shared" si="275"/>
        <v>0.30723106607293271</v>
      </c>
      <c r="N1390" s="14">
        <f t="shared" si="282"/>
        <v>7.8621283227691476</v>
      </c>
      <c r="O1390" s="4">
        <v>10.02</v>
      </c>
      <c r="P1390" s="14">
        <f t="shared" si="285"/>
        <v>4.6564101753950897</v>
      </c>
      <c r="Q1390" s="14">
        <f t="shared" si="283"/>
        <v>12.154643335274031</v>
      </c>
    </row>
    <row r="1391" spans="1:17" x14ac:dyDescent="0.25">
      <c r="A1391" s="5" t="s">
        <v>1448</v>
      </c>
      <c r="B1391" s="6">
        <f t="shared" si="284"/>
        <v>2</v>
      </c>
      <c r="C1391" s="58">
        <v>17.812860489999998</v>
      </c>
      <c r="D1391" s="4">
        <v>2.5</v>
      </c>
      <c r="E1391" s="12">
        <f t="shared" si="273"/>
        <v>0</v>
      </c>
      <c r="F1391" s="12">
        <f t="shared" si="274"/>
        <v>2.5</v>
      </c>
      <c r="G1391" s="16">
        <f t="shared" si="276"/>
        <v>13.353499431329846</v>
      </c>
      <c r="H1391" s="14">
        <f t="shared" si="277"/>
        <v>0.42400685352287976</v>
      </c>
      <c r="I1391" s="14">
        <f t="shared" si="278"/>
        <v>14.430877590459511</v>
      </c>
      <c r="J1391" s="14">
        <f t="shared" si="279"/>
        <v>2.9286854141179308</v>
      </c>
      <c r="K1391" s="14">
        <f t="shared" si="280"/>
        <v>6.023437152019949</v>
      </c>
      <c r="L1391" s="14">
        <f t="shared" si="281"/>
        <v>714.10500764260689</v>
      </c>
      <c r="M1391" s="14">
        <f t="shared" si="275"/>
        <v>0.30601734879716602</v>
      </c>
      <c r="N1391" s="14">
        <f t="shared" si="282"/>
        <v>7.8310689605385884</v>
      </c>
      <c r="O1391" s="4">
        <v>13.05</v>
      </c>
      <c r="P1391" s="14">
        <f t="shared" si="285"/>
        <v>27.237241194653777</v>
      </c>
      <c r="Q1391" s="14">
        <f t="shared" si="283"/>
        <v>42.462830430101654</v>
      </c>
    </row>
    <row r="1392" spans="1:17" x14ac:dyDescent="0.25">
      <c r="A1392" s="5" t="s">
        <v>1449</v>
      </c>
      <c r="B1392" s="6">
        <f t="shared" si="284"/>
        <v>2</v>
      </c>
      <c r="C1392" s="58">
        <v>16.791784289999999</v>
      </c>
      <c r="D1392" s="4">
        <v>11.5</v>
      </c>
      <c r="E1392" s="12">
        <f t="shared" si="273"/>
        <v>0</v>
      </c>
      <c r="F1392" s="12">
        <f t="shared" si="274"/>
        <v>11.5</v>
      </c>
      <c r="G1392" s="16">
        <f t="shared" si="276"/>
        <v>20.613588267661655</v>
      </c>
      <c r="H1392" s="14">
        <f t="shared" si="277"/>
        <v>1.8872980942109345</v>
      </c>
      <c r="I1392" s="14">
        <f t="shared" si="278"/>
        <v>12.332556175218979</v>
      </c>
      <c r="J1392" s="14">
        <f t="shared" si="279"/>
        <v>2.3526130694572571</v>
      </c>
      <c r="K1392" s="14">
        <f t="shared" si="280"/>
        <v>7.4570963224902709</v>
      </c>
      <c r="L1392" s="14">
        <f t="shared" si="281"/>
        <v>714.25262921755029</v>
      </c>
      <c r="M1392" s="14">
        <f t="shared" si="275"/>
        <v>0.36100118952614757</v>
      </c>
      <c r="N1392" s="14">
        <f t="shared" si="282"/>
        <v>9.2381207180823193</v>
      </c>
      <c r="O1392" s="4">
        <v>13.01</v>
      </c>
      <c r="P1392" s="14">
        <f t="shared" si="285"/>
        <v>14.227073317359837</v>
      </c>
      <c r="Q1392" s="14">
        <f t="shared" si="283"/>
        <v>41.943122349641875</v>
      </c>
    </row>
    <row r="1393" spans="1:17" x14ac:dyDescent="0.25">
      <c r="A1393" s="5" t="s">
        <v>1450</v>
      </c>
      <c r="B1393" s="6">
        <f t="shared" si="284"/>
        <v>3</v>
      </c>
      <c r="C1393" s="58">
        <v>17.311042789999998</v>
      </c>
      <c r="D1393" s="4">
        <v>4.5999999999999996</v>
      </c>
      <c r="E1393" s="12">
        <f t="shared" si="273"/>
        <v>0</v>
      </c>
      <c r="F1393" s="12">
        <f t="shared" si="274"/>
        <v>4.5999999999999996</v>
      </c>
      <c r="G1393" s="16">
        <f t="shared" si="276"/>
        <v>20.097187159448687</v>
      </c>
      <c r="H1393" s="14">
        <f t="shared" si="277"/>
        <v>0.95089854356298098</v>
      </c>
      <c r="I1393" s="14">
        <f t="shared" si="278"/>
        <v>14.145278360578841</v>
      </c>
      <c r="J1393" s="14">
        <f t="shared" si="279"/>
        <v>4.165502564649989</v>
      </c>
      <c r="K1393" s="14">
        <f t="shared" si="280"/>
        <v>7.8282379579984038</v>
      </c>
      <c r="L1393" s="14">
        <f t="shared" si="281"/>
        <v>714.47138493607895</v>
      </c>
      <c r="M1393" s="14">
        <f t="shared" si="275"/>
        <v>0.3752735216979991</v>
      </c>
      <c r="N1393" s="14">
        <f t="shared" si="282"/>
        <v>9.603353662896712</v>
      </c>
      <c r="O1393" s="4">
        <v>18.57</v>
      </c>
      <c r="P1393" s="14">
        <f t="shared" si="285"/>
        <v>80.400746534687812</v>
      </c>
      <c r="Q1393" s="14">
        <f t="shared" si="283"/>
        <v>144.87374553354999</v>
      </c>
    </row>
    <row r="1394" spans="1:17" x14ac:dyDescent="0.25">
      <c r="A1394" s="5" t="s">
        <v>1451</v>
      </c>
      <c r="B1394" s="6">
        <f t="shared" si="284"/>
        <v>3</v>
      </c>
      <c r="C1394" s="58">
        <v>17.489973070000001</v>
      </c>
      <c r="D1394" s="4">
        <v>3.8</v>
      </c>
      <c r="E1394" s="12">
        <f t="shared" si="273"/>
        <v>0</v>
      </c>
      <c r="F1394" s="12">
        <f t="shared" si="274"/>
        <v>3.8</v>
      </c>
      <c r="G1394" s="16">
        <f t="shared" si="276"/>
        <v>18.956647473313417</v>
      </c>
      <c r="H1394" s="14">
        <f t="shared" si="277"/>
        <v>0.77500203434808512</v>
      </c>
      <c r="I1394" s="14">
        <f t="shared" si="278"/>
        <v>14.508866232902989</v>
      </c>
      <c r="J1394" s="14">
        <f t="shared" si="279"/>
        <v>4.1655376517871847</v>
      </c>
      <c r="K1394" s="14">
        <f t="shared" si="280"/>
        <v>7.990834016835799</v>
      </c>
      <c r="L1394" s="14">
        <f t="shared" si="281"/>
        <v>714.70851738989165</v>
      </c>
      <c r="M1394" s="14">
        <f t="shared" si="275"/>
        <v>0.38155614040659336</v>
      </c>
      <c r="N1394" s="14">
        <f t="shared" si="282"/>
        <v>9.7641276208215029</v>
      </c>
      <c r="O1394" s="4">
        <v>17.27</v>
      </c>
      <c r="P1394" s="14">
        <f t="shared" si="285"/>
        <v>56.338120172514664</v>
      </c>
      <c r="Q1394" s="14">
        <f t="shared" si="283"/>
        <v>115.26923291860744</v>
      </c>
    </row>
    <row r="1395" spans="1:17" x14ac:dyDescent="0.25">
      <c r="A1395" s="5" t="s">
        <v>1452</v>
      </c>
      <c r="B1395" s="6">
        <f t="shared" si="284"/>
        <v>3</v>
      </c>
      <c r="C1395" s="58">
        <v>18.429872509999999</v>
      </c>
      <c r="D1395" s="4">
        <v>0</v>
      </c>
      <c r="E1395" s="12">
        <f t="shared" si="273"/>
        <v>0</v>
      </c>
      <c r="F1395" s="12">
        <f t="shared" si="274"/>
        <v>0</v>
      </c>
      <c r="G1395" s="16">
        <f t="shared" si="276"/>
        <v>14.510294514925148</v>
      </c>
      <c r="H1395" s="14">
        <f t="shared" si="277"/>
        <v>0</v>
      </c>
      <c r="I1395" s="14">
        <f t="shared" si="278"/>
        <v>16.418750002090917</v>
      </c>
      <c r="J1395" s="14">
        <f t="shared" si="279"/>
        <v>4.4463529583882693</v>
      </c>
      <c r="K1395" s="14">
        <f t="shared" si="280"/>
        <v>7.3641245809069078</v>
      </c>
      <c r="L1395" s="14">
        <f t="shared" si="281"/>
        <v>714.95367068541395</v>
      </c>
      <c r="M1395" s="14">
        <f t="shared" si="275"/>
        <v>0.35758616399062593</v>
      </c>
      <c r="N1395" s="14">
        <f t="shared" si="282"/>
        <v>9.1507292660101136</v>
      </c>
      <c r="O1395" s="4">
        <v>15.39</v>
      </c>
      <c r="P1395" s="14">
        <f t="shared" si="285"/>
        <v>38.9284992920227</v>
      </c>
      <c r="Q1395" s="14">
        <f t="shared" si="283"/>
        <v>78.434953136998246</v>
      </c>
    </row>
    <row r="1396" spans="1:17" x14ac:dyDescent="0.25">
      <c r="A1396" s="5" t="s">
        <v>1453</v>
      </c>
      <c r="B1396" s="6">
        <f t="shared" si="284"/>
        <v>3</v>
      </c>
      <c r="C1396" s="58">
        <v>18.882131579999999</v>
      </c>
      <c r="D1396" s="4">
        <v>0</v>
      </c>
      <c r="E1396" s="12">
        <f t="shared" si="273"/>
        <v>0</v>
      </c>
      <c r="F1396" s="12">
        <f t="shared" si="274"/>
        <v>0</v>
      </c>
      <c r="G1396" s="16">
        <f t="shared" si="276"/>
        <v>10.91635194834971</v>
      </c>
      <c r="H1396" s="14">
        <f t="shared" si="277"/>
        <v>0</v>
      </c>
      <c r="I1396" s="14">
        <f t="shared" si="278"/>
        <v>17.337744333294079</v>
      </c>
      <c r="J1396" s="14">
        <f t="shared" si="279"/>
        <v>3.5939425665754365</v>
      </c>
      <c r="K1396" s="14">
        <f t="shared" si="280"/>
        <v>6.7925463312725487</v>
      </c>
      <c r="L1396" s="14">
        <f t="shared" si="281"/>
        <v>715.16766277105773</v>
      </c>
      <c r="M1396" s="14">
        <f t="shared" si="275"/>
        <v>0.33572277546453855</v>
      </c>
      <c r="N1396" s="14">
        <f t="shared" si="282"/>
        <v>8.5912390804640602</v>
      </c>
      <c r="O1396" s="4">
        <v>12.76</v>
      </c>
      <c r="P1396" s="14">
        <f t="shared" si="285"/>
        <v>17.378567604250133</v>
      </c>
      <c r="Q1396" s="14">
        <f t="shared" si="283"/>
        <v>38.767446846768308</v>
      </c>
    </row>
    <row r="1397" spans="1:17" x14ac:dyDescent="0.25">
      <c r="A1397" s="5" t="s">
        <v>1454</v>
      </c>
      <c r="B1397" s="6">
        <f t="shared" si="284"/>
        <v>3</v>
      </c>
      <c r="C1397" s="58">
        <v>18.03458977</v>
      </c>
      <c r="D1397" s="4">
        <v>0</v>
      </c>
      <c r="E1397" s="12">
        <f t="shared" si="273"/>
        <v>0</v>
      </c>
      <c r="F1397" s="12">
        <f t="shared" si="274"/>
        <v>0</v>
      </c>
      <c r="G1397" s="16">
        <f t="shared" si="276"/>
        <v>8.4811407834972279</v>
      </c>
      <c r="H1397" s="14">
        <f t="shared" si="277"/>
        <v>0</v>
      </c>
      <c r="I1397" s="14">
        <f t="shared" si="278"/>
        <v>15.61553206489741</v>
      </c>
      <c r="J1397" s="14">
        <f t="shared" si="279"/>
        <v>2.4352111648524821</v>
      </c>
      <c r="K1397" s="14">
        <f t="shared" si="280"/>
        <v>6.2712494164257988</v>
      </c>
      <c r="L1397" s="14">
        <f t="shared" si="281"/>
        <v>715.35323691043993</v>
      </c>
      <c r="M1397" s="14">
        <f t="shared" si="275"/>
        <v>0.31578066021117679</v>
      </c>
      <c r="N1397" s="14">
        <f t="shared" si="282"/>
        <v>8.0809148116540719</v>
      </c>
      <c r="O1397" s="4">
        <v>10.93</v>
      </c>
      <c r="P1397" s="14">
        <f t="shared" si="285"/>
        <v>8.1172864104521505</v>
      </c>
      <c r="Q1397" s="14">
        <f t="shared" si="283"/>
        <v>19.327902165733811</v>
      </c>
    </row>
    <row r="1398" spans="1:17" x14ac:dyDescent="0.25">
      <c r="A1398" s="5" t="s">
        <v>1455</v>
      </c>
      <c r="B1398" s="6">
        <f t="shared" si="284"/>
        <v>3</v>
      </c>
      <c r="C1398" s="58">
        <v>15.157848359999999</v>
      </c>
      <c r="D1398" s="4">
        <v>0</v>
      </c>
      <c r="E1398" s="12">
        <f t="shared" si="273"/>
        <v>0</v>
      </c>
      <c r="F1398" s="12">
        <f t="shared" si="274"/>
        <v>0</v>
      </c>
      <c r="G1398" s="16">
        <f t="shared" si="276"/>
        <v>7.2974186840192576</v>
      </c>
      <c r="H1398" s="14">
        <f t="shared" si="277"/>
        <v>0</v>
      </c>
      <c r="I1398" s="14">
        <f t="shared" si="278"/>
        <v>9.76996870642812</v>
      </c>
      <c r="J1398" s="14">
        <f t="shared" si="279"/>
        <v>1.1837220994779705</v>
      </c>
      <c r="K1398" s="14">
        <f t="shared" si="280"/>
        <v>5.7958106228702713</v>
      </c>
      <c r="L1398" s="14">
        <f t="shared" si="281"/>
        <v>715.51289504378428</v>
      </c>
      <c r="M1398" s="14">
        <f t="shared" si="275"/>
        <v>0.29759080560923712</v>
      </c>
      <c r="N1398" s="14">
        <f t="shared" si="282"/>
        <v>7.6154313796530468</v>
      </c>
      <c r="O1398" s="4">
        <v>9.4600000000000009</v>
      </c>
      <c r="P1398" s="14">
        <f t="shared" si="285"/>
        <v>3.4024333951686652</v>
      </c>
      <c r="Q1398" s="14">
        <f t="shared" si="283"/>
        <v>8.5635302088372516</v>
      </c>
    </row>
    <row r="1399" spans="1:17" x14ac:dyDescent="0.25">
      <c r="A1399" s="5" t="s">
        <v>1456</v>
      </c>
      <c r="B1399" s="6">
        <f t="shared" si="284"/>
        <v>3</v>
      </c>
      <c r="C1399" s="58">
        <v>17.32717323</v>
      </c>
      <c r="D1399" s="4">
        <v>0</v>
      </c>
      <c r="E1399" s="12">
        <f t="shared" si="273"/>
        <v>0</v>
      </c>
      <c r="F1399" s="12">
        <f t="shared" si="274"/>
        <v>0</v>
      </c>
      <c r="G1399" s="16">
        <f t="shared" si="276"/>
        <v>5.8193716689779569</v>
      </c>
      <c r="H1399" s="14">
        <f t="shared" si="277"/>
        <v>0</v>
      </c>
      <c r="I1399" s="14">
        <f t="shared" si="278"/>
        <v>14.178055553792047</v>
      </c>
      <c r="J1399" s="14">
        <f t="shared" si="279"/>
        <v>1.478047015041301</v>
      </c>
      <c r="K1399" s="14">
        <f t="shared" si="280"/>
        <v>5.3621958440757593</v>
      </c>
      <c r="L1399" s="14">
        <f t="shared" si="281"/>
        <v>715.64891901696956</v>
      </c>
      <c r="M1399" s="14">
        <f t="shared" si="275"/>
        <v>0.28099906695820953</v>
      </c>
      <c r="N1399" s="14">
        <f t="shared" si="282"/>
        <v>7.1908441787569597</v>
      </c>
      <c r="O1399" s="4">
        <v>9.07</v>
      </c>
      <c r="P1399" s="14">
        <f t="shared" si="285"/>
        <v>3.5312266005116064</v>
      </c>
      <c r="Q1399" s="14">
        <f t="shared" si="283"/>
        <v>6.4330764243544856</v>
      </c>
    </row>
    <row r="1400" spans="1:17" x14ac:dyDescent="0.25">
      <c r="A1400" s="5" t="s">
        <v>1457</v>
      </c>
      <c r="B1400" s="6">
        <f t="shared" si="284"/>
        <v>3</v>
      </c>
      <c r="C1400" s="58">
        <v>18.42891693</v>
      </c>
      <c r="D1400" s="4">
        <v>9.6999999999999993</v>
      </c>
      <c r="E1400" s="12">
        <f t="shared" si="273"/>
        <v>0</v>
      </c>
      <c r="F1400" s="12">
        <f t="shared" si="274"/>
        <v>9.6999999999999993</v>
      </c>
      <c r="G1400" s="16">
        <f t="shared" si="276"/>
        <v>13.130898448905715</v>
      </c>
      <c r="H1400" s="14">
        <f t="shared" si="277"/>
        <v>1.0236791342800662</v>
      </c>
      <c r="I1400" s="14">
        <f t="shared" si="278"/>
        <v>16.416808255288558</v>
      </c>
      <c r="J1400" s="14">
        <f t="shared" si="279"/>
        <v>1.3647940857921765</v>
      </c>
      <c r="K1400" s="14">
        <f t="shared" si="280"/>
        <v>5.9904049852933969</v>
      </c>
      <c r="L1400" s="14">
        <f t="shared" si="281"/>
        <v>715.76338994307378</v>
      </c>
      <c r="M1400" s="14">
        <f t="shared" si="275"/>
        <v>0.30510276061196862</v>
      </c>
      <c r="N1400" s="14">
        <f t="shared" si="282"/>
        <v>7.8076643948271141</v>
      </c>
      <c r="O1400" s="4">
        <v>9.2799999999999994</v>
      </c>
      <c r="P1400" s="14">
        <f t="shared" si="285"/>
        <v>2.1677721342598066</v>
      </c>
      <c r="Q1400" s="14">
        <f t="shared" si="283"/>
        <v>7.5424438467682755</v>
      </c>
    </row>
    <row r="1401" spans="1:17" x14ac:dyDescent="0.25">
      <c r="A1401" s="5" t="s">
        <v>1458</v>
      </c>
      <c r="B1401" s="6">
        <f t="shared" si="284"/>
        <v>3</v>
      </c>
      <c r="C1401" s="58">
        <v>18.68962097</v>
      </c>
      <c r="D1401" s="4">
        <v>1.2</v>
      </c>
      <c r="E1401" s="12">
        <f t="shared" si="273"/>
        <v>0</v>
      </c>
      <c r="F1401" s="12">
        <f t="shared" si="274"/>
        <v>1.2</v>
      </c>
      <c r="G1401" s="16">
        <f t="shared" si="276"/>
        <v>10.956804224492235</v>
      </c>
      <c r="H1401" s="14">
        <f t="shared" si="277"/>
        <v>0.19518347105352854</v>
      </c>
      <c r="I1401" s="14">
        <f t="shared" si="278"/>
        <v>16.946561113272729</v>
      </c>
      <c r="J1401" s="14">
        <f t="shared" si="279"/>
        <v>3.1789107533599501</v>
      </c>
      <c r="K1401" s="14">
        <f t="shared" si="280"/>
        <v>5.7348553489752891</v>
      </c>
      <c r="L1401" s="14">
        <f t="shared" si="281"/>
        <v>715.90902028983351</v>
      </c>
      <c r="M1401" s="14">
        <f t="shared" si="275"/>
        <v>0.29533834390725783</v>
      </c>
      <c r="N1401" s="14">
        <f t="shared" si="282"/>
        <v>7.5577902590155919</v>
      </c>
      <c r="O1401" s="4">
        <v>7.93</v>
      </c>
      <c r="P1401" s="14">
        <f t="shared" si="285"/>
        <v>0.13854009128367997</v>
      </c>
      <c r="Q1401" s="14">
        <f t="shared" si="283"/>
        <v>1.9497961312510239</v>
      </c>
    </row>
    <row r="1402" spans="1:17" x14ac:dyDescent="0.25">
      <c r="A1402" s="5" t="s">
        <v>1459</v>
      </c>
      <c r="B1402" s="6">
        <f t="shared" si="284"/>
        <v>3</v>
      </c>
      <c r="C1402" s="58">
        <v>18.205886840000002</v>
      </c>
      <c r="D1402" s="4">
        <v>0</v>
      </c>
      <c r="E1402" s="12">
        <f t="shared" si="273"/>
        <v>0</v>
      </c>
      <c r="F1402" s="12">
        <f t="shared" si="274"/>
        <v>0</v>
      </c>
      <c r="G1402" s="16">
        <f t="shared" si="276"/>
        <v>8.4580859124217262</v>
      </c>
      <c r="H1402" s="14">
        <f t="shared" si="277"/>
        <v>0</v>
      </c>
      <c r="I1402" s="14">
        <f t="shared" si="278"/>
        <v>15.963609188661259</v>
      </c>
      <c r="J1402" s="14">
        <f t="shared" si="279"/>
        <v>2.4987183120705092</v>
      </c>
      <c r="K1402" s="14">
        <f t="shared" si="280"/>
        <v>5.3066027625590637</v>
      </c>
      <c r="L1402" s="14">
        <f t="shared" si="281"/>
        <v>716.04193453234257</v>
      </c>
      <c r="M1402" s="14">
        <f t="shared" si="275"/>
        <v>0.2789514803553711</v>
      </c>
      <c r="N1402" s="14">
        <f t="shared" si="282"/>
        <v>7.1384458688162677</v>
      </c>
      <c r="O1402" s="4">
        <v>7.3</v>
      </c>
      <c r="P1402" s="14">
        <f t="shared" si="285"/>
        <v>2.6099737302530512E-2</v>
      </c>
      <c r="Q1402" s="14">
        <f t="shared" si="283"/>
        <v>0.58729386400963923</v>
      </c>
    </row>
    <row r="1403" spans="1:17" x14ac:dyDescent="0.25">
      <c r="A1403" s="5" t="s">
        <v>1460</v>
      </c>
      <c r="B1403" s="6">
        <f t="shared" si="284"/>
        <v>3</v>
      </c>
      <c r="C1403" s="58">
        <v>17.60571861</v>
      </c>
      <c r="D1403" s="4">
        <v>2.7</v>
      </c>
      <c r="E1403" s="12">
        <f t="shared" si="273"/>
        <v>0</v>
      </c>
      <c r="F1403" s="12">
        <f t="shared" si="274"/>
        <v>2.7</v>
      </c>
      <c r="G1403" s="16">
        <f t="shared" si="276"/>
        <v>9.0289605122818735</v>
      </c>
      <c r="H1403" s="14">
        <f t="shared" si="277"/>
        <v>0.34760189690738763</v>
      </c>
      <c r="I1403" s="14">
        <f t="shared" si="278"/>
        <v>14.744062168546796</v>
      </c>
      <c r="J1403" s="14">
        <f t="shared" si="279"/>
        <v>1.7815235032324632</v>
      </c>
      <c r="K1403" s="14">
        <f t="shared" si="280"/>
        <v>5.2636251505072993</v>
      </c>
      <c r="L1403" s="14">
        <f t="shared" si="281"/>
        <v>716.15356256094628</v>
      </c>
      <c r="M1403" s="14">
        <f t="shared" si="275"/>
        <v>0.27732779964068527</v>
      </c>
      <c r="N1403" s="14">
        <f t="shared" si="282"/>
        <v>7.0968954283050358</v>
      </c>
      <c r="O1403" s="4">
        <v>6.35</v>
      </c>
      <c r="P1403" s="14">
        <f t="shared" si="285"/>
        <v>0.55785278082296341</v>
      </c>
      <c r="Q1403" s="14">
        <f t="shared" si="283"/>
        <v>3.3726953090090377E-2</v>
      </c>
    </row>
    <row r="1404" spans="1:17" x14ac:dyDescent="0.25">
      <c r="A1404" s="5" t="s">
        <v>1461</v>
      </c>
      <c r="B1404" s="6">
        <f t="shared" si="284"/>
        <v>3</v>
      </c>
      <c r="C1404" s="58">
        <v>19.01867867</v>
      </c>
      <c r="D1404" s="4">
        <v>0.5</v>
      </c>
      <c r="E1404" s="12">
        <f t="shared" si="273"/>
        <v>0</v>
      </c>
      <c r="F1404" s="12">
        <f t="shared" si="274"/>
        <v>0.5</v>
      </c>
      <c r="G1404" s="16">
        <f t="shared" si="276"/>
        <v>7.1902133676211513</v>
      </c>
      <c r="H1404" s="14">
        <f t="shared" si="277"/>
        <v>6.6644906057673814E-2</v>
      </c>
      <c r="I1404" s="14">
        <f t="shared" si="278"/>
        <v>17.615209197961779</v>
      </c>
      <c r="J1404" s="14">
        <f t="shared" si="279"/>
        <v>2.2721022386030487</v>
      </c>
      <c r="K1404" s="14">
        <f t="shared" si="280"/>
        <v>4.9434712577733775</v>
      </c>
      <c r="L1404" s="14">
        <f t="shared" si="281"/>
        <v>716.26303356009714</v>
      </c>
      <c r="M1404" s="14">
        <f t="shared" si="275"/>
        <v>0.2650794190704151</v>
      </c>
      <c r="N1404" s="14">
        <f t="shared" si="282"/>
        <v>6.7834559671838859</v>
      </c>
      <c r="O1404" s="4">
        <v>5.81</v>
      </c>
      <c r="P1404" s="14">
        <f t="shared" si="285"/>
        <v>0.94761652004591546</v>
      </c>
      <c r="Q1404" s="14">
        <f t="shared" si="283"/>
        <v>0.52366786688318911</v>
      </c>
    </row>
    <row r="1405" spans="1:17" x14ac:dyDescent="0.25">
      <c r="A1405" s="5" t="s">
        <v>1462</v>
      </c>
      <c r="B1405" s="6">
        <f t="shared" si="284"/>
        <v>3</v>
      </c>
      <c r="C1405" s="58">
        <v>19.1417942</v>
      </c>
      <c r="D1405" s="4">
        <v>0</v>
      </c>
      <c r="E1405" s="12">
        <f t="shared" si="273"/>
        <v>0</v>
      </c>
      <c r="F1405" s="12">
        <f t="shared" si="274"/>
        <v>0</v>
      </c>
      <c r="G1405" s="16">
        <f t="shared" si="276"/>
        <v>5.3551275799148002</v>
      </c>
      <c r="H1405" s="14">
        <f t="shared" si="277"/>
        <v>0</v>
      </c>
      <c r="I1405" s="14">
        <f t="shared" si="278"/>
        <v>17.865381016855476</v>
      </c>
      <c r="J1405" s="14">
        <f t="shared" si="279"/>
        <v>1.8350857877063513</v>
      </c>
      <c r="K1405" s="14">
        <f t="shared" si="280"/>
        <v>4.5848361707297514</v>
      </c>
      <c r="L1405" s="14">
        <f t="shared" si="281"/>
        <v>716.35658922807033</v>
      </c>
      <c r="M1405" s="14">
        <f t="shared" si="275"/>
        <v>0.25135267007178785</v>
      </c>
      <c r="N1405" s="14">
        <f t="shared" si="282"/>
        <v>6.4321846473231821</v>
      </c>
      <c r="O1405" s="4">
        <v>5.35</v>
      </c>
      <c r="P1405" s="14">
        <f t="shared" si="285"/>
        <v>1.1711236109020007</v>
      </c>
      <c r="Q1405" s="14">
        <f t="shared" si="283"/>
        <v>1.4010249415958287</v>
      </c>
    </row>
    <row r="1406" spans="1:17" x14ac:dyDescent="0.25">
      <c r="A1406" s="5" t="s">
        <v>1463</v>
      </c>
      <c r="B1406" s="6">
        <f t="shared" si="284"/>
        <v>3</v>
      </c>
      <c r="C1406" s="58">
        <v>17.456443790000002</v>
      </c>
      <c r="D1406" s="4">
        <v>0</v>
      </c>
      <c r="E1406" s="12">
        <f t="shared" si="273"/>
        <v>0</v>
      </c>
      <c r="F1406" s="12">
        <f t="shared" si="274"/>
        <v>0</v>
      </c>
      <c r="G1406" s="16">
        <f t="shared" si="276"/>
        <v>4.2503841833536118</v>
      </c>
      <c r="H1406" s="14">
        <f t="shared" si="277"/>
        <v>0</v>
      </c>
      <c r="I1406" s="14">
        <f t="shared" si="278"/>
        <v>14.440734446735995</v>
      </c>
      <c r="J1406" s="14">
        <f t="shared" si="279"/>
        <v>1.1047433965611881</v>
      </c>
      <c r="K1406" s="14">
        <f t="shared" si="280"/>
        <v>4.2577499589096997</v>
      </c>
      <c r="L1406" s="14">
        <f t="shared" si="281"/>
        <v>716.4323227698186</v>
      </c>
      <c r="M1406" s="14">
        <f t="shared" si="275"/>
        <v>0.23883142015140429</v>
      </c>
      <c r="N1406" s="14">
        <f t="shared" si="282"/>
        <v>6.1117623837355888</v>
      </c>
      <c r="O1406" s="4">
        <v>4.6900000000000004</v>
      </c>
      <c r="P1406" s="14">
        <f t="shared" si="285"/>
        <v>2.0214082758055025</v>
      </c>
      <c r="Q1406" s="14">
        <f t="shared" si="283"/>
        <v>3.3990416140096134</v>
      </c>
    </row>
    <row r="1407" spans="1:17" x14ac:dyDescent="0.25">
      <c r="A1407" s="5" t="s">
        <v>1464</v>
      </c>
      <c r="B1407" s="6">
        <f t="shared" si="284"/>
        <v>3</v>
      </c>
      <c r="C1407" s="58">
        <v>18.340105059999999</v>
      </c>
      <c r="D1407" s="4">
        <v>0</v>
      </c>
      <c r="E1407" s="12">
        <f t="shared" si="273"/>
        <v>0</v>
      </c>
      <c r="F1407" s="12">
        <f t="shared" si="274"/>
        <v>0</v>
      </c>
      <c r="G1407" s="16">
        <f t="shared" si="276"/>
        <v>3.2645163836152578</v>
      </c>
      <c r="H1407" s="14">
        <f t="shared" si="277"/>
        <v>0</v>
      </c>
      <c r="I1407" s="14">
        <f t="shared" si="278"/>
        <v>16.236341769401267</v>
      </c>
      <c r="J1407" s="14">
        <f t="shared" si="279"/>
        <v>0.98586779973835414</v>
      </c>
      <c r="K1407" s="14">
        <f t="shared" si="280"/>
        <v>3.9594372900497858</v>
      </c>
      <c r="L1407" s="14">
        <f t="shared" si="281"/>
        <v>716.49180401852709</v>
      </c>
      <c r="M1407" s="14">
        <f t="shared" si="275"/>
        <v>0.22740962283808913</v>
      </c>
      <c r="N1407" s="14">
        <f t="shared" si="282"/>
        <v>5.8194754177663777</v>
      </c>
      <c r="O1407" s="4">
        <v>4.5999999999999996</v>
      </c>
      <c r="P1407" s="14">
        <f t="shared" si="285"/>
        <v>1.4871202945364823</v>
      </c>
      <c r="Q1407" s="14">
        <f t="shared" si="283"/>
        <v>3.7389984329751327</v>
      </c>
    </row>
    <row r="1408" spans="1:17" x14ac:dyDescent="0.25">
      <c r="A1408" s="5" t="s">
        <v>1465</v>
      </c>
      <c r="B1408" s="6">
        <f t="shared" si="284"/>
        <v>3</v>
      </c>
      <c r="C1408" s="58">
        <v>17.113420489999999</v>
      </c>
      <c r="D1408" s="4">
        <v>6.5</v>
      </c>
      <c r="E1408" s="12">
        <f t="shared" si="273"/>
        <v>0</v>
      </c>
      <c r="F1408" s="12">
        <f t="shared" si="274"/>
        <v>6.5</v>
      </c>
      <c r="G1408" s="16">
        <f t="shared" si="276"/>
        <v>8.6190793910920096</v>
      </c>
      <c r="H1408" s="14">
        <f t="shared" si="277"/>
        <v>0.50448561203206055</v>
      </c>
      <c r="I1408" s="14">
        <f t="shared" si="278"/>
        <v>13.743708142386579</v>
      </c>
      <c r="J1408" s="14">
        <f t="shared" si="279"/>
        <v>0.64095138049118683</v>
      </c>
      <c r="K1408" s="14">
        <f t="shared" si="280"/>
        <v>4.1918525879370154</v>
      </c>
      <c r="L1408" s="14">
        <f t="shared" si="281"/>
        <v>716.53646470983392</v>
      </c>
      <c r="M1408" s="14">
        <f t="shared" si="275"/>
        <v>0.23632763191116429</v>
      </c>
      <c r="N1408" s="14">
        <f t="shared" si="282"/>
        <v>6.0476897471711135</v>
      </c>
      <c r="O1408" s="4">
        <v>4.32</v>
      </c>
      <c r="P1408" s="14">
        <f t="shared" si="285"/>
        <v>2.9849118624801854</v>
      </c>
      <c r="Q1408" s="14">
        <f t="shared" si="283"/>
        <v>4.9002418697567363</v>
      </c>
    </row>
    <row r="1409" spans="1:17" x14ac:dyDescent="0.25">
      <c r="A1409" s="5" t="s">
        <v>1466</v>
      </c>
      <c r="B1409" s="6">
        <f t="shared" si="284"/>
        <v>3</v>
      </c>
      <c r="C1409" s="58">
        <v>16.27822304</v>
      </c>
      <c r="D1409" s="4">
        <v>0</v>
      </c>
      <c r="E1409" s="12">
        <f t="shared" si="273"/>
        <v>0</v>
      </c>
      <c r="F1409" s="12">
        <f t="shared" si="274"/>
        <v>0</v>
      </c>
      <c r="G1409" s="16">
        <f t="shared" si="276"/>
        <v>7.1357863790089509</v>
      </c>
      <c r="H1409" s="14">
        <f t="shared" si="277"/>
        <v>0</v>
      </c>
      <c r="I1409" s="14">
        <f t="shared" si="278"/>
        <v>12.046579719986257</v>
      </c>
      <c r="J1409" s="14">
        <f t="shared" si="279"/>
        <v>1.483293012083059</v>
      </c>
      <c r="K1409" s="14">
        <f t="shared" si="280"/>
        <v>3.8993368642436135</v>
      </c>
      <c r="L1409" s="14">
        <f t="shared" si="281"/>
        <v>716.59265280161617</v>
      </c>
      <c r="M1409" s="14">
        <f t="shared" si="275"/>
        <v>0.22512733500752141</v>
      </c>
      <c r="N1409" s="14">
        <f t="shared" si="282"/>
        <v>5.7610710382133083</v>
      </c>
      <c r="O1409" s="4">
        <v>5.87</v>
      </c>
      <c r="P1409" s="14">
        <f t="shared" si="285"/>
        <v>1.1865518715926553E-2</v>
      </c>
      <c r="Q1409" s="14">
        <f t="shared" si="283"/>
        <v>0.44042998757284418</v>
      </c>
    </row>
    <row r="1410" spans="1:17" x14ac:dyDescent="0.25">
      <c r="A1410" s="5" t="s">
        <v>1467</v>
      </c>
      <c r="B1410" s="6">
        <f t="shared" si="284"/>
        <v>3</v>
      </c>
      <c r="C1410" s="58">
        <v>18.19293785</v>
      </c>
      <c r="D1410" s="4">
        <v>7.9</v>
      </c>
      <c r="E1410" s="12">
        <f t="shared" si="273"/>
        <v>0</v>
      </c>
      <c r="F1410" s="12">
        <f t="shared" si="274"/>
        <v>7.9</v>
      </c>
      <c r="G1410" s="16">
        <f t="shared" si="276"/>
        <v>12.481962235277956</v>
      </c>
      <c r="H1410" s="14">
        <f t="shared" si="277"/>
        <v>0.92917790433542169</v>
      </c>
      <c r="I1410" s="14">
        <f t="shared" si="278"/>
        <v>15.937296729289669</v>
      </c>
      <c r="J1410" s="14">
        <f t="shared" si="279"/>
        <v>1.6246462393955718</v>
      </c>
      <c r="K1410" s="14">
        <f t="shared" si="280"/>
        <v>4.5617314464300875</v>
      </c>
      <c r="L1410" s="14">
        <f t="shared" si="281"/>
        <v>716.63430878875761</v>
      </c>
      <c r="M1410" s="14">
        <f t="shared" si="275"/>
        <v>0.25052593065165091</v>
      </c>
      <c r="N1410" s="14">
        <f t="shared" si="282"/>
        <v>6.4110281559120388</v>
      </c>
      <c r="O1410" s="4">
        <v>6.62</v>
      </c>
      <c r="P1410" s="14">
        <f t="shared" si="285"/>
        <v>4.3669231621523218E-2</v>
      </c>
      <c r="Q1410" s="14">
        <f t="shared" si="283"/>
        <v>7.4564961935410998E-3</v>
      </c>
    </row>
    <row r="1411" spans="1:17" x14ac:dyDescent="0.25">
      <c r="A1411" s="5" t="s">
        <v>1468</v>
      </c>
      <c r="B1411" s="6">
        <f t="shared" si="284"/>
        <v>3</v>
      </c>
      <c r="C1411" s="58">
        <v>16.73950958</v>
      </c>
      <c r="D1411" s="4">
        <v>12.8</v>
      </c>
      <c r="E1411" s="12">
        <f t="shared" si="273"/>
        <v>0</v>
      </c>
      <c r="F1411" s="12">
        <f t="shared" si="274"/>
        <v>12.8</v>
      </c>
      <c r="G1411" s="16">
        <f t="shared" si="276"/>
        <v>20.940136083687445</v>
      </c>
      <c r="H1411" s="14">
        <f t="shared" si="277"/>
        <v>2.0266132320292392</v>
      </c>
      <c r="I1411" s="14">
        <f t="shared" si="278"/>
        <v>12.983917948095913</v>
      </c>
      <c r="J1411" s="14">
        <f t="shared" si="279"/>
        <v>2.3152129195612763</v>
      </c>
      <c r="K1411" s="14">
        <f t="shared" si="280"/>
        <v>6.2632909729119168</v>
      </c>
      <c r="L1411" s="14">
        <f t="shared" si="281"/>
        <v>716.70883656365345</v>
      </c>
      <c r="M1411" s="14">
        <f t="shared" si="275"/>
        <v>0.31576297084089699</v>
      </c>
      <c r="N1411" s="14">
        <f t="shared" si="282"/>
        <v>8.0804621357548996</v>
      </c>
      <c r="O1411" s="4">
        <v>10.15</v>
      </c>
      <c r="P1411" s="14">
        <f t="shared" si="285"/>
        <v>4.2829869715441733</v>
      </c>
      <c r="Q1411" s="14">
        <f t="shared" si="283"/>
        <v>13.07799459676829</v>
      </c>
    </row>
    <row r="1412" spans="1:17" x14ac:dyDescent="0.25">
      <c r="A1412" s="5" t="s">
        <v>1469</v>
      </c>
      <c r="B1412" s="6">
        <f t="shared" si="284"/>
        <v>3</v>
      </c>
      <c r="C1412" s="58">
        <v>17.255399700000002</v>
      </c>
      <c r="D1412" s="4">
        <v>5.0999999999999996</v>
      </c>
      <c r="E1412" s="12">
        <f t="shared" si="273"/>
        <v>0</v>
      </c>
      <c r="F1412" s="12">
        <f t="shared" si="274"/>
        <v>5.0999999999999996</v>
      </c>
      <c r="G1412" s="16">
        <f t="shared" si="276"/>
        <v>20.779367452639221</v>
      </c>
      <c r="H1412" s="14">
        <f t="shared" si="277"/>
        <v>1.0631022348812256</v>
      </c>
      <c r="I1412" s="14">
        <f t="shared" si="278"/>
        <v>14.032211121749063</v>
      </c>
      <c r="J1412" s="14">
        <f t="shared" si="279"/>
        <v>4.197666396166996</v>
      </c>
      <c r="K1412" s="14">
        <f t="shared" si="280"/>
        <v>6.8516545128907147</v>
      </c>
      <c r="L1412" s="14">
        <f t="shared" si="281"/>
        <v>716.86781228771497</v>
      </c>
      <c r="M1412" s="14">
        <f t="shared" si="275"/>
        <v>0.33834880583160942</v>
      </c>
      <c r="N1412" s="14">
        <f t="shared" si="282"/>
        <v>8.6584399270102832</v>
      </c>
      <c r="O1412" s="4">
        <v>9.43</v>
      </c>
      <c r="P1412" s="14">
        <f t="shared" si="285"/>
        <v>0.59530494623189667</v>
      </c>
      <c r="Q1412" s="14">
        <f t="shared" si="283"/>
        <v>8.388849148492417</v>
      </c>
    </row>
    <row r="1413" spans="1:17" x14ac:dyDescent="0.25">
      <c r="A1413" s="5" t="s">
        <v>1470</v>
      </c>
      <c r="B1413" s="6">
        <f t="shared" si="284"/>
        <v>3</v>
      </c>
      <c r="C1413" s="58">
        <v>18.20281219</v>
      </c>
      <c r="D1413" s="4">
        <v>11.9</v>
      </c>
      <c r="E1413" s="12">
        <f t="shared" si="273"/>
        <v>0</v>
      </c>
      <c r="F1413" s="12">
        <f t="shared" si="274"/>
        <v>11.9</v>
      </c>
      <c r="G1413" s="16">
        <f t="shared" si="276"/>
        <v>25.47202122680482</v>
      </c>
      <c r="H1413" s="14">
        <f t="shared" si="277"/>
        <v>2.4704298629873938</v>
      </c>
      <c r="I1413" s="14">
        <f t="shared" si="278"/>
        <v>15.957361473340844</v>
      </c>
      <c r="J1413" s="14">
        <f t="shared" si="279"/>
        <v>4.7369163628470057</v>
      </c>
      <c r="K1413" s="14">
        <f t="shared" si="280"/>
        <v>8.7955877560556512</v>
      </c>
      <c r="L1413" s="14">
        <f t="shared" si="281"/>
        <v>717.05596010170586</v>
      </c>
      <c r="M1413" s="14">
        <f t="shared" si="275"/>
        <v>0.41290018200766826</v>
      </c>
      <c r="N1413" s="14">
        <f t="shared" si="282"/>
        <v>10.566230352071232</v>
      </c>
      <c r="O1413" s="4">
        <v>7.99</v>
      </c>
      <c r="P1413" s="14">
        <f t="shared" si="285"/>
        <v>6.6369628269330612</v>
      </c>
      <c r="Q1413" s="14">
        <f t="shared" si="283"/>
        <v>2.1209582519406811</v>
      </c>
    </row>
    <row r="1414" spans="1:17" x14ac:dyDescent="0.25">
      <c r="A1414" s="5" t="s">
        <v>1471</v>
      </c>
      <c r="B1414" s="6">
        <f t="shared" si="284"/>
        <v>3</v>
      </c>
      <c r="C1414" s="58">
        <v>19.82514381</v>
      </c>
      <c r="D1414" s="4">
        <v>4.2</v>
      </c>
      <c r="E1414" s="12">
        <f t="shared" si="273"/>
        <v>0</v>
      </c>
      <c r="F1414" s="12">
        <f t="shared" si="274"/>
        <v>4.2</v>
      </c>
      <c r="G1414" s="16">
        <f t="shared" si="276"/>
        <v>21.694181387556156</v>
      </c>
      <c r="H1414" s="14">
        <f t="shared" si="277"/>
        <v>0.97158978662777651</v>
      </c>
      <c r="I1414" s="14">
        <f t="shared" si="278"/>
        <v>19.253953318611401</v>
      </c>
      <c r="J1414" s="14">
        <f t="shared" si="279"/>
        <v>7.0062500526208833</v>
      </c>
      <c r="K1414" s="14">
        <f t="shared" si="280"/>
        <v>9.0696744888917546</v>
      </c>
      <c r="L1414" s="14">
        <f t="shared" si="281"/>
        <v>717.34056297348991</v>
      </c>
      <c r="M1414" s="14">
        <f t="shared" si="275"/>
        <v>0.42346633150495439</v>
      </c>
      <c r="N1414" s="14">
        <f t="shared" si="282"/>
        <v>10.836621052748312</v>
      </c>
      <c r="O1414" s="4">
        <v>8.76</v>
      </c>
      <c r="P1414" s="14">
        <f t="shared" si="285"/>
        <v>4.3123549967175068</v>
      </c>
      <c r="Q1414" s="14">
        <f t="shared" si="283"/>
        <v>4.9566388007912616</v>
      </c>
    </row>
    <row r="1415" spans="1:17" x14ac:dyDescent="0.25">
      <c r="A1415" s="5" t="s">
        <v>1472</v>
      </c>
      <c r="B1415" s="6">
        <f t="shared" si="284"/>
        <v>3</v>
      </c>
      <c r="C1415" s="58">
        <v>19.051019669999999</v>
      </c>
      <c r="D1415" s="4">
        <v>7.5</v>
      </c>
      <c r="E1415" s="12">
        <f t="shared" si="273"/>
        <v>0</v>
      </c>
      <c r="F1415" s="12">
        <f t="shared" si="274"/>
        <v>7.5</v>
      </c>
      <c r="G1415" s="16">
        <f t="shared" si="276"/>
        <v>22.121495669722968</v>
      </c>
      <c r="H1415" s="14">
        <f t="shared" si="277"/>
        <v>1.5930638044713583</v>
      </c>
      <c r="I1415" s="14">
        <f t="shared" si="278"/>
        <v>17.680926388919254</v>
      </c>
      <c r="J1415" s="14">
        <f t="shared" si="279"/>
        <v>5.4796219133618287</v>
      </c>
      <c r="K1415" s="14">
        <f t="shared" si="280"/>
        <v>9.9411240233322093</v>
      </c>
      <c r="L1415" s="14">
        <f t="shared" si="281"/>
        <v>717.63871091201588</v>
      </c>
      <c r="M1415" s="14">
        <f t="shared" si="275"/>
        <v>0.4569324317678346</v>
      </c>
      <c r="N1415" s="14">
        <f t="shared" si="282"/>
        <v>11.693027854614378</v>
      </c>
      <c r="O1415" s="4">
        <v>12.23</v>
      </c>
      <c r="P1415" s="14">
        <f t="shared" si="285"/>
        <v>0.28833908492003779</v>
      </c>
      <c r="Q1415" s="14">
        <f t="shared" si="283"/>
        <v>32.448414780676359</v>
      </c>
    </row>
    <row r="1416" spans="1:17" x14ac:dyDescent="0.25">
      <c r="A1416" s="5" t="s">
        <v>1473</v>
      </c>
      <c r="B1416" s="6">
        <f t="shared" si="284"/>
        <v>3</v>
      </c>
      <c r="C1416" s="58">
        <v>17.05301094</v>
      </c>
      <c r="D1416" s="4">
        <v>4.0999999999999996</v>
      </c>
      <c r="E1416" s="12">
        <f t="shared" si="273"/>
        <v>0</v>
      </c>
      <c r="F1416" s="12">
        <f t="shared" si="274"/>
        <v>4.0999999999999996</v>
      </c>
      <c r="G1416" s="16">
        <f t="shared" si="276"/>
        <v>21.037027447492363</v>
      </c>
      <c r="H1416" s="14">
        <f t="shared" si="277"/>
        <v>0.87995179974903059</v>
      </c>
      <c r="I1416" s="14">
        <f t="shared" si="278"/>
        <v>13.620955415723666</v>
      </c>
      <c r="J1416" s="14">
        <f t="shared" si="279"/>
        <v>4.3045164224815746</v>
      </c>
      <c r="K1416" s="14">
        <f t="shared" si="280"/>
        <v>10.022800753204056</v>
      </c>
      <c r="L1416" s="14">
        <f t="shared" si="281"/>
        <v>717.98005355012515</v>
      </c>
      <c r="M1416" s="14">
        <f t="shared" si="275"/>
        <v>0.46013548094627754</v>
      </c>
      <c r="N1416" s="14">
        <f t="shared" si="282"/>
        <v>11.774994772826615</v>
      </c>
      <c r="O1416" s="4">
        <v>13.38</v>
      </c>
      <c r="P1416" s="14">
        <f t="shared" si="285"/>
        <v>2.576041779253893</v>
      </c>
      <c r="Q1416" s="14">
        <f t="shared" si="283"/>
        <v>46.872522093894766</v>
      </c>
    </row>
    <row r="1417" spans="1:17" x14ac:dyDescent="0.25">
      <c r="A1417" s="5" t="s">
        <v>1474</v>
      </c>
      <c r="B1417" s="6">
        <f t="shared" si="284"/>
        <v>3</v>
      </c>
      <c r="C1417" s="58">
        <v>19.108837130000001</v>
      </c>
      <c r="D1417" s="4">
        <v>8.6999999999999993</v>
      </c>
      <c r="E1417" s="12">
        <f t="shared" si="273"/>
        <v>0</v>
      </c>
      <c r="F1417" s="12">
        <f t="shared" si="274"/>
        <v>8.6999999999999993</v>
      </c>
      <c r="G1417" s="16">
        <f t="shared" si="276"/>
        <v>22.570101667443108</v>
      </c>
      <c r="H1417" s="14">
        <f t="shared" si="277"/>
        <v>1.817983159695608</v>
      </c>
      <c r="I1417" s="14">
        <f t="shared" si="278"/>
        <v>17.798411966344087</v>
      </c>
      <c r="J1417" s="14">
        <f t="shared" si="279"/>
        <v>5.3489426203536476</v>
      </c>
      <c r="K1417" s="14">
        <f t="shared" si="280"/>
        <v>11.035323798802077</v>
      </c>
      <c r="L1417" s="14">
        <f t="shared" si="281"/>
        <v>718.32537818327648</v>
      </c>
      <c r="M1417" s="14">
        <f t="shared" si="275"/>
        <v>0.49901896796957446</v>
      </c>
      <c r="N1417" s="14">
        <f t="shared" si="282"/>
        <v>12.770034006721401</v>
      </c>
      <c r="O1417" s="4">
        <v>12.83</v>
      </c>
      <c r="P1417" s="14">
        <f t="shared" si="285"/>
        <v>3.595920349888977E-3</v>
      </c>
      <c r="Q1417" s="14">
        <f t="shared" si="283"/>
        <v>39.644035987572913</v>
      </c>
    </row>
    <row r="1418" spans="1:17" x14ac:dyDescent="0.25">
      <c r="A1418" s="5" t="s">
        <v>1475</v>
      </c>
      <c r="B1418" s="6">
        <f t="shared" si="284"/>
        <v>3</v>
      </c>
      <c r="C1418" s="58">
        <v>19.175258639999999</v>
      </c>
      <c r="D1418" s="4">
        <v>4.9000000000000004</v>
      </c>
      <c r="E1418" s="12">
        <f t="shared" si="273"/>
        <v>0</v>
      </c>
      <c r="F1418" s="12">
        <f t="shared" si="274"/>
        <v>4.9000000000000004</v>
      </c>
      <c r="G1418" s="16">
        <f t="shared" si="276"/>
        <v>20.62490335628307</v>
      </c>
      <c r="H1418" s="14">
        <f t="shared" si="277"/>
        <v>1.0629331633462715</v>
      </c>
      <c r="I1418" s="14">
        <f t="shared" si="278"/>
        <v>17.933381047583193</v>
      </c>
      <c r="J1418" s="14">
        <f t="shared" si="279"/>
        <v>5.7822651478137681</v>
      </c>
      <c r="K1418" s="14">
        <f t="shared" si="280"/>
        <v>11.203725911099518</v>
      </c>
      <c r="L1418" s="14">
        <f t="shared" si="281"/>
        <v>718.7208902663557</v>
      </c>
      <c r="M1418" s="14">
        <f t="shared" si="275"/>
        <v>0.50555770760017082</v>
      </c>
      <c r="N1418" s="14">
        <f t="shared" si="282"/>
        <v>12.937362170184928</v>
      </c>
      <c r="O1418" s="4">
        <v>14.22</v>
      </c>
      <c r="P1418" s="14">
        <f t="shared" si="285"/>
        <v>1.6451598024727199</v>
      </c>
      <c r="Q1418" s="14">
        <f t="shared" si="283"/>
        <v>59.079991783549943</v>
      </c>
    </row>
    <row r="1419" spans="1:17" x14ac:dyDescent="0.25">
      <c r="A1419" s="5" t="s">
        <v>1476</v>
      </c>
      <c r="B1419" s="6">
        <f t="shared" si="284"/>
        <v>3</v>
      </c>
      <c r="C1419" s="58">
        <v>17.17993164</v>
      </c>
      <c r="D1419" s="4">
        <v>0</v>
      </c>
      <c r="E1419" s="12">
        <f t="shared" si="273"/>
        <v>0</v>
      </c>
      <c r="F1419" s="12">
        <f t="shared" si="274"/>
        <v>0</v>
      </c>
      <c r="G1419" s="16">
        <f t="shared" si="276"/>
        <v>16.535612435968595</v>
      </c>
      <c r="H1419" s="14">
        <f t="shared" si="277"/>
        <v>0</v>
      </c>
      <c r="I1419" s="14">
        <f t="shared" si="278"/>
        <v>13.878859372878878</v>
      </c>
      <c r="J1419" s="14">
        <f t="shared" si="279"/>
        <v>4.0892909203144772</v>
      </c>
      <c r="K1419" s="14">
        <f t="shared" si="280"/>
        <v>10.294380645211714</v>
      </c>
      <c r="L1419" s="14">
        <f t="shared" si="281"/>
        <v>719.1246778246433</v>
      </c>
      <c r="M1419" s="14">
        <f t="shared" si="275"/>
        <v>0.47078784984229738</v>
      </c>
      <c r="N1419" s="14">
        <f t="shared" si="282"/>
        <v>12.047591851867123</v>
      </c>
      <c r="O1419" s="4">
        <v>15.43</v>
      </c>
      <c r="P1419" s="14">
        <f t="shared" si="285"/>
        <v>11.440684880555676</v>
      </c>
      <c r="Q1419" s="14">
        <f t="shared" si="283"/>
        <v>79.145061217458007</v>
      </c>
    </row>
    <row r="1420" spans="1:17" x14ac:dyDescent="0.25">
      <c r="A1420" s="5" t="s">
        <v>1477</v>
      </c>
      <c r="B1420" s="6">
        <f t="shared" si="284"/>
        <v>3</v>
      </c>
      <c r="C1420" s="58">
        <v>16.029752729999998</v>
      </c>
      <c r="D1420" s="4">
        <v>0</v>
      </c>
      <c r="E1420" s="12">
        <f t="shared" si="273"/>
        <v>0</v>
      </c>
      <c r="F1420" s="12">
        <f t="shared" si="274"/>
        <v>0</v>
      </c>
      <c r="G1420" s="16">
        <f t="shared" si="276"/>
        <v>13.809198162630484</v>
      </c>
      <c r="H1420" s="14">
        <f t="shared" si="277"/>
        <v>0</v>
      </c>
      <c r="I1420" s="14">
        <f t="shared" si="278"/>
        <v>11.54168590688419</v>
      </c>
      <c r="J1420" s="14">
        <f t="shared" si="279"/>
        <v>2.7264142733381109</v>
      </c>
      <c r="K1420" s="14">
        <f t="shared" si="280"/>
        <v>9.4650298398914376</v>
      </c>
      <c r="L1420" s="14">
        <f t="shared" si="281"/>
        <v>719.48324078012126</v>
      </c>
      <c r="M1420" s="14">
        <f t="shared" si="275"/>
        <v>0.43907461491660021</v>
      </c>
      <c r="N1420" s="14">
        <f t="shared" si="282"/>
        <v>11.23604136088661</v>
      </c>
      <c r="O1420" s="4">
        <v>13.47</v>
      </c>
      <c r="P1420" s="14">
        <f t="shared" si="285"/>
        <v>4.9905712012693542</v>
      </c>
      <c r="Q1420" s="14">
        <f t="shared" si="283"/>
        <v>48.112965274929245</v>
      </c>
    </row>
    <row r="1421" spans="1:17" x14ac:dyDescent="0.25">
      <c r="A1421" s="5" t="s">
        <v>1478</v>
      </c>
      <c r="B1421" s="6">
        <f t="shared" si="284"/>
        <v>3</v>
      </c>
      <c r="C1421" s="58">
        <v>17.087108610000001</v>
      </c>
      <c r="D1421" s="4">
        <v>0</v>
      </c>
      <c r="E1421" s="12">
        <f t="shared" si="273"/>
        <v>0</v>
      </c>
      <c r="F1421" s="12">
        <f t="shared" si="274"/>
        <v>0</v>
      </c>
      <c r="G1421" s="16">
        <f t="shared" si="276"/>
        <v>11.108463594618073</v>
      </c>
      <c r="H1421" s="14">
        <f t="shared" si="277"/>
        <v>0</v>
      </c>
      <c r="I1421" s="14">
        <f t="shared" si="278"/>
        <v>13.690242175273312</v>
      </c>
      <c r="J1421" s="14">
        <f t="shared" si="279"/>
        <v>2.700734568012412</v>
      </c>
      <c r="K1421" s="14">
        <f t="shared" si="280"/>
        <v>8.7086364389604256</v>
      </c>
      <c r="L1421" s="14">
        <f t="shared" si="281"/>
        <v>719.80055956613569</v>
      </c>
      <c r="M1421" s="14">
        <f t="shared" si="275"/>
        <v>0.41014911430814505</v>
      </c>
      <c r="N1421" s="14">
        <f t="shared" si="282"/>
        <v>10.495829765454962</v>
      </c>
      <c r="O1421" s="4">
        <v>11.03</v>
      </c>
      <c r="P1421" s="14">
        <f t="shared" si="285"/>
        <v>0.28533783947390007</v>
      </c>
      <c r="Q1421" s="14">
        <f t="shared" si="283"/>
        <v>20.217172366883233</v>
      </c>
    </row>
    <row r="1422" spans="1:17" x14ac:dyDescent="0.25">
      <c r="A1422" s="5" t="s">
        <v>1479</v>
      </c>
      <c r="B1422" s="6">
        <f t="shared" si="284"/>
        <v>3</v>
      </c>
      <c r="C1422" s="58">
        <v>17.946912770000001</v>
      </c>
      <c r="D1422" s="4">
        <v>0</v>
      </c>
      <c r="E1422" s="12">
        <f t="shared" si="273"/>
        <v>0</v>
      </c>
      <c r="F1422" s="12">
        <f t="shared" si="274"/>
        <v>0</v>
      </c>
      <c r="G1422" s="16">
        <f t="shared" si="276"/>
        <v>8.6586690318473529</v>
      </c>
      <c r="H1422" s="14">
        <f t="shared" si="277"/>
        <v>0</v>
      </c>
      <c r="I1422" s="14">
        <f t="shared" si="278"/>
        <v>15.437371644638954</v>
      </c>
      <c r="J1422" s="14">
        <f t="shared" si="279"/>
        <v>2.4497945627707196</v>
      </c>
      <c r="K1422" s="14">
        <f t="shared" si="280"/>
        <v>8.0187824311005826</v>
      </c>
      <c r="L1422" s="14">
        <f t="shared" si="281"/>
        <v>720.08026445968744</v>
      </c>
      <c r="M1422" s="14">
        <f t="shared" si="275"/>
        <v>0.38376611343458844</v>
      </c>
      <c r="N1422" s="14">
        <f t="shared" si="282"/>
        <v>9.8206814444892938</v>
      </c>
      <c r="O1422" s="4">
        <v>9.17</v>
      </c>
      <c r="P1422" s="14">
        <f t="shared" si="285"/>
        <v>0.42338634220267402</v>
      </c>
      <c r="Q1422" s="14">
        <f t="shared" si="283"/>
        <v>6.9503466255039097</v>
      </c>
    </row>
    <row r="1423" spans="1:17" x14ac:dyDescent="0.25">
      <c r="A1423" s="5" t="s">
        <v>1480</v>
      </c>
      <c r="B1423" s="6">
        <f t="shared" si="284"/>
        <v>3</v>
      </c>
      <c r="C1423" s="58">
        <v>18.700561520000001</v>
      </c>
      <c r="D1423" s="4">
        <v>0</v>
      </c>
      <c r="E1423" s="12">
        <f t="shared" si="273"/>
        <v>0</v>
      </c>
      <c r="F1423" s="12">
        <f t="shared" si="274"/>
        <v>0</v>
      </c>
      <c r="G1423" s="16">
        <f t="shared" si="276"/>
        <v>6.5597079467338144</v>
      </c>
      <c r="H1423" s="14">
        <f t="shared" si="277"/>
        <v>0</v>
      </c>
      <c r="I1423" s="14">
        <f t="shared" si="278"/>
        <v>16.968792405240503</v>
      </c>
      <c r="J1423" s="14">
        <f t="shared" si="279"/>
        <v>2.0989610851135385</v>
      </c>
      <c r="K1423" s="14">
        <f t="shared" si="280"/>
        <v>7.3896143929149938</v>
      </c>
      <c r="L1423" s="14">
        <f t="shared" si="281"/>
        <v>720.32566638443848</v>
      </c>
      <c r="M1423" s="14">
        <f t="shared" si="275"/>
        <v>0.35970195082643941</v>
      </c>
      <c r="N1423" s="14">
        <f t="shared" si="282"/>
        <v>9.2048728388571472</v>
      </c>
      <c r="O1423" s="4">
        <v>8.1999999999999993</v>
      </c>
      <c r="P1423" s="14">
        <f t="shared" si="285"/>
        <v>1.0097694222728237</v>
      </c>
      <c r="Q1423" s="14">
        <f t="shared" si="283"/>
        <v>2.776725674354473</v>
      </c>
    </row>
    <row r="1424" spans="1:17" x14ac:dyDescent="0.25">
      <c r="A1424" s="5"/>
      <c r="B1424" s="6"/>
      <c r="C1424" s="4"/>
      <c r="D1424" s="4"/>
      <c r="E1424" s="12"/>
      <c r="F1424" s="12"/>
      <c r="G1424" s="16"/>
      <c r="H1424" s="14"/>
      <c r="I1424" s="14"/>
      <c r="J1424" s="14"/>
      <c r="K1424" s="14"/>
      <c r="L1424" s="14"/>
      <c r="M1424" s="14"/>
      <c r="N1424" s="14"/>
      <c r="O1424" s="4"/>
      <c r="P1424" s="14"/>
      <c r="Q1424" s="14"/>
    </row>
    <row r="1425" spans="1:17" x14ac:dyDescent="0.25">
      <c r="A1425" s="5"/>
      <c r="B1425" s="6"/>
      <c r="C1425" s="4"/>
      <c r="D1425" s="4"/>
      <c r="E1425" s="12"/>
      <c r="F1425" s="12"/>
      <c r="G1425" s="16"/>
      <c r="H1425" s="14"/>
      <c r="I1425" s="14"/>
      <c r="J1425" s="14"/>
      <c r="K1425" s="14"/>
      <c r="L1425" s="14"/>
      <c r="M1425" s="14"/>
      <c r="N1425" s="14"/>
      <c r="O1425" s="4"/>
      <c r="P1425" s="14"/>
      <c r="Q1425" s="14"/>
    </row>
    <row r="1426" spans="1:17" x14ac:dyDescent="0.25">
      <c r="A1426" s="5"/>
      <c r="B1426" s="6"/>
      <c r="C1426" s="4"/>
      <c r="D1426" s="4"/>
      <c r="E1426" s="12"/>
      <c r="F1426" s="12"/>
      <c r="G1426" s="16"/>
      <c r="H1426" s="14"/>
      <c r="I1426" s="14"/>
      <c r="J1426" s="14"/>
      <c r="K1426" s="14"/>
      <c r="L1426" s="14"/>
      <c r="M1426" s="14"/>
      <c r="N1426" s="14"/>
      <c r="O1426" s="4"/>
      <c r="P1426" s="14"/>
      <c r="Q1426" s="14"/>
    </row>
    <row r="1427" spans="1:17" x14ac:dyDescent="0.25">
      <c r="A1427" s="5"/>
      <c r="B1427" s="6"/>
      <c r="C1427" s="4"/>
      <c r="D1427" s="4"/>
      <c r="E1427" s="12"/>
      <c r="F1427" s="12"/>
      <c r="G1427" s="16"/>
      <c r="H1427" s="14"/>
      <c r="I1427" s="14"/>
      <c r="J1427" s="14"/>
      <c r="K1427" s="14"/>
      <c r="L1427" s="14"/>
      <c r="M1427" s="14"/>
      <c r="N1427" s="14"/>
      <c r="O1427" s="4"/>
      <c r="P1427" s="14"/>
      <c r="Q1427" s="14"/>
    </row>
    <row r="1428" spans="1:17" x14ac:dyDescent="0.25">
      <c r="A1428" s="5"/>
      <c r="B1428" s="6"/>
      <c r="C1428" s="4"/>
      <c r="D1428" s="4"/>
      <c r="E1428" s="12"/>
      <c r="F1428" s="12"/>
      <c r="G1428" s="16"/>
      <c r="H1428" s="14"/>
      <c r="I1428" s="14"/>
      <c r="J1428" s="14"/>
      <c r="K1428" s="14"/>
      <c r="L1428" s="14"/>
      <c r="M1428" s="14"/>
      <c r="N1428" s="14"/>
      <c r="O1428" s="4"/>
      <c r="P1428" s="14"/>
      <c r="Q1428" s="14"/>
    </row>
    <row r="1429" spans="1:17" x14ac:dyDescent="0.25">
      <c r="A1429" s="5"/>
      <c r="B1429" s="6"/>
      <c r="C1429" s="4"/>
      <c r="D1429" s="4"/>
      <c r="E1429" s="12"/>
      <c r="F1429" s="12"/>
      <c r="G1429" s="16"/>
      <c r="H1429" s="14"/>
      <c r="I1429" s="14"/>
      <c r="J1429" s="14"/>
      <c r="K1429" s="14"/>
      <c r="L1429" s="14"/>
      <c r="M1429" s="14"/>
      <c r="N1429" s="14"/>
      <c r="O1429" s="4"/>
      <c r="P1429" s="14"/>
      <c r="Q1429" s="14"/>
    </row>
    <row r="1430" spans="1:17" x14ac:dyDescent="0.25">
      <c r="A1430" s="5"/>
      <c r="B1430" s="6"/>
      <c r="C1430" s="4"/>
      <c r="D1430" s="4"/>
      <c r="E1430" s="12"/>
      <c r="F1430" s="12"/>
      <c r="G1430" s="16"/>
      <c r="H1430" s="14"/>
      <c r="I1430" s="14"/>
      <c r="J1430" s="14"/>
      <c r="K1430" s="14"/>
      <c r="L1430" s="14"/>
      <c r="M1430" s="14"/>
      <c r="N1430" s="14"/>
      <c r="O1430" s="4"/>
      <c r="P1430" s="14"/>
      <c r="Q1430" s="14"/>
    </row>
    <row r="1431" spans="1:17" x14ac:dyDescent="0.25">
      <c r="A1431" s="5"/>
      <c r="B1431" s="6"/>
      <c r="C1431" s="4"/>
      <c r="D1431" s="4"/>
      <c r="E1431" s="12"/>
      <c r="F1431" s="12"/>
      <c r="G1431" s="16"/>
      <c r="H1431" s="14"/>
      <c r="I1431" s="14"/>
      <c r="J1431" s="14"/>
      <c r="K1431" s="14"/>
      <c r="L1431" s="14"/>
      <c r="M1431" s="14"/>
      <c r="N1431" s="14"/>
      <c r="O1431" s="4"/>
      <c r="P1431" s="14"/>
      <c r="Q1431" s="14"/>
    </row>
    <row r="1432" spans="1:17" x14ac:dyDescent="0.25">
      <c r="A1432" s="5"/>
      <c r="B1432" s="6"/>
      <c r="C1432" s="4"/>
      <c r="D1432" s="4"/>
      <c r="E1432" s="12"/>
      <c r="F1432" s="12"/>
      <c r="G1432" s="16"/>
      <c r="H1432" s="14"/>
      <c r="I1432" s="14"/>
      <c r="J1432" s="14"/>
      <c r="K1432" s="14"/>
      <c r="L1432" s="14"/>
      <c r="M1432" s="14"/>
      <c r="N1432" s="14"/>
      <c r="O1432" s="4"/>
      <c r="P1432" s="14"/>
      <c r="Q1432" s="14"/>
    </row>
    <row r="1433" spans="1:17" x14ac:dyDescent="0.25">
      <c r="A1433" s="5"/>
      <c r="B1433" s="6"/>
      <c r="C1433" s="4"/>
      <c r="D1433" s="4"/>
      <c r="E1433" s="12"/>
      <c r="F1433" s="12"/>
      <c r="G1433" s="16"/>
      <c r="H1433" s="14"/>
      <c r="I1433" s="14"/>
      <c r="J1433" s="14"/>
      <c r="K1433" s="14"/>
      <c r="L1433" s="14"/>
      <c r="M1433" s="14"/>
      <c r="N1433" s="14"/>
      <c r="O1433" s="4"/>
      <c r="P1433" s="14"/>
      <c r="Q1433" s="14"/>
    </row>
    <row r="1434" spans="1:17" x14ac:dyDescent="0.25">
      <c r="A1434" s="5"/>
      <c r="B1434" s="6"/>
      <c r="C1434" s="4"/>
      <c r="D1434" s="4"/>
      <c r="E1434" s="12"/>
      <c r="F1434" s="12"/>
      <c r="G1434" s="16"/>
      <c r="H1434" s="14"/>
      <c r="I1434" s="14"/>
      <c r="J1434" s="14"/>
      <c r="K1434" s="14"/>
      <c r="L1434" s="14"/>
      <c r="M1434" s="14"/>
      <c r="N1434" s="14"/>
      <c r="O1434" s="4"/>
      <c r="P1434" s="14"/>
      <c r="Q1434" s="14"/>
    </row>
    <row r="1435" spans="1:17" x14ac:dyDescent="0.25">
      <c r="A1435" s="5"/>
      <c r="B1435" s="6"/>
      <c r="C1435" s="4"/>
      <c r="D1435" s="4"/>
      <c r="E1435" s="12"/>
      <c r="F1435" s="12"/>
      <c r="G1435" s="16"/>
      <c r="H1435" s="14"/>
      <c r="I1435" s="14"/>
      <c r="J1435" s="14"/>
      <c r="K1435" s="14"/>
      <c r="L1435" s="14"/>
      <c r="M1435" s="14"/>
      <c r="N1435" s="14"/>
      <c r="O1435" s="4"/>
      <c r="P1435" s="14"/>
      <c r="Q1435" s="14"/>
    </row>
    <row r="1436" spans="1:17" x14ac:dyDescent="0.25">
      <c r="A1436" s="5"/>
      <c r="B1436" s="6"/>
      <c r="C1436" s="4"/>
      <c r="D1436" s="4"/>
      <c r="E1436" s="12"/>
      <c r="F1436" s="12"/>
      <c r="G1436" s="16"/>
      <c r="H1436" s="14"/>
      <c r="I1436" s="14"/>
      <c r="J1436" s="14"/>
      <c r="K1436" s="14"/>
      <c r="L1436" s="14"/>
      <c r="M1436" s="14"/>
      <c r="N1436" s="14"/>
      <c r="O1436" s="4"/>
      <c r="P1436" s="14"/>
      <c r="Q1436" s="14"/>
    </row>
    <row r="1437" spans="1:17" x14ac:dyDescent="0.25">
      <c r="A1437" s="5"/>
      <c r="B1437" s="6"/>
      <c r="C1437" s="4"/>
      <c r="D1437" s="4"/>
      <c r="E1437" s="12"/>
      <c r="F1437" s="12"/>
      <c r="G1437" s="16"/>
      <c r="H1437" s="14"/>
      <c r="I1437" s="14"/>
      <c r="J1437" s="14"/>
      <c r="K1437" s="14"/>
      <c r="L1437" s="14"/>
      <c r="M1437" s="14"/>
      <c r="N1437" s="14"/>
      <c r="O1437" s="4"/>
      <c r="P1437" s="14"/>
      <c r="Q1437" s="14"/>
    </row>
    <row r="1438" spans="1:17" x14ac:dyDescent="0.25">
      <c r="A1438" s="5"/>
      <c r="B1438" s="6"/>
      <c r="C1438" s="4"/>
      <c r="D1438" s="4"/>
      <c r="E1438" s="12"/>
      <c r="F1438" s="12"/>
      <c r="G1438" s="16"/>
      <c r="H1438" s="14"/>
      <c r="I1438" s="14"/>
      <c r="J1438" s="14"/>
      <c r="K1438" s="14"/>
      <c r="L1438" s="14"/>
      <c r="M1438" s="14"/>
      <c r="N1438" s="14"/>
      <c r="O1438" s="4"/>
      <c r="P1438" s="14"/>
      <c r="Q1438" s="14"/>
    </row>
    <row r="1439" spans="1:17" x14ac:dyDescent="0.25">
      <c r="A1439" s="5"/>
      <c r="B1439" s="6"/>
      <c r="C1439" s="4"/>
      <c r="D1439" s="4"/>
      <c r="E1439" s="12"/>
      <c r="F1439" s="12"/>
      <c r="G1439" s="16"/>
      <c r="H1439" s="14"/>
      <c r="I1439" s="14"/>
      <c r="J1439" s="14"/>
      <c r="K1439" s="14"/>
      <c r="L1439" s="14"/>
      <c r="M1439" s="14"/>
      <c r="N1439" s="14"/>
      <c r="O1439" s="4"/>
      <c r="P1439" s="14"/>
      <c r="Q1439" s="14"/>
    </row>
    <row r="1440" spans="1:17" x14ac:dyDescent="0.25">
      <c r="A1440" s="5"/>
      <c r="B1440" s="6"/>
      <c r="C1440" s="4"/>
      <c r="D1440" s="4"/>
      <c r="E1440" s="12"/>
      <c r="F1440" s="12"/>
      <c r="G1440" s="16"/>
      <c r="H1440" s="14"/>
      <c r="I1440" s="14"/>
      <c r="J1440" s="14"/>
      <c r="K1440" s="14"/>
      <c r="L1440" s="14"/>
      <c r="M1440" s="14"/>
      <c r="N1440" s="14"/>
      <c r="O1440" s="4"/>
      <c r="P1440" s="14"/>
      <c r="Q1440" s="14"/>
    </row>
    <row r="1441" spans="1:17" x14ac:dyDescent="0.25">
      <c r="A1441" s="5"/>
      <c r="B1441" s="6"/>
      <c r="C1441" s="4"/>
      <c r="D1441" s="4"/>
      <c r="E1441" s="12"/>
      <c r="F1441" s="12"/>
      <c r="G1441" s="16"/>
      <c r="H1441" s="14"/>
      <c r="I1441" s="14"/>
      <c r="J1441" s="14"/>
      <c r="K1441" s="14"/>
      <c r="L1441" s="14"/>
      <c r="M1441" s="14"/>
      <c r="N1441" s="14"/>
      <c r="O1441" s="4"/>
      <c r="P1441" s="14"/>
      <c r="Q1441" s="14"/>
    </row>
    <row r="1442" spans="1:17" x14ac:dyDescent="0.25">
      <c r="A1442" s="5"/>
      <c r="B1442" s="6"/>
      <c r="C1442" s="4"/>
      <c r="D1442" s="4"/>
      <c r="E1442" s="12"/>
      <c r="F1442" s="12"/>
      <c r="G1442" s="16"/>
      <c r="H1442" s="14"/>
      <c r="I1442" s="14"/>
      <c r="J1442" s="14"/>
      <c r="K1442" s="14"/>
      <c r="L1442" s="14"/>
      <c r="M1442" s="14"/>
      <c r="N1442" s="14"/>
      <c r="O1442" s="4"/>
      <c r="P1442" s="14"/>
      <c r="Q1442" s="14"/>
    </row>
    <row r="1443" spans="1:17" x14ac:dyDescent="0.25">
      <c r="A1443" s="5"/>
      <c r="B1443" s="6"/>
      <c r="C1443" s="4"/>
      <c r="D1443" s="4"/>
      <c r="E1443" s="12"/>
      <c r="F1443" s="12"/>
      <c r="G1443" s="16"/>
      <c r="H1443" s="14"/>
      <c r="I1443" s="14"/>
      <c r="J1443" s="14"/>
      <c r="K1443" s="14"/>
      <c r="L1443" s="14"/>
      <c r="M1443" s="14"/>
      <c r="N1443" s="14"/>
      <c r="O1443" s="4"/>
      <c r="P1443" s="14"/>
      <c r="Q1443" s="14"/>
    </row>
    <row r="1444" spans="1:17" x14ac:dyDescent="0.25">
      <c r="A1444" s="5"/>
      <c r="B1444" s="6"/>
      <c r="C1444" s="4"/>
      <c r="D1444" s="4"/>
      <c r="E1444" s="12"/>
      <c r="F1444" s="12"/>
      <c r="G1444" s="16"/>
      <c r="H1444" s="14"/>
      <c r="I1444" s="14"/>
      <c r="J1444" s="14"/>
      <c r="K1444" s="14"/>
      <c r="L1444" s="14"/>
      <c r="M1444" s="14"/>
      <c r="N1444" s="14"/>
      <c r="O1444" s="4"/>
      <c r="P1444" s="14"/>
      <c r="Q1444" s="14"/>
    </row>
    <row r="1445" spans="1:17" x14ac:dyDescent="0.25">
      <c r="A1445" s="5"/>
      <c r="B1445" s="6"/>
      <c r="C1445" s="4"/>
      <c r="D1445" s="4"/>
      <c r="E1445" s="12"/>
      <c r="F1445" s="12"/>
      <c r="G1445" s="16"/>
      <c r="H1445" s="14"/>
      <c r="I1445" s="14"/>
      <c r="J1445" s="14"/>
      <c r="K1445" s="14"/>
      <c r="L1445" s="14"/>
      <c r="M1445" s="14"/>
      <c r="N1445" s="14"/>
      <c r="O1445" s="4"/>
      <c r="P1445" s="14"/>
      <c r="Q1445" s="14"/>
    </row>
    <row r="1446" spans="1:17" x14ac:dyDescent="0.25">
      <c r="A1446" s="5"/>
      <c r="B1446" s="6"/>
      <c r="C1446" s="4"/>
      <c r="D1446" s="4"/>
      <c r="E1446" s="12"/>
      <c r="F1446" s="12"/>
      <c r="G1446" s="16"/>
      <c r="H1446" s="14"/>
      <c r="I1446" s="14"/>
      <c r="J1446" s="14"/>
      <c r="K1446" s="14"/>
      <c r="L1446" s="14"/>
      <c r="M1446" s="14"/>
      <c r="N1446" s="14"/>
      <c r="O1446" s="4"/>
      <c r="P1446" s="14"/>
      <c r="Q1446" s="14"/>
    </row>
    <row r="1447" spans="1:17" x14ac:dyDescent="0.25">
      <c r="A1447" s="5"/>
      <c r="B1447" s="6"/>
      <c r="C1447" s="4"/>
      <c r="D1447" s="4"/>
      <c r="E1447" s="12"/>
      <c r="F1447" s="12"/>
      <c r="G1447" s="16"/>
      <c r="H1447" s="14"/>
      <c r="I1447" s="14"/>
      <c r="J1447" s="14"/>
      <c r="K1447" s="14"/>
      <c r="L1447" s="14"/>
      <c r="M1447" s="14"/>
      <c r="N1447" s="14"/>
      <c r="O1447" s="4"/>
      <c r="P1447" s="14"/>
      <c r="Q1447" s="14"/>
    </row>
    <row r="1448" spans="1:17" x14ac:dyDescent="0.25">
      <c r="A1448" s="5"/>
      <c r="B1448" s="6"/>
      <c r="C1448" s="4"/>
      <c r="D1448" s="4"/>
      <c r="E1448" s="12"/>
      <c r="F1448" s="12"/>
      <c r="G1448" s="16"/>
      <c r="H1448" s="14"/>
      <c r="I1448" s="14"/>
      <c r="J1448" s="14"/>
      <c r="K1448" s="14"/>
      <c r="L1448" s="14"/>
      <c r="M1448" s="14"/>
      <c r="N1448" s="14"/>
      <c r="O1448" s="4"/>
      <c r="P1448" s="14"/>
      <c r="Q1448" s="14"/>
    </row>
    <row r="1449" spans="1:17" x14ac:dyDescent="0.25">
      <c r="A1449" s="5"/>
      <c r="B1449" s="6"/>
      <c r="C1449" s="4"/>
      <c r="D1449" s="4"/>
      <c r="E1449" s="12"/>
      <c r="F1449" s="12"/>
      <c r="G1449" s="16"/>
      <c r="H1449" s="14"/>
      <c r="I1449" s="14"/>
      <c r="J1449" s="14"/>
      <c r="K1449" s="14"/>
      <c r="L1449" s="14"/>
      <c r="M1449" s="14"/>
      <c r="N1449" s="14"/>
      <c r="O1449" s="4"/>
      <c r="P1449" s="14"/>
      <c r="Q1449" s="14"/>
    </row>
    <row r="1450" spans="1:17" x14ac:dyDescent="0.25">
      <c r="A1450" s="5"/>
      <c r="B1450" s="6"/>
      <c r="C1450" s="4"/>
      <c r="D1450" s="4"/>
      <c r="E1450" s="12"/>
      <c r="F1450" s="12"/>
      <c r="G1450" s="16"/>
      <c r="H1450" s="14"/>
      <c r="I1450" s="14"/>
      <c r="J1450" s="14"/>
      <c r="K1450" s="14"/>
      <c r="L1450" s="14"/>
      <c r="M1450" s="14"/>
      <c r="N1450" s="14"/>
      <c r="O1450" s="4"/>
      <c r="P1450" s="14"/>
      <c r="Q1450" s="14"/>
    </row>
    <row r="1451" spans="1:17" x14ac:dyDescent="0.25">
      <c r="A1451" s="5"/>
      <c r="B1451" s="6"/>
      <c r="C1451" s="4"/>
      <c r="D1451" s="4"/>
      <c r="E1451" s="12"/>
      <c r="F1451" s="12"/>
      <c r="G1451" s="16"/>
      <c r="H1451" s="14"/>
      <c r="I1451" s="14"/>
      <c r="J1451" s="14"/>
      <c r="K1451" s="14"/>
      <c r="L1451" s="14"/>
      <c r="M1451" s="14"/>
      <c r="N1451" s="14"/>
      <c r="O1451" s="4"/>
      <c r="P1451" s="14"/>
      <c r="Q1451" s="14"/>
    </row>
    <row r="1452" spans="1:17" x14ac:dyDescent="0.25">
      <c r="A1452" s="5"/>
      <c r="B1452" s="6"/>
      <c r="C1452" s="4"/>
      <c r="D1452" s="4"/>
      <c r="E1452" s="12"/>
      <c r="F1452" s="12"/>
      <c r="G1452" s="16"/>
      <c r="H1452" s="14"/>
      <c r="I1452" s="14"/>
      <c r="J1452" s="14"/>
      <c r="K1452" s="14"/>
      <c r="L1452" s="14"/>
      <c r="M1452" s="14"/>
      <c r="N1452" s="14"/>
      <c r="O1452" s="4"/>
      <c r="P1452" s="14"/>
      <c r="Q1452" s="14"/>
    </row>
    <row r="1453" spans="1:17" x14ac:dyDescent="0.25">
      <c r="A1453" s="5"/>
      <c r="B1453" s="6"/>
      <c r="C1453" s="4"/>
      <c r="D1453" s="4"/>
      <c r="E1453" s="12"/>
      <c r="F1453" s="12"/>
      <c r="G1453" s="16"/>
      <c r="H1453" s="14"/>
      <c r="I1453" s="14"/>
      <c r="J1453" s="14"/>
      <c r="K1453" s="14"/>
      <c r="L1453" s="14"/>
      <c r="M1453" s="14"/>
      <c r="N1453" s="14"/>
      <c r="O1453" s="4"/>
      <c r="P1453" s="14"/>
      <c r="Q1453" s="14"/>
    </row>
    <row r="1454" spans="1:17" x14ac:dyDescent="0.25">
      <c r="A1454" s="5"/>
      <c r="B1454" s="6"/>
      <c r="C1454" s="4"/>
      <c r="D1454" s="4"/>
      <c r="E1454" s="12"/>
      <c r="F1454" s="12"/>
      <c r="G1454" s="16"/>
      <c r="H1454" s="14"/>
      <c r="I1454" s="14"/>
      <c r="J1454" s="14"/>
      <c r="K1454" s="14"/>
      <c r="L1454" s="14"/>
      <c r="M1454" s="14"/>
      <c r="N1454" s="14"/>
      <c r="O1454" s="4"/>
      <c r="P1454" s="14"/>
      <c r="Q1454" s="14"/>
    </row>
    <row r="1455" spans="1:17" x14ac:dyDescent="0.25">
      <c r="A1455" s="5"/>
      <c r="B1455" s="6"/>
      <c r="C1455" s="4"/>
      <c r="D1455" s="4"/>
      <c r="E1455" s="12"/>
      <c r="F1455" s="12"/>
      <c r="G1455" s="16"/>
      <c r="H1455" s="14"/>
      <c r="I1455" s="14"/>
      <c r="J1455" s="14"/>
      <c r="K1455" s="14"/>
      <c r="L1455" s="14"/>
      <c r="M1455" s="14"/>
      <c r="N1455" s="14"/>
      <c r="O1455" s="4"/>
      <c r="P1455" s="14"/>
      <c r="Q1455" s="14"/>
    </row>
    <row r="1456" spans="1:17" x14ac:dyDescent="0.25">
      <c r="A1456" s="5"/>
      <c r="B1456" s="6"/>
      <c r="C1456" s="4"/>
      <c r="D1456" s="4"/>
      <c r="E1456" s="12"/>
      <c r="F1456" s="12"/>
      <c r="G1456" s="16"/>
      <c r="H1456" s="14"/>
      <c r="I1456" s="14"/>
      <c r="J1456" s="14"/>
      <c r="K1456" s="14"/>
      <c r="L1456" s="14"/>
      <c r="M1456" s="14"/>
      <c r="N1456" s="14"/>
      <c r="O1456" s="4"/>
      <c r="P1456" s="14"/>
      <c r="Q1456" s="14"/>
    </row>
    <row r="1457" spans="1:17" x14ac:dyDescent="0.25">
      <c r="A1457" s="5"/>
      <c r="B1457" s="6"/>
      <c r="C1457" s="4"/>
      <c r="D1457" s="4"/>
      <c r="E1457" s="12"/>
      <c r="F1457" s="12"/>
      <c r="G1457" s="16"/>
      <c r="H1457" s="14"/>
      <c r="I1457" s="14"/>
      <c r="J1457" s="14"/>
      <c r="K1457" s="14"/>
      <c r="L1457" s="14"/>
      <c r="M1457" s="14"/>
      <c r="N1457" s="14"/>
      <c r="O1457" s="4"/>
      <c r="P1457" s="14"/>
      <c r="Q1457" s="14"/>
    </row>
    <row r="1458" spans="1:17" x14ac:dyDescent="0.25">
      <c r="A1458" s="5"/>
      <c r="B1458" s="6"/>
      <c r="C1458" s="4"/>
      <c r="D1458" s="4"/>
      <c r="E1458" s="12"/>
      <c r="F1458" s="12"/>
      <c r="G1458" s="16"/>
      <c r="H1458" s="14"/>
      <c r="I1458" s="14"/>
      <c r="J1458" s="14"/>
      <c r="K1458" s="14"/>
      <c r="L1458" s="14"/>
      <c r="M1458" s="14"/>
      <c r="N1458" s="14"/>
      <c r="O1458" s="4"/>
      <c r="P1458" s="14"/>
      <c r="Q1458" s="14"/>
    </row>
    <row r="1459" spans="1:17" x14ac:dyDescent="0.25">
      <c r="A1459" s="5"/>
      <c r="B1459" s="6"/>
      <c r="C1459" s="4"/>
      <c r="D1459" s="4"/>
      <c r="E1459" s="12"/>
      <c r="F1459" s="12"/>
      <c r="G1459" s="16"/>
      <c r="H1459" s="14"/>
      <c r="I1459" s="14"/>
      <c r="J1459" s="14"/>
      <c r="K1459" s="14"/>
      <c r="L1459" s="14"/>
      <c r="M1459" s="14"/>
      <c r="N1459" s="14"/>
      <c r="O1459" s="4"/>
      <c r="P1459" s="14"/>
      <c r="Q1459" s="14"/>
    </row>
    <row r="1460" spans="1:17" x14ac:dyDescent="0.25">
      <c r="A1460" s="5"/>
      <c r="B1460" s="6"/>
      <c r="C1460" s="4"/>
      <c r="D1460" s="4"/>
      <c r="E1460" s="12"/>
      <c r="F1460" s="12"/>
      <c r="G1460" s="16"/>
      <c r="H1460" s="14"/>
      <c r="I1460" s="14"/>
      <c r="J1460" s="14"/>
      <c r="K1460" s="14"/>
      <c r="L1460" s="14"/>
      <c r="M1460" s="14"/>
      <c r="N1460" s="14"/>
      <c r="O1460" s="4"/>
      <c r="P1460" s="14"/>
      <c r="Q1460" s="14"/>
    </row>
    <row r="1461" spans="1:17" x14ac:dyDescent="0.25">
      <c r="A1461" s="5"/>
      <c r="B1461" s="6"/>
      <c r="C1461" s="4"/>
      <c r="D1461" s="4"/>
      <c r="E1461" s="12"/>
      <c r="F1461" s="12"/>
      <c r="G1461" s="16"/>
      <c r="H1461" s="14"/>
      <c r="I1461" s="14"/>
      <c r="J1461" s="14"/>
      <c r="K1461" s="14"/>
      <c r="L1461" s="14"/>
      <c r="M1461" s="14"/>
      <c r="N1461" s="14"/>
      <c r="O1461" s="4"/>
      <c r="P1461" s="14"/>
      <c r="Q1461" s="14"/>
    </row>
    <row r="1462" spans="1:17" x14ac:dyDescent="0.25">
      <c r="A1462" s="5"/>
      <c r="B1462" s="6"/>
      <c r="C1462" s="4"/>
      <c r="D1462" s="4"/>
      <c r="E1462" s="12"/>
      <c r="F1462" s="12"/>
      <c r="G1462" s="16"/>
      <c r="H1462" s="14"/>
      <c r="I1462" s="14"/>
      <c r="J1462" s="14"/>
      <c r="K1462" s="14"/>
      <c r="L1462" s="14"/>
      <c r="M1462" s="14"/>
      <c r="N1462" s="14"/>
      <c r="O1462" s="4"/>
      <c r="P1462" s="14"/>
      <c r="Q1462" s="14"/>
    </row>
    <row r="1463" spans="1:17" x14ac:dyDescent="0.25">
      <c r="A1463" s="5"/>
      <c r="B1463" s="6"/>
      <c r="C1463" s="4"/>
      <c r="D1463" s="4"/>
      <c r="E1463" s="12"/>
      <c r="F1463" s="12"/>
      <c r="G1463" s="16"/>
      <c r="H1463" s="14"/>
      <c r="I1463" s="14"/>
      <c r="J1463" s="14"/>
      <c r="K1463" s="14"/>
      <c r="L1463" s="14"/>
      <c r="M1463" s="14"/>
      <c r="N1463" s="14"/>
      <c r="O1463" s="4"/>
      <c r="P1463" s="14"/>
      <c r="Q1463" s="14"/>
    </row>
    <row r="1464" spans="1:17" x14ac:dyDescent="0.25">
      <c r="A1464" s="5"/>
      <c r="B1464" s="6"/>
      <c r="C1464" s="4"/>
      <c r="D1464" s="4"/>
      <c r="E1464" s="12"/>
      <c r="F1464" s="12"/>
      <c r="G1464" s="16"/>
      <c r="H1464" s="14"/>
      <c r="I1464" s="14"/>
      <c r="J1464" s="14"/>
      <c r="K1464" s="14"/>
      <c r="L1464" s="14"/>
      <c r="M1464" s="14"/>
      <c r="N1464" s="14"/>
      <c r="O1464" s="4"/>
      <c r="P1464" s="14"/>
      <c r="Q1464" s="14"/>
    </row>
    <row r="1465" spans="1:17" x14ac:dyDescent="0.25">
      <c r="A1465" s="5"/>
      <c r="B1465" s="6"/>
      <c r="C1465" s="4"/>
      <c r="D1465" s="4"/>
      <c r="E1465" s="12"/>
      <c r="F1465" s="12"/>
      <c r="G1465" s="16"/>
      <c r="H1465" s="14"/>
      <c r="I1465" s="14"/>
      <c r="J1465" s="14"/>
      <c r="K1465" s="14"/>
      <c r="L1465" s="14"/>
      <c r="M1465" s="14"/>
      <c r="N1465" s="14"/>
      <c r="O1465" s="4"/>
      <c r="P1465" s="14"/>
      <c r="Q1465" s="14"/>
    </row>
    <row r="1466" spans="1:17" x14ac:dyDescent="0.25">
      <c r="A1466" s="5"/>
      <c r="B1466" s="6"/>
      <c r="C1466" s="4"/>
      <c r="D1466" s="4"/>
      <c r="E1466" s="12"/>
      <c r="F1466" s="12"/>
      <c r="G1466" s="16"/>
      <c r="H1466" s="14"/>
      <c r="I1466" s="14"/>
      <c r="J1466" s="14"/>
      <c r="K1466" s="14"/>
      <c r="L1466" s="14"/>
      <c r="M1466" s="14"/>
      <c r="N1466" s="14"/>
      <c r="O1466" s="4"/>
      <c r="P1466" s="14"/>
      <c r="Q1466" s="14"/>
    </row>
    <row r="1467" spans="1:17" x14ac:dyDescent="0.25">
      <c r="A1467" s="5"/>
      <c r="B1467" s="6"/>
      <c r="C1467" s="4"/>
      <c r="D1467" s="4"/>
      <c r="E1467" s="12"/>
      <c r="F1467" s="12"/>
      <c r="G1467" s="16"/>
      <c r="H1467" s="14"/>
      <c r="I1467" s="14"/>
      <c r="J1467" s="14"/>
      <c r="K1467" s="14"/>
      <c r="L1467" s="14"/>
      <c r="M1467" s="14"/>
      <c r="N1467" s="14"/>
      <c r="O1467" s="4"/>
      <c r="P1467" s="14"/>
      <c r="Q1467" s="14"/>
    </row>
    <row r="1468" spans="1:17" x14ac:dyDescent="0.25">
      <c r="A1468" s="5"/>
      <c r="B1468" s="6"/>
      <c r="C1468" s="4"/>
      <c r="D1468" s="4"/>
      <c r="E1468" s="12"/>
      <c r="F1468" s="12"/>
      <c r="G1468" s="16"/>
      <c r="H1468" s="14"/>
      <c r="I1468" s="14"/>
      <c r="J1468" s="14"/>
      <c r="K1468" s="14"/>
      <c r="L1468" s="14"/>
      <c r="M1468" s="14"/>
      <c r="N1468" s="14"/>
      <c r="O1468" s="4"/>
      <c r="P1468" s="14"/>
      <c r="Q1468" s="14"/>
    </row>
    <row r="1469" spans="1:17" x14ac:dyDescent="0.25">
      <c r="A1469" s="5"/>
      <c r="B1469" s="6"/>
      <c r="C1469" s="4"/>
      <c r="D1469" s="4"/>
      <c r="E1469" s="12"/>
      <c r="F1469" s="12"/>
      <c r="G1469" s="16"/>
      <c r="H1469" s="14"/>
      <c r="I1469" s="14"/>
      <c r="J1469" s="14"/>
      <c r="K1469" s="14"/>
      <c r="L1469" s="14"/>
      <c r="M1469" s="14"/>
      <c r="N1469" s="14"/>
      <c r="O1469" s="4"/>
      <c r="P1469" s="14"/>
      <c r="Q1469" s="14"/>
    </row>
    <row r="1470" spans="1:17" x14ac:dyDescent="0.25">
      <c r="A1470" s="5"/>
      <c r="B1470" s="6"/>
      <c r="C1470" s="4"/>
      <c r="D1470" s="4"/>
      <c r="E1470" s="12"/>
      <c r="F1470" s="12"/>
      <c r="G1470" s="16"/>
      <c r="H1470" s="14"/>
      <c r="I1470" s="14"/>
      <c r="J1470" s="14"/>
      <c r="K1470" s="14"/>
      <c r="L1470" s="14"/>
      <c r="M1470" s="14"/>
      <c r="N1470" s="14"/>
      <c r="O1470" s="4"/>
      <c r="P1470" s="14"/>
      <c r="Q1470" s="14"/>
    </row>
    <row r="1471" spans="1:17" x14ac:dyDescent="0.25">
      <c r="A1471" s="5"/>
      <c r="B1471" s="6"/>
      <c r="C1471" s="4"/>
      <c r="D1471" s="4"/>
      <c r="E1471" s="12"/>
      <c r="F1471" s="12"/>
      <c r="G1471" s="16"/>
      <c r="H1471" s="14"/>
      <c r="I1471" s="14"/>
      <c r="J1471" s="14"/>
      <c r="K1471" s="14"/>
      <c r="L1471" s="14"/>
      <c r="M1471" s="14"/>
      <c r="N1471" s="14"/>
      <c r="O1471" s="4"/>
      <c r="P1471" s="14"/>
      <c r="Q1471" s="14"/>
    </row>
    <row r="1472" spans="1:17" x14ac:dyDescent="0.25">
      <c r="A1472" s="5"/>
      <c r="B1472" s="6"/>
      <c r="C1472" s="4"/>
      <c r="D1472" s="4"/>
      <c r="E1472" s="12"/>
      <c r="F1472" s="12"/>
      <c r="G1472" s="16"/>
      <c r="H1472" s="14"/>
      <c r="I1472" s="14"/>
      <c r="J1472" s="14"/>
      <c r="K1472" s="14"/>
      <c r="L1472" s="14"/>
      <c r="M1472" s="14"/>
      <c r="N1472" s="14"/>
      <c r="O1472" s="4"/>
      <c r="P1472" s="14"/>
      <c r="Q1472" s="14"/>
    </row>
    <row r="1473" spans="1:17" x14ac:dyDescent="0.25">
      <c r="A1473" s="5"/>
      <c r="B1473" s="6"/>
      <c r="C1473" s="4"/>
      <c r="D1473" s="4"/>
      <c r="E1473" s="12"/>
      <c r="F1473" s="12"/>
      <c r="G1473" s="16"/>
      <c r="H1473" s="14"/>
      <c r="I1473" s="14"/>
      <c r="J1473" s="14"/>
      <c r="K1473" s="14"/>
      <c r="L1473" s="14"/>
      <c r="M1473" s="14"/>
      <c r="N1473" s="14"/>
      <c r="O1473" s="4"/>
      <c r="P1473" s="14"/>
      <c r="Q1473" s="14"/>
    </row>
    <row r="1474" spans="1:17" x14ac:dyDescent="0.25">
      <c r="A1474" s="5"/>
      <c r="B1474" s="6"/>
      <c r="C1474" s="4"/>
      <c r="D1474" s="4"/>
      <c r="E1474" s="12"/>
      <c r="F1474" s="12"/>
      <c r="G1474" s="16"/>
      <c r="H1474" s="14"/>
      <c r="I1474" s="14"/>
      <c r="J1474" s="14"/>
      <c r="K1474" s="14"/>
      <c r="L1474" s="14"/>
      <c r="M1474" s="14"/>
      <c r="N1474" s="14"/>
      <c r="O1474" s="4"/>
      <c r="P1474" s="14"/>
      <c r="Q1474" s="14"/>
    </row>
    <row r="1475" spans="1:17" x14ac:dyDescent="0.25">
      <c r="A1475" s="5"/>
      <c r="B1475" s="6"/>
      <c r="C1475" s="4"/>
      <c r="D1475" s="4"/>
      <c r="E1475" s="12"/>
      <c r="F1475" s="12"/>
      <c r="G1475" s="16"/>
      <c r="H1475" s="14"/>
      <c r="I1475" s="14"/>
      <c r="J1475" s="14"/>
      <c r="K1475" s="14"/>
      <c r="L1475" s="14"/>
      <c r="M1475" s="14"/>
      <c r="N1475" s="14"/>
      <c r="O1475" s="4"/>
      <c r="P1475" s="14"/>
      <c r="Q1475" s="14"/>
    </row>
    <row r="1476" spans="1:17" x14ac:dyDescent="0.25">
      <c r="A1476" s="5"/>
      <c r="B1476" s="6"/>
      <c r="C1476" s="4"/>
      <c r="D1476" s="4"/>
      <c r="E1476" s="12"/>
      <c r="F1476" s="12"/>
      <c r="G1476" s="16"/>
      <c r="H1476" s="14"/>
      <c r="I1476" s="14"/>
      <c r="J1476" s="14"/>
      <c r="K1476" s="14"/>
      <c r="L1476" s="14"/>
      <c r="M1476" s="14"/>
      <c r="N1476" s="14"/>
      <c r="O1476" s="4"/>
      <c r="P1476" s="14"/>
      <c r="Q1476" s="14"/>
    </row>
    <row r="1477" spans="1:17" x14ac:dyDescent="0.25">
      <c r="A1477" s="5"/>
      <c r="B1477" s="6"/>
      <c r="C1477" s="4"/>
      <c r="D1477" s="4"/>
      <c r="E1477" s="12"/>
      <c r="F1477" s="12"/>
      <c r="G1477" s="16"/>
      <c r="H1477" s="14"/>
      <c r="I1477" s="14"/>
      <c r="J1477" s="14"/>
      <c r="K1477" s="14"/>
      <c r="L1477" s="14"/>
      <c r="M1477" s="14"/>
      <c r="N1477" s="14"/>
      <c r="O1477" s="4"/>
      <c r="P1477" s="14"/>
      <c r="Q1477" s="14"/>
    </row>
    <row r="1478" spans="1:17" x14ac:dyDescent="0.25">
      <c r="A1478" s="5"/>
      <c r="B1478" s="6"/>
      <c r="C1478" s="4"/>
      <c r="D1478" s="4"/>
      <c r="E1478" s="12"/>
      <c r="F1478" s="12"/>
      <c r="G1478" s="16"/>
      <c r="H1478" s="14"/>
      <c r="I1478" s="14"/>
      <c r="J1478" s="14"/>
      <c r="K1478" s="14"/>
      <c r="L1478" s="14"/>
      <c r="M1478" s="14"/>
      <c r="N1478" s="14"/>
      <c r="O1478" s="4"/>
      <c r="P1478" s="14"/>
      <c r="Q1478" s="14"/>
    </row>
    <row r="1479" spans="1:17" x14ac:dyDescent="0.25">
      <c r="A1479" s="5"/>
      <c r="B1479" s="6"/>
      <c r="C1479" s="4"/>
      <c r="D1479" s="4"/>
      <c r="E1479" s="12"/>
      <c r="F1479" s="12"/>
      <c r="G1479" s="16"/>
      <c r="H1479" s="14"/>
      <c r="I1479" s="14"/>
      <c r="J1479" s="14"/>
      <c r="K1479" s="14"/>
      <c r="L1479" s="14"/>
      <c r="M1479" s="14"/>
      <c r="N1479" s="14"/>
      <c r="O1479" s="4"/>
      <c r="P1479" s="14"/>
      <c r="Q1479" s="14"/>
    </row>
    <row r="1480" spans="1:17" x14ac:dyDescent="0.25">
      <c r="A1480" s="5"/>
      <c r="B1480" s="6"/>
      <c r="C1480" s="4"/>
      <c r="D1480" s="4"/>
      <c r="E1480" s="12"/>
      <c r="F1480" s="12"/>
      <c r="G1480" s="16"/>
      <c r="H1480" s="14"/>
      <c r="I1480" s="14"/>
      <c r="J1480" s="14"/>
      <c r="K1480" s="14"/>
      <c r="L1480" s="14"/>
      <c r="M1480" s="14"/>
      <c r="N1480" s="14"/>
      <c r="O1480" s="4"/>
      <c r="P1480" s="14"/>
      <c r="Q1480" s="14"/>
    </row>
    <row r="1481" spans="1:17" x14ac:dyDescent="0.25">
      <c r="A1481" s="5"/>
      <c r="B1481" s="6"/>
      <c r="C1481" s="4"/>
      <c r="D1481" s="4"/>
      <c r="E1481" s="12"/>
      <c r="F1481" s="12"/>
      <c r="G1481" s="16"/>
      <c r="H1481" s="14"/>
      <c r="I1481" s="14"/>
      <c r="J1481" s="14"/>
      <c r="K1481" s="14"/>
      <c r="L1481" s="14"/>
      <c r="M1481" s="14"/>
      <c r="N1481" s="14"/>
      <c r="O1481" s="4"/>
      <c r="P1481" s="14"/>
      <c r="Q1481" s="14"/>
    </row>
    <row r="1482" spans="1:17" x14ac:dyDescent="0.25">
      <c r="A1482" s="5"/>
      <c r="B1482" s="6"/>
      <c r="C1482" s="4"/>
      <c r="D1482" s="4"/>
      <c r="E1482" s="12"/>
      <c r="F1482" s="12"/>
      <c r="G1482" s="16"/>
      <c r="H1482" s="14"/>
      <c r="I1482" s="14"/>
      <c r="J1482" s="14"/>
      <c r="K1482" s="14"/>
      <c r="L1482" s="14"/>
      <c r="M1482" s="14"/>
      <c r="N1482" s="14"/>
      <c r="O1482" s="4"/>
      <c r="P1482" s="14"/>
      <c r="Q1482" s="14"/>
    </row>
    <row r="1483" spans="1:17" x14ac:dyDescent="0.25">
      <c r="A1483" s="5"/>
      <c r="B1483" s="6"/>
      <c r="C1483" s="4"/>
      <c r="D1483" s="4"/>
      <c r="E1483" s="12"/>
      <c r="F1483" s="12"/>
      <c r="G1483" s="16"/>
      <c r="H1483" s="14"/>
      <c r="I1483" s="14"/>
      <c r="J1483" s="14"/>
      <c r="K1483" s="14"/>
      <c r="L1483" s="14"/>
      <c r="M1483" s="14"/>
      <c r="N1483" s="14"/>
      <c r="O1483" s="4"/>
      <c r="P1483" s="14"/>
      <c r="Q1483" s="14"/>
    </row>
    <row r="1484" spans="1:17" x14ac:dyDescent="0.25">
      <c r="A1484" s="5"/>
      <c r="B1484" s="6"/>
      <c r="C1484" s="4"/>
      <c r="D1484" s="4"/>
      <c r="E1484" s="12"/>
      <c r="F1484" s="12"/>
      <c r="G1484" s="16"/>
      <c r="H1484" s="14"/>
      <c r="I1484" s="14"/>
      <c r="J1484" s="14"/>
      <c r="K1484" s="14"/>
      <c r="L1484" s="14"/>
      <c r="M1484" s="14"/>
      <c r="N1484" s="14"/>
      <c r="O1484" s="4"/>
      <c r="P1484" s="14"/>
      <c r="Q1484" s="14"/>
    </row>
    <row r="1485" spans="1:17" x14ac:dyDescent="0.25">
      <c r="A1485" s="5"/>
      <c r="B1485" s="6"/>
      <c r="C1485" s="4"/>
      <c r="D1485" s="4"/>
      <c r="E1485" s="12"/>
      <c r="F1485" s="12"/>
      <c r="G1485" s="16"/>
      <c r="H1485" s="14"/>
      <c r="I1485" s="14"/>
      <c r="J1485" s="14"/>
      <c r="K1485" s="14"/>
      <c r="L1485" s="14"/>
      <c r="M1485" s="14"/>
      <c r="N1485" s="14"/>
      <c r="O1485" s="4"/>
      <c r="P1485" s="14"/>
      <c r="Q1485" s="14"/>
    </row>
    <row r="1486" spans="1:17" x14ac:dyDescent="0.25">
      <c r="A1486" s="5"/>
      <c r="B1486" s="6"/>
      <c r="C1486" s="4"/>
      <c r="D1486" s="4"/>
      <c r="E1486" s="12"/>
      <c r="F1486" s="12"/>
      <c r="G1486" s="16"/>
      <c r="H1486" s="14"/>
      <c r="I1486" s="14"/>
      <c r="J1486" s="14"/>
      <c r="K1486" s="14"/>
      <c r="L1486" s="14"/>
      <c r="M1486" s="14"/>
      <c r="N1486" s="14"/>
      <c r="O1486" s="4"/>
      <c r="P1486" s="14"/>
      <c r="Q1486" s="14"/>
    </row>
    <row r="1487" spans="1:17" x14ac:dyDescent="0.25">
      <c r="A1487" s="5"/>
      <c r="B1487" s="6"/>
      <c r="C1487" s="4"/>
      <c r="D1487" s="4"/>
      <c r="E1487" s="12"/>
      <c r="F1487" s="12"/>
      <c r="G1487" s="16"/>
      <c r="H1487" s="14"/>
      <c r="I1487" s="14"/>
      <c r="J1487" s="14"/>
      <c r="K1487" s="14"/>
      <c r="L1487" s="14"/>
      <c r="M1487" s="14"/>
      <c r="N1487" s="14"/>
      <c r="O1487" s="4"/>
      <c r="P1487" s="14"/>
      <c r="Q1487" s="14"/>
    </row>
    <row r="1488" spans="1:17" x14ac:dyDescent="0.25">
      <c r="A1488" s="5"/>
      <c r="B1488" s="6"/>
      <c r="C1488" s="4"/>
      <c r="D1488" s="4"/>
      <c r="E1488" s="12"/>
      <c r="F1488" s="12"/>
      <c r="G1488" s="16"/>
      <c r="H1488" s="14"/>
      <c r="I1488" s="14"/>
      <c r="J1488" s="14"/>
      <c r="K1488" s="14"/>
      <c r="L1488" s="14"/>
      <c r="M1488" s="14"/>
      <c r="N1488" s="14"/>
      <c r="O1488" s="4"/>
      <c r="P1488" s="14"/>
      <c r="Q1488" s="14"/>
    </row>
    <row r="1489" spans="1:17" x14ac:dyDescent="0.25">
      <c r="A1489" s="5"/>
      <c r="B1489" s="6"/>
      <c r="C1489" s="4"/>
      <c r="D1489" s="4"/>
      <c r="E1489" s="12"/>
      <c r="F1489" s="12"/>
      <c r="G1489" s="16"/>
      <c r="H1489" s="14"/>
      <c r="I1489" s="14"/>
      <c r="J1489" s="14"/>
      <c r="K1489" s="14"/>
      <c r="L1489" s="14"/>
      <c r="M1489" s="14"/>
      <c r="N1489" s="14"/>
      <c r="O1489" s="4"/>
      <c r="P1489" s="14"/>
      <c r="Q1489" s="14"/>
    </row>
    <row r="1490" spans="1:17" x14ac:dyDescent="0.25">
      <c r="A1490" s="5"/>
      <c r="B1490" s="6"/>
      <c r="C1490" s="4"/>
      <c r="D1490" s="4"/>
      <c r="E1490" s="12"/>
      <c r="F1490" s="12"/>
      <c r="G1490" s="16"/>
      <c r="H1490" s="14"/>
      <c r="I1490" s="14"/>
      <c r="J1490" s="14"/>
      <c r="K1490" s="14"/>
      <c r="L1490" s="14"/>
      <c r="M1490" s="14"/>
      <c r="N1490" s="14"/>
      <c r="O1490" s="4"/>
      <c r="P1490" s="14"/>
      <c r="Q1490" s="14"/>
    </row>
    <row r="1491" spans="1:17" x14ac:dyDescent="0.25">
      <c r="A1491" s="5"/>
      <c r="B1491" s="6"/>
      <c r="C1491" s="4"/>
      <c r="D1491" s="4"/>
      <c r="E1491" s="12"/>
      <c r="F1491" s="12"/>
      <c r="G1491" s="16"/>
      <c r="H1491" s="14"/>
      <c r="I1491" s="14"/>
      <c r="J1491" s="14"/>
      <c r="K1491" s="14"/>
      <c r="L1491" s="14"/>
      <c r="M1491" s="14"/>
      <c r="N1491" s="14"/>
      <c r="O1491" s="4"/>
      <c r="P1491" s="14"/>
      <c r="Q1491" s="14"/>
    </row>
    <row r="1492" spans="1:17" x14ac:dyDescent="0.25">
      <c r="A1492" s="5"/>
      <c r="B1492" s="6"/>
      <c r="C1492" s="4"/>
      <c r="D1492" s="4"/>
      <c r="E1492" s="12"/>
      <c r="F1492" s="12"/>
      <c r="G1492" s="16"/>
      <c r="H1492" s="14"/>
      <c r="I1492" s="14"/>
      <c r="J1492" s="14"/>
      <c r="K1492" s="14"/>
      <c r="L1492" s="14"/>
      <c r="M1492" s="14"/>
      <c r="N1492" s="14"/>
      <c r="O1492" s="4"/>
      <c r="P1492" s="14"/>
      <c r="Q1492" s="14"/>
    </row>
    <row r="1493" spans="1:17" x14ac:dyDescent="0.25">
      <c r="A1493" s="5"/>
      <c r="B1493" s="6"/>
      <c r="C1493" s="4"/>
      <c r="D1493" s="4"/>
      <c r="E1493" s="12"/>
      <c r="F1493" s="12"/>
      <c r="G1493" s="16"/>
      <c r="H1493" s="14"/>
      <c r="I1493" s="14"/>
      <c r="J1493" s="14"/>
      <c r="K1493" s="14"/>
      <c r="L1493" s="14"/>
      <c r="M1493" s="14"/>
      <c r="N1493" s="14"/>
      <c r="O1493" s="4"/>
      <c r="P1493" s="14"/>
      <c r="Q1493" s="14"/>
    </row>
    <row r="1494" spans="1:17" x14ac:dyDescent="0.25">
      <c r="A1494" s="5"/>
      <c r="B1494" s="6"/>
      <c r="C1494" s="4"/>
      <c r="D1494" s="4"/>
      <c r="E1494" s="12"/>
      <c r="F1494" s="12"/>
      <c r="G1494" s="16"/>
      <c r="H1494" s="14"/>
      <c r="I1494" s="14"/>
      <c r="J1494" s="14"/>
      <c r="K1494" s="14"/>
      <c r="L1494" s="14"/>
      <c r="M1494" s="14"/>
      <c r="N1494" s="14"/>
      <c r="O1494" s="4"/>
      <c r="P1494" s="14"/>
      <c r="Q1494" s="14"/>
    </row>
    <row r="1495" spans="1:17" x14ac:dyDescent="0.25">
      <c r="A1495" s="5"/>
      <c r="B1495" s="6"/>
      <c r="C1495" s="4"/>
      <c r="D1495" s="4"/>
      <c r="E1495" s="12"/>
      <c r="F1495" s="12"/>
      <c r="G1495" s="16"/>
      <c r="H1495" s="14"/>
      <c r="I1495" s="14"/>
      <c r="J1495" s="14"/>
      <c r="K1495" s="14"/>
      <c r="L1495" s="14"/>
      <c r="M1495" s="14"/>
      <c r="N1495" s="14"/>
      <c r="O1495" s="4"/>
      <c r="P1495" s="14"/>
      <c r="Q1495" s="14"/>
    </row>
    <row r="1496" spans="1:17" x14ac:dyDescent="0.25">
      <c r="A1496" s="5"/>
      <c r="B1496" s="6"/>
      <c r="C1496" s="4"/>
      <c r="D1496" s="4"/>
      <c r="E1496" s="12"/>
      <c r="F1496" s="12"/>
      <c r="G1496" s="16"/>
      <c r="H1496" s="14"/>
      <c r="I1496" s="14"/>
      <c r="J1496" s="14"/>
      <c r="K1496" s="14"/>
      <c r="L1496" s="14"/>
      <c r="M1496" s="14"/>
      <c r="N1496" s="14"/>
      <c r="O1496" s="4"/>
      <c r="P1496" s="14"/>
      <c r="Q1496" s="14"/>
    </row>
    <row r="1497" spans="1:17" x14ac:dyDescent="0.25">
      <c r="A1497" s="5"/>
      <c r="B1497" s="6"/>
      <c r="C1497" s="4"/>
      <c r="D1497" s="4"/>
      <c r="E1497" s="12"/>
      <c r="F1497" s="12"/>
      <c r="G1497" s="16"/>
      <c r="H1497" s="14"/>
      <c r="I1497" s="14"/>
      <c r="J1497" s="14"/>
      <c r="K1497" s="14"/>
      <c r="L1497" s="14"/>
      <c r="M1497" s="14"/>
      <c r="N1497" s="14"/>
      <c r="O1497" s="4"/>
      <c r="P1497" s="14"/>
      <c r="Q1497" s="14"/>
    </row>
    <row r="1498" spans="1:17" x14ac:dyDescent="0.25">
      <c r="A1498" s="5"/>
      <c r="B1498" s="6"/>
      <c r="C1498" s="4"/>
      <c r="D1498" s="4"/>
      <c r="E1498" s="12"/>
      <c r="F1498" s="12"/>
      <c r="G1498" s="16"/>
      <c r="H1498" s="14"/>
      <c r="I1498" s="14"/>
      <c r="J1498" s="14"/>
      <c r="K1498" s="14"/>
      <c r="L1498" s="14"/>
      <c r="M1498" s="14"/>
      <c r="N1498" s="14"/>
      <c r="O1498" s="4"/>
      <c r="P1498" s="14"/>
      <c r="Q1498" s="14"/>
    </row>
    <row r="1499" spans="1:17" x14ac:dyDescent="0.25">
      <c r="A1499" s="5"/>
      <c r="B1499" s="6"/>
      <c r="C1499" s="4"/>
      <c r="D1499" s="4"/>
      <c r="E1499" s="12"/>
      <c r="F1499" s="12"/>
      <c r="G1499" s="16"/>
      <c r="H1499" s="14"/>
      <c r="I1499" s="14"/>
      <c r="J1499" s="14"/>
      <c r="K1499" s="14"/>
      <c r="L1499" s="14"/>
      <c r="M1499" s="14"/>
      <c r="N1499" s="14"/>
      <c r="O1499" s="4"/>
      <c r="P1499" s="14"/>
      <c r="Q1499" s="14"/>
    </row>
    <row r="1500" spans="1:17" x14ac:dyDescent="0.25">
      <c r="A1500" s="5"/>
      <c r="B1500" s="6"/>
      <c r="C1500" s="4"/>
      <c r="D1500" s="4"/>
      <c r="E1500" s="12"/>
      <c r="F1500" s="12"/>
      <c r="G1500" s="16"/>
      <c r="H1500" s="14"/>
      <c r="I1500" s="14"/>
      <c r="J1500" s="14"/>
      <c r="K1500" s="14"/>
      <c r="L1500" s="14"/>
      <c r="M1500" s="14"/>
      <c r="N1500" s="14"/>
      <c r="O1500" s="4"/>
      <c r="P1500" s="14"/>
      <c r="Q1500" s="14"/>
    </row>
    <row r="1501" spans="1:17" x14ac:dyDescent="0.25">
      <c r="A1501" s="5"/>
      <c r="B1501" s="6"/>
      <c r="C1501" s="4"/>
      <c r="D1501" s="4"/>
      <c r="E1501" s="12"/>
      <c r="F1501" s="12"/>
      <c r="G1501" s="16"/>
      <c r="H1501" s="14"/>
      <c r="I1501" s="14"/>
      <c r="J1501" s="14"/>
      <c r="K1501" s="14"/>
      <c r="L1501" s="14"/>
      <c r="M1501" s="14"/>
      <c r="N1501" s="14"/>
      <c r="O1501" s="4"/>
      <c r="P1501" s="14"/>
      <c r="Q1501" s="14"/>
    </row>
    <row r="1502" spans="1:17" x14ac:dyDescent="0.25">
      <c r="A1502" s="5"/>
      <c r="B1502" s="6"/>
      <c r="C1502" s="4"/>
      <c r="D1502" s="4"/>
      <c r="E1502" s="12"/>
      <c r="F1502" s="12"/>
      <c r="G1502" s="16"/>
      <c r="H1502" s="14"/>
      <c r="I1502" s="14"/>
      <c r="J1502" s="14"/>
      <c r="K1502" s="14"/>
      <c r="L1502" s="14"/>
      <c r="M1502" s="14"/>
      <c r="N1502" s="14"/>
      <c r="O1502" s="4"/>
      <c r="P1502" s="14"/>
      <c r="Q1502" s="14"/>
    </row>
    <row r="1503" spans="1:17" x14ac:dyDescent="0.25">
      <c r="A1503" s="5"/>
      <c r="B1503" s="6"/>
      <c r="C1503" s="4"/>
      <c r="D1503" s="4"/>
      <c r="E1503" s="12"/>
      <c r="F1503" s="12"/>
      <c r="G1503" s="16"/>
      <c r="H1503" s="14"/>
      <c r="I1503" s="14"/>
      <c r="J1503" s="14"/>
      <c r="K1503" s="14"/>
      <c r="L1503" s="14"/>
      <c r="M1503" s="14"/>
      <c r="N1503" s="14"/>
      <c r="O1503" s="4"/>
      <c r="P1503" s="14"/>
      <c r="Q1503" s="14"/>
    </row>
    <row r="1504" spans="1:17" x14ac:dyDescent="0.25">
      <c r="A1504" s="5"/>
      <c r="B1504" s="6"/>
      <c r="C1504" s="4"/>
      <c r="D1504" s="4"/>
      <c r="E1504" s="12"/>
      <c r="F1504" s="12"/>
      <c r="G1504" s="16"/>
      <c r="H1504" s="14"/>
      <c r="I1504" s="14"/>
      <c r="J1504" s="14"/>
      <c r="K1504" s="14"/>
      <c r="L1504" s="14"/>
      <c r="M1504" s="14"/>
      <c r="N1504" s="14"/>
      <c r="O1504" s="4"/>
      <c r="P1504" s="14"/>
      <c r="Q1504" s="14"/>
    </row>
    <row r="1505" spans="1:17" x14ac:dyDescent="0.25">
      <c r="A1505" s="5"/>
      <c r="B1505" s="6"/>
      <c r="C1505" s="4"/>
      <c r="D1505" s="4"/>
      <c r="E1505" s="12"/>
      <c r="F1505" s="12"/>
      <c r="G1505" s="16"/>
      <c r="H1505" s="14"/>
      <c r="I1505" s="14"/>
      <c r="J1505" s="14"/>
      <c r="K1505" s="14"/>
      <c r="L1505" s="14"/>
      <c r="M1505" s="14"/>
      <c r="N1505" s="14"/>
      <c r="O1505" s="4"/>
      <c r="P1505" s="14"/>
      <c r="Q1505" s="14"/>
    </row>
    <row r="1506" spans="1:17" x14ac:dyDescent="0.25">
      <c r="A1506" s="5"/>
      <c r="B1506" s="6"/>
      <c r="C1506" s="4"/>
      <c r="D1506" s="4"/>
      <c r="E1506" s="12"/>
      <c r="F1506" s="12"/>
      <c r="G1506" s="16"/>
      <c r="H1506" s="14"/>
      <c r="I1506" s="14"/>
      <c r="J1506" s="14"/>
      <c r="K1506" s="14"/>
      <c r="L1506" s="14"/>
      <c r="M1506" s="14"/>
      <c r="N1506" s="14"/>
      <c r="O1506" s="4"/>
      <c r="P1506" s="14"/>
      <c r="Q1506" s="14"/>
    </row>
    <row r="1507" spans="1:17" x14ac:dyDescent="0.25">
      <c r="A1507" s="5"/>
      <c r="B1507" s="6"/>
      <c r="C1507" s="4"/>
      <c r="D1507" s="4"/>
      <c r="E1507" s="12"/>
      <c r="F1507" s="12"/>
      <c r="G1507" s="16"/>
      <c r="H1507" s="14"/>
      <c r="I1507" s="14"/>
      <c r="J1507" s="14"/>
      <c r="K1507" s="14"/>
      <c r="L1507" s="14"/>
      <c r="M1507" s="14"/>
      <c r="N1507" s="14"/>
      <c r="O1507" s="4"/>
      <c r="P1507" s="14"/>
      <c r="Q1507" s="14"/>
    </row>
    <row r="1508" spans="1:17" x14ac:dyDescent="0.25">
      <c r="A1508" s="5"/>
      <c r="B1508" s="6"/>
      <c r="C1508" s="4"/>
      <c r="D1508" s="4"/>
      <c r="E1508" s="12"/>
      <c r="F1508" s="12"/>
      <c r="G1508" s="16"/>
      <c r="H1508" s="14"/>
      <c r="I1508" s="14"/>
      <c r="J1508" s="14"/>
      <c r="K1508" s="14"/>
      <c r="L1508" s="14"/>
      <c r="M1508" s="14"/>
      <c r="N1508" s="14"/>
      <c r="O1508" s="4"/>
      <c r="P1508" s="14"/>
      <c r="Q1508" s="14"/>
    </row>
    <row r="1509" spans="1:17" x14ac:dyDescent="0.25">
      <c r="A1509" s="5"/>
      <c r="B1509" s="6"/>
      <c r="C1509" s="4"/>
      <c r="D1509" s="4"/>
      <c r="E1509" s="12"/>
      <c r="F1509" s="12"/>
      <c r="G1509" s="16"/>
      <c r="H1509" s="14"/>
      <c r="I1509" s="14"/>
      <c r="J1509" s="14"/>
      <c r="K1509" s="14"/>
      <c r="L1509" s="14"/>
      <c r="M1509" s="14"/>
      <c r="N1509" s="14"/>
      <c r="O1509" s="4"/>
      <c r="P1509" s="14"/>
      <c r="Q1509" s="14"/>
    </row>
    <row r="1510" spans="1:17" x14ac:dyDescent="0.25">
      <c r="A1510" s="5"/>
      <c r="B1510" s="6"/>
      <c r="C1510" s="4"/>
      <c r="D1510" s="4"/>
      <c r="E1510" s="12"/>
      <c r="F1510" s="12"/>
      <c r="G1510" s="16"/>
      <c r="H1510" s="14"/>
      <c r="I1510" s="14"/>
      <c r="J1510" s="14"/>
      <c r="K1510" s="14"/>
      <c r="L1510" s="14"/>
      <c r="M1510" s="14"/>
      <c r="N1510" s="14"/>
      <c r="O1510" s="4"/>
      <c r="P1510" s="14"/>
      <c r="Q1510" s="14"/>
    </row>
    <row r="1511" spans="1:17" x14ac:dyDescent="0.25">
      <c r="A1511" s="5"/>
      <c r="B1511" s="6"/>
      <c r="C1511" s="4"/>
      <c r="D1511" s="4"/>
      <c r="E1511" s="12"/>
      <c r="F1511" s="12"/>
      <c r="G1511" s="16"/>
      <c r="H1511" s="14"/>
      <c r="I1511" s="14"/>
      <c r="J1511" s="14"/>
      <c r="K1511" s="14"/>
      <c r="L1511" s="14"/>
      <c r="M1511" s="14"/>
      <c r="N1511" s="14"/>
      <c r="O1511" s="4"/>
      <c r="P1511" s="14"/>
      <c r="Q1511" s="14"/>
    </row>
    <row r="1512" spans="1:17" x14ac:dyDescent="0.25">
      <c r="A1512" s="5"/>
      <c r="B1512" s="6"/>
      <c r="C1512" s="4"/>
      <c r="D1512" s="4"/>
      <c r="E1512" s="12"/>
      <c r="F1512" s="12"/>
      <c r="G1512" s="16"/>
      <c r="H1512" s="14"/>
      <c r="I1512" s="14"/>
      <c r="J1512" s="14"/>
      <c r="K1512" s="14"/>
      <c r="L1512" s="14"/>
      <c r="M1512" s="14"/>
      <c r="N1512" s="14"/>
      <c r="O1512" s="4"/>
      <c r="P1512" s="14"/>
      <c r="Q1512" s="14"/>
    </row>
    <row r="1513" spans="1:17" x14ac:dyDescent="0.25">
      <c r="A1513" s="5"/>
      <c r="B1513" s="6"/>
      <c r="C1513" s="4"/>
      <c r="D1513" s="4"/>
      <c r="E1513" s="12"/>
      <c r="F1513" s="12"/>
      <c r="G1513" s="16"/>
      <c r="H1513" s="14"/>
      <c r="I1513" s="14"/>
      <c r="J1513" s="14"/>
      <c r="K1513" s="14"/>
      <c r="L1513" s="14"/>
      <c r="M1513" s="14"/>
      <c r="N1513" s="14"/>
      <c r="O1513" s="4"/>
      <c r="P1513" s="14"/>
      <c r="Q1513" s="14"/>
    </row>
    <row r="1514" spans="1:17" x14ac:dyDescent="0.25">
      <c r="A1514" s="5"/>
      <c r="B1514" s="6"/>
      <c r="C1514" s="4"/>
      <c r="D1514" s="4"/>
      <c r="E1514" s="12"/>
      <c r="F1514" s="12"/>
      <c r="G1514" s="16"/>
      <c r="H1514" s="14"/>
      <c r="I1514" s="14"/>
      <c r="J1514" s="14"/>
      <c r="K1514" s="14"/>
      <c r="L1514" s="14"/>
      <c r="M1514" s="14"/>
      <c r="N1514" s="14"/>
      <c r="O1514" s="4"/>
      <c r="P1514" s="14"/>
      <c r="Q1514" s="14"/>
    </row>
    <row r="1515" spans="1:17" x14ac:dyDescent="0.25">
      <c r="A1515" s="5"/>
      <c r="B1515" s="6"/>
      <c r="C1515" s="4"/>
      <c r="D1515" s="4"/>
      <c r="E1515" s="12"/>
      <c r="F1515" s="12"/>
      <c r="G1515" s="16"/>
      <c r="H1515" s="14"/>
      <c r="I1515" s="14"/>
      <c r="J1515" s="14"/>
      <c r="K1515" s="14"/>
      <c r="L1515" s="14"/>
      <c r="M1515" s="14"/>
      <c r="N1515" s="14"/>
      <c r="O1515" s="4"/>
      <c r="P1515" s="14"/>
      <c r="Q1515" s="14"/>
    </row>
    <row r="1516" spans="1:17" x14ac:dyDescent="0.25">
      <c r="A1516" s="5"/>
      <c r="B1516" s="6"/>
      <c r="C1516" s="4"/>
      <c r="D1516" s="4"/>
      <c r="E1516" s="12"/>
      <c r="F1516" s="12"/>
      <c r="G1516" s="16"/>
      <c r="H1516" s="14"/>
      <c r="I1516" s="14"/>
      <c r="J1516" s="14"/>
      <c r="K1516" s="14"/>
      <c r="L1516" s="14"/>
      <c r="M1516" s="14"/>
      <c r="N1516" s="14"/>
      <c r="O1516" s="4"/>
      <c r="P1516" s="14"/>
      <c r="Q1516" s="14"/>
    </row>
    <row r="1517" spans="1:17" x14ac:dyDescent="0.25">
      <c r="A1517" s="5"/>
      <c r="B1517" s="6"/>
      <c r="C1517" s="4"/>
      <c r="D1517" s="4"/>
      <c r="E1517" s="12"/>
      <c r="F1517" s="12"/>
      <c r="G1517" s="16"/>
      <c r="H1517" s="14"/>
      <c r="I1517" s="14"/>
      <c r="J1517" s="14"/>
      <c r="K1517" s="14"/>
      <c r="L1517" s="14"/>
      <c r="M1517" s="14"/>
      <c r="N1517" s="14"/>
      <c r="O1517" s="4"/>
      <c r="P1517" s="14"/>
      <c r="Q1517" s="14"/>
    </row>
    <row r="1518" spans="1:17" x14ac:dyDescent="0.25">
      <c r="A1518" s="5"/>
      <c r="B1518" s="6"/>
      <c r="C1518" s="4"/>
      <c r="D1518" s="4"/>
      <c r="E1518" s="12"/>
      <c r="F1518" s="12"/>
      <c r="G1518" s="16"/>
      <c r="H1518" s="14"/>
      <c r="I1518" s="14"/>
      <c r="J1518" s="14"/>
      <c r="K1518" s="14"/>
      <c r="L1518" s="14"/>
      <c r="M1518" s="14"/>
      <c r="N1518" s="14"/>
      <c r="O1518" s="4"/>
      <c r="P1518" s="14"/>
      <c r="Q1518" s="14"/>
    </row>
    <row r="1519" spans="1:17" x14ac:dyDescent="0.25">
      <c r="A1519" s="5"/>
      <c r="B1519" s="6"/>
      <c r="C1519" s="4"/>
      <c r="D1519" s="4"/>
      <c r="E1519" s="12"/>
      <c r="F1519" s="12"/>
      <c r="G1519" s="16"/>
      <c r="H1519" s="14"/>
      <c r="I1519" s="14"/>
      <c r="J1519" s="14"/>
      <c r="K1519" s="14"/>
      <c r="L1519" s="14"/>
      <c r="M1519" s="14"/>
      <c r="N1519" s="14"/>
      <c r="O1519" s="4"/>
      <c r="P1519" s="14"/>
      <c r="Q1519" s="14"/>
    </row>
    <row r="1520" spans="1:17" x14ac:dyDescent="0.25">
      <c r="A1520" s="5"/>
      <c r="B1520" s="6"/>
      <c r="C1520" s="4"/>
      <c r="D1520" s="4"/>
      <c r="E1520" s="12"/>
      <c r="F1520" s="12"/>
      <c r="G1520" s="16"/>
      <c r="H1520" s="14"/>
      <c r="I1520" s="14"/>
      <c r="J1520" s="14"/>
      <c r="K1520" s="14"/>
      <c r="L1520" s="14"/>
      <c r="M1520" s="14"/>
      <c r="N1520" s="14"/>
      <c r="O1520" s="4"/>
      <c r="P1520" s="14"/>
      <c r="Q1520" s="14"/>
    </row>
    <row r="1521" spans="1:17" x14ac:dyDescent="0.25">
      <c r="A1521" s="5"/>
      <c r="B1521" s="6"/>
      <c r="C1521" s="4"/>
      <c r="D1521" s="4"/>
      <c r="E1521" s="12"/>
      <c r="F1521" s="12"/>
      <c r="G1521" s="16"/>
      <c r="H1521" s="14"/>
      <c r="I1521" s="14"/>
      <c r="J1521" s="14"/>
      <c r="K1521" s="14"/>
      <c r="L1521" s="14"/>
      <c r="M1521" s="14"/>
      <c r="N1521" s="14"/>
      <c r="O1521" s="4"/>
      <c r="P1521" s="14"/>
      <c r="Q1521" s="14"/>
    </row>
    <row r="1522" spans="1:17" x14ac:dyDescent="0.25">
      <c r="A1522" s="5"/>
      <c r="B1522" s="6"/>
      <c r="C1522" s="4"/>
      <c r="D1522" s="4"/>
      <c r="E1522" s="12"/>
      <c r="F1522" s="12"/>
      <c r="G1522" s="16"/>
      <c r="H1522" s="14"/>
      <c r="I1522" s="14"/>
      <c r="J1522" s="14"/>
      <c r="K1522" s="14"/>
      <c r="L1522" s="14"/>
      <c r="M1522" s="14"/>
      <c r="N1522" s="14"/>
      <c r="O1522" s="4"/>
      <c r="P1522" s="14"/>
      <c r="Q1522" s="14"/>
    </row>
    <row r="1523" spans="1:17" x14ac:dyDescent="0.25">
      <c r="A1523" s="5"/>
      <c r="B1523" s="6"/>
      <c r="C1523" s="4"/>
      <c r="D1523" s="4"/>
      <c r="E1523" s="12"/>
      <c r="F1523" s="12"/>
      <c r="G1523" s="16"/>
      <c r="H1523" s="14"/>
      <c r="I1523" s="14"/>
      <c r="J1523" s="14"/>
      <c r="K1523" s="14"/>
      <c r="L1523" s="14"/>
      <c r="M1523" s="14"/>
      <c r="N1523" s="14"/>
      <c r="O1523" s="4"/>
      <c r="P1523" s="14"/>
      <c r="Q1523" s="14"/>
    </row>
    <row r="1524" spans="1:17" x14ac:dyDescent="0.25">
      <c r="A1524" s="5"/>
      <c r="B1524" s="6"/>
      <c r="C1524" s="4"/>
      <c r="D1524" s="4"/>
      <c r="E1524" s="12"/>
      <c r="F1524" s="12"/>
      <c r="G1524" s="16"/>
      <c r="H1524" s="14"/>
      <c r="I1524" s="14"/>
      <c r="J1524" s="14"/>
      <c r="K1524" s="14"/>
      <c r="L1524" s="14"/>
      <c r="M1524" s="14"/>
      <c r="N1524" s="14"/>
      <c r="O1524" s="4"/>
      <c r="P1524" s="14"/>
      <c r="Q1524" s="14"/>
    </row>
    <row r="1525" spans="1:17" x14ac:dyDescent="0.25">
      <c r="A1525" s="5"/>
      <c r="B1525" s="6"/>
      <c r="C1525" s="4"/>
      <c r="D1525" s="4"/>
      <c r="E1525" s="12"/>
      <c r="F1525" s="12"/>
      <c r="G1525" s="16"/>
      <c r="H1525" s="14"/>
      <c r="I1525" s="14"/>
      <c r="J1525" s="14"/>
      <c r="K1525" s="14"/>
      <c r="L1525" s="14"/>
      <c r="M1525" s="14"/>
      <c r="N1525" s="14"/>
      <c r="O1525" s="4"/>
      <c r="P1525" s="14"/>
      <c r="Q1525" s="14"/>
    </row>
    <row r="1526" spans="1:17" x14ac:dyDescent="0.25">
      <c r="A1526" s="5"/>
      <c r="B1526" s="6"/>
      <c r="C1526" s="4"/>
      <c r="D1526" s="4"/>
      <c r="E1526" s="12"/>
      <c r="F1526" s="12"/>
      <c r="G1526" s="16"/>
      <c r="H1526" s="14"/>
      <c r="I1526" s="14"/>
      <c r="J1526" s="14"/>
      <c r="K1526" s="14"/>
      <c r="L1526" s="14"/>
      <c r="M1526" s="14"/>
      <c r="N1526" s="14"/>
      <c r="O1526" s="4"/>
      <c r="P1526" s="14"/>
      <c r="Q1526" s="14"/>
    </row>
    <row r="1527" spans="1:17" x14ac:dyDescent="0.25">
      <c r="A1527" s="5"/>
      <c r="B1527" s="6"/>
      <c r="C1527" s="4"/>
      <c r="D1527" s="4"/>
      <c r="E1527" s="12"/>
      <c r="F1527" s="12"/>
      <c r="G1527" s="16"/>
      <c r="H1527" s="14"/>
      <c r="I1527" s="14"/>
      <c r="J1527" s="14"/>
      <c r="K1527" s="14"/>
      <c r="L1527" s="14"/>
      <c r="M1527" s="14"/>
      <c r="N1527" s="14"/>
      <c r="O1527" s="4"/>
      <c r="P1527" s="14"/>
      <c r="Q1527" s="14"/>
    </row>
    <row r="1528" spans="1:17" x14ac:dyDescent="0.25">
      <c r="A1528" s="5"/>
      <c r="B1528" s="6"/>
      <c r="C1528" s="4"/>
      <c r="D1528" s="4"/>
      <c r="E1528" s="12"/>
      <c r="F1528" s="12"/>
      <c r="G1528" s="16"/>
      <c r="H1528" s="14"/>
      <c r="I1528" s="14"/>
      <c r="J1528" s="14"/>
      <c r="K1528" s="14"/>
      <c r="L1528" s="14"/>
      <c r="M1528" s="14"/>
      <c r="N1528" s="14"/>
      <c r="O1528" s="4"/>
      <c r="P1528" s="14"/>
      <c r="Q1528" s="14"/>
    </row>
    <row r="1529" spans="1:17" x14ac:dyDescent="0.25">
      <c r="A1529" s="5"/>
      <c r="B1529" s="6"/>
      <c r="C1529" s="4"/>
      <c r="D1529" s="4"/>
      <c r="E1529" s="12"/>
      <c r="F1529" s="12"/>
      <c r="G1529" s="16"/>
      <c r="H1529" s="14"/>
      <c r="I1529" s="14"/>
      <c r="J1529" s="14"/>
      <c r="K1529" s="14"/>
      <c r="L1529" s="14"/>
      <c r="M1529" s="14"/>
      <c r="N1529" s="14"/>
      <c r="O1529" s="4"/>
      <c r="P1529" s="14"/>
      <c r="Q1529" s="14"/>
    </row>
    <row r="1530" spans="1:17" x14ac:dyDescent="0.25">
      <c r="A1530" s="5"/>
      <c r="B1530" s="6"/>
      <c r="C1530" s="4"/>
      <c r="D1530" s="4"/>
      <c r="E1530" s="12"/>
      <c r="F1530" s="12"/>
      <c r="G1530" s="16"/>
      <c r="H1530" s="14"/>
      <c r="I1530" s="14"/>
      <c r="J1530" s="14"/>
      <c r="K1530" s="14"/>
      <c r="L1530" s="14"/>
      <c r="M1530" s="14"/>
      <c r="N1530" s="14"/>
      <c r="O1530" s="4"/>
      <c r="P1530" s="14"/>
      <c r="Q1530" s="14"/>
    </row>
    <row r="1531" spans="1:17" x14ac:dyDescent="0.25">
      <c r="A1531" s="5"/>
      <c r="B1531" s="6"/>
      <c r="C1531" s="4"/>
      <c r="D1531" s="4"/>
      <c r="E1531" s="12"/>
      <c r="F1531" s="12"/>
      <c r="G1531" s="16"/>
      <c r="H1531" s="14"/>
      <c r="I1531" s="14"/>
      <c r="J1531" s="14"/>
      <c r="K1531" s="14"/>
      <c r="L1531" s="14"/>
      <c r="M1531" s="14"/>
      <c r="N1531" s="14"/>
      <c r="O1531" s="4"/>
      <c r="P1531" s="14"/>
      <c r="Q1531" s="14"/>
    </row>
    <row r="1532" spans="1:17" x14ac:dyDescent="0.25">
      <c r="A1532" s="5"/>
      <c r="B1532" s="6"/>
      <c r="C1532" s="4"/>
      <c r="D1532" s="4"/>
      <c r="E1532" s="12"/>
      <c r="F1532" s="12"/>
      <c r="G1532" s="16"/>
      <c r="H1532" s="14"/>
      <c r="I1532" s="14"/>
      <c r="J1532" s="14"/>
      <c r="K1532" s="14"/>
      <c r="L1532" s="14"/>
      <c r="M1532" s="14"/>
      <c r="N1532" s="14"/>
      <c r="O1532" s="4"/>
      <c r="P1532" s="14"/>
      <c r="Q1532" s="14"/>
    </row>
    <row r="1533" spans="1:17" x14ac:dyDescent="0.25">
      <c r="A1533" s="5"/>
      <c r="B1533" s="6"/>
      <c r="C1533" s="4"/>
      <c r="D1533" s="4"/>
      <c r="E1533" s="12"/>
      <c r="F1533" s="12"/>
      <c r="G1533" s="16"/>
      <c r="H1533" s="14"/>
      <c r="I1533" s="14"/>
      <c r="J1533" s="14"/>
      <c r="K1533" s="14"/>
      <c r="L1533" s="14"/>
      <c r="M1533" s="14"/>
      <c r="N1533" s="14"/>
      <c r="O1533" s="4"/>
      <c r="P1533" s="14"/>
      <c r="Q1533" s="14"/>
    </row>
    <row r="1534" spans="1:17" x14ac:dyDescent="0.25">
      <c r="A1534" s="5"/>
      <c r="B1534" s="6"/>
      <c r="C1534" s="4"/>
      <c r="D1534" s="4"/>
      <c r="E1534" s="12"/>
      <c r="F1534" s="12"/>
      <c r="G1534" s="16"/>
      <c r="H1534" s="14"/>
      <c r="I1534" s="14"/>
      <c r="J1534" s="14"/>
      <c r="K1534" s="14"/>
      <c r="L1534" s="14"/>
      <c r="M1534" s="14"/>
      <c r="N1534" s="14"/>
      <c r="O1534" s="4"/>
      <c r="P1534" s="14"/>
      <c r="Q1534" s="14"/>
    </row>
    <row r="1535" spans="1:17" x14ac:dyDescent="0.25">
      <c r="A1535" s="5"/>
      <c r="B1535" s="6"/>
      <c r="C1535" s="4"/>
      <c r="D1535" s="4"/>
      <c r="E1535" s="12"/>
      <c r="F1535" s="12"/>
      <c r="G1535" s="16"/>
      <c r="H1535" s="14"/>
      <c r="I1535" s="14"/>
      <c r="J1535" s="14"/>
      <c r="K1535" s="14"/>
      <c r="L1535" s="14"/>
      <c r="M1535" s="14"/>
      <c r="N1535" s="14"/>
      <c r="O1535" s="4"/>
      <c r="P1535" s="14"/>
      <c r="Q1535" s="14"/>
    </row>
    <row r="1536" spans="1:17" x14ac:dyDescent="0.25">
      <c r="A1536" s="5"/>
      <c r="B1536" s="6"/>
      <c r="C1536" s="4"/>
      <c r="D1536" s="4"/>
      <c r="E1536" s="12"/>
      <c r="F1536" s="12"/>
      <c r="G1536" s="16"/>
      <c r="H1536" s="14"/>
      <c r="I1536" s="14"/>
      <c r="J1536" s="14"/>
      <c r="K1536" s="14"/>
      <c r="L1536" s="14"/>
      <c r="M1536" s="14"/>
      <c r="N1536" s="14"/>
      <c r="O1536" s="4"/>
      <c r="P1536" s="14"/>
      <c r="Q1536" s="14"/>
    </row>
    <row r="1537" spans="1:17" x14ac:dyDescent="0.25">
      <c r="A1537" s="5"/>
      <c r="B1537" s="6"/>
      <c r="C1537" s="4"/>
      <c r="D1537" s="4"/>
      <c r="E1537" s="12"/>
      <c r="F1537" s="12"/>
      <c r="G1537" s="16"/>
      <c r="H1537" s="14"/>
      <c r="I1537" s="14"/>
      <c r="J1537" s="14"/>
      <c r="K1537" s="14"/>
      <c r="L1537" s="14"/>
      <c r="M1537" s="14"/>
      <c r="N1537" s="14"/>
      <c r="O1537" s="4"/>
      <c r="P1537" s="14"/>
      <c r="Q1537" s="14"/>
    </row>
    <row r="1538" spans="1:17" x14ac:dyDescent="0.25">
      <c r="A1538" s="5"/>
      <c r="B1538" s="6"/>
      <c r="C1538" s="4"/>
      <c r="D1538" s="4"/>
      <c r="E1538" s="12"/>
      <c r="F1538" s="12"/>
      <c r="G1538" s="16"/>
      <c r="H1538" s="14"/>
      <c r="I1538" s="14"/>
      <c r="J1538" s="14"/>
      <c r="K1538" s="14"/>
      <c r="L1538" s="14"/>
      <c r="M1538" s="14"/>
      <c r="N1538" s="14"/>
      <c r="O1538" s="4"/>
      <c r="P1538" s="14"/>
      <c r="Q1538" s="14"/>
    </row>
    <row r="1539" spans="1:17" x14ac:dyDescent="0.25">
      <c r="A1539" s="5"/>
      <c r="B1539" s="6"/>
      <c r="C1539" s="4"/>
      <c r="D1539" s="4"/>
      <c r="E1539" s="12"/>
      <c r="F1539" s="12"/>
      <c r="G1539" s="16"/>
      <c r="H1539" s="14"/>
      <c r="I1539" s="14"/>
      <c r="J1539" s="14"/>
      <c r="K1539" s="14"/>
      <c r="L1539" s="14"/>
      <c r="M1539" s="14"/>
      <c r="N1539" s="14"/>
      <c r="O1539" s="4"/>
      <c r="P1539" s="14"/>
      <c r="Q1539" s="14"/>
    </row>
    <row r="1540" spans="1:17" x14ac:dyDescent="0.25">
      <c r="A1540" s="5"/>
      <c r="B1540" s="6"/>
      <c r="C1540" s="4"/>
      <c r="D1540" s="4"/>
      <c r="E1540" s="12"/>
      <c r="F1540" s="12"/>
      <c r="G1540" s="16"/>
      <c r="H1540" s="14"/>
      <c r="I1540" s="14"/>
      <c r="J1540" s="14"/>
      <c r="K1540" s="14"/>
      <c r="L1540" s="14"/>
      <c r="M1540" s="14"/>
      <c r="N1540" s="14"/>
      <c r="O1540" s="4"/>
      <c r="P1540" s="14"/>
      <c r="Q1540" s="14"/>
    </row>
    <row r="1541" spans="1:17" x14ac:dyDescent="0.25">
      <c r="A1541" s="5"/>
      <c r="B1541" s="6"/>
      <c r="C1541" s="4"/>
      <c r="D1541" s="4"/>
      <c r="E1541" s="12"/>
      <c r="F1541" s="12"/>
      <c r="G1541" s="16"/>
      <c r="H1541" s="14"/>
      <c r="I1541" s="14"/>
      <c r="J1541" s="14"/>
      <c r="K1541" s="14"/>
      <c r="L1541" s="14"/>
      <c r="M1541" s="14"/>
      <c r="N1541" s="14"/>
      <c r="O1541" s="4"/>
      <c r="P1541" s="14"/>
      <c r="Q1541" s="14"/>
    </row>
    <row r="1542" spans="1:17" x14ac:dyDescent="0.25">
      <c r="A1542" s="5"/>
      <c r="B1542" s="6"/>
      <c r="C1542" s="4"/>
      <c r="D1542" s="4"/>
      <c r="E1542" s="12"/>
      <c r="F1542" s="12"/>
      <c r="G1542" s="16"/>
      <c r="H1542" s="14"/>
      <c r="I1542" s="14"/>
      <c r="J1542" s="14"/>
      <c r="K1542" s="14"/>
      <c r="L1542" s="14"/>
      <c r="M1542" s="14"/>
      <c r="N1542" s="14"/>
      <c r="O1542" s="4"/>
      <c r="P1542" s="14"/>
      <c r="Q1542" s="14"/>
    </row>
    <row r="1543" spans="1:17" x14ac:dyDescent="0.25">
      <c r="A1543" s="5"/>
      <c r="B1543" s="6"/>
      <c r="C1543" s="4"/>
      <c r="D1543" s="4"/>
      <c r="E1543" s="12"/>
      <c r="F1543" s="12"/>
      <c r="G1543" s="16"/>
      <c r="H1543" s="14"/>
      <c r="I1543" s="14"/>
      <c r="J1543" s="14"/>
      <c r="K1543" s="14"/>
      <c r="L1543" s="14"/>
      <c r="M1543" s="14"/>
      <c r="N1543" s="14"/>
      <c r="O1543" s="4"/>
      <c r="P1543" s="14"/>
      <c r="Q1543" s="14"/>
    </row>
    <row r="1544" spans="1:17" x14ac:dyDescent="0.25">
      <c r="A1544" s="5"/>
      <c r="B1544" s="6"/>
      <c r="C1544" s="4"/>
      <c r="D1544" s="4"/>
      <c r="E1544" s="12"/>
      <c r="F1544" s="12"/>
      <c r="G1544" s="16"/>
      <c r="H1544" s="14"/>
      <c r="I1544" s="14"/>
      <c r="J1544" s="14"/>
      <c r="K1544" s="14"/>
      <c r="L1544" s="14"/>
      <c r="M1544" s="14"/>
      <c r="N1544" s="14"/>
      <c r="O1544" s="4"/>
      <c r="P1544" s="14"/>
      <c r="Q1544" s="14"/>
    </row>
    <row r="1545" spans="1:17" x14ac:dyDescent="0.25">
      <c r="A1545" s="5"/>
      <c r="B1545" s="6"/>
      <c r="C1545" s="4"/>
      <c r="D1545" s="4"/>
      <c r="E1545" s="12"/>
      <c r="F1545" s="12"/>
      <c r="G1545" s="16"/>
      <c r="H1545" s="14"/>
      <c r="I1545" s="14"/>
      <c r="J1545" s="14"/>
      <c r="K1545" s="14"/>
      <c r="L1545" s="14"/>
      <c r="M1545" s="14"/>
      <c r="N1545" s="14"/>
      <c r="O1545" s="4"/>
      <c r="P1545" s="14"/>
      <c r="Q1545" s="14"/>
    </row>
    <row r="1546" spans="1:17" x14ac:dyDescent="0.25">
      <c r="A1546" s="5"/>
      <c r="B1546" s="6"/>
      <c r="C1546" s="4"/>
      <c r="D1546" s="4"/>
      <c r="E1546" s="12"/>
      <c r="F1546" s="12"/>
      <c r="G1546" s="16"/>
      <c r="H1546" s="14"/>
      <c r="I1546" s="14"/>
      <c r="J1546" s="14"/>
      <c r="K1546" s="14"/>
      <c r="L1546" s="14"/>
      <c r="M1546" s="14"/>
      <c r="N1546" s="14"/>
      <c r="O1546" s="4"/>
      <c r="P1546" s="14"/>
      <c r="Q1546" s="14"/>
    </row>
    <row r="1547" spans="1:17" x14ac:dyDescent="0.25">
      <c r="A1547" s="5"/>
      <c r="B1547" s="6"/>
      <c r="C1547" s="4"/>
      <c r="D1547" s="4"/>
      <c r="E1547" s="12"/>
      <c r="F1547" s="12"/>
      <c r="G1547" s="16"/>
      <c r="H1547" s="14"/>
      <c r="I1547" s="14"/>
      <c r="J1547" s="14"/>
      <c r="K1547" s="14"/>
      <c r="L1547" s="14"/>
      <c r="M1547" s="14"/>
      <c r="N1547" s="14"/>
      <c r="O1547" s="4"/>
      <c r="P1547" s="14"/>
      <c r="Q1547" s="14"/>
    </row>
    <row r="1548" spans="1:17" x14ac:dyDescent="0.25">
      <c r="A1548" s="5"/>
      <c r="B1548" s="6"/>
      <c r="C1548" s="4"/>
      <c r="D1548" s="4"/>
      <c r="E1548" s="12"/>
      <c r="F1548" s="12"/>
      <c r="G1548" s="16"/>
      <c r="H1548" s="14"/>
      <c r="I1548" s="14"/>
      <c r="J1548" s="14"/>
      <c r="K1548" s="14"/>
      <c r="L1548" s="14"/>
      <c r="M1548" s="14"/>
      <c r="N1548" s="14"/>
      <c r="O1548" s="4"/>
      <c r="P1548" s="14"/>
      <c r="Q1548" s="14"/>
    </row>
    <row r="1549" spans="1:17" x14ac:dyDescent="0.25">
      <c r="A1549" s="5"/>
      <c r="B1549" s="6"/>
      <c r="C1549" s="4"/>
      <c r="D1549" s="4"/>
      <c r="E1549" s="12"/>
      <c r="F1549" s="12"/>
      <c r="G1549" s="16"/>
      <c r="H1549" s="14"/>
      <c r="I1549" s="14"/>
      <c r="J1549" s="14"/>
      <c r="K1549" s="14"/>
      <c r="L1549" s="14"/>
      <c r="M1549" s="14"/>
      <c r="N1549" s="14"/>
      <c r="O1549" s="4"/>
      <c r="P1549" s="14"/>
      <c r="Q1549" s="14"/>
    </row>
    <row r="1550" spans="1:17" x14ac:dyDescent="0.25">
      <c r="A1550" s="5"/>
      <c r="B1550" s="6"/>
      <c r="C1550" s="4"/>
      <c r="D1550" s="4"/>
      <c r="E1550" s="12"/>
      <c r="F1550" s="12"/>
      <c r="G1550" s="16"/>
      <c r="H1550" s="14"/>
      <c r="I1550" s="14"/>
      <c r="J1550" s="14"/>
      <c r="K1550" s="14"/>
      <c r="L1550" s="14"/>
      <c r="M1550" s="14"/>
      <c r="N1550" s="14"/>
      <c r="O1550" s="4"/>
      <c r="P1550" s="14"/>
      <c r="Q1550" s="14"/>
    </row>
    <row r="1551" spans="1:17" x14ac:dyDescent="0.25">
      <c r="A1551" s="5"/>
      <c r="B1551" s="6"/>
      <c r="C1551" s="4"/>
      <c r="D1551" s="4"/>
      <c r="E1551" s="12"/>
      <c r="F1551" s="12"/>
      <c r="G1551" s="16"/>
      <c r="H1551" s="14"/>
      <c r="I1551" s="14"/>
      <c r="J1551" s="14"/>
      <c r="K1551" s="14"/>
      <c r="L1551" s="14"/>
      <c r="M1551" s="14"/>
      <c r="N1551" s="14"/>
      <c r="O1551" s="4"/>
      <c r="P1551" s="14"/>
      <c r="Q1551" s="14"/>
    </row>
    <row r="1552" spans="1:17" x14ac:dyDescent="0.25">
      <c r="A1552" s="5"/>
      <c r="B1552" s="6"/>
      <c r="C1552" s="4"/>
      <c r="D1552" s="4"/>
      <c r="E1552" s="12"/>
      <c r="F1552" s="12"/>
      <c r="G1552" s="16"/>
      <c r="H1552" s="14"/>
      <c r="I1552" s="14"/>
      <c r="J1552" s="14"/>
      <c r="K1552" s="14"/>
      <c r="L1552" s="14"/>
      <c r="M1552" s="14"/>
      <c r="N1552" s="14"/>
      <c r="O1552" s="4"/>
      <c r="P1552" s="14"/>
      <c r="Q1552" s="14"/>
    </row>
    <row r="1553" spans="1:17" x14ac:dyDescent="0.25">
      <c r="A1553" s="5"/>
      <c r="B1553" s="6"/>
      <c r="C1553" s="4"/>
      <c r="D1553" s="4"/>
      <c r="E1553" s="12"/>
      <c r="F1553" s="12"/>
      <c r="G1553" s="16"/>
      <c r="H1553" s="14"/>
      <c r="I1553" s="14"/>
      <c r="J1553" s="14"/>
      <c r="K1553" s="14"/>
      <c r="L1553" s="14"/>
      <c r="M1553" s="14"/>
      <c r="N1553" s="14"/>
      <c r="O1553" s="4"/>
      <c r="P1553" s="14"/>
      <c r="Q1553" s="14"/>
    </row>
    <row r="1554" spans="1:17" x14ac:dyDescent="0.25">
      <c r="A1554" s="5"/>
      <c r="B1554" s="6"/>
      <c r="C1554" s="4"/>
      <c r="D1554" s="4"/>
      <c r="E1554" s="12"/>
      <c r="F1554" s="12"/>
      <c r="G1554" s="16"/>
      <c r="H1554" s="14"/>
      <c r="I1554" s="14"/>
      <c r="J1554" s="14"/>
      <c r="K1554" s="14"/>
      <c r="L1554" s="14"/>
      <c r="M1554" s="14"/>
      <c r="N1554" s="14"/>
      <c r="O1554" s="4"/>
      <c r="P1554" s="14"/>
      <c r="Q1554" s="14"/>
    </row>
    <row r="1555" spans="1:17" x14ac:dyDescent="0.25">
      <c r="A1555" s="5"/>
      <c r="B1555" s="6"/>
      <c r="C1555" s="4"/>
      <c r="D1555" s="4"/>
      <c r="E1555" s="12"/>
      <c r="F1555" s="12"/>
      <c r="G1555" s="16"/>
      <c r="H1555" s="14"/>
      <c r="I1555" s="14"/>
      <c r="J1555" s="14"/>
      <c r="K1555" s="14"/>
      <c r="L1555" s="14"/>
      <c r="M1555" s="14"/>
      <c r="N1555" s="14"/>
      <c r="O1555" s="4"/>
      <c r="P1555" s="14"/>
      <c r="Q1555" s="14"/>
    </row>
    <row r="1556" spans="1:17" x14ac:dyDescent="0.25">
      <c r="A1556" s="5"/>
      <c r="B1556" s="6"/>
      <c r="C1556" s="4"/>
      <c r="D1556" s="4"/>
      <c r="E1556" s="12"/>
      <c r="F1556" s="12"/>
      <c r="G1556" s="16"/>
      <c r="H1556" s="14"/>
      <c r="I1556" s="14"/>
      <c r="J1556" s="14"/>
      <c r="K1556" s="14"/>
      <c r="L1556" s="14"/>
      <c r="M1556" s="14"/>
      <c r="N1556" s="14"/>
      <c r="O1556" s="4"/>
      <c r="P1556" s="14"/>
      <c r="Q1556" s="14"/>
    </row>
    <row r="1557" spans="1:17" x14ac:dyDescent="0.25">
      <c r="A1557" s="5"/>
      <c r="B1557" s="6"/>
      <c r="C1557" s="4"/>
      <c r="D1557" s="4"/>
      <c r="E1557" s="12"/>
      <c r="F1557" s="12"/>
      <c r="G1557" s="16"/>
      <c r="H1557" s="14"/>
      <c r="I1557" s="14"/>
      <c r="J1557" s="14"/>
      <c r="K1557" s="14"/>
      <c r="L1557" s="14"/>
      <c r="M1557" s="14"/>
      <c r="N1557" s="14"/>
      <c r="O1557" s="4"/>
      <c r="P1557" s="14"/>
      <c r="Q1557" s="14"/>
    </row>
    <row r="1558" spans="1:17" x14ac:dyDescent="0.25">
      <c r="A1558" s="5"/>
      <c r="B1558" s="6"/>
      <c r="C1558" s="4"/>
      <c r="D1558" s="4"/>
      <c r="E1558" s="12"/>
      <c r="F1558" s="12"/>
      <c r="G1558" s="16"/>
      <c r="H1558" s="14"/>
      <c r="I1558" s="14"/>
      <c r="J1558" s="14"/>
      <c r="K1558" s="14"/>
      <c r="L1558" s="14"/>
      <c r="M1558" s="14"/>
      <c r="N1558" s="14"/>
      <c r="O1558" s="4"/>
      <c r="P1558" s="14"/>
      <c r="Q1558" s="14"/>
    </row>
    <row r="1559" spans="1:17" x14ac:dyDescent="0.25">
      <c r="A1559" s="5"/>
      <c r="B1559" s="6"/>
      <c r="C1559" s="4"/>
      <c r="D1559" s="4"/>
      <c r="E1559" s="12"/>
      <c r="F1559" s="12"/>
      <c r="G1559" s="16"/>
      <c r="H1559" s="14"/>
      <c r="I1559" s="14"/>
      <c r="J1559" s="14"/>
      <c r="K1559" s="14"/>
      <c r="L1559" s="14"/>
      <c r="M1559" s="14"/>
      <c r="N1559" s="14"/>
      <c r="O1559" s="4"/>
      <c r="P1559" s="14"/>
      <c r="Q1559" s="14"/>
    </row>
    <row r="1560" spans="1:17" x14ac:dyDescent="0.25">
      <c r="A1560" s="5"/>
      <c r="B1560" s="6"/>
      <c r="C1560" s="4"/>
      <c r="D1560" s="4"/>
      <c r="E1560" s="12"/>
      <c r="F1560" s="12"/>
      <c r="G1560" s="16"/>
      <c r="H1560" s="14"/>
      <c r="I1560" s="14"/>
      <c r="J1560" s="14"/>
      <c r="K1560" s="14"/>
      <c r="L1560" s="14"/>
      <c r="M1560" s="14"/>
      <c r="N1560" s="14"/>
      <c r="O1560" s="4"/>
      <c r="P1560" s="14"/>
      <c r="Q1560" s="14"/>
    </row>
    <row r="1561" spans="1:17" x14ac:dyDescent="0.25">
      <c r="A1561" s="5"/>
      <c r="B1561" s="6"/>
      <c r="C1561" s="4"/>
      <c r="D1561" s="4"/>
      <c r="E1561" s="12"/>
      <c r="F1561" s="12"/>
      <c r="G1561" s="16"/>
      <c r="H1561" s="14"/>
      <c r="I1561" s="14"/>
      <c r="J1561" s="14"/>
      <c r="K1561" s="14"/>
      <c r="L1561" s="14"/>
      <c r="M1561" s="14"/>
      <c r="N1561" s="14"/>
      <c r="O1561" s="4"/>
      <c r="P1561" s="14"/>
      <c r="Q1561" s="14"/>
    </row>
    <row r="1562" spans="1:17" x14ac:dyDescent="0.25">
      <c r="A1562" s="5"/>
      <c r="B1562" s="6"/>
      <c r="C1562" s="4"/>
      <c r="D1562" s="4"/>
      <c r="E1562" s="12"/>
      <c r="F1562" s="12"/>
      <c r="G1562" s="16"/>
      <c r="H1562" s="14"/>
      <c r="I1562" s="14"/>
      <c r="J1562" s="14"/>
      <c r="K1562" s="14"/>
      <c r="L1562" s="14"/>
      <c r="M1562" s="14"/>
      <c r="N1562" s="14"/>
      <c r="O1562" s="4"/>
      <c r="P1562" s="14"/>
      <c r="Q1562" s="14"/>
    </row>
    <row r="1563" spans="1:17" x14ac:dyDescent="0.25">
      <c r="A1563" s="5"/>
      <c r="B1563" s="6"/>
      <c r="C1563" s="4"/>
      <c r="D1563" s="4"/>
      <c r="E1563" s="12"/>
      <c r="F1563" s="12"/>
      <c r="G1563" s="16"/>
      <c r="H1563" s="14"/>
      <c r="I1563" s="14"/>
      <c r="J1563" s="14"/>
      <c r="K1563" s="14"/>
      <c r="L1563" s="14"/>
      <c r="M1563" s="14"/>
      <c r="N1563" s="14"/>
      <c r="O1563" s="4"/>
      <c r="P1563" s="14"/>
      <c r="Q1563" s="14"/>
    </row>
    <row r="1564" spans="1:17" x14ac:dyDescent="0.25">
      <c r="A1564" s="5"/>
      <c r="B1564" s="6"/>
      <c r="C1564" s="4"/>
      <c r="D1564" s="4"/>
      <c r="E1564" s="12"/>
      <c r="F1564" s="12"/>
      <c r="G1564" s="16"/>
      <c r="H1564" s="14"/>
      <c r="I1564" s="14"/>
      <c r="J1564" s="14"/>
      <c r="K1564" s="14"/>
      <c r="L1564" s="14"/>
      <c r="M1564" s="14"/>
      <c r="N1564" s="14"/>
      <c r="O1564" s="4"/>
      <c r="P1564" s="14"/>
      <c r="Q1564" s="14"/>
    </row>
    <row r="1565" spans="1:17" x14ac:dyDescent="0.25">
      <c r="A1565" s="5"/>
      <c r="B1565" s="6"/>
      <c r="C1565" s="4"/>
      <c r="D1565" s="4"/>
      <c r="E1565" s="12"/>
      <c r="F1565" s="12"/>
      <c r="G1565" s="16"/>
      <c r="H1565" s="14"/>
      <c r="I1565" s="14"/>
      <c r="J1565" s="14"/>
      <c r="K1565" s="14"/>
      <c r="L1565" s="14"/>
      <c r="M1565" s="14"/>
      <c r="N1565" s="14"/>
      <c r="O1565" s="4"/>
      <c r="P1565" s="14"/>
      <c r="Q1565" s="14"/>
    </row>
    <row r="1566" spans="1:17" x14ac:dyDescent="0.25">
      <c r="A1566" s="5"/>
      <c r="B1566" s="6"/>
      <c r="C1566" s="4"/>
      <c r="D1566" s="4"/>
      <c r="E1566" s="12"/>
      <c r="F1566" s="12"/>
      <c r="G1566" s="16"/>
      <c r="H1566" s="14"/>
      <c r="I1566" s="14"/>
      <c r="J1566" s="14"/>
      <c r="K1566" s="14"/>
      <c r="L1566" s="14"/>
      <c r="M1566" s="14"/>
      <c r="N1566" s="14"/>
      <c r="O1566" s="4"/>
      <c r="P1566" s="14"/>
      <c r="Q1566" s="14"/>
    </row>
    <row r="1567" spans="1:17" x14ac:dyDescent="0.25">
      <c r="A1567" s="5"/>
      <c r="B1567" s="6"/>
      <c r="C1567" s="4"/>
      <c r="D1567" s="4"/>
      <c r="E1567" s="12"/>
      <c r="F1567" s="12"/>
      <c r="G1567" s="16"/>
      <c r="H1567" s="14"/>
      <c r="I1567" s="14"/>
      <c r="J1567" s="14"/>
      <c r="K1567" s="14"/>
      <c r="L1567" s="14"/>
      <c r="M1567" s="14"/>
      <c r="N1567" s="14"/>
      <c r="O1567" s="4"/>
      <c r="P1567" s="14"/>
      <c r="Q1567" s="14"/>
    </row>
    <row r="1568" spans="1:17" x14ac:dyDescent="0.25">
      <c r="A1568" s="5"/>
      <c r="B1568" s="6"/>
      <c r="C1568" s="4"/>
      <c r="D1568" s="4"/>
      <c r="E1568" s="12"/>
      <c r="F1568" s="12"/>
      <c r="G1568" s="16"/>
      <c r="H1568" s="14"/>
      <c r="I1568" s="14"/>
      <c r="J1568" s="14"/>
      <c r="K1568" s="14"/>
      <c r="L1568" s="14"/>
      <c r="M1568" s="14"/>
      <c r="N1568" s="14"/>
      <c r="O1568" s="4"/>
      <c r="P1568" s="14"/>
      <c r="Q1568" s="14"/>
    </row>
    <row r="1569" spans="1:17" x14ac:dyDescent="0.25">
      <c r="A1569" s="5"/>
      <c r="B1569" s="6"/>
      <c r="C1569" s="4"/>
      <c r="D1569" s="4"/>
      <c r="E1569" s="12"/>
      <c r="F1569" s="12"/>
      <c r="G1569" s="16"/>
      <c r="H1569" s="14"/>
      <c r="I1569" s="14"/>
      <c r="J1569" s="14"/>
      <c r="K1569" s="14"/>
      <c r="L1569" s="14"/>
      <c r="M1569" s="14"/>
      <c r="N1569" s="14"/>
      <c r="O1569" s="4"/>
      <c r="P1569" s="14"/>
      <c r="Q1569" s="14"/>
    </row>
    <row r="1570" spans="1:17" x14ac:dyDescent="0.25">
      <c r="A1570" s="5"/>
      <c r="B1570" s="6"/>
      <c r="C1570" s="4"/>
      <c r="D1570" s="4"/>
      <c r="E1570" s="12"/>
      <c r="F1570" s="12"/>
      <c r="G1570" s="16"/>
      <c r="H1570" s="14"/>
      <c r="I1570" s="14"/>
      <c r="J1570" s="14"/>
      <c r="K1570" s="14"/>
      <c r="L1570" s="14"/>
      <c r="M1570" s="14"/>
      <c r="N1570" s="14"/>
      <c r="O1570" s="4"/>
      <c r="P1570" s="14"/>
      <c r="Q1570" s="14"/>
    </row>
    <row r="1571" spans="1:17" x14ac:dyDescent="0.25">
      <c r="A1571" s="5"/>
      <c r="B1571" s="6"/>
      <c r="C1571" s="4"/>
      <c r="D1571" s="4"/>
      <c r="E1571" s="12"/>
      <c r="F1571" s="12"/>
      <c r="G1571" s="16"/>
      <c r="H1571" s="14"/>
      <c r="I1571" s="14"/>
      <c r="J1571" s="14"/>
      <c r="K1571" s="14"/>
      <c r="L1571" s="14"/>
      <c r="M1571" s="14"/>
      <c r="N1571" s="14"/>
      <c r="O1571" s="4"/>
      <c r="P1571" s="14"/>
      <c r="Q1571" s="14"/>
    </row>
    <row r="1572" spans="1:17" x14ac:dyDescent="0.25">
      <c r="A1572" s="5"/>
      <c r="B1572" s="6"/>
      <c r="C1572" s="4"/>
      <c r="D1572" s="4"/>
      <c r="E1572" s="12"/>
      <c r="F1572" s="12"/>
      <c r="G1572" s="16"/>
      <c r="H1572" s="14"/>
      <c r="I1572" s="14"/>
      <c r="J1572" s="14"/>
      <c r="K1572" s="14"/>
      <c r="L1572" s="14"/>
      <c r="M1572" s="14"/>
      <c r="N1572" s="14"/>
      <c r="O1572" s="4"/>
      <c r="P1572" s="14"/>
      <c r="Q1572" s="14"/>
    </row>
    <row r="1573" spans="1:17" x14ac:dyDescent="0.25">
      <c r="A1573" s="5"/>
      <c r="B1573" s="6"/>
      <c r="C1573" s="4"/>
      <c r="D1573" s="4"/>
      <c r="E1573" s="12"/>
      <c r="F1573" s="12"/>
      <c r="G1573" s="16"/>
      <c r="H1573" s="14"/>
      <c r="I1573" s="14"/>
      <c r="J1573" s="14"/>
      <c r="K1573" s="14"/>
      <c r="L1573" s="14"/>
      <c r="M1573" s="14"/>
      <c r="N1573" s="14"/>
      <c r="O1573" s="4"/>
      <c r="P1573" s="14"/>
      <c r="Q1573" s="14"/>
    </row>
    <row r="1574" spans="1:17" x14ac:dyDescent="0.25">
      <c r="A1574" s="5"/>
      <c r="B1574" s="6"/>
      <c r="C1574" s="4"/>
      <c r="D1574" s="4"/>
      <c r="E1574" s="12"/>
      <c r="F1574" s="12"/>
      <c r="G1574" s="16"/>
      <c r="H1574" s="14"/>
      <c r="I1574" s="14"/>
      <c r="J1574" s="14"/>
      <c r="K1574" s="14"/>
      <c r="L1574" s="14"/>
      <c r="M1574" s="14"/>
      <c r="N1574" s="14"/>
      <c r="O1574" s="4"/>
      <c r="P1574" s="14"/>
      <c r="Q1574" s="14"/>
    </row>
    <row r="1575" spans="1:17" x14ac:dyDescent="0.25">
      <c r="A1575" s="5"/>
      <c r="B1575" s="6"/>
      <c r="C1575" s="4"/>
      <c r="D1575" s="4"/>
      <c r="E1575" s="12"/>
      <c r="F1575" s="12"/>
      <c r="G1575" s="16"/>
      <c r="H1575" s="14"/>
      <c r="I1575" s="14"/>
      <c r="J1575" s="14"/>
      <c r="K1575" s="14"/>
      <c r="L1575" s="14"/>
      <c r="M1575" s="14"/>
      <c r="N1575" s="14"/>
      <c r="O1575" s="4"/>
      <c r="P1575" s="14"/>
      <c r="Q1575" s="14"/>
    </row>
    <row r="1576" spans="1:17" x14ac:dyDescent="0.25">
      <c r="A1576" s="5"/>
      <c r="B1576" s="6"/>
      <c r="C1576" s="4"/>
      <c r="D1576" s="4"/>
      <c r="E1576" s="12"/>
      <c r="F1576" s="12"/>
      <c r="G1576" s="16"/>
      <c r="H1576" s="14"/>
      <c r="I1576" s="14"/>
      <c r="J1576" s="14"/>
      <c r="K1576" s="14"/>
      <c r="L1576" s="14"/>
      <c r="M1576" s="14"/>
      <c r="N1576" s="14"/>
      <c r="O1576" s="4"/>
      <c r="P1576" s="14"/>
      <c r="Q1576" s="14"/>
    </row>
    <row r="1577" spans="1:17" x14ac:dyDescent="0.25">
      <c r="A1577" s="5"/>
      <c r="B1577" s="6"/>
      <c r="C1577" s="4"/>
      <c r="D1577" s="4"/>
      <c r="E1577" s="12"/>
      <c r="F1577" s="12"/>
      <c r="G1577" s="16"/>
      <c r="H1577" s="14"/>
      <c r="I1577" s="14"/>
      <c r="J1577" s="14"/>
      <c r="K1577" s="14"/>
      <c r="L1577" s="14"/>
      <c r="M1577" s="14"/>
      <c r="N1577" s="14"/>
      <c r="O1577" s="4"/>
      <c r="P1577" s="14"/>
      <c r="Q1577" s="14"/>
    </row>
    <row r="1578" spans="1:17" x14ac:dyDescent="0.25">
      <c r="A1578" s="5"/>
      <c r="B1578" s="6"/>
      <c r="C1578" s="4"/>
      <c r="D1578" s="4"/>
      <c r="E1578" s="12"/>
      <c r="F1578" s="12"/>
      <c r="G1578" s="16"/>
      <c r="H1578" s="14"/>
      <c r="I1578" s="14"/>
      <c r="J1578" s="14"/>
      <c r="K1578" s="14"/>
      <c r="L1578" s="14"/>
      <c r="M1578" s="14"/>
      <c r="N1578" s="14"/>
      <c r="O1578" s="4"/>
      <c r="P1578" s="14"/>
      <c r="Q1578" s="14"/>
    </row>
    <row r="1579" spans="1:17" x14ac:dyDescent="0.25">
      <c r="A1579" s="5"/>
      <c r="B1579" s="6"/>
      <c r="C1579" s="4"/>
      <c r="D1579" s="4"/>
      <c r="E1579" s="12"/>
      <c r="F1579" s="12"/>
      <c r="G1579" s="16"/>
      <c r="H1579" s="14"/>
      <c r="I1579" s="14"/>
      <c r="J1579" s="14"/>
      <c r="K1579" s="14"/>
      <c r="L1579" s="14"/>
      <c r="M1579" s="14"/>
      <c r="N1579" s="14"/>
      <c r="O1579" s="4"/>
      <c r="P1579" s="14"/>
      <c r="Q1579" s="14"/>
    </row>
    <row r="1580" spans="1:17" x14ac:dyDescent="0.25">
      <c r="A1580" s="5"/>
      <c r="B1580" s="6"/>
      <c r="C1580" s="4"/>
      <c r="D1580" s="4"/>
      <c r="E1580" s="12"/>
      <c r="F1580" s="12"/>
      <c r="G1580" s="16"/>
      <c r="H1580" s="14"/>
      <c r="I1580" s="14"/>
      <c r="J1580" s="14"/>
      <c r="K1580" s="14"/>
      <c r="L1580" s="14"/>
      <c r="M1580" s="14"/>
      <c r="N1580" s="14"/>
      <c r="O1580" s="4"/>
      <c r="P1580" s="14"/>
      <c r="Q1580" s="14"/>
    </row>
    <row r="1581" spans="1:17" x14ac:dyDescent="0.25">
      <c r="A1581" s="5"/>
      <c r="B1581" s="6"/>
      <c r="C1581" s="4"/>
      <c r="D1581" s="4"/>
      <c r="E1581" s="12"/>
      <c r="F1581" s="12"/>
      <c r="G1581" s="16"/>
      <c r="H1581" s="14"/>
      <c r="I1581" s="14"/>
      <c r="J1581" s="14"/>
      <c r="K1581" s="14"/>
      <c r="L1581" s="14"/>
      <c r="M1581" s="14"/>
      <c r="N1581" s="14"/>
      <c r="O1581" s="4"/>
      <c r="P1581" s="14"/>
      <c r="Q1581" s="14"/>
    </row>
    <row r="1582" spans="1:17" x14ac:dyDescent="0.25">
      <c r="A1582" s="5"/>
      <c r="B1582" s="6"/>
      <c r="C1582" s="4"/>
      <c r="D1582" s="4"/>
      <c r="E1582" s="12"/>
      <c r="F1582" s="12"/>
      <c r="G1582" s="16"/>
      <c r="H1582" s="14"/>
      <c r="I1582" s="14"/>
      <c r="J1582" s="14"/>
      <c r="K1582" s="14"/>
      <c r="L1582" s="14"/>
      <c r="M1582" s="14"/>
      <c r="N1582" s="14"/>
      <c r="O1582" s="4"/>
      <c r="P1582" s="14"/>
      <c r="Q1582" s="14"/>
    </row>
    <row r="1583" spans="1:17" x14ac:dyDescent="0.25">
      <c r="A1583" s="5"/>
      <c r="B1583" s="6"/>
      <c r="C1583" s="4"/>
      <c r="D1583" s="4"/>
      <c r="E1583" s="12"/>
      <c r="F1583" s="12"/>
      <c r="G1583" s="16"/>
      <c r="H1583" s="14"/>
      <c r="I1583" s="14"/>
      <c r="J1583" s="14"/>
      <c r="K1583" s="14"/>
      <c r="L1583" s="14"/>
      <c r="M1583" s="14"/>
      <c r="N1583" s="14"/>
      <c r="O1583" s="4"/>
      <c r="P1583" s="14"/>
      <c r="Q1583" s="14"/>
    </row>
    <row r="1584" spans="1:17" x14ac:dyDescent="0.25">
      <c r="A1584" s="5"/>
      <c r="B1584" s="6"/>
      <c r="C1584" s="4"/>
      <c r="D1584" s="4"/>
      <c r="E1584" s="12"/>
      <c r="F1584" s="12"/>
      <c r="G1584" s="16"/>
      <c r="H1584" s="14"/>
      <c r="I1584" s="14"/>
      <c r="J1584" s="14"/>
      <c r="K1584" s="14"/>
      <c r="L1584" s="14"/>
      <c r="M1584" s="14"/>
      <c r="N1584" s="14"/>
      <c r="O1584" s="4"/>
      <c r="P1584" s="14"/>
      <c r="Q1584" s="14"/>
    </row>
    <row r="1585" spans="1:17" x14ac:dyDescent="0.25">
      <c r="A1585" s="5"/>
      <c r="B1585" s="6"/>
      <c r="C1585" s="4"/>
      <c r="D1585" s="4"/>
      <c r="E1585" s="12"/>
      <c r="F1585" s="12"/>
      <c r="G1585" s="16"/>
      <c r="H1585" s="14"/>
      <c r="I1585" s="14"/>
      <c r="J1585" s="14"/>
      <c r="K1585" s="14"/>
      <c r="L1585" s="14"/>
      <c r="M1585" s="14"/>
      <c r="N1585" s="14"/>
      <c r="O1585" s="4"/>
      <c r="P1585" s="14"/>
      <c r="Q1585" s="14"/>
    </row>
    <row r="1586" spans="1:17" x14ac:dyDescent="0.25">
      <c r="A1586" s="5"/>
      <c r="B1586" s="6"/>
      <c r="C1586" s="4"/>
      <c r="D1586" s="4"/>
      <c r="E1586" s="12"/>
      <c r="F1586" s="12"/>
      <c r="G1586" s="16"/>
      <c r="H1586" s="14"/>
      <c r="I1586" s="14"/>
      <c r="J1586" s="14"/>
      <c r="K1586" s="14"/>
      <c r="L1586" s="14"/>
      <c r="M1586" s="14"/>
      <c r="N1586" s="14"/>
      <c r="O1586" s="4"/>
      <c r="P1586" s="14"/>
      <c r="Q1586" s="14"/>
    </row>
    <row r="1587" spans="1:17" x14ac:dyDescent="0.25">
      <c r="A1587" s="5"/>
      <c r="B1587" s="6"/>
      <c r="C1587" s="4"/>
      <c r="D1587" s="4"/>
      <c r="E1587" s="12"/>
      <c r="F1587" s="12"/>
      <c r="G1587" s="16"/>
      <c r="H1587" s="14"/>
      <c r="I1587" s="14"/>
      <c r="J1587" s="14"/>
      <c r="K1587" s="14"/>
      <c r="L1587" s="14"/>
      <c r="M1587" s="14"/>
      <c r="N1587" s="14"/>
      <c r="O1587" s="4"/>
      <c r="P1587" s="14"/>
      <c r="Q1587" s="14"/>
    </row>
    <row r="1588" spans="1:17" x14ac:dyDescent="0.25">
      <c r="A1588" s="5"/>
      <c r="B1588" s="6"/>
      <c r="C1588" s="4"/>
      <c r="D1588" s="4"/>
      <c r="E1588" s="12"/>
      <c r="F1588" s="12"/>
      <c r="G1588" s="16"/>
      <c r="H1588" s="14"/>
      <c r="I1588" s="14"/>
      <c r="J1588" s="14"/>
      <c r="K1588" s="14"/>
      <c r="L1588" s="14"/>
      <c r="M1588" s="14"/>
      <c r="N1588" s="14"/>
      <c r="O1588" s="4"/>
      <c r="P1588" s="14"/>
      <c r="Q1588" s="14"/>
    </row>
    <row r="1589" spans="1:17" x14ac:dyDescent="0.25">
      <c r="A1589" s="5"/>
      <c r="B1589" s="6"/>
      <c r="C1589" s="4"/>
      <c r="D1589" s="4"/>
      <c r="E1589" s="12"/>
      <c r="F1589" s="12"/>
      <c r="G1589" s="16"/>
      <c r="H1589" s="14"/>
      <c r="I1589" s="14"/>
      <c r="J1589" s="14"/>
      <c r="K1589" s="14"/>
      <c r="L1589" s="14"/>
      <c r="M1589" s="14"/>
      <c r="N1589" s="14"/>
      <c r="O1589" s="4"/>
      <c r="P1589" s="14"/>
      <c r="Q1589" s="14"/>
    </row>
    <row r="1590" spans="1:17" x14ac:dyDescent="0.25">
      <c r="A1590" s="5"/>
      <c r="B1590" s="6"/>
      <c r="C1590" s="4"/>
      <c r="D1590" s="4"/>
      <c r="E1590" s="12"/>
      <c r="F1590" s="12"/>
      <c r="G1590" s="16"/>
      <c r="H1590" s="14"/>
      <c r="I1590" s="14"/>
      <c r="J1590" s="14"/>
      <c r="K1590" s="14"/>
      <c r="L1590" s="14"/>
      <c r="M1590" s="14"/>
      <c r="N1590" s="14"/>
      <c r="O1590" s="4"/>
      <c r="P1590" s="14"/>
      <c r="Q1590" s="14"/>
    </row>
    <row r="1591" spans="1:17" x14ac:dyDescent="0.25">
      <c r="A1591" s="5"/>
      <c r="B1591" s="6"/>
      <c r="C1591" s="4"/>
      <c r="D1591" s="4"/>
      <c r="E1591" s="12"/>
      <c r="F1591" s="12"/>
      <c r="G1591" s="16"/>
      <c r="H1591" s="14"/>
      <c r="I1591" s="14"/>
      <c r="J1591" s="14"/>
      <c r="K1591" s="14"/>
      <c r="L1591" s="14"/>
      <c r="M1591" s="14"/>
      <c r="N1591" s="14"/>
      <c r="O1591" s="4"/>
      <c r="P1591" s="14"/>
      <c r="Q1591" s="14"/>
    </row>
    <row r="1592" spans="1:17" x14ac:dyDescent="0.25">
      <c r="A1592" s="5"/>
      <c r="B1592" s="6"/>
      <c r="C1592" s="4"/>
      <c r="D1592" s="4"/>
      <c r="E1592" s="12"/>
      <c r="F1592" s="12"/>
      <c r="G1592" s="16"/>
      <c r="H1592" s="14"/>
      <c r="I1592" s="14"/>
      <c r="J1592" s="14"/>
      <c r="K1592" s="14"/>
      <c r="L1592" s="14"/>
      <c r="M1592" s="14"/>
      <c r="N1592" s="14"/>
      <c r="O1592" s="4"/>
      <c r="P1592" s="14"/>
      <c r="Q1592" s="14"/>
    </row>
    <row r="1593" spans="1:17" x14ac:dyDescent="0.25">
      <c r="A1593" s="5"/>
      <c r="B1593" s="6"/>
      <c r="C1593" s="4"/>
      <c r="D1593" s="4"/>
      <c r="E1593" s="12"/>
      <c r="F1593" s="12"/>
      <c r="G1593" s="16"/>
      <c r="H1593" s="14"/>
      <c r="I1593" s="14"/>
      <c r="J1593" s="14"/>
      <c r="K1593" s="14"/>
      <c r="L1593" s="14"/>
      <c r="M1593" s="14"/>
      <c r="N1593" s="14"/>
      <c r="O1593" s="4"/>
      <c r="P1593" s="14"/>
      <c r="Q1593" s="14"/>
    </row>
    <row r="1594" spans="1:17" x14ac:dyDescent="0.25">
      <c r="A1594" s="5"/>
      <c r="B1594" s="6"/>
      <c r="C1594" s="4"/>
      <c r="D1594" s="4"/>
      <c r="E1594" s="12"/>
      <c r="F1594" s="12"/>
      <c r="G1594" s="16"/>
      <c r="H1594" s="14"/>
      <c r="I1594" s="14"/>
      <c r="J1594" s="14"/>
      <c r="K1594" s="14"/>
      <c r="L1594" s="14"/>
      <c r="M1594" s="14"/>
      <c r="N1594" s="14"/>
      <c r="O1594" s="4"/>
      <c r="P1594" s="14"/>
      <c r="Q1594" s="14"/>
    </row>
    <row r="1595" spans="1:17" x14ac:dyDescent="0.25">
      <c r="A1595" s="5"/>
      <c r="B1595" s="6"/>
      <c r="C1595" s="4"/>
      <c r="D1595" s="4"/>
      <c r="E1595" s="12"/>
      <c r="F1595" s="12"/>
      <c r="G1595" s="16"/>
      <c r="H1595" s="14"/>
      <c r="I1595" s="14"/>
      <c r="J1595" s="14"/>
      <c r="K1595" s="14"/>
      <c r="L1595" s="14"/>
      <c r="M1595" s="14"/>
      <c r="N1595" s="14"/>
      <c r="O1595" s="4"/>
      <c r="P1595" s="14"/>
      <c r="Q1595" s="14"/>
    </row>
    <row r="1596" spans="1:17" x14ac:dyDescent="0.25">
      <c r="A1596" s="5"/>
      <c r="B1596" s="6"/>
      <c r="C1596" s="4"/>
      <c r="D1596" s="4"/>
      <c r="E1596" s="12"/>
      <c r="F1596" s="12"/>
      <c r="G1596" s="16"/>
      <c r="H1596" s="14"/>
      <c r="I1596" s="14"/>
      <c r="J1596" s="14"/>
      <c r="K1596" s="14"/>
      <c r="L1596" s="14"/>
      <c r="M1596" s="14"/>
      <c r="N1596" s="14"/>
      <c r="O1596" s="4"/>
      <c r="P1596" s="14"/>
      <c r="Q1596" s="14"/>
    </row>
    <row r="1597" spans="1:17" x14ac:dyDescent="0.25">
      <c r="A1597" s="5"/>
      <c r="B1597" s="6"/>
      <c r="C1597" s="4"/>
      <c r="D1597" s="4"/>
      <c r="E1597" s="12"/>
      <c r="F1597" s="12"/>
      <c r="G1597" s="16"/>
      <c r="H1597" s="14"/>
      <c r="I1597" s="14"/>
      <c r="J1597" s="14"/>
      <c r="K1597" s="14"/>
      <c r="L1597" s="14"/>
      <c r="M1597" s="14"/>
      <c r="N1597" s="14"/>
      <c r="O1597" s="4"/>
      <c r="P1597" s="14"/>
      <c r="Q1597" s="14"/>
    </row>
    <row r="1598" spans="1:17" x14ac:dyDescent="0.25">
      <c r="A1598" s="5"/>
      <c r="B1598" s="6"/>
      <c r="C1598" s="4"/>
      <c r="D1598" s="4"/>
      <c r="E1598" s="12"/>
      <c r="F1598" s="12"/>
      <c r="G1598" s="16"/>
      <c r="H1598" s="14"/>
      <c r="I1598" s="14"/>
      <c r="J1598" s="14"/>
      <c r="K1598" s="14"/>
      <c r="L1598" s="14"/>
      <c r="M1598" s="14"/>
      <c r="N1598" s="14"/>
      <c r="O1598" s="4"/>
      <c r="P1598" s="14"/>
      <c r="Q1598" s="14"/>
    </row>
    <row r="1599" spans="1:17" x14ac:dyDescent="0.25">
      <c r="A1599" s="5"/>
      <c r="B1599" s="6"/>
      <c r="C1599" s="4"/>
      <c r="D1599" s="4"/>
      <c r="E1599" s="12"/>
      <c r="F1599" s="12"/>
      <c r="G1599" s="16"/>
      <c r="H1599" s="14"/>
      <c r="I1599" s="14"/>
      <c r="J1599" s="14"/>
      <c r="K1599" s="14"/>
      <c r="L1599" s="14"/>
      <c r="M1599" s="14"/>
      <c r="N1599" s="14"/>
      <c r="O1599" s="4"/>
      <c r="P1599" s="14"/>
      <c r="Q1599" s="14"/>
    </row>
    <row r="1600" spans="1:17" x14ac:dyDescent="0.25">
      <c r="A1600" s="5"/>
      <c r="B1600" s="6"/>
      <c r="C1600" s="4"/>
      <c r="D1600" s="4"/>
      <c r="E1600" s="12"/>
      <c r="F1600" s="12"/>
      <c r="G1600" s="16"/>
      <c r="H1600" s="14"/>
      <c r="I1600" s="14"/>
      <c r="J1600" s="14"/>
      <c r="K1600" s="14"/>
      <c r="L1600" s="14"/>
      <c r="M1600" s="14"/>
      <c r="N1600" s="14"/>
      <c r="O1600" s="4"/>
      <c r="P1600" s="14"/>
      <c r="Q1600" s="14"/>
    </row>
    <row r="1601" spans="1:17" x14ac:dyDescent="0.25">
      <c r="A1601" s="5"/>
      <c r="B1601" s="6"/>
      <c r="C1601" s="4"/>
      <c r="D1601" s="4"/>
      <c r="E1601" s="12"/>
      <c r="F1601" s="12"/>
      <c r="G1601" s="16"/>
      <c r="H1601" s="14"/>
      <c r="I1601" s="14"/>
      <c r="J1601" s="14"/>
      <c r="K1601" s="14"/>
      <c r="L1601" s="14"/>
      <c r="M1601" s="14"/>
      <c r="N1601" s="14"/>
      <c r="O1601" s="4"/>
      <c r="P1601" s="14"/>
      <c r="Q1601" s="14"/>
    </row>
    <row r="1602" spans="1:17" x14ac:dyDescent="0.25">
      <c r="A1602" s="5"/>
      <c r="B1602" s="6"/>
      <c r="C1602" s="4"/>
      <c r="D1602" s="4"/>
      <c r="E1602" s="12"/>
      <c r="F1602" s="12"/>
      <c r="G1602" s="16"/>
      <c r="H1602" s="14"/>
      <c r="I1602" s="14"/>
      <c r="J1602" s="14"/>
      <c r="K1602" s="14"/>
      <c r="L1602" s="14"/>
      <c r="M1602" s="14"/>
      <c r="N1602" s="14"/>
      <c r="O1602" s="4"/>
      <c r="P1602" s="14"/>
      <c r="Q1602" s="14"/>
    </row>
    <row r="1603" spans="1:17" x14ac:dyDescent="0.25">
      <c r="A1603" s="5"/>
      <c r="B1603" s="6"/>
      <c r="C1603" s="4"/>
      <c r="D1603" s="4"/>
      <c r="E1603" s="12"/>
      <c r="F1603" s="12"/>
      <c r="G1603" s="16"/>
      <c r="H1603" s="14"/>
      <c r="I1603" s="14"/>
      <c r="J1603" s="14"/>
      <c r="K1603" s="14"/>
      <c r="L1603" s="14"/>
      <c r="M1603" s="14"/>
      <c r="N1603" s="14"/>
      <c r="O1603" s="4"/>
      <c r="P1603" s="14"/>
      <c r="Q1603" s="14"/>
    </row>
    <row r="1604" spans="1:17" x14ac:dyDescent="0.25">
      <c r="A1604" s="5"/>
      <c r="B1604" s="6"/>
      <c r="C1604" s="4"/>
      <c r="D1604" s="4"/>
      <c r="E1604" s="12"/>
      <c r="F1604" s="12"/>
      <c r="G1604" s="16"/>
      <c r="H1604" s="14"/>
      <c r="I1604" s="14"/>
      <c r="J1604" s="14"/>
      <c r="K1604" s="14"/>
      <c r="L1604" s="14"/>
      <c r="M1604" s="14"/>
      <c r="N1604" s="14"/>
      <c r="O1604" s="4"/>
      <c r="P1604" s="14"/>
      <c r="Q1604" s="14"/>
    </row>
    <row r="1605" spans="1:17" x14ac:dyDescent="0.25">
      <c r="A1605" s="5"/>
      <c r="B1605" s="6"/>
      <c r="C1605" s="4"/>
      <c r="D1605" s="4"/>
      <c r="E1605" s="12"/>
      <c r="F1605" s="12"/>
      <c r="G1605" s="16"/>
      <c r="H1605" s="14"/>
      <c r="I1605" s="14"/>
      <c r="J1605" s="14"/>
      <c r="K1605" s="14"/>
      <c r="L1605" s="14"/>
      <c r="M1605" s="14"/>
      <c r="N1605" s="14"/>
      <c r="O1605" s="4"/>
      <c r="P1605" s="14"/>
      <c r="Q1605" s="14"/>
    </row>
    <row r="1606" spans="1:17" x14ac:dyDescent="0.25">
      <c r="A1606" s="5"/>
      <c r="B1606" s="6"/>
      <c r="C1606" s="4"/>
      <c r="D1606" s="4"/>
      <c r="E1606" s="12"/>
      <c r="F1606" s="12"/>
      <c r="G1606" s="16"/>
      <c r="H1606" s="14"/>
      <c r="I1606" s="14"/>
      <c r="J1606" s="14"/>
      <c r="K1606" s="14"/>
      <c r="L1606" s="14"/>
      <c r="M1606" s="14"/>
      <c r="N1606" s="14"/>
      <c r="O1606" s="4"/>
      <c r="P1606" s="14"/>
      <c r="Q1606" s="14"/>
    </row>
    <row r="1607" spans="1:17" x14ac:dyDescent="0.25">
      <c r="A1607" s="5"/>
      <c r="B1607" s="6"/>
      <c r="C1607" s="4"/>
      <c r="D1607" s="4"/>
      <c r="E1607" s="12"/>
      <c r="F1607" s="12"/>
      <c r="G1607" s="16"/>
      <c r="H1607" s="14"/>
      <c r="I1607" s="14"/>
      <c r="J1607" s="14"/>
      <c r="K1607" s="14"/>
      <c r="L1607" s="14"/>
      <c r="M1607" s="14"/>
      <c r="N1607" s="14"/>
      <c r="O1607" s="4"/>
      <c r="P1607" s="14"/>
      <c r="Q1607" s="14"/>
    </row>
    <row r="1608" spans="1:17" x14ac:dyDescent="0.25">
      <c r="A1608" s="5"/>
      <c r="B1608" s="6"/>
      <c r="C1608" s="4"/>
      <c r="D1608" s="4"/>
      <c r="E1608" s="12"/>
      <c r="F1608" s="12"/>
      <c r="G1608" s="16"/>
      <c r="H1608" s="14"/>
      <c r="I1608" s="14"/>
      <c r="J1608" s="14"/>
      <c r="K1608" s="14"/>
      <c r="L1608" s="14"/>
      <c r="M1608" s="14"/>
      <c r="N1608" s="14"/>
      <c r="O1608" s="4"/>
      <c r="P1608" s="14"/>
      <c r="Q1608" s="14"/>
    </row>
    <row r="1609" spans="1:17" x14ac:dyDescent="0.25">
      <c r="A1609" s="5"/>
      <c r="B1609" s="6"/>
      <c r="C1609" s="4"/>
      <c r="D1609" s="4"/>
      <c r="E1609" s="12"/>
      <c r="F1609" s="12"/>
      <c r="G1609" s="16"/>
      <c r="H1609" s="14"/>
      <c r="I1609" s="14"/>
      <c r="J1609" s="14"/>
      <c r="K1609" s="14"/>
      <c r="L1609" s="14"/>
      <c r="M1609" s="14"/>
      <c r="N1609" s="14"/>
      <c r="O1609" s="4"/>
      <c r="P1609" s="14"/>
      <c r="Q1609" s="14"/>
    </row>
    <row r="1610" spans="1:17" x14ac:dyDescent="0.25">
      <c r="A1610" s="5"/>
      <c r="B1610" s="6"/>
      <c r="C1610" s="4"/>
      <c r="D1610" s="4"/>
      <c r="E1610" s="12"/>
      <c r="F1610" s="12"/>
      <c r="G1610" s="16"/>
      <c r="H1610" s="14"/>
      <c r="I1610" s="14"/>
      <c r="J1610" s="14"/>
      <c r="K1610" s="14"/>
      <c r="L1610" s="14"/>
      <c r="M1610" s="14"/>
      <c r="N1610" s="14"/>
      <c r="O1610" s="4"/>
      <c r="P1610" s="14"/>
      <c r="Q1610" s="14"/>
    </row>
    <row r="1611" spans="1:17" x14ac:dyDescent="0.25">
      <c r="A1611" s="5"/>
      <c r="B1611" s="6"/>
      <c r="C1611" s="4"/>
      <c r="D1611" s="4"/>
      <c r="E1611" s="12"/>
      <c r="F1611" s="12"/>
      <c r="G1611" s="16"/>
      <c r="H1611" s="14"/>
      <c r="I1611" s="14"/>
      <c r="J1611" s="14"/>
      <c r="K1611" s="14"/>
      <c r="L1611" s="14"/>
      <c r="M1611" s="14"/>
      <c r="N1611" s="14"/>
      <c r="O1611" s="4"/>
      <c r="P1611" s="14"/>
      <c r="Q1611" s="14"/>
    </row>
    <row r="1612" spans="1:17" x14ac:dyDescent="0.25">
      <c r="A1612" s="5"/>
      <c r="B1612" s="6"/>
      <c r="C1612" s="4"/>
      <c r="D1612" s="4"/>
      <c r="E1612" s="12"/>
      <c r="F1612" s="12"/>
      <c r="G1612" s="16"/>
      <c r="H1612" s="14"/>
      <c r="I1612" s="14"/>
      <c r="J1612" s="14"/>
      <c r="K1612" s="14"/>
      <c r="L1612" s="14"/>
      <c r="M1612" s="14"/>
      <c r="N1612" s="14"/>
      <c r="O1612" s="4"/>
      <c r="P1612" s="14"/>
      <c r="Q1612" s="14"/>
    </row>
    <row r="1613" spans="1:17" x14ac:dyDescent="0.25">
      <c r="A1613" s="5"/>
      <c r="B1613" s="6"/>
      <c r="C1613" s="4"/>
      <c r="D1613" s="4"/>
      <c r="E1613" s="12"/>
      <c r="F1613" s="12"/>
      <c r="G1613" s="16"/>
      <c r="H1613" s="14"/>
      <c r="I1613" s="14"/>
      <c r="J1613" s="14"/>
      <c r="K1613" s="14"/>
      <c r="L1613" s="14"/>
      <c r="M1613" s="14"/>
      <c r="N1613" s="14"/>
      <c r="O1613" s="4"/>
      <c r="P1613" s="14"/>
      <c r="Q1613" s="14"/>
    </row>
    <row r="1614" spans="1:17" x14ac:dyDescent="0.25">
      <c r="A1614" s="5"/>
      <c r="B1614" s="6"/>
      <c r="C1614" s="4"/>
      <c r="D1614" s="4"/>
      <c r="E1614" s="12"/>
      <c r="F1614" s="12"/>
      <c r="G1614" s="16"/>
      <c r="H1614" s="14"/>
      <c r="I1614" s="14"/>
      <c r="J1614" s="14"/>
      <c r="K1614" s="14"/>
      <c r="L1614" s="14"/>
      <c r="M1614" s="14"/>
      <c r="N1614" s="14"/>
      <c r="O1614" s="4"/>
      <c r="P1614" s="14"/>
      <c r="Q1614" s="14"/>
    </row>
    <row r="1615" spans="1:17" x14ac:dyDescent="0.25">
      <c r="A1615" s="5"/>
      <c r="B1615" s="6"/>
      <c r="C1615" s="4"/>
      <c r="D1615" s="4"/>
      <c r="E1615" s="12"/>
      <c r="F1615" s="12"/>
      <c r="G1615" s="16"/>
      <c r="H1615" s="14"/>
      <c r="I1615" s="14"/>
      <c r="J1615" s="14"/>
      <c r="K1615" s="14"/>
      <c r="L1615" s="14"/>
      <c r="M1615" s="14"/>
      <c r="N1615" s="14"/>
      <c r="O1615" s="4"/>
      <c r="P1615" s="14"/>
      <c r="Q1615" s="14"/>
    </row>
    <row r="1616" spans="1:17" x14ac:dyDescent="0.25">
      <c r="A1616" s="5"/>
      <c r="B1616" s="6"/>
      <c r="C1616" s="4"/>
      <c r="D1616" s="4"/>
      <c r="E1616" s="12"/>
      <c r="F1616" s="12"/>
      <c r="G1616" s="16"/>
      <c r="H1616" s="14"/>
      <c r="I1616" s="14"/>
      <c r="J1616" s="14"/>
      <c r="K1616" s="14"/>
      <c r="L1616" s="14"/>
      <c r="M1616" s="14"/>
      <c r="N1616" s="14"/>
      <c r="O1616" s="4"/>
      <c r="P1616" s="14"/>
      <c r="Q1616" s="14"/>
    </row>
    <row r="1617" spans="1:17" x14ac:dyDescent="0.25">
      <c r="A1617" s="5"/>
      <c r="B1617" s="6"/>
      <c r="C1617" s="4"/>
      <c r="D1617" s="4"/>
      <c r="E1617" s="12"/>
      <c r="F1617" s="12"/>
      <c r="G1617" s="16"/>
      <c r="H1617" s="14"/>
      <c r="I1617" s="14"/>
      <c r="J1617" s="14"/>
      <c r="K1617" s="14"/>
      <c r="L1617" s="14"/>
      <c r="M1617" s="14"/>
      <c r="N1617" s="14"/>
      <c r="O1617" s="4"/>
      <c r="P1617" s="14"/>
      <c r="Q1617" s="14"/>
    </row>
    <row r="1618" spans="1:17" x14ac:dyDescent="0.25">
      <c r="A1618" s="5"/>
      <c r="B1618" s="6"/>
      <c r="C1618" s="4"/>
      <c r="D1618" s="4"/>
      <c r="E1618" s="12"/>
      <c r="F1618" s="12"/>
      <c r="G1618" s="16"/>
      <c r="H1618" s="14"/>
      <c r="I1618" s="14"/>
      <c r="J1618" s="14"/>
      <c r="K1618" s="14"/>
      <c r="L1618" s="14"/>
      <c r="M1618" s="14"/>
      <c r="N1618" s="14"/>
      <c r="O1618" s="4"/>
      <c r="P1618" s="14"/>
      <c r="Q1618" s="14"/>
    </row>
    <row r="1619" spans="1:17" x14ac:dyDescent="0.25">
      <c r="A1619" s="5"/>
      <c r="B1619" s="6"/>
      <c r="C1619" s="4"/>
      <c r="D1619" s="4"/>
      <c r="E1619" s="12"/>
      <c r="F1619" s="12"/>
      <c r="G1619" s="16"/>
      <c r="H1619" s="14"/>
      <c r="I1619" s="14"/>
      <c r="J1619" s="14"/>
      <c r="K1619" s="14"/>
      <c r="L1619" s="14"/>
      <c r="M1619" s="14"/>
      <c r="N1619" s="14"/>
      <c r="O1619" s="4"/>
      <c r="P1619" s="14"/>
      <c r="Q1619" s="14"/>
    </row>
    <row r="1620" spans="1:17" x14ac:dyDescent="0.25">
      <c r="A1620" s="5"/>
      <c r="B1620" s="6"/>
      <c r="C1620" s="4"/>
      <c r="D1620" s="4"/>
      <c r="E1620" s="12"/>
      <c r="F1620" s="12"/>
      <c r="G1620" s="16"/>
      <c r="H1620" s="14"/>
      <c r="I1620" s="14"/>
      <c r="J1620" s="14"/>
      <c r="K1620" s="14"/>
      <c r="L1620" s="14"/>
      <c r="M1620" s="14"/>
      <c r="N1620" s="14"/>
      <c r="O1620" s="4"/>
      <c r="P1620" s="14"/>
      <c r="Q1620" s="14"/>
    </row>
    <row r="1621" spans="1:17" x14ac:dyDescent="0.25">
      <c r="A1621" s="5"/>
      <c r="B1621" s="6"/>
      <c r="C1621" s="4"/>
      <c r="D1621" s="4"/>
      <c r="E1621" s="12"/>
      <c r="F1621" s="12"/>
      <c r="G1621" s="16"/>
      <c r="H1621" s="14"/>
      <c r="I1621" s="14"/>
      <c r="J1621" s="14"/>
      <c r="K1621" s="14"/>
      <c r="L1621" s="14"/>
      <c r="M1621" s="14"/>
      <c r="N1621" s="14"/>
      <c r="O1621" s="4"/>
      <c r="P1621" s="14"/>
      <c r="Q1621" s="14"/>
    </row>
    <row r="1622" spans="1:17" x14ac:dyDescent="0.25">
      <c r="A1622" s="5"/>
      <c r="B1622" s="6"/>
      <c r="C1622" s="4"/>
      <c r="D1622" s="4"/>
      <c r="E1622" s="12"/>
      <c r="F1622" s="12"/>
      <c r="G1622" s="16"/>
      <c r="H1622" s="14"/>
      <c r="I1622" s="14"/>
      <c r="J1622" s="14"/>
      <c r="K1622" s="14"/>
      <c r="L1622" s="14"/>
      <c r="M1622" s="14"/>
      <c r="N1622" s="14"/>
      <c r="O1622" s="4"/>
      <c r="P1622" s="14"/>
      <c r="Q1622" s="14"/>
    </row>
    <row r="1623" spans="1:17" x14ac:dyDescent="0.25">
      <c r="A1623" s="5"/>
      <c r="B1623" s="6"/>
      <c r="C1623" s="4"/>
      <c r="D1623" s="4"/>
      <c r="E1623" s="12"/>
      <c r="F1623" s="12"/>
      <c r="G1623" s="16"/>
      <c r="H1623" s="14"/>
      <c r="I1623" s="14"/>
      <c r="J1623" s="14"/>
      <c r="K1623" s="14"/>
      <c r="L1623" s="14"/>
      <c r="M1623" s="14"/>
      <c r="N1623" s="14"/>
      <c r="O1623" s="4"/>
      <c r="P1623" s="14"/>
      <c r="Q1623" s="14"/>
    </row>
    <row r="1624" spans="1:17" x14ac:dyDescent="0.25">
      <c r="A1624" s="5"/>
      <c r="B1624" s="6"/>
      <c r="C1624" s="4"/>
      <c r="D1624" s="4"/>
      <c r="E1624" s="12"/>
      <c r="F1624" s="12"/>
      <c r="G1624" s="16"/>
      <c r="H1624" s="14"/>
      <c r="I1624" s="14"/>
      <c r="J1624" s="14"/>
      <c r="K1624" s="14"/>
      <c r="L1624" s="14"/>
      <c r="M1624" s="14"/>
      <c r="N1624" s="14"/>
      <c r="O1624" s="4"/>
      <c r="P1624" s="14"/>
      <c r="Q1624" s="14"/>
    </row>
    <row r="1625" spans="1:17" x14ac:dyDescent="0.25">
      <c r="A1625" s="5"/>
      <c r="B1625" s="6"/>
      <c r="C1625" s="4"/>
      <c r="D1625" s="4"/>
      <c r="E1625" s="12"/>
      <c r="F1625" s="12"/>
      <c r="G1625" s="16"/>
      <c r="H1625" s="14"/>
      <c r="I1625" s="14"/>
      <c r="J1625" s="14"/>
      <c r="K1625" s="14"/>
      <c r="L1625" s="14"/>
      <c r="M1625" s="14"/>
      <c r="N1625" s="14"/>
      <c r="O1625" s="4"/>
      <c r="P1625" s="14"/>
      <c r="Q1625" s="14"/>
    </row>
    <row r="1626" spans="1:17" x14ac:dyDescent="0.25">
      <c r="A1626" s="5"/>
      <c r="B1626" s="6"/>
      <c r="C1626" s="4"/>
      <c r="D1626" s="4"/>
      <c r="E1626" s="12"/>
      <c r="F1626" s="12"/>
      <c r="G1626" s="16"/>
      <c r="H1626" s="14"/>
      <c r="I1626" s="14"/>
      <c r="J1626" s="14"/>
      <c r="K1626" s="14"/>
      <c r="L1626" s="14"/>
      <c r="M1626" s="14"/>
      <c r="N1626" s="14"/>
      <c r="O1626" s="4"/>
      <c r="P1626" s="14"/>
      <c r="Q1626" s="14"/>
    </row>
    <row r="1627" spans="1:17" x14ac:dyDescent="0.25">
      <c r="A1627" s="5"/>
      <c r="B1627" s="6"/>
      <c r="C1627" s="4"/>
      <c r="D1627" s="4"/>
      <c r="E1627" s="12"/>
      <c r="F1627" s="12"/>
      <c r="G1627" s="16"/>
      <c r="H1627" s="14"/>
      <c r="I1627" s="14"/>
      <c r="J1627" s="14"/>
      <c r="K1627" s="14"/>
      <c r="L1627" s="14"/>
      <c r="M1627" s="14"/>
      <c r="N1627" s="14"/>
      <c r="O1627" s="4"/>
      <c r="P1627" s="14"/>
      <c r="Q1627" s="14"/>
    </row>
    <row r="1628" spans="1:17" x14ac:dyDescent="0.25">
      <c r="A1628" s="5"/>
      <c r="B1628" s="6"/>
      <c r="C1628" s="4"/>
      <c r="D1628" s="4"/>
      <c r="E1628" s="12"/>
      <c r="F1628" s="12"/>
      <c r="G1628" s="16"/>
      <c r="H1628" s="14"/>
      <c r="I1628" s="14"/>
      <c r="J1628" s="14"/>
      <c r="K1628" s="14"/>
      <c r="L1628" s="14"/>
      <c r="M1628" s="14"/>
      <c r="N1628" s="14"/>
      <c r="O1628" s="4"/>
      <c r="P1628" s="14"/>
      <c r="Q1628" s="14"/>
    </row>
    <row r="1629" spans="1:17" x14ac:dyDescent="0.25">
      <c r="A1629" s="5"/>
      <c r="B1629" s="6"/>
      <c r="C1629" s="4"/>
      <c r="D1629" s="4"/>
      <c r="E1629" s="12"/>
      <c r="F1629" s="12"/>
      <c r="G1629" s="16"/>
      <c r="H1629" s="14"/>
      <c r="I1629" s="14"/>
      <c r="J1629" s="14"/>
      <c r="K1629" s="14"/>
      <c r="L1629" s="14"/>
      <c r="M1629" s="14"/>
      <c r="N1629" s="14"/>
      <c r="O1629" s="4"/>
      <c r="P1629" s="14"/>
      <c r="Q1629" s="14"/>
    </row>
    <row r="1630" spans="1:17" x14ac:dyDescent="0.25">
      <c r="A1630" s="5"/>
      <c r="B1630" s="6"/>
      <c r="C1630" s="4"/>
      <c r="D1630" s="4"/>
      <c r="E1630" s="12"/>
      <c r="F1630" s="12"/>
      <c r="G1630" s="16"/>
      <c r="H1630" s="14"/>
      <c r="I1630" s="14"/>
      <c r="J1630" s="14"/>
      <c r="K1630" s="14"/>
      <c r="L1630" s="14"/>
      <c r="M1630" s="14"/>
      <c r="N1630" s="14"/>
      <c r="O1630" s="4"/>
      <c r="P1630" s="14"/>
      <c r="Q1630" s="14"/>
    </row>
    <row r="1631" spans="1:17" x14ac:dyDescent="0.25">
      <c r="A1631" s="5"/>
      <c r="B1631" s="6"/>
      <c r="C1631" s="4"/>
      <c r="D1631" s="4"/>
      <c r="E1631" s="12"/>
      <c r="F1631" s="12"/>
      <c r="G1631" s="16"/>
      <c r="H1631" s="14"/>
      <c r="I1631" s="14"/>
      <c r="J1631" s="14"/>
      <c r="K1631" s="14"/>
      <c r="L1631" s="14"/>
      <c r="M1631" s="14"/>
      <c r="N1631" s="14"/>
      <c r="O1631" s="4"/>
      <c r="P1631" s="14"/>
      <c r="Q1631" s="14"/>
    </row>
    <row r="1632" spans="1:17" x14ac:dyDescent="0.25">
      <c r="A1632" s="5"/>
      <c r="B1632" s="6"/>
      <c r="C1632" s="4"/>
      <c r="D1632" s="4"/>
      <c r="E1632" s="12"/>
      <c r="F1632" s="12"/>
      <c r="G1632" s="16"/>
      <c r="H1632" s="14"/>
      <c r="I1632" s="14"/>
      <c r="J1632" s="14"/>
      <c r="K1632" s="14"/>
      <c r="L1632" s="14"/>
      <c r="M1632" s="14"/>
      <c r="N1632" s="14"/>
      <c r="O1632" s="4"/>
      <c r="P1632" s="14"/>
      <c r="Q1632" s="14"/>
    </row>
    <row r="1633" spans="1:17" x14ac:dyDescent="0.25">
      <c r="A1633" s="5"/>
      <c r="B1633" s="6"/>
      <c r="C1633" s="4"/>
      <c r="D1633" s="4"/>
      <c r="E1633" s="12"/>
      <c r="F1633" s="12"/>
      <c r="G1633" s="16"/>
      <c r="H1633" s="14"/>
      <c r="I1633" s="14"/>
      <c r="J1633" s="14"/>
      <c r="K1633" s="14"/>
      <c r="L1633" s="14"/>
      <c r="M1633" s="14"/>
      <c r="N1633" s="14"/>
      <c r="O1633" s="4"/>
      <c r="P1633" s="14"/>
      <c r="Q1633" s="14"/>
    </row>
    <row r="1634" spans="1:17" x14ac:dyDescent="0.25">
      <c r="A1634" s="5"/>
      <c r="B1634" s="6"/>
      <c r="C1634" s="4"/>
      <c r="D1634" s="4"/>
      <c r="E1634" s="12"/>
      <c r="F1634" s="12"/>
      <c r="G1634" s="16"/>
      <c r="H1634" s="14"/>
      <c r="I1634" s="14"/>
      <c r="J1634" s="14"/>
      <c r="K1634" s="14"/>
      <c r="L1634" s="14"/>
      <c r="M1634" s="14"/>
      <c r="N1634" s="14"/>
      <c r="O1634" s="4"/>
      <c r="P1634" s="14"/>
      <c r="Q1634" s="14"/>
    </row>
    <row r="1635" spans="1:17" x14ac:dyDescent="0.25">
      <c r="A1635" s="5"/>
      <c r="B1635" s="6"/>
      <c r="C1635" s="4"/>
      <c r="D1635" s="4"/>
      <c r="E1635" s="12"/>
      <c r="F1635" s="12"/>
      <c r="G1635" s="16"/>
      <c r="H1635" s="14"/>
      <c r="I1635" s="14"/>
      <c r="J1635" s="14"/>
      <c r="K1635" s="14"/>
      <c r="L1635" s="14"/>
      <c r="M1635" s="14"/>
      <c r="N1635" s="14"/>
      <c r="O1635" s="4"/>
      <c r="P1635" s="14"/>
      <c r="Q1635" s="14"/>
    </row>
    <row r="1636" spans="1:17" x14ac:dyDescent="0.25">
      <c r="A1636" s="5"/>
      <c r="B1636" s="6"/>
      <c r="C1636" s="4"/>
      <c r="D1636" s="4"/>
      <c r="E1636" s="12"/>
      <c r="F1636" s="12"/>
      <c r="G1636" s="16"/>
      <c r="H1636" s="14"/>
      <c r="I1636" s="14"/>
      <c r="J1636" s="14"/>
      <c r="K1636" s="14"/>
      <c r="L1636" s="14"/>
      <c r="M1636" s="14"/>
      <c r="N1636" s="14"/>
      <c r="O1636" s="4"/>
      <c r="P1636" s="14"/>
      <c r="Q1636" s="14"/>
    </row>
    <row r="1637" spans="1:17" x14ac:dyDescent="0.25">
      <c r="A1637" s="5"/>
      <c r="B1637" s="6"/>
      <c r="C1637" s="4"/>
      <c r="D1637" s="4"/>
      <c r="E1637" s="12"/>
      <c r="F1637" s="12"/>
      <c r="G1637" s="16"/>
      <c r="H1637" s="14"/>
      <c r="I1637" s="14"/>
      <c r="J1637" s="14"/>
      <c r="K1637" s="14"/>
      <c r="L1637" s="14"/>
      <c r="M1637" s="14"/>
      <c r="N1637" s="14"/>
      <c r="O1637" s="4"/>
      <c r="P1637" s="14"/>
      <c r="Q1637" s="14"/>
    </row>
    <row r="1638" spans="1:17" x14ac:dyDescent="0.25">
      <c r="A1638" s="5"/>
      <c r="B1638" s="6"/>
      <c r="C1638" s="4"/>
      <c r="D1638" s="4"/>
      <c r="E1638" s="12"/>
      <c r="F1638" s="12"/>
      <c r="G1638" s="16"/>
      <c r="H1638" s="14"/>
      <c r="I1638" s="14"/>
      <c r="J1638" s="14"/>
      <c r="K1638" s="14"/>
      <c r="L1638" s="14"/>
      <c r="M1638" s="14"/>
      <c r="N1638" s="14"/>
      <c r="O1638" s="4"/>
      <c r="P1638" s="14"/>
      <c r="Q1638" s="14"/>
    </row>
    <row r="1639" spans="1:17" x14ac:dyDescent="0.25">
      <c r="A1639" s="5"/>
      <c r="B1639" s="6"/>
      <c r="C1639" s="4"/>
      <c r="D1639" s="4"/>
      <c r="E1639" s="12"/>
      <c r="F1639" s="12"/>
      <c r="G1639" s="16"/>
      <c r="H1639" s="14"/>
      <c r="I1639" s="14"/>
      <c r="J1639" s="14"/>
      <c r="K1639" s="14"/>
      <c r="L1639" s="14"/>
      <c r="M1639" s="14"/>
      <c r="N1639" s="14"/>
      <c r="O1639" s="4"/>
      <c r="P1639" s="14"/>
      <c r="Q1639" s="14"/>
    </row>
    <row r="1640" spans="1:17" x14ac:dyDescent="0.25">
      <c r="A1640" s="5"/>
      <c r="B1640" s="6"/>
      <c r="C1640" s="4"/>
      <c r="D1640" s="4"/>
      <c r="E1640" s="12"/>
      <c r="F1640" s="12"/>
      <c r="G1640" s="16"/>
      <c r="H1640" s="14"/>
      <c r="I1640" s="14"/>
      <c r="J1640" s="14"/>
      <c r="K1640" s="14"/>
      <c r="L1640" s="14"/>
      <c r="M1640" s="14"/>
      <c r="N1640" s="14"/>
      <c r="O1640" s="4"/>
      <c r="P1640" s="14"/>
      <c r="Q1640" s="14"/>
    </row>
    <row r="1641" spans="1:17" x14ac:dyDescent="0.25">
      <c r="A1641" s="5"/>
      <c r="B1641" s="6"/>
      <c r="C1641" s="4"/>
      <c r="D1641" s="4"/>
      <c r="E1641" s="12"/>
      <c r="F1641" s="12"/>
      <c r="G1641" s="16"/>
      <c r="H1641" s="14"/>
      <c r="I1641" s="14"/>
      <c r="J1641" s="14"/>
      <c r="K1641" s="14"/>
      <c r="L1641" s="14"/>
      <c r="M1641" s="14"/>
      <c r="N1641" s="14"/>
      <c r="O1641" s="4"/>
      <c r="P1641" s="14"/>
      <c r="Q1641" s="14"/>
    </row>
    <row r="1642" spans="1:17" x14ac:dyDescent="0.25">
      <c r="A1642" s="5"/>
      <c r="B1642" s="6"/>
      <c r="C1642" s="4"/>
      <c r="D1642" s="4"/>
      <c r="E1642" s="12"/>
      <c r="F1642" s="12"/>
      <c r="G1642" s="16"/>
      <c r="H1642" s="14"/>
      <c r="I1642" s="14"/>
      <c r="J1642" s="14"/>
      <c r="K1642" s="14"/>
      <c r="L1642" s="14"/>
      <c r="M1642" s="14"/>
      <c r="N1642" s="14"/>
      <c r="O1642" s="4"/>
      <c r="P1642" s="14"/>
      <c r="Q1642" s="14"/>
    </row>
    <row r="1643" spans="1:17" x14ac:dyDescent="0.25">
      <c r="A1643" s="5"/>
      <c r="B1643" s="6"/>
      <c r="C1643" s="4"/>
      <c r="D1643" s="4"/>
      <c r="E1643" s="12"/>
      <c r="F1643" s="12"/>
      <c r="G1643" s="16"/>
      <c r="H1643" s="14"/>
      <c r="I1643" s="14"/>
      <c r="J1643" s="14"/>
      <c r="K1643" s="14"/>
      <c r="L1643" s="14"/>
      <c r="M1643" s="14"/>
      <c r="N1643" s="14"/>
      <c r="O1643" s="4"/>
      <c r="P1643" s="14"/>
      <c r="Q1643" s="14"/>
    </row>
    <row r="1644" spans="1:17" x14ac:dyDescent="0.25">
      <c r="A1644" s="5"/>
      <c r="B1644" s="6"/>
      <c r="C1644" s="4"/>
      <c r="D1644" s="4"/>
      <c r="E1644" s="12"/>
      <c r="F1644" s="12"/>
      <c r="G1644" s="16"/>
      <c r="H1644" s="14"/>
      <c r="I1644" s="14"/>
      <c r="J1644" s="14"/>
      <c r="K1644" s="14"/>
      <c r="L1644" s="14"/>
      <c r="M1644" s="14"/>
      <c r="N1644" s="14"/>
      <c r="O1644" s="4"/>
      <c r="P1644" s="14"/>
      <c r="Q1644" s="14"/>
    </row>
    <row r="1645" spans="1:17" x14ac:dyDescent="0.25">
      <c r="A1645" s="5"/>
      <c r="B1645" s="6"/>
      <c r="C1645" s="4"/>
      <c r="D1645" s="4"/>
      <c r="E1645" s="12"/>
      <c r="F1645" s="12"/>
      <c r="G1645" s="16"/>
      <c r="H1645" s="14"/>
      <c r="I1645" s="14"/>
      <c r="J1645" s="14"/>
      <c r="K1645" s="14"/>
      <c r="L1645" s="14"/>
      <c r="M1645" s="14"/>
      <c r="N1645" s="14"/>
      <c r="O1645" s="4"/>
      <c r="P1645" s="14"/>
      <c r="Q1645" s="14"/>
    </row>
    <row r="1646" spans="1:17" x14ac:dyDescent="0.25">
      <c r="A1646" s="5"/>
      <c r="B1646" s="6"/>
      <c r="C1646" s="4"/>
      <c r="D1646" s="4"/>
      <c r="E1646" s="12"/>
      <c r="F1646" s="12"/>
      <c r="G1646" s="16"/>
      <c r="H1646" s="14"/>
      <c r="I1646" s="14"/>
      <c r="J1646" s="14"/>
      <c r="K1646" s="14"/>
      <c r="L1646" s="14"/>
      <c r="M1646" s="14"/>
      <c r="N1646" s="14"/>
      <c r="O1646" s="4"/>
      <c r="P1646" s="14"/>
      <c r="Q1646" s="14"/>
    </row>
    <row r="1647" spans="1:17" x14ac:dyDescent="0.25">
      <c r="A1647" s="5"/>
      <c r="B1647" s="6"/>
      <c r="C1647" s="4"/>
      <c r="D1647" s="4"/>
      <c r="E1647" s="12"/>
      <c r="F1647" s="12"/>
      <c r="G1647" s="16"/>
      <c r="H1647" s="14"/>
      <c r="I1647" s="14"/>
      <c r="J1647" s="14"/>
      <c r="K1647" s="14"/>
      <c r="L1647" s="14"/>
      <c r="M1647" s="14"/>
      <c r="N1647" s="14"/>
      <c r="O1647" s="4"/>
      <c r="P1647" s="14"/>
      <c r="Q1647" s="14"/>
    </row>
    <row r="1648" spans="1:17" x14ac:dyDescent="0.25">
      <c r="A1648" s="5"/>
      <c r="B1648" s="6"/>
      <c r="C1648" s="4"/>
      <c r="D1648" s="4"/>
      <c r="E1648" s="12"/>
      <c r="F1648" s="12"/>
      <c r="G1648" s="16"/>
      <c r="H1648" s="14"/>
      <c r="I1648" s="14"/>
      <c r="J1648" s="14"/>
      <c r="K1648" s="14"/>
      <c r="L1648" s="14"/>
      <c r="M1648" s="14"/>
      <c r="N1648" s="14"/>
      <c r="O1648" s="4"/>
      <c r="P1648" s="14"/>
      <c r="Q1648" s="14"/>
    </row>
    <row r="1649" spans="1:17" x14ac:dyDescent="0.25">
      <c r="A1649" s="5"/>
      <c r="B1649" s="6"/>
      <c r="C1649" s="4"/>
      <c r="D1649" s="4"/>
      <c r="E1649" s="12"/>
      <c r="F1649" s="12"/>
      <c r="G1649" s="16"/>
      <c r="H1649" s="14"/>
      <c r="I1649" s="14"/>
      <c r="J1649" s="14"/>
      <c r="K1649" s="14"/>
      <c r="L1649" s="14"/>
      <c r="M1649" s="14"/>
      <c r="N1649" s="14"/>
      <c r="O1649" s="4"/>
      <c r="P1649" s="14"/>
      <c r="Q1649" s="14"/>
    </row>
    <row r="1650" spans="1:17" x14ac:dyDescent="0.25">
      <c r="A1650" s="5"/>
      <c r="B1650" s="6"/>
      <c r="C1650" s="4"/>
      <c r="D1650" s="4"/>
      <c r="E1650" s="12"/>
      <c r="F1650" s="12"/>
      <c r="G1650" s="16"/>
      <c r="H1650" s="14"/>
      <c r="I1650" s="14"/>
      <c r="J1650" s="14"/>
      <c r="K1650" s="14"/>
      <c r="L1650" s="14"/>
      <c r="M1650" s="14"/>
      <c r="N1650" s="14"/>
      <c r="O1650" s="4"/>
      <c r="P1650" s="14"/>
      <c r="Q1650" s="14"/>
    </row>
    <row r="1651" spans="1:17" x14ac:dyDescent="0.25">
      <c r="A1651" s="5"/>
      <c r="B1651" s="6"/>
      <c r="C1651" s="4"/>
      <c r="D1651" s="4"/>
      <c r="E1651" s="12"/>
      <c r="F1651" s="12"/>
      <c r="G1651" s="16"/>
      <c r="H1651" s="14"/>
      <c r="I1651" s="14"/>
      <c r="J1651" s="14"/>
      <c r="K1651" s="14"/>
      <c r="L1651" s="14"/>
      <c r="M1651" s="14"/>
      <c r="N1651" s="14"/>
      <c r="O1651" s="4"/>
      <c r="P1651" s="14"/>
      <c r="Q1651" s="14"/>
    </row>
    <row r="1652" spans="1:17" x14ac:dyDescent="0.25">
      <c r="A1652" s="5"/>
      <c r="B1652" s="6"/>
      <c r="C1652" s="4"/>
      <c r="D1652" s="4"/>
      <c r="E1652" s="12"/>
      <c r="F1652" s="12"/>
      <c r="G1652" s="16"/>
      <c r="H1652" s="14"/>
      <c r="I1652" s="14"/>
      <c r="J1652" s="14"/>
      <c r="K1652" s="14"/>
      <c r="L1652" s="14"/>
      <c r="M1652" s="14"/>
      <c r="N1652" s="14"/>
      <c r="O1652" s="4"/>
      <c r="P1652" s="14"/>
      <c r="Q1652" s="14"/>
    </row>
    <row r="1653" spans="1:17" x14ac:dyDescent="0.25">
      <c r="A1653" s="5"/>
      <c r="B1653" s="6"/>
      <c r="C1653" s="4"/>
      <c r="D1653" s="4"/>
      <c r="E1653" s="12"/>
      <c r="F1653" s="12"/>
      <c r="G1653" s="16"/>
      <c r="H1653" s="14"/>
      <c r="I1653" s="14"/>
      <c r="J1653" s="14"/>
      <c r="K1653" s="14"/>
      <c r="L1653" s="14"/>
      <c r="M1653" s="14"/>
      <c r="N1653" s="14"/>
      <c r="O1653" s="4"/>
      <c r="P1653" s="14"/>
      <c r="Q1653" s="14"/>
    </row>
    <row r="1654" spans="1:17" x14ac:dyDescent="0.25">
      <c r="A1654" s="5"/>
      <c r="B1654" s="6"/>
      <c r="C1654" s="4"/>
      <c r="D1654" s="4"/>
      <c r="E1654" s="12"/>
      <c r="F1654" s="12"/>
      <c r="G1654" s="16"/>
      <c r="H1654" s="14"/>
      <c r="I1654" s="14"/>
      <c r="J1654" s="14"/>
      <c r="K1654" s="14"/>
      <c r="L1654" s="14"/>
      <c r="M1654" s="14"/>
      <c r="N1654" s="14"/>
      <c r="O1654" s="4"/>
      <c r="P1654" s="14"/>
      <c r="Q1654" s="14"/>
    </row>
    <row r="1655" spans="1:17" x14ac:dyDescent="0.25">
      <c r="A1655" s="5"/>
      <c r="B1655" s="6"/>
      <c r="C1655" s="4"/>
      <c r="D1655" s="4"/>
      <c r="E1655" s="12"/>
      <c r="F1655" s="12"/>
      <c r="G1655" s="16"/>
      <c r="H1655" s="14"/>
      <c r="I1655" s="14"/>
      <c r="J1655" s="14"/>
      <c r="K1655" s="14"/>
      <c r="L1655" s="14"/>
      <c r="M1655" s="14"/>
      <c r="N1655" s="14"/>
      <c r="O1655" s="4"/>
      <c r="P1655" s="14"/>
      <c r="Q1655" s="14"/>
    </row>
    <row r="1656" spans="1:17" x14ac:dyDescent="0.25">
      <c r="A1656" s="5"/>
      <c r="B1656" s="6"/>
      <c r="C1656" s="4"/>
      <c r="D1656" s="4"/>
      <c r="E1656" s="12"/>
      <c r="F1656" s="12"/>
      <c r="G1656" s="16"/>
      <c r="H1656" s="14"/>
      <c r="I1656" s="14"/>
      <c r="J1656" s="14"/>
      <c r="K1656" s="14"/>
      <c r="L1656" s="14"/>
      <c r="M1656" s="14"/>
      <c r="N1656" s="14"/>
      <c r="O1656" s="4"/>
      <c r="P1656" s="14"/>
      <c r="Q1656" s="14"/>
    </row>
    <row r="1657" spans="1:17" x14ac:dyDescent="0.25">
      <c r="A1657" s="5"/>
      <c r="B1657" s="6"/>
      <c r="C1657" s="4"/>
      <c r="D1657" s="4"/>
      <c r="E1657" s="12"/>
      <c r="F1657" s="12"/>
      <c r="G1657" s="16"/>
      <c r="H1657" s="14"/>
      <c r="I1657" s="14"/>
      <c r="J1657" s="14"/>
      <c r="K1657" s="14"/>
      <c r="L1657" s="14"/>
      <c r="M1657" s="14"/>
      <c r="N1657" s="14"/>
      <c r="O1657" s="4"/>
      <c r="P1657" s="14"/>
      <c r="Q1657" s="14"/>
    </row>
    <row r="1658" spans="1:17" x14ac:dyDescent="0.25">
      <c r="A1658" s="5"/>
      <c r="B1658" s="6"/>
      <c r="C1658" s="4"/>
      <c r="D1658" s="4"/>
      <c r="E1658" s="12"/>
      <c r="F1658" s="12"/>
      <c r="G1658" s="16"/>
      <c r="H1658" s="14"/>
      <c r="I1658" s="14"/>
      <c r="J1658" s="14"/>
      <c r="K1658" s="14"/>
      <c r="L1658" s="14"/>
      <c r="M1658" s="14"/>
      <c r="N1658" s="14"/>
      <c r="O1658" s="4"/>
      <c r="P1658" s="14"/>
      <c r="Q1658" s="14"/>
    </row>
    <row r="1659" spans="1:17" x14ac:dyDescent="0.25">
      <c r="A1659" s="5"/>
      <c r="B1659" s="6"/>
      <c r="C1659" s="4"/>
      <c r="D1659" s="4"/>
      <c r="E1659" s="12"/>
      <c r="F1659" s="12"/>
      <c r="G1659" s="16"/>
      <c r="H1659" s="14"/>
      <c r="I1659" s="14"/>
      <c r="J1659" s="14"/>
      <c r="K1659" s="14"/>
      <c r="L1659" s="14"/>
      <c r="M1659" s="14"/>
      <c r="N1659" s="14"/>
      <c r="O1659" s="4"/>
      <c r="P1659" s="14"/>
      <c r="Q1659" s="14"/>
    </row>
    <row r="1660" spans="1:17" x14ac:dyDescent="0.25">
      <c r="A1660" s="5"/>
      <c r="B1660" s="6"/>
      <c r="C1660" s="4"/>
      <c r="D1660" s="4"/>
      <c r="E1660" s="12"/>
      <c r="F1660" s="12"/>
      <c r="G1660" s="16"/>
      <c r="H1660" s="14"/>
      <c r="I1660" s="14"/>
      <c r="J1660" s="14"/>
      <c r="K1660" s="14"/>
      <c r="L1660" s="14"/>
      <c r="M1660" s="14"/>
      <c r="N1660" s="14"/>
      <c r="O1660" s="4"/>
      <c r="P1660" s="14"/>
      <c r="Q1660" s="14"/>
    </row>
    <row r="1661" spans="1:17" x14ac:dyDescent="0.25">
      <c r="A1661" s="5"/>
      <c r="B1661" s="6"/>
      <c r="C1661" s="4"/>
      <c r="D1661" s="4"/>
      <c r="E1661" s="12"/>
      <c r="F1661" s="12"/>
      <c r="G1661" s="16"/>
      <c r="H1661" s="14"/>
      <c r="I1661" s="14"/>
      <c r="J1661" s="14"/>
      <c r="K1661" s="14"/>
      <c r="L1661" s="14"/>
      <c r="M1661" s="14"/>
      <c r="N1661" s="14"/>
      <c r="O1661" s="4"/>
      <c r="P1661" s="14"/>
      <c r="Q1661" s="14"/>
    </row>
    <row r="1662" spans="1:17" x14ac:dyDescent="0.25">
      <c r="A1662" s="5"/>
      <c r="B1662" s="6"/>
      <c r="C1662" s="4"/>
      <c r="D1662" s="4"/>
      <c r="E1662" s="12"/>
      <c r="F1662" s="12"/>
      <c r="G1662" s="16"/>
      <c r="H1662" s="14"/>
      <c r="I1662" s="14"/>
      <c r="J1662" s="14"/>
      <c r="K1662" s="14"/>
      <c r="L1662" s="14"/>
      <c r="M1662" s="14"/>
      <c r="N1662" s="14"/>
      <c r="O1662" s="4"/>
      <c r="P1662" s="14"/>
      <c r="Q1662" s="14"/>
    </row>
    <row r="1663" spans="1:17" x14ac:dyDescent="0.25">
      <c r="A1663" s="5"/>
      <c r="B1663" s="6"/>
      <c r="C1663" s="4"/>
      <c r="D1663" s="4"/>
      <c r="E1663" s="12"/>
      <c r="F1663" s="12"/>
      <c r="G1663" s="16"/>
      <c r="H1663" s="14"/>
      <c r="I1663" s="14"/>
      <c r="J1663" s="14"/>
      <c r="K1663" s="14"/>
      <c r="L1663" s="14"/>
      <c r="M1663" s="14"/>
      <c r="N1663" s="14"/>
      <c r="O1663" s="4"/>
      <c r="P1663" s="14"/>
      <c r="Q1663" s="14"/>
    </row>
    <row r="1664" spans="1:17" x14ac:dyDescent="0.25">
      <c r="A1664" s="5"/>
      <c r="B1664" s="6"/>
      <c r="C1664" s="4"/>
      <c r="D1664" s="4"/>
      <c r="E1664" s="12"/>
      <c r="F1664" s="12"/>
      <c r="G1664" s="16"/>
      <c r="H1664" s="14"/>
      <c r="I1664" s="14"/>
      <c r="J1664" s="14"/>
      <c r="K1664" s="14"/>
      <c r="L1664" s="14"/>
      <c r="M1664" s="14"/>
      <c r="N1664" s="14"/>
      <c r="O1664" s="4"/>
      <c r="P1664" s="14"/>
      <c r="Q1664" s="14"/>
    </row>
    <row r="1665" spans="1:17" x14ac:dyDescent="0.25">
      <c r="A1665" s="5"/>
      <c r="B1665" s="6"/>
      <c r="C1665" s="4"/>
      <c r="D1665" s="4"/>
      <c r="E1665" s="12"/>
      <c r="F1665" s="12"/>
      <c r="G1665" s="16"/>
      <c r="H1665" s="14"/>
      <c r="I1665" s="14"/>
      <c r="J1665" s="14"/>
      <c r="K1665" s="14"/>
      <c r="L1665" s="14"/>
      <c r="M1665" s="14"/>
      <c r="N1665" s="14"/>
      <c r="O1665" s="4"/>
      <c r="P1665" s="14"/>
      <c r="Q1665" s="14"/>
    </row>
    <row r="1666" spans="1:17" x14ac:dyDescent="0.25">
      <c r="A1666" s="5"/>
      <c r="B1666" s="6"/>
      <c r="C1666" s="4"/>
      <c r="D1666" s="4"/>
      <c r="E1666" s="12"/>
      <c r="F1666" s="12"/>
      <c r="G1666" s="16"/>
      <c r="H1666" s="14"/>
      <c r="I1666" s="14"/>
      <c r="J1666" s="14"/>
      <c r="K1666" s="14"/>
      <c r="L1666" s="14"/>
      <c r="M1666" s="14"/>
      <c r="N1666" s="14"/>
      <c r="O1666" s="4"/>
      <c r="P1666" s="14"/>
      <c r="Q1666" s="14"/>
    </row>
    <row r="1667" spans="1:17" x14ac:dyDescent="0.25">
      <c r="A1667" s="5"/>
      <c r="B1667" s="6"/>
      <c r="C1667" s="4"/>
      <c r="D1667" s="4"/>
      <c r="E1667" s="12"/>
      <c r="F1667" s="12"/>
      <c r="G1667" s="16"/>
      <c r="H1667" s="14"/>
      <c r="I1667" s="14"/>
      <c r="J1667" s="14"/>
      <c r="K1667" s="14"/>
      <c r="L1667" s="14"/>
      <c r="M1667" s="14"/>
      <c r="N1667" s="14"/>
      <c r="O1667" s="4"/>
      <c r="P1667" s="14"/>
      <c r="Q1667" s="14"/>
    </row>
    <row r="1668" spans="1:17" x14ac:dyDescent="0.25">
      <c r="A1668" s="5"/>
      <c r="B1668" s="6"/>
      <c r="C1668" s="4"/>
      <c r="D1668" s="4"/>
      <c r="E1668" s="12"/>
      <c r="F1668" s="12"/>
      <c r="G1668" s="16"/>
      <c r="H1668" s="14"/>
      <c r="I1668" s="14"/>
      <c r="J1668" s="14"/>
      <c r="K1668" s="14"/>
      <c r="L1668" s="14"/>
      <c r="M1668" s="14"/>
      <c r="N1668" s="14"/>
      <c r="O1668" s="4"/>
      <c r="P1668" s="14"/>
      <c r="Q1668" s="14"/>
    </row>
    <row r="1669" spans="1:17" x14ac:dyDescent="0.25">
      <c r="A1669" s="5"/>
      <c r="B1669" s="6"/>
      <c r="C1669" s="4"/>
      <c r="D1669" s="4"/>
      <c r="E1669" s="12"/>
      <c r="F1669" s="12"/>
      <c r="G1669" s="16"/>
      <c r="H1669" s="14"/>
      <c r="I1669" s="14"/>
      <c r="J1669" s="14"/>
      <c r="K1669" s="14"/>
      <c r="L1669" s="14"/>
      <c r="M1669" s="14"/>
      <c r="N1669" s="14"/>
      <c r="O1669" s="4"/>
      <c r="P1669" s="14"/>
      <c r="Q1669" s="14"/>
    </row>
    <row r="1670" spans="1:17" x14ac:dyDescent="0.25">
      <c r="A1670" s="5"/>
      <c r="B1670" s="6"/>
      <c r="C1670" s="4"/>
      <c r="D1670" s="4"/>
      <c r="E1670" s="12"/>
      <c r="F1670" s="12"/>
      <c r="G1670" s="16"/>
      <c r="H1670" s="14"/>
      <c r="I1670" s="14"/>
      <c r="J1670" s="14"/>
      <c r="K1670" s="14"/>
      <c r="L1670" s="14"/>
      <c r="M1670" s="14"/>
      <c r="N1670" s="14"/>
      <c r="O1670" s="4"/>
      <c r="P1670" s="14"/>
      <c r="Q1670" s="14"/>
    </row>
    <row r="1671" spans="1:17" x14ac:dyDescent="0.25">
      <c r="A1671" s="5"/>
      <c r="B1671" s="6"/>
      <c r="C1671" s="4"/>
      <c r="D1671" s="4"/>
      <c r="E1671" s="12"/>
      <c r="F1671" s="12"/>
      <c r="G1671" s="16"/>
      <c r="H1671" s="14"/>
      <c r="I1671" s="14"/>
      <c r="J1671" s="14"/>
      <c r="K1671" s="14"/>
      <c r="L1671" s="14"/>
      <c r="M1671" s="14"/>
      <c r="N1671" s="14"/>
      <c r="O1671" s="4"/>
      <c r="P1671" s="14"/>
      <c r="Q1671" s="14"/>
    </row>
    <row r="1672" spans="1:17" x14ac:dyDescent="0.25">
      <c r="A1672" s="5"/>
      <c r="B1672" s="6"/>
      <c r="C1672" s="4"/>
      <c r="D1672" s="4"/>
      <c r="E1672" s="12"/>
      <c r="F1672" s="12"/>
      <c r="G1672" s="16"/>
      <c r="H1672" s="14"/>
      <c r="I1672" s="14"/>
      <c r="J1672" s="14"/>
      <c r="K1672" s="14"/>
      <c r="L1672" s="14"/>
      <c r="M1672" s="14"/>
      <c r="N1672" s="14"/>
      <c r="O1672" s="4"/>
      <c r="P1672" s="14"/>
      <c r="Q1672" s="14"/>
    </row>
    <row r="1673" spans="1:17" x14ac:dyDescent="0.25">
      <c r="A1673" s="5"/>
      <c r="B1673" s="6"/>
      <c r="C1673" s="4"/>
      <c r="D1673" s="4"/>
      <c r="E1673" s="12"/>
      <c r="F1673" s="12"/>
      <c r="G1673" s="16"/>
      <c r="H1673" s="14"/>
      <c r="I1673" s="14"/>
      <c r="J1673" s="14"/>
      <c r="K1673" s="14"/>
      <c r="L1673" s="14"/>
      <c r="M1673" s="14"/>
      <c r="N1673" s="14"/>
      <c r="O1673" s="4"/>
      <c r="P1673" s="14"/>
      <c r="Q1673" s="14"/>
    </row>
    <row r="1674" spans="1:17" x14ac:dyDescent="0.25">
      <c r="A1674" s="5"/>
      <c r="B1674" s="6"/>
      <c r="C1674" s="4"/>
      <c r="D1674" s="4"/>
      <c r="E1674" s="12"/>
      <c r="F1674" s="12"/>
      <c r="G1674" s="16"/>
      <c r="H1674" s="14"/>
      <c r="I1674" s="14"/>
      <c r="J1674" s="14"/>
      <c r="K1674" s="14"/>
      <c r="L1674" s="14"/>
      <c r="M1674" s="14"/>
      <c r="N1674" s="14"/>
      <c r="O1674" s="4"/>
      <c r="P1674" s="14"/>
      <c r="Q1674" s="14"/>
    </row>
    <row r="1675" spans="1:17" x14ac:dyDescent="0.25">
      <c r="A1675" s="5"/>
      <c r="B1675" s="6"/>
      <c r="C1675" s="4"/>
      <c r="D1675" s="4"/>
      <c r="E1675" s="12"/>
      <c r="F1675" s="12"/>
      <c r="G1675" s="16"/>
      <c r="H1675" s="14"/>
      <c r="I1675" s="14"/>
      <c r="J1675" s="14"/>
      <c r="K1675" s="14"/>
      <c r="L1675" s="14"/>
      <c r="M1675" s="14"/>
      <c r="N1675" s="14"/>
      <c r="O1675" s="4"/>
      <c r="P1675" s="14"/>
      <c r="Q1675" s="14"/>
    </row>
    <row r="1676" spans="1:17" x14ac:dyDescent="0.25">
      <c r="A1676" s="5"/>
      <c r="B1676" s="6"/>
      <c r="C1676" s="4"/>
      <c r="D1676" s="4"/>
      <c r="E1676" s="12"/>
      <c r="F1676" s="12"/>
      <c r="G1676" s="16"/>
      <c r="H1676" s="14"/>
      <c r="I1676" s="14"/>
      <c r="J1676" s="14"/>
      <c r="K1676" s="14"/>
      <c r="L1676" s="14"/>
      <c r="M1676" s="14"/>
      <c r="N1676" s="14"/>
      <c r="O1676" s="4"/>
      <c r="P1676" s="14"/>
      <c r="Q1676" s="14"/>
    </row>
    <row r="1677" spans="1:17" x14ac:dyDescent="0.25">
      <c r="A1677" s="5"/>
      <c r="B1677" s="6"/>
      <c r="C1677" s="4"/>
      <c r="D1677" s="4"/>
      <c r="E1677" s="12"/>
      <c r="F1677" s="12"/>
      <c r="G1677" s="16"/>
      <c r="H1677" s="14"/>
      <c r="I1677" s="14"/>
      <c r="J1677" s="14"/>
      <c r="K1677" s="14"/>
      <c r="L1677" s="14"/>
      <c r="M1677" s="14"/>
      <c r="N1677" s="14"/>
      <c r="O1677" s="4"/>
      <c r="P1677" s="14"/>
      <c r="Q1677" s="14"/>
    </row>
    <row r="1678" spans="1:17" x14ac:dyDescent="0.25">
      <c r="A1678" s="5"/>
      <c r="B1678" s="6"/>
      <c r="C1678" s="4"/>
      <c r="D1678" s="4"/>
      <c r="E1678" s="12"/>
      <c r="F1678" s="12"/>
      <c r="G1678" s="16"/>
      <c r="H1678" s="14"/>
      <c r="I1678" s="14"/>
      <c r="J1678" s="14"/>
      <c r="K1678" s="14"/>
      <c r="L1678" s="14"/>
      <c r="M1678" s="14"/>
      <c r="N1678" s="14"/>
      <c r="O1678" s="4"/>
      <c r="P1678" s="14"/>
      <c r="Q1678" s="14"/>
    </row>
    <row r="1679" spans="1:17" x14ac:dyDescent="0.25">
      <c r="A1679" s="5"/>
      <c r="B1679" s="6"/>
      <c r="C1679" s="4"/>
      <c r="D1679" s="4"/>
      <c r="E1679" s="12"/>
      <c r="F1679" s="12"/>
      <c r="G1679" s="16"/>
      <c r="H1679" s="14"/>
      <c r="I1679" s="14"/>
      <c r="J1679" s="14"/>
      <c r="K1679" s="14"/>
      <c r="L1679" s="14"/>
      <c r="M1679" s="14"/>
      <c r="N1679" s="14"/>
      <c r="O1679" s="4"/>
      <c r="P1679" s="14"/>
      <c r="Q1679" s="14"/>
    </row>
    <row r="1680" spans="1:17" x14ac:dyDescent="0.25">
      <c r="A1680" s="5"/>
      <c r="B1680" s="6"/>
      <c r="C1680" s="4"/>
      <c r="D1680" s="4"/>
      <c r="E1680" s="12"/>
      <c r="F1680" s="12"/>
      <c r="G1680" s="16"/>
      <c r="H1680" s="14"/>
      <c r="I1680" s="14"/>
      <c r="J1680" s="14"/>
      <c r="K1680" s="14"/>
      <c r="L1680" s="14"/>
      <c r="M1680" s="14"/>
      <c r="N1680" s="14"/>
      <c r="O1680" s="4"/>
      <c r="P1680" s="14"/>
      <c r="Q1680" s="14"/>
    </row>
    <row r="1681" spans="1:17" x14ac:dyDescent="0.25">
      <c r="A1681" s="5"/>
      <c r="B1681" s="6"/>
      <c r="C1681" s="4"/>
      <c r="D1681" s="4"/>
      <c r="E1681" s="12"/>
      <c r="F1681" s="12"/>
      <c r="G1681" s="16"/>
      <c r="H1681" s="14"/>
      <c r="I1681" s="14"/>
      <c r="J1681" s="14"/>
      <c r="K1681" s="14"/>
      <c r="L1681" s="14"/>
      <c r="M1681" s="14"/>
      <c r="N1681" s="14"/>
      <c r="O1681" s="4"/>
      <c r="P1681" s="14"/>
      <c r="Q1681" s="14"/>
    </row>
    <row r="1682" spans="1:17" x14ac:dyDescent="0.25">
      <c r="A1682" s="5"/>
      <c r="B1682" s="6"/>
      <c r="C1682" s="4"/>
      <c r="D1682" s="4"/>
      <c r="E1682" s="12"/>
      <c r="F1682" s="12"/>
      <c r="G1682" s="16"/>
      <c r="H1682" s="14"/>
      <c r="I1682" s="14"/>
      <c r="J1682" s="14"/>
      <c r="K1682" s="14"/>
      <c r="L1682" s="14"/>
      <c r="M1682" s="14"/>
      <c r="N1682" s="14"/>
      <c r="O1682" s="4"/>
      <c r="P1682" s="14"/>
      <c r="Q1682" s="14"/>
    </row>
    <row r="1683" spans="1:17" x14ac:dyDescent="0.25">
      <c r="A1683" s="5"/>
      <c r="B1683" s="6"/>
      <c r="C1683" s="4"/>
      <c r="D1683" s="4"/>
      <c r="E1683" s="12"/>
      <c r="F1683" s="12"/>
      <c r="G1683" s="16"/>
      <c r="H1683" s="14"/>
      <c r="I1683" s="14"/>
      <c r="J1683" s="14"/>
      <c r="K1683" s="14"/>
      <c r="L1683" s="14"/>
      <c r="M1683" s="14"/>
      <c r="N1683" s="14"/>
      <c r="O1683" s="4"/>
      <c r="P1683" s="14"/>
      <c r="Q1683" s="14"/>
    </row>
    <row r="1684" spans="1:17" x14ac:dyDescent="0.25">
      <c r="A1684" s="5"/>
      <c r="B1684" s="6"/>
      <c r="C1684" s="4"/>
      <c r="D1684" s="4"/>
      <c r="E1684" s="12"/>
      <c r="F1684" s="12"/>
      <c r="G1684" s="16"/>
      <c r="H1684" s="14"/>
      <c r="I1684" s="14"/>
      <c r="J1684" s="14"/>
      <c r="K1684" s="14"/>
      <c r="L1684" s="14"/>
      <c r="M1684" s="14"/>
      <c r="N1684" s="14"/>
      <c r="O1684" s="4"/>
      <c r="P1684" s="14"/>
      <c r="Q1684" s="14"/>
    </row>
    <row r="1685" spans="1:17" x14ac:dyDescent="0.25">
      <c r="A1685" s="5"/>
      <c r="B1685" s="6"/>
      <c r="C1685" s="4"/>
      <c r="D1685" s="4"/>
      <c r="E1685" s="12"/>
      <c r="F1685" s="12"/>
      <c r="G1685" s="16"/>
      <c r="H1685" s="14"/>
      <c r="I1685" s="14"/>
      <c r="J1685" s="14"/>
      <c r="K1685" s="14"/>
      <c r="L1685" s="14"/>
      <c r="M1685" s="14"/>
      <c r="N1685" s="14"/>
      <c r="O1685" s="4"/>
      <c r="P1685" s="14"/>
      <c r="Q1685" s="14"/>
    </row>
    <row r="1686" spans="1:17" x14ac:dyDescent="0.25">
      <c r="A1686" s="5"/>
      <c r="B1686" s="6"/>
      <c r="C1686" s="4"/>
      <c r="D1686" s="4"/>
      <c r="E1686" s="12"/>
      <c r="F1686" s="12"/>
      <c r="G1686" s="16"/>
      <c r="H1686" s="14"/>
      <c r="I1686" s="14"/>
      <c r="J1686" s="14"/>
      <c r="K1686" s="14"/>
      <c r="L1686" s="14"/>
      <c r="M1686" s="14"/>
      <c r="N1686" s="14"/>
      <c r="O1686" s="4"/>
      <c r="P1686" s="14"/>
      <c r="Q1686" s="14"/>
    </row>
    <row r="1687" spans="1:17" x14ac:dyDescent="0.25">
      <c r="A1687" s="5"/>
      <c r="B1687" s="6"/>
      <c r="C1687" s="4"/>
      <c r="D1687" s="4"/>
      <c r="E1687" s="12"/>
      <c r="F1687" s="12"/>
      <c r="G1687" s="16"/>
      <c r="H1687" s="14"/>
      <c r="I1687" s="14"/>
      <c r="J1687" s="14"/>
      <c r="K1687" s="14"/>
      <c r="L1687" s="14"/>
      <c r="M1687" s="14"/>
      <c r="N1687" s="14"/>
      <c r="O1687" s="4"/>
      <c r="P1687" s="14"/>
      <c r="Q1687" s="14"/>
    </row>
    <row r="1688" spans="1:17" x14ac:dyDescent="0.25">
      <c r="A1688" s="5"/>
      <c r="B1688" s="6"/>
      <c r="C1688" s="4"/>
      <c r="D1688" s="4"/>
      <c r="E1688" s="12"/>
      <c r="F1688" s="12"/>
      <c r="G1688" s="16"/>
      <c r="H1688" s="14"/>
      <c r="I1688" s="14"/>
      <c r="J1688" s="14"/>
      <c r="K1688" s="14"/>
      <c r="L1688" s="14"/>
      <c r="M1688" s="14"/>
      <c r="N1688" s="14"/>
      <c r="O1688" s="4"/>
      <c r="P1688" s="14"/>
      <c r="Q1688" s="14"/>
    </row>
    <row r="1689" spans="1:17" x14ac:dyDescent="0.25">
      <c r="A1689" s="5"/>
      <c r="B1689" s="6"/>
      <c r="C1689" s="4"/>
      <c r="D1689" s="4"/>
      <c r="E1689" s="12"/>
      <c r="F1689" s="12"/>
      <c r="G1689" s="16"/>
      <c r="H1689" s="14"/>
      <c r="I1689" s="14"/>
      <c r="J1689" s="14"/>
      <c r="K1689" s="14"/>
      <c r="L1689" s="14"/>
      <c r="M1689" s="14"/>
      <c r="N1689" s="14"/>
      <c r="O1689" s="4"/>
      <c r="P1689" s="14"/>
      <c r="Q1689" s="14"/>
    </row>
    <row r="1690" spans="1:17" x14ac:dyDescent="0.25">
      <c r="A1690" s="5"/>
      <c r="B1690" s="6"/>
      <c r="C1690" s="4"/>
      <c r="D1690" s="4"/>
      <c r="E1690" s="12"/>
      <c r="F1690" s="12"/>
      <c r="G1690" s="16"/>
      <c r="H1690" s="14"/>
      <c r="I1690" s="14"/>
      <c r="J1690" s="14"/>
      <c r="K1690" s="14"/>
      <c r="L1690" s="14"/>
      <c r="M1690" s="14"/>
      <c r="N1690" s="14"/>
      <c r="O1690" s="4"/>
      <c r="P1690" s="14"/>
      <c r="Q1690" s="14"/>
    </row>
    <row r="1691" spans="1:17" x14ac:dyDescent="0.25">
      <c r="A1691" s="5"/>
      <c r="B1691" s="6"/>
      <c r="C1691" s="4"/>
      <c r="D1691" s="4"/>
      <c r="E1691" s="12"/>
      <c r="F1691" s="12"/>
      <c r="G1691" s="16"/>
      <c r="H1691" s="14"/>
      <c r="I1691" s="14"/>
      <c r="J1691" s="14"/>
      <c r="K1691" s="14"/>
      <c r="L1691" s="14"/>
      <c r="M1691" s="14"/>
      <c r="N1691" s="14"/>
      <c r="O1691" s="4"/>
      <c r="P1691" s="14"/>
      <c r="Q1691" s="14"/>
    </row>
    <row r="1692" spans="1:17" x14ac:dyDescent="0.25">
      <c r="A1692" s="5"/>
      <c r="B1692" s="6"/>
      <c r="C1692" s="4"/>
      <c r="D1692" s="4"/>
      <c r="E1692" s="12"/>
      <c r="F1692" s="12"/>
      <c r="G1692" s="16"/>
      <c r="H1692" s="14"/>
      <c r="I1692" s="14"/>
      <c r="J1692" s="14"/>
      <c r="K1692" s="14"/>
      <c r="L1692" s="14"/>
      <c r="M1692" s="14"/>
      <c r="N1692" s="14"/>
      <c r="O1692" s="4"/>
      <c r="P1692" s="14"/>
      <c r="Q1692" s="14"/>
    </row>
    <row r="1693" spans="1:17" x14ac:dyDescent="0.25">
      <c r="A1693" s="5"/>
      <c r="B1693" s="6"/>
      <c r="C1693" s="4"/>
      <c r="D1693" s="4"/>
      <c r="E1693" s="12"/>
      <c r="F1693" s="12"/>
      <c r="G1693" s="16"/>
      <c r="H1693" s="14"/>
      <c r="I1693" s="14"/>
      <c r="J1693" s="14"/>
      <c r="K1693" s="14"/>
      <c r="L1693" s="14"/>
      <c r="M1693" s="14"/>
      <c r="N1693" s="14"/>
      <c r="O1693" s="4"/>
      <c r="P1693" s="14"/>
      <c r="Q1693" s="14"/>
    </row>
    <row r="1694" spans="1:17" x14ac:dyDescent="0.25">
      <c r="A1694" s="5"/>
      <c r="B1694" s="6"/>
      <c r="C1694" s="4"/>
      <c r="D1694" s="4"/>
      <c r="E1694" s="12"/>
      <c r="F1694" s="12"/>
      <c r="G1694" s="16"/>
      <c r="H1694" s="14"/>
      <c r="I1694" s="14"/>
      <c r="J1694" s="14"/>
      <c r="K1694" s="14"/>
      <c r="L1694" s="14"/>
      <c r="M1694" s="14"/>
      <c r="N1694" s="14"/>
      <c r="O1694" s="4"/>
      <c r="P1694" s="14"/>
      <c r="Q1694" s="14"/>
    </row>
    <row r="1695" spans="1:17" x14ac:dyDescent="0.25">
      <c r="A1695" s="5"/>
      <c r="B1695" s="6"/>
      <c r="C1695" s="4"/>
      <c r="D1695" s="4"/>
      <c r="E1695" s="12"/>
      <c r="F1695" s="12"/>
      <c r="G1695" s="16"/>
      <c r="H1695" s="14"/>
      <c r="I1695" s="14"/>
      <c r="J1695" s="14"/>
      <c r="K1695" s="14"/>
      <c r="L1695" s="14"/>
      <c r="M1695" s="14"/>
      <c r="N1695" s="14"/>
      <c r="O1695" s="4"/>
      <c r="P1695" s="14"/>
      <c r="Q1695" s="14"/>
    </row>
    <row r="1696" spans="1:17" x14ac:dyDescent="0.25">
      <c r="A1696" s="5"/>
      <c r="B1696" s="6"/>
      <c r="C1696" s="4"/>
      <c r="D1696" s="4"/>
      <c r="E1696" s="12"/>
      <c r="F1696" s="12"/>
      <c r="G1696" s="16"/>
      <c r="H1696" s="14"/>
      <c r="I1696" s="14"/>
      <c r="J1696" s="14"/>
      <c r="K1696" s="14"/>
      <c r="L1696" s="14"/>
      <c r="M1696" s="14"/>
      <c r="N1696" s="14"/>
      <c r="O1696" s="4"/>
      <c r="P1696" s="14"/>
      <c r="Q1696" s="14"/>
    </row>
    <row r="1697" spans="1:17" x14ac:dyDescent="0.25">
      <c r="A1697" s="5"/>
      <c r="B1697" s="6"/>
      <c r="C1697" s="4"/>
      <c r="D1697" s="4"/>
      <c r="E1697" s="12"/>
      <c r="F1697" s="12"/>
      <c r="G1697" s="16"/>
      <c r="H1697" s="14"/>
      <c r="I1697" s="14"/>
      <c r="J1697" s="14"/>
      <c r="K1697" s="14"/>
      <c r="L1697" s="14"/>
      <c r="M1697" s="14"/>
      <c r="N1697" s="14"/>
      <c r="O1697" s="4"/>
      <c r="P1697" s="14"/>
      <c r="Q1697" s="14"/>
    </row>
    <row r="1698" spans="1:17" x14ac:dyDescent="0.25">
      <c r="A1698" s="5"/>
      <c r="B1698" s="6"/>
      <c r="C1698" s="4"/>
      <c r="D1698" s="4"/>
      <c r="E1698" s="12"/>
      <c r="F1698" s="12"/>
      <c r="G1698" s="16"/>
      <c r="H1698" s="14"/>
      <c r="I1698" s="14"/>
      <c r="J1698" s="14"/>
      <c r="K1698" s="14"/>
      <c r="L1698" s="14"/>
      <c r="M1698" s="14"/>
      <c r="N1698" s="14"/>
      <c r="O1698" s="4"/>
      <c r="P1698" s="14"/>
      <c r="Q1698" s="14"/>
    </row>
    <row r="1699" spans="1:17" x14ac:dyDescent="0.25">
      <c r="A1699" s="5"/>
      <c r="B1699" s="6"/>
      <c r="C1699" s="4"/>
      <c r="D1699" s="4"/>
      <c r="E1699" s="12"/>
      <c r="F1699" s="12"/>
      <c r="G1699" s="16"/>
      <c r="H1699" s="14"/>
      <c r="I1699" s="14"/>
      <c r="J1699" s="14"/>
      <c r="K1699" s="14"/>
      <c r="L1699" s="14"/>
      <c r="M1699" s="14"/>
      <c r="N1699" s="14"/>
      <c r="O1699" s="4"/>
      <c r="P1699" s="14"/>
      <c r="Q1699" s="14"/>
    </row>
    <row r="1700" spans="1:17" x14ac:dyDescent="0.25">
      <c r="A1700" s="5"/>
      <c r="B1700" s="6"/>
      <c r="C1700" s="4"/>
      <c r="D1700" s="4"/>
      <c r="E1700" s="12"/>
      <c r="F1700" s="12"/>
      <c r="G1700" s="16"/>
      <c r="H1700" s="14"/>
      <c r="I1700" s="14"/>
      <c r="J1700" s="14"/>
      <c r="K1700" s="14"/>
      <c r="L1700" s="14"/>
      <c r="M1700" s="14"/>
      <c r="N1700" s="14"/>
      <c r="O1700" s="4"/>
      <c r="P1700" s="14"/>
      <c r="Q1700" s="14"/>
    </row>
    <row r="1701" spans="1:17" x14ac:dyDescent="0.25">
      <c r="A1701" s="5"/>
      <c r="B1701" s="6"/>
      <c r="C1701" s="4"/>
      <c r="D1701" s="4"/>
      <c r="E1701" s="12"/>
      <c r="F1701" s="12"/>
      <c r="G1701" s="16"/>
      <c r="H1701" s="14"/>
      <c r="I1701" s="14"/>
      <c r="J1701" s="14"/>
      <c r="K1701" s="14"/>
      <c r="L1701" s="14"/>
      <c r="M1701" s="14"/>
      <c r="N1701" s="14"/>
      <c r="O1701" s="4"/>
      <c r="P1701" s="14"/>
      <c r="Q1701" s="14"/>
    </row>
    <row r="1702" spans="1:17" x14ac:dyDescent="0.25">
      <c r="A1702" s="5"/>
      <c r="B1702" s="6"/>
      <c r="C1702" s="4"/>
      <c r="D1702" s="4"/>
      <c r="E1702" s="12"/>
      <c r="F1702" s="12"/>
      <c r="G1702" s="16"/>
      <c r="H1702" s="14"/>
      <c r="I1702" s="14"/>
      <c r="J1702" s="14"/>
      <c r="K1702" s="14"/>
      <c r="L1702" s="14"/>
      <c r="M1702" s="14"/>
      <c r="N1702" s="14"/>
      <c r="O1702" s="4"/>
      <c r="P1702" s="14"/>
      <c r="Q1702" s="14"/>
    </row>
    <row r="1703" spans="1:17" x14ac:dyDescent="0.25">
      <c r="A1703" s="5"/>
      <c r="B1703" s="6"/>
      <c r="C1703" s="4"/>
      <c r="D1703" s="4"/>
      <c r="E1703" s="12"/>
      <c r="F1703" s="12"/>
      <c r="G1703" s="16"/>
      <c r="H1703" s="14"/>
      <c r="I1703" s="14"/>
      <c r="J1703" s="14"/>
      <c r="K1703" s="14"/>
      <c r="L1703" s="14"/>
      <c r="M1703" s="14"/>
      <c r="N1703" s="14"/>
      <c r="O1703" s="4"/>
      <c r="P1703" s="14"/>
      <c r="Q1703" s="14"/>
    </row>
    <row r="1704" spans="1:17" x14ac:dyDescent="0.25">
      <c r="A1704" s="5"/>
      <c r="B1704" s="6"/>
      <c r="C1704" s="4"/>
      <c r="D1704" s="4"/>
      <c r="E1704" s="12"/>
      <c r="F1704" s="12"/>
      <c r="G1704" s="16"/>
      <c r="H1704" s="14"/>
      <c r="I1704" s="14"/>
      <c r="J1704" s="14"/>
      <c r="K1704" s="14"/>
      <c r="L1704" s="14"/>
      <c r="M1704" s="14"/>
      <c r="N1704" s="14"/>
      <c r="O1704" s="4"/>
      <c r="P1704" s="14"/>
      <c r="Q1704" s="14"/>
    </row>
    <row r="1705" spans="1:17" x14ac:dyDescent="0.25">
      <c r="A1705" s="5"/>
      <c r="B1705" s="6"/>
      <c r="C1705" s="4"/>
      <c r="D1705" s="4"/>
      <c r="E1705" s="12"/>
      <c r="F1705" s="12"/>
      <c r="G1705" s="16"/>
      <c r="H1705" s="14"/>
      <c r="I1705" s="14"/>
      <c r="J1705" s="14"/>
      <c r="K1705" s="14"/>
      <c r="L1705" s="14"/>
      <c r="M1705" s="14"/>
      <c r="N1705" s="14"/>
      <c r="O1705" s="4"/>
      <c r="P1705" s="14"/>
      <c r="Q1705" s="14"/>
    </row>
    <row r="1706" spans="1:17" x14ac:dyDescent="0.25">
      <c r="A1706" s="5"/>
      <c r="B1706" s="6"/>
      <c r="C1706" s="4"/>
      <c r="D1706" s="4"/>
      <c r="E1706" s="12"/>
      <c r="F1706" s="12"/>
      <c r="G1706" s="16"/>
      <c r="H1706" s="14"/>
      <c r="I1706" s="14"/>
      <c r="J1706" s="14"/>
      <c r="K1706" s="14"/>
      <c r="L1706" s="14"/>
      <c r="M1706" s="14"/>
      <c r="N1706" s="14"/>
      <c r="O1706" s="4"/>
      <c r="P1706" s="14"/>
      <c r="Q1706" s="14"/>
    </row>
    <row r="1707" spans="1:17" x14ac:dyDescent="0.25">
      <c r="A1707" s="5"/>
      <c r="B1707" s="6"/>
      <c r="C1707" s="4"/>
      <c r="D1707" s="4"/>
      <c r="E1707" s="12"/>
      <c r="F1707" s="12"/>
      <c r="G1707" s="16"/>
      <c r="H1707" s="14"/>
      <c r="I1707" s="14"/>
      <c r="J1707" s="14"/>
      <c r="K1707" s="14"/>
      <c r="L1707" s="14"/>
      <c r="M1707" s="14"/>
      <c r="N1707" s="14"/>
      <c r="O1707" s="4"/>
      <c r="P1707" s="14"/>
      <c r="Q1707" s="14"/>
    </row>
    <row r="1708" spans="1:17" x14ac:dyDescent="0.25">
      <c r="A1708" s="5"/>
      <c r="B1708" s="6"/>
      <c r="C1708" s="4"/>
      <c r="D1708" s="4"/>
      <c r="E1708" s="12"/>
      <c r="F1708" s="12"/>
      <c r="G1708" s="16"/>
      <c r="H1708" s="14"/>
      <c r="I1708" s="14"/>
      <c r="J1708" s="14"/>
      <c r="K1708" s="14"/>
      <c r="L1708" s="14"/>
      <c r="M1708" s="14"/>
      <c r="N1708" s="14"/>
      <c r="O1708" s="4"/>
      <c r="P1708" s="14"/>
      <c r="Q1708" s="14"/>
    </row>
    <row r="1709" spans="1:17" x14ac:dyDescent="0.25">
      <c r="A1709" s="5"/>
      <c r="B1709" s="6"/>
      <c r="C1709" s="4"/>
      <c r="D1709" s="4"/>
      <c r="E1709" s="12"/>
      <c r="F1709" s="12"/>
      <c r="G1709" s="16"/>
      <c r="H1709" s="14"/>
      <c r="I1709" s="14"/>
      <c r="J1709" s="14"/>
      <c r="K1709" s="14"/>
      <c r="L1709" s="14"/>
      <c r="M1709" s="14"/>
      <c r="N1709" s="14"/>
      <c r="O1709" s="4"/>
      <c r="P1709" s="14"/>
      <c r="Q1709" s="14"/>
    </row>
    <row r="1710" spans="1:17" x14ac:dyDescent="0.25">
      <c r="A1710" s="5"/>
      <c r="B1710" s="6"/>
      <c r="C1710" s="4"/>
      <c r="D1710" s="4"/>
      <c r="E1710" s="12"/>
      <c r="F1710" s="12"/>
      <c r="G1710" s="16"/>
      <c r="H1710" s="14"/>
      <c r="I1710" s="14"/>
      <c r="J1710" s="14"/>
      <c r="K1710" s="14"/>
      <c r="L1710" s="14"/>
      <c r="M1710" s="14"/>
      <c r="N1710" s="14"/>
      <c r="O1710" s="4"/>
      <c r="P1710" s="14"/>
      <c r="Q1710" s="14"/>
    </row>
    <row r="1711" spans="1:17" x14ac:dyDescent="0.25">
      <c r="A1711" s="5"/>
      <c r="B1711" s="6"/>
      <c r="C1711" s="4"/>
      <c r="D1711" s="4"/>
      <c r="E1711" s="12"/>
      <c r="F1711" s="12"/>
      <c r="G1711" s="16"/>
      <c r="H1711" s="14"/>
      <c r="I1711" s="14"/>
      <c r="J1711" s="14"/>
      <c r="K1711" s="14"/>
      <c r="L1711" s="14"/>
      <c r="M1711" s="14"/>
      <c r="N1711" s="14"/>
      <c r="O1711" s="4"/>
      <c r="P1711" s="14"/>
      <c r="Q1711" s="14"/>
    </row>
    <row r="1712" spans="1:17" x14ac:dyDescent="0.25">
      <c r="A1712" s="5"/>
      <c r="B1712" s="6"/>
      <c r="C1712" s="4"/>
      <c r="D1712" s="4"/>
      <c r="E1712" s="12"/>
      <c r="F1712" s="12"/>
      <c r="G1712" s="16"/>
      <c r="H1712" s="14"/>
      <c r="I1712" s="14"/>
      <c r="J1712" s="14"/>
      <c r="K1712" s="14"/>
      <c r="L1712" s="14"/>
      <c r="M1712" s="14"/>
      <c r="N1712" s="14"/>
      <c r="O1712" s="4"/>
      <c r="P1712" s="14"/>
      <c r="Q1712" s="14"/>
    </row>
    <row r="1713" spans="1:17" x14ac:dyDescent="0.25">
      <c r="A1713" s="5"/>
      <c r="B1713" s="6"/>
      <c r="C1713" s="4"/>
      <c r="D1713" s="4"/>
      <c r="E1713" s="12"/>
      <c r="F1713" s="12"/>
      <c r="G1713" s="16"/>
      <c r="H1713" s="14"/>
      <c r="I1713" s="14"/>
      <c r="J1713" s="14"/>
      <c r="K1713" s="14"/>
      <c r="L1713" s="14"/>
      <c r="M1713" s="14"/>
      <c r="N1713" s="14"/>
      <c r="O1713" s="4"/>
      <c r="P1713" s="14"/>
      <c r="Q1713" s="14"/>
    </row>
    <row r="1714" spans="1:17" x14ac:dyDescent="0.25">
      <c r="A1714" s="5"/>
      <c r="B1714" s="6"/>
      <c r="C1714" s="4"/>
      <c r="D1714" s="4"/>
      <c r="E1714" s="12"/>
      <c r="F1714" s="12"/>
      <c r="G1714" s="16"/>
      <c r="H1714" s="14"/>
      <c r="I1714" s="14"/>
      <c r="J1714" s="14"/>
      <c r="K1714" s="14"/>
      <c r="L1714" s="14"/>
      <c r="M1714" s="14"/>
      <c r="N1714" s="14"/>
      <c r="O1714" s="4"/>
      <c r="P1714" s="14"/>
      <c r="Q1714" s="14"/>
    </row>
    <row r="1715" spans="1:17" x14ac:dyDescent="0.25">
      <c r="A1715" s="5"/>
      <c r="B1715" s="6"/>
      <c r="C1715" s="4"/>
      <c r="D1715" s="4"/>
      <c r="E1715" s="12"/>
      <c r="F1715" s="12"/>
      <c r="G1715" s="16"/>
      <c r="H1715" s="14"/>
      <c r="I1715" s="14"/>
      <c r="J1715" s="14"/>
      <c r="K1715" s="14"/>
      <c r="L1715" s="14"/>
      <c r="M1715" s="14"/>
      <c r="N1715" s="14"/>
      <c r="O1715" s="4"/>
      <c r="P1715" s="14"/>
      <c r="Q1715" s="14"/>
    </row>
    <row r="1716" spans="1:17" x14ac:dyDescent="0.25">
      <c r="A1716" s="5"/>
      <c r="B1716" s="6"/>
      <c r="C1716" s="4"/>
      <c r="D1716" s="4"/>
      <c r="E1716" s="12"/>
      <c r="F1716" s="12"/>
      <c r="G1716" s="16"/>
      <c r="H1716" s="14"/>
      <c r="I1716" s="14"/>
      <c r="J1716" s="14"/>
      <c r="K1716" s="14"/>
      <c r="L1716" s="14"/>
      <c r="M1716" s="14"/>
      <c r="N1716" s="14"/>
      <c r="O1716" s="4"/>
      <c r="P1716" s="14"/>
      <c r="Q1716" s="14"/>
    </row>
    <row r="1717" spans="1:17" x14ac:dyDescent="0.25">
      <c r="A1717" s="5"/>
      <c r="B1717" s="6"/>
      <c r="C1717" s="4"/>
      <c r="D1717" s="4"/>
      <c r="E1717" s="12"/>
      <c r="F1717" s="12"/>
      <c r="G1717" s="16"/>
      <c r="H1717" s="14"/>
      <c r="I1717" s="14"/>
      <c r="J1717" s="14"/>
      <c r="K1717" s="14"/>
      <c r="L1717" s="14"/>
      <c r="M1717" s="14"/>
      <c r="N1717" s="14"/>
      <c r="O1717" s="4"/>
      <c r="P1717" s="14"/>
      <c r="Q1717" s="14"/>
    </row>
    <row r="1718" spans="1:17" x14ac:dyDescent="0.25">
      <c r="A1718" s="5"/>
      <c r="B1718" s="6"/>
      <c r="C1718" s="4"/>
      <c r="D1718" s="4"/>
      <c r="E1718" s="12"/>
      <c r="F1718" s="12"/>
      <c r="G1718" s="16"/>
      <c r="H1718" s="14"/>
      <c r="I1718" s="14"/>
      <c r="J1718" s="14"/>
      <c r="K1718" s="14"/>
      <c r="L1718" s="14"/>
      <c r="M1718" s="14"/>
      <c r="N1718" s="14"/>
      <c r="O1718" s="4"/>
      <c r="P1718" s="14"/>
      <c r="Q1718" s="14"/>
    </row>
    <row r="1719" spans="1:17" x14ac:dyDescent="0.25">
      <c r="A1719" s="5"/>
      <c r="B1719" s="6"/>
      <c r="C1719" s="4"/>
      <c r="D1719" s="4"/>
      <c r="E1719" s="12"/>
      <c r="F1719" s="12"/>
      <c r="G1719" s="16"/>
      <c r="H1719" s="14"/>
      <c r="I1719" s="14"/>
      <c r="J1719" s="14"/>
      <c r="K1719" s="14"/>
      <c r="L1719" s="14"/>
      <c r="M1719" s="14"/>
      <c r="N1719" s="14"/>
      <c r="O1719" s="4"/>
      <c r="P1719" s="14"/>
      <c r="Q1719" s="14"/>
    </row>
    <row r="1720" spans="1:17" x14ac:dyDescent="0.25">
      <c r="A1720" s="5"/>
      <c r="B1720" s="6"/>
      <c r="C1720" s="4"/>
      <c r="D1720" s="4"/>
      <c r="E1720" s="12"/>
      <c r="F1720" s="12"/>
      <c r="G1720" s="16"/>
      <c r="H1720" s="14"/>
      <c r="I1720" s="14"/>
      <c r="J1720" s="14"/>
      <c r="K1720" s="14"/>
      <c r="L1720" s="14"/>
      <c r="M1720" s="14"/>
      <c r="N1720" s="14"/>
      <c r="O1720" s="4"/>
      <c r="P1720" s="14"/>
      <c r="Q1720" s="14"/>
    </row>
    <row r="1721" spans="1:17" x14ac:dyDescent="0.25">
      <c r="A1721" s="5"/>
      <c r="B1721" s="6"/>
      <c r="C1721" s="4"/>
      <c r="D1721" s="4"/>
      <c r="E1721" s="12"/>
      <c r="F1721" s="12"/>
      <c r="G1721" s="16"/>
      <c r="H1721" s="14"/>
      <c r="I1721" s="14"/>
      <c r="J1721" s="14"/>
      <c r="K1721" s="14"/>
      <c r="L1721" s="14"/>
      <c r="M1721" s="14"/>
      <c r="N1721" s="14"/>
      <c r="O1721" s="4"/>
      <c r="P1721" s="14"/>
      <c r="Q1721" s="14"/>
    </row>
    <row r="1722" spans="1:17" x14ac:dyDescent="0.25">
      <c r="A1722" s="5"/>
      <c r="B1722" s="6"/>
      <c r="C1722" s="4"/>
      <c r="D1722" s="4"/>
      <c r="E1722" s="12"/>
      <c r="F1722" s="12"/>
      <c r="G1722" s="16"/>
      <c r="H1722" s="14"/>
      <c r="I1722" s="14"/>
      <c r="J1722" s="14"/>
      <c r="K1722" s="14"/>
      <c r="L1722" s="14"/>
      <c r="M1722" s="14"/>
      <c r="N1722" s="14"/>
      <c r="O1722" s="4"/>
      <c r="P1722" s="14"/>
      <c r="Q1722" s="14"/>
    </row>
    <row r="1723" spans="1:17" x14ac:dyDescent="0.25">
      <c r="A1723" s="5"/>
      <c r="B1723" s="6"/>
      <c r="C1723" s="4"/>
      <c r="D1723" s="4"/>
      <c r="E1723" s="12"/>
      <c r="F1723" s="12"/>
      <c r="G1723" s="16"/>
      <c r="H1723" s="14"/>
      <c r="I1723" s="14"/>
      <c r="J1723" s="14"/>
      <c r="K1723" s="14"/>
      <c r="L1723" s="14"/>
      <c r="M1723" s="14"/>
      <c r="N1723" s="14"/>
      <c r="O1723" s="4"/>
      <c r="P1723" s="14"/>
      <c r="Q1723" s="14"/>
    </row>
    <row r="1724" spans="1:17" x14ac:dyDescent="0.25">
      <c r="A1724" s="5"/>
      <c r="B1724" s="6"/>
      <c r="C1724" s="4"/>
      <c r="D1724" s="4"/>
      <c r="E1724" s="12"/>
      <c r="F1724" s="12"/>
      <c r="G1724" s="16"/>
      <c r="H1724" s="14"/>
      <c r="I1724" s="14"/>
      <c r="J1724" s="14"/>
      <c r="K1724" s="14"/>
      <c r="L1724" s="14"/>
      <c r="M1724" s="14"/>
      <c r="N1724" s="14"/>
      <c r="O1724" s="4"/>
      <c r="P1724" s="14"/>
      <c r="Q1724" s="14"/>
    </row>
    <row r="1725" spans="1:17" x14ac:dyDescent="0.25">
      <c r="A1725" s="5"/>
      <c r="B1725" s="6"/>
      <c r="C1725" s="4"/>
      <c r="D1725" s="4"/>
      <c r="E1725" s="12"/>
      <c r="F1725" s="12"/>
      <c r="G1725" s="16"/>
      <c r="H1725" s="14"/>
      <c r="I1725" s="14"/>
      <c r="J1725" s="14"/>
      <c r="K1725" s="14"/>
      <c r="L1725" s="14"/>
      <c r="M1725" s="14"/>
      <c r="N1725" s="14"/>
      <c r="O1725" s="4"/>
      <c r="P1725" s="14"/>
      <c r="Q1725" s="14"/>
    </row>
    <row r="1726" spans="1:17" x14ac:dyDescent="0.25">
      <c r="A1726" s="5"/>
      <c r="B1726" s="6"/>
      <c r="C1726" s="4"/>
      <c r="D1726" s="4"/>
      <c r="E1726" s="12"/>
      <c r="F1726" s="12"/>
      <c r="G1726" s="16"/>
      <c r="H1726" s="14"/>
      <c r="I1726" s="14"/>
      <c r="J1726" s="14"/>
      <c r="K1726" s="14"/>
      <c r="L1726" s="14"/>
      <c r="M1726" s="14"/>
      <c r="N1726" s="14"/>
      <c r="O1726" s="4"/>
      <c r="P1726" s="14"/>
      <c r="Q1726" s="14"/>
    </row>
    <row r="1727" spans="1:17" x14ac:dyDescent="0.25">
      <c r="A1727" s="5"/>
      <c r="B1727" s="6"/>
      <c r="C1727" s="4"/>
      <c r="D1727" s="4"/>
      <c r="E1727" s="12"/>
      <c r="F1727" s="12"/>
      <c r="G1727" s="16"/>
      <c r="H1727" s="14"/>
      <c r="I1727" s="14"/>
      <c r="J1727" s="14"/>
      <c r="K1727" s="14"/>
      <c r="L1727" s="14"/>
      <c r="M1727" s="14"/>
      <c r="N1727" s="14"/>
      <c r="O1727" s="4"/>
      <c r="P1727" s="14"/>
      <c r="Q1727" s="14"/>
    </row>
    <row r="1728" spans="1:17" x14ac:dyDescent="0.25">
      <c r="A1728" s="5"/>
      <c r="B1728" s="6"/>
      <c r="C1728" s="4"/>
      <c r="D1728" s="4"/>
      <c r="E1728" s="12"/>
      <c r="F1728" s="12"/>
      <c r="G1728" s="16"/>
      <c r="H1728" s="14"/>
      <c r="I1728" s="14"/>
      <c r="J1728" s="14"/>
      <c r="K1728" s="14"/>
      <c r="L1728" s="14"/>
      <c r="M1728" s="14"/>
      <c r="N1728" s="14"/>
      <c r="O1728" s="4"/>
      <c r="P1728" s="14"/>
      <c r="Q1728" s="14"/>
    </row>
    <row r="1729" spans="1:17" x14ac:dyDescent="0.25">
      <c r="A1729" s="5"/>
      <c r="B1729" s="6"/>
      <c r="C1729" s="4"/>
      <c r="D1729" s="4"/>
      <c r="E1729" s="12"/>
      <c r="F1729" s="12"/>
      <c r="G1729" s="16"/>
      <c r="H1729" s="14"/>
      <c r="I1729" s="14"/>
      <c r="J1729" s="14"/>
      <c r="K1729" s="14"/>
      <c r="L1729" s="14"/>
      <c r="M1729" s="14"/>
      <c r="N1729" s="14"/>
      <c r="O1729" s="4"/>
      <c r="P1729" s="14"/>
      <c r="Q1729" s="14"/>
    </row>
    <row r="1730" spans="1:17" x14ac:dyDescent="0.25">
      <c r="A1730" s="5"/>
      <c r="B1730" s="6"/>
      <c r="C1730" s="4"/>
      <c r="D1730" s="4"/>
      <c r="E1730" s="12"/>
      <c r="F1730" s="12"/>
      <c r="G1730" s="16"/>
      <c r="H1730" s="14"/>
      <c r="I1730" s="14"/>
      <c r="J1730" s="14"/>
      <c r="K1730" s="14"/>
      <c r="L1730" s="14"/>
      <c r="M1730" s="14"/>
      <c r="N1730" s="14"/>
      <c r="O1730" s="4"/>
      <c r="P1730" s="14"/>
      <c r="Q1730" s="14"/>
    </row>
    <row r="1731" spans="1:17" x14ac:dyDescent="0.25">
      <c r="A1731" s="5"/>
      <c r="B1731" s="6"/>
      <c r="C1731" s="4"/>
      <c r="D1731" s="4"/>
      <c r="E1731" s="12"/>
      <c r="F1731" s="12"/>
      <c r="G1731" s="16"/>
      <c r="H1731" s="14"/>
      <c r="I1731" s="14"/>
      <c r="J1731" s="14"/>
      <c r="K1731" s="14"/>
      <c r="L1731" s="14"/>
      <c r="M1731" s="14"/>
      <c r="N1731" s="14"/>
      <c r="O1731" s="4"/>
      <c r="P1731" s="14"/>
      <c r="Q1731" s="14"/>
    </row>
    <row r="1732" spans="1:17" x14ac:dyDescent="0.25">
      <c r="A1732" s="5"/>
      <c r="B1732" s="6"/>
      <c r="C1732" s="4"/>
      <c r="D1732" s="4"/>
      <c r="E1732" s="12"/>
      <c r="F1732" s="12"/>
      <c r="G1732" s="16"/>
      <c r="H1732" s="14"/>
      <c r="I1732" s="14"/>
      <c r="J1732" s="14"/>
      <c r="K1732" s="14"/>
      <c r="L1732" s="14"/>
      <c r="M1732" s="14"/>
      <c r="N1732" s="14"/>
      <c r="O1732" s="4"/>
      <c r="P1732" s="14"/>
      <c r="Q1732" s="14"/>
    </row>
    <row r="1733" spans="1:17" x14ac:dyDescent="0.25">
      <c r="A1733" s="5"/>
      <c r="B1733" s="6"/>
      <c r="C1733" s="4"/>
      <c r="D1733" s="4"/>
      <c r="E1733" s="12"/>
      <c r="F1733" s="12"/>
      <c r="G1733" s="16"/>
      <c r="H1733" s="14"/>
      <c r="I1733" s="14"/>
      <c r="J1733" s="14"/>
      <c r="K1733" s="14"/>
      <c r="L1733" s="14"/>
      <c r="M1733" s="14"/>
      <c r="N1733" s="14"/>
      <c r="O1733" s="4"/>
      <c r="P1733" s="14"/>
      <c r="Q1733" s="14"/>
    </row>
    <row r="1734" spans="1:17" x14ac:dyDescent="0.25">
      <c r="A1734" s="5"/>
      <c r="B1734" s="6"/>
      <c r="C1734" s="4"/>
      <c r="D1734" s="4"/>
      <c r="E1734" s="12"/>
      <c r="F1734" s="12"/>
      <c r="G1734" s="16"/>
      <c r="H1734" s="14"/>
      <c r="I1734" s="14"/>
      <c r="J1734" s="14"/>
      <c r="K1734" s="14"/>
      <c r="L1734" s="14"/>
      <c r="M1734" s="14"/>
      <c r="N1734" s="14"/>
      <c r="O1734" s="4"/>
      <c r="P1734" s="14"/>
      <c r="Q1734" s="14"/>
    </row>
    <row r="1735" spans="1:17" x14ac:dyDescent="0.25">
      <c r="A1735" s="5"/>
      <c r="B1735" s="6"/>
      <c r="C1735" s="4"/>
      <c r="D1735" s="4"/>
      <c r="E1735" s="12"/>
      <c r="F1735" s="12"/>
      <c r="G1735" s="16"/>
      <c r="H1735" s="14"/>
      <c r="I1735" s="14"/>
      <c r="J1735" s="14"/>
      <c r="K1735" s="14"/>
      <c r="L1735" s="14"/>
      <c r="M1735" s="14"/>
      <c r="N1735" s="14"/>
      <c r="O1735" s="4"/>
      <c r="P1735" s="14"/>
      <c r="Q1735" s="14"/>
    </row>
    <row r="1736" spans="1:17" x14ac:dyDescent="0.25">
      <c r="A1736" s="5"/>
      <c r="B1736" s="6"/>
      <c r="C1736" s="4"/>
      <c r="D1736" s="4"/>
      <c r="E1736" s="12"/>
      <c r="F1736" s="12"/>
      <c r="G1736" s="16"/>
      <c r="H1736" s="14"/>
      <c r="I1736" s="14"/>
      <c r="J1736" s="14"/>
      <c r="K1736" s="14"/>
      <c r="L1736" s="14"/>
      <c r="M1736" s="14"/>
      <c r="N1736" s="14"/>
      <c r="O1736" s="4"/>
      <c r="P1736" s="14"/>
      <c r="Q1736" s="14"/>
    </row>
    <row r="1737" spans="1:17" x14ac:dyDescent="0.25">
      <c r="A1737" s="5"/>
      <c r="B1737" s="6"/>
      <c r="C1737" s="4"/>
      <c r="D1737" s="4"/>
      <c r="E1737" s="12"/>
      <c r="F1737" s="12"/>
      <c r="G1737" s="16"/>
      <c r="H1737" s="14"/>
      <c r="I1737" s="14"/>
      <c r="J1737" s="14"/>
      <c r="K1737" s="14"/>
      <c r="L1737" s="14"/>
      <c r="M1737" s="14"/>
      <c r="N1737" s="14"/>
      <c r="O1737" s="4"/>
      <c r="P1737" s="14"/>
      <c r="Q1737" s="14"/>
    </row>
    <row r="1738" spans="1:17" x14ac:dyDescent="0.25">
      <c r="A1738" s="5"/>
      <c r="B1738" s="6"/>
      <c r="C1738" s="4"/>
      <c r="D1738" s="4"/>
      <c r="E1738" s="12"/>
      <c r="F1738" s="12"/>
      <c r="G1738" s="16"/>
      <c r="H1738" s="14"/>
      <c r="I1738" s="14"/>
      <c r="J1738" s="14"/>
      <c r="K1738" s="14"/>
      <c r="L1738" s="14"/>
      <c r="M1738" s="14"/>
      <c r="N1738" s="14"/>
      <c r="O1738" s="4"/>
      <c r="P1738" s="14"/>
      <c r="Q1738" s="14"/>
    </row>
    <row r="1739" spans="1:17" x14ac:dyDescent="0.25">
      <c r="A1739" s="5"/>
      <c r="B1739" s="6"/>
      <c r="C1739" s="4"/>
      <c r="D1739" s="4"/>
      <c r="E1739" s="12"/>
      <c r="F1739" s="12"/>
      <c r="G1739" s="16"/>
      <c r="H1739" s="14"/>
      <c r="I1739" s="14"/>
      <c r="J1739" s="14"/>
      <c r="K1739" s="14"/>
      <c r="L1739" s="14"/>
      <c r="M1739" s="14"/>
      <c r="N1739" s="14"/>
      <c r="O1739" s="4"/>
      <c r="P1739" s="14"/>
      <c r="Q1739" s="14"/>
    </row>
    <row r="1740" spans="1:17" x14ac:dyDescent="0.25">
      <c r="A1740" s="5"/>
      <c r="B1740" s="6"/>
      <c r="C1740" s="4"/>
      <c r="D1740" s="4"/>
      <c r="E1740" s="12"/>
      <c r="F1740" s="12"/>
      <c r="G1740" s="16"/>
      <c r="H1740" s="14"/>
      <c r="I1740" s="14"/>
      <c r="J1740" s="14"/>
      <c r="K1740" s="14"/>
      <c r="L1740" s="14"/>
      <c r="M1740" s="14"/>
      <c r="N1740" s="14"/>
      <c r="O1740" s="4"/>
      <c r="P1740" s="14"/>
      <c r="Q1740" s="14"/>
    </row>
    <row r="1741" spans="1:17" x14ac:dyDescent="0.25">
      <c r="A1741" s="5"/>
      <c r="B1741" s="6"/>
      <c r="C1741" s="4"/>
      <c r="D1741" s="4"/>
      <c r="E1741" s="12"/>
      <c r="F1741" s="12"/>
      <c r="G1741" s="16"/>
      <c r="H1741" s="14"/>
      <c r="I1741" s="14"/>
      <c r="J1741" s="14"/>
      <c r="K1741" s="14"/>
      <c r="L1741" s="14"/>
      <c r="M1741" s="14"/>
      <c r="N1741" s="14"/>
      <c r="O1741" s="4"/>
      <c r="P1741" s="14"/>
      <c r="Q1741" s="14"/>
    </row>
    <row r="1742" spans="1:17" x14ac:dyDescent="0.25">
      <c r="A1742" s="5"/>
      <c r="B1742" s="6"/>
      <c r="C1742" s="4"/>
      <c r="D1742" s="4"/>
      <c r="E1742" s="12"/>
      <c r="F1742" s="12"/>
      <c r="G1742" s="16"/>
      <c r="H1742" s="14"/>
      <c r="I1742" s="14"/>
      <c r="J1742" s="14"/>
      <c r="K1742" s="14"/>
      <c r="L1742" s="14"/>
      <c r="M1742" s="14"/>
      <c r="N1742" s="14"/>
      <c r="O1742" s="4"/>
      <c r="P1742" s="14"/>
      <c r="Q1742" s="14"/>
    </row>
    <row r="1743" spans="1:17" x14ac:dyDescent="0.25">
      <c r="A1743" s="5"/>
      <c r="B1743" s="6"/>
      <c r="C1743" s="4"/>
      <c r="D1743" s="4"/>
      <c r="E1743" s="12"/>
      <c r="F1743" s="12"/>
      <c r="G1743" s="16"/>
      <c r="H1743" s="14"/>
      <c r="I1743" s="14"/>
      <c r="J1743" s="14"/>
      <c r="K1743" s="14"/>
      <c r="L1743" s="14"/>
      <c r="M1743" s="14"/>
      <c r="N1743" s="14"/>
      <c r="O1743" s="4"/>
      <c r="P1743" s="14"/>
      <c r="Q1743" s="14"/>
    </row>
    <row r="1744" spans="1:17" x14ac:dyDescent="0.25">
      <c r="A1744" s="5"/>
      <c r="B1744" s="6"/>
      <c r="C1744" s="4"/>
      <c r="D1744" s="4"/>
      <c r="E1744" s="12"/>
      <c r="F1744" s="12"/>
      <c r="G1744" s="16"/>
      <c r="H1744" s="14"/>
      <c r="I1744" s="14"/>
      <c r="J1744" s="14"/>
      <c r="K1744" s="14"/>
      <c r="L1744" s="14"/>
      <c r="M1744" s="14"/>
      <c r="N1744" s="14"/>
      <c r="O1744" s="4"/>
      <c r="P1744" s="14"/>
      <c r="Q1744" s="14"/>
    </row>
    <row r="1745" spans="1:17" x14ac:dyDescent="0.25">
      <c r="A1745" s="5"/>
      <c r="B1745" s="6"/>
      <c r="C1745" s="4"/>
      <c r="D1745" s="4"/>
      <c r="E1745" s="12"/>
      <c r="F1745" s="12"/>
      <c r="G1745" s="16"/>
      <c r="H1745" s="14"/>
      <c r="I1745" s="14"/>
      <c r="J1745" s="14"/>
      <c r="K1745" s="14"/>
      <c r="L1745" s="14"/>
      <c r="M1745" s="14"/>
      <c r="N1745" s="14"/>
      <c r="O1745" s="4"/>
      <c r="P1745" s="14"/>
      <c r="Q1745" s="14"/>
    </row>
    <row r="1746" spans="1:17" x14ac:dyDescent="0.25">
      <c r="A1746" s="5"/>
      <c r="B1746" s="6"/>
      <c r="C1746" s="4"/>
      <c r="D1746" s="4"/>
      <c r="E1746" s="12"/>
      <c r="F1746" s="12"/>
      <c r="G1746" s="16"/>
      <c r="H1746" s="14"/>
      <c r="I1746" s="14"/>
      <c r="J1746" s="14"/>
      <c r="K1746" s="14"/>
      <c r="L1746" s="14"/>
      <c r="M1746" s="14"/>
      <c r="N1746" s="14"/>
      <c r="O1746" s="4"/>
      <c r="P1746" s="14"/>
      <c r="Q1746" s="14"/>
    </row>
    <row r="1747" spans="1:17" x14ac:dyDescent="0.25">
      <c r="A1747" s="5"/>
      <c r="B1747" s="6"/>
      <c r="C1747" s="4"/>
      <c r="D1747" s="4"/>
      <c r="E1747" s="12"/>
      <c r="F1747" s="12"/>
      <c r="G1747" s="16"/>
      <c r="H1747" s="14"/>
      <c r="I1747" s="14"/>
      <c r="J1747" s="14"/>
      <c r="K1747" s="14"/>
      <c r="L1747" s="14"/>
      <c r="M1747" s="14"/>
      <c r="N1747" s="14"/>
      <c r="O1747" s="4"/>
      <c r="P1747" s="14"/>
      <c r="Q1747" s="14"/>
    </row>
    <row r="1748" spans="1:17" x14ac:dyDescent="0.25">
      <c r="A1748" s="5"/>
      <c r="B1748" s="6"/>
      <c r="C1748" s="4"/>
      <c r="D1748" s="4"/>
      <c r="E1748" s="12"/>
      <c r="F1748" s="12"/>
      <c r="G1748" s="16"/>
      <c r="H1748" s="14"/>
      <c r="I1748" s="14"/>
      <c r="J1748" s="14"/>
      <c r="K1748" s="14"/>
      <c r="L1748" s="14"/>
      <c r="M1748" s="14"/>
      <c r="N1748" s="14"/>
      <c r="O1748" s="4"/>
      <c r="P1748" s="14"/>
      <c r="Q1748" s="14"/>
    </row>
    <row r="1749" spans="1:17" x14ac:dyDescent="0.25">
      <c r="A1749" s="5"/>
      <c r="B1749" s="6"/>
      <c r="C1749" s="4"/>
      <c r="D1749" s="4"/>
      <c r="E1749" s="12"/>
      <c r="F1749" s="12"/>
      <c r="G1749" s="16"/>
      <c r="H1749" s="14"/>
      <c r="I1749" s="14"/>
      <c r="J1749" s="14"/>
      <c r="K1749" s="14"/>
      <c r="L1749" s="14"/>
      <c r="M1749" s="14"/>
      <c r="N1749" s="14"/>
      <c r="O1749" s="4"/>
      <c r="P1749" s="14"/>
      <c r="Q1749" s="14"/>
    </row>
    <row r="1750" spans="1:17" x14ac:dyDescent="0.25">
      <c r="A1750" s="5"/>
      <c r="B1750" s="6"/>
      <c r="C1750" s="4"/>
      <c r="D1750" s="4"/>
      <c r="E1750" s="12"/>
      <c r="F1750" s="12"/>
      <c r="G1750" s="16"/>
      <c r="H1750" s="14"/>
      <c r="I1750" s="14"/>
      <c r="J1750" s="14"/>
      <c r="K1750" s="14"/>
      <c r="L1750" s="14"/>
      <c r="M1750" s="14"/>
      <c r="N1750" s="14"/>
      <c r="O1750" s="4"/>
      <c r="P1750" s="14"/>
      <c r="Q1750" s="14"/>
    </row>
    <row r="1751" spans="1:17" x14ac:dyDescent="0.25">
      <c r="A1751" s="5"/>
      <c r="B1751" s="6"/>
      <c r="C1751" s="4"/>
      <c r="D1751" s="4"/>
      <c r="E1751" s="12"/>
      <c r="F1751" s="12"/>
      <c r="G1751" s="16"/>
      <c r="H1751" s="14"/>
      <c r="I1751" s="14"/>
      <c r="J1751" s="14"/>
      <c r="K1751" s="14"/>
      <c r="L1751" s="14"/>
      <c r="M1751" s="14"/>
      <c r="N1751" s="14"/>
      <c r="O1751" s="4"/>
      <c r="P1751" s="14"/>
      <c r="Q1751" s="14"/>
    </row>
    <row r="1752" spans="1:17" x14ac:dyDescent="0.25">
      <c r="A1752" s="5"/>
      <c r="B1752" s="6"/>
      <c r="C1752" s="4"/>
      <c r="D1752" s="4"/>
      <c r="E1752" s="12"/>
      <c r="F1752" s="12"/>
      <c r="G1752" s="16"/>
      <c r="H1752" s="14"/>
      <c r="I1752" s="14"/>
      <c r="J1752" s="14"/>
      <c r="K1752" s="14"/>
      <c r="L1752" s="14"/>
      <c r="M1752" s="14"/>
      <c r="N1752" s="14"/>
      <c r="O1752" s="4"/>
      <c r="P1752" s="14"/>
      <c r="Q1752" s="14"/>
    </row>
    <row r="1753" spans="1:17" x14ac:dyDescent="0.25">
      <c r="A1753" s="5"/>
      <c r="B1753" s="6"/>
      <c r="C1753" s="4"/>
      <c r="D1753" s="4"/>
      <c r="E1753" s="12"/>
      <c r="F1753" s="12"/>
      <c r="G1753" s="16"/>
      <c r="H1753" s="14"/>
      <c r="I1753" s="14"/>
      <c r="J1753" s="14"/>
      <c r="K1753" s="14"/>
      <c r="L1753" s="14"/>
      <c r="M1753" s="14"/>
      <c r="N1753" s="14"/>
      <c r="O1753" s="4"/>
      <c r="P1753" s="14"/>
      <c r="Q1753" s="14"/>
    </row>
    <row r="1754" spans="1:17" x14ac:dyDescent="0.25">
      <c r="A1754" s="5"/>
      <c r="B1754" s="6"/>
      <c r="C1754" s="4"/>
      <c r="D1754" s="4"/>
      <c r="E1754" s="12"/>
      <c r="F1754" s="12"/>
      <c r="G1754" s="16"/>
      <c r="H1754" s="14"/>
      <c r="I1754" s="14"/>
      <c r="J1754" s="14"/>
      <c r="K1754" s="14"/>
      <c r="L1754" s="14"/>
      <c r="M1754" s="14"/>
      <c r="N1754" s="14"/>
      <c r="O1754" s="4"/>
      <c r="P1754" s="14"/>
      <c r="Q1754" s="14"/>
    </row>
    <row r="1755" spans="1:17" x14ac:dyDescent="0.25">
      <c r="A1755" s="5"/>
      <c r="B1755" s="6"/>
      <c r="C1755" s="4"/>
      <c r="D1755" s="4"/>
      <c r="E1755" s="12"/>
      <c r="F1755" s="12"/>
      <c r="G1755" s="16"/>
      <c r="H1755" s="14"/>
      <c r="I1755" s="14"/>
      <c r="J1755" s="14"/>
      <c r="K1755" s="14"/>
      <c r="L1755" s="14"/>
      <c r="M1755" s="14"/>
      <c r="N1755" s="14"/>
      <c r="O1755" s="4"/>
      <c r="P1755" s="14"/>
      <c r="Q1755" s="14"/>
    </row>
    <row r="1756" spans="1:17" x14ac:dyDescent="0.25">
      <c r="A1756" s="5"/>
      <c r="B1756" s="6"/>
      <c r="C1756" s="4"/>
      <c r="D1756" s="4"/>
      <c r="E1756" s="12"/>
      <c r="F1756" s="12"/>
      <c r="G1756" s="16"/>
      <c r="H1756" s="14"/>
      <c r="I1756" s="14"/>
      <c r="J1756" s="14"/>
      <c r="K1756" s="14"/>
      <c r="L1756" s="14"/>
      <c r="M1756" s="14"/>
      <c r="N1756" s="14"/>
      <c r="O1756" s="4"/>
      <c r="P1756" s="14"/>
      <c r="Q1756" s="14"/>
    </row>
    <row r="1757" spans="1:17" x14ac:dyDescent="0.25">
      <c r="A1757" s="5"/>
      <c r="B1757" s="6"/>
      <c r="C1757" s="4"/>
      <c r="D1757" s="4"/>
      <c r="E1757" s="12"/>
      <c r="F1757" s="12"/>
      <c r="G1757" s="16"/>
      <c r="H1757" s="14"/>
      <c r="I1757" s="14"/>
      <c r="J1757" s="14"/>
      <c r="K1757" s="14"/>
      <c r="L1757" s="14"/>
      <c r="M1757" s="14"/>
      <c r="N1757" s="14"/>
      <c r="O1757" s="4"/>
      <c r="P1757" s="14"/>
      <c r="Q1757" s="14"/>
    </row>
    <row r="1758" spans="1:17" x14ac:dyDescent="0.25">
      <c r="A1758" s="5"/>
      <c r="B1758" s="6"/>
      <c r="C1758" s="4"/>
      <c r="D1758" s="4"/>
      <c r="E1758" s="12"/>
      <c r="F1758" s="12"/>
      <c r="G1758" s="16"/>
      <c r="H1758" s="14"/>
      <c r="I1758" s="14"/>
      <c r="J1758" s="14"/>
      <c r="K1758" s="14"/>
      <c r="L1758" s="14"/>
      <c r="M1758" s="14"/>
      <c r="N1758" s="14"/>
      <c r="O1758" s="4"/>
      <c r="P1758" s="14"/>
      <c r="Q1758" s="14"/>
    </row>
    <row r="1759" spans="1:17" x14ac:dyDescent="0.25">
      <c r="A1759" s="5"/>
      <c r="B1759" s="6"/>
      <c r="C1759" s="4"/>
      <c r="D1759" s="4"/>
      <c r="E1759" s="12"/>
      <c r="F1759" s="12"/>
      <c r="G1759" s="16"/>
      <c r="H1759" s="14"/>
      <c r="I1759" s="14"/>
      <c r="J1759" s="14"/>
      <c r="K1759" s="14"/>
      <c r="L1759" s="14"/>
      <c r="M1759" s="14"/>
      <c r="N1759" s="14"/>
      <c r="O1759" s="4"/>
      <c r="P1759" s="14"/>
      <c r="Q1759" s="14"/>
    </row>
    <row r="1760" spans="1:17" x14ac:dyDescent="0.25">
      <c r="A1760" s="5"/>
      <c r="B1760" s="6"/>
      <c r="C1760" s="4"/>
      <c r="D1760" s="4"/>
      <c r="E1760" s="12"/>
      <c r="F1760" s="12"/>
      <c r="G1760" s="16"/>
      <c r="H1760" s="14"/>
      <c r="I1760" s="14"/>
      <c r="J1760" s="14"/>
      <c r="K1760" s="14"/>
      <c r="L1760" s="14"/>
      <c r="M1760" s="14"/>
      <c r="N1760" s="14"/>
      <c r="O1760" s="4"/>
      <c r="P1760" s="14"/>
      <c r="Q1760" s="14"/>
    </row>
    <row r="1761" spans="1:17" x14ac:dyDescent="0.25">
      <c r="A1761" s="5"/>
      <c r="B1761" s="6"/>
      <c r="C1761" s="4"/>
      <c r="D1761" s="4"/>
      <c r="E1761" s="12"/>
      <c r="F1761" s="12"/>
      <c r="G1761" s="16"/>
      <c r="H1761" s="14"/>
      <c r="I1761" s="14"/>
      <c r="J1761" s="14"/>
      <c r="K1761" s="14"/>
      <c r="L1761" s="14"/>
      <c r="M1761" s="14"/>
      <c r="N1761" s="14"/>
      <c r="O1761" s="4"/>
      <c r="P1761" s="14"/>
      <c r="Q1761" s="14"/>
    </row>
    <row r="1762" spans="1:17" x14ac:dyDescent="0.25">
      <c r="A1762" s="5"/>
      <c r="B1762" s="6"/>
      <c r="C1762" s="4"/>
      <c r="D1762" s="4"/>
      <c r="E1762" s="12"/>
      <c r="F1762" s="12"/>
      <c r="G1762" s="16"/>
      <c r="H1762" s="14"/>
      <c r="I1762" s="14"/>
      <c r="J1762" s="14"/>
      <c r="K1762" s="14"/>
      <c r="L1762" s="14"/>
      <c r="M1762" s="14"/>
      <c r="N1762" s="14"/>
      <c r="O1762" s="4"/>
      <c r="P1762" s="14"/>
      <c r="Q1762" s="14"/>
    </row>
    <row r="1763" spans="1:17" x14ac:dyDescent="0.25">
      <c r="A1763" s="5"/>
      <c r="B1763" s="6"/>
      <c r="C1763" s="4"/>
      <c r="D1763" s="4"/>
      <c r="E1763" s="12"/>
      <c r="F1763" s="12"/>
      <c r="G1763" s="16"/>
      <c r="H1763" s="14"/>
      <c r="I1763" s="14"/>
      <c r="J1763" s="14"/>
      <c r="K1763" s="14"/>
      <c r="L1763" s="14"/>
      <c r="M1763" s="14"/>
      <c r="N1763" s="14"/>
      <c r="O1763" s="4"/>
      <c r="P1763" s="14"/>
      <c r="Q1763" s="14"/>
    </row>
    <row r="1764" spans="1:17" x14ac:dyDescent="0.25">
      <c r="A1764" s="5"/>
      <c r="B1764" s="6"/>
      <c r="C1764" s="4"/>
      <c r="D1764" s="4"/>
      <c r="E1764" s="12"/>
      <c r="F1764" s="12"/>
      <c r="G1764" s="16"/>
      <c r="H1764" s="14"/>
      <c r="I1764" s="14"/>
      <c r="J1764" s="14"/>
      <c r="K1764" s="14"/>
      <c r="L1764" s="14"/>
      <c r="M1764" s="14"/>
      <c r="N1764" s="14"/>
      <c r="O1764" s="4"/>
      <c r="P1764" s="14"/>
      <c r="Q1764" s="14"/>
    </row>
    <row r="1765" spans="1:17" x14ac:dyDescent="0.25">
      <c r="A1765" s="5"/>
      <c r="B1765" s="6"/>
      <c r="C1765" s="4"/>
      <c r="D1765" s="4"/>
      <c r="E1765" s="12"/>
      <c r="F1765" s="12"/>
      <c r="G1765" s="16"/>
      <c r="H1765" s="14"/>
      <c r="I1765" s="14"/>
      <c r="J1765" s="14"/>
      <c r="K1765" s="14"/>
      <c r="L1765" s="14"/>
      <c r="M1765" s="14"/>
      <c r="N1765" s="14"/>
      <c r="O1765" s="4"/>
      <c r="P1765" s="14"/>
      <c r="Q1765" s="14"/>
    </row>
    <row r="1766" spans="1:17" x14ac:dyDescent="0.25">
      <c r="A1766" s="5"/>
      <c r="B1766" s="6"/>
      <c r="C1766" s="4"/>
      <c r="D1766" s="4"/>
      <c r="E1766" s="12"/>
      <c r="F1766" s="12"/>
      <c r="G1766" s="16"/>
      <c r="H1766" s="14"/>
      <c r="I1766" s="14"/>
      <c r="J1766" s="14"/>
      <c r="K1766" s="14"/>
      <c r="L1766" s="14"/>
      <c r="M1766" s="14"/>
      <c r="N1766" s="14"/>
      <c r="O1766" s="4"/>
      <c r="P1766" s="14"/>
      <c r="Q1766" s="14"/>
    </row>
    <row r="1767" spans="1:17" x14ac:dyDescent="0.25">
      <c r="A1767" s="5"/>
      <c r="B1767" s="6"/>
      <c r="C1767" s="4"/>
      <c r="D1767" s="4"/>
      <c r="E1767" s="12"/>
      <c r="F1767" s="12"/>
      <c r="G1767" s="16"/>
      <c r="H1767" s="14"/>
      <c r="I1767" s="14"/>
      <c r="J1767" s="14"/>
      <c r="K1767" s="14"/>
      <c r="L1767" s="14"/>
      <c r="M1767" s="14"/>
      <c r="N1767" s="14"/>
      <c r="O1767" s="4"/>
      <c r="P1767" s="14"/>
      <c r="Q1767" s="14"/>
    </row>
    <row r="1768" spans="1:17" x14ac:dyDescent="0.25">
      <c r="A1768" s="5"/>
      <c r="B1768" s="6"/>
      <c r="C1768" s="4"/>
      <c r="D1768" s="4"/>
      <c r="E1768" s="12"/>
      <c r="F1768" s="12"/>
      <c r="G1768" s="16"/>
      <c r="H1768" s="14"/>
      <c r="I1768" s="14"/>
      <c r="J1768" s="14"/>
      <c r="K1768" s="14"/>
      <c r="L1768" s="14"/>
      <c r="M1768" s="14"/>
      <c r="N1768" s="14"/>
      <c r="O1768" s="4"/>
      <c r="P1768" s="14"/>
      <c r="Q1768" s="14"/>
    </row>
    <row r="1769" spans="1:17" x14ac:dyDescent="0.25">
      <c r="A1769" s="5"/>
      <c r="B1769" s="6"/>
      <c r="C1769" s="4"/>
      <c r="D1769" s="4"/>
      <c r="E1769" s="12"/>
      <c r="F1769" s="12"/>
      <c r="G1769" s="16"/>
      <c r="H1769" s="14"/>
      <c r="I1769" s="14"/>
      <c r="J1769" s="14"/>
      <c r="K1769" s="14"/>
      <c r="L1769" s="14"/>
      <c r="M1769" s="14"/>
      <c r="N1769" s="14"/>
      <c r="O1769" s="4"/>
      <c r="P1769" s="14"/>
      <c r="Q1769" s="14"/>
    </row>
    <row r="1770" spans="1:17" x14ac:dyDescent="0.25">
      <c r="A1770" s="5"/>
      <c r="B1770" s="6"/>
      <c r="C1770" s="4"/>
      <c r="D1770" s="4"/>
      <c r="E1770" s="12"/>
      <c r="F1770" s="12"/>
      <c r="G1770" s="16"/>
      <c r="H1770" s="14"/>
      <c r="I1770" s="14"/>
      <c r="J1770" s="14"/>
      <c r="K1770" s="14"/>
      <c r="L1770" s="14"/>
      <c r="M1770" s="14"/>
      <c r="N1770" s="14"/>
      <c r="O1770" s="4"/>
      <c r="P1770" s="14"/>
      <c r="Q1770" s="14"/>
    </row>
    <row r="1771" spans="1:17" x14ac:dyDescent="0.25">
      <c r="A1771" s="5"/>
      <c r="B1771" s="6"/>
      <c r="C1771" s="4"/>
      <c r="D1771" s="4"/>
      <c r="E1771" s="12"/>
      <c r="F1771" s="12"/>
      <c r="G1771" s="16"/>
      <c r="H1771" s="14"/>
      <c r="I1771" s="14"/>
      <c r="J1771" s="14"/>
      <c r="K1771" s="14"/>
      <c r="L1771" s="14"/>
      <c r="M1771" s="14"/>
      <c r="N1771" s="14"/>
      <c r="O1771" s="4"/>
      <c r="P1771" s="14"/>
      <c r="Q1771" s="14"/>
    </row>
    <row r="1772" spans="1:17" x14ac:dyDescent="0.25">
      <c r="A1772" s="5"/>
      <c r="B1772" s="6"/>
      <c r="C1772" s="4"/>
      <c r="D1772" s="4"/>
      <c r="E1772" s="12"/>
      <c r="F1772" s="12"/>
      <c r="G1772" s="16"/>
      <c r="H1772" s="14"/>
      <c r="I1772" s="14"/>
      <c r="J1772" s="14"/>
      <c r="K1772" s="14"/>
      <c r="L1772" s="14"/>
      <c r="M1772" s="14"/>
      <c r="N1772" s="14"/>
      <c r="O1772" s="4"/>
      <c r="P1772" s="14"/>
      <c r="Q1772" s="14"/>
    </row>
    <row r="1773" spans="1:17" x14ac:dyDescent="0.25">
      <c r="A1773" s="5"/>
      <c r="B1773" s="6"/>
      <c r="C1773" s="4"/>
      <c r="D1773" s="4"/>
      <c r="E1773" s="12"/>
      <c r="F1773" s="12"/>
      <c r="G1773" s="16"/>
      <c r="H1773" s="14"/>
      <c r="I1773" s="14"/>
      <c r="J1773" s="14"/>
      <c r="K1773" s="14"/>
      <c r="L1773" s="14"/>
      <c r="M1773" s="14"/>
      <c r="N1773" s="14"/>
      <c r="O1773" s="4"/>
      <c r="P1773" s="14"/>
      <c r="Q1773" s="14"/>
    </row>
    <row r="1774" spans="1:17" x14ac:dyDescent="0.25">
      <c r="A1774" s="5"/>
      <c r="B1774" s="6"/>
      <c r="C1774" s="4"/>
      <c r="D1774" s="4"/>
      <c r="E1774" s="12"/>
      <c r="F1774" s="12"/>
      <c r="G1774" s="16"/>
      <c r="H1774" s="14"/>
      <c r="I1774" s="14"/>
      <c r="J1774" s="14"/>
      <c r="K1774" s="14"/>
      <c r="L1774" s="14"/>
      <c r="M1774" s="14"/>
      <c r="N1774" s="14"/>
      <c r="O1774" s="4"/>
      <c r="P1774" s="14"/>
      <c r="Q1774" s="14"/>
    </row>
    <row r="1775" spans="1:17" x14ac:dyDescent="0.25">
      <c r="A1775" s="5"/>
      <c r="B1775" s="6"/>
      <c r="C1775" s="4"/>
      <c r="D1775" s="4"/>
      <c r="E1775" s="12"/>
      <c r="F1775" s="12"/>
      <c r="G1775" s="16"/>
      <c r="H1775" s="14"/>
      <c r="I1775" s="14"/>
      <c r="J1775" s="14"/>
      <c r="K1775" s="14"/>
      <c r="L1775" s="14"/>
      <c r="M1775" s="14"/>
      <c r="N1775" s="14"/>
      <c r="O1775" s="4"/>
      <c r="P1775" s="14"/>
      <c r="Q1775" s="14"/>
    </row>
    <row r="1776" spans="1:17" x14ac:dyDescent="0.25">
      <c r="A1776" s="5"/>
      <c r="B1776" s="6"/>
      <c r="C1776" s="4"/>
      <c r="D1776" s="4"/>
      <c r="E1776" s="12"/>
      <c r="F1776" s="12"/>
      <c r="G1776" s="16"/>
      <c r="H1776" s="14"/>
      <c r="I1776" s="14"/>
      <c r="J1776" s="14"/>
      <c r="K1776" s="14"/>
      <c r="L1776" s="14"/>
      <c r="M1776" s="14"/>
      <c r="N1776" s="14"/>
      <c r="O1776" s="4"/>
      <c r="P1776" s="14"/>
      <c r="Q1776" s="14"/>
    </row>
    <row r="1777" spans="1:17" x14ac:dyDescent="0.25">
      <c r="A1777" s="5"/>
      <c r="B1777" s="6"/>
      <c r="C1777" s="4"/>
      <c r="D1777" s="4"/>
      <c r="E1777" s="12"/>
      <c r="F1777" s="12"/>
      <c r="G1777" s="16"/>
      <c r="H1777" s="14"/>
      <c r="I1777" s="14"/>
      <c r="J1777" s="14"/>
      <c r="K1777" s="14"/>
      <c r="L1777" s="14"/>
      <c r="M1777" s="14"/>
      <c r="N1777" s="14"/>
      <c r="O1777" s="4"/>
      <c r="P1777" s="14"/>
      <c r="Q1777" s="14"/>
    </row>
    <row r="1778" spans="1:17" x14ac:dyDescent="0.25">
      <c r="A1778" s="5"/>
      <c r="B1778" s="6"/>
      <c r="C1778" s="4"/>
      <c r="D1778" s="4"/>
      <c r="E1778" s="12"/>
      <c r="F1778" s="12"/>
      <c r="G1778" s="16"/>
      <c r="H1778" s="14"/>
      <c r="I1778" s="14"/>
      <c r="J1778" s="14"/>
      <c r="K1778" s="14"/>
      <c r="L1778" s="14"/>
      <c r="M1778" s="14"/>
      <c r="N1778" s="14"/>
      <c r="O1778" s="4"/>
      <c r="P1778" s="14"/>
      <c r="Q1778" s="14"/>
    </row>
    <row r="1779" spans="1:17" x14ac:dyDescent="0.25">
      <c r="A1779" s="5"/>
      <c r="B1779" s="6"/>
      <c r="C1779" s="4"/>
      <c r="D1779" s="4"/>
      <c r="E1779" s="12"/>
      <c r="F1779" s="12"/>
      <c r="G1779" s="16"/>
      <c r="H1779" s="14"/>
      <c r="I1779" s="14"/>
      <c r="J1779" s="14"/>
      <c r="K1779" s="14"/>
      <c r="L1779" s="14"/>
      <c r="M1779" s="14"/>
      <c r="N1779" s="14"/>
      <c r="O1779" s="4"/>
      <c r="P1779" s="14"/>
      <c r="Q1779" s="14"/>
    </row>
    <row r="1780" spans="1:17" x14ac:dyDescent="0.25">
      <c r="A1780" s="5"/>
      <c r="B1780" s="6"/>
      <c r="C1780" s="4"/>
      <c r="D1780" s="4"/>
      <c r="E1780" s="12"/>
      <c r="F1780" s="12"/>
      <c r="G1780" s="16"/>
      <c r="H1780" s="14"/>
      <c r="I1780" s="14"/>
      <c r="J1780" s="14"/>
      <c r="K1780" s="14"/>
      <c r="L1780" s="14"/>
      <c r="M1780" s="14"/>
      <c r="N1780" s="14"/>
      <c r="O1780" s="4"/>
      <c r="P1780" s="14"/>
      <c r="Q1780" s="14"/>
    </row>
    <row r="1781" spans="1:17" x14ac:dyDescent="0.25">
      <c r="A1781" s="5"/>
      <c r="B1781" s="6"/>
      <c r="C1781" s="4"/>
      <c r="D1781" s="4"/>
      <c r="E1781" s="12"/>
      <c r="F1781" s="12"/>
      <c r="G1781" s="16"/>
      <c r="H1781" s="14"/>
      <c r="I1781" s="14"/>
      <c r="J1781" s="14"/>
      <c r="K1781" s="14"/>
      <c r="L1781" s="14"/>
      <c r="M1781" s="14"/>
      <c r="N1781" s="14"/>
      <c r="O1781" s="4"/>
      <c r="P1781" s="14"/>
      <c r="Q1781" s="14"/>
    </row>
    <row r="1782" spans="1:17" x14ac:dyDescent="0.25">
      <c r="A1782" s="5"/>
      <c r="B1782" s="6"/>
      <c r="C1782" s="4"/>
      <c r="D1782" s="4"/>
      <c r="E1782" s="12"/>
      <c r="F1782" s="12"/>
      <c r="G1782" s="16"/>
      <c r="H1782" s="14"/>
      <c r="I1782" s="14"/>
      <c r="J1782" s="14"/>
      <c r="K1782" s="14"/>
      <c r="L1782" s="14"/>
      <c r="M1782" s="14"/>
      <c r="N1782" s="14"/>
      <c r="O1782" s="4"/>
      <c r="P1782" s="14"/>
      <c r="Q1782" s="14"/>
    </row>
    <row r="1783" spans="1:17" x14ac:dyDescent="0.25">
      <c r="A1783" s="5"/>
      <c r="B1783" s="6"/>
      <c r="C1783" s="4"/>
      <c r="D1783" s="4"/>
      <c r="E1783" s="12"/>
      <c r="F1783" s="12"/>
      <c r="G1783" s="16"/>
      <c r="H1783" s="14"/>
      <c r="I1783" s="14"/>
      <c r="J1783" s="14"/>
      <c r="K1783" s="14"/>
      <c r="L1783" s="14"/>
      <c r="M1783" s="14"/>
      <c r="N1783" s="14"/>
      <c r="O1783" s="4"/>
      <c r="P1783" s="14"/>
      <c r="Q1783" s="14"/>
    </row>
    <row r="1784" spans="1:17" x14ac:dyDescent="0.25">
      <c r="A1784" s="5"/>
      <c r="B1784" s="6"/>
      <c r="C1784" s="4"/>
      <c r="D1784" s="4"/>
      <c r="E1784" s="12"/>
      <c r="F1784" s="12"/>
      <c r="G1784" s="16"/>
      <c r="H1784" s="14"/>
      <c r="I1784" s="14"/>
      <c r="J1784" s="14"/>
      <c r="K1784" s="14"/>
      <c r="L1784" s="14"/>
      <c r="M1784" s="14"/>
      <c r="N1784" s="14"/>
      <c r="O1784" s="4"/>
      <c r="P1784" s="14"/>
      <c r="Q1784" s="14"/>
    </row>
    <row r="1785" spans="1:17" x14ac:dyDescent="0.25">
      <c r="A1785" s="5"/>
      <c r="B1785" s="6"/>
      <c r="C1785" s="4"/>
      <c r="D1785" s="4"/>
      <c r="E1785" s="12"/>
      <c r="F1785" s="12"/>
      <c r="G1785" s="16"/>
      <c r="H1785" s="14"/>
      <c r="I1785" s="14"/>
      <c r="J1785" s="14"/>
      <c r="K1785" s="14"/>
      <c r="L1785" s="14"/>
      <c r="M1785" s="14"/>
      <c r="N1785" s="14"/>
      <c r="O1785" s="4"/>
      <c r="P1785" s="14"/>
      <c r="Q1785" s="14"/>
    </row>
    <row r="1786" spans="1:17" x14ac:dyDescent="0.25">
      <c r="A1786" s="5"/>
      <c r="B1786" s="6"/>
      <c r="C1786" s="4"/>
      <c r="D1786" s="4"/>
      <c r="E1786" s="12"/>
      <c r="F1786" s="12"/>
      <c r="G1786" s="16"/>
      <c r="H1786" s="14"/>
      <c r="I1786" s="14"/>
      <c r="J1786" s="14"/>
      <c r="K1786" s="14"/>
      <c r="L1786" s="14"/>
      <c r="M1786" s="14"/>
      <c r="N1786" s="14"/>
      <c r="O1786" s="4"/>
      <c r="P1786" s="14"/>
      <c r="Q1786" s="14"/>
    </row>
    <row r="1787" spans="1:17" x14ac:dyDescent="0.25">
      <c r="A1787" s="5"/>
      <c r="B1787" s="6"/>
      <c r="C1787" s="4"/>
      <c r="D1787" s="4"/>
      <c r="E1787" s="12"/>
      <c r="F1787" s="12"/>
      <c r="G1787" s="16"/>
      <c r="H1787" s="14"/>
      <c r="I1787" s="14"/>
      <c r="J1787" s="14"/>
      <c r="K1787" s="14"/>
      <c r="L1787" s="14"/>
      <c r="M1787" s="14"/>
      <c r="N1787" s="14"/>
      <c r="O1787" s="4"/>
      <c r="P1787" s="14"/>
      <c r="Q1787" s="14"/>
    </row>
    <row r="1788" spans="1:17" x14ac:dyDescent="0.25">
      <c r="A1788" s="5"/>
      <c r="B1788" s="6"/>
      <c r="C1788" s="4"/>
      <c r="D1788" s="4"/>
      <c r="E1788" s="12"/>
      <c r="F1788" s="12"/>
      <c r="G1788" s="16"/>
      <c r="H1788" s="14"/>
      <c r="I1788" s="14"/>
      <c r="J1788" s="14"/>
      <c r="K1788" s="14"/>
      <c r="L1788" s="14"/>
      <c r="M1788" s="14"/>
      <c r="N1788" s="14"/>
      <c r="O1788" s="4"/>
      <c r="P1788" s="14"/>
      <c r="Q1788" s="14"/>
    </row>
    <row r="1789" spans="1:17" x14ac:dyDescent="0.25">
      <c r="A1789" s="5"/>
      <c r="B1789" s="6"/>
      <c r="C1789" s="4"/>
      <c r="D1789" s="4"/>
      <c r="E1789" s="12"/>
      <c r="F1789" s="12"/>
      <c r="G1789" s="16"/>
      <c r="H1789" s="14"/>
      <c r="I1789" s="14"/>
      <c r="J1789" s="14"/>
      <c r="K1789" s="14"/>
      <c r="L1789" s="14"/>
      <c r="M1789" s="14"/>
      <c r="N1789" s="14"/>
      <c r="O1789" s="4"/>
      <c r="P1789" s="14"/>
      <c r="Q1789" s="14"/>
    </row>
    <row r="1790" spans="1:17" x14ac:dyDescent="0.25">
      <c r="A1790" s="5"/>
      <c r="B1790" s="6"/>
      <c r="C1790" s="4"/>
      <c r="D1790" s="4"/>
      <c r="E1790" s="12"/>
      <c r="F1790" s="12"/>
      <c r="G1790" s="16"/>
      <c r="H1790" s="14"/>
      <c r="I1790" s="14"/>
      <c r="J1790" s="14"/>
      <c r="K1790" s="14"/>
      <c r="L1790" s="14"/>
      <c r="M1790" s="14"/>
      <c r="N1790" s="14"/>
      <c r="O1790" s="4"/>
      <c r="P1790" s="14"/>
      <c r="Q1790" s="14"/>
    </row>
    <row r="1791" spans="1:17" x14ac:dyDescent="0.25">
      <c r="A1791" s="5"/>
      <c r="B1791" s="6"/>
      <c r="C1791" s="4"/>
      <c r="D1791" s="4"/>
      <c r="E1791" s="12"/>
      <c r="F1791" s="12"/>
      <c r="G1791" s="16"/>
      <c r="H1791" s="14"/>
      <c r="I1791" s="14"/>
      <c r="J1791" s="14"/>
      <c r="K1791" s="14"/>
      <c r="L1791" s="14"/>
      <c r="M1791" s="14"/>
      <c r="N1791" s="14"/>
      <c r="O1791" s="4"/>
      <c r="P1791" s="14"/>
      <c r="Q1791" s="14"/>
    </row>
    <row r="1792" spans="1:17" x14ac:dyDescent="0.25">
      <c r="A1792" s="5"/>
      <c r="B1792" s="6"/>
      <c r="C1792" s="4"/>
      <c r="D1792" s="4"/>
      <c r="E1792" s="12"/>
      <c r="F1792" s="12"/>
      <c r="G1792" s="16"/>
      <c r="H1792" s="14"/>
      <c r="I1792" s="14"/>
      <c r="J1792" s="14"/>
      <c r="K1792" s="14"/>
      <c r="L1792" s="14"/>
      <c r="M1792" s="14"/>
      <c r="N1792" s="14"/>
      <c r="O1792" s="4"/>
      <c r="P1792" s="14"/>
      <c r="Q1792" s="14"/>
    </row>
    <row r="1793" spans="1:17" x14ac:dyDescent="0.25">
      <c r="A1793" s="5"/>
      <c r="B1793" s="6"/>
      <c r="C1793" s="4"/>
      <c r="D1793" s="4"/>
      <c r="E1793" s="12"/>
      <c r="F1793" s="12"/>
      <c r="G1793" s="16"/>
      <c r="H1793" s="14"/>
      <c r="I1793" s="14"/>
      <c r="J1793" s="14"/>
      <c r="K1793" s="14"/>
      <c r="L1793" s="14"/>
      <c r="M1793" s="14"/>
      <c r="N1793" s="14"/>
      <c r="O1793" s="4"/>
      <c r="P1793" s="14"/>
      <c r="Q1793" s="14"/>
    </row>
    <row r="1794" spans="1:17" x14ac:dyDescent="0.25">
      <c r="A1794" s="5"/>
      <c r="B1794" s="6"/>
      <c r="C1794" s="4"/>
      <c r="D1794" s="4"/>
      <c r="E1794" s="12"/>
      <c r="F1794" s="12"/>
      <c r="G1794" s="16"/>
      <c r="H1794" s="14"/>
      <c r="I1794" s="14"/>
      <c r="J1794" s="14"/>
      <c r="K1794" s="14"/>
      <c r="L1794" s="14"/>
      <c r="M1794" s="14"/>
      <c r="N1794" s="14"/>
      <c r="O1794" s="4"/>
      <c r="P1794" s="14"/>
      <c r="Q1794" s="14"/>
    </row>
    <row r="1795" spans="1:17" x14ac:dyDescent="0.25">
      <c r="A1795" s="5"/>
      <c r="B1795" s="6"/>
      <c r="C1795" s="4"/>
      <c r="D1795" s="4"/>
      <c r="E1795" s="12"/>
      <c r="F1795" s="12"/>
      <c r="G1795" s="16"/>
      <c r="H1795" s="14"/>
      <c r="I1795" s="14"/>
      <c r="J1795" s="14"/>
      <c r="K1795" s="14"/>
      <c r="L1795" s="14"/>
      <c r="M1795" s="14"/>
      <c r="N1795" s="14"/>
      <c r="O1795" s="4"/>
      <c r="P1795" s="14"/>
      <c r="Q1795" s="14"/>
    </row>
    <row r="1796" spans="1:17" x14ac:dyDescent="0.25">
      <c r="A1796" s="5"/>
      <c r="B1796" s="6"/>
      <c r="C1796" s="4"/>
      <c r="D1796" s="4"/>
      <c r="E1796" s="12"/>
      <c r="F1796" s="12"/>
      <c r="G1796" s="16"/>
      <c r="H1796" s="14"/>
      <c r="I1796" s="14"/>
      <c r="J1796" s="14"/>
      <c r="K1796" s="14"/>
      <c r="L1796" s="14"/>
      <c r="M1796" s="14"/>
      <c r="N1796" s="14"/>
      <c r="O1796" s="4"/>
      <c r="P1796" s="14"/>
      <c r="Q1796" s="14"/>
    </row>
    <row r="1797" spans="1:17" x14ac:dyDescent="0.25">
      <c r="A1797" s="5"/>
      <c r="B1797" s="6"/>
      <c r="C1797" s="4"/>
      <c r="D1797" s="4"/>
      <c r="E1797" s="12"/>
      <c r="F1797" s="12"/>
      <c r="G1797" s="16"/>
      <c r="H1797" s="14"/>
      <c r="I1797" s="14"/>
      <c r="J1797" s="14"/>
      <c r="K1797" s="14"/>
      <c r="L1797" s="14"/>
      <c r="M1797" s="14"/>
      <c r="N1797" s="14"/>
      <c r="O1797" s="4"/>
      <c r="P1797" s="14"/>
      <c r="Q1797" s="14"/>
    </row>
    <row r="1798" spans="1:17" x14ac:dyDescent="0.25">
      <c r="A1798" s="5"/>
      <c r="B1798" s="6"/>
      <c r="C1798" s="4"/>
      <c r="D1798" s="4"/>
      <c r="E1798" s="12"/>
      <c r="F1798" s="12"/>
      <c r="G1798" s="16"/>
      <c r="H1798" s="14"/>
      <c r="I1798" s="14"/>
      <c r="J1798" s="14"/>
      <c r="K1798" s="14"/>
      <c r="L1798" s="14"/>
      <c r="M1798" s="14"/>
      <c r="N1798" s="14"/>
      <c r="O1798" s="4"/>
      <c r="P1798" s="14"/>
      <c r="Q1798" s="14"/>
    </row>
    <row r="1799" spans="1:17" x14ac:dyDescent="0.25">
      <c r="A1799" s="5"/>
      <c r="B1799" s="6"/>
      <c r="C1799" s="4"/>
      <c r="D1799" s="4"/>
      <c r="E1799" s="12"/>
      <c r="F1799" s="12"/>
      <c r="G1799" s="16"/>
      <c r="H1799" s="14"/>
      <c r="I1799" s="14"/>
      <c r="J1799" s="14"/>
      <c r="K1799" s="14"/>
      <c r="L1799" s="14"/>
      <c r="M1799" s="14"/>
      <c r="N1799" s="14"/>
      <c r="O1799" s="4"/>
      <c r="P1799" s="14"/>
      <c r="Q1799" s="14"/>
    </row>
    <row r="1800" spans="1:17" x14ac:dyDescent="0.25">
      <c r="A1800" s="5"/>
      <c r="B1800" s="6"/>
      <c r="C1800" s="4"/>
      <c r="D1800" s="4"/>
      <c r="E1800" s="12"/>
      <c r="F1800" s="12"/>
      <c r="G1800" s="16"/>
      <c r="H1800" s="14"/>
      <c r="I1800" s="14"/>
      <c r="J1800" s="14"/>
      <c r="K1800" s="14"/>
      <c r="L1800" s="14"/>
      <c r="M1800" s="14"/>
      <c r="N1800" s="14"/>
      <c r="O1800" s="4"/>
      <c r="P1800" s="14"/>
      <c r="Q1800" s="14"/>
    </row>
    <row r="1801" spans="1:17" x14ac:dyDescent="0.25">
      <c r="A1801" s="5"/>
      <c r="B1801" s="6"/>
      <c r="C1801" s="4"/>
      <c r="D1801" s="4"/>
      <c r="E1801" s="12"/>
      <c r="F1801" s="12"/>
      <c r="G1801" s="16"/>
      <c r="H1801" s="14"/>
      <c r="I1801" s="14"/>
      <c r="J1801" s="14"/>
      <c r="K1801" s="14"/>
      <c r="L1801" s="14"/>
      <c r="M1801" s="14"/>
      <c r="N1801" s="14"/>
      <c r="O1801" s="4"/>
      <c r="P1801" s="14"/>
      <c r="Q1801" s="14"/>
    </row>
    <row r="1802" spans="1:17" x14ac:dyDescent="0.25">
      <c r="A1802" s="5"/>
      <c r="B1802" s="6"/>
      <c r="C1802" s="4"/>
      <c r="D1802" s="4"/>
      <c r="E1802" s="12"/>
      <c r="F1802" s="12"/>
      <c r="G1802" s="16"/>
      <c r="H1802" s="14"/>
      <c r="I1802" s="14"/>
      <c r="J1802" s="14"/>
      <c r="K1802" s="14"/>
      <c r="L1802" s="14"/>
      <c r="M1802" s="14"/>
      <c r="N1802" s="14"/>
      <c r="O1802" s="4"/>
      <c r="P1802" s="14"/>
      <c r="Q1802" s="14"/>
    </row>
    <row r="1803" spans="1:17" x14ac:dyDescent="0.25">
      <c r="A1803" s="5"/>
      <c r="B1803" s="6"/>
      <c r="C1803" s="4"/>
      <c r="D1803" s="4"/>
      <c r="E1803" s="12"/>
      <c r="F1803" s="12"/>
      <c r="G1803" s="16"/>
      <c r="H1803" s="14"/>
      <c r="I1803" s="14"/>
      <c r="J1803" s="14"/>
      <c r="K1803" s="14"/>
      <c r="L1803" s="14"/>
      <c r="M1803" s="14"/>
      <c r="N1803" s="14"/>
      <c r="O1803" s="4"/>
      <c r="P1803" s="14"/>
      <c r="Q1803" s="14"/>
    </row>
    <row r="1804" spans="1:17" x14ac:dyDescent="0.25">
      <c r="A1804" s="5"/>
      <c r="B1804" s="6"/>
      <c r="C1804" s="4"/>
      <c r="D1804" s="4"/>
      <c r="E1804" s="12"/>
      <c r="F1804" s="12"/>
      <c r="G1804" s="16"/>
      <c r="H1804" s="14"/>
      <c r="I1804" s="14"/>
      <c r="J1804" s="14"/>
      <c r="K1804" s="14"/>
      <c r="L1804" s="14"/>
      <c r="M1804" s="14"/>
      <c r="N1804" s="14"/>
      <c r="O1804" s="4"/>
      <c r="P1804" s="14"/>
      <c r="Q1804" s="14"/>
    </row>
    <row r="1805" spans="1:17" x14ac:dyDescent="0.25">
      <c r="A1805" s="5"/>
      <c r="B1805" s="6"/>
      <c r="C1805" s="4"/>
      <c r="D1805" s="4"/>
      <c r="E1805" s="12"/>
      <c r="F1805" s="12"/>
      <c r="G1805" s="16"/>
      <c r="H1805" s="14"/>
      <c r="I1805" s="14"/>
      <c r="J1805" s="14"/>
      <c r="K1805" s="14"/>
      <c r="L1805" s="14"/>
      <c r="M1805" s="14"/>
      <c r="N1805" s="14"/>
      <c r="O1805" s="4"/>
      <c r="P1805" s="14"/>
      <c r="Q1805" s="14"/>
    </row>
    <row r="1806" spans="1:17" x14ac:dyDescent="0.25">
      <c r="A1806" s="5"/>
      <c r="B1806" s="6"/>
      <c r="C1806" s="4"/>
      <c r="D1806" s="4"/>
      <c r="E1806" s="12"/>
      <c r="F1806" s="12"/>
      <c r="G1806" s="16"/>
      <c r="H1806" s="14"/>
      <c r="I1806" s="14"/>
      <c r="J1806" s="14"/>
      <c r="K1806" s="14"/>
      <c r="L1806" s="14"/>
      <c r="M1806" s="14"/>
      <c r="N1806" s="14"/>
      <c r="O1806" s="4"/>
      <c r="P1806" s="14"/>
      <c r="Q1806" s="14"/>
    </row>
    <row r="1807" spans="1:17" x14ac:dyDescent="0.25">
      <c r="A1807" s="5"/>
      <c r="B1807" s="6"/>
      <c r="C1807" s="4"/>
      <c r="D1807" s="4"/>
      <c r="E1807" s="12"/>
      <c r="F1807" s="12"/>
      <c r="G1807" s="16"/>
      <c r="H1807" s="14"/>
      <c r="I1807" s="14"/>
      <c r="J1807" s="14"/>
      <c r="K1807" s="14"/>
      <c r="L1807" s="14"/>
      <c r="M1807" s="14"/>
      <c r="N1807" s="14"/>
      <c r="O1807" s="4"/>
      <c r="P1807" s="14"/>
      <c r="Q1807" s="14"/>
    </row>
    <row r="1808" spans="1:17" x14ac:dyDescent="0.25">
      <c r="A1808" s="5"/>
      <c r="B1808" s="6"/>
      <c r="C1808" s="4"/>
      <c r="D1808" s="4"/>
      <c r="E1808" s="12"/>
      <c r="F1808" s="12"/>
      <c r="G1808" s="16"/>
      <c r="H1808" s="14"/>
      <c r="I1808" s="14"/>
      <c r="J1808" s="14"/>
      <c r="K1808" s="14"/>
      <c r="L1808" s="14"/>
      <c r="M1808" s="14"/>
      <c r="N1808" s="14"/>
      <c r="O1808" s="4"/>
      <c r="P1808" s="14"/>
      <c r="Q1808" s="14"/>
    </row>
    <row r="1809" spans="1:17" x14ac:dyDescent="0.25">
      <c r="A1809" s="5"/>
      <c r="B1809" s="6"/>
      <c r="C1809" s="4"/>
      <c r="D1809" s="4"/>
      <c r="E1809" s="12"/>
      <c r="F1809" s="12"/>
      <c r="G1809" s="16"/>
      <c r="H1809" s="14"/>
      <c r="I1809" s="14"/>
      <c r="J1809" s="14"/>
      <c r="K1809" s="14"/>
      <c r="L1809" s="14"/>
      <c r="M1809" s="14"/>
      <c r="N1809" s="14"/>
      <c r="O1809" s="4"/>
      <c r="P1809" s="14"/>
      <c r="Q1809" s="14"/>
    </row>
    <row r="1810" spans="1:17" x14ac:dyDescent="0.25">
      <c r="A1810" s="5"/>
      <c r="B1810" s="6"/>
      <c r="C1810" s="4"/>
      <c r="D1810" s="4"/>
      <c r="E1810" s="12"/>
      <c r="F1810" s="12"/>
      <c r="G1810" s="16"/>
      <c r="H1810" s="14"/>
      <c r="I1810" s="14"/>
      <c r="J1810" s="14"/>
      <c r="K1810" s="14"/>
      <c r="L1810" s="14"/>
      <c r="M1810" s="14"/>
      <c r="N1810" s="14"/>
      <c r="O1810" s="4"/>
      <c r="P1810" s="14"/>
      <c r="Q1810" s="14"/>
    </row>
    <row r="1811" spans="1:17" x14ac:dyDescent="0.25">
      <c r="A1811" s="5"/>
      <c r="B1811" s="6"/>
      <c r="C1811" s="4"/>
      <c r="D1811" s="4"/>
      <c r="E1811" s="12"/>
      <c r="F1811" s="12"/>
      <c r="G1811" s="16"/>
      <c r="H1811" s="14"/>
      <c r="I1811" s="14"/>
      <c r="J1811" s="14"/>
      <c r="K1811" s="14"/>
      <c r="L1811" s="14"/>
      <c r="M1811" s="14"/>
      <c r="N1811" s="14"/>
      <c r="O1811" s="4"/>
      <c r="P1811" s="14"/>
      <c r="Q1811" s="14"/>
    </row>
    <row r="1812" spans="1:17" x14ac:dyDescent="0.25">
      <c r="A1812" s="5"/>
      <c r="B1812" s="6"/>
      <c r="C1812" s="4"/>
      <c r="D1812" s="4"/>
      <c r="E1812" s="12"/>
      <c r="F1812" s="12"/>
      <c r="G1812" s="16"/>
      <c r="H1812" s="14"/>
      <c r="I1812" s="14"/>
      <c r="J1812" s="14"/>
      <c r="K1812" s="14"/>
      <c r="L1812" s="14"/>
      <c r="M1812" s="14"/>
      <c r="N1812" s="14"/>
      <c r="O1812" s="4"/>
      <c r="P1812" s="14"/>
      <c r="Q1812" s="14"/>
    </row>
    <row r="1813" spans="1:17" x14ac:dyDescent="0.25">
      <c r="A1813" s="5"/>
      <c r="B1813" s="6"/>
      <c r="C1813" s="4"/>
      <c r="D1813" s="4"/>
      <c r="E1813" s="12"/>
      <c r="F1813" s="12"/>
      <c r="G1813" s="16"/>
      <c r="H1813" s="14"/>
      <c r="I1813" s="14"/>
      <c r="J1813" s="14"/>
      <c r="K1813" s="14"/>
      <c r="L1813" s="14"/>
      <c r="M1813" s="14"/>
      <c r="N1813" s="14"/>
      <c r="O1813" s="4"/>
      <c r="P1813" s="14"/>
      <c r="Q1813" s="14"/>
    </row>
    <row r="1814" spans="1:17" x14ac:dyDescent="0.25">
      <c r="A1814" s="5"/>
      <c r="B1814" s="6"/>
      <c r="C1814" s="4"/>
      <c r="D1814" s="4"/>
      <c r="E1814" s="12"/>
      <c r="F1814" s="12"/>
      <c r="G1814" s="16"/>
      <c r="H1814" s="14"/>
      <c r="I1814" s="14"/>
      <c r="J1814" s="14"/>
      <c r="K1814" s="14"/>
      <c r="L1814" s="14"/>
      <c r="M1814" s="14"/>
      <c r="N1814" s="14"/>
      <c r="O1814" s="4"/>
      <c r="P1814" s="14"/>
      <c r="Q1814" s="14"/>
    </row>
    <row r="1815" spans="1:17" x14ac:dyDescent="0.25">
      <c r="A1815" s="5"/>
      <c r="B1815" s="6"/>
      <c r="C1815" s="4"/>
      <c r="D1815" s="4"/>
      <c r="E1815" s="12"/>
      <c r="F1815" s="12"/>
      <c r="G1815" s="16"/>
      <c r="H1815" s="14"/>
      <c r="I1815" s="14"/>
      <c r="J1815" s="14"/>
      <c r="K1815" s="14"/>
      <c r="L1815" s="14"/>
      <c r="M1815" s="14"/>
      <c r="N1815" s="14"/>
      <c r="O1815" s="4"/>
      <c r="P1815" s="14"/>
      <c r="Q1815" s="14"/>
    </row>
    <row r="1816" spans="1:17" x14ac:dyDescent="0.25">
      <c r="A1816" s="5"/>
      <c r="B1816" s="6"/>
      <c r="C1816" s="4"/>
      <c r="D1816" s="4"/>
      <c r="E1816" s="12"/>
      <c r="F1816" s="12"/>
      <c r="G1816" s="16"/>
      <c r="H1816" s="14"/>
      <c r="I1816" s="14"/>
      <c r="J1816" s="14"/>
      <c r="K1816" s="14"/>
      <c r="L1816" s="14"/>
      <c r="M1816" s="14"/>
      <c r="N1816" s="14"/>
      <c r="O1816" s="4"/>
      <c r="P1816" s="14"/>
      <c r="Q1816" s="14"/>
    </row>
    <row r="1817" spans="1:17" x14ac:dyDescent="0.25">
      <c r="A1817" s="5"/>
      <c r="B1817" s="6"/>
      <c r="C1817" s="4"/>
      <c r="D1817" s="4"/>
      <c r="E1817" s="12"/>
      <c r="F1817" s="12"/>
      <c r="G1817" s="16"/>
      <c r="H1817" s="14"/>
      <c r="I1817" s="14"/>
      <c r="J1817" s="14"/>
      <c r="K1817" s="14"/>
      <c r="L1817" s="14"/>
      <c r="M1817" s="14"/>
      <c r="N1817" s="14"/>
      <c r="O1817" s="4"/>
      <c r="P1817" s="14"/>
      <c r="Q1817" s="14"/>
    </row>
    <row r="1818" spans="1:17" x14ac:dyDescent="0.25">
      <c r="A1818" s="5"/>
      <c r="B1818" s="6"/>
      <c r="C1818" s="4"/>
      <c r="D1818" s="4"/>
      <c r="E1818" s="12"/>
      <c r="F1818" s="12"/>
      <c r="G1818" s="16"/>
      <c r="H1818" s="14"/>
      <c r="I1818" s="14"/>
      <c r="J1818" s="14"/>
      <c r="K1818" s="14"/>
      <c r="L1818" s="14"/>
      <c r="M1818" s="14"/>
      <c r="N1818" s="14"/>
      <c r="O1818" s="4"/>
      <c r="P1818" s="14"/>
      <c r="Q1818" s="14"/>
    </row>
    <row r="1819" spans="1:17" x14ac:dyDescent="0.25">
      <c r="A1819" s="5"/>
      <c r="B1819" s="6"/>
      <c r="C1819" s="4"/>
      <c r="D1819" s="4"/>
      <c r="E1819" s="12"/>
      <c r="F1819" s="12"/>
      <c r="G1819" s="16"/>
      <c r="H1819" s="14"/>
      <c r="I1819" s="14"/>
      <c r="J1819" s="14"/>
      <c r="K1819" s="14"/>
      <c r="L1819" s="14"/>
      <c r="M1819" s="14"/>
      <c r="N1819" s="14"/>
      <c r="O1819" s="4"/>
      <c r="P1819" s="14"/>
      <c r="Q1819" s="14"/>
    </row>
    <row r="1820" spans="1:17" x14ac:dyDescent="0.25">
      <c r="A1820" s="5"/>
      <c r="B1820" s="6"/>
      <c r="C1820" s="4"/>
      <c r="D1820" s="4"/>
      <c r="E1820" s="12"/>
      <c r="F1820" s="12"/>
      <c r="G1820" s="16"/>
      <c r="H1820" s="14"/>
      <c r="I1820" s="14"/>
      <c r="J1820" s="14"/>
      <c r="K1820" s="14"/>
      <c r="L1820" s="14"/>
      <c r="M1820" s="14"/>
      <c r="N1820" s="14"/>
      <c r="O1820" s="4"/>
      <c r="P1820" s="14"/>
      <c r="Q1820" s="14"/>
    </row>
    <row r="1821" spans="1:17" x14ac:dyDescent="0.25">
      <c r="A1821" s="5"/>
      <c r="B1821" s="6"/>
      <c r="C1821" s="4"/>
      <c r="D1821" s="4"/>
      <c r="E1821" s="12"/>
      <c r="F1821" s="12"/>
      <c r="G1821" s="16"/>
      <c r="H1821" s="14"/>
      <c r="I1821" s="14"/>
      <c r="J1821" s="14"/>
      <c r="K1821" s="14"/>
      <c r="L1821" s="14"/>
      <c r="M1821" s="14"/>
      <c r="N1821" s="14"/>
      <c r="O1821" s="4"/>
      <c r="P1821" s="14"/>
      <c r="Q1821" s="14"/>
    </row>
    <row r="1822" spans="1:17" x14ac:dyDescent="0.25">
      <c r="A1822" s="5"/>
      <c r="B1822" s="6"/>
      <c r="C1822" s="4"/>
      <c r="D1822" s="4"/>
      <c r="E1822" s="12"/>
      <c r="F1822" s="12"/>
      <c r="G1822" s="16"/>
      <c r="H1822" s="14"/>
      <c r="I1822" s="14"/>
      <c r="J1822" s="14"/>
      <c r="K1822" s="14"/>
      <c r="L1822" s="14"/>
      <c r="M1822" s="14"/>
      <c r="N1822" s="14"/>
      <c r="O1822" s="4"/>
      <c r="P1822" s="14"/>
      <c r="Q1822" s="14"/>
    </row>
    <row r="1823" spans="1:17" x14ac:dyDescent="0.25">
      <c r="A1823" s="5"/>
      <c r="B1823" s="6"/>
      <c r="C1823" s="4"/>
      <c r="D1823" s="4"/>
      <c r="E1823" s="12"/>
      <c r="F1823" s="12"/>
      <c r="G1823" s="16"/>
      <c r="H1823" s="14"/>
      <c r="I1823" s="14"/>
      <c r="J1823" s="14"/>
      <c r="K1823" s="14"/>
      <c r="L1823" s="14"/>
      <c r="M1823" s="14"/>
      <c r="N1823" s="14"/>
      <c r="O1823" s="4"/>
      <c r="P1823" s="14"/>
      <c r="Q1823" s="14"/>
    </row>
    <row r="1824" spans="1:17" x14ac:dyDescent="0.25">
      <c r="A1824" s="5"/>
      <c r="B1824" s="6"/>
      <c r="C1824" s="4"/>
      <c r="D1824" s="4"/>
      <c r="E1824" s="12"/>
      <c r="F1824" s="12"/>
      <c r="G1824" s="16"/>
      <c r="H1824" s="14"/>
      <c r="I1824" s="14"/>
      <c r="J1824" s="14"/>
      <c r="K1824" s="14"/>
      <c r="L1824" s="14"/>
      <c r="M1824" s="14"/>
      <c r="N1824" s="14"/>
      <c r="O1824" s="4"/>
      <c r="P1824" s="14"/>
      <c r="Q1824" s="14"/>
    </row>
    <row r="1825" spans="1:17" x14ac:dyDescent="0.25">
      <c r="A1825" s="5"/>
      <c r="B1825" s="6"/>
      <c r="C1825" s="4"/>
      <c r="D1825" s="4"/>
      <c r="E1825" s="12"/>
      <c r="F1825" s="12"/>
      <c r="G1825" s="16"/>
      <c r="H1825" s="14"/>
      <c r="I1825" s="14"/>
      <c r="J1825" s="14"/>
      <c r="K1825" s="14"/>
      <c r="L1825" s="14"/>
      <c r="M1825" s="14"/>
      <c r="N1825" s="14"/>
      <c r="O1825" s="4"/>
      <c r="P1825" s="14"/>
      <c r="Q1825" s="14"/>
    </row>
    <row r="1826" spans="1:17" x14ac:dyDescent="0.25">
      <c r="A1826" s="5"/>
      <c r="B1826" s="6"/>
      <c r="C1826" s="4"/>
      <c r="D1826" s="4"/>
      <c r="E1826" s="12"/>
      <c r="F1826" s="12"/>
      <c r="G1826" s="16"/>
      <c r="H1826" s="14"/>
      <c r="I1826" s="14"/>
      <c r="J1826" s="14"/>
      <c r="K1826" s="14"/>
      <c r="L1826" s="14"/>
      <c r="M1826" s="14"/>
      <c r="N1826" s="14"/>
      <c r="O1826" s="4"/>
      <c r="P1826" s="14"/>
      <c r="Q1826" s="14"/>
    </row>
    <row r="1827" spans="1:17" x14ac:dyDescent="0.25">
      <c r="A1827" s="5"/>
      <c r="B1827" s="6"/>
      <c r="C1827" s="4"/>
      <c r="D1827" s="4"/>
      <c r="E1827" s="12"/>
      <c r="F1827" s="12"/>
      <c r="G1827" s="16"/>
      <c r="H1827" s="14"/>
      <c r="I1827" s="14"/>
      <c r="J1827" s="14"/>
      <c r="K1827" s="14"/>
      <c r="L1827" s="14"/>
      <c r="M1827" s="14"/>
      <c r="N1827" s="14"/>
      <c r="O1827" s="4"/>
      <c r="P1827" s="14"/>
      <c r="Q1827" s="14"/>
    </row>
    <row r="1828" spans="1:17" x14ac:dyDescent="0.25">
      <c r="A1828" s="5"/>
      <c r="B1828" s="6"/>
      <c r="C1828" s="4"/>
      <c r="D1828" s="4"/>
      <c r="E1828" s="12"/>
      <c r="F1828" s="12"/>
      <c r="G1828" s="16"/>
      <c r="H1828" s="14"/>
      <c r="I1828" s="14"/>
      <c r="J1828" s="14"/>
      <c r="K1828" s="14"/>
      <c r="L1828" s="14"/>
      <c r="M1828" s="14"/>
      <c r="N1828" s="14"/>
      <c r="O1828" s="4"/>
      <c r="P1828" s="14"/>
      <c r="Q1828" s="14"/>
    </row>
    <row r="1829" spans="1:17" x14ac:dyDescent="0.25">
      <c r="A1829" s="5"/>
      <c r="B1829" s="6"/>
      <c r="C1829" s="4"/>
      <c r="D1829" s="4"/>
      <c r="E1829" s="12"/>
      <c r="F1829" s="12"/>
      <c r="G1829" s="16"/>
      <c r="H1829" s="14"/>
      <c r="I1829" s="14"/>
      <c r="J1829" s="14"/>
      <c r="K1829" s="14"/>
      <c r="L1829" s="14"/>
      <c r="M1829" s="14"/>
      <c r="N1829" s="14"/>
      <c r="O1829" s="4"/>
      <c r="P1829" s="14"/>
      <c r="Q1829" s="14"/>
    </row>
    <row r="1830" spans="1:17" x14ac:dyDescent="0.25">
      <c r="A1830" s="5"/>
      <c r="B1830" s="6"/>
      <c r="C1830" s="4"/>
      <c r="D1830" s="4"/>
      <c r="E1830" s="12"/>
      <c r="F1830" s="12"/>
      <c r="G1830" s="16"/>
      <c r="H1830" s="14"/>
      <c r="I1830" s="14"/>
      <c r="J1830" s="14"/>
      <c r="K1830" s="14"/>
      <c r="L1830" s="14"/>
      <c r="M1830" s="14"/>
      <c r="N1830" s="14"/>
      <c r="O1830" s="4"/>
      <c r="P1830" s="14"/>
      <c r="Q1830" s="14"/>
    </row>
    <row r="1831" spans="1:17" x14ac:dyDescent="0.25">
      <c r="A1831" s="5"/>
      <c r="B1831" s="6"/>
      <c r="C1831" s="4"/>
      <c r="D1831" s="4"/>
      <c r="E1831" s="12"/>
      <c r="F1831" s="12"/>
      <c r="G1831" s="16"/>
      <c r="H1831" s="14"/>
      <c r="I1831" s="14"/>
      <c r="J1831" s="14"/>
      <c r="K1831" s="14"/>
      <c r="L1831" s="14"/>
      <c r="M1831" s="14"/>
      <c r="N1831" s="14"/>
      <c r="O1831" s="4"/>
      <c r="P1831" s="14"/>
      <c r="Q1831" s="14"/>
    </row>
    <row r="1832" spans="1:17" x14ac:dyDescent="0.25">
      <c r="A1832" s="5"/>
      <c r="B1832" s="6"/>
      <c r="C1832" s="4"/>
      <c r="D1832" s="4"/>
      <c r="E1832" s="12"/>
      <c r="F1832" s="12"/>
      <c r="G1832" s="16"/>
      <c r="H1832" s="14"/>
      <c r="I1832" s="14"/>
      <c r="J1832" s="14"/>
      <c r="K1832" s="14"/>
      <c r="L1832" s="14"/>
      <c r="M1832" s="14"/>
      <c r="N1832" s="14"/>
      <c r="O1832" s="4"/>
      <c r="P1832" s="14"/>
      <c r="Q1832" s="14"/>
    </row>
    <row r="1833" spans="1:17" x14ac:dyDescent="0.25">
      <c r="A1833" s="5"/>
      <c r="B1833" s="6"/>
      <c r="C1833" s="4"/>
      <c r="D1833" s="4"/>
      <c r="E1833" s="12"/>
      <c r="F1833" s="12"/>
      <c r="G1833" s="16"/>
      <c r="H1833" s="14"/>
      <c r="I1833" s="14"/>
      <c r="J1833" s="14"/>
      <c r="K1833" s="14"/>
      <c r="L1833" s="14"/>
      <c r="M1833" s="14"/>
      <c r="N1833" s="14"/>
      <c r="O1833" s="4"/>
      <c r="P1833" s="14"/>
      <c r="Q1833" s="14"/>
    </row>
    <row r="1834" spans="1:17" x14ac:dyDescent="0.25">
      <c r="A1834" s="5"/>
      <c r="B1834" s="6"/>
      <c r="C1834" s="4"/>
      <c r="D1834" s="4"/>
      <c r="E1834" s="12"/>
      <c r="F1834" s="12"/>
      <c r="G1834" s="16"/>
      <c r="H1834" s="14"/>
      <c r="I1834" s="14"/>
      <c r="J1834" s="14"/>
      <c r="K1834" s="14"/>
      <c r="L1834" s="14"/>
      <c r="M1834" s="14"/>
      <c r="N1834" s="14"/>
      <c r="O1834" s="4"/>
      <c r="P1834" s="14"/>
      <c r="Q1834" s="14"/>
    </row>
    <row r="1835" spans="1:17" x14ac:dyDescent="0.25">
      <c r="A1835" s="5"/>
      <c r="B1835" s="6"/>
      <c r="C1835" s="4"/>
      <c r="D1835" s="4"/>
      <c r="E1835" s="12"/>
      <c r="F1835" s="12"/>
      <c r="G1835" s="16"/>
      <c r="H1835" s="14"/>
      <c r="I1835" s="14"/>
      <c r="J1835" s="14"/>
      <c r="K1835" s="14"/>
      <c r="L1835" s="14"/>
      <c r="M1835" s="14"/>
      <c r="N1835" s="14"/>
      <c r="O1835" s="4"/>
      <c r="P1835" s="14"/>
      <c r="Q1835" s="14"/>
    </row>
    <row r="1836" spans="1:17" x14ac:dyDescent="0.25">
      <c r="A1836" s="5"/>
      <c r="B1836" s="6"/>
      <c r="C1836" s="4"/>
      <c r="D1836" s="4"/>
      <c r="E1836" s="12"/>
      <c r="F1836" s="12"/>
      <c r="G1836" s="16"/>
      <c r="H1836" s="14"/>
      <c r="I1836" s="14"/>
      <c r="J1836" s="14"/>
      <c r="K1836" s="14"/>
      <c r="L1836" s="14"/>
      <c r="M1836" s="14"/>
      <c r="N1836" s="14"/>
      <c r="O1836" s="4"/>
      <c r="P1836" s="14"/>
      <c r="Q1836" s="14"/>
    </row>
    <row r="1837" spans="1:17" x14ac:dyDescent="0.25">
      <c r="A1837" s="5"/>
      <c r="B1837" s="6"/>
      <c r="C1837" s="4"/>
      <c r="D1837" s="4"/>
      <c r="E1837" s="12"/>
      <c r="F1837" s="12"/>
      <c r="G1837" s="16"/>
      <c r="H1837" s="14"/>
      <c r="I1837" s="14"/>
      <c r="J1837" s="14"/>
      <c r="K1837" s="14"/>
      <c r="L1837" s="14"/>
      <c r="M1837" s="14"/>
      <c r="N1837" s="14"/>
      <c r="O1837" s="4"/>
      <c r="P1837" s="14"/>
      <c r="Q1837" s="14"/>
    </row>
    <row r="1838" spans="1:17" x14ac:dyDescent="0.25">
      <c r="A1838" s="5"/>
      <c r="B1838" s="6"/>
      <c r="C1838" s="4"/>
      <c r="D1838" s="4"/>
      <c r="E1838" s="12"/>
      <c r="F1838" s="12"/>
      <c r="G1838" s="16"/>
      <c r="H1838" s="14"/>
      <c r="I1838" s="14"/>
      <c r="J1838" s="14"/>
      <c r="K1838" s="14"/>
      <c r="L1838" s="14"/>
      <c r="M1838" s="14"/>
      <c r="N1838" s="14"/>
      <c r="O1838" s="4"/>
      <c r="P1838" s="14"/>
      <c r="Q1838" s="14"/>
    </row>
    <row r="1839" spans="1:17" x14ac:dyDescent="0.25">
      <c r="A1839" s="5"/>
      <c r="B1839" s="6"/>
      <c r="C1839" s="4"/>
      <c r="D1839" s="4"/>
      <c r="E1839" s="12"/>
      <c r="F1839" s="12"/>
      <c r="G1839" s="16"/>
      <c r="H1839" s="14"/>
      <c r="I1839" s="14"/>
      <c r="J1839" s="14"/>
      <c r="K1839" s="14"/>
      <c r="L1839" s="14"/>
      <c r="M1839" s="14"/>
      <c r="N1839" s="14"/>
      <c r="O1839" s="4"/>
      <c r="P1839" s="14"/>
      <c r="Q1839" s="14"/>
    </row>
    <row r="1840" spans="1:17" x14ac:dyDescent="0.25">
      <c r="A1840" s="5"/>
      <c r="B1840" s="6"/>
      <c r="C1840" s="4"/>
      <c r="D1840" s="4"/>
      <c r="E1840" s="12"/>
      <c r="F1840" s="12"/>
      <c r="G1840" s="16"/>
      <c r="H1840" s="14"/>
      <c r="I1840" s="14"/>
      <c r="J1840" s="14"/>
      <c r="K1840" s="14"/>
      <c r="L1840" s="14"/>
      <c r="M1840" s="14"/>
      <c r="N1840" s="14"/>
      <c r="O1840" s="4"/>
      <c r="P1840" s="14"/>
      <c r="Q1840" s="14"/>
    </row>
    <row r="1841" spans="1:17" x14ac:dyDescent="0.25">
      <c r="A1841" s="5"/>
      <c r="B1841" s="6"/>
      <c r="C1841" s="4"/>
      <c r="D1841" s="4"/>
      <c r="E1841" s="12"/>
      <c r="F1841" s="12"/>
      <c r="G1841" s="16"/>
      <c r="H1841" s="14"/>
      <c r="I1841" s="14"/>
      <c r="J1841" s="14"/>
      <c r="K1841" s="14"/>
      <c r="L1841" s="14"/>
      <c r="M1841" s="14"/>
      <c r="N1841" s="14"/>
      <c r="O1841" s="4"/>
      <c r="P1841" s="14"/>
      <c r="Q1841" s="14"/>
    </row>
    <row r="1842" spans="1:17" x14ac:dyDescent="0.25">
      <c r="A1842" s="5"/>
      <c r="B1842" s="6"/>
      <c r="C1842" s="4"/>
      <c r="D1842" s="4"/>
      <c r="E1842" s="12"/>
      <c r="F1842" s="12"/>
      <c r="G1842" s="16"/>
      <c r="H1842" s="14"/>
      <c r="I1842" s="14"/>
      <c r="J1842" s="14"/>
      <c r="K1842" s="14"/>
      <c r="L1842" s="14"/>
      <c r="M1842" s="14"/>
      <c r="N1842" s="14"/>
      <c r="O1842" s="4"/>
      <c r="P1842" s="14"/>
      <c r="Q1842" s="14"/>
    </row>
    <row r="1843" spans="1:17" x14ac:dyDescent="0.25">
      <c r="A1843" s="5"/>
      <c r="B1843" s="6"/>
      <c r="C1843" s="4"/>
      <c r="D1843" s="4"/>
      <c r="E1843" s="12"/>
      <c r="F1843" s="12"/>
      <c r="G1843" s="16"/>
      <c r="H1843" s="14"/>
      <c r="I1843" s="14"/>
      <c r="J1843" s="14"/>
      <c r="K1843" s="14"/>
      <c r="L1843" s="14"/>
      <c r="M1843" s="14"/>
      <c r="N1843" s="14"/>
      <c r="O1843" s="4"/>
      <c r="P1843" s="14"/>
      <c r="Q1843" s="14"/>
    </row>
    <row r="1844" spans="1:17" x14ac:dyDescent="0.25">
      <c r="A1844" s="5"/>
      <c r="B1844" s="6"/>
      <c r="C1844" s="4"/>
      <c r="D1844" s="4"/>
      <c r="E1844" s="12"/>
      <c r="F1844" s="12"/>
      <c r="G1844" s="16"/>
      <c r="H1844" s="14"/>
      <c r="I1844" s="14"/>
      <c r="J1844" s="14"/>
      <c r="K1844" s="14"/>
      <c r="L1844" s="14"/>
      <c r="M1844" s="14"/>
      <c r="N1844" s="14"/>
      <c r="O1844" s="4"/>
      <c r="P1844" s="14"/>
      <c r="Q1844" s="14"/>
    </row>
    <row r="1845" spans="1:17" x14ac:dyDescent="0.25">
      <c r="A1845" s="5"/>
      <c r="B1845" s="6"/>
      <c r="C1845" s="4"/>
      <c r="D1845" s="4"/>
      <c r="E1845" s="12"/>
      <c r="F1845" s="12"/>
      <c r="G1845" s="16"/>
      <c r="H1845" s="14"/>
      <c r="I1845" s="14"/>
      <c r="J1845" s="14"/>
      <c r="K1845" s="14"/>
      <c r="L1845" s="14"/>
      <c r="M1845" s="14"/>
      <c r="N1845" s="14"/>
      <c r="O1845" s="4"/>
      <c r="P1845" s="14"/>
      <c r="Q1845" s="14"/>
    </row>
    <row r="1846" spans="1:17" x14ac:dyDescent="0.25">
      <c r="A1846" s="5"/>
      <c r="B1846" s="6"/>
      <c r="C1846" s="4"/>
      <c r="D1846" s="4"/>
      <c r="E1846" s="12"/>
      <c r="F1846" s="12"/>
      <c r="G1846" s="16"/>
      <c r="H1846" s="14"/>
      <c r="I1846" s="14"/>
      <c r="J1846" s="14"/>
      <c r="K1846" s="14"/>
      <c r="L1846" s="14"/>
      <c r="M1846" s="14"/>
      <c r="N1846" s="14"/>
      <c r="O1846" s="4"/>
      <c r="P1846" s="14"/>
      <c r="Q1846" s="14"/>
    </row>
    <row r="1847" spans="1:17" x14ac:dyDescent="0.25">
      <c r="A1847" s="5"/>
      <c r="B1847" s="6"/>
      <c r="C1847" s="4"/>
      <c r="D1847" s="4"/>
      <c r="E1847" s="12"/>
      <c r="F1847" s="12"/>
      <c r="G1847" s="16"/>
      <c r="H1847" s="14"/>
      <c r="I1847" s="14"/>
      <c r="J1847" s="14"/>
      <c r="K1847" s="14"/>
      <c r="L1847" s="14"/>
      <c r="M1847" s="14"/>
      <c r="N1847" s="14"/>
      <c r="O1847" s="4"/>
      <c r="P1847" s="14"/>
      <c r="Q1847" s="14"/>
    </row>
    <row r="1848" spans="1:17" x14ac:dyDescent="0.25">
      <c r="A1848" s="5"/>
      <c r="B1848" s="6"/>
      <c r="C1848" s="4"/>
      <c r="D1848" s="4"/>
      <c r="E1848" s="12"/>
      <c r="F1848" s="12"/>
      <c r="G1848" s="16"/>
      <c r="H1848" s="14"/>
      <c r="I1848" s="14"/>
      <c r="J1848" s="14"/>
      <c r="K1848" s="14"/>
      <c r="L1848" s="14"/>
      <c r="M1848" s="14"/>
      <c r="N1848" s="14"/>
      <c r="O1848" s="4"/>
      <c r="P1848" s="14"/>
      <c r="Q1848" s="14"/>
    </row>
    <row r="1849" spans="1:17" x14ac:dyDescent="0.25">
      <c r="A1849" s="5"/>
      <c r="B1849" s="6"/>
      <c r="C1849" s="4"/>
      <c r="D1849" s="4"/>
      <c r="E1849" s="12"/>
      <c r="F1849" s="12"/>
      <c r="G1849" s="16"/>
      <c r="H1849" s="14"/>
      <c r="I1849" s="14"/>
      <c r="J1849" s="14"/>
      <c r="K1849" s="14"/>
      <c r="L1849" s="14"/>
      <c r="M1849" s="14"/>
      <c r="N1849" s="14"/>
      <c r="O1849" s="4"/>
      <c r="P1849" s="14"/>
      <c r="Q1849" s="14"/>
    </row>
    <row r="1850" spans="1:17" x14ac:dyDescent="0.25">
      <c r="A1850" s="5"/>
      <c r="B1850" s="6"/>
      <c r="C1850" s="4"/>
      <c r="D1850" s="4"/>
      <c r="E1850" s="12"/>
      <c r="F1850" s="12"/>
      <c r="G1850" s="16"/>
      <c r="H1850" s="14"/>
      <c r="I1850" s="14"/>
      <c r="J1850" s="14"/>
      <c r="K1850" s="14"/>
      <c r="L1850" s="14"/>
      <c r="M1850" s="14"/>
      <c r="N1850" s="14"/>
      <c r="O1850" s="4"/>
      <c r="P1850" s="14"/>
      <c r="Q1850" s="14"/>
    </row>
    <row r="1851" spans="1:17" x14ac:dyDescent="0.25">
      <c r="A1851" s="5"/>
      <c r="B1851" s="6"/>
      <c r="C1851" s="4"/>
      <c r="D1851" s="4"/>
      <c r="E1851" s="12"/>
      <c r="F1851" s="12"/>
      <c r="G1851" s="16"/>
      <c r="H1851" s="14"/>
      <c r="I1851" s="14"/>
      <c r="J1851" s="14"/>
      <c r="K1851" s="14"/>
      <c r="L1851" s="14"/>
      <c r="M1851" s="14"/>
      <c r="N1851" s="14"/>
      <c r="O1851" s="4"/>
      <c r="P1851" s="14"/>
      <c r="Q1851" s="14"/>
    </row>
    <row r="1852" spans="1:17" x14ac:dyDescent="0.25">
      <c r="A1852" s="5"/>
      <c r="B1852" s="6"/>
      <c r="C1852" s="4"/>
      <c r="D1852" s="4"/>
      <c r="E1852" s="12"/>
      <c r="F1852" s="12"/>
      <c r="G1852" s="16"/>
      <c r="H1852" s="14"/>
      <c r="I1852" s="14"/>
      <c r="J1852" s="14"/>
      <c r="K1852" s="14"/>
      <c r="L1852" s="14"/>
      <c r="M1852" s="14"/>
      <c r="N1852" s="14"/>
      <c r="O1852" s="4"/>
      <c r="P1852" s="14"/>
      <c r="Q1852" s="14"/>
    </row>
    <row r="1853" spans="1:17" x14ac:dyDescent="0.25">
      <c r="A1853" s="5"/>
      <c r="B1853" s="6"/>
      <c r="C1853" s="4"/>
      <c r="D1853" s="4"/>
      <c r="E1853" s="12"/>
      <c r="F1853" s="12"/>
      <c r="G1853" s="16"/>
      <c r="H1853" s="14"/>
      <c r="I1853" s="14"/>
      <c r="J1853" s="14"/>
      <c r="K1853" s="14"/>
      <c r="L1853" s="14"/>
      <c r="M1853" s="14"/>
      <c r="N1853" s="14"/>
      <c r="O1853" s="4"/>
      <c r="P1853" s="14"/>
      <c r="Q1853" s="14"/>
    </row>
    <row r="1854" spans="1:17" x14ac:dyDescent="0.25">
      <c r="A1854" s="5"/>
      <c r="B1854" s="6"/>
      <c r="C1854" s="4"/>
      <c r="D1854" s="4"/>
      <c r="E1854" s="12"/>
      <c r="F1854" s="12"/>
      <c r="G1854" s="16"/>
      <c r="H1854" s="14"/>
      <c r="I1854" s="14"/>
      <c r="J1854" s="14"/>
      <c r="K1854" s="14"/>
      <c r="L1854" s="14"/>
      <c r="M1854" s="14"/>
      <c r="N1854" s="14"/>
      <c r="O1854" s="4"/>
      <c r="P1854" s="14"/>
      <c r="Q1854" s="14"/>
    </row>
    <row r="1855" spans="1:17" x14ac:dyDescent="0.25">
      <c r="A1855" s="5"/>
      <c r="B1855" s="6"/>
      <c r="C1855" s="4"/>
      <c r="D1855" s="4"/>
      <c r="E1855" s="12"/>
      <c r="F1855" s="12"/>
      <c r="G1855" s="16"/>
      <c r="H1855" s="14"/>
      <c r="I1855" s="14"/>
      <c r="J1855" s="14"/>
      <c r="K1855" s="14"/>
      <c r="L1855" s="14"/>
      <c r="M1855" s="14"/>
      <c r="N1855" s="14"/>
      <c r="O1855" s="4"/>
      <c r="P1855" s="14"/>
      <c r="Q1855" s="14"/>
    </row>
    <row r="1856" spans="1:17" x14ac:dyDescent="0.25">
      <c r="A1856" s="5"/>
      <c r="B1856" s="6"/>
      <c r="C1856" s="4"/>
      <c r="D1856" s="4"/>
      <c r="E1856" s="12"/>
      <c r="F1856" s="12"/>
      <c r="G1856" s="16"/>
      <c r="H1856" s="14"/>
      <c r="I1856" s="14"/>
      <c r="J1856" s="14"/>
      <c r="K1856" s="14"/>
      <c r="L1856" s="14"/>
      <c r="M1856" s="14"/>
      <c r="N1856" s="14"/>
      <c r="O1856" s="4"/>
      <c r="P1856" s="14"/>
      <c r="Q1856" s="14"/>
    </row>
    <row r="1857" spans="1:17" x14ac:dyDescent="0.25">
      <c r="A1857" s="5"/>
      <c r="B1857" s="6"/>
      <c r="C1857" s="4"/>
      <c r="D1857" s="4"/>
      <c r="E1857" s="12"/>
      <c r="F1857" s="12"/>
      <c r="G1857" s="16"/>
      <c r="H1857" s="14"/>
      <c r="I1857" s="14"/>
      <c r="J1857" s="14"/>
      <c r="K1857" s="14"/>
      <c r="L1857" s="14"/>
      <c r="M1857" s="14"/>
      <c r="N1857" s="14"/>
      <c r="O1857" s="4"/>
      <c r="P1857" s="14"/>
      <c r="Q1857" s="14"/>
    </row>
    <row r="1858" spans="1:17" x14ac:dyDescent="0.25">
      <c r="A1858" s="5"/>
      <c r="B1858" s="6"/>
      <c r="C1858" s="4"/>
      <c r="D1858" s="4"/>
      <c r="E1858" s="12"/>
      <c r="F1858" s="12"/>
      <c r="G1858" s="16"/>
      <c r="H1858" s="14"/>
      <c r="I1858" s="14"/>
      <c r="J1858" s="14"/>
      <c r="K1858" s="14"/>
      <c r="L1858" s="14"/>
      <c r="M1858" s="14"/>
      <c r="N1858" s="14"/>
      <c r="O1858" s="4"/>
      <c r="P1858" s="14"/>
      <c r="Q1858" s="14"/>
    </row>
    <row r="1859" spans="1:17" x14ac:dyDescent="0.25">
      <c r="A1859" s="5"/>
      <c r="B1859" s="6"/>
      <c r="C1859" s="4"/>
      <c r="D1859" s="4"/>
      <c r="E1859" s="12"/>
      <c r="F1859" s="12"/>
      <c r="G1859" s="16"/>
      <c r="H1859" s="14"/>
      <c r="I1859" s="14"/>
      <c r="J1859" s="14"/>
      <c r="K1859" s="14"/>
      <c r="L1859" s="14"/>
      <c r="M1859" s="14"/>
      <c r="N1859" s="14"/>
      <c r="O1859" s="4"/>
      <c r="P1859" s="14"/>
      <c r="Q1859" s="14"/>
    </row>
    <row r="1860" spans="1:17" x14ac:dyDescent="0.25">
      <c r="A1860" s="5"/>
      <c r="B1860" s="6"/>
      <c r="C1860" s="4"/>
      <c r="D1860" s="4"/>
      <c r="E1860" s="12"/>
      <c r="F1860" s="12"/>
      <c r="G1860" s="16"/>
      <c r="H1860" s="14"/>
      <c r="I1860" s="14"/>
      <c r="J1860" s="14"/>
      <c r="K1860" s="14"/>
      <c r="L1860" s="14"/>
      <c r="M1860" s="14"/>
      <c r="N1860" s="14"/>
      <c r="O1860" s="4"/>
      <c r="P1860" s="14"/>
      <c r="Q1860" s="14"/>
    </row>
    <row r="1861" spans="1:17" x14ac:dyDescent="0.25">
      <c r="A1861" s="5"/>
      <c r="B1861" s="6"/>
      <c r="C1861" s="4"/>
      <c r="D1861" s="4"/>
      <c r="E1861" s="12"/>
      <c r="F1861" s="12"/>
      <c r="G1861" s="16"/>
      <c r="H1861" s="14"/>
      <c r="I1861" s="14"/>
      <c r="J1861" s="14"/>
      <c r="K1861" s="14"/>
      <c r="L1861" s="14"/>
      <c r="M1861" s="14"/>
      <c r="N1861" s="14"/>
      <c r="O1861" s="4"/>
      <c r="P1861" s="14"/>
      <c r="Q1861" s="14"/>
    </row>
    <row r="1862" spans="1:17" x14ac:dyDescent="0.25">
      <c r="A1862" s="5"/>
      <c r="B1862" s="6"/>
      <c r="C1862" s="4"/>
      <c r="D1862" s="4"/>
      <c r="E1862" s="12"/>
      <c r="F1862" s="12"/>
      <c r="G1862" s="16"/>
      <c r="H1862" s="14"/>
      <c r="I1862" s="14"/>
      <c r="J1862" s="14"/>
      <c r="K1862" s="14"/>
      <c r="L1862" s="14"/>
      <c r="M1862" s="14"/>
      <c r="N1862" s="14"/>
      <c r="O1862" s="4"/>
      <c r="P1862" s="14"/>
      <c r="Q1862" s="14"/>
    </row>
    <row r="1863" spans="1:17" x14ac:dyDescent="0.25">
      <c r="A1863" s="5"/>
      <c r="B1863" s="6"/>
      <c r="C1863" s="4"/>
      <c r="D1863" s="4"/>
      <c r="E1863" s="12"/>
      <c r="F1863" s="12"/>
      <c r="G1863" s="16"/>
      <c r="H1863" s="14"/>
      <c r="I1863" s="14"/>
      <c r="J1863" s="14"/>
      <c r="K1863" s="14"/>
      <c r="L1863" s="14"/>
      <c r="M1863" s="14"/>
      <c r="N1863" s="14"/>
      <c r="O1863" s="4"/>
      <c r="P1863" s="14"/>
      <c r="Q1863" s="14"/>
    </row>
    <row r="1864" spans="1:17" x14ac:dyDescent="0.25">
      <c r="A1864" s="5"/>
      <c r="B1864" s="6"/>
      <c r="C1864" s="4"/>
      <c r="D1864" s="4"/>
      <c r="E1864" s="12"/>
      <c r="F1864" s="12"/>
      <c r="G1864" s="16"/>
      <c r="H1864" s="14"/>
      <c r="I1864" s="14"/>
      <c r="J1864" s="14"/>
      <c r="K1864" s="14"/>
      <c r="L1864" s="14"/>
      <c r="M1864" s="14"/>
      <c r="N1864" s="14"/>
      <c r="O1864" s="4"/>
      <c r="P1864" s="14"/>
      <c r="Q1864" s="14"/>
    </row>
    <row r="1865" spans="1:17" x14ac:dyDescent="0.25">
      <c r="A1865" s="5"/>
      <c r="B1865" s="6"/>
      <c r="C1865" s="4"/>
      <c r="D1865" s="4"/>
      <c r="E1865" s="12"/>
      <c r="F1865" s="12"/>
      <c r="G1865" s="16"/>
      <c r="H1865" s="14"/>
      <c r="I1865" s="14"/>
      <c r="J1865" s="14"/>
      <c r="K1865" s="14"/>
      <c r="L1865" s="14"/>
      <c r="M1865" s="14"/>
      <c r="N1865" s="14"/>
      <c r="O1865" s="4"/>
      <c r="P1865" s="14"/>
      <c r="Q1865" s="14"/>
    </row>
    <row r="1866" spans="1:17" x14ac:dyDescent="0.25">
      <c r="A1866" s="5"/>
      <c r="B1866" s="6"/>
      <c r="C1866" s="4"/>
      <c r="D1866" s="4"/>
      <c r="E1866" s="12"/>
      <c r="F1866" s="12"/>
      <c r="G1866" s="16"/>
      <c r="H1866" s="14"/>
      <c r="I1866" s="14"/>
      <c r="J1866" s="14"/>
      <c r="K1866" s="14"/>
      <c r="L1866" s="14"/>
      <c r="M1866" s="14"/>
      <c r="N1866" s="14"/>
      <c r="O1866" s="4"/>
      <c r="P1866" s="14"/>
      <c r="Q1866" s="14"/>
    </row>
    <row r="1867" spans="1:17" x14ac:dyDescent="0.25">
      <c r="A1867" s="5"/>
      <c r="B1867" s="6"/>
      <c r="C1867" s="4"/>
      <c r="D1867" s="4"/>
      <c r="E1867" s="12"/>
      <c r="F1867" s="12"/>
      <c r="G1867" s="16"/>
      <c r="H1867" s="14"/>
      <c r="I1867" s="14"/>
      <c r="J1867" s="14"/>
      <c r="K1867" s="14"/>
      <c r="L1867" s="14"/>
      <c r="M1867" s="14"/>
      <c r="N1867" s="14"/>
      <c r="O1867" s="4"/>
      <c r="P1867" s="14"/>
      <c r="Q1867" s="14"/>
    </row>
    <row r="1868" spans="1:17" x14ac:dyDescent="0.25">
      <c r="A1868" s="5"/>
      <c r="B1868" s="6"/>
      <c r="C1868" s="4"/>
      <c r="D1868" s="4"/>
      <c r="E1868" s="12"/>
      <c r="F1868" s="12"/>
      <c r="G1868" s="16"/>
      <c r="H1868" s="14"/>
      <c r="I1868" s="14"/>
      <c r="J1868" s="14"/>
      <c r="K1868" s="14"/>
      <c r="L1868" s="14"/>
      <c r="M1868" s="14"/>
      <c r="N1868" s="14"/>
      <c r="O1868" s="4"/>
      <c r="P1868" s="14"/>
      <c r="Q1868" s="14"/>
    </row>
    <row r="1869" spans="1:17" x14ac:dyDescent="0.25">
      <c r="A1869" s="5"/>
      <c r="B1869" s="6"/>
      <c r="C1869" s="4"/>
      <c r="D1869" s="4"/>
      <c r="E1869" s="12"/>
      <c r="F1869" s="12"/>
      <c r="G1869" s="16"/>
      <c r="H1869" s="14"/>
      <c r="I1869" s="14"/>
      <c r="J1869" s="14"/>
      <c r="K1869" s="14"/>
      <c r="L1869" s="14"/>
      <c r="M1869" s="14"/>
      <c r="N1869" s="14"/>
      <c r="O1869" s="4"/>
      <c r="P1869" s="14"/>
      <c r="Q1869" s="14"/>
    </row>
    <row r="1870" spans="1:17" x14ac:dyDescent="0.25">
      <c r="A1870" s="5"/>
      <c r="B1870" s="6"/>
      <c r="C1870" s="4"/>
      <c r="D1870" s="4"/>
      <c r="E1870" s="12"/>
      <c r="F1870" s="12"/>
      <c r="G1870" s="16"/>
      <c r="H1870" s="14"/>
      <c r="I1870" s="14"/>
      <c r="J1870" s="14"/>
      <c r="K1870" s="14"/>
      <c r="L1870" s="14"/>
      <c r="M1870" s="14"/>
      <c r="N1870" s="14"/>
      <c r="O1870" s="4"/>
      <c r="P1870" s="14"/>
      <c r="Q1870" s="14"/>
    </row>
    <row r="1871" spans="1:17" x14ac:dyDescent="0.25">
      <c r="A1871" s="5"/>
      <c r="B1871" s="6"/>
      <c r="C1871" s="4"/>
      <c r="D1871" s="4"/>
      <c r="E1871" s="12"/>
      <c r="F1871" s="12"/>
      <c r="G1871" s="16"/>
      <c r="H1871" s="14"/>
      <c r="I1871" s="14"/>
      <c r="J1871" s="14"/>
      <c r="K1871" s="14"/>
      <c r="L1871" s="14"/>
      <c r="M1871" s="14"/>
      <c r="N1871" s="14"/>
      <c r="O1871" s="4"/>
      <c r="P1871" s="14"/>
      <c r="Q1871" s="14"/>
    </row>
    <row r="1872" spans="1:17" x14ac:dyDescent="0.25">
      <c r="A1872" s="5"/>
      <c r="B1872" s="6"/>
      <c r="C1872" s="4"/>
      <c r="D1872" s="4"/>
      <c r="E1872" s="12"/>
      <c r="F1872" s="12"/>
      <c r="G1872" s="16"/>
      <c r="H1872" s="14"/>
      <c r="I1872" s="14"/>
      <c r="J1872" s="14"/>
      <c r="K1872" s="14"/>
      <c r="L1872" s="14"/>
      <c r="M1872" s="14"/>
      <c r="N1872" s="14"/>
      <c r="O1872" s="4"/>
      <c r="P1872" s="14"/>
      <c r="Q1872" s="14"/>
    </row>
    <row r="1873" spans="1:17" x14ac:dyDescent="0.25">
      <c r="A1873" s="5"/>
      <c r="B1873" s="6"/>
      <c r="C1873" s="4"/>
      <c r="D1873" s="4"/>
      <c r="E1873" s="12"/>
      <c r="F1873" s="12"/>
      <c r="G1873" s="16"/>
      <c r="H1873" s="14"/>
      <c r="I1873" s="14"/>
      <c r="J1873" s="14"/>
      <c r="K1873" s="14"/>
      <c r="L1873" s="14"/>
      <c r="M1873" s="14"/>
      <c r="N1873" s="14"/>
      <c r="O1873" s="4"/>
      <c r="P1873" s="14"/>
      <c r="Q1873" s="14"/>
    </row>
    <row r="1874" spans="1:17" x14ac:dyDescent="0.25">
      <c r="A1874" s="5"/>
      <c r="B1874" s="6"/>
      <c r="C1874" s="4"/>
      <c r="D1874" s="4"/>
      <c r="E1874" s="12"/>
      <c r="F1874" s="12"/>
      <c r="G1874" s="16"/>
      <c r="H1874" s="14"/>
      <c r="I1874" s="14"/>
      <c r="J1874" s="14"/>
      <c r="K1874" s="14"/>
      <c r="L1874" s="14"/>
      <c r="M1874" s="14"/>
      <c r="N1874" s="14"/>
      <c r="O1874" s="4"/>
      <c r="P1874" s="14"/>
      <c r="Q1874" s="14"/>
    </row>
    <row r="1875" spans="1:17" x14ac:dyDescent="0.25">
      <c r="A1875" s="5"/>
      <c r="B1875" s="6"/>
      <c r="C1875" s="4"/>
      <c r="D1875" s="4"/>
      <c r="E1875" s="12"/>
      <c r="F1875" s="12"/>
      <c r="G1875" s="16"/>
      <c r="H1875" s="14"/>
      <c r="I1875" s="14"/>
      <c r="J1875" s="14"/>
      <c r="K1875" s="14"/>
      <c r="L1875" s="14"/>
      <c r="M1875" s="14"/>
      <c r="N1875" s="14"/>
      <c r="O1875" s="4"/>
      <c r="P1875" s="14"/>
      <c r="Q1875" s="14"/>
    </row>
    <row r="1876" spans="1:17" x14ac:dyDescent="0.25">
      <c r="A1876" s="5"/>
      <c r="B1876" s="6"/>
      <c r="C1876" s="4"/>
      <c r="D1876" s="4"/>
      <c r="E1876" s="12"/>
      <c r="F1876" s="12"/>
      <c r="G1876" s="16"/>
      <c r="H1876" s="14"/>
      <c r="I1876" s="14"/>
      <c r="J1876" s="14"/>
      <c r="K1876" s="14"/>
      <c r="L1876" s="14"/>
      <c r="M1876" s="14"/>
      <c r="N1876" s="14"/>
      <c r="O1876" s="4"/>
      <c r="P1876" s="14"/>
      <c r="Q1876" s="14"/>
    </row>
    <row r="1877" spans="1:17" x14ac:dyDescent="0.25">
      <c r="A1877" s="5"/>
      <c r="B1877" s="6"/>
      <c r="C1877" s="4"/>
      <c r="D1877" s="4"/>
      <c r="E1877" s="12"/>
      <c r="F1877" s="12"/>
      <c r="G1877" s="16"/>
      <c r="H1877" s="14"/>
      <c r="I1877" s="14"/>
      <c r="J1877" s="14"/>
      <c r="K1877" s="14"/>
      <c r="L1877" s="14"/>
      <c r="M1877" s="14"/>
      <c r="N1877" s="14"/>
      <c r="O1877" s="4"/>
      <c r="P1877" s="14"/>
      <c r="Q1877" s="14"/>
    </row>
    <row r="1878" spans="1:17" x14ac:dyDescent="0.25">
      <c r="A1878" s="5"/>
      <c r="B1878" s="6"/>
      <c r="C1878" s="4"/>
      <c r="D1878" s="4"/>
      <c r="E1878" s="12"/>
      <c r="F1878" s="12"/>
      <c r="G1878" s="16"/>
      <c r="H1878" s="14"/>
      <c r="I1878" s="14"/>
      <c r="J1878" s="14"/>
      <c r="K1878" s="14"/>
      <c r="L1878" s="14"/>
      <c r="M1878" s="14"/>
      <c r="N1878" s="14"/>
      <c r="O1878" s="4"/>
      <c r="P1878" s="14"/>
      <c r="Q1878" s="14"/>
    </row>
    <row r="1879" spans="1:17" x14ac:dyDescent="0.25">
      <c r="A1879" s="5"/>
      <c r="B1879" s="6"/>
      <c r="C1879" s="4"/>
      <c r="D1879" s="4"/>
      <c r="E1879" s="12"/>
      <c r="F1879" s="12"/>
      <c r="G1879" s="16"/>
      <c r="H1879" s="14"/>
      <c r="I1879" s="14"/>
      <c r="J1879" s="14"/>
      <c r="K1879" s="14"/>
      <c r="L1879" s="14"/>
      <c r="M1879" s="14"/>
      <c r="N1879" s="14"/>
      <c r="O1879" s="4"/>
      <c r="P1879" s="14"/>
      <c r="Q1879" s="14"/>
    </row>
    <row r="1880" spans="1:17" x14ac:dyDescent="0.25">
      <c r="A1880" s="5"/>
      <c r="B1880" s="6"/>
      <c r="C1880" s="4"/>
      <c r="D1880" s="4"/>
      <c r="E1880" s="12"/>
      <c r="F1880" s="12"/>
      <c r="G1880" s="16"/>
      <c r="H1880" s="14"/>
      <c r="I1880" s="14"/>
      <c r="J1880" s="14"/>
      <c r="K1880" s="14"/>
      <c r="L1880" s="14"/>
      <c r="M1880" s="14"/>
      <c r="N1880" s="14"/>
      <c r="O1880" s="4"/>
      <c r="P1880" s="14"/>
      <c r="Q1880" s="14"/>
    </row>
    <row r="1881" spans="1:17" x14ac:dyDescent="0.25">
      <c r="A1881" s="5"/>
      <c r="B1881" s="6"/>
      <c r="C1881" s="4"/>
      <c r="D1881" s="4"/>
      <c r="E1881" s="12"/>
      <c r="F1881" s="12"/>
      <c r="G1881" s="16"/>
      <c r="H1881" s="14"/>
      <c r="I1881" s="14"/>
      <c r="J1881" s="14"/>
      <c r="K1881" s="14"/>
      <c r="L1881" s="14"/>
      <c r="M1881" s="14"/>
      <c r="N1881" s="14"/>
      <c r="O1881" s="4"/>
      <c r="P1881" s="14"/>
      <c r="Q1881" s="14"/>
    </row>
    <row r="1882" spans="1:17" x14ac:dyDescent="0.25">
      <c r="A1882" s="5"/>
      <c r="B1882" s="6"/>
      <c r="C1882" s="4"/>
      <c r="D1882" s="4"/>
      <c r="E1882" s="12"/>
      <c r="F1882" s="12"/>
      <c r="G1882" s="16"/>
      <c r="H1882" s="14"/>
      <c r="I1882" s="14"/>
      <c r="J1882" s="14"/>
      <c r="K1882" s="14"/>
      <c r="L1882" s="14"/>
      <c r="M1882" s="14"/>
      <c r="N1882" s="14"/>
      <c r="O1882" s="4"/>
      <c r="P1882" s="14"/>
      <c r="Q1882" s="14"/>
    </row>
    <row r="1883" spans="1:17" x14ac:dyDescent="0.25">
      <c r="A1883" s="5"/>
      <c r="B1883" s="6"/>
      <c r="C1883" s="4"/>
      <c r="D1883" s="4"/>
      <c r="E1883" s="12"/>
      <c r="F1883" s="12"/>
      <c r="G1883" s="16"/>
      <c r="H1883" s="14"/>
      <c r="I1883" s="14"/>
      <c r="J1883" s="14"/>
      <c r="K1883" s="14"/>
      <c r="L1883" s="14"/>
      <c r="M1883" s="14"/>
      <c r="N1883" s="14"/>
      <c r="O1883" s="4"/>
      <c r="P1883" s="14"/>
      <c r="Q1883" s="14"/>
    </row>
    <row r="1884" spans="1:17" x14ac:dyDescent="0.25">
      <c r="A1884" s="5"/>
      <c r="B1884" s="6"/>
      <c r="C1884" s="4"/>
      <c r="D1884" s="4"/>
      <c r="E1884" s="12"/>
      <c r="F1884" s="12"/>
      <c r="G1884" s="16"/>
      <c r="H1884" s="14"/>
      <c r="I1884" s="14"/>
      <c r="J1884" s="14"/>
      <c r="K1884" s="14"/>
      <c r="L1884" s="14"/>
      <c r="M1884" s="14"/>
      <c r="N1884" s="14"/>
      <c r="O1884" s="4"/>
      <c r="P1884" s="14"/>
      <c r="Q1884" s="14"/>
    </row>
    <row r="1885" spans="1:17" x14ac:dyDescent="0.25">
      <c r="A1885" s="5"/>
      <c r="B1885" s="6"/>
      <c r="C1885" s="4"/>
      <c r="D1885" s="4"/>
      <c r="E1885" s="12"/>
      <c r="F1885" s="12"/>
      <c r="G1885" s="16"/>
      <c r="H1885" s="14"/>
      <c r="I1885" s="14"/>
      <c r="J1885" s="14"/>
      <c r="K1885" s="14"/>
      <c r="L1885" s="14"/>
      <c r="M1885" s="14"/>
      <c r="N1885" s="14"/>
      <c r="O1885" s="4"/>
      <c r="P1885" s="14"/>
      <c r="Q1885" s="14"/>
    </row>
    <row r="1886" spans="1:17" x14ac:dyDescent="0.25">
      <c r="A1886" s="5"/>
      <c r="B1886" s="6"/>
      <c r="C1886" s="4"/>
      <c r="D1886" s="4"/>
      <c r="E1886" s="12"/>
      <c r="F1886" s="12"/>
      <c r="G1886" s="16"/>
      <c r="H1886" s="14"/>
      <c r="I1886" s="14"/>
      <c r="J1886" s="14"/>
      <c r="K1886" s="14"/>
      <c r="L1886" s="14"/>
      <c r="M1886" s="14"/>
      <c r="N1886" s="14"/>
      <c r="O1886" s="4"/>
      <c r="P1886" s="14"/>
      <c r="Q1886" s="14"/>
    </row>
    <row r="1887" spans="1:17" x14ac:dyDescent="0.25">
      <c r="A1887" s="5"/>
      <c r="B1887" s="6"/>
      <c r="C1887" s="4"/>
      <c r="D1887" s="4"/>
      <c r="E1887" s="12"/>
      <c r="F1887" s="12"/>
      <c r="G1887" s="16"/>
      <c r="H1887" s="14"/>
      <c r="I1887" s="14"/>
      <c r="J1887" s="14"/>
      <c r="K1887" s="14"/>
      <c r="L1887" s="14"/>
      <c r="M1887" s="14"/>
      <c r="N1887" s="14"/>
      <c r="O1887" s="4"/>
      <c r="P1887" s="14"/>
      <c r="Q1887" s="14"/>
    </row>
    <row r="1888" spans="1:17" x14ac:dyDescent="0.25">
      <c r="A1888" s="5"/>
      <c r="B1888" s="6"/>
      <c r="C1888" s="4"/>
      <c r="D1888" s="4"/>
      <c r="E1888" s="12"/>
      <c r="F1888" s="12"/>
      <c r="G1888" s="16"/>
      <c r="H1888" s="14"/>
      <c r="I1888" s="14"/>
      <c r="J1888" s="14"/>
      <c r="K1888" s="14"/>
      <c r="L1888" s="14"/>
      <c r="M1888" s="14"/>
      <c r="N1888" s="14"/>
      <c r="O1888" s="4"/>
      <c r="P1888" s="14"/>
      <c r="Q1888" s="14"/>
    </row>
    <row r="1889" spans="1:17" x14ac:dyDescent="0.25">
      <c r="A1889" s="5"/>
      <c r="B1889" s="6"/>
      <c r="C1889" s="4"/>
      <c r="D1889" s="4"/>
      <c r="E1889" s="12"/>
      <c r="F1889" s="12"/>
      <c r="G1889" s="16"/>
      <c r="H1889" s="14"/>
      <c r="I1889" s="14"/>
      <c r="J1889" s="14"/>
      <c r="K1889" s="14"/>
      <c r="L1889" s="14"/>
      <c r="M1889" s="14"/>
      <c r="N1889" s="14"/>
      <c r="O1889" s="4"/>
      <c r="P1889" s="14"/>
      <c r="Q1889" s="14"/>
    </row>
    <row r="1890" spans="1:17" x14ac:dyDescent="0.25">
      <c r="A1890" s="5"/>
      <c r="B1890" s="6"/>
      <c r="C1890" s="4"/>
      <c r="D1890" s="4"/>
      <c r="E1890" s="12"/>
      <c r="F1890" s="12"/>
      <c r="G1890" s="16"/>
      <c r="H1890" s="14"/>
      <c r="I1890" s="14"/>
      <c r="J1890" s="14"/>
      <c r="K1890" s="14"/>
      <c r="L1890" s="14"/>
      <c r="M1890" s="14"/>
      <c r="N1890" s="14"/>
      <c r="O1890" s="4"/>
      <c r="P1890" s="14"/>
      <c r="Q1890" s="14"/>
    </row>
    <row r="1891" spans="1:17" x14ac:dyDescent="0.25">
      <c r="A1891" s="5"/>
      <c r="B1891" s="6"/>
      <c r="C1891" s="4"/>
      <c r="D1891" s="4"/>
      <c r="E1891" s="12"/>
      <c r="F1891" s="12"/>
      <c r="G1891" s="16"/>
      <c r="H1891" s="14"/>
      <c r="I1891" s="14"/>
      <c r="J1891" s="14"/>
      <c r="K1891" s="14"/>
      <c r="L1891" s="14"/>
      <c r="M1891" s="14"/>
      <c r="N1891" s="14"/>
      <c r="O1891" s="4"/>
      <c r="P1891" s="14"/>
      <c r="Q1891" s="14"/>
    </row>
    <row r="1892" spans="1:17" x14ac:dyDescent="0.25">
      <c r="A1892" s="5"/>
      <c r="B1892" s="6"/>
      <c r="C1892" s="4"/>
      <c r="D1892" s="4"/>
      <c r="E1892" s="12"/>
      <c r="F1892" s="12"/>
      <c r="G1892" s="16"/>
      <c r="H1892" s="14"/>
      <c r="I1892" s="14"/>
      <c r="J1892" s="14"/>
      <c r="K1892" s="14"/>
      <c r="L1892" s="14"/>
      <c r="M1892" s="14"/>
      <c r="N1892" s="14"/>
      <c r="O1892" s="4"/>
      <c r="P1892" s="14"/>
      <c r="Q1892" s="14"/>
    </row>
    <row r="1893" spans="1:17" x14ac:dyDescent="0.25">
      <c r="A1893" s="5"/>
      <c r="B1893" s="6"/>
      <c r="C1893" s="4"/>
      <c r="D1893" s="4"/>
      <c r="E1893" s="12"/>
      <c r="F1893" s="12"/>
      <c r="G1893" s="16"/>
      <c r="H1893" s="14"/>
      <c r="I1893" s="14"/>
      <c r="J1893" s="14"/>
      <c r="K1893" s="14"/>
      <c r="L1893" s="14"/>
      <c r="M1893" s="14"/>
      <c r="N1893" s="14"/>
      <c r="O1893" s="4"/>
      <c r="P1893" s="14"/>
      <c r="Q1893" s="14"/>
    </row>
    <row r="1894" spans="1:17" x14ac:dyDescent="0.25">
      <c r="A1894" s="5"/>
      <c r="B1894" s="6"/>
      <c r="C1894" s="4"/>
      <c r="D1894" s="4"/>
      <c r="E1894" s="12"/>
      <c r="F1894" s="12"/>
      <c r="G1894" s="16"/>
      <c r="H1894" s="14"/>
      <c r="I1894" s="14"/>
      <c r="J1894" s="14"/>
      <c r="K1894" s="14"/>
      <c r="L1894" s="14"/>
      <c r="M1894" s="14"/>
      <c r="N1894" s="14"/>
      <c r="O1894" s="4"/>
      <c r="P1894" s="14"/>
      <c r="Q1894" s="14"/>
    </row>
    <row r="1895" spans="1:17" x14ac:dyDescent="0.25">
      <c r="A1895" s="5"/>
      <c r="B1895" s="6"/>
      <c r="C1895" s="4"/>
      <c r="D1895" s="4"/>
      <c r="E1895" s="12"/>
      <c r="F1895" s="12"/>
      <c r="G1895" s="16"/>
      <c r="H1895" s="14"/>
      <c r="I1895" s="14"/>
      <c r="J1895" s="14"/>
      <c r="K1895" s="14"/>
      <c r="L1895" s="14"/>
      <c r="M1895" s="14"/>
      <c r="N1895" s="14"/>
      <c r="O1895" s="4"/>
      <c r="P1895" s="14"/>
      <c r="Q1895" s="14"/>
    </row>
    <row r="1896" spans="1:17" x14ac:dyDescent="0.25">
      <c r="A1896" s="5"/>
      <c r="B1896" s="6"/>
      <c r="C1896" s="4"/>
      <c r="D1896" s="4"/>
      <c r="E1896" s="12"/>
      <c r="F1896" s="12"/>
      <c r="G1896" s="16"/>
      <c r="H1896" s="14"/>
      <c r="I1896" s="14"/>
      <c r="J1896" s="14"/>
      <c r="K1896" s="14"/>
      <c r="L1896" s="14"/>
      <c r="M1896" s="14"/>
      <c r="N1896" s="14"/>
      <c r="O1896" s="4"/>
      <c r="P1896" s="14"/>
      <c r="Q1896" s="14"/>
    </row>
    <row r="1897" spans="1:17" x14ac:dyDescent="0.25">
      <c r="A1897" s="5"/>
      <c r="B1897" s="6"/>
      <c r="C1897" s="4"/>
      <c r="D1897" s="4"/>
      <c r="E1897" s="12"/>
      <c r="F1897" s="12"/>
      <c r="G1897" s="16"/>
      <c r="H1897" s="14"/>
      <c r="I1897" s="14"/>
      <c r="J1897" s="14"/>
      <c r="K1897" s="14"/>
      <c r="L1897" s="14"/>
      <c r="M1897" s="14"/>
      <c r="N1897" s="14"/>
      <c r="O1897" s="4"/>
      <c r="P1897" s="14"/>
      <c r="Q1897" s="14"/>
    </row>
    <row r="1898" spans="1:17" x14ac:dyDescent="0.25">
      <c r="A1898" s="5"/>
      <c r="B1898" s="6"/>
      <c r="C1898" s="4"/>
      <c r="D1898" s="4"/>
      <c r="E1898" s="12"/>
      <c r="F1898" s="12"/>
      <c r="G1898" s="16"/>
      <c r="H1898" s="14"/>
      <c r="I1898" s="14"/>
      <c r="J1898" s="14"/>
      <c r="K1898" s="14"/>
      <c r="L1898" s="14"/>
      <c r="M1898" s="14"/>
      <c r="N1898" s="14"/>
      <c r="O1898" s="4"/>
      <c r="P1898" s="14"/>
      <c r="Q1898" s="14"/>
    </row>
    <row r="1899" spans="1:17" x14ac:dyDescent="0.25">
      <c r="A1899" s="5"/>
      <c r="B1899" s="6"/>
      <c r="C1899" s="4"/>
      <c r="D1899" s="4"/>
      <c r="E1899" s="12"/>
      <c r="F1899" s="12"/>
      <c r="G1899" s="16"/>
      <c r="H1899" s="14"/>
      <c r="I1899" s="14"/>
      <c r="J1899" s="14"/>
      <c r="K1899" s="14"/>
      <c r="L1899" s="14"/>
      <c r="M1899" s="14"/>
      <c r="N1899" s="14"/>
      <c r="O1899" s="4"/>
      <c r="P1899" s="14"/>
      <c r="Q1899" s="14"/>
    </row>
    <row r="1900" spans="1:17" x14ac:dyDescent="0.25">
      <c r="A1900" s="5"/>
      <c r="B1900" s="6"/>
      <c r="C1900" s="4"/>
      <c r="D1900" s="4"/>
      <c r="E1900" s="12"/>
      <c r="F1900" s="12"/>
      <c r="G1900" s="16"/>
      <c r="H1900" s="14"/>
      <c r="I1900" s="14"/>
      <c r="J1900" s="14"/>
      <c r="K1900" s="14"/>
      <c r="L1900" s="14"/>
      <c r="M1900" s="14"/>
      <c r="N1900" s="14"/>
      <c r="O1900" s="4"/>
      <c r="P1900" s="14"/>
      <c r="Q1900" s="14"/>
    </row>
    <row r="1901" spans="1:17" x14ac:dyDescent="0.25">
      <c r="A1901" s="5"/>
      <c r="B1901" s="6"/>
      <c r="C1901" s="4"/>
      <c r="D1901" s="4"/>
      <c r="E1901" s="12"/>
      <c r="F1901" s="12"/>
      <c r="G1901" s="16"/>
      <c r="H1901" s="14"/>
      <c r="I1901" s="14"/>
      <c r="J1901" s="14"/>
      <c r="K1901" s="14"/>
      <c r="L1901" s="14"/>
      <c r="M1901" s="14"/>
      <c r="N1901" s="14"/>
      <c r="O1901" s="4"/>
      <c r="P1901" s="14"/>
      <c r="Q1901" s="14"/>
    </row>
    <row r="1902" spans="1:17" x14ac:dyDescent="0.25">
      <c r="A1902" s="5"/>
      <c r="B1902" s="6"/>
      <c r="C1902" s="4"/>
      <c r="D1902" s="4"/>
      <c r="E1902" s="12"/>
      <c r="F1902" s="12"/>
      <c r="G1902" s="16"/>
      <c r="H1902" s="14"/>
      <c r="I1902" s="14"/>
      <c r="J1902" s="14"/>
      <c r="K1902" s="14"/>
      <c r="L1902" s="14"/>
      <c r="M1902" s="14"/>
      <c r="N1902" s="14"/>
      <c r="O1902" s="4"/>
      <c r="P1902" s="14"/>
      <c r="Q1902" s="14"/>
    </row>
    <row r="1903" spans="1:17" x14ac:dyDescent="0.25">
      <c r="A1903" s="5"/>
      <c r="B1903" s="6"/>
      <c r="C1903" s="4"/>
      <c r="D1903" s="4"/>
      <c r="E1903" s="12"/>
      <c r="F1903" s="12"/>
      <c r="G1903" s="16"/>
      <c r="H1903" s="14"/>
      <c r="I1903" s="14"/>
      <c r="J1903" s="14"/>
      <c r="K1903" s="14"/>
      <c r="L1903" s="14"/>
      <c r="M1903" s="14"/>
      <c r="N1903" s="14"/>
      <c r="O1903" s="4"/>
      <c r="P1903" s="14"/>
      <c r="Q1903" s="14"/>
    </row>
    <row r="1904" spans="1:17" x14ac:dyDescent="0.25">
      <c r="A1904" s="5"/>
      <c r="B1904" s="6"/>
      <c r="C1904" s="4"/>
      <c r="D1904" s="4"/>
      <c r="E1904" s="12"/>
      <c r="F1904" s="12"/>
      <c r="G1904" s="16"/>
      <c r="H1904" s="14"/>
      <c r="I1904" s="14"/>
      <c r="J1904" s="14"/>
      <c r="K1904" s="14"/>
      <c r="L1904" s="14"/>
      <c r="M1904" s="14"/>
      <c r="N1904" s="14"/>
      <c r="O1904" s="4"/>
      <c r="P1904" s="14"/>
      <c r="Q1904" s="14"/>
    </row>
    <row r="1905" spans="1:17" x14ac:dyDescent="0.25">
      <c r="A1905" s="5"/>
      <c r="B1905" s="6"/>
      <c r="C1905" s="4"/>
      <c r="D1905" s="4"/>
      <c r="E1905" s="12"/>
      <c r="F1905" s="12"/>
      <c r="G1905" s="16"/>
      <c r="H1905" s="14"/>
      <c r="I1905" s="14"/>
      <c r="J1905" s="14"/>
      <c r="K1905" s="14"/>
      <c r="L1905" s="14"/>
      <c r="M1905" s="14"/>
      <c r="N1905" s="14"/>
      <c r="O1905" s="4"/>
      <c r="P1905" s="14"/>
      <c r="Q1905" s="14"/>
    </row>
    <row r="1906" spans="1:17" x14ac:dyDescent="0.25">
      <c r="A1906" s="5"/>
      <c r="B1906" s="6"/>
      <c r="C1906" s="4"/>
      <c r="D1906" s="4"/>
      <c r="E1906" s="12"/>
      <c r="F1906" s="12"/>
      <c r="G1906" s="16"/>
      <c r="H1906" s="14"/>
      <c r="I1906" s="14"/>
      <c r="J1906" s="14"/>
      <c r="K1906" s="14"/>
      <c r="L1906" s="14"/>
      <c r="M1906" s="14"/>
      <c r="N1906" s="14"/>
      <c r="O1906" s="4"/>
      <c r="P1906" s="14"/>
      <c r="Q1906" s="14"/>
    </row>
    <row r="1907" spans="1:17" x14ac:dyDescent="0.25">
      <c r="A1907" s="5"/>
      <c r="B1907" s="6"/>
      <c r="C1907" s="4"/>
      <c r="D1907" s="4"/>
      <c r="E1907" s="12"/>
      <c r="F1907" s="12"/>
      <c r="G1907" s="16"/>
      <c r="H1907" s="14"/>
      <c r="I1907" s="14"/>
      <c r="J1907" s="14"/>
      <c r="K1907" s="14"/>
      <c r="L1907" s="14"/>
      <c r="M1907" s="14"/>
      <c r="N1907" s="14"/>
      <c r="O1907" s="4"/>
      <c r="P1907" s="14"/>
      <c r="Q1907" s="14"/>
    </row>
    <row r="1908" spans="1:17" x14ac:dyDescent="0.25">
      <c r="A1908" s="5"/>
      <c r="B1908" s="6"/>
      <c r="C1908" s="4"/>
      <c r="D1908" s="4"/>
      <c r="E1908" s="12"/>
      <c r="F1908" s="12"/>
      <c r="G1908" s="16"/>
      <c r="H1908" s="14"/>
      <c r="I1908" s="14"/>
      <c r="J1908" s="14"/>
      <c r="K1908" s="14"/>
      <c r="L1908" s="14"/>
      <c r="M1908" s="14"/>
      <c r="N1908" s="14"/>
      <c r="O1908" s="4"/>
      <c r="P1908" s="14"/>
      <c r="Q1908" s="14"/>
    </row>
    <row r="1909" spans="1:17" x14ac:dyDescent="0.25">
      <c r="A1909" s="5"/>
      <c r="B1909" s="6"/>
      <c r="C1909" s="4"/>
      <c r="D1909" s="4"/>
      <c r="E1909" s="12"/>
      <c r="F1909" s="12"/>
      <c r="G1909" s="16"/>
      <c r="H1909" s="14"/>
      <c r="I1909" s="14"/>
      <c r="J1909" s="14"/>
      <c r="K1909" s="14"/>
      <c r="L1909" s="14"/>
      <c r="M1909" s="14"/>
      <c r="N1909" s="14"/>
      <c r="O1909" s="4"/>
      <c r="P1909" s="14"/>
      <c r="Q1909" s="14"/>
    </row>
    <row r="1910" spans="1:17" x14ac:dyDescent="0.25">
      <c r="A1910" s="5"/>
      <c r="B1910" s="6"/>
      <c r="C1910" s="4"/>
      <c r="D1910" s="4"/>
      <c r="E1910" s="12"/>
      <c r="F1910" s="12"/>
      <c r="G1910" s="16"/>
      <c r="H1910" s="14"/>
      <c r="I1910" s="14"/>
      <c r="J1910" s="14"/>
      <c r="K1910" s="14"/>
      <c r="L1910" s="14"/>
      <c r="M1910" s="14"/>
      <c r="N1910" s="14"/>
      <c r="O1910" s="4"/>
      <c r="P1910" s="14"/>
      <c r="Q1910" s="14"/>
    </row>
    <row r="1911" spans="1:17" x14ac:dyDescent="0.25">
      <c r="A1911" s="5"/>
      <c r="B1911" s="6"/>
      <c r="C1911" s="4"/>
      <c r="D1911" s="4"/>
      <c r="E1911" s="12"/>
      <c r="F1911" s="12"/>
      <c r="G1911" s="16"/>
      <c r="H1911" s="14"/>
      <c r="I1911" s="14"/>
      <c r="J1911" s="14"/>
      <c r="K1911" s="14"/>
      <c r="L1911" s="14"/>
      <c r="M1911" s="14"/>
      <c r="N1911" s="14"/>
      <c r="O1911" s="4"/>
      <c r="P1911" s="14"/>
      <c r="Q1911" s="14"/>
    </row>
    <row r="1912" spans="1:17" x14ac:dyDescent="0.25">
      <c r="A1912" s="5"/>
      <c r="B1912" s="6"/>
      <c r="C1912" s="4"/>
      <c r="D1912" s="4"/>
      <c r="E1912" s="12"/>
      <c r="F1912" s="12"/>
      <c r="G1912" s="16"/>
      <c r="H1912" s="14"/>
      <c r="I1912" s="14"/>
      <c r="J1912" s="14"/>
      <c r="K1912" s="14"/>
      <c r="L1912" s="14"/>
      <c r="M1912" s="14"/>
      <c r="N1912" s="14"/>
      <c r="O1912" s="4"/>
      <c r="P1912" s="14"/>
      <c r="Q1912" s="14"/>
    </row>
    <row r="1913" spans="1:17" x14ac:dyDescent="0.25">
      <c r="A1913" s="5"/>
      <c r="B1913" s="6"/>
      <c r="C1913" s="4"/>
      <c r="D1913" s="4"/>
      <c r="E1913" s="12"/>
      <c r="F1913" s="12"/>
      <c r="G1913" s="16"/>
      <c r="H1913" s="14"/>
      <c r="I1913" s="14"/>
      <c r="J1913" s="14"/>
      <c r="K1913" s="14"/>
      <c r="L1913" s="14"/>
      <c r="M1913" s="14"/>
      <c r="N1913" s="14"/>
      <c r="O1913" s="4"/>
      <c r="P1913" s="14"/>
      <c r="Q1913" s="14"/>
    </row>
    <row r="1914" spans="1:17" x14ac:dyDescent="0.25">
      <c r="A1914" s="5"/>
      <c r="B1914" s="6"/>
      <c r="C1914" s="4"/>
      <c r="D1914" s="4"/>
      <c r="E1914" s="12"/>
      <c r="F1914" s="12"/>
      <c r="G1914" s="16"/>
      <c r="H1914" s="14"/>
      <c r="I1914" s="14"/>
      <c r="J1914" s="14"/>
      <c r="K1914" s="14"/>
      <c r="L1914" s="14"/>
      <c r="M1914" s="14"/>
      <c r="N1914" s="14"/>
      <c r="O1914" s="4"/>
      <c r="P1914" s="14"/>
      <c r="Q1914" s="14"/>
    </row>
    <row r="1915" spans="1:17" x14ac:dyDescent="0.25">
      <c r="A1915" s="5"/>
      <c r="B1915" s="6"/>
      <c r="C1915" s="4"/>
      <c r="D1915" s="4"/>
      <c r="E1915" s="12"/>
      <c r="F1915" s="12"/>
      <c r="G1915" s="16"/>
      <c r="H1915" s="14"/>
      <c r="I1915" s="14"/>
      <c r="J1915" s="14"/>
      <c r="K1915" s="14"/>
      <c r="L1915" s="14"/>
      <c r="M1915" s="14"/>
      <c r="N1915" s="14"/>
      <c r="O1915" s="4"/>
      <c r="P1915" s="14"/>
      <c r="Q1915" s="14"/>
    </row>
    <row r="1916" spans="1:17" x14ac:dyDescent="0.25">
      <c r="A1916" s="5"/>
      <c r="B1916" s="6"/>
      <c r="C1916" s="4"/>
      <c r="D1916" s="4"/>
      <c r="E1916" s="12"/>
      <c r="F1916" s="12"/>
      <c r="G1916" s="16"/>
      <c r="H1916" s="14"/>
      <c r="I1916" s="14"/>
      <c r="J1916" s="14"/>
      <c r="K1916" s="14"/>
      <c r="L1916" s="14"/>
      <c r="M1916" s="14"/>
      <c r="N1916" s="14"/>
      <c r="O1916" s="4"/>
      <c r="P1916" s="14"/>
      <c r="Q1916" s="14"/>
    </row>
    <row r="1917" spans="1:17" x14ac:dyDescent="0.25">
      <c r="A1917" s="5"/>
      <c r="B1917" s="6"/>
      <c r="C1917" s="4"/>
      <c r="D1917" s="4"/>
      <c r="E1917" s="12"/>
      <c r="F1917" s="12"/>
      <c r="G1917" s="16"/>
      <c r="H1917" s="14"/>
      <c r="I1917" s="14"/>
      <c r="J1917" s="14"/>
      <c r="K1917" s="14"/>
      <c r="L1917" s="14"/>
      <c r="M1917" s="14"/>
      <c r="N1917" s="14"/>
      <c r="O1917" s="4"/>
      <c r="P1917" s="14"/>
      <c r="Q1917" s="14"/>
    </row>
    <row r="1918" spans="1:17" x14ac:dyDescent="0.25">
      <c r="A1918" s="5"/>
      <c r="B1918" s="6"/>
      <c r="C1918" s="4"/>
      <c r="D1918" s="4"/>
      <c r="E1918" s="12"/>
      <c r="F1918" s="12"/>
      <c r="G1918" s="16"/>
      <c r="H1918" s="14"/>
      <c r="I1918" s="14"/>
      <c r="J1918" s="14"/>
      <c r="K1918" s="14"/>
      <c r="L1918" s="14"/>
      <c r="M1918" s="14"/>
      <c r="N1918" s="14"/>
      <c r="O1918" s="4"/>
      <c r="P1918" s="14"/>
      <c r="Q1918" s="14"/>
    </row>
    <row r="1919" spans="1:17" x14ac:dyDescent="0.25">
      <c r="A1919" s="5"/>
      <c r="B1919" s="6"/>
      <c r="C1919" s="4"/>
      <c r="D1919" s="4"/>
      <c r="E1919" s="12"/>
      <c r="F1919" s="12"/>
      <c r="G1919" s="16"/>
      <c r="H1919" s="14"/>
      <c r="I1919" s="14"/>
      <c r="J1919" s="14"/>
      <c r="K1919" s="14"/>
      <c r="L1919" s="14"/>
      <c r="M1919" s="14"/>
      <c r="N1919" s="14"/>
      <c r="O1919" s="4"/>
      <c r="P1919" s="14"/>
      <c r="Q1919" s="14"/>
    </row>
    <row r="1920" spans="1:17" x14ac:dyDescent="0.25">
      <c r="A1920" s="5"/>
      <c r="B1920" s="6"/>
      <c r="C1920" s="4"/>
      <c r="D1920" s="4"/>
      <c r="E1920" s="12"/>
      <c r="F1920" s="12"/>
      <c r="G1920" s="16"/>
      <c r="H1920" s="14"/>
      <c r="I1920" s="14"/>
      <c r="J1920" s="14"/>
      <c r="K1920" s="14"/>
      <c r="L1920" s="14"/>
      <c r="M1920" s="14"/>
      <c r="N1920" s="14"/>
      <c r="O1920" s="4"/>
      <c r="P1920" s="14"/>
      <c r="Q1920" s="14"/>
    </row>
    <row r="1921" spans="1:17" x14ac:dyDescent="0.25">
      <c r="A1921" s="5"/>
      <c r="B1921" s="6"/>
      <c r="C1921" s="4"/>
      <c r="D1921" s="4"/>
      <c r="E1921" s="12"/>
      <c r="F1921" s="12"/>
      <c r="G1921" s="16"/>
      <c r="H1921" s="14"/>
      <c r="I1921" s="14"/>
      <c r="J1921" s="14"/>
      <c r="K1921" s="14"/>
      <c r="L1921" s="14"/>
      <c r="M1921" s="14"/>
      <c r="N1921" s="14"/>
      <c r="O1921" s="4"/>
      <c r="P1921" s="14"/>
      <c r="Q1921" s="14"/>
    </row>
    <row r="1922" spans="1:17" x14ac:dyDescent="0.25">
      <c r="A1922" s="5"/>
      <c r="B1922" s="6"/>
      <c r="C1922" s="4"/>
      <c r="D1922" s="4"/>
      <c r="E1922" s="12"/>
      <c r="F1922" s="12"/>
      <c r="G1922" s="16"/>
      <c r="H1922" s="14"/>
      <c r="I1922" s="14"/>
      <c r="J1922" s="14"/>
      <c r="K1922" s="14"/>
      <c r="L1922" s="14"/>
      <c r="M1922" s="14"/>
      <c r="N1922" s="14"/>
      <c r="O1922" s="4"/>
      <c r="P1922" s="14"/>
      <c r="Q1922" s="14"/>
    </row>
    <row r="1923" spans="1:17" x14ac:dyDescent="0.25">
      <c r="A1923" s="5"/>
      <c r="B1923" s="6"/>
      <c r="C1923" s="4"/>
      <c r="D1923" s="4"/>
      <c r="E1923" s="12"/>
      <c r="F1923" s="12"/>
      <c r="G1923" s="16"/>
      <c r="H1923" s="14"/>
      <c r="I1923" s="14"/>
      <c r="J1923" s="14"/>
      <c r="K1923" s="14"/>
      <c r="L1923" s="14"/>
      <c r="M1923" s="14"/>
      <c r="N1923" s="14"/>
      <c r="O1923" s="4"/>
      <c r="P1923" s="14"/>
      <c r="Q1923" s="14"/>
    </row>
    <row r="1924" spans="1:17" x14ac:dyDescent="0.25">
      <c r="A1924" s="5"/>
      <c r="B1924" s="6"/>
      <c r="C1924" s="4"/>
      <c r="D1924" s="4"/>
      <c r="E1924" s="12"/>
      <c r="F1924" s="12"/>
      <c r="G1924" s="16"/>
      <c r="H1924" s="14"/>
      <c r="I1924" s="14"/>
      <c r="J1924" s="14"/>
      <c r="K1924" s="14"/>
      <c r="L1924" s="14"/>
      <c r="M1924" s="14"/>
      <c r="N1924" s="14"/>
      <c r="O1924" s="4"/>
      <c r="P1924" s="14"/>
      <c r="Q1924" s="14"/>
    </row>
    <row r="1925" spans="1:17" x14ac:dyDescent="0.25">
      <c r="A1925" s="5"/>
      <c r="B1925" s="6"/>
      <c r="C1925" s="4"/>
      <c r="D1925" s="4"/>
      <c r="E1925" s="12"/>
      <c r="F1925" s="12"/>
      <c r="G1925" s="16"/>
      <c r="H1925" s="14"/>
      <c r="I1925" s="14"/>
      <c r="J1925" s="14"/>
      <c r="K1925" s="14"/>
      <c r="L1925" s="14"/>
      <c r="M1925" s="14"/>
      <c r="N1925" s="14"/>
      <c r="O1925" s="4"/>
      <c r="P1925" s="14"/>
      <c r="Q1925" s="14"/>
    </row>
    <row r="1926" spans="1:17" x14ac:dyDescent="0.25">
      <c r="A1926" s="5"/>
      <c r="B1926" s="6"/>
      <c r="C1926" s="4"/>
      <c r="D1926" s="4"/>
      <c r="E1926" s="12"/>
      <c r="F1926" s="12"/>
      <c r="G1926" s="16"/>
      <c r="H1926" s="14"/>
      <c r="I1926" s="14"/>
      <c r="J1926" s="14"/>
      <c r="K1926" s="14"/>
      <c r="L1926" s="14"/>
      <c r="M1926" s="14"/>
      <c r="N1926" s="14"/>
      <c r="O1926" s="4"/>
      <c r="P1926" s="14"/>
      <c r="Q1926" s="14"/>
    </row>
    <row r="1927" spans="1:17" x14ac:dyDescent="0.25">
      <c r="A1927" s="5"/>
      <c r="B1927" s="6"/>
      <c r="C1927" s="4"/>
      <c r="D1927" s="4"/>
      <c r="E1927" s="12"/>
      <c r="F1927" s="12"/>
      <c r="G1927" s="16"/>
      <c r="H1927" s="14"/>
      <c r="I1927" s="14"/>
      <c r="J1927" s="14"/>
      <c r="K1927" s="14"/>
      <c r="L1927" s="14"/>
      <c r="M1927" s="14"/>
      <c r="N1927" s="14"/>
      <c r="O1927" s="4"/>
      <c r="P1927" s="14"/>
      <c r="Q1927" s="14"/>
    </row>
    <row r="1928" spans="1:17" x14ac:dyDescent="0.25">
      <c r="A1928" s="5"/>
      <c r="B1928" s="6"/>
      <c r="C1928" s="4"/>
      <c r="D1928" s="4"/>
      <c r="E1928" s="12"/>
      <c r="F1928" s="12"/>
      <c r="G1928" s="16"/>
      <c r="H1928" s="14"/>
      <c r="I1928" s="14"/>
      <c r="J1928" s="14"/>
      <c r="K1928" s="14"/>
      <c r="L1928" s="14"/>
      <c r="M1928" s="14"/>
      <c r="N1928" s="14"/>
      <c r="O1928" s="4"/>
      <c r="P1928" s="14"/>
      <c r="Q1928" s="14"/>
    </row>
    <row r="1929" spans="1:17" x14ac:dyDescent="0.25">
      <c r="A1929" s="5"/>
      <c r="B1929" s="6"/>
      <c r="C1929" s="4"/>
      <c r="D1929" s="4"/>
      <c r="E1929" s="12"/>
      <c r="F1929" s="12"/>
      <c r="G1929" s="16"/>
      <c r="H1929" s="14"/>
      <c r="I1929" s="14"/>
      <c r="J1929" s="14"/>
      <c r="K1929" s="14"/>
      <c r="L1929" s="14"/>
      <c r="M1929" s="14"/>
      <c r="N1929" s="14"/>
      <c r="O1929" s="4"/>
      <c r="P1929" s="14"/>
      <c r="Q1929" s="14"/>
    </row>
    <row r="1930" spans="1:17" x14ac:dyDescent="0.25">
      <c r="A1930" s="5"/>
      <c r="B1930" s="6"/>
      <c r="C1930" s="4"/>
      <c r="D1930" s="4"/>
      <c r="E1930" s="12"/>
      <c r="F1930" s="12"/>
      <c r="G1930" s="16"/>
      <c r="H1930" s="14"/>
      <c r="I1930" s="14"/>
      <c r="J1930" s="14"/>
      <c r="K1930" s="14"/>
      <c r="L1930" s="14"/>
      <c r="M1930" s="14"/>
      <c r="N1930" s="14"/>
      <c r="O1930" s="4"/>
      <c r="P1930" s="14"/>
      <c r="Q1930" s="14"/>
    </row>
    <row r="1931" spans="1:17" x14ac:dyDescent="0.25">
      <c r="A1931" s="5"/>
      <c r="B1931" s="6"/>
      <c r="C1931" s="4"/>
      <c r="D1931" s="4"/>
      <c r="E1931" s="12"/>
      <c r="F1931" s="12"/>
      <c r="G1931" s="16"/>
      <c r="H1931" s="14"/>
      <c r="I1931" s="14"/>
      <c r="J1931" s="14"/>
      <c r="K1931" s="14"/>
      <c r="L1931" s="14"/>
      <c r="M1931" s="14"/>
      <c r="N1931" s="14"/>
      <c r="O1931" s="4"/>
      <c r="P1931" s="14"/>
      <c r="Q1931" s="14"/>
    </row>
    <row r="1932" spans="1:17" x14ac:dyDescent="0.25">
      <c r="A1932" s="5"/>
      <c r="B1932" s="6"/>
      <c r="C1932" s="4"/>
      <c r="D1932" s="4"/>
      <c r="E1932" s="12"/>
      <c r="F1932" s="12"/>
      <c r="G1932" s="16"/>
      <c r="H1932" s="14"/>
      <c r="I1932" s="14"/>
      <c r="J1932" s="14"/>
      <c r="K1932" s="14"/>
      <c r="L1932" s="14"/>
      <c r="M1932" s="14"/>
      <c r="N1932" s="14"/>
      <c r="O1932" s="4"/>
      <c r="P1932" s="14"/>
      <c r="Q1932" s="14"/>
    </row>
    <row r="1933" spans="1:17" x14ac:dyDescent="0.25">
      <c r="A1933" s="5"/>
      <c r="B1933" s="6"/>
      <c r="C1933" s="4"/>
      <c r="D1933" s="4"/>
      <c r="E1933" s="12"/>
      <c r="F1933" s="12"/>
      <c r="G1933" s="16"/>
      <c r="H1933" s="14"/>
      <c r="I1933" s="14"/>
      <c r="J1933" s="14"/>
      <c r="K1933" s="14"/>
      <c r="L1933" s="14"/>
      <c r="M1933" s="14"/>
      <c r="N1933" s="14"/>
      <c r="O1933" s="4"/>
      <c r="P1933" s="14"/>
      <c r="Q1933" s="14"/>
    </row>
    <row r="1934" spans="1:17" x14ac:dyDescent="0.25">
      <c r="A1934" s="5"/>
      <c r="B1934" s="6"/>
      <c r="C1934" s="4"/>
      <c r="D1934" s="4"/>
      <c r="E1934" s="12"/>
      <c r="F1934" s="12"/>
      <c r="G1934" s="16"/>
      <c r="H1934" s="14"/>
      <c r="I1934" s="14"/>
      <c r="J1934" s="14"/>
      <c r="K1934" s="14"/>
      <c r="L1934" s="14"/>
      <c r="M1934" s="14"/>
      <c r="N1934" s="14"/>
      <c r="O1934" s="4"/>
      <c r="P1934" s="14"/>
      <c r="Q1934" s="14"/>
    </row>
    <row r="1935" spans="1:17" x14ac:dyDescent="0.25">
      <c r="A1935" s="5"/>
      <c r="B1935" s="6"/>
      <c r="C1935" s="4"/>
      <c r="D1935" s="4"/>
      <c r="E1935" s="12"/>
      <c r="F1935" s="12"/>
      <c r="G1935" s="16"/>
      <c r="H1935" s="14"/>
      <c r="I1935" s="14"/>
      <c r="J1935" s="14"/>
      <c r="K1935" s="14"/>
      <c r="L1935" s="14"/>
      <c r="M1935" s="14"/>
      <c r="N1935" s="14"/>
      <c r="O1935" s="4"/>
      <c r="P1935" s="14"/>
      <c r="Q1935" s="14"/>
    </row>
    <row r="1936" spans="1:17" x14ac:dyDescent="0.25">
      <c r="A1936" s="5"/>
      <c r="B1936" s="6"/>
      <c r="C1936" s="4"/>
      <c r="D1936" s="4"/>
      <c r="E1936" s="12"/>
      <c r="F1936" s="12"/>
      <c r="G1936" s="16"/>
      <c r="H1936" s="14"/>
      <c r="I1936" s="14"/>
      <c r="J1936" s="14"/>
      <c r="K1936" s="14"/>
      <c r="L1936" s="14"/>
      <c r="M1936" s="14"/>
      <c r="N1936" s="14"/>
      <c r="O1936" s="4"/>
      <c r="P1936" s="14"/>
      <c r="Q1936" s="14"/>
    </row>
    <row r="1937" spans="1:17" x14ac:dyDescent="0.25">
      <c r="A1937" s="5"/>
      <c r="B1937" s="6"/>
      <c r="C1937" s="4"/>
      <c r="D1937" s="4"/>
      <c r="E1937" s="12"/>
      <c r="F1937" s="12"/>
      <c r="G1937" s="16"/>
      <c r="H1937" s="14"/>
      <c r="I1937" s="14"/>
      <c r="J1937" s="14"/>
      <c r="K1937" s="14"/>
      <c r="L1937" s="14"/>
      <c r="M1937" s="14"/>
      <c r="N1937" s="14"/>
      <c r="O1937" s="4"/>
      <c r="P1937" s="14"/>
      <c r="Q1937" s="14"/>
    </row>
    <row r="1938" spans="1:17" x14ac:dyDescent="0.25">
      <c r="A1938" s="5"/>
      <c r="B1938" s="6"/>
      <c r="C1938" s="4"/>
      <c r="D1938" s="4"/>
      <c r="E1938" s="12"/>
      <c r="F1938" s="12"/>
      <c r="G1938" s="16"/>
      <c r="H1938" s="14"/>
      <c r="I1938" s="14"/>
      <c r="J1938" s="14"/>
      <c r="K1938" s="14"/>
      <c r="L1938" s="14"/>
      <c r="M1938" s="14"/>
      <c r="N1938" s="14"/>
      <c r="O1938" s="4"/>
      <c r="P1938" s="14"/>
      <c r="Q1938" s="14"/>
    </row>
    <row r="1939" spans="1:17" x14ac:dyDescent="0.25">
      <c r="A1939" s="5"/>
      <c r="B1939" s="6"/>
      <c r="C1939" s="4"/>
      <c r="D1939" s="4"/>
      <c r="E1939" s="12"/>
      <c r="F1939" s="12"/>
      <c r="G1939" s="16"/>
      <c r="H1939" s="14"/>
      <c r="I1939" s="14"/>
      <c r="J1939" s="14"/>
      <c r="K1939" s="14"/>
      <c r="L1939" s="14"/>
      <c r="M1939" s="14"/>
      <c r="N1939" s="14"/>
      <c r="O1939" s="4"/>
      <c r="P1939" s="14"/>
      <c r="Q1939" s="14"/>
    </row>
    <row r="1940" spans="1:17" x14ac:dyDescent="0.25">
      <c r="A1940" s="5"/>
      <c r="B1940" s="6"/>
      <c r="C1940" s="4"/>
      <c r="D1940" s="4"/>
      <c r="E1940" s="12"/>
      <c r="F1940" s="12"/>
      <c r="G1940" s="16"/>
      <c r="H1940" s="14"/>
      <c r="I1940" s="14"/>
      <c r="J1940" s="14"/>
      <c r="K1940" s="14"/>
      <c r="L1940" s="14"/>
      <c r="M1940" s="14"/>
      <c r="N1940" s="14"/>
      <c r="O1940" s="4"/>
      <c r="P1940" s="14"/>
      <c r="Q1940" s="14"/>
    </row>
    <row r="1941" spans="1:17" x14ac:dyDescent="0.25">
      <c r="A1941" s="5"/>
      <c r="B1941" s="6"/>
      <c r="C1941" s="4"/>
      <c r="D1941" s="4"/>
      <c r="E1941" s="12"/>
      <c r="F1941" s="12"/>
      <c r="G1941" s="16"/>
      <c r="H1941" s="14"/>
      <c r="I1941" s="14"/>
      <c r="J1941" s="14"/>
      <c r="K1941" s="14"/>
      <c r="L1941" s="14"/>
      <c r="M1941" s="14"/>
      <c r="N1941" s="14"/>
      <c r="O1941" s="4"/>
      <c r="P1941" s="14"/>
      <c r="Q1941" s="14"/>
    </row>
    <row r="1942" spans="1:17" x14ac:dyDescent="0.25">
      <c r="A1942" s="5"/>
      <c r="B1942" s="6"/>
      <c r="C1942" s="4"/>
      <c r="D1942" s="4"/>
      <c r="E1942" s="12"/>
      <c r="F1942" s="12"/>
      <c r="G1942" s="16"/>
      <c r="H1942" s="14"/>
      <c r="I1942" s="14"/>
      <c r="J1942" s="14"/>
      <c r="K1942" s="14"/>
      <c r="L1942" s="14"/>
      <c r="M1942" s="14"/>
      <c r="N1942" s="14"/>
      <c r="O1942" s="4"/>
      <c r="P1942" s="14"/>
      <c r="Q1942" s="14"/>
    </row>
    <row r="1943" spans="1:17" x14ac:dyDescent="0.25">
      <c r="A1943" s="5"/>
      <c r="B1943" s="6"/>
      <c r="C1943" s="4"/>
      <c r="D1943" s="4"/>
      <c r="E1943" s="12"/>
      <c r="F1943" s="12"/>
      <c r="G1943" s="16"/>
      <c r="H1943" s="14"/>
      <c r="I1943" s="14"/>
      <c r="J1943" s="14"/>
      <c r="K1943" s="14"/>
      <c r="L1943" s="14"/>
      <c r="M1943" s="14"/>
      <c r="N1943" s="14"/>
      <c r="O1943" s="4"/>
      <c r="P1943" s="14"/>
      <c r="Q1943" s="14"/>
    </row>
    <row r="1944" spans="1:17" x14ac:dyDescent="0.25">
      <c r="A1944" s="5"/>
      <c r="B1944" s="6"/>
      <c r="C1944" s="4"/>
      <c r="D1944" s="4"/>
      <c r="E1944" s="12"/>
      <c r="F1944" s="12"/>
      <c r="G1944" s="16"/>
      <c r="H1944" s="14"/>
      <c r="I1944" s="14"/>
      <c r="J1944" s="14"/>
      <c r="K1944" s="14"/>
      <c r="L1944" s="14"/>
      <c r="M1944" s="14"/>
      <c r="N1944" s="14"/>
      <c r="O1944" s="4"/>
      <c r="P1944" s="14"/>
      <c r="Q1944" s="14"/>
    </row>
    <row r="1945" spans="1:17" x14ac:dyDescent="0.25">
      <c r="A1945" s="5"/>
      <c r="B1945" s="6"/>
      <c r="C1945" s="4"/>
      <c r="D1945" s="4"/>
      <c r="E1945" s="12"/>
      <c r="F1945" s="12"/>
      <c r="G1945" s="16"/>
      <c r="H1945" s="14"/>
      <c r="I1945" s="14"/>
      <c r="J1945" s="14"/>
      <c r="K1945" s="14"/>
      <c r="L1945" s="14"/>
      <c r="M1945" s="14"/>
      <c r="N1945" s="14"/>
      <c r="O1945" s="4"/>
      <c r="P1945" s="14"/>
      <c r="Q1945" s="14"/>
    </row>
    <row r="1946" spans="1:17" x14ac:dyDescent="0.25">
      <c r="A1946" s="5"/>
      <c r="B1946" s="6"/>
      <c r="C1946" s="4"/>
      <c r="D1946" s="4"/>
      <c r="E1946" s="12"/>
      <c r="F1946" s="12"/>
      <c r="G1946" s="16"/>
      <c r="H1946" s="14"/>
      <c r="I1946" s="14"/>
      <c r="J1946" s="14"/>
      <c r="K1946" s="14"/>
      <c r="L1946" s="14"/>
      <c r="M1946" s="14"/>
      <c r="N1946" s="14"/>
      <c r="O1946" s="4"/>
      <c r="P1946" s="14"/>
      <c r="Q1946" s="14"/>
    </row>
    <row r="1947" spans="1:17" x14ac:dyDescent="0.25">
      <c r="A1947" s="5"/>
      <c r="B1947" s="6"/>
      <c r="C1947" s="4"/>
      <c r="D1947" s="4"/>
      <c r="E1947" s="12"/>
      <c r="F1947" s="12"/>
      <c r="G1947" s="16"/>
      <c r="H1947" s="14"/>
      <c r="I1947" s="14"/>
      <c r="J1947" s="14"/>
      <c r="K1947" s="14"/>
      <c r="L1947" s="14"/>
      <c r="M1947" s="14"/>
      <c r="N1947" s="14"/>
      <c r="O1947" s="4"/>
      <c r="P1947" s="14"/>
      <c r="Q1947" s="14"/>
    </row>
    <row r="1948" spans="1:17" x14ac:dyDescent="0.25">
      <c r="A1948" s="5"/>
      <c r="B1948" s="6"/>
      <c r="C1948" s="4"/>
      <c r="D1948" s="4"/>
      <c r="E1948" s="12"/>
      <c r="F1948" s="12"/>
      <c r="G1948" s="16"/>
      <c r="H1948" s="14"/>
      <c r="I1948" s="14"/>
      <c r="J1948" s="14"/>
      <c r="K1948" s="14"/>
      <c r="L1948" s="14"/>
      <c r="M1948" s="14"/>
      <c r="N1948" s="14"/>
      <c r="O1948" s="4"/>
      <c r="P1948" s="14"/>
      <c r="Q1948" s="14"/>
    </row>
    <row r="1949" spans="1:17" x14ac:dyDescent="0.25">
      <c r="A1949" s="5"/>
      <c r="B1949" s="6"/>
      <c r="C1949" s="4"/>
      <c r="D1949" s="4"/>
      <c r="E1949" s="12"/>
      <c r="F1949" s="12"/>
      <c r="G1949" s="16"/>
      <c r="H1949" s="14"/>
      <c r="I1949" s="14"/>
      <c r="J1949" s="14"/>
      <c r="K1949" s="14"/>
      <c r="L1949" s="14"/>
      <c r="M1949" s="14"/>
      <c r="N1949" s="14"/>
      <c r="O1949" s="4"/>
      <c r="P1949" s="14"/>
      <c r="Q1949" s="14"/>
    </row>
    <row r="1950" spans="1:17" x14ac:dyDescent="0.25">
      <c r="A1950" s="5"/>
      <c r="B1950" s="6"/>
      <c r="C1950" s="4"/>
      <c r="D1950" s="4"/>
      <c r="E1950" s="12"/>
      <c r="F1950" s="12"/>
      <c r="G1950" s="16"/>
      <c r="H1950" s="14"/>
      <c r="I1950" s="14"/>
      <c r="J1950" s="14"/>
      <c r="K1950" s="14"/>
      <c r="L1950" s="14"/>
      <c r="M1950" s="14"/>
      <c r="N1950" s="14"/>
      <c r="O1950" s="4"/>
      <c r="P1950" s="14"/>
      <c r="Q1950" s="14"/>
    </row>
    <row r="1951" spans="1:17" x14ac:dyDescent="0.25">
      <c r="A1951" s="5"/>
      <c r="B1951" s="6"/>
      <c r="C1951" s="4"/>
      <c r="D1951" s="4"/>
      <c r="E1951" s="12"/>
      <c r="F1951" s="12"/>
      <c r="G1951" s="16"/>
      <c r="H1951" s="14"/>
      <c r="I1951" s="14"/>
      <c r="J1951" s="14"/>
      <c r="K1951" s="14"/>
      <c r="L1951" s="14"/>
      <c r="M1951" s="14"/>
      <c r="N1951" s="14"/>
      <c r="O1951" s="4"/>
      <c r="P1951" s="14"/>
      <c r="Q1951" s="14"/>
    </row>
    <row r="1952" spans="1:17" x14ac:dyDescent="0.25">
      <c r="A1952" s="5"/>
      <c r="B1952" s="6"/>
      <c r="C1952" s="4"/>
      <c r="D1952" s="4"/>
      <c r="E1952" s="12"/>
      <c r="F1952" s="12"/>
      <c r="G1952" s="16"/>
      <c r="H1952" s="14"/>
      <c r="I1952" s="14"/>
      <c r="J1952" s="14"/>
      <c r="K1952" s="14"/>
      <c r="L1952" s="14"/>
      <c r="M1952" s="14"/>
      <c r="N1952" s="14"/>
      <c r="O1952" s="4"/>
      <c r="P1952" s="14"/>
      <c r="Q1952" s="14"/>
    </row>
    <row r="1953" spans="1:17" x14ac:dyDescent="0.25">
      <c r="A1953" s="5"/>
      <c r="B1953" s="6"/>
      <c r="C1953" s="4"/>
      <c r="D1953" s="4"/>
      <c r="E1953" s="12"/>
      <c r="F1953" s="12"/>
      <c r="G1953" s="16"/>
      <c r="H1953" s="14"/>
      <c r="I1953" s="14"/>
      <c r="J1953" s="14"/>
      <c r="K1953" s="14"/>
      <c r="L1953" s="14"/>
      <c r="M1953" s="14"/>
      <c r="N1953" s="14"/>
      <c r="O1953" s="4"/>
      <c r="P1953" s="14"/>
      <c r="Q1953" s="14"/>
    </row>
    <row r="1954" spans="1:17" x14ac:dyDescent="0.25">
      <c r="A1954" s="5"/>
      <c r="B1954" s="6"/>
      <c r="C1954" s="4"/>
      <c r="D1954" s="4"/>
      <c r="E1954" s="12"/>
      <c r="F1954" s="12"/>
      <c r="G1954" s="16"/>
      <c r="H1954" s="14"/>
      <c r="I1954" s="14"/>
      <c r="J1954" s="14"/>
      <c r="K1954" s="14"/>
      <c r="L1954" s="14"/>
      <c r="M1954" s="14"/>
      <c r="N1954" s="14"/>
      <c r="O1954" s="4"/>
      <c r="P1954" s="14"/>
      <c r="Q1954" s="14"/>
    </row>
    <row r="1955" spans="1:17" x14ac:dyDescent="0.25">
      <c r="A1955" s="5"/>
      <c r="B1955" s="6"/>
      <c r="C1955" s="4"/>
      <c r="D1955" s="4"/>
      <c r="E1955" s="12"/>
      <c r="F1955" s="12"/>
      <c r="G1955" s="16"/>
      <c r="H1955" s="14"/>
      <c r="I1955" s="14"/>
      <c r="J1955" s="14"/>
      <c r="K1955" s="14"/>
      <c r="L1955" s="14"/>
      <c r="M1955" s="14"/>
      <c r="N1955" s="14"/>
      <c r="O1955" s="4"/>
      <c r="P1955" s="14"/>
      <c r="Q1955" s="14"/>
    </row>
    <row r="1956" spans="1:17" x14ac:dyDescent="0.25">
      <c r="A1956" s="5"/>
      <c r="B1956" s="6"/>
      <c r="C1956" s="4"/>
      <c r="D1956" s="4"/>
      <c r="E1956" s="12"/>
      <c r="F1956" s="12"/>
      <c r="G1956" s="16"/>
      <c r="H1956" s="14"/>
      <c r="I1956" s="14"/>
      <c r="J1956" s="14"/>
      <c r="K1956" s="14"/>
      <c r="L1956" s="14"/>
      <c r="M1956" s="14"/>
      <c r="N1956" s="14"/>
      <c r="O1956" s="4"/>
      <c r="P1956" s="14"/>
      <c r="Q1956" s="14"/>
    </row>
    <row r="1957" spans="1:17" x14ac:dyDescent="0.25">
      <c r="A1957" s="5"/>
      <c r="B1957" s="6"/>
      <c r="C1957" s="4"/>
      <c r="D1957" s="4"/>
      <c r="E1957" s="12"/>
      <c r="F1957" s="12"/>
      <c r="G1957" s="16"/>
      <c r="H1957" s="14"/>
      <c r="I1957" s="14"/>
      <c r="J1957" s="14"/>
      <c r="K1957" s="14"/>
      <c r="L1957" s="14"/>
      <c r="M1957" s="14"/>
      <c r="N1957" s="14"/>
      <c r="O1957" s="4"/>
      <c r="P1957" s="14"/>
      <c r="Q1957" s="14"/>
    </row>
    <row r="1958" spans="1:17" x14ac:dyDescent="0.25">
      <c r="A1958" s="5"/>
      <c r="B1958" s="6"/>
      <c r="C1958" s="4"/>
      <c r="D1958" s="4"/>
      <c r="E1958" s="12"/>
      <c r="F1958" s="12"/>
      <c r="G1958" s="16"/>
      <c r="H1958" s="14"/>
      <c r="I1958" s="14"/>
      <c r="J1958" s="14"/>
      <c r="K1958" s="14"/>
      <c r="L1958" s="14"/>
      <c r="M1958" s="14"/>
      <c r="N1958" s="14"/>
      <c r="O1958" s="4"/>
      <c r="P1958" s="14"/>
      <c r="Q1958" s="14"/>
    </row>
    <row r="1959" spans="1:17" x14ac:dyDescent="0.25">
      <c r="A1959" s="5"/>
      <c r="B1959" s="6"/>
      <c r="C1959" s="4"/>
      <c r="D1959" s="4"/>
      <c r="E1959" s="12"/>
      <c r="F1959" s="12"/>
      <c r="G1959" s="16"/>
      <c r="H1959" s="14"/>
      <c r="I1959" s="14"/>
      <c r="J1959" s="14"/>
      <c r="K1959" s="14"/>
      <c r="L1959" s="14"/>
      <c r="M1959" s="14"/>
      <c r="N1959" s="14"/>
      <c r="O1959" s="4"/>
      <c r="P1959" s="14"/>
      <c r="Q1959" s="14"/>
    </row>
    <row r="1960" spans="1:17" x14ac:dyDescent="0.25">
      <c r="A1960" s="5"/>
      <c r="B1960" s="6"/>
      <c r="C1960" s="4"/>
      <c r="D1960" s="4"/>
      <c r="E1960" s="12"/>
      <c r="F1960" s="12"/>
      <c r="G1960" s="16"/>
      <c r="H1960" s="14"/>
      <c r="I1960" s="14"/>
      <c r="J1960" s="14"/>
      <c r="K1960" s="14"/>
      <c r="L1960" s="14"/>
      <c r="M1960" s="14"/>
      <c r="N1960" s="14"/>
      <c r="O1960" s="4"/>
      <c r="P1960" s="14"/>
      <c r="Q1960" s="14"/>
    </row>
    <row r="1961" spans="1:17" x14ac:dyDescent="0.25">
      <c r="A1961" s="5"/>
      <c r="B1961" s="6"/>
      <c r="C1961" s="4"/>
      <c r="D1961" s="4"/>
      <c r="E1961" s="12"/>
      <c r="F1961" s="12"/>
      <c r="G1961" s="16"/>
      <c r="H1961" s="14"/>
      <c r="I1961" s="14"/>
      <c r="J1961" s="14"/>
      <c r="K1961" s="14"/>
      <c r="L1961" s="14"/>
      <c r="M1961" s="14"/>
      <c r="N1961" s="14"/>
      <c r="O1961" s="4"/>
      <c r="P1961" s="14"/>
      <c r="Q1961" s="14"/>
    </row>
    <row r="1962" spans="1:17" x14ac:dyDescent="0.25">
      <c r="A1962" s="5"/>
      <c r="B1962" s="6"/>
      <c r="C1962" s="4"/>
      <c r="D1962" s="4"/>
      <c r="E1962" s="12"/>
      <c r="F1962" s="12"/>
      <c r="G1962" s="16"/>
      <c r="H1962" s="14"/>
      <c r="I1962" s="14"/>
      <c r="J1962" s="14"/>
      <c r="K1962" s="14"/>
      <c r="L1962" s="14"/>
      <c r="M1962" s="14"/>
      <c r="N1962" s="14"/>
      <c r="O1962" s="4"/>
      <c r="P1962" s="14"/>
      <c r="Q1962" s="14"/>
    </row>
    <row r="1963" spans="1:17" x14ac:dyDescent="0.25">
      <c r="A1963" s="5"/>
      <c r="B1963" s="6"/>
      <c r="C1963" s="4"/>
      <c r="D1963" s="4"/>
      <c r="E1963" s="12"/>
      <c r="F1963" s="12"/>
      <c r="G1963" s="16"/>
      <c r="H1963" s="14"/>
      <c r="I1963" s="14"/>
      <c r="J1963" s="14"/>
      <c r="K1963" s="14"/>
      <c r="L1963" s="14"/>
      <c r="M1963" s="14"/>
      <c r="N1963" s="14"/>
      <c r="O1963" s="4"/>
      <c r="P1963" s="14"/>
      <c r="Q1963" s="14"/>
    </row>
    <row r="1964" spans="1:17" x14ac:dyDescent="0.25">
      <c r="A1964" s="5"/>
      <c r="B1964" s="6"/>
      <c r="C1964" s="4"/>
      <c r="D1964" s="4"/>
      <c r="E1964" s="12"/>
      <c r="F1964" s="12"/>
      <c r="G1964" s="16"/>
      <c r="H1964" s="14"/>
      <c r="I1964" s="14"/>
      <c r="J1964" s="14"/>
      <c r="K1964" s="14"/>
      <c r="L1964" s="14"/>
      <c r="M1964" s="14"/>
      <c r="N1964" s="14"/>
      <c r="O1964" s="4"/>
      <c r="P1964" s="14"/>
      <c r="Q1964" s="14"/>
    </row>
    <row r="1965" spans="1:17" x14ac:dyDescent="0.25">
      <c r="A1965" s="5"/>
      <c r="B1965" s="6"/>
      <c r="C1965" s="4"/>
      <c r="D1965" s="4"/>
      <c r="E1965" s="12"/>
      <c r="F1965" s="12"/>
      <c r="G1965" s="16"/>
      <c r="H1965" s="14"/>
      <c r="I1965" s="14"/>
      <c r="J1965" s="14"/>
      <c r="K1965" s="14"/>
      <c r="L1965" s="14"/>
      <c r="M1965" s="14"/>
      <c r="N1965" s="14"/>
      <c r="O1965" s="4"/>
      <c r="P1965" s="14"/>
      <c r="Q1965" s="14"/>
    </row>
    <row r="1966" spans="1:17" x14ac:dyDescent="0.25">
      <c r="A1966" s="5"/>
      <c r="B1966" s="6"/>
      <c r="C1966" s="4"/>
      <c r="D1966" s="4"/>
      <c r="E1966" s="12"/>
      <c r="F1966" s="12"/>
      <c r="G1966" s="16"/>
      <c r="H1966" s="14"/>
      <c r="I1966" s="14"/>
      <c r="J1966" s="14"/>
      <c r="K1966" s="14"/>
      <c r="L1966" s="14"/>
      <c r="M1966" s="14"/>
      <c r="N1966" s="14"/>
      <c r="O1966" s="4"/>
      <c r="P1966" s="14"/>
      <c r="Q1966" s="14"/>
    </row>
    <row r="1967" spans="1:17" x14ac:dyDescent="0.25">
      <c r="A1967" s="5"/>
      <c r="B1967" s="6"/>
      <c r="C1967" s="4"/>
      <c r="D1967" s="4"/>
      <c r="E1967" s="12"/>
      <c r="F1967" s="12"/>
      <c r="G1967" s="16"/>
      <c r="H1967" s="14"/>
      <c r="I1967" s="14"/>
      <c r="J1967" s="14"/>
      <c r="K1967" s="14"/>
      <c r="L1967" s="14"/>
      <c r="M1967" s="14"/>
      <c r="N1967" s="14"/>
      <c r="O1967" s="4"/>
      <c r="P1967" s="14"/>
      <c r="Q1967" s="14"/>
    </row>
    <row r="1968" spans="1:17" x14ac:dyDescent="0.25">
      <c r="A1968" s="5"/>
      <c r="B1968" s="6"/>
      <c r="C1968" s="4"/>
      <c r="D1968" s="4"/>
      <c r="E1968" s="12"/>
      <c r="F1968" s="12"/>
      <c r="G1968" s="16"/>
      <c r="H1968" s="14"/>
      <c r="I1968" s="14"/>
      <c r="J1968" s="14"/>
      <c r="K1968" s="14"/>
      <c r="L1968" s="14"/>
      <c r="M1968" s="14"/>
      <c r="N1968" s="14"/>
      <c r="O1968" s="4"/>
      <c r="P1968" s="14"/>
      <c r="Q1968" s="14"/>
    </row>
    <row r="1969" spans="1:17" x14ac:dyDescent="0.25">
      <c r="A1969" s="5"/>
      <c r="B1969" s="6"/>
      <c r="C1969" s="4"/>
      <c r="D1969" s="4"/>
      <c r="E1969" s="12"/>
      <c r="F1969" s="12"/>
      <c r="G1969" s="16"/>
      <c r="H1969" s="14"/>
      <c r="I1969" s="14"/>
      <c r="J1969" s="14"/>
      <c r="K1969" s="14"/>
      <c r="L1969" s="14"/>
      <c r="M1969" s="14"/>
      <c r="N1969" s="14"/>
      <c r="O1969" s="4"/>
      <c r="P1969" s="14"/>
      <c r="Q1969" s="14"/>
    </row>
    <row r="1970" spans="1:17" x14ac:dyDescent="0.25">
      <c r="A1970" s="5"/>
      <c r="B1970" s="6"/>
      <c r="C1970" s="4"/>
      <c r="D1970" s="4"/>
      <c r="E1970" s="12"/>
      <c r="F1970" s="12"/>
      <c r="G1970" s="16"/>
      <c r="H1970" s="14"/>
      <c r="I1970" s="14"/>
      <c r="J1970" s="14"/>
      <c r="K1970" s="14"/>
      <c r="L1970" s="14"/>
      <c r="M1970" s="14"/>
      <c r="N1970" s="14"/>
      <c r="O1970" s="4"/>
      <c r="P1970" s="14"/>
      <c r="Q1970" s="14"/>
    </row>
    <row r="1971" spans="1:17" x14ac:dyDescent="0.25">
      <c r="A1971" s="5"/>
      <c r="B1971" s="6"/>
      <c r="C1971" s="4"/>
      <c r="D1971" s="4"/>
      <c r="E1971" s="12"/>
      <c r="F1971" s="12"/>
      <c r="G1971" s="16"/>
      <c r="H1971" s="14"/>
      <c r="I1971" s="14"/>
      <c r="J1971" s="14"/>
      <c r="K1971" s="14"/>
      <c r="L1971" s="14"/>
      <c r="M1971" s="14"/>
      <c r="N1971" s="14"/>
      <c r="O1971" s="4"/>
      <c r="P1971" s="14"/>
      <c r="Q1971" s="14"/>
    </row>
    <row r="1972" spans="1:17" x14ac:dyDescent="0.25">
      <c r="A1972" s="5"/>
      <c r="B1972" s="6"/>
      <c r="C1972" s="4"/>
      <c r="D1972" s="4"/>
      <c r="E1972" s="12"/>
      <c r="F1972" s="12"/>
      <c r="G1972" s="16"/>
      <c r="H1972" s="14"/>
      <c r="I1972" s="14"/>
      <c r="J1972" s="14"/>
      <c r="K1972" s="14"/>
      <c r="L1972" s="14"/>
      <c r="M1972" s="14"/>
      <c r="N1972" s="14"/>
      <c r="O1972" s="4"/>
      <c r="P1972" s="14"/>
      <c r="Q1972" s="14"/>
    </row>
    <row r="1973" spans="1:17" x14ac:dyDescent="0.25">
      <c r="A1973" s="5"/>
      <c r="B1973" s="6"/>
      <c r="C1973" s="4"/>
      <c r="D1973" s="4"/>
      <c r="E1973" s="12"/>
      <c r="F1973" s="12"/>
      <c r="G1973" s="16"/>
      <c r="H1973" s="14"/>
      <c r="I1973" s="14"/>
      <c r="J1973" s="14"/>
      <c r="K1973" s="14"/>
      <c r="L1973" s="14"/>
      <c r="M1973" s="14"/>
      <c r="N1973" s="14"/>
      <c r="O1973" s="4"/>
      <c r="P1973" s="14"/>
      <c r="Q1973" s="14"/>
    </row>
    <row r="1974" spans="1:17" x14ac:dyDescent="0.25">
      <c r="A1974" s="5"/>
      <c r="B1974" s="6"/>
      <c r="C1974" s="4"/>
      <c r="D1974" s="4"/>
      <c r="E1974" s="12"/>
      <c r="F1974" s="12"/>
      <c r="G1974" s="16"/>
      <c r="H1974" s="14"/>
      <c r="I1974" s="14"/>
      <c r="J1974" s="14"/>
      <c r="K1974" s="14"/>
      <c r="L1974" s="14"/>
      <c r="M1974" s="14"/>
      <c r="N1974" s="14"/>
      <c r="O1974" s="4"/>
      <c r="P1974" s="14"/>
      <c r="Q1974" s="14"/>
    </row>
    <row r="1975" spans="1:17" x14ac:dyDescent="0.25">
      <c r="A1975" s="5"/>
      <c r="B1975" s="6"/>
      <c r="C1975" s="4"/>
      <c r="D1975" s="4"/>
      <c r="E1975" s="12"/>
      <c r="F1975" s="12"/>
      <c r="G1975" s="16"/>
      <c r="H1975" s="14"/>
      <c r="I1975" s="14"/>
      <c r="J1975" s="14"/>
      <c r="K1975" s="14"/>
      <c r="L1975" s="14"/>
      <c r="M1975" s="14"/>
      <c r="N1975" s="14"/>
      <c r="O1975" s="4"/>
      <c r="P1975" s="14"/>
      <c r="Q1975" s="14"/>
    </row>
    <row r="1976" spans="1:17" x14ac:dyDescent="0.25">
      <c r="A1976" s="5"/>
      <c r="B1976" s="6"/>
      <c r="C1976" s="4"/>
      <c r="D1976" s="4"/>
      <c r="E1976" s="12"/>
      <c r="F1976" s="12"/>
      <c r="G1976" s="16"/>
      <c r="H1976" s="14"/>
      <c r="I1976" s="14"/>
      <c r="J1976" s="14"/>
      <c r="K1976" s="14"/>
      <c r="L1976" s="14"/>
      <c r="M1976" s="14"/>
      <c r="N1976" s="14"/>
      <c r="O1976" s="4"/>
      <c r="P1976" s="14"/>
      <c r="Q1976" s="14"/>
    </row>
    <row r="1977" spans="1:17" x14ac:dyDescent="0.25">
      <c r="A1977" s="5"/>
      <c r="B1977" s="6"/>
      <c r="C1977" s="4"/>
      <c r="D1977" s="4"/>
      <c r="E1977" s="12"/>
      <c r="F1977" s="12"/>
      <c r="G1977" s="16"/>
      <c r="H1977" s="14"/>
      <c r="I1977" s="14"/>
      <c r="J1977" s="14"/>
      <c r="K1977" s="14"/>
      <c r="L1977" s="14"/>
      <c r="M1977" s="14"/>
      <c r="N1977" s="14"/>
      <c r="O1977" s="4"/>
      <c r="P1977" s="14"/>
      <c r="Q1977" s="14"/>
    </row>
    <row r="1978" spans="1:17" x14ac:dyDescent="0.25">
      <c r="A1978" s="5"/>
      <c r="B1978" s="6"/>
      <c r="C1978" s="4"/>
      <c r="D1978" s="4"/>
      <c r="E1978" s="12"/>
      <c r="F1978" s="12"/>
      <c r="G1978" s="16"/>
      <c r="H1978" s="14"/>
      <c r="I1978" s="14"/>
      <c r="J1978" s="14"/>
      <c r="K1978" s="14"/>
      <c r="L1978" s="14"/>
      <c r="M1978" s="14"/>
      <c r="N1978" s="14"/>
      <c r="O1978" s="4"/>
      <c r="P1978" s="14"/>
      <c r="Q1978" s="14"/>
    </row>
    <row r="1979" spans="1:17" x14ac:dyDescent="0.25">
      <c r="A1979" s="5"/>
      <c r="B1979" s="6"/>
      <c r="C1979" s="4"/>
      <c r="D1979" s="4"/>
      <c r="E1979" s="12"/>
      <c r="F1979" s="12"/>
      <c r="G1979" s="16"/>
      <c r="H1979" s="14"/>
      <c r="I1979" s="14"/>
      <c r="J1979" s="14"/>
      <c r="K1979" s="14"/>
      <c r="L1979" s="14"/>
      <c r="M1979" s="14"/>
      <c r="N1979" s="14"/>
      <c r="O1979" s="4"/>
      <c r="P1979" s="14"/>
      <c r="Q1979" s="14"/>
    </row>
    <row r="1980" spans="1:17" x14ac:dyDescent="0.25">
      <c r="A1980" s="5"/>
      <c r="B1980" s="6"/>
      <c r="C1980" s="4"/>
      <c r="D1980" s="4"/>
      <c r="E1980" s="12"/>
      <c r="F1980" s="12"/>
      <c r="G1980" s="16"/>
      <c r="H1980" s="14"/>
      <c r="I1980" s="14"/>
      <c r="J1980" s="14"/>
      <c r="K1980" s="14"/>
      <c r="L1980" s="14"/>
      <c r="M1980" s="14"/>
      <c r="N1980" s="14"/>
      <c r="O1980" s="4"/>
      <c r="P1980" s="14"/>
      <c r="Q1980" s="14"/>
    </row>
    <row r="1981" spans="1:17" x14ac:dyDescent="0.25">
      <c r="A1981" s="5"/>
      <c r="B1981" s="6"/>
      <c r="C1981" s="4"/>
      <c r="D1981" s="4"/>
      <c r="E1981" s="12"/>
      <c r="F1981" s="12"/>
      <c r="G1981" s="16"/>
      <c r="H1981" s="14"/>
      <c r="I1981" s="14"/>
      <c r="J1981" s="14"/>
      <c r="K1981" s="14"/>
      <c r="L1981" s="14"/>
      <c r="M1981" s="14"/>
      <c r="N1981" s="14"/>
      <c r="O1981" s="4"/>
      <c r="P1981" s="14"/>
      <c r="Q1981" s="14"/>
    </row>
    <row r="1982" spans="1:17" x14ac:dyDescent="0.25">
      <c r="A1982" s="5"/>
      <c r="B1982" s="6"/>
      <c r="C1982" s="4"/>
      <c r="D1982" s="4"/>
      <c r="E1982" s="12"/>
      <c r="F1982" s="12"/>
      <c r="G1982" s="16"/>
      <c r="H1982" s="14"/>
      <c r="I1982" s="14"/>
      <c r="J1982" s="14"/>
      <c r="K1982" s="14"/>
      <c r="L1982" s="14"/>
      <c r="M1982" s="14"/>
      <c r="N1982" s="14"/>
      <c r="O1982" s="4"/>
      <c r="P1982" s="14"/>
      <c r="Q1982" s="14"/>
    </row>
    <row r="1983" spans="1:17" x14ac:dyDescent="0.25">
      <c r="A1983" s="5"/>
      <c r="B1983" s="6"/>
      <c r="C1983" s="4"/>
      <c r="D1983" s="4"/>
      <c r="E1983" s="12"/>
      <c r="F1983" s="12"/>
      <c r="G1983" s="16"/>
      <c r="H1983" s="14"/>
      <c r="I1983" s="14"/>
      <c r="J1983" s="14"/>
      <c r="K1983" s="14"/>
      <c r="L1983" s="14"/>
      <c r="M1983" s="14"/>
      <c r="N1983" s="14"/>
      <c r="O1983" s="4"/>
      <c r="P1983" s="14"/>
      <c r="Q1983" s="14"/>
    </row>
    <row r="1984" spans="1:17" x14ac:dyDescent="0.25">
      <c r="A1984" s="5"/>
      <c r="B1984" s="6"/>
      <c r="C1984" s="4"/>
      <c r="D1984" s="4"/>
      <c r="E1984" s="12"/>
      <c r="F1984" s="12"/>
      <c r="G1984" s="16"/>
      <c r="H1984" s="14"/>
      <c r="I1984" s="14"/>
      <c r="J1984" s="14"/>
      <c r="K1984" s="14"/>
      <c r="L1984" s="14"/>
      <c r="M1984" s="14"/>
      <c r="N1984" s="14"/>
      <c r="O1984" s="4"/>
      <c r="P1984" s="14"/>
      <c r="Q1984" s="14"/>
    </row>
    <row r="1985" spans="1:17" x14ac:dyDescent="0.25">
      <c r="A1985" s="5"/>
      <c r="B1985" s="6"/>
      <c r="C1985" s="4"/>
      <c r="D1985" s="4"/>
      <c r="E1985" s="12"/>
      <c r="F1985" s="12"/>
      <c r="G1985" s="16"/>
      <c r="H1985" s="14"/>
      <c r="I1985" s="14"/>
      <c r="J1985" s="14"/>
      <c r="K1985" s="14"/>
      <c r="L1985" s="14"/>
      <c r="M1985" s="14"/>
      <c r="N1985" s="14"/>
      <c r="O1985" s="4"/>
      <c r="P1985" s="14"/>
      <c r="Q1985" s="14"/>
    </row>
    <row r="1986" spans="1:17" x14ac:dyDescent="0.25">
      <c r="A1986" s="5"/>
      <c r="B1986" s="6"/>
      <c r="C1986" s="4"/>
      <c r="D1986" s="4"/>
      <c r="E1986" s="12"/>
      <c r="F1986" s="12"/>
      <c r="G1986" s="16"/>
      <c r="H1986" s="14"/>
      <c r="I1986" s="14"/>
      <c r="J1986" s="14"/>
      <c r="K1986" s="14"/>
      <c r="L1986" s="14"/>
      <c r="M1986" s="14"/>
      <c r="N1986" s="14"/>
      <c r="O1986" s="4"/>
      <c r="P1986" s="14"/>
      <c r="Q1986" s="14"/>
    </row>
    <row r="1987" spans="1:17" x14ac:dyDescent="0.25">
      <c r="A1987" s="5"/>
      <c r="B1987" s="6"/>
      <c r="C1987" s="4"/>
      <c r="D1987" s="4"/>
      <c r="E1987" s="12"/>
      <c r="F1987" s="12"/>
      <c r="G1987" s="16"/>
      <c r="H1987" s="14"/>
      <c r="I1987" s="14"/>
      <c r="J1987" s="14"/>
      <c r="K1987" s="14"/>
      <c r="L1987" s="14"/>
      <c r="M1987" s="14"/>
      <c r="N1987" s="14"/>
      <c r="O1987" s="4"/>
      <c r="P1987" s="14"/>
      <c r="Q1987" s="14"/>
    </row>
    <row r="1988" spans="1:17" x14ac:dyDescent="0.25">
      <c r="A1988" s="5"/>
      <c r="B1988" s="6"/>
      <c r="C1988" s="4"/>
      <c r="D1988" s="4"/>
      <c r="E1988" s="12"/>
      <c r="F1988" s="12"/>
      <c r="G1988" s="16"/>
      <c r="H1988" s="14"/>
      <c r="I1988" s="14"/>
      <c r="J1988" s="14"/>
      <c r="K1988" s="14"/>
      <c r="L1988" s="14"/>
      <c r="M1988" s="14"/>
      <c r="N1988" s="14"/>
      <c r="O1988" s="4"/>
      <c r="P1988" s="14"/>
      <c r="Q1988" s="14"/>
    </row>
    <row r="1989" spans="1:17" x14ac:dyDescent="0.25">
      <c r="A1989" s="5"/>
      <c r="B1989" s="6"/>
      <c r="C1989" s="4"/>
      <c r="D1989" s="4"/>
      <c r="E1989" s="12"/>
      <c r="F1989" s="12"/>
      <c r="G1989" s="16"/>
      <c r="H1989" s="14"/>
      <c r="I1989" s="14"/>
      <c r="J1989" s="14"/>
      <c r="K1989" s="14"/>
      <c r="L1989" s="14"/>
      <c r="M1989" s="14"/>
      <c r="N1989" s="14"/>
      <c r="O1989" s="4"/>
      <c r="P1989" s="14"/>
      <c r="Q1989" s="14"/>
    </row>
    <row r="1990" spans="1:17" x14ac:dyDescent="0.25">
      <c r="A1990" s="5"/>
      <c r="B1990" s="6"/>
      <c r="C1990" s="4"/>
      <c r="D1990" s="4"/>
      <c r="E1990" s="12"/>
      <c r="F1990" s="12"/>
      <c r="G1990" s="16"/>
      <c r="H1990" s="14"/>
      <c r="I1990" s="14"/>
      <c r="J1990" s="14"/>
      <c r="K1990" s="14"/>
      <c r="L1990" s="14"/>
      <c r="M1990" s="14"/>
      <c r="N1990" s="14"/>
      <c r="O1990" s="4"/>
      <c r="P1990" s="14"/>
      <c r="Q1990" s="14"/>
    </row>
    <row r="1991" spans="1:17" x14ac:dyDescent="0.25">
      <c r="A1991" s="5"/>
      <c r="B1991" s="6"/>
      <c r="C1991" s="4"/>
      <c r="D1991" s="4"/>
      <c r="E1991" s="12"/>
      <c r="F1991" s="12"/>
      <c r="G1991" s="16"/>
      <c r="H1991" s="14"/>
      <c r="I1991" s="14"/>
      <c r="J1991" s="14"/>
      <c r="K1991" s="14"/>
      <c r="L1991" s="14"/>
      <c r="M1991" s="14"/>
      <c r="N1991" s="14"/>
      <c r="O1991" s="4"/>
      <c r="P1991" s="14"/>
      <c r="Q1991" s="14"/>
    </row>
    <row r="1992" spans="1:17" x14ac:dyDescent="0.25">
      <c r="A1992" s="5"/>
      <c r="B1992" s="6"/>
      <c r="C1992" s="4"/>
      <c r="D1992" s="4"/>
      <c r="E1992" s="12"/>
      <c r="F1992" s="12"/>
      <c r="G1992" s="16"/>
      <c r="H1992" s="14"/>
      <c r="I1992" s="14"/>
      <c r="J1992" s="14"/>
      <c r="K1992" s="14"/>
      <c r="L1992" s="14"/>
      <c r="M1992" s="14"/>
      <c r="N1992" s="14"/>
      <c r="O1992" s="4"/>
      <c r="P1992" s="14"/>
      <c r="Q1992" s="14"/>
    </row>
    <row r="1993" spans="1:17" x14ac:dyDescent="0.25">
      <c r="A1993" s="5"/>
      <c r="B1993" s="6"/>
      <c r="C1993" s="4"/>
      <c r="D1993" s="4"/>
      <c r="E1993" s="12"/>
      <c r="F1993" s="12"/>
      <c r="G1993" s="16"/>
      <c r="H1993" s="14"/>
      <c r="I1993" s="14"/>
      <c r="J1993" s="14"/>
      <c r="K1993" s="14"/>
      <c r="L1993" s="14"/>
      <c r="M1993" s="14"/>
      <c r="N1993" s="14"/>
      <c r="O1993" s="4"/>
      <c r="P1993" s="14"/>
      <c r="Q1993" s="14"/>
    </row>
    <row r="1994" spans="1:17" x14ac:dyDescent="0.25">
      <c r="A1994" s="5"/>
      <c r="B1994" s="6"/>
      <c r="C1994" s="4"/>
      <c r="D1994" s="4"/>
      <c r="E1994" s="12"/>
      <c r="F1994" s="12"/>
      <c r="G1994" s="16"/>
      <c r="H1994" s="14"/>
      <c r="I1994" s="14"/>
      <c r="J1994" s="14"/>
      <c r="K1994" s="14"/>
      <c r="L1994" s="14"/>
      <c r="M1994" s="14"/>
      <c r="N1994" s="14"/>
      <c r="O1994" s="4"/>
      <c r="P1994" s="14"/>
      <c r="Q1994" s="14"/>
    </row>
    <row r="1995" spans="1:17" x14ac:dyDescent="0.25">
      <c r="A1995" s="5"/>
      <c r="B1995" s="6"/>
      <c r="C1995" s="4"/>
      <c r="D1995" s="4"/>
      <c r="E1995" s="12"/>
      <c r="F1995" s="12"/>
      <c r="G1995" s="16"/>
      <c r="H1995" s="14"/>
      <c r="I1995" s="14"/>
      <c r="J1995" s="14"/>
      <c r="K1995" s="14"/>
      <c r="L1995" s="14"/>
      <c r="M1995" s="14"/>
      <c r="N1995" s="14"/>
      <c r="O1995" s="4"/>
      <c r="P1995" s="14"/>
      <c r="Q1995" s="14"/>
    </row>
    <row r="1996" spans="1:17" x14ac:dyDescent="0.25">
      <c r="A1996" s="5"/>
      <c r="B1996" s="6"/>
      <c r="C1996" s="4"/>
      <c r="D1996" s="4"/>
      <c r="E1996" s="12"/>
      <c r="F1996" s="12"/>
      <c r="G1996" s="16"/>
      <c r="H1996" s="14"/>
      <c r="I1996" s="14"/>
      <c r="J1996" s="14"/>
      <c r="K1996" s="14"/>
      <c r="L1996" s="14"/>
      <c r="M1996" s="14"/>
      <c r="N1996" s="14"/>
      <c r="O1996" s="4"/>
      <c r="P1996" s="14"/>
      <c r="Q1996" s="14"/>
    </row>
    <row r="1997" spans="1:17" x14ac:dyDescent="0.25">
      <c r="A1997" s="5"/>
      <c r="B1997" s="6"/>
      <c r="C1997" s="4"/>
      <c r="D1997" s="4"/>
      <c r="E1997" s="12"/>
      <c r="F1997" s="12"/>
      <c r="G1997" s="16"/>
      <c r="H1997" s="14"/>
      <c r="I1997" s="14"/>
      <c r="J1997" s="14"/>
      <c r="K1997" s="14"/>
      <c r="L1997" s="14"/>
      <c r="M1997" s="14"/>
      <c r="N1997" s="14"/>
      <c r="O1997" s="4"/>
      <c r="P1997" s="14"/>
      <c r="Q1997" s="14"/>
    </row>
    <row r="1998" spans="1:17" x14ac:dyDescent="0.25">
      <c r="A1998" s="5"/>
      <c r="B1998" s="6"/>
      <c r="C1998" s="4"/>
      <c r="D1998" s="4"/>
      <c r="E1998" s="12"/>
      <c r="F1998" s="12"/>
      <c r="G1998" s="16"/>
      <c r="H1998" s="14"/>
      <c r="I1998" s="14"/>
      <c r="J1998" s="14"/>
      <c r="K1998" s="14"/>
      <c r="L1998" s="14"/>
      <c r="M1998" s="14"/>
      <c r="N1998" s="14"/>
      <c r="O1998" s="4"/>
      <c r="P1998" s="14"/>
      <c r="Q1998" s="14"/>
    </row>
    <row r="1999" spans="1:17" x14ac:dyDescent="0.25">
      <c r="A1999" s="5"/>
      <c r="B1999" s="6"/>
      <c r="C1999" s="4"/>
      <c r="D1999" s="4"/>
      <c r="E1999" s="12"/>
      <c r="F1999" s="12"/>
      <c r="G1999" s="16"/>
      <c r="H1999" s="14"/>
      <c r="I1999" s="14"/>
      <c r="J1999" s="14"/>
      <c r="K1999" s="14"/>
      <c r="L1999" s="14"/>
      <c r="M1999" s="14"/>
      <c r="N1999" s="14"/>
      <c r="O1999" s="4"/>
      <c r="P1999" s="14"/>
      <c r="Q1999" s="14"/>
    </row>
    <row r="2000" spans="1:17" x14ac:dyDescent="0.25">
      <c r="A2000" s="5"/>
      <c r="B2000" s="6"/>
      <c r="C2000" s="4"/>
      <c r="D2000" s="4"/>
      <c r="E2000" s="12"/>
      <c r="F2000" s="12"/>
      <c r="G2000" s="16"/>
      <c r="H2000" s="14"/>
      <c r="I2000" s="14"/>
      <c r="J2000" s="14"/>
      <c r="K2000" s="14"/>
      <c r="L2000" s="14"/>
      <c r="M2000" s="14"/>
      <c r="N2000" s="14"/>
      <c r="O2000" s="4"/>
      <c r="P2000" s="14"/>
      <c r="Q2000" s="14"/>
    </row>
    <row r="2001" spans="1:17" x14ac:dyDescent="0.25">
      <c r="A2001" s="5"/>
      <c r="B2001" s="6"/>
      <c r="C2001" s="4"/>
      <c r="D2001" s="4"/>
      <c r="E2001" s="12"/>
      <c r="F2001" s="12"/>
      <c r="G2001" s="16"/>
      <c r="H2001" s="14"/>
      <c r="I2001" s="14"/>
      <c r="J2001" s="14"/>
      <c r="K2001" s="14"/>
      <c r="L2001" s="14"/>
      <c r="M2001" s="14"/>
      <c r="N2001" s="14"/>
      <c r="O2001" s="4"/>
      <c r="P2001" s="14"/>
      <c r="Q2001" s="14"/>
    </row>
    <row r="2002" spans="1:17" x14ac:dyDescent="0.25">
      <c r="A2002" s="5"/>
      <c r="B2002" s="6"/>
      <c r="C2002" s="4"/>
      <c r="D2002" s="4"/>
      <c r="E2002" s="12"/>
      <c r="F2002" s="12"/>
      <c r="G2002" s="16"/>
      <c r="H2002" s="14"/>
      <c r="I2002" s="14"/>
      <c r="J2002" s="14"/>
      <c r="K2002" s="14"/>
      <c r="L2002" s="14"/>
      <c r="M2002" s="14"/>
      <c r="N2002" s="14"/>
      <c r="O2002" s="4"/>
      <c r="P2002" s="14"/>
      <c r="Q2002" s="14"/>
    </row>
    <row r="2003" spans="1:17" x14ac:dyDescent="0.25">
      <c r="A2003" s="5"/>
      <c r="B2003" s="6"/>
      <c r="C2003" s="4"/>
      <c r="D2003" s="4"/>
      <c r="E2003" s="12"/>
      <c r="F2003" s="12"/>
      <c r="G2003" s="16"/>
      <c r="H2003" s="14"/>
      <c r="I2003" s="14"/>
      <c r="J2003" s="14"/>
      <c r="K2003" s="14"/>
      <c r="L2003" s="14"/>
      <c r="M2003" s="14"/>
      <c r="N2003" s="14"/>
      <c r="O2003" s="4"/>
      <c r="P2003" s="14"/>
      <c r="Q2003" s="14"/>
    </row>
    <row r="2004" spans="1:17" x14ac:dyDescent="0.25">
      <c r="A2004" s="5"/>
      <c r="B2004" s="6"/>
      <c r="C2004" s="4"/>
      <c r="D2004" s="4"/>
      <c r="E2004" s="12"/>
      <c r="F2004" s="12"/>
      <c r="G2004" s="16"/>
      <c r="H2004" s="14"/>
      <c r="I2004" s="14"/>
      <c r="J2004" s="14"/>
      <c r="K2004" s="14"/>
      <c r="L2004" s="14"/>
      <c r="M2004" s="14"/>
      <c r="N2004" s="14"/>
      <c r="O2004" s="4"/>
      <c r="P2004" s="14"/>
      <c r="Q2004" s="14"/>
    </row>
    <row r="2005" spans="1:17" x14ac:dyDescent="0.25">
      <c r="A2005" s="5"/>
      <c r="B2005" s="6"/>
      <c r="C2005" s="4"/>
      <c r="D2005" s="4"/>
      <c r="E2005" s="12"/>
      <c r="F2005" s="12"/>
      <c r="G2005" s="16"/>
      <c r="H2005" s="14"/>
      <c r="I2005" s="14"/>
      <c r="J2005" s="14"/>
      <c r="K2005" s="14"/>
      <c r="L2005" s="14"/>
      <c r="M2005" s="14"/>
      <c r="N2005" s="14"/>
      <c r="O2005" s="4"/>
      <c r="P2005" s="14"/>
      <c r="Q2005" s="14"/>
    </row>
    <row r="2006" spans="1:17" x14ac:dyDescent="0.25">
      <c r="A2006" s="5"/>
      <c r="B2006" s="6"/>
      <c r="C2006" s="4"/>
      <c r="D2006" s="4"/>
      <c r="E2006" s="12"/>
      <c r="F2006" s="12"/>
      <c r="G2006" s="16"/>
      <c r="H2006" s="14"/>
      <c r="I2006" s="14"/>
      <c r="J2006" s="14"/>
      <c r="K2006" s="14"/>
      <c r="L2006" s="14"/>
      <c r="M2006" s="14"/>
      <c r="N2006" s="14"/>
      <c r="O2006" s="4"/>
      <c r="P2006" s="14"/>
      <c r="Q2006" s="14"/>
    </row>
    <row r="2007" spans="1:17" x14ac:dyDescent="0.25">
      <c r="A2007" s="5"/>
      <c r="B2007" s="6"/>
      <c r="C2007" s="4"/>
      <c r="D2007" s="4"/>
      <c r="E2007" s="12"/>
      <c r="F2007" s="12"/>
      <c r="G2007" s="16"/>
      <c r="H2007" s="14"/>
      <c r="I2007" s="14"/>
      <c r="J2007" s="14"/>
      <c r="K2007" s="14"/>
      <c r="L2007" s="14"/>
      <c r="M2007" s="14"/>
      <c r="N2007" s="14"/>
      <c r="O2007" s="4"/>
      <c r="P2007" s="14"/>
      <c r="Q2007" s="14"/>
    </row>
    <row r="2008" spans="1:17" x14ac:dyDescent="0.25">
      <c r="A2008" s="5"/>
      <c r="B2008" s="6"/>
      <c r="C2008" s="4"/>
      <c r="D2008" s="4"/>
      <c r="E2008" s="12"/>
      <c r="F2008" s="12"/>
      <c r="G2008" s="16"/>
      <c r="H2008" s="14"/>
      <c r="I2008" s="14"/>
      <c r="J2008" s="14"/>
      <c r="K2008" s="14"/>
      <c r="L2008" s="14"/>
      <c r="M2008" s="14"/>
      <c r="N2008" s="14"/>
      <c r="O2008" s="4"/>
      <c r="P2008" s="14"/>
      <c r="Q2008" s="14"/>
    </row>
    <row r="2009" spans="1:17" x14ac:dyDescent="0.25">
      <c r="A2009" s="5"/>
      <c r="B2009" s="6"/>
      <c r="C2009" s="4"/>
      <c r="D2009" s="4"/>
      <c r="E2009" s="12"/>
      <c r="F2009" s="12"/>
      <c r="G2009" s="16"/>
      <c r="H2009" s="14"/>
      <c r="I2009" s="14"/>
      <c r="J2009" s="14"/>
      <c r="K2009" s="14"/>
      <c r="L2009" s="14"/>
      <c r="M2009" s="14"/>
      <c r="N2009" s="14"/>
      <c r="O2009" s="4"/>
      <c r="P2009" s="14"/>
      <c r="Q2009" s="14"/>
    </row>
    <row r="2010" spans="1:17" x14ac:dyDescent="0.25">
      <c r="A2010" s="5"/>
      <c r="B2010" s="6"/>
      <c r="C2010" s="4"/>
      <c r="D2010" s="4"/>
      <c r="E2010" s="12"/>
      <c r="F2010" s="12"/>
      <c r="G2010" s="16"/>
      <c r="H2010" s="14"/>
      <c r="I2010" s="14"/>
      <c r="J2010" s="14"/>
      <c r="K2010" s="14"/>
      <c r="L2010" s="14"/>
      <c r="M2010" s="14"/>
      <c r="N2010" s="14"/>
      <c r="O2010" s="4"/>
      <c r="P2010" s="14"/>
      <c r="Q2010" s="14"/>
    </row>
    <row r="2011" spans="1:17" x14ac:dyDescent="0.25">
      <c r="A2011" s="5"/>
      <c r="B2011" s="6"/>
      <c r="C2011" s="4"/>
      <c r="D2011" s="4"/>
      <c r="E2011" s="12"/>
      <c r="F2011" s="12"/>
      <c r="G2011" s="16"/>
      <c r="H2011" s="14"/>
      <c r="I2011" s="14"/>
      <c r="J2011" s="14"/>
      <c r="K2011" s="14"/>
      <c r="L2011" s="14"/>
      <c r="M2011" s="14"/>
      <c r="N2011" s="14"/>
      <c r="O2011" s="4"/>
      <c r="P2011" s="14"/>
      <c r="Q2011" s="14"/>
    </row>
    <row r="2012" spans="1:17" x14ac:dyDescent="0.25">
      <c r="A2012" s="5"/>
      <c r="B2012" s="6"/>
      <c r="C2012" s="4"/>
      <c r="D2012" s="4"/>
      <c r="E2012" s="12"/>
      <c r="F2012" s="12"/>
      <c r="G2012" s="16"/>
      <c r="H2012" s="14"/>
      <c r="I2012" s="14"/>
      <c r="J2012" s="14"/>
      <c r="K2012" s="14"/>
      <c r="L2012" s="14"/>
      <c r="M2012" s="14"/>
      <c r="N2012" s="14"/>
      <c r="O2012" s="4"/>
      <c r="P2012" s="14"/>
      <c r="Q2012" s="14"/>
    </row>
    <row r="2013" spans="1:17" x14ac:dyDescent="0.25">
      <c r="A2013" s="5"/>
      <c r="B2013" s="6"/>
      <c r="C2013" s="4"/>
      <c r="D2013" s="4"/>
      <c r="E2013" s="12"/>
      <c r="F2013" s="12"/>
      <c r="G2013" s="16"/>
      <c r="H2013" s="14"/>
      <c r="I2013" s="14"/>
      <c r="J2013" s="14"/>
      <c r="K2013" s="14"/>
      <c r="L2013" s="14"/>
      <c r="M2013" s="14"/>
      <c r="N2013" s="14"/>
      <c r="O2013" s="4"/>
      <c r="P2013" s="14"/>
      <c r="Q2013" s="14"/>
    </row>
    <row r="2014" spans="1:17" x14ac:dyDescent="0.25">
      <c r="A2014" s="5"/>
      <c r="B2014" s="6"/>
      <c r="C2014" s="4"/>
      <c r="D2014" s="4"/>
      <c r="E2014" s="12"/>
      <c r="F2014" s="12"/>
      <c r="G2014" s="16"/>
      <c r="H2014" s="14"/>
      <c r="I2014" s="14"/>
      <c r="J2014" s="14"/>
      <c r="K2014" s="14"/>
      <c r="L2014" s="14"/>
      <c r="M2014" s="14"/>
      <c r="N2014" s="14"/>
      <c r="O2014" s="4"/>
      <c r="P2014" s="14"/>
      <c r="Q2014" s="14"/>
    </row>
    <row r="2015" spans="1:17" x14ac:dyDescent="0.25">
      <c r="A2015" s="5"/>
      <c r="B2015" s="6"/>
      <c r="C2015" s="4"/>
      <c r="D2015" s="4"/>
      <c r="E2015" s="12"/>
      <c r="F2015" s="12"/>
      <c r="G2015" s="16"/>
      <c r="H2015" s="14"/>
      <c r="I2015" s="14"/>
      <c r="J2015" s="14"/>
      <c r="K2015" s="14"/>
      <c r="L2015" s="14"/>
      <c r="M2015" s="14"/>
      <c r="N2015" s="14"/>
      <c r="O2015" s="4"/>
      <c r="P2015" s="14"/>
      <c r="Q2015" s="14"/>
    </row>
    <row r="2016" spans="1:17" x14ac:dyDescent="0.25">
      <c r="A2016" s="5"/>
      <c r="B2016" s="6"/>
      <c r="C2016" s="4"/>
      <c r="D2016" s="4"/>
      <c r="E2016" s="12"/>
      <c r="F2016" s="12"/>
      <c r="G2016" s="16"/>
      <c r="H2016" s="14"/>
      <c r="I2016" s="14"/>
      <c r="J2016" s="14"/>
      <c r="K2016" s="14"/>
      <c r="L2016" s="14"/>
      <c r="M2016" s="14"/>
      <c r="N2016" s="14"/>
      <c r="O2016" s="4"/>
      <c r="P2016" s="14"/>
      <c r="Q2016" s="14"/>
    </row>
    <row r="2017" spans="1:17" x14ac:dyDescent="0.25">
      <c r="A2017" s="5"/>
      <c r="B2017" s="6"/>
      <c r="C2017" s="4"/>
      <c r="D2017" s="4"/>
      <c r="E2017" s="12"/>
      <c r="F2017" s="12"/>
      <c r="G2017" s="16"/>
      <c r="H2017" s="14"/>
      <c r="I2017" s="14"/>
      <c r="J2017" s="14"/>
      <c r="K2017" s="14"/>
      <c r="L2017" s="14"/>
      <c r="M2017" s="14"/>
      <c r="N2017" s="14"/>
      <c r="O2017" s="4"/>
      <c r="P2017" s="14"/>
      <c r="Q2017" s="14"/>
    </row>
    <row r="2018" spans="1:17" x14ac:dyDescent="0.25">
      <c r="A2018" s="5"/>
      <c r="B2018" s="6"/>
      <c r="C2018" s="4"/>
      <c r="D2018" s="4"/>
      <c r="E2018" s="12"/>
      <c r="F2018" s="12"/>
      <c r="G2018" s="16"/>
      <c r="H2018" s="14"/>
      <c r="I2018" s="14"/>
      <c r="J2018" s="14"/>
      <c r="K2018" s="14"/>
      <c r="L2018" s="14"/>
      <c r="M2018" s="14"/>
      <c r="N2018" s="14"/>
      <c r="O2018" s="4"/>
      <c r="P2018" s="14"/>
      <c r="Q2018" s="14"/>
    </row>
    <row r="2019" spans="1:17" x14ac:dyDescent="0.25">
      <c r="A2019" s="5"/>
      <c r="B2019" s="6"/>
      <c r="C2019" s="4"/>
      <c r="D2019" s="4"/>
      <c r="E2019" s="12"/>
      <c r="F2019" s="12"/>
      <c r="G2019" s="16"/>
      <c r="H2019" s="14"/>
      <c r="I2019" s="14"/>
      <c r="J2019" s="14"/>
      <c r="K2019" s="14"/>
      <c r="L2019" s="14"/>
      <c r="M2019" s="14"/>
      <c r="N2019" s="14"/>
      <c r="O2019" s="4"/>
      <c r="P2019" s="14"/>
      <c r="Q2019" s="14"/>
    </row>
    <row r="2020" spans="1:17" x14ac:dyDescent="0.25">
      <c r="A2020" s="5"/>
      <c r="B2020" s="6"/>
      <c r="C2020" s="4"/>
      <c r="D2020" s="4"/>
      <c r="E2020" s="12"/>
      <c r="F2020" s="12"/>
      <c r="G2020" s="16"/>
      <c r="H2020" s="14"/>
      <c r="I2020" s="14"/>
      <c r="J2020" s="14"/>
      <c r="K2020" s="14"/>
      <c r="L2020" s="14"/>
      <c r="M2020" s="14"/>
      <c r="N2020" s="14"/>
      <c r="O2020" s="4"/>
      <c r="P2020" s="14"/>
      <c r="Q2020" s="14"/>
    </row>
    <row r="2021" spans="1:17" x14ac:dyDescent="0.25">
      <c r="A2021" s="5"/>
      <c r="B2021" s="6"/>
      <c r="C2021" s="4"/>
      <c r="D2021" s="4"/>
      <c r="E2021" s="12"/>
      <c r="F2021" s="12"/>
      <c r="G2021" s="16"/>
      <c r="H2021" s="14"/>
      <c r="I2021" s="14"/>
      <c r="J2021" s="14"/>
      <c r="K2021" s="14"/>
      <c r="L2021" s="14"/>
      <c r="M2021" s="14"/>
      <c r="N2021" s="14"/>
      <c r="O2021" s="4"/>
      <c r="P2021" s="14"/>
      <c r="Q2021" s="14"/>
    </row>
    <row r="2022" spans="1:17" x14ac:dyDescent="0.25">
      <c r="A2022" s="5"/>
      <c r="B2022" s="6"/>
      <c r="C2022" s="4"/>
      <c r="D2022" s="4"/>
      <c r="E2022" s="12"/>
      <c r="F2022" s="12"/>
      <c r="G2022" s="16"/>
      <c r="H2022" s="14"/>
      <c r="I2022" s="14"/>
      <c r="J2022" s="14"/>
      <c r="K2022" s="14"/>
      <c r="L2022" s="14"/>
      <c r="M2022" s="14"/>
      <c r="N2022" s="14"/>
      <c r="O2022" s="4"/>
      <c r="P2022" s="14"/>
      <c r="Q2022" s="14"/>
    </row>
    <row r="2023" spans="1:17" x14ac:dyDescent="0.25">
      <c r="A2023" s="5"/>
      <c r="B2023" s="6"/>
      <c r="C2023" s="4"/>
      <c r="D2023" s="4"/>
      <c r="E2023" s="12"/>
      <c r="F2023" s="12"/>
      <c r="G2023" s="16"/>
      <c r="H2023" s="14"/>
      <c r="I2023" s="14"/>
      <c r="J2023" s="14"/>
      <c r="K2023" s="14"/>
      <c r="L2023" s="14"/>
      <c r="M2023" s="14"/>
      <c r="N2023" s="14"/>
      <c r="O2023" s="4"/>
      <c r="P2023" s="14"/>
      <c r="Q2023" s="14"/>
    </row>
    <row r="2024" spans="1:17" x14ac:dyDescent="0.25">
      <c r="A2024" s="5"/>
      <c r="B2024" s="6"/>
      <c r="C2024" s="4"/>
      <c r="D2024" s="4"/>
      <c r="E2024" s="12"/>
      <c r="F2024" s="12"/>
      <c r="G2024" s="16"/>
      <c r="H2024" s="14"/>
      <c r="I2024" s="14"/>
      <c r="J2024" s="14"/>
      <c r="K2024" s="14"/>
      <c r="L2024" s="14"/>
      <c r="M2024" s="14"/>
      <c r="N2024" s="14"/>
      <c r="O2024" s="4"/>
      <c r="P2024" s="14"/>
      <c r="Q2024" s="14"/>
    </row>
    <row r="2025" spans="1:17" x14ac:dyDescent="0.25">
      <c r="A2025" s="5"/>
      <c r="B2025" s="6"/>
      <c r="C2025" s="4"/>
      <c r="D2025" s="4"/>
      <c r="E2025" s="12"/>
      <c r="F2025" s="12"/>
      <c r="G2025" s="16"/>
      <c r="H2025" s="14"/>
      <c r="I2025" s="14"/>
      <c r="J2025" s="14"/>
      <c r="K2025" s="14"/>
      <c r="L2025" s="14"/>
      <c r="M2025" s="14"/>
      <c r="N2025" s="14"/>
      <c r="O2025" s="4"/>
      <c r="P2025" s="14"/>
      <c r="Q2025" s="14"/>
    </row>
    <row r="2026" spans="1:17" x14ac:dyDescent="0.25">
      <c r="A2026" s="5"/>
      <c r="B2026" s="6"/>
      <c r="C2026" s="4"/>
      <c r="D2026" s="4"/>
      <c r="E2026" s="12"/>
      <c r="F2026" s="12"/>
      <c r="G2026" s="16"/>
      <c r="H2026" s="14"/>
      <c r="I2026" s="14"/>
      <c r="J2026" s="14"/>
      <c r="K2026" s="14"/>
      <c r="L2026" s="14"/>
      <c r="M2026" s="14"/>
      <c r="N2026" s="14"/>
      <c r="O2026" s="4"/>
      <c r="P2026" s="14"/>
      <c r="Q2026" s="14"/>
    </row>
    <row r="2027" spans="1:17" x14ac:dyDescent="0.25">
      <c r="A2027" s="5"/>
      <c r="B2027" s="6"/>
      <c r="C2027" s="4"/>
      <c r="D2027" s="4"/>
      <c r="E2027" s="12"/>
      <c r="F2027" s="12"/>
      <c r="G2027" s="16"/>
      <c r="H2027" s="14"/>
      <c r="I2027" s="14"/>
      <c r="J2027" s="14"/>
      <c r="K2027" s="14"/>
      <c r="L2027" s="14"/>
      <c r="M2027" s="14"/>
      <c r="N2027" s="14"/>
      <c r="O2027" s="4"/>
      <c r="P2027" s="14"/>
      <c r="Q2027" s="14"/>
    </row>
    <row r="2028" spans="1:17" x14ac:dyDescent="0.25">
      <c r="A2028" s="5"/>
      <c r="B2028" s="6"/>
      <c r="C2028" s="4"/>
      <c r="D2028" s="4"/>
      <c r="E2028" s="12"/>
      <c r="F2028" s="12"/>
      <c r="G2028" s="16"/>
      <c r="H2028" s="14"/>
      <c r="I2028" s="14"/>
      <c r="J2028" s="14"/>
      <c r="K2028" s="14"/>
      <c r="L2028" s="14"/>
      <c r="M2028" s="14"/>
      <c r="N2028" s="14"/>
      <c r="O2028" s="4"/>
      <c r="P2028" s="14"/>
      <c r="Q2028" s="14"/>
    </row>
    <row r="2029" spans="1:17" x14ac:dyDescent="0.25">
      <c r="A2029" s="5"/>
      <c r="B2029" s="6"/>
      <c r="C2029" s="4"/>
      <c r="D2029" s="4"/>
      <c r="E2029" s="12"/>
      <c r="F2029" s="12"/>
      <c r="G2029" s="16"/>
      <c r="H2029" s="14"/>
      <c r="I2029" s="14"/>
      <c r="J2029" s="14"/>
      <c r="K2029" s="14"/>
      <c r="L2029" s="14"/>
      <c r="M2029" s="14"/>
      <c r="N2029" s="14"/>
      <c r="O2029" s="4"/>
      <c r="P2029" s="14"/>
      <c r="Q2029" s="14"/>
    </row>
    <row r="2030" spans="1:17" x14ac:dyDescent="0.25">
      <c r="A2030" s="5"/>
      <c r="B2030" s="6"/>
      <c r="C2030" s="4"/>
      <c r="D2030" s="4"/>
      <c r="E2030" s="12"/>
      <c r="F2030" s="12"/>
      <c r="G2030" s="16"/>
      <c r="H2030" s="14"/>
      <c r="I2030" s="14"/>
      <c r="J2030" s="14"/>
      <c r="K2030" s="14"/>
      <c r="L2030" s="14"/>
      <c r="M2030" s="14"/>
      <c r="N2030" s="14"/>
      <c r="O2030" s="4"/>
      <c r="P2030" s="14"/>
      <c r="Q2030" s="14"/>
    </row>
    <row r="2031" spans="1:17" x14ac:dyDescent="0.25">
      <c r="A2031" s="5"/>
      <c r="B2031" s="6"/>
      <c r="C2031" s="4"/>
      <c r="D2031" s="4"/>
      <c r="E2031" s="12"/>
      <c r="F2031" s="12"/>
      <c r="G2031" s="16"/>
      <c r="H2031" s="14"/>
      <c r="I2031" s="14"/>
      <c r="J2031" s="14"/>
      <c r="K2031" s="14"/>
      <c r="L2031" s="14"/>
      <c r="M2031" s="14"/>
      <c r="N2031" s="14"/>
      <c r="O2031" s="4"/>
      <c r="P2031" s="14"/>
      <c r="Q2031" s="14"/>
    </row>
    <row r="2032" spans="1:17" x14ac:dyDescent="0.25">
      <c r="A2032" s="5"/>
      <c r="B2032" s="6"/>
      <c r="C2032" s="4"/>
      <c r="D2032" s="4"/>
      <c r="E2032" s="12"/>
      <c r="F2032" s="12"/>
      <c r="G2032" s="16"/>
      <c r="H2032" s="14"/>
      <c r="I2032" s="14"/>
      <c r="J2032" s="14"/>
      <c r="K2032" s="14"/>
      <c r="L2032" s="14"/>
      <c r="M2032" s="14"/>
      <c r="N2032" s="14"/>
      <c r="O2032" s="4"/>
      <c r="P2032" s="14"/>
      <c r="Q2032" s="14"/>
    </row>
    <row r="2033" spans="1:17" x14ac:dyDescent="0.25">
      <c r="A2033" s="5"/>
      <c r="B2033" s="6"/>
      <c r="C2033" s="4"/>
      <c r="D2033" s="4"/>
      <c r="E2033" s="12"/>
      <c r="F2033" s="12"/>
      <c r="G2033" s="16"/>
      <c r="H2033" s="14"/>
      <c r="I2033" s="14"/>
      <c r="J2033" s="14"/>
      <c r="K2033" s="14"/>
      <c r="L2033" s="14"/>
      <c r="M2033" s="14"/>
      <c r="N2033" s="14"/>
      <c r="O2033" s="4"/>
      <c r="P2033" s="14"/>
      <c r="Q2033" s="14"/>
    </row>
    <row r="2034" spans="1:17" x14ac:dyDescent="0.25">
      <c r="A2034" s="5"/>
      <c r="B2034" s="6"/>
      <c r="C2034" s="4"/>
      <c r="D2034" s="4"/>
      <c r="E2034" s="12"/>
      <c r="F2034" s="12"/>
      <c r="G2034" s="16"/>
      <c r="H2034" s="14"/>
      <c r="I2034" s="14"/>
      <c r="J2034" s="14"/>
      <c r="K2034" s="14"/>
      <c r="L2034" s="14"/>
      <c r="M2034" s="14"/>
      <c r="N2034" s="14"/>
      <c r="O2034" s="4"/>
      <c r="P2034" s="14"/>
      <c r="Q2034" s="14"/>
    </row>
    <row r="2035" spans="1:17" x14ac:dyDescent="0.25">
      <c r="A2035" s="5"/>
      <c r="B2035" s="6"/>
      <c r="C2035" s="4"/>
      <c r="D2035" s="4"/>
      <c r="E2035" s="12"/>
      <c r="F2035" s="12"/>
      <c r="G2035" s="16"/>
      <c r="H2035" s="14"/>
      <c r="I2035" s="14"/>
      <c r="J2035" s="14"/>
      <c r="K2035" s="14"/>
      <c r="L2035" s="14"/>
      <c r="M2035" s="14"/>
      <c r="N2035" s="14"/>
      <c r="O2035" s="4"/>
      <c r="P2035" s="14"/>
      <c r="Q2035" s="14"/>
    </row>
    <row r="2036" spans="1:17" x14ac:dyDescent="0.25">
      <c r="A2036" s="5"/>
      <c r="B2036" s="6"/>
      <c r="C2036" s="4"/>
      <c r="D2036" s="4"/>
      <c r="E2036" s="12"/>
      <c r="F2036" s="12"/>
      <c r="G2036" s="16"/>
      <c r="H2036" s="14"/>
      <c r="I2036" s="14"/>
      <c r="J2036" s="14"/>
      <c r="K2036" s="14"/>
      <c r="L2036" s="14"/>
      <c r="M2036" s="14"/>
      <c r="N2036" s="14"/>
      <c r="O2036" s="4"/>
      <c r="P2036" s="14"/>
      <c r="Q2036" s="14"/>
    </row>
    <row r="2037" spans="1:17" x14ac:dyDescent="0.25">
      <c r="A2037" s="5"/>
      <c r="B2037" s="6"/>
      <c r="C2037" s="4"/>
      <c r="D2037" s="4"/>
      <c r="E2037" s="12"/>
      <c r="F2037" s="12"/>
      <c r="G2037" s="16"/>
      <c r="H2037" s="14"/>
      <c r="I2037" s="14"/>
      <c r="J2037" s="14"/>
      <c r="K2037" s="14"/>
      <c r="L2037" s="14"/>
      <c r="M2037" s="14"/>
      <c r="N2037" s="14"/>
      <c r="O2037" s="4"/>
      <c r="P2037" s="14"/>
      <c r="Q2037" s="14"/>
    </row>
    <row r="2038" spans="1:17" x14ac:dyDescent="0.25">
      <c r="A2038" s="5"/>
      <c r="B2038" s="6"/>
      <c r="C2038" s="4"/>
      <c r="D2038" s="4"/>
      <c r="E2038" s="12"/>
      <c r="F2038" s="12"/>
      <c r="G2038" s="16"/>
      <c r="H2038" s="14"/>
      <c r="I2038" s="14"/>
      <c r="J2038" s="14"/>
      <c r="K2038" s="14"/>
      <c r="L2038" s="14"/>
      <c r="M2038" s="14"/>
      <c r="N2038" s="14"/>
      <c r="O2038" s="4"/>
      <c r="P2038" s="14"/>
      <c r="Q2038" s="14"/>
    </row>
    <row r="2039" spans="1:17" x14ac:dyDescent="0.25">
      <c r="A2039" s="5"/>
      <c r="B2039" s="6"/>
      <c r="C2039" s="4"/>
      <c r="D2039" s="4"/>
      <c r="E2039" s="12"/>
      <c r="F2039" s="12"/>
      <c r="G2039" s="16"/>
      <c r="H2039" s="14"/>
      <c r="I2039" s="14"/>
      <c r="J2039" s="14"/>
      <c r="K2039" s="14"/>
      <c r="L2039" s="14"/>
      <c r="M2039" s="14"/>
      <c r="N2039" s="14"/>
      <c r="O2039" s="4"/>
      <c r="P2039" s="14"/>
      <c r="Q2039" s="14"/>
    </row>
    <row r="2040" spans="1:17" x14ac:dyDescent="0.25">
      <c r="A2040" s="5"/>
      <c r="B2040" s="6"/>
      <c r="C2040" s="4"/>
      <c r="D2040" s="4"/>
      <c r="E2040" s="12"/>
      <c r="F2040" s="12"/>
      <c r="G2040" s="16"/>
      <c r="H2040" s="14"/>
      <c r="I2040" s="14"/>
      <c r="J2040" s="14"/>
      <c r="K2040" s="14"/>
      <c r="L2040" s="14"/>
      <c r="M2040" s="14"/>
      <c r="N2040" s="14"/>
      <c r="O2040" s="4"/>
      <c r="P2040" s="14"/>
      <c r="Q2040" s="14"/>
    </row>
    <row r="2041" spans="1:17" x14ac:dyDescent="0.25">
      <c r="A2041" s="5"/>
      <c r="B2041" s="6"/>
      <c r="C2041" s="4"/>
      <c r="D2041" s="4"/>
      <c r="E2041" s="12"/>
      <c r="F2041" s="12"/>
      <c r="G2041" s="16"/>
      <c r="H2041" s="14"/>
      <c r="I2041" s="14"/>
      <c r="J2041" s="14"/>
      <c r="K2041" s="14"/>
      <c r="L2041" s="14"/>
      <c r="M2041" s="14"/>
      <c r="N2041" s="14"/>
      <c r="O2041" s="4"/>
      <c r="P2041" s="14"/>
      <c r="Q2041" s="14"/>
    </row>
    <row r="2042" spans="1:17" x14ac:dyDescent="0.25">
      <c r="A2042" s="5"/>
      <c r="B2042" s="6"/>
      <c r="C2042" s="4"/>
      <c r="D2042" s="4"/>
      <c r="E2042" s="12"/>
      <c r="F2042" s="12"/>
      <c r="G2042" s="16"/>
      <c r="H2042" s="14"/>
      <c r="I2042" s="14"/>
      <c r="J2042" s="14"/>
      <c r="K2042" s="14"/>
      <c r="L2042" s="14"/>
      <c r="M2042" s="14"/>
      <c r="N2042" s="14"/>
      <c r="O2042" s="4"/>
      <c r="P2042" s="14"/>
      <c r="Q2042" s="14"/>
    </row>
    <row r="2043" spans="1:17" x14ac:dyDescent="0.25">
      <c r="A2043" s="5"/>
      <c r="B2043" s="6"/>
      <c r="C2043" s="4"/>
      <c r="D2043" s="4"/>
      <c r="E2043" s="12"/>
      <c r="F2043" s="12"/>
      <c r="G2043" s="16"/>
      <c r="H2043" s="14"/>
      <c r="I2043" s="14"/>
      <c r="J2043" s="14"/>
      <c r="K2043" s="14"/>
      <c r="L2043" s="14"/>
      <c r="M2043" s="14"/>
      <c r="N2043" s="14"/>
      <c r="O2043" s="4"/>
      <c r="P2043" s="14"/>
      <c r="Q2043" s="14"/>
    </row>
    <row r="2044" spans="1:17" x14ac:dyDescent="0.25">
      <c r="A2044" s="5"/>
      <c r="B2044" s="6"/>
      <c r="C2044" s="4"/>
      <c r="D2044" s="4"/>
      <c r="E2044" s="12"/>
      <c r="F2044" s="12"/>
      <c r="G2044" s="16"/>
      <c r="H2044" s="14"/>
      <c r="I2044" s="14"/>
      <c r="J2044" s="14"/>
      <c r="K2044" s="14"/>
      <c r="L2044" s="14"/>
      <c r="M2044" s="14"/>
      <c r="N2044" s="14"/>
      <c r="O2044" s="4"/>
      <c r="P2044" s="14"/>
      <c r="Q2044" s="14"/>
    </row>
    <row r="2045" spans="1:17" x14ac:dyDescent="0.25">
      <c r="A2045" s="5"/>
      <c r="B2045" s="6"/>
      <c r="C2045" s="4"/>
      <c r="D2045" s="4"/>
      <c r="E2045" s="12"/>
      <c r="F2045" s="12"/>
      <c r="G2045" s="16"/>
      <c r="H2045" s="14"/>
      <c r="I2045" s="14"/>
      <c r="J2045" s="14"/>
      <c r="K2045" s="14"/>
      <c r="L2045" s="14"/>
      <c r="M2045" s="14"/>
      <c r="N2045" s="14"/>
      <c r="O2045" s="4"/>
      <c r="P2045" s="14"/>
      <c r="Q2045" s="14"/>
    </row>
    <row r="2046" spans="1:17" x14ac:dyDescent="0.25">
      <c r="A2046" s="5"/>
      <c r="B2046" s="6"/>
      <c r="C2046" s="4"/>
      <c r="D2046" s="4"/>
      <c r="E2046" s="12"/>
      <c r="F2046" s="12"/>
      <c r="G2046" s="16"/>
      <c r="H2046" s="14"/>
      <c r="I2046" s="14"/>
      <c r="J2046" s="14"/>
      <c r="K2046" s="14"/>
      <c r="L2046" s="14"/>
      <c r="M2046" s="14"/>
      <c r="N2046" s="14"/>
      <c r="O2046" s="4"/>
      <c r="P2046" s="14"/>
      <c r="Q2046" s="14"/>
    </row>
    <row r="2047" spans="1:17" x14ac:dyDescent="0.25">
      <c r="A2047" s="5"/>
      <c r="B2047" s="6"/>
      <c r="C2047" s="4"/>
      <c r="D2047" s="4"/>
      <c r="E2047" s="12"/>
      <c r="F2047" s="12"/>
      <c r="G2047" s="16"/>
      <c r="H2047" s="14"/>
      <c r="I2047" s="14"/>
      <c r="J2047" s="14"/>
      <c r="K2047" s="14"/>
      <c r="L2047" s="14"/>
      <c r="M2047" s="14"/>
      <c r="N2047" s="14"/>
      <c r="O2047" s="4"/>
      <c r="P2047" s="14"/>
      <c r="Q2047" s="14"/>
    </row>
    <row r="2048" spans="1:17" x14ac:dyDescent="0.25">
      <c r="A2048" s="5"/>
      <c r="B2048" s="6"/>
      <c r="C2048" s="4"/>
      <c r="D2048" s="4"/>
      <c r="E2048" s="12"/>
      <c r="F2048" s="12"/>
      <c r="G2048" s="16"/>
      <c r="H2048" s="14"/>
      <c r="I2048" s="14"/>
      <c r="J2048" s="14"/>
      <c r="K2048" s="14"/>
      <c r="L2048" s="14"/>
      <c r="M2048" s="14"/>
      <c r="N2048" s="14"/>
      <c r="O2048" s="4"/>
      <c r="P2048" s="14"/>
      <c r="Q2048" s="14"/>
    </row>
    <row r="2049" spans="1:17" x14ac:dyDescent="0.25">
      <c r="A2049" s="5"/>
      <c r="B2049" s="6"/>
      <c r="C2049" s="4"/>
      <c r="D2049" s="4"/>
      <c r="E2049" s="12"/>
      <c r="F2049" s="12"/>
      <c r="G2049" s="16"/>
      <c r="H2049" s="14"/>
      <c r="I2049" s="14"/>
      <c r="J2049" s="14"/>
      <c r="K2049" s="14"/>
      <c r="L2049" s="14"/>
      <c r="M2049" s="14"/>
      <c r="N2049" s="14"/>
      <c r="O2049" s="4"/>
      <c r="P2049" s="14"/>
      <c r="Q2049" s="14"/>
    </row>
    <row r="2050" spans="1:17" x14ac:dyDescent="0.25">
      <c r="A2050" s="5"/>
      <c r="B2050" s="6"/>
      <c r="C2050" s="4"/>
      <c r="D2050" s="4"/>
      <c r="E2050" s="12"/>
      <c r="F2050" s="12"/>
      <c r="G2050" s="16"/>
      <c r="H2050" s="14"/>
      <c r="I2050" s="14"/>
      <c r="J2050" s="14"/>
      <c r="K2050" s="14"/>
      <c r="L2050" s="14"/>
      <c r="M2050" s="14"/>
      <c r="N2050" s="14"/>
      <c r="O2050" s="4"/>
      <c r="P2050" s="14"/>
      <c r="Q2050" s="14"/>
    </row>
    <row r="2051" spans="1:17" x14ac:dyDescent="0.25">
      <c r="A2051" s="5"/>
      <c r="B2051" s="6"/>
      <c r="C2051" s="4"/>
      <c r="D2051" s="4"/>
      <c r="E2051" s="12"/>
      <c r="F2051" s="12"/>
      <c r="G2051" s="16"/>
      <c r="H2051" s="14"/>
      <c r="I2051" s="14"/>
      <c r="J2051" s="14"/>
      <c r="K2051" s="14"/>
      <c r="L2051" s="14"/>
      <c r="M2051" s="14"/>
      <c r="N2051" s="14"/>
      <c r="O2051" s="4"/>
      <c r="P2051" s="14"/>
      <c r="Q2051" s="14"/>
    </row>
    <row r="2052" spans="1:17" x14ac:dyDescent="0.25">
      <c r="A2052" s="5"/>
      <c r="B2052" s="6"/>
      <c r="C2052" s="4"/>
      <c r="D2052" s="4"/>
      <c r="E2052" s="12"/>
      <c r="F2052" s="12"/>
      <c r="G2052" s="16"/>
      <c r="H2052" s="14"/>
      <c r="I2052" s="14"/>
      <c r="J2052" s="14"/>
      <c r="K2052" s="14"/>
      <c r="L2052" s="14"/>
      <c r="M2052" s="14"/>
      <c r="N2052" s="14"/>
      <c r="O2052" s="4"/>
      <c r="P2052" s="14"/>
      <c r="Q2052" s="14"/>
    </row>
    <row r="2053" spans="1:17" x14ac:dyDescent="0.25">
      <c r="A2053" s="5"/>
      <c r="B2053" s="6"/>
      <c r="C2053" s="4"/>
      <c r="D2053" s="4"/>
      <c r="E2053" s="12"/>
      <c r="F2053" s="12"/>
      <c r="G2053" s="16"/>
      <c r="H2053" s="14"/>
      <c r="I2053" s="14"/>
      <c r="J2053" s="14"/>
      <c r="K2053" s="14"/>
      <c r="L2053" s="14"/>
      <c r="M2053" s="14"/>
      <c r="N2053" s="14"/>
      <c r="O2053" s="4"/>
      <c r="P2053" s="14"/>
      <c r="Q2053" s="14"/>
    </row>
    <row r="2054" spans="1:17" x14ac:dyDescent="0.25">
      <c r="A2054" s="5"/>
      <c r="B2054" s="6"/>
      <c r="C2054" s="4"/>
      <c r="D2054" s="4"/>
      <c r="E2054" s="12"/>
      <c r="F2054" s="12"/>
      <c r="G2054" s="16"/>
      <c r="H2054" s="14"/>
      <c r="I2054" s="14"/>
      <c r="J2054" s="14"/>
      <c r="K2054" s="14"/>
      <c r="L2054" s="14"/>
      <c r="M2054" s="14"/>
      <c r="N2054" s="14"/>
      <c r="O2054" s="4"/>
      <c r="P2054" s="14"/>
      <c r="Q2054" s="14"/>
    </row>
    <row r="2055" spans="1:17" x14ac:dyDescent="0.25">
      <c r="A2055" s="5"/>
      <c r="B2055" s="6"/>
      <c r="C2055" s="4"/>
      <c r="D2055" s="4"/>
      <c r="E2055" s="12"/>
      <c r="F2055" s="12"/>
      <c r="G2055" s="16"/>
      <c r="H2055" s="14"/>
      <c r="I2055" s="14"/>
      <c r="J2055" s="14"/>
      <c r="K2055" s="14"/>
      <c r="L2055" s="14"/>
      <c r="M2055" s="14"/>
      <c r="N2055" s="14"/>
      <c r="O2055" s="4"/>
      <c r="P2055" s="14"/>
      <c r="Q2055" s="14"/>
    </row>
    <row r="2056" spans="1:17" x14ac:dyDescent="0.25">
      <c r="A2056" s="5"/>
      <c r="B2056" s="6"/>
      <c r="C2056" s="4"/>
      <c r="D2056" s="4"/>
      <c r="E2056" s="12"/>
      <c r="F2056" s="12"/>
      <c r="G2056" s="16"/>
      <c r="H2056" s="14"/>
      <c r="I2056" s="14"/>
      <c r="J2056" s="14"/>
      <c r="K2056" s="14"/>
      <c r="L2056" s="14"/>
      <c r="M2056" s="14"/>
      <c r="N2056" s="14"/>
      <c r="O2056" s="4"/>
      <c r="P2056" s="14"/>
      <c r="Q2056" s="14"/>
    </row>
    <row r="2057" spans="1:17" x14ac:dyDescent="0.25">
      <c r="A2057" s="5"/>
      <c r="B2057" s="6"/>
      <c r="C2057" s="4"/>
      <c r="D2057" s="4"/>
      <c r="E2057" s="12"/>
      <c r="F2057" s="12"/>
      <c r="G2057" s="16"/>
      <c r="H2057" s="14"/>
      <c r="I2057" s="14"/>
      <c r="J2057" s="14"/>
      <c r="K2057" s="14"/>
      <c r="L2057" s="14"/>
      <c r="M2057" s="14"/>
      <c r="N2057" s="14"/>
      <c r="O2057" s="4"/>
      <c r="P2057" s="14"/>
      <c r="Q2057" s="14"/>
    </row>
    <row r="2058" spans="1:17" x14ac:dyDescent="0.25">
      <c r="A2058" s="5"/>
      <c r="B2058" s="6"/>
      <c r="C2058" s="4"/>
      <c r="D2058" s="4"/>
      <c r="E2058" s="12"/>
      <c r="F2058" s="12"/>
      <c r="G2058" s="16"/>
      <c r="H2058" s="14"/>
      <c r="I2058" s="14"/>
      <c r="J2058" s="14"/>
      <c r="K2058" s="14"/>
      <c r="L2058" s="14"/>
      <c r="M2058" s="14"/>
      <c r="N2058" s="14"/>
      <c r="O2058" s="4"/>
      <c r="P2058" s="14"/>
      <c r="Q2058" s="14"/>
    </row>
    <row r="2059" spans="1:17" x14ac:dyDescent="0.25">
      <c r="A2059" s="5"/>
      <c r="B2059" s="6"/>
      <c r="C2059" s="4"/>
      <c r="D2059" s="4"/>
      <c r="E2059" s="12"/>
      <c r="F2059" s="12"/>
      <c r="G2059" s="16"/>
      <c r="H2059" s="14"/>
      <c r="I2059" s="14"/>
      <c r="J2059" s="14"/>
      <c r="K2059" s="14"/>
      <c r="L2059" s="14"/>
      <c r="M2059" s="14"/>
      <c r="N2059" s="14"/>
      <c r="O2059" s="4"/>
      <c r="P2059" s="14"/>
      <c r="Q2059" s="14"/>
    </row>
    <row r="2060" spans="1:17" x14ac:dyDescent="0.25">
      <c r="A2060" s="5"/>
      <c r="B2060" s="6"/>
      <c r="C2060" s="4"/>
      <c r="D2060" s="4"/>
      <c r="E2060" s="12"/>
      <c r="F2060" s="12"/>
      <c r="G2060" s="16"/>
      <c r="H2060" s="14"/>
      <c r="I2060" s="14"/>
      <c r="J2060" s="14"/>
      <c r="K2060" s="14"/>
      <c r="L2060" s="14"/>
      <c r="M2060" s="14"/>
      <c r="N2060" s="14"/>
      <c r="O2060" s="4"/>
      <c r="P2060" s="14"/>
      <c r="Q2060" s="14"/>
    </row>
    <row r="2061" spans="1:17" x14ac:dyDescent="0.25">
      <c r="A2061" s="5"/>
      <c r="B2061" s="6"/>
      <c r="C2061" s="4"/>
      <c r="D2061" s="4"/>
      <c r="E2061" s="12"/>
      <c r="F2061" s="12"/>
      <c r="G2061" s="16"/>
      <c r="H2061" s="14"/>
      <c r="I2061" s="14"/>
      <c r="J2061" s="14"/>
      <c r="K2061" s="14"/>
      <c r="L2061" s="14"/>
      <c r="M2061" s="14"/>
      <c r="N2061" s="14"/>
      <c r="O2061" s="4"/>
      <c r="P2061" s="14"/>
      <c r="Q2061" s="14"/>
    </row>
    <row r="2062" spans="1:17" x14ac:dyDescent="0.25">
      <c r="A2062" s="5"/>
      <c r="B2062" s="6"/>
      <c r="C2062" s="4"/>
      <c r="D2062" s="4"/>
      <c r="E2062" s="12"/>
      <c r="F2062" s="12"/>
      <c r="G2062" s="16"/>
      <c r="H2062" s="14"/>
      <c r="I2062" s="14"/>
      <c r="J2062" s="14"/>
      <c r="K2062" s="14"/>
      <c r="L2062" s="14"/>
      <c r="M2062" s="14"/>
      <c r="N2062" s="14"/>
      <c r="O2062" s="4"/>
      <c r="P2062" s="14"/>
      <c r="Q2062" s="14"/>
    </row>
    <row r="2063" spans="1:17" x14ac:dyDescent="0.25">
      <c r="A2063" s="5"/>
      <c r="B2063" s="6"/>
      <c r="C2063" s="4"/>
      <c r="D2063" s="4"/>
      <c r="E2063" s="12"/>
      <c r="F2063" s="12"/>
      <c r="G2063" s="16"/>
      <c r="H2063" s="14"/>
      <c r="I2063" s="14"/>
      <c r="J2063" s="14"/>
      <c r="K2063" s="14"/>
      <c r="L2063" s="14"/>
      <c r="M2063" s="14"/>
      <c r="N2063" s="14"/>
      <c r="O2063" s="4"/>
      <c r="P2063" s="14"/>
      <c r="Q2063" s="14"/>
    </row>
    <row r="2064" spans="1:17" x14ac:dyDescent="0.25">
      <c r="A2064" s="5"/>
      <c r="B2064" s="6"/>
      <c r="C2064" s="4"/>
      <c r="D2064" s="4"/>
      <c r="E2064" s="12"/>
      <c r="F2064" s="12"/>
      <c r="G2064" s="16"/>
      <c r="H2064" s="14"/>
      <c r="I2064" s="14"/>
      <c r="J2064" s="14"/>
      <c r="K2064" s="14"/>
      <c r="L2064" s="14"/>
      <c r="M2064" s="14"/>
      <c r="N2064" s="14"/>
      <c r="O2064" s="4"/>
      <c r="P2064" s="14"/>
      <c r="Q2064" s="14"/>
    </row>
    <row r="2065" spans="1:17" x14ac:dyDescent="0.25">
      <c r="A2065" s="5"/>
      <c r="B2065" s="6"/>
      <c r="C2065" s="4"/>
      <c r="D2065" s="4"/>
      <c r="E2065" s="12"/>
      <c r="F2065" s="12"/>
      <c r="G2065" s="16"/>
      <c r="H2065" s="14"/>
      <c r="I2065" s="14"/>
      <c r="J2065" s="14"/>
      <c r="K2065" s="14"/>
      <c r="L2065" s="14"/>
      <c r="M2065" s="14"/>
      <c r="N2065" s="14"/>
      <c r="O2065" s="4"/>
      <c r="P2065" s="14"/>
      <c r="Q2065" s="14"/>
    </row>
    <row r="2066" spans="1:17" x14ac:dyDescent="0.25">
      <c r="A2066" s="5"/>
      <c r="B2066" s="6"/>
      <c r="C2066" s="4"/>
      <c r="D2066" s="4"/>
      <c r="E2066" s="12"/>
      <c r="F2066" s="12"/>
      <c r="G2066" s="16"/>
      <c r="H2066" s="14"/>
      <c r="I2066" s="14"/>
      <c r="J2066" s="14"/>
      <c r="K2066" s="14"/>
      <c r="L2066" s="14"/>
      <c r="M2066" s="14"/>
      <c r="N2066" s="14"/>
      <c r="O2066" s="4"/>
      <c r="P2066" s="14"/>
      <c r="Q2066" s="14"/>
    </row>
    <row r="2067" spans="1:17" x14ac:dyDescent="0.25">
      <c r="A2067" s="5"/>
      <c r="B2067" s="6"/>
      <c r="C2067" s="4"/>
      <c r="D2067" s="4"/>
      <c r="E2067" s="12"/>
      <c r="F2067" s="12"/>
      <c r="G2067" s="16"/>
      <c r="H2067" s="14"/>
      <c r="I2067" s="14"/>
      <c r="J2067" s="14"/>
      <c r="K2067" s="14"/>
      <c r="L2067" s="14"/>
      <c r="M2067" s="14"/>
      <c r="N2067" s="14"/>
      <c r="O2067" s="4"/>
      <c r="P2067" s="14"/>
      <c r="Q2067" s="14"/>
    </row>
    <row r="2068" spans="1:17" x14ac:dyDescent="0.25">
      <c r="A2068" s="5"/>
      <c r="B2068" s="6"/>
      <c r="C2068" s="4"/>
      <c r="D2068" s="4"/>
      <c r="E2068" s="12"/>
      <c r="F2068" s="12"/>
      <c r="G2068" s="16"/>
      <c r="H2068" s="14"/>
      <c r="I2068" s="14"/>
      <c r="J2068" s="14"/>
      <c r="K2068" s="14"/>
      <c r="L2068" s="14"/>
      <c r="M2068" s="14"/>
      <c r="N2068" s="14"/>
      <c r="O2068" s="4"/>
      <c r="P2068" s="14"/>
      <c r="Q2068" s="14"/>
    </row>
    <row r="2069" spans="1:17" x14ac:dyDescent="0.25">
      <c r="A2069" s="5"/>
      <c r="B2069" s="6"/>
      <c r="C2069" s="4"/>
      <c r="D2069" s="4"/>
      <c r="E2069" s="12"/>
      <c r="F2069" s="12"/>
      <c r="G2069" s="16"/>
      <c r="H2069" s="14"/>
      <c r="I2069" s="14"/>
      <c r="J2069" s="14"/>
      <c r="K2069" s="14"/>
      <c r="L2069" s="14"/>
      <c r="M2069" s="14"/>
      <c r="N2069" s="14"/>
      <c r="O2069" s="4"/>
      <c r="P2069" s="14"/>
      <c r="Q2069" s="14"/>
    </row>
    <row r="2070" spans="1:17" x14ac:dyDescent="0.25">
      <c r="A2070" s="5"/>
      <c r="B2070" s="6"/>
      <c r="C2070" s="4"/>
      <c r="D2070" s="4"/>
      <c r="E2070" s="12"/>
      <c r="F2070" s="12"/>
      <c r="G2070" s="16"/>
      <c r="H2070" s="14"/>
      <c r="I2070" s="14"/>
      <c r="J2070" s="14"/>
      <c r="K2070" s="14"/>
      <c r="L2070" s="14"/>
      <c r="M2070" s="14"/>
      <c r="N2070" s="14"/>
      <c r="O2070" s="4"/>
      <c r="P2070" s="14"/>
      <c r="Q2070" s="14"/>
    </row>
    <row r="2071" spans="1:17" x14ac:dyDescent="0.25">
      <c r="A2071" s="5"/>
      <c r="B2071" s="6"/>
      <c r="C2071" s="4"/>
      <c r="D2071" s="4"/>
      <c r="E2071" s="12"/>
      <c r="F2071" s="12"/>
      <c r="G2071" s="16"/>
      <c r="H2071" s="14"/>
      <c r="I2071" s="14"/>
      <c r="J2071" s="14"/>
      <c r="K2071" s="14"/>
      <c r="L2071" s="14"/>
      <c r="M2071" s="14"/>
      <c r="N2071" s="14"/>
      <c r="O2071" s="4"/>
      <c r="P2071" s="14"/>
      <c r="Q2071" s="14"/>
    </row>
    <row r="2072" spans="1:17" x14ac:dyDescent="0.25">
      <c r="A2072" s="5"/>
      <c r="B2072" s="6"/>
      <c r="C2072" s="4"/>
      <c r="D2072" s="4"/>
      <c r="E2072" s="12"/>
      <c r="F2072" s="12"/>
      <c r="G2072" s="16"/>
      <c r="H2072" s="14"/>
      <c r="I2072" s="14"/>
      <c r="J2072" s="14"/>
      <c r="K2072" s="14"/>
      <c r="L2072" s="14"/>
      <c r="M2072" s="14"/>
      <c r="N2072" s="14"/>
      <c r="O2072" s="4"/>
      <c r="P2072" s="14"/>
      <c r="Q2072" s="14"/>
    </row>
    <row r="2073" spans="1:17" x14ac:dyDescent="0.25">
      <c r="A2073" s="5"/>
      <c r="B2073" s="6"/>
      <c r="C2073" s="4"/>
      <c r="D2073" s="4"/>
      <c r="E2073" s="12"/>
      <c r="F2073" s="12"/>
      <c r="G2073" s="16"/>
      <c r="H2073" s="14"/>
      <c r="I2073" s="14"/>
      <c r="J2073" s="14"/>
      <c r="K2073" s="14"/>
      <c r="L2073" s="14"/>
      <c r="M2073" s="14"/>
      <c r="N2073" s="14"/>
      <c r="O2073" s="4"/>
      <c r="P2073" s="14"/>
      <c r="Q2073" s="14"/>
    </row>
    <row r="2074" spans="1:17" x14ac:dyDescent="0.25">
      <c r="A2074" s="5"/>
      <c r="B2074" s="6"/>
      <c r="C2074" s="4"/>
      <c r="D2074" s="4"/>
      <c r="E2074" s="12"/>
      <c r="F2074" s="12"/>
      <c r="G2074" s="16"/>
      <c r="H2074" s="14"/>
      <c r="I2074" s="14"/>
      <c r="J2074" s="14"/>
      <c r="K2074" s="14"/>
      <c r="L2074" s="14"/>
      <c r="M2074" s="14"/>
      <c r="N2074" s="14"/>
      <c r="O2074" s="4"/>
      <c r="P2074" s="14"/>
      <c r="Q2074" s="14"/>
    </row>
    <row r="2075" spans="1:17" x14ac:dyDescent="0.25">
      <c r="A2075" s="5"/>
      <c r="B2075" s="6"/>
      <c r="C2075" s="4"/>
      <c r="D2075" s="4"/>
      <c r="E2075" s="12"/>
      <c r="F2075" s="12"/>
      <c r="G2075" s="16"/>
      <c r="H2075" s="14"/>
      <c r="I2075" s="14"/>
      <c r="J2075" s="14"/>
      <c r="K2075" s="14"/>
      <c r="L2075" s="14"/>
      <c r="M2075" s="14"/>
      <c r="N2075" s="14"/>
      <c r="O2075" s="4"/>
      <c r="P2075" s="14"/>
      <c r="Q2075" s="14"/>
    </row>
    <row r="2076" spans="1:17" x14ac:dyDescent="0.25">
      <c r="A2076" s="5"/>
      <c r="B2076" s="6"/>
      <c r="C2076" s="4"/>
      <c r="D2076" s="4"/>
      <c r="E2076" s="12"/>
      <c r="F2076" s="12"/>
      <c r="G2076" s="16"/>
      <c r="H2076" s="14"/>
      <c r="I2076" s="14"/>
      <c r="J2076" s="14"/>
      <c r="K2076" s="14"/>
      <c r="L2076" s="14"/>
      <c r="M2076" s="14"/>
      <c r="N2076" s="14"/>
      <c r="O2076" s="4"/>
      <c r="P2076" s="14"/>
      <c r="Q2076" s="14"/>
    </row>
    <row r="2077" spans="1:17" x14ac:dyDescent="0.25">
      <c r="A2077" s="5"/>
      <c r="B2077" s="6"/>
      <c r="C2077" s="4"/>
      <c r="D2077" s="4"/>
      <c r="E2077" s="12"/>
      <c r="F2077" s="12"/>
      <c r="G2077" s="16"/>
      <c r="H2077" s="14"/>
      <c r="I2077" s="14"/>
      <c r="J2077" s="14"/>
      <c r="K2077" s="14"/>
      <c r="L2077" s="14"/>
      <c r="M2077" s="14"/>
      <c r="N2077" s="14"/>
      <c r="O2077" s="4"/>
      <c r="P2077" s="14"/>
      <c r="Q2077" s="14"/>
    </row>
    <row r="2078" spans="1:17" x14ac:dyDescent="0.25">
      <c r="A2078" s="5"/>
      <c r="B2078" s="6"/>
      <c r="C2078" s="4"/>
      <c r="D2078" s="4"/>
      <c r="E2078" s="12"/>
      <c r="F2078" s="12"/>
      <c r="G2078" s="16"/>
      <c r="H2078" s="14"/>
      <c r="I2078" s="14"/>
      <c r="J2078" s="14"/>
      <c r="K2078" s="14"/>
      <c r="L2078" s="14"/>
      <c r="M2078" s="14"/>
      <c r="N2078" s="14"/>
      <c r="O2078" s="4"/>
      <c r="P2078" s="14"/>
      <c r="Q2078" s="14"/>
    </row>
    <row r="2079" spans="1:17" x14ac:dyDescent="0.25">
      <c r="A2079" s="5"/>
      <c r="B2079" s="6"/>
      <c r="C2079" s="4"/>
      <c r="D2079" s="4"/>
      <c r="E2079" s="12"/>
      <c r="F2079" s="12"/>
      <c r="G2079" s="16"/>
      <c r="H2079" s="14"/>
      <c r="I2079" s="14"/>
      <c r="J2079" s="14"/>
      <c r="K2079" s="14"/>
      <c r="L2079" s="14"/>
      <c r="M2079" s="14"/>
      <c r="N2079" s="14"/>
      <c r="O2079" s="4"/>
      <c r="P2079" s="14"/>
      <c r="Q2079" s="14"/>
    </row>
    <row r="2080" spans="1:17" x14ac:dyDescent="0.25">
      <c r="A2080" s="5"/>
      <c r="B2080" s="6"/>
      <c r="C2080" s="4"/>
      <c r="D2080" s="4"/>
      <c r="E2080" s="12"/>
      <c r="F2080" s="12"/>
      <c r="G2080" s="16"/>
      <c r="H2080" s="14"/>
      <c r="I2080" s="14"/>
      <c r="J2080" s="14"/>
      <c r="K2080" s="14"/>
      <c r="L2080" s="14"/>
      <c r="M2080" s="14"/>
      <c r="N2080" s="14"/>
      <c r="O2080" s="4"/>
      <c r="P2080" s="14"/>
      <c r="Q2080" s="14"/>
    </row>
    <row r="2081" spans="1:17" x14ac:dyDescent="0.25">
      <c r="A2081" s="5"/>
      <c r="B2081" s="6"/>
      <c r="C2081" s="4"/>
      <c r="D2081" s="4"/>
      <c r="E2081" s="12"/>
      <c r="F2081" s="12"/>
      <c r="G2081" s="16"/>
      <c r="H2081" s="14"/>
      <c r="I2081" s="14"/>
      <c r="J2081" s="14"/>
      <c r="K2081" s="14"/>
      <c r="L2081" s="14"/>
      <c r="M2081" s="14"/>
      <c r="N2081" s="14"/>
      <c r="O2081" s="4"/>
      <c r="P2081" s="14"/>
      <c r="Q2081" s="14"/>
    </row>
    <row r="2082" spans="1:17" x14ac:dyDescent="0.25">
      <c r="A2082" s="5"/>
      <c r="B2082" s="6"/>
      <c r="C2082" s="4"/>
      <c r="D2082" s="4"/>
      <c r="E2082" s="12"/>
      <c r="F2082" s="12"/>
      <c r="G2082" s="16"/>
      <c r="H2082" s="14"/>
      <c r="I2082" s="14"/>
      <c r="J2082" s="14"/>
      <c r="K2082" s="14"/>
      <c r="L2082" s="14"/>
      <c r="M2082" s="14"/>
      <c r="N2082" s="14"/>
      <c r="O2082" s="4"/>
      <c r="P2082" s="14"/>
      <c r="Q2082" s="14"/>
    </row>
    <row r="2083" spans="1:17" x14ac:dyDescent="0.25">
      <c r="A2083" s="5"/>
      <c r="B2083" s="6"/>
      <c r="C2083" s="4"/>
      <c r="D2083" s="4"/>
      <c r="E2083" s="12"/>
      <c r="F2083" s="12"/>
      <c r="G2083" s="16"/>
      <c r="H2083" s="14"/>
      <c r="I2083" s="14"/>
      <c r="J2083" s="14"/>
      <c r="K2083" s="14"/>
      <c r="L2083" s="14"/>
      <c r="M2083" s="14"/>
      <c r="N2083" s="14"/>
      <c r="O2083" s="4"/>
      <c r="P2083" s="14"/>
      <c r="Q2083" s="14"/>
    </row>
    <row r="2084" spans="1:17" x14ac:dyDescent="0.25">
      <c r="A2084" s="5"/>
      <c r="B2084" s="6"/>
      <c r="C2084" s="4"/>
      <c r="D2084" s="4"/>
      <c r="E2084" s="12"/>
      <c r="F2084" s="12"/>
      <c r="G2084" s="16"/>
      <c r="H2084" s="14"/>
      <c r="I2084" s="14"/>
      <c r="J2084" s="14"/>
      <c r="K2084" s="14"/>
      <c r="L2084" s="14"/>
      <c r="M2084" s="14"/>
      <c r="N2084" s="14"/>
      <c r="O2084" s="4"/>
      <c r="P2084" s="14"/>
      <c r="Q2084" s="14"/>
    </row>
    <row r="2085" spans="1:17" x14ac:dyDescent="0.25">
      <c r="A2085" s="5"/>
      <c r="B2085" s="6"/>
      <c r="C2085" s="4"/>
      <c r="D2085" s="4"/>
      <c r="E2085" s="12"/>
      <c r="F2085" s="12"/>
      <c r="G2085" s="16"/>
      <c r="H2085" s="14"/>
      <c r="I2085" s="14"/>
      <c r="J2085" s="14"/>
      <c r="K2085" s="14"/>
      <c r="L2085" s="14"/>
      <c r="M2085" s="14"/>
      <c r="N2085" s="14"/>
      <c r="O2085" s="4"/>
      <c r="P2085" s="14"/>
      <c r="Q2085" s="14"/>
    </row>
    <row r="2086" spans="1:17" x14ac:dyDescent="0.25">
      <c r="A2086" s="5"/>
      <c r="B2086" s="6"/>
      <c r="C2086" s="4"/>
      <c r="D2086" s="4"/>
      <c r="E2086" s="12"/>
      <c r="F2086" s="12"/>
      <c r="G2086" s="16"/>
      <c r="H2086" s="14"/>
      <c r="I2086" s="14"/>
      <c r="J2086" s="14"/>
      <c r="K2086" s="14"/>
      <c r="L2086" s="14"/>
      <c r="M2086" s="14"/>
      <c r="N2086" s="14"/>
      <c r="O2086" s="4"/>
      <c r="P2086" s="14"/>
      <c r="Q2086" s="14"/>
    </row>
    <row r="2087" spans="1:17" x14ac:dyDescent="0.25">
      <c r="A2087" s="5"/>
      <c r="B2087" s="6"/>
      <c r="C2087" s="4"/>
      <c r="D2087" s="4"/>
      <c r="E2087" s="12"/>
      <c r="F2087" s="12"/>
      <c r="G2087" s="16"/>
      <c r="H2087" s="14"/>
      <c r="I2087" s="14"/>
      <c r="J2087" s="14"/>
      <c r="K2087" s="14"/>
      <c r="L2087" s="14"/>
      <c r="M2087" s="14"/>
      <c r="N2087" s="14"/>
      <c r="O2087" s="4"/>
      <c r="P2087" s="14"/>
      <c r="Q2087" s="14"/>
    </row>
    <row r="2088" spans="1:17" x14ac:dyDescent="0.25">
      <c r="A2088" s="5"/>
      <c r="B2088" s="6"/>
      <c r="C2088" s="4"/>
      <c r="D2088" s="4"/>
      <c r="E2088" s="12"/>
      <c r="F2088" s="12"/>
      <c r="G2088" s="16"/>
      <c r="H2088" s="14"/>
      <c r="I2088" s="14"/>
      <c r="J2088" s="14"/>
      <c r="K2088" s="14"/>
      <c r="L2088" s="14"/>
      <c r="M2088" s="14"/>
      <c r="N2088" s="14"/>
      <c r="O2088" s="4"/>
      <c r="P2088" s="14"/>
      <c r="Q2088" s="14"/>
    </row>
    <row r="2089" spans="1:17" x14ac:dyDescent="0.25">
      <c r="A2089" s="5"/>
      <c r="B2089" s="6"/>
      <c r="C2089" s="4"/>
      <c r="D2089" s="4"/>
      <c r="E2089" s="12"/>
      <c r="F2089" s="12"/>
      <c r="G2089" s="16"/>
      <c r="H2089" s="14"/>
      <c r="I2089" s="14"/>
      <c r="J2089" s="14"/>
      <c r="K2089" s="14"/>
      <c r="L2089" s="14"/>
      <c r="M2089" s="14"/>
      <c r="N2089" s="14"/>
      <c r="O2089" s="4"/>
      <c r="P2089" s="14"/>
      <c r="Q2089" s="14"/>
    </row>
    <row r="2090" spans="1:17" x14ac:dyDescent="0.25">
      <c r="A2090" s="5"/>
      <c r="B2090" s="6"/>
      <c r="C2090" s="4"/>
      <c r="D2090" s="4"/>
      <c r="E2090" s="12"/>
      <c r="F2090" s="12"/>
      <c r="G2090" s="16"/>
      <c r="H2090" s="14"/>
      <c r="I2090" s="14"/>
      <c r="J2090" s="14"/>
      <c r="K2090" s="14"/>
      <c r="L2090" s="14"/>
      <c r="M2090" s="14"/>
      <c r="N2090" s="14"/>
      <c r="O2090" s="4"/>
      <c r="P2090" s="14"/>
      <c r="Q2090" s="14"/>
    </row>
    <row r="2091" spans="1:17" x14ac:dyDescent="0.25">
      <c r="A2091" s="5"/>
      <c r="B2091" s="6"/>
      <c r="C2091" s="4"/>
      <c r="D2091" s="4"/>
      <c r="E2091" s="12"/>
      <c r="F2091" s="12"/>
      <c r="G2091" s="16"/>
      <c r="H2091" s="14"/>
      <c r="I2091" s="14"/>
      <c r="J2091" s="14"/>
      <c r="K2091" s="14"/>
      <c r="L2091" s="14"/>
      <c r="M2091" s="14"/>
      <c r="N2091" s="14"/>
      <c r="O2091" s="4"/>
      <c r="P2091" s="14"/>
      <c r="Q2091" s="14"/>
    </row>
    <row r="2092" spans="1:17" x14ac:dyDescent="0.25">
      <c r="A2092" s="5"/>
      <c r="B2092" s="6"/>
      <c r="C2092" s="4"/>
      <c r="D2092" s="4"/>
      <c r="E2092" s="12"/>
      <c r="F2092" s="12"/>
      <c r="G2092" s="16"/>
      <c r="H2092" s="14"/>
      <c r="I2092" s="14"/>
      <c r="J2092" s="14"/>
      <c r="K2092" s="14"/>
      <c r="L2092" s="14"/>
      <c r="M2092" s="14"/>
      <c r="N2092" s="14"/>
      <c r="O2092" s="4"/>
      <c r="P2092" s="14"/>
      <c r="Q2092" s="14"/>
    </row>
    <row r="2093" spans="1:17" x14ac:dyDescent="0.25">
      <c r="A2093" s="5"/>
      <c r="B2093" s="6"/>
      <c r="C2093" s="4"/>
      <c r="D2093" s="4"/>
      <c r="E2093" s="12"/>
      <c r="F2093" s="12"/>
      <c r="G2093" s="16"/>
      <c r="H2093" s="14"/>
      <c r="I2093" s="14"/>
      <c r="J2093" s="14"/>
      <c r="K2093" s="14"/>
      <c r="L2093" s="14"/>
      <c r="M2093" s="14"/>
      <c r="N2093" s="14"/>
      <c r="O2093" s="4"/>
      <c r="P2093" s="14"/>
      <c r="Q2093" s="14"/>
    </row>
    <row r="2094" spans="1:17" x14ac:dyDescent="0.25">
      <c r="A2094" s="5"/>
      <c r="B2094" s="6"/>
      <c r="C2094" s="4"/>
      <c r="D2094" s="4"/>
      <c r="E2094" s="12"/>
      <c r="F2094" s="12"/>
      <c r="G2094" s="16"/>
      <c r="H2094" s="14"/>
      <c r="I2094" s="14"/>
      <c r="J2094" s="14"/>
      <c r="K2094" s="14"/>
      <c r="L2094" s="14"/>
      <c r="M2094" s="14"/>
      <c r="N2094" s="14"/>
      <c r="O2094" s="4"/>
      <c r="P2094" s="14"/>
      <c r="Q2094" s="14"/>
    </row>
    <row r="2095" spans="1:17" x14ac:dyDescent="0.25">
      <c r="A2095" s="5"/>
      <c r="B2095" s="6"/>
      <c r="C2095" s="4"/>
      <c r="D2095" s="4"/>
      <c r="E2095" s="12"/>
      <c r="F2095" s="12"/>
      <c r="G2095" s="16"/>
      <c r="H2095" s="14"/>
      <c r="I2095" s="14"/>
      <c r="J2095" s="14"/>
      <c r="K2095" s="14"/>
      <c r="L2095" s="14"/>
      <c r="M2095" s="14"/>
      <c r="N2095" s="14"/>
      <c r="O2095" s="4"/>
      <c r="P2095" s="14"/>
      <c r="Q2095" s="14"/>
    </row>
    <row r="2096" spans="1:17" x14ac:dyDescent="0.25">
      <c r="A2096" s="5"/>
      <c r="B2096" s="6"/>
      <c r="C2096" s="4"/>
      <c r="D2096" s="4"/>
      <c r="E2096" s="12"/>
      <c r="F2096" s="12"/>
      <c r="G2096" s="16"/>
      <c r="H2096" s="14"/>
      <c r="I2096" s="14"/>
      <c r="J2096" s="14"/>
      <c r="K2096" s="14"/>
      <c r="L2096" s="14"/>
      <c r="M2096" s="14"/>
      <c r="N2096" s="14"/>
      <c r="O2096" s="4"/>
      <c r="P2096" s="14"/>
      <c r="Q2096" s="14"/>
    </row>
    <row r="2097" spans="1:17" x14ac:dyDescent="0.25">
      <c r="A2097" s="5"/>
      <c r="B2097" s="6"/>
      <c r="C2097" s="4"/>
      <c r="D2097" s="4"/>
      <c r="E2097" s="12"/>
      <c r="F2097" s="12"/>
      <c r="G2097" s="16"/>
      <c r="H2097" s="14"/>
      <c r="I2097" s="14"/>
      <c r="J2097" s="14"/>
      <c r="K2097" s="14"/>
      <c r="L2097" s="14"/>
      <c r="M2097" s="14"/>
      <c r="N2097" s="14"/>
      <c r="O2097" s="4"/>
      <c r="P2097" s="14"/>
      <c r="Q2097" s="14"/>
    </row>
    <row r="2098" spans="1:17" x14ac:dyDescent="0.25">
      <c r="A2098" s="5"/>
      <c r="B2098" s="6"/>
      <c r="C2098" s="4"/>
      <c r="D2098" s="4"/>
      <c r="E2098" s="12"/>
      <c r="F2098" s="12"/>
      <c r="G2098" s="16"/>
      <c r="H2098" s="14"/>
      <c r="I2098" s="14"/>
      <c r="J2098" s="14"/>
      <c r="K2098" s="14"/>
      <c r="L2098" s="14"/>
      <c r="M2098" s="14"/>
      <c r="N2098" s="14"/>
      <c r="O2098" s="4"/>
      <c r="P2098" s="14"/>
      <c r="Q2098" s="14"/>
    </row>
    <row r="2099" spans="1:17" x14ac:dyDescent="0.25">
      <c r="A2099" s="5"/>
      <c r="B2099" s="6"/>
      <c r="C2099" s="4"/>
      <c r="D2099" s="4"/>
      <c r="E2099" s="12"/>
      <c r="F2099" s="12"/>
      <c r="G2099" s="16"/>
      <c r="H2099" s="14"/>
      <c r="I2099" s="14"/>
      <c r="J2099" s="14"/>
      <c r="K2099" s="14"/>
      <c r="L2099" s="14"/>
      <c r="M2099" s="14"/>
      <c r="N2099" s="14"/>
      <c r="O2099" s="4"/>
      <c r="P2099" s="14"/>
      <c r="Q2099" s="14"/>
    </row>
    <row r="2100" spans="1:17" x14ac:dyDescent="0.25">
      <c r="A2100" s="5"/>
      <c r="B2100" s="6"/>
      <c r="C2100" s="4"/>
      <c r="D2100" s="4"/>
      <c r="E2100" s="12"/>
      <c r="F2100" s="12"/>
      <c r="G2100" s="16"/>
      <c r="H2100" s="14"/>
      <c r="I2100" s="14"/>
      <c r="J2100" s="14"/>
      <c r="K2100" s="14"/>
      <c r="L2100" s="14"/>
      <c r="M2100" s="14"/>
      <c r="N2100" s="14"/>
      <c r="O2100" s="4"/>
      <c r="P2100" s="14"/>
      <c r="Q2100" s="14"/>
    </row>
    <row r="2101" spans="1:17" x14ac:dyDescent="0.25">
      <c r="A2101" s="5"/>
      <c r="B2101" s="6"/>
      <c r="C2101" s="4"/>
      <c r="D2101" s="4"/>
      <c r="E2101" s="12"/>
      <c r="F2101" s="12"/>
      <c r="G2101" s="16"/>
      <c r="H2101" s="14"/>
      <c r="I2101" s="14"/>
      <c r="J2101" s="14"/>
      <c r="K2101" s="14"/>
      <c r="L2101" s="14"/>
      <c r="M2101" s="14"/>
      <c r="N2101" s="14"/>
      <c r="O2101" s="4"/>
      <c r="P2101" s="14"/>
      <c r="Q2101" s="14"/>
    </row>
    <row r="2102" spans="1:17" x14ac:dyDescent="0.25">
      <c r="A2102" s="5"/>
      <c r="B2102" s="6"/>
      <c r="C2102" s="4"/>
      <c r="D2102" s="4"/>
      <c r="E2102" s="12"/>
      <c r="F2102" s="12"/>
      <c r="G2102" s="16"/>
      <c r="H2102" s="14"/>
      <c r="I2102" s="14"/>
      <c r="J2102" s="14"/>
      <c r="K2102" s="14"/>
      <c r="L2102" s="14"/>
      <c r="M2102" s="14"/>
      <c r="N2102" s="14"/>
      <c r="O2102" s="4"/>
      <c r="P2102" s="14"/>
      <c r="Q2102" s="14"/>
    </row>
    <row r="2103" spans="1:17" x14ac:dyDescent="0.25">
      <c r="A2103" s="5"/>
      <c r="B2103" s="6"/>
      <c r="C2103" s="4"/>
      <c r="D2103" s="4"/>
      <c r="E2103" s="12"/>
      <c r="F2103" s="12"/>
      <c r="G2103" s="16"/>
      <c r="H2103" s="14"/>
      <c r="I2103" s="14"/>
      <c r="J2103" s="14"/>
      <c r="K2103" s="14"/>
      <c r="L2103" s="14"/>
      <c r="M2103" s="14"/>
      <c r="N2103" s="14"/>
      <c r="O2103" s="4"/>
      <c r="P2103" s="14"/>
      <c r="Q2103" s="14"/>
    </row>
    <row r="2104" spans="1:17" x14ac:dyDescent="0.25">
      <c r="A2104" s="5"/>
      <c r="B2104" s="6"/>
      <c r="C2104" s="4"/>
      <c r="D2104" s="4"/>
      <c r="E2104" s="12"/>
      <c r="F2104" s="12"/>
      <c r="G2104" s="16"/>
      <c r="H2104" s="14"/>
      <c r="I2104" s="14"/>
      <c r="J2104" s="14"/>
      <c r="K2104" s="14"/>
      <c r="L2104" s="14"/>
      <c r="M2104" s="14"/>
      <c r="N2104" s="14"/>
      <c r="O2104" s="4"/>
      <c r="P2104" s="14"/>
      <c r="Q2104" s="14"/>
    </row>
    <row r="2105" spans="1:17" x14ac:dyDescent="0.25">
      <c r="A2105" s="5"/>
      <c r="B2105" s="6"/>
      <c r="C2105" s="4"/>
      <c r="D2105" s="4"/>
      <c r="E2105" s="12"/>
      <c r="F2105" s="12"/>
      <c r="G2105" s="16"/>
      <c r="H2105" s="14"/>
      <c r="I2105" s="14"/>
      <c r="J2105" s="14"/>
      <c r="K2105" s="14"/>
      <c r="L2105" s="14"/>
      <c r="M2105" s="14"/>
      <c r="N2105" s="14"/>
      <c r="O2105" s="4"/>
      <c r="P2105" s="14"/>
      <c r="Q2105" s="14"/>
    </row>
    <row r="2106" spans="1:17" x14ac:dyDescent="0.25">
      <c r="A2106" s="5"/>
      <c r="B2106" s="6"/>
      <c r="C2106" s="4"/>
      <c r="D2106" s="4"/>
      <c r="E2106" s="12"/>
      <c r="F2106" s="12"/>
      <c r="G2106" s="16"/>
      <c r="H2106" s="14"/>
      <c r="I2106" s="14"/>
      <c r="J2106" s="14"/>
      <c r="K2106" s="14"/>
      <c r="L2106" s="14"/>
      <c r="M2106" s="14"/>
      <c r="N2106" s="14"/>
      <c r="O2106" s="4"/>
      <c r="P2106" s="14"/>
      <c r="Q2106" s="14"/>
    </row>
    <row r="2107" spans="1:17" x14ac:dyDescent="0.25">
      <c r="A2107" s="5"/>
      <c r="B2107" s="6"/>
      <c r="C2107" s="4"/>
      <c r="D2107" s="4"/>
      <c r="E2107" s="12"/>
      <c r="F2107" s="12"/>
      <c r="G2107" s="16"/>
      <c r="H2107" s="14"/>
      <c r="I2107" s="14"/>
      <c r="J2107" s="14"/>
      <c r="K2107" s="14"/>
      <c r="L2107" s="14"/>
      <c r="M2107" s="14"/>
      <c r="N2107" s="14"/>
      <c r="O2107" s="4"/>
      <c r="P2107" s="14"/>
      <c r="Q2107" s="14"/>
    </row>
    <row r="2108" spans="1:17" x14ac:dyDescent="0.25">
      <c r="A2108" s="5"/>
      <c r="B2108" s="6"/>
      <c r="C2108" s="4"/>
      <c r="D2108" s="4"/>
      <c r="E2108" s="12"/>
      <c r="F2108" s="12"/>
      <c r="G2108" s="16"/>
      <c r="H2108" s="14"/>
      <c r="I2108" s="14"/>
      <c r="J2108" s="14"/>
      <c r="K2108" s="14"/>
      <c r="L2108" s="14"/>
      <c r="M2108" s="14"/>
      <c r="N2108" s="14"/>
      <c r="O2108" s="4"/>
      <c r="P2108" s="14"/>
      <c r="Q2108" s="14"/>
    </row>
    <row r="2109" spans="1:17" x14ac:dyDescent="0.25">
      <c r="A2109" s="5"/>
      <c r="B2109" s="6"/>
      <c r="C2109" s="4"/>
      <c r="D2109" s="4"/>
      <c r="E2109" s="12"/>
      <c r="F2109" s="12"/>
      <c r="G2109" s="16"/>
      <c r="H2109" s="14"/>
      <c r="I2109" s="14"/>
      <c r="J2109" s="14"/>
      <c r="K2109" s="14"/>
      <c r="L2109" s="14"/>
      <c r="M2109" s="14"/>
      <c r="N2109" s="14"/>
      <c r="O2109" s="4"/>
      <c r="P2109" s="14"/>
      <c r="Q2109" s="14"/>
    </row>
    <row r="2110" spans="1:17" x14ac:dyDescent="0.25">
      <c r="A2110" s="5"/>
      <c r="B2110" s="6"/>
      <c r="C2110" s="4"/>
      <c r="D2110" s="4"/>
      <c r="E2110" s="12"/>
      <c r="F2110" s="12"/>
      <c r="G2110" s="16"/>
      <c r="H2110" s="14"/>
      <c r="I2110" s="14"/>
      <c r="J2110" s="14"/>
      <c r="K2110" s="14"/>
      <c r="L2110" s="14"/>
      <c r="M2110" s="14"/>
      <c r="N2110" s="14"/>
      <c r="O2110" s="4"/>
      <c r="P2110" s="14"/>
      <c r="Q2110" s="14"/>
    </row>
    <row r="2111" spans="1:17" x14ac:dyDescent="0.25">
      <c r="A2111" s="5"/>
      <c r="B2111" s="6"/>
      <c r="C2111" s="4"/>
      <c r="D2111" s="4"/>
      <c r="E2111" s="12"/>
      <c r="F2111" s="12"/>
      <c r="G2111" s="16"/>
      <c r="H2111" s="14"/>
      <c r="I2111" s="14"/>
      <c r="J2111" s="14"/>
      <c r="K2111" s="14"/>
      <c r="L2111" s="14"/>
      <c r="M2111" s="14"/>
      <c r="N2111" s="14"/>
      <c r="O2111" s="4"/>
      <c r="P2111" s="14"/>
      <c r="Q2111" s="14"/>
    </row>
    <row r="2112" spans="1:17" x14ac:dyDescent="0.25">
      <c r="A2112" s="5"/>
      <c r="B2112" s="6"/>
      <c r="C2112" s="4"/>
      <c r="D2112" s="4"/>
      <c r="E2112" s="12"/>
      <c r="F2112" s="12"/>
      <c r="G2112" s="16"/>
      <c r="H2112" s="14"/>
      <c r="I2112" s="14"/>
      <c r="J2112" s="14"/>
      <c r="K2112" s="14"/>
      <c r="L2112" s="14"/>
      <c r="M2112" s="14"/>
      <c r="N2112" s="14"/>
      <c r="O2112" s="4"/>
      <c r="P2112" s="14"/>
      <c r="Q2112" s="14"/>
    </row>
    <row r="2113" spans="1:17" x14ac:dyDescent="0.25">
      <c r="A2113" s="5"/>
      <c r="B2113" s="6"/>
      <c r="C2113" s="4"/>
      <c r="D2113" s="4"/>
      <c r="E2113" s="12"/>
      <c r="F2113" s="12"/>
      <c r="G2113" s="16"/>
      <c r="H2113" s="14"/>
      <c r="I2113" s="14"/>
      <c r="J2113" s="14"/>
      <c r="K2113" s="14"/>
      <c r="L2113" s="14"/>
      <c r="M2113" s="14"/>
      <c r="N2113" s="14"/>
      <c r="O2113" s="4"/>
      <c r="P2113" s="14"/>
      <c r="Q2113" s="14"/>
    </row>
    <row r="2114" spans="1:17" x14ac:dyDescent="0.25">
      <c r="A2114" s="5"/>
      <c r="B2114" s="6"/>
      <c r="C2114" s="4"/>
      <c r="D2114" s="4"/>
      <c r="E2114" s="12"/>
      <c r="F2114" s="12"/>
      <c r="G2114" s="16"/>
      <c r="H2114" s="14"/>
      <c r="I2114" s="14"/>
      <c r="J2114" s="14"/>
      <c r="K2114" s="14"/>
      <c r="L2114" s="14"/>
      <c r="M2114" s="14"/>
      <c r="N2114" s="14"/>
      <c r="O2114" s="4"/>
      <c r="P2114" s="14"/>
      <c r="Q2114" s="14"/>
    </row>
    <row r="2115" spans="1:17" x14ac:dyDescent="0.25">
      <c r="A2115" s="5"/>
      <c r="B2115" s="6"/>
      <c r="C2115" s="4"/>
      <c r="D2115" s="4"/>
      <c r="E2115" s="12"/>
      <c r="F2115" s="12"/>
      <c r="G2115" s="16"/>
      <c r="H2115" s="14"/>
      <c r="I2115" s="14"/>
      <c r="J2115" s="14"/>
      <c r="K2115" s="14"/>
      <c r="L2115" s="14"/>
      <c r="M2115" s="14"/>
      <c r="N2115" s="14"/>
      <c r="O2115" s="4"/>
      <c r="P2115" s="14"/>
      <c r="Q2115" s="14"/>
    </row>
    <row r="2116" spans="1:17" x14ac:dyDescent="0.25">
      <c r="A2116" s="5"/>
      <c r="B2116" s="6"/>
      <c r="C2116" s="4"/>
      <c r="D2116" s="4"/>
      <c r="E2116" s="12"/>
      <c r="F2116" s="12"/>
      <c r="G2116" s="16"/>
      <c r="H2116" s="14"/>
      <c r="I2116" s="14"/>
      <c r="J2116" s="14"/>
      <c r="K2116" s="14"/>
      <c r="L2116" s="14"/>
      <c r="M2116" s="14"/>
      <c r="N2116" s="14"/>
      <c r="O2116" s="4"/>
      <c r="P2116" s="14"/>
      <c r="Q2116" s="14"/>
    </row>
    <row r="2117" spans="1:17" x14ac:dyDescent="0.25">
      <c r="A2117" s="5"/>
      <c r="B2117" s="6"/>
      <c r="C2117" s="4"/>
      <c r="D2117" s="4"/>
      <c r="E2117" s="12"/>
      <c r="F2117" s="12"/>
      <c r="G2117" s="16"/>
      <c r="H2117" s="14"/>
      <c r="I2117" s="14"/>
      <c r="J2117" s="14"/>
      <c r="K2117" s="14"/>
      <c r="L2117" s="14"/>
      <c r="M2117" s="14"/>
      <c r="N2117" s="14"/>
      <c r="O2117" s="4"/>
      <c r="P2117" s="14"/>
      <c r="Q2117" s="14"/>
    </row>
    <row r="2118" spans="1:17" x14ac:dyDescent="0.25">
      <c r="A2118" s="5"/>
      <c r="B2118" s="6"/>
      <c r="C2118" s="4"/>
      <c r="D2118" s="4"/>
      <c r="E2118" s="12"/>
      <c r="F2118" s="12"/>
      <c r="G2118" s="16"/>
      <c r="H2118" s="14"/>
      <c r="I2118" s="14"/>
      <c r="J2118" s="14"/>
      <c r="K2118" s="14"/>
      <c r="L2118" s="14"/>
      <c r="M2118" s="14"/>
      <c r="N2118" s="14"/>
      <c r="O2118" s="4"/>
      <c r="P2118" s="14"/>
      <c r="Q2118" s="14"/>
    </row>
    <row r="2119" spans="1:17" x14ac:dyDescent="0.25">
      <c r="A2119" s="5"/>
      <c r="B2119" s="6"/>
      <c r="C2119" s="4"/>
      <c r="D2119" s="4"/>
      <c r="E2119" s="12"/>
      <c r="F2119" s="12"/>
      <c r="G2119" s="16"/>
      <c r="H2119" s="14"/>
      <c r="I2119" s="14"/>
      <c r="J2119" s="14"/>
      <c r="K2119" s="14"/>
      <c r="L2119" s="14"/>
      <c r="M2119" s="14"/>
      <c r="N2119" s="14"/>
      <c r="O2119" s="4"/>
      <c r="P2119" s="14"/>
      <c r="Q2119" s="14"/>
    </row>
    <row r="2120" spans="1:17" x14ac:dyDescent="0.25">
      <c r="A2120" s="5"/>
      <c r="B2120" s="6"/>
      <c r="C2120" s="4"/>
      <c r="D2120" s="4"/>
      <c r="E2120" s="12"/>
      <c r="F2120" s="12"/>
      <c r="G2120" s="16"/>
      <c r="H2120" s="14"/>
      <c r="I2120" s="14"/>
      <c r="J2120" s="14"/>
      <c r="K2120" s="14"/>
      <c r="L2120" s="14"/>
      <c r="M2120" s="14"/>
      <c r="N2120" s="14"/>
      <c r="O2120" s="4"/>
      <c r="P2120" s="14"/>
      <c r="Q2120" s="14"/>
    </row>
    <row r="2121" spans="1:17" x14ac:dyDescent="0.25">
      <c r="A2121" s="5"/>
      <c r="B2121" s="6"/>
      <c r="C2121" s="4"/>
      <c r="D2121" s="4"/>
      <c r="E2121" s="12"/>
      <c r="F2121" s="12"/>
      <c r="G2121" s="16"/>
      <c r="H2121" s="14"/>
      <c r="I2121" s="14"/>
      <c r="J2121" s="14"/>
      <c r="K2121" s="14"/>
      <c r="L2121" s="14"/>
      <c r="M2121" s="14"/>
      <c r="N2121" s="14"/>
      <c r="O2121" s="4"/>
      <c r="P2121" s="14"/>
      <c r="Q2121" s="14"/>
    </row>
    <row r="2122" spans="1:17" x14ac:dyDescent="0.25">
      <c r="A2122" s="5"/>
      <c r="B2122" s="6"/>
      <c r="C2122" s="4"/>
      <c r="D2122" s="4"/>
      <c r="E2122" s="12"/>
      <c r="F2122" s="12"/>
      <c r="G2122" s="16"/>
      <c r="H2122" s="14"/>
      <c r="I2122" s="14"/>
      <c r="J2122" s="14"/>
      <c r="K2122" s="14"/>
      <c r="L2122" s="14"/>
      <c r="M2122" s="14"/>
      <c r="N2122" s="14"/>
      <c r="O2122" s="4"/>
      <c r="P2122" s="14"/>
      <c r="Q2122" s="14"/>
    </row>
    <row r="2123" spans="1:17" x14ac:dyDescent="0.25">
      <c r="A2123" s="5"/>
      <c r="B2123" s="6"/>
      <c r="C2123" s="4"/>
      <c r="D2123" s="4"/>
      <c r="E2123" s="12"/>
      <c r="F2123" s="12"/>
      <c r="G2123" s="16"/>
      <c r="H2123" s="14"/>
      <c r="I2123" s="14"/>
      <c r="J2123" s="14"/>
      <c r="K2123" s="14"/>
      <c r="L2123" s="14"/>
      <c r="M2123" s="14"/>
      <c r="N2123" s="14"/>
      <c r="O2123" s="4"/>
      <c r="P2123" s="14"/>
      <c r="Q2123" s="14"/>
    </row>
    <row r="2124" spans="1:17" x14ac:dyDescent="0.25">
      <c r="A2124" s="5"/>
      <c r="B2124" s="6"/>
      <c r="C2124" s="4"/>
      <c r="D2124" s="4"/>
      <c r="E2124" s="12"/>
      <c r="F2124" s="12"/>
      <c r="G2124" s="16"/>
      <c r="H2124" s="14"/>
      <c r="I2124" s="14"/>
      <c r="J2124" s="14"/>
      <c r="K2124" s="14"/>
      <c r="L2124" s="14"/>
      <c r="M2124" s="14"/>
      <c r="N2124" s="14"/>
      <c r="O2124" s="4"/>
      <c r="P2124" s="14"/>
      <c r="Q2124" s="14"/>
    </row>
    <row r="2125" spans="1:17" x14ac:dyDescent="0.25">
      <c r="A2125" s="5"/>
      <c r="B2125" s="6"/>
      <c r="C2125" s="4"/>
      <c r="D2125" s="4"/>
      <c r="E2125" s="12"/>
      <c r="F2125" s="12"/>
      <c r="G2125" s="16"/>
      <c r="H2125" s="14"/>
      <c r="I2125" s="14"/>
      <c r="J2125" s="14"/>
      <c r="K2125" s="14"/>
      <c r="L2125" s="14"/>
      <c r="M2125" s="14"/>
      <c r="N2125" s="14"/>
      <c r="O2125" s="4"/>
      <c r="P2125" s="14"/>
      <c r="Q2125" s="14"/>
    </row>
    <row r="2126" spans="1:17" x14ac:dyDescent="0.25">
      <c r="A2126" s="5"/>
      <c r="B2126" s="6"/>
      <c r="C2126" s="4"/>
      <c r="D2126" s="4"/>
      <c r="E2126" s="12"/>
      <c r="F2126" s="12"/>
      <c r="G2126" s="16"/>
      <c r="H2126" s="14"/>
      <c r="I2126" s="14"/>
      <c r="J2126" s="14"/>
      <c r="K2126" s="14"/>
      <c r="L2126" s="14"/>
      <c r="M2126" s="14"/>
      <c r="N2126" s="14"/>
      <c r="O2126" s="4"/>
      <c r="P2126" s="14"/>
      <c r="Q2126" s="14"/>
    </row>
    <row r="2127" spans="1:17" x14ac:dyDescent="0.25">
      <c r="A2127" s="5"/>
      <c r="B2127" s="6"/>
      <c r="C2127" s="4"/>
      <c r="D2127" s="4"/>
      <c r="E2127" s="12"/>
      <c r="F2127" s="12"/>
      <c r="G2127" s="16"/>
      <c r="H2127" s="14"/>
      <c r="I2127" s="14"/>
      <c r="J2127" s="14"/>
      <c r="K2127" s="14"/>
      <c r="L2127" s="14"/>
      <c r="M2127" s="14"/>
      <c r="N2127" s="14"/>
      <c r="O2127" s="4"/>
      <c r="P2127" s="14"/>
      <c r="Q2127" s="14"/>
    </row>
    <row r="2128" spans="1:17" x14ac:dyDescent="0.25">
      <c r="A2128" s="5"/>
      <c r="B2128" s="6"/>
      <c r="C2128" s="4"/>
      <c r="D2128" s="4"/>
      <c r="E2128" s="12"/>
      <c r="F2128" s="12"/>
      <c r="G2128" s="16"/>
      <c r="H2128" s="14"/>
      <c r="I2128" s="14"/>
      <c r="J2128" s="14"/>
      <c r="K2128" s="14"/>
      <c r="L2128" s="14"/>
      <c r="M2128" s="14"/>
      <c r="N2128" s="14"/>
      <c r="O2128" s="4"/>
      <c r="P2128" s="14"/>
      <c r="Q2128" s="14"/>
    </row>
    <row r="2129" spans="1:17" x14ac:dyDescent="0.25">
      <c r="A2129" s="5"/>
      <c r="B2129" s="6"/>
      <c r="C2129" s="4"/>
      <c r="D2129" s="4"/>
      <c r="E2129" s="12"/>
      <c r="F2129" s="12"/>
      <c r="G2129" s="16"/>
      <c r="H2129" s="14"/>
      <c r="I2129" s="14"/>
      <c r="J2129" s="14"/>
      <c r="K2129" s="14"/>
      <c r="L2129" s="14"/>
      <c r="M2129" s="14"/>
      <c r="N2129" s="14"/>
      <c r="O2129" s="4"/>
      <c r="P2129" s="14"/>
      <c r="Q2129" s="14"/>
    </row>
    <row r="2130" spans="1:17" x14ac:dyDescent="0.25">
      <c r="A2130" s="5"/>
      <c r="B2130" s="6"/>
      <c r="C2130" s="4"/>
      <c r="D2130" s="4"/>
      <c r="E2130" s="12"/>
      <c r="F2130" s="12"/>
      <c r="G2130" s="16"/>
      <c r="H2130" s="14"/>
      <c r="I2130" s="14"/>
      <c r="J2130" s="14"/>
      <c r="K2130" s="14"/>
      <c r="L2130" s="14"/>
      <c r="M2130" s="14"/>
      <c r="N2130" s="14"/>
      <c r="O2130" s="4"/>
      <c r="P2130" s="14"/>
      <c r="Q2130" s="14"/>
    </row>
    <row r="2131" spans="1:17" x14ac:dyDescent="0.25">
      <c r="A2131" s="5"/>
      <c r="B2131" s="6"/>
      <c r="C2131" s="4"/>
      <c r="D2131" s="4"/>
      <c r="E2131" s="12"/>
      <c r="F2131" s="12"/>
      <c r="G2131" s="16"/>
      <c r="H2131" s="14"/>
      <c r="I2131" s="14"/>
      <c r="J2131" s="14"/>
      <c r="K2131" s="14"/>
      <c r="L2131" s="14"/>
      <c r="M2131" s="14"/>
      <c r="N2131" s="14"/>
      <c r="O2131" s="4"/>
      <c r="P2131" s="14"/>
      <c r="Q2131" s="14"/>
    </row>
    <row r="2132" spans="1:17" x14ac:dyDescent="0.25">
      <c r="A2132" s="5"/>
      <c r="B2132" s="6"/>
      <c r="C2132" s="4"/>
      <c r="D2132" s="4"/>
      <c r="E2132" s="12"/>
      <c r="F2132" s="12"/>
      <c r="G2132" s="16"/>
      <c r="H2132" s="14"/>
      <c r="I2132" s="14"/>
      <c r="J2132" s="14"/>
      <c r="K2132" s="14"/>
      <c r="L2132" s="14"/>
      <c r="M2132" s="14"/>
      <c r="N2132" s="14"/>
      <c r="O2132" s="4"/>
      <c r="P2132" s="14"/>
      <c r="Q2132" s="14"/>
    </row>
    <row r="2133" spans="1:17" x14ac:dyDescent="0.25">
      <c r="A2133" s="5"/>
      <c r="B2133" s="6"/>
      <c r="C2133" s="4"/>
      <c r="D2133" s="4"/>
      <c r="E2133" s="12"/>
      <c r="F2133" s="12"/>
      <c r="G2133" s="16"/>
      <c r="H2133" s="14"/>
      <c r="I2133" s="14"/>
      <c r="J2133" s="14"/>
      <c r="K2133" s="14"/>
      <c r="L2133" s="14"/>
      <c r="M2133" s="14"/>
      <c r="N2133" s="14"/>
      <c r="O2133" s="4"/>
      <c r="P2133" s="14"/>
      <c r="Q2133" s="14"/>
    </row>
    <row r="2134" spans="1:17" x14ac:dyDescent="0.25">
      <c r="A2134" s="5"/>
      <c r="B2134" s="6"/>
      <c r="C2134" s="4"/>
      <c r="D2134" s="4"/>
      <c r="E2134" s="12"/>
      <c r="F2134" s="12"/>
      <c r="G2134" s="16"/>
      <c r="H2134" s="14"/>
      <c r="I2134" s="14"/>
      <c r="J2134" s="14"/>
      <c r="K2134" s="14"/>
      <c r="L2134" s="14"/>
      <c r="M2134" s="14"/>
      <c r="N2134" s="14"/>
      <c r="O2134" s="4"/>
      <c r="P2134" s="14"/>
      <c r="Q2134" s="14"/>
    </row>
    <row r="2135" spans="1:17" x14ac:dyDescent="0.25">
      <c r="A2135" s="5"/>
      <c r="B2135" s="6"/>
      <c r="C2135" s="4"/>
      <c r="D2135" s="4"/>
      <c r="E2135" s="12"/>
      <c r="F2135" s="12"/>
      <c r="G2135" s="16"/>
      <c r="H2135" s="14"/>
      <c r="I2135" s="14"/>
      <c r="J2135" s="14"/>
      <c r="K2135" s="14"/>
      <c r="L2135" s="14"/>
      <c r="M2135" s="14"/>
      <c r="N2135" s="14"/>
      <c r="O2135" s="4"/>
      <c r="P2135" s="14"/>
      <c r="Q2135" s="14"/>
    </row>
    <row r="2136" spans="1:17" x14ac:dyDescent="0.25">
      <c r="A2136" s="5"/>
      <c r="B2136" s="6"/>
      <c r="C2136" s="4"/>
      <c r="D2136" s="4"/>
      <c r="E2136" s="12"/>
      <c r="F2136" s="12"/>
      <c r="G2136" s="16"/>
      <c r="H2136" s="14"/>
      <c r="I2136" s="14"/>
      <c r="J2136" s="14"/>
      <c r="K2136" s="14"/>
      <c r="L2136" s="14"/>
      <c r="M2136" s="14"/>
      <c r="N2136" s="14"/>
      <c r="O2136" s="4"/>
      <c r="P2136" s="14"/>
      <c r="Q2136" s="14"/>
    </row>
    <row r="2137" spans="1:17" x14ac:dyDescent="0.25">
      <c r="A2137" s="5"/>
      <c r="B2137" s="6"/>
      <c r="C2137" s="4"/>
      <c r="D2137" s="4"/>
      <c r="E2137" s="12"/>
      <c r="F2137" s="12"/>
      <c r="G2137" s="16"/>
      <c r="H2137" s="14"/>
      <c r="I2137" s="14"/>
      <c r="J2137" s="14"/>
      <c r="K2137" s="14"/>
      <c r="L2137" s="14"/>
      <c r="M2137" s="14"/>
      <c r="N2137" s="14"/>
      <c r="O2137" s="4"/>
      <c r="P2137" s="14"/>
      <c r="Q2137" s="14"/>
    </row>
    <row r="2138" spans="1:17" x14ac:dyDescent="0.25">
      <c r="A2138" s="5"/>
      <c r="B2138" s="6"/>
      <c r="C2138" s="4"/>
      <c r="D2138" s="4"/>
      <c r="E2138" s="12"/>
      <c r="F2138" s="12"/>
      <c r="G2138" s="16"/>
      <c r="H2138" s="14"/>
      <c r="I2138" s="14"/>
      <c r="J2138" s="14"/>
      <c r="K2138" s="14"/>
      <c r="L2138" s="14"/>
      <c r="M2138" s="14"/>
      <c r="N2138" s="14"/>
      <c r="O2138" s="4"/>
      <c r="P2138" s="14"/>
      <c r="Q2138" s="14"/>
    </row>
    <row r="2139" spans="1:17" x14ac:dyDescent="0.25">
      <c r="A2139" s="5"/>
      <c r="B2139" s="6"/>
      <c r="C2139" s="4"/>
      <c r="D2139" s="4"/>
      <c r="E2139" s="12"/>
      <c r="F2139" s="12"/>
      <c r="G2139" s="16"/>
      <c r="H2139" s="14"/>
      <c r="I2139" s="14"/>
      <c r="J2139" s="14"/>
      <c r="K2139" s="14"/>
      <c r="L2139" s="14"/>
      <c r="M2139" s="14"/>
      <c r="N2139" s="14"/>
      <c r="O2139" s="4"/>
      <c r="P2139" s="14"/>
      <c r="Q2139" s="14"/>
    </row>
    <row r="2140" spans="1:17" x14ac:dyDescent="0.25">
      <c r="A2140" s="5"/>
      <c r="B2140" s="6"/>
      <c r="C2140" s="4"/>
      <c r="D2140" s="4"/>
      <c r="E2140" s="12"/>
      <c r="F2140" s="12"/>
      <c r="G2140" s="16"/>
      <c r="H2140" s="14"/>
      <c r="I2140" s="14"/>
      <c r="J2140" s="14"/>
      <c r="K2140" s="14"/>
      <c r="L2140" s="14"/>
      <c r="M2140" s="14"/>
      <c r="N2140" s="14"/>
      <c r="O2140" s="4"/>
      <c r="P2140" s="14"/>
      <c r="Q2140" s="14"/>
    </row>
    <row r="2141" spans="1:17" x14ac:dyDescent="0.25">
      <c r="A2141" s="5"/>
      <c r="B2141" s="6"/>
      <c r="C2141" s="4"/>
      <c r="D2141" s="4"/>
      <c r="E2141" s="12"/>
      <c r="F2141" s="12"/>
      <c r="G2141" s="16"/>
      <c r="H2141" s="14"/>
      <c r="I2141" s="14"/>
      <c r="J2141" s="14"/>
      <c r="K2141" s="14"/>
      <c r="L2141" s="14"/>
      <c r="M2141" s="14"/>
      <c r="N2141" s="14"/>
      <c r="O2141" s="4"/>
      <c r="P2141" s="14"/>
      <c r="Q2141" s="14"/>
    </row>
    <row r="2142" spans="1:17" x14ac:dyDescent="0.25">
      <c r="A2142" s="5"/>
      <c r="B2142" s="6"/>
      <c r="C2142" s="4"/>
      <c r="D2142" s="4"/>
      <c r="E2142" s="12"/>
      <c r="F2142" s="12"/>
      <c r="G2142" s="16"/>
      <c r="H2142" s="14"/>
      <c r="I2142" s="14"/>
      <c r="J2142" s="14"/>
      <c r="K2142" s="14"/>
      <c r="L2142" s="14"/>
      <c r="M2142" s="14"/>
      <c r="N2142" s="14"/>
      <c r="O2142" s="4"/>
      <c r="P2142" s="14"/>
      <c r="Q2142" s="14"/>
    </row>
    <row r="2143" spans="1:17" x14ac:dyDescent="0.25">
      <c r="A2143" s="5"/>
      <c r="B2143" s="6"/>
      <c r="C2143" s="4"/>
      <c r="D2143" s="4"/>
      <c r="E2143" s="12"/>
      <c r="F2143" s="12"/>
      <c r="G2143" s="16"/>
      <c r="H2143" s="14"/>
      <c r="I2143" s="14"/>
      <c r="J2143" s="14"/>
      <c r="K2143" s="14"/>
      <c r="L2143" s="14"/>
      <c r="M2143" s="14"/>
      <c r="N2143" s="14"/>
      <c r="O2143" s="4"/>
      <c r="P2143" s="14"/>
      <c r="Q2143" s="14"/>
    </row>
    <row r="2144" spans="1:17" x14ac:dyDescent="0.25">
      <c r="A2144" s="5"/>
      <c r="B2144" s="6"/>
      <c r="C2144" s="4"/>
      <c r="D2144" s="4"/>
      <c r="E2144" s="12"/>
      <c r="F2144" s="12"/>
      <c r="G2144" s="16"/>
      <c r="H2144" s="14"/>
      <c r="I2144" s="14"/>
      <c r="J2144" s="14"/>
      <c r="K2144" s="14"/>
      <c r="L2144" s="14"/>
      <c r="M2144" s="14"/>
      <c r="N2144" s="14"/>
      <c r="O2144" s="4"/>
      <c r="P2144" s="14"/>
      <c r="Q2144" s="14"/>
    </row>
    <row r="2145" spans="1:17" x14ac:dyDescent="0.25">
      <c r="A2145" s="5"/>
      <c r="B2145" s="6"/>
      <c r="C2145" s="4"/>
      <c r="D2145" s="4"/>
      <c r="E2145" s="12"/>
      <c r="F2145" s="12"/>
      <c r="G2145" s="16"/>
      <c r="H2145" s="14"/>
      <c r="I2145" s="14"/>
      <c r="J2145" s="14"/>
      <c r="K2145" s="14"/>
      <c r="L2145" s="14"/>
      <c r="M2145" s="14"/>
      <c r="N2145" s="14"/>
      <c r="O2145" s="4"/>
      <c r="P2145" s="14"/>
      <c r="Q2145" s="14"/>
    </row>
    <row r="2146" spans="1:17" x14ac:dyDescent="0.25">
      <c r="A2146" s="5"/>
      <c r="B2146" s="6"/>
      <c r="C2146" s="4"/>
      <c r="D2146" s="4"/>
      <c r="E2146" s="12"/>
      <c r="F2146" s="12"/>
      <c r="G2146" s="16"/>
      <c r="H2146" s="14"/>
      <c r="I2146" s="14"/>
      <c r="J2146" s="14"/>
      <c r="K2146" s="14"/>
      <c r="L2146" s="14"/>
      <c r="M2146" s="14"/>
      <c r="N2146" s="14"/>
      <c r="O2146" s="4"/>
      <c r="P2146" s="14"/>
      <c r="Q2146" s="14"/>
    </row>
    <row r="2147" spans="1:17" x14ac:dyDescent="0.25">
      <c r="A2147" s="5"/>
      <c r="B2147" s="6"/>
      <c r="C2147" s="4"/>
      <c r="D2147" s="4"/>
      <c r="E2147" s="12"/>
      <c r="F2147" s="12"/>
      <c r="G2147" s="16"/>
      <c r="H2147" s="14"/>
      <c r="I2147" s="14"/>
      <c r="J2147" s="14"/>
      <c r="K2147" s="14"/>
      <c r="L2147" s="14"/>
      <c r="M2147" s="14"/>
      <c r="N2147" s="14"/>
      <c r="O2147" s="4"/>
      <c r="P2147" s="14"/>
      <c r="Q2147" s="14"/>
    </row>
    <row r="2148" spans="1:17" x14ac:dyDescent="0.25">
      <c r="A2148" s="5"/>
      <c r="B2148" s="6"/>
      <c r="C2148" s="4"/>
      <c r="D2148" s="4"/>
      <c r="E2148" s="12"/>
      <c r="F2148" s="12"/>
      <c r="G2148" s="16"/>
      <c r="H2148" s="14"/>
      <c r="I2148" s="14"/>
      <c r="J2148" s="14"/>
      <c r="K2148" s="14"/>
      <c r="L2148" s="14"/>
      <c r="M2148" s="14"/>
      <c r="N2148" s="14"/>
      <c r="O2148" s="4"/>
      <c r="P2148" s="14"/>
      <c r="Q2148" s="14"/>
    </row>
    <row r="2149" spans="1:17" x14ac:dyDescent="0.25">
      <c r="A2149" s="5"/>
      <c r="B2149" s="6"/>
      <c r="C2149" s="4"/>
      <c r="D2149" s="4"/>
      <c r="E2149" s="12"/>
      <c r="F2149" s="12"/>
      <c r="G2149" s="16"/>
      <c r="H2149" s="14"/>
      <c r="I2149" s="14"/>
      <c r="J2149" s="14"/>
      <c r="K2149" s="14"/>
      <c r="L2149" s="14"/>
      <c r="M2149" s="14"/>
      <c r="N2149" s="14"/>
      <c r="O2149" s="4"/>
      <c r="P2149" s="14"/>
      <c r="Q2149" s="14"/>
    </row>
    <row r="2150" spans="1:17" x14ac:dyDescent="0.25">
      <c r="A2150" s="5"/>
      <c r="B2150" s="6"/>
      <c r="C2150" s="4"/>
      <c r="D2150" s="4"/>
      <c r="E2150" s="12"/>
      <c r="F2150" s="12"/>
      <c r="G2150" s="16"/>
      <c r="H2150" s="14"/>
      <c r="I2150" s="14"/>
      <c r="J2150" s="14"/>
      <c r="K2150" s="14"/>
      <c r="L2150" s="14"/>
      <c r="M2150" s="14"/>
      <c r="N2150" s="14"/>
      <c r="O2150" s="4"/>
      <c r="P2150" s="14"/>
      <c r="Q2150" s="14"/>
    </row>
    <row r="2151" spans="1:17" x14ac:dyDescent="0.25">
      <c r="A2151" s="5"/>
      <c r="B2151" s="6"/>
      <c r="C2151" s="4"/>
      <c r="D2151" s="4"/>
      <c r="E2151" s="12"/>
      <c r="F2151" s="12"/>
      <c r="G2151" s="16"/>
      <c r="H2151" s="14"/>
      <c r="I2151" s="14"/>
      <c r="J2151" s="14"/>
      <c r="K2151" s="14"/>
      <c r="L2151" s="14"/>
      <c r="M2151" s="14"/>
      <c r="N2151" s="14"/>
      <c r="O2151" s="4"/>
      <c r="P2151" s="14"/>
      <c r="Q2151" s="14"/>
    </row>
    <row r="2152" spans="1:17" x14ac:dyDescent="0.25">
      <c r="A2152" s="5"/>
      <c r="B2152" s="6"/>
      <c r="C2152" s="4"/>
      <c r="D2152" s="4"/>
      <c r="E2152" s="12"/>
      <c r="F2152" s="12"/>
      <c r="G2152" s="16"/>
      <c r="H2152" s="14"/>
      <c r="I2152" s="14"/>
      <c r="J2152" s="14"/>
      <c r="K2152" s="14"/>
      <c r="L2152" s="14"/>
      <c r="M2152" s="14"/>
      <c r="N2152" s="14"/>
      <c r="O2152" s="4"/>
      <c r="P2152" s="14"/>
      <c r="Q2152" s="14"/>
    </row>
    <row r="2153" spans="1:17" x14ac:dyDescent="0.25">
      <c r="A2153" s="5"/>
      <c r="B2153" s="6"/>
      <c r="C2153" s="4"/>
      <c r="D2153" s="4"/>
      <c r="E2153" s="12"/>
      <c r="F2153" s="12"/>
      <c r="G2153" s="16"/>
      <c r="H2153" s="14"/>
      <c r="I2153" s="14"/>
      <c r="J2153" s="14"/>
      <c r="K2153" s="14"/>
      <c r="L2153" s="14"/>
      <c r="M2153" s="14"/>
      <c r="N2153" s="14"/>
      <c r="O2153" s="4"/>
      <c r="P2153" s="14"/>
      <c r="Q2153" s="14"/>
    </row>
    <row r="2154" spans="1:17" x14ac:dyDescent="0.25">
      <c r="A2154" s="5"/>
      <c r="B2154" s="6"/>
      <c r="C2154" s="4"/>
      <c r="D2154" s="4"/>
      <c r="E2154" s="12"/>
      <c r="F2154" s="12"/>
      <c r="G2154" s="16"/>
      <c r="H2154" s="14"/>
      <c r="I2154" s="14"/>
      <c r="J2154" s="14"/>
      <c r="K2154" s="14"/>
      <c r="L2154" s="14"/>
      <c r="M2154" s="14"/>
      <c r="N2154" s="14"/>
      <c r="O2154" s="4"/>
      <c r="P2154" s="14"/>
      <c r="Q2154" s="14"/>
    </row>
    <row r="2155" spans="1:17" x14ac:dyDescent="0.25">
      <c r="A2155" s="5"/>
      <c r="B2155" s="6"/>
      <c r="C2155" s="4"/>
      <c r="D2155" s="4"/>
      <c r="E2155" s="12"/>
      <c r="F2155" s="12"/>
      <c r="G2155" s="16"/>
      <c r="H2155" s="14"/>
      <c r="I2155" s="14"/>
      <c r="J2155" s="14"/>
      <c r="K2155" s="14"/>
      <c r="L2155" s="14"/>
      <c r="M2155" s="14"/>
      <c r="N2155" s="14"/>
      <c r="O2155" s="4"/>
      <c r="P2155" s="14"/>
      <c r="Q2155" s="14"/>
    </row>
    <row r="2156" spans="1:17" x14ac:dyDescent="0.25">
      <c r="A2156" s="5"/>
      <c r="B2156" s="6"/>
      <c r="C2156" s="4"/>
      <c r="D2156" s="4"/>
      <c r="E2156" s="12"/>
      <c r="F2156" s="12"/>
      <c r="G2156" s="16"/>
      <c r="H2156" s="14"/>
      <c r="I2156" s="14"/>
      <c r="J2156" s="14"/>
      <c r="K2156" s="14"/>
      <c r="L2156" s="14"/>
      <c r="M2156" s="14"/>
      <c r="N2156" s="14"/>
      <c r="O2156" s="4"/>
      <c r="P2156" s="14"/>
      <c r="Q2156" s="14"/>
    </row>
    <row r="2157" spans="1:17" x14ac:dyDescent="0.25">
      <c r="A2157" s="5"/>
      <c r="B2157" s="6"/>
      <c r="C2157" s="4"/>
      <c r="D2157" s="4"/>
      <c r="E2157" s="12"/>
      <c r="F2157" s="12"/>
      <c r="G2157" s="16"/>
      <c r="H2157" s="14"/>
      <c r="I2157" s="14"/>
      <c r="J2157" s="14"/>
      <c r="K2157" s="14"/>
      <c r="L2157" s="14"/>
      <c r="M2157" s="14"/>
      <c r="N2157" s="14"/>
      <c r="O2157" s="4"/>
      <c r="P2157" s="14"/>
      <c r="Q2157" s="14"/>
    </row>
    <row r="2158" spans="1:17" x14ac:dyDescent="0.25">
      <c r="A2158" s="5"/>
      <c r="B2158" s="6"/>
      <c r="C2158" s="4"/>
      <c r="D2158" s="4"/>
      <c r="E2158" s="12"/>
      <c r="F2158" s="12"/>
      <c r="G2158" s="16"/>
      <c r="H2158" s="14"/>
      <c r="I2158" s="14"/>
      <c r="J2158" s="14"/>
      <c r="K2158" s="14"/>
      <c r="L2158" s="14"/>
      <c r="M2158" s="14"/>
      <c r="N2158" s="14"/>
      <c r="O2158" s="4"/>
      <c r="P2158" s="14"/>
      <c r="Q2158" s="14"/>
    </row>
    <row r="2159" spans="1:17" x14ac:dyDescent="0.25">
      <c r="A2159" s="5"/>
      <c r="B2159" s="6"/>
      <c r="C2159" s="4"/>
      <c r="D2159" s="4"/>
      <c r="E2159" s="12"/>
      <c r="F2159" s="12"/>
      <c r="G2159" s="16"/>
      <c r="H2159" s="14"/>
      <c r="I2159" s="14"/>
      <c r="J2159" s="14"/>
      <c r="K2159" s="14"/>
      <c r="L2159" s="14"/>
      <c r="M2159" s="14"/>
      <c r="N2159" s="14"/>
      <c r="O2159" s="4"/>
      <c r="P2159" s="14"/>
      <c r="Q2159" s="14"/>
    </row>
    <row r="2160" spans="1:17" x14ac:dyDescent="0.25">
      <c r="A2160" s="5"/>
      <c r="B2160" s="6"/>
      <c r="C2160" s="4"/>
      <c r="D2160" s="4"/>
      <c r="E2160" s="12"/>
      <c r="F2160" s="12"/>
      <c r="G2160" s="16"/>
      <c r="H2160" s="14"/>
      <c r="I2160" s="14"/>
      <c r="J2160" s="14"/>
      <c r="K2160" s="14"/>
      <c r="L2160" s="14"/>
      <c r="M2160" s="14"/>
      <c r="N2160" s="14"/>
      <c r="O2160" s="4"/>
      <c r="P2160" s="14"/>
      <c r="Q2160" s="14"/>
    </row>
    <row r="2161" spans="1:17" x14ac:dyDescent="0.25">
      <c r="A2161" s="5"/>
      <c r="B2161" s="6"/>
      <c r="C2161" s="4"/>
      <c r="D2161" s="4"/>
      <c r="E2161" s="12"/>
      <c r="F2161" s="12"/>
      <c r="G2161" s="16"/>
      <c r="H2161" s="14"/>
      <c r="I2161" s="14"/>
      <c r="J2161" s="14"/>
      <c r="K2161" s="14"/>
      <c r="L2161" s="14"/>
      <c r="M2161" s="14"/>
      <c r="N2161" s="14"/>
      <c r="O2161" s="4"/>
      <c r="P2161" s="14"/>
      <c r="Q2161" s="14"/>
    </row>
    <row r="2162" spans="1:17" x14ac:dyDescent="0.25">
      <c r="A2162" s="5"/>
      <c r="B2162" s="6"/>
      <c r="C2162" s="4"/>
      <c r="D2162" s="4"/>
      <c r="E2162" s="12"/>
      <c r="F2162" s="12"/>
      <c r="G2162" s="16"/>
      <c r="H2162" s="14"/>
      <c r="I2162" s="14"/>
      <c r="J2162" s="14"/>
      <c r="K2162" s="14"/>
      <c r="L2162" s="14"/>
      <c r="M2162" s="14"/>
      <c r="N2162" s="14"/>
      <c r="O2162" s="4"/>
      <c r="P2162" s="14"/>
      <c r="Q2162" s="14"/>
    </row>
    <row r="2163" spans="1:17" x14ac:dyDescent="0.25">
      <c r="A2163" s="5"/>
      <c r="B2163" s="6"/>
      <c r="C2163" s="4"/>
      <c r="D2163" s="4"/>
      <c r="E2163" s="12"/>
      <c r="F2163" s="12"/>
      <c r="G2163" s="16"/>
      <c r="H2163" s="14"/>
      <c r="I2163" s="14"/>
      <c r="J2163" s="14"/>
      <c r="K2163" s="14"/>
      <c r="L2163" s="14"/>
      <c r="M2163" s="14"/>
      <c r="N2163" s="14"/>
      <c r="O2163" s="4"/>
      <c r="P2163" s="14"/>
      <c r="Q2163" s="14"/>
    </row>
    <row r="2164" spans="1:17" x14ac:dyDescent="0.25">
      <c r="A2164" s="5"/>
      <c r="B2164" s="6"/>
      <c r="C2164" s="4"/>
      <c r="D2164" s="4"/>
      <c r="E2164" s="12"/>
      <c r="F2164" s="12"/>
      <c r="G2164" s="16"/>
      <c r="H2164" s="14"/>
      <c r="I2164" s="14"/>
      <c r="J2164" s="14"/>
      <c r="K2164" s="14"/>
      <c r="L2164" s="14"/>
      <c r="M2164" s="14"/>
      <c r="N2164" s="14"/>
      <c r="O2164" s="4"/>
      <c r="P2164" s="14"/>
      <c r="Q2164" s="14"/>
    </row>
    <row r="2165" spans="1:17" x14ac:dyDescent="0.25">
      <c r="A2165" s="5"/>
      <c r="B2165" s="6"/>
      <c r="C2165" s="4"/>
      <c r="D2165" s="4"/>
      <c r="E2165" s="12"/>
      <c r="F2165" s="12"/>
      <c r="G2165" s="16"/>
      <c r="H2165" s="14"/>
      <c r="I2165" s="14"/>
      <c r="J2165" s="14"/>
      <c r="K2165" s="14"/>
      <c r="L2165" s="14"/>
      <c r="M2165" s="14"/>
      <c r="N2165" s="14"/>
      <c r="O2165" s="4"/>
      <c r="P2165" s="14"/>
      <c r="Q2165" s="14"/>
    </row>
    <row r="2166" spans="1:17" x14ac:dyDescent="0.25">
      <c r="A2166" s="5"/>
      <c r="B2166" s="6"/>
      <c r="C2166" s="4"/>
      <c r="D2166" s="4"/>
      <c r="E2166" s="12"/>
      <c r="F2166" s="12"/>
      <c r="G2166" s="16"/>
      <c r="H2166" s="14"/>
      <c r="I2166" s="14"/>
      <c r="J2166" s="14"/>
      <c r="K2166" s="14"/>
      <c r="L2166" s="14"/>
      <c r="M2166" s="14"/>
      <c r="N2166" s="14"/>
      <c r="O2166" s="4"/>
      <c r="P2166" s="14"/>
      <c r="Q2166" s="14"/>
    </row>
    <row r="2167" spans="1:17" x14ac:dyDescent="0.25">
      <c r="A2167" s="5"/>
      <c r="B2167" s="6"/>
      <c r="C2167" s="4"/>
      <c r="D2167" s="4"/>
      <c r="E2167" s="12"/>
      <c r="F2167" s="12"/>
      <c r="G2167" s="16"/>
      <c r="H2167" s="14"/>
      <c r="I2167" s="14"/>
      <c r="J2167" s="14"/>
      <c r="K2167" s="14"/>
      <c r="L2167" s="14"/>
      <c r="M2167" s="14"/>
      <c r="N2167" s="14"/>
      <c r="O2167" s="4"/>
      <c r="P2167" s="14"/>
      <c r="Q2167" s="14"/>
    </row>
    <row r="2168" spans="1:17" x14ac:dyDescent="0.25">
      <c r="A2168" s="5"/>
      <c r="B2168" s="6"/>
      <c r="C2168" s="4"/>
      <c r="D2168" s="4"/>
      <c r="E2168" s="12"/>
      <c r="F2168" s="12"/>
      <c r="G2168" s="16"/>
      <c r="H2168" s="14"/>
      <c r="I2168" s="14"/>
      <c r="J2168" s="14"/>
      <c r="K2168" s="14"/>
      <c r="L2168" s="14"/>
      <c r="M2168" s="14"/>
      <c r="N2168" s="14"/>
      <c r="O2168" s="4"/>
      <c r="P2168" s="14"/>
      <c r="Q2168" s="14"/>
    </row>
    <row r="2169" spans="1:17" x14ac:dyDescent="0.25">
      <c r="A2169" s="5"/>
      <c r="B2169" s="6"/>
      <c r="C2169" s="4"/>
      <c r="D2169" s="4"/>
      <c r="E2169" s="12"/>
      <c r="F2169" s="12"/>
      <c r="G2169" s="16"/>
      <c r="H2169" s="14"/>
      <c r="I2169" s="14"/>
      <c r="J2169" s="14"/>
      <c r="K2169" s="14"/>
      <c r="L2169" s="14"/>
      <c r="M2169" s="14"/>
      <c r="N2169" s="14"/>
      <c r="O2169" s="4"/>
      <c r="P2169" s="14"/>
      <c r="Q2169" s="14"/>
    </row>
    <row r="2170" spans="1:17" x14ac:dyDescent="0.25">
      <c r="A2170" s="5"/>
      <c r="B2170" s="6"/>
      <c r="C2170" s="4"/>
      <c r="D2170" s="4"/>
      <c r="E2170" s="12"/>
      <c r="F2170" s="12"/>
      <c r="G2170" s="16"/>
      <c r="H2170" s="14"/>
      <c r="I2170" s="14"/>
      <c r="J2170" s="14"/>
      <c r="K2170" s="14"/>
      <c r="L2170" s="14"/>
      <c r="M2170" s="14"/>
      <c r="N2170" s="14"/>
      <c r="O2170" s="4"/>
      <c r="P2170" s="14"/>
      <c r="Q2170" s="14"/>
    </row>
    <row r="2171" spans="1:17" x14ac:dyDescent="0.25">
      <c r="A2171" s="5"/>
      <c r="B2171" s="6"/>
      <c r="C2171" s="4"/>
      <c r="D2171" s="4"/>
      <c r="E2171" s="12"/>
      <c r="F2171" s="12"/>
      <c r="G2171" s="16"/>
      <c r="H2171" s="14"/>
      <c r="I2171" s="14"/>
      <c r="J2171" s="14"/>
      <c r="K2171" s="14"/>
      <c r="L2171" s="14"/>
      <c r="M2171" s="14"/>
      <c r="N2171" s="14"/>
      <c r="O2171" s="4"/>
      <c r="P2171" s="14"/>
      <c r="Q2171" s="14"/>
    </row>
    <row r="2172" spans="1:17" x14ac:dyDescent="0.25">
      <c r="A2172" s="5"/>
      <c r="B2172" s="6"/>
      <c r="C2172" s="4"/>
      <c r="D2172" s="4"/>
      <c r="E2172" s="12"/>
      <c r="F2172" s="12"/>
      <c r="G2172" s="16"/>
      <c r="H2172" s="14"/>
      <c r="I2172" s="14"/>
      <c r="J2172" s="14"/>
      <c r="K2172" s="14"/>
      <c r="L2172" s="14"/>
      <c r="M2172" s="14"/>
      <c r="N2172" s="14"/>
      <c r="O2172" s="4"/>
      <c r="P2172" s="14"/>
      <c r="Q2172" s="14"/>
    </row>
    <row r="2173" spans="1:17" x14ac:dyDescent="0.25">
      <c r="A2173" s="5"/>
      <c r="B2173" s="6"/>
      <c r="C2173" s="4"/>
      <c r="D2173" s="4"/>
      <c r="E2173" s="12"/>
      <c r="F2173" s="12"/>
      <c r="G2173" s="16"/>
      <c r="H2173" s="14"/>
      <c r="I2173" s="14"/>
      <c r="J2173" s="14"/>
      <c r="K2173" s="14"/>
      <c r="L2173" s="14"/>
      <c r="M2173" s="14"/>
      <c r="N2173" s="14"/>
      <c r="O2173" s="4"/>
      <c r="P2173" s="14"/>
      <c r="Q2173" s="14"/>
    </row>
    <row r="2174" spans="1:17" x14ac:dyDescent="0.25">
      <c r="A2174" s="5"/>
      <c r="B2174" s="6"/>
      <c r="C2174" s="4"/>
      <c r="D2174" s="4"/>
      <c r="E2174" s="12"/>
      <c r="F2174" s="12"/>
      <c r="G2174" s="16"/>
      <c r="H2174" s="14"/>
      <c r="I2174" s="14"/>
      <c r="J2174" s="14"/>
      <c r="K2174" s="14"/>
      <c r="L2174" s="14"/>
      <c r="M2174" s="14"/>
      <c r="N2174" s="14"/>
      <c r="O2174" s="4"/>
      <c r="P2174" s="14"/>
      <c r="Q2174" s="14"/>
    </row>
    <row r="2175" spans="1:17" x14ac:dyDescent="0.25">
      <c r="A2175" s="5"/>
      <c r="B2175" s="6"/>
      <c r="C2175" s="4"/>
      <c r="D2175" s="4"/>
      <c r="E2175" s="12"/>
      <c r="F2175" s="12"/>
      <c r="G2175" s="16"/>
      <c r="H2175" s="14"/>
      <c r="I2175" s="14"/>
      <c r="J2175" s="14"/>
      <c r="K2175" s="14"/>
      <c r="L2175" s="14"/>
      <c r="M2175" s="14"/>
      <c r="N2175" s="14"/>
      <c r="O2175" s="4"/>
      <c r="P2175" s="14"/>
      <c r="Q2175" s="14"/>
    </row>
    <row r="2176" spans="1:17" x14ac:dyDescent="0.25">
      <c r="A2176" s="5"/>
      <c r="B2176" s="6"/>
      <c r="C2176" s="4"/>
      <c r="D2176" s="4"/>
      <c r="E2176" s="12"/>
      <c r="F2176" s="12"/>
      <c r="G2176" s="16"/>
      <c r="H2176" s="14"/>
      <c r="I2176" s="14"/>
      <c r="J2176" s="14"/>
      <c r="K2176" s="14"/>
      <c r="L2176" s="14"/>
      <c r="M2176" s="14"/>
      <c r="N2176" s="14"/>
      <c r="O2176" s="4"/>
      <c r="P2176" s="14"/>
      <c r="Q2176" s="14"/>
    </row>
    <row r="2177" spans="1:17" x14ac:dyDescent="0.25">
      <c r="A2177" s="5"/>
      <c r="B2177" s="6"/>
      <c r="C2177" s="4"/>
      <c r="D2177" s="4"/>
      <c r="E2177" s="12"/>
      <c r="F2177" s="12"/>
      <c r="G2177" s="16"/>
      <c r="H2177" s="14"/>
      <c r="I2177" s="14"/>
      <c r="J2177" s="14"/>
      <c r="K2177" s="14"/>
      <c r="L2177" s="14"/>
      <c r="M2177" s="14"/>
      <c r="N2177" s="14"/>
      <c r="O2177" s="4"/>
      <c r="P2177" s="14"/>
      <c r="Q2177" s="14"/>
    </row>
    <row r="2178" spans="1:17" x14ac:dyDescent="0.25">
      <c r="A2178" s="5"/>
      <c r="B2178" s="6"/>
      <c r="C2178" s="4"/>
      <c r="D2178" s="4"/>
      <c r="E2178" s="12"/>
      <c r="F2178" s="12"/>
      <c r="G2178" s="16"/>
      <c r="H2178" s="14"/>
      <c r="I2178" s="14"/>
      <c r="J2178" s="14"/>
      <c r="K2178" s="14"/>
      <c r="L2178" s="14"/>
      <c r="M2178" s="14"/>
      <c r="N2178" s="14"/>
      <c r="O2178" s="4"/>
      <c r="P2178" s="14"/>
      <c r="Q2178" s="14"/>
    </row>
    <row r="2179" spans="1:17" x14ac:dyDescent="0.25">
      <c r="A2179" s="5"/>
      <c r="B2179" s="6"/>
      <c r="C2179" s="4"/>
      <c r="D2179" s="4"/>
      <c r="E2179" s="12"/>
      <c r="F2179" s="12"/>
      <c r="G2179" s="16"/>
      <c r="H2179" s="14"/>
      <c r="I2179" s="14"/>
      <c r="J2179" s="14"/>
      <c r="K2179" s="14"/>
      <c r="L2179" s="14"/>
      <c r="M2179" s="14"/>
      <c r="N2179" s="14"/>
      <c r="O2179" s="4"/>
      <c r="P2179" s="14"/>
      <c r="Q2179" s="14"/>
    </row>
    <row r="2180" spans="1:17" x14ac:dyDescent="0.25">
      <c r="A2180" s="5"/>
      <c r="B2180" s="6"/>
      <c r="C2180" s="4"/>
      <c r="D2180" s="4"/>
      <c r="E2180" s="12"/>
      <c r="F2180" s="12"/>
      <c r="G2180" s="16"/>
      <c r="H2180" s="14"/>
      <c r="I2180" s="14"/>
      <c r="J2180" s="14"/>
      <c r="K2180" s="14"/>
      <c r="L2180" s="14"/>
      <c r="M2180" s="14"/>
      <c r="N2180" s="14"/>
      <c r="O2180" s="4"/>
      <c r="P2180" s="14"/>
      <c r="Q2180" s="14"/>
    </row>
    <row r="2181" spans="1:17" x14ac:dyDescent="0.25">
      <c r="A2181" s="5"/>
      <c r="B2181" s="6"/>
      <c r="C2181" s="4"/>
      <c r="D2181" s="4"/>
      <c r="E2181" s="12"/>
      <c r="F2181" s="12"/>
      <c r="G2181" s="16"/>
      <c r="H2181" s="14"/>
      <c r="I2181" s="14"/>
      <c r="J2181" s="14"/>
      <c r="K2181" s="14"/>
      <c r="L2181" s="14"/>
      <c r="M2181" s="14"/>
      <c r="N2181" s="14"/>
      <c r="O2181" s="4"/>
      <c r="P2181" s="14"/>
      <c r="Q2181" s="14"/>
    </row>
    <row r="2182" spans="1:17" x14ac:dyDescent="0.25">
      <c r="A2182" s="5"/>
      <c r="B2182" s="6"/>
      <c r="C2182" s="4"/>
      <c r="D2182" s="4"/>
      <c r="E2182" s="12"/>
      <c r="F2182" s="12"/>
      <c r="G2182" s="16"/>
      <c r="H2182" s="14"/>
      <c r="I2182" s="14"/>
      <c r="J2182" s="14"/>
      <c r="K2182" s="14"/>
      <c r="L2182" s="14"/>
      <c r="M2182" s="14"/>
      <c r="N2182" s="14"/>
      <c r="O2182" s="4"/>
      <c r="P2182" s="14"/>
      <c r="Q2182" s="14"/>
    </row>
    <row r="2183" spans="1:17" x14ac:dyDescent="0.25">
      <c r="A2183" s="5"/>
      <c r="B2183" s="6"/>
      <c r="C2183" s="4"/>
      <c r="D2183" s="4"/>
      <c r="E2183" s="12"/>
      <c r="F2183" s="12"/>
      <c r="G2183" s="16"/>
      <c r="H2183" s="14"/>
      <c r="I2183" s="14"/>
      <c r="J2183" s="14"/>
      <c r="K2183" s="14"/>
      <c r="L2183" s="14"/>
      <c r="M2183" s="14"/>
      <c r="N2183" s="14"/>
      <c r="O2183" s="4"/>
      <c r="P2183" s="14"/>
      <c r="Q2183" s="14"/>
    </row>
    <row r="2184" spans="1:17" x14ac:dyDescent="0.25">
      <c r="A2184" s="5"/>
      <c r="B2184" s="6"/>
      <c r="C2184" s="4"/>
      <c r="D2184" s="4"/>
      <c r="E2184" s="12"/>
      <c r="F2184" s="12"/>
      <c r="G2184" s="16"/>
      <c r="H2184" s="14"/>
      <c r="I2184" s="14"/>
      <c r="J2184" s="14"/>
      <c r="K2184" s="14"/>
      <c r="L2184" s="14"/>
      <c r="M2184" s="14"/>
      <c r="N2184" s="14"/>
      <c r="O2184" s="4"/>
      <c r="P2184" s="14"/>
      <c r="Q2184" s="14"/>
    </row>
    <row r="2185" spans="1:17" x14ac:dyDescent="0.25">
      <c r="A2185" s="5"/>
      <c r="B2185" s="6"/>
      <c r="C2185" s="4"/>
      <c r="D2185" s="4"/>
      <c r="E2185" s="12"/>
      <c r="F2185" s="12"/>
      <c r="G2185" s="16"/>
      <c r="H2185" s="14"/>
      <c r="I2185" s="14"/>
      <c r="J2185" s="14"/>
      <c r="K2185" s="14"/>
      <c r="L2185" s="14"/>
      <c r="M2185" s="14"/>
      <c r="N2185" s="14"/>
      <c r="O2185" s="4"/>
      <c r="P2185" s="14"/>
      <c r="Q2185" s="14"/>
    </row>
    <row r="2186" spans="1:17" x14ac:dyDescent="0.25">
      <c r="A2186" s="5"/>
      <c r="B2186" s="6"/>
      <c r="C2186" s="4"/>
      <c r="D2186" s="4"/>
      <c r="E2186" s="12"/>
      <c r="F2186" s="12"/>
      <c r="G2186" s="16"/>
      <c r="H2186" s="14"/>
      <c r="I2186" s="14"/>
      <c r="J2186" s="14"/>
      <c r="K2186" s="14"/>
      <c r="L2186" s="14"/>
      <c r="M2186" s="14"/>
      <c r="N2186" s="14"/>
      <c r="O2186" s="4"/>
      <c r="P2186" s="14"/>
      <c r="Q2186" s="14"/>
    </row>
    <row r="2187" spans="1:17" x14ac:dyDescent="0.25">
      <c r="A2187" s="5"/>
      <c r="B2187" s="6"/>
      <c r="C2187" s="4"/>
      <c r="D2187" s="4"/>
      <c r="E2187" s="12"/>
      <c r="F2187" s="12"/>
      <c r="G2187" s="16"/>
      <c r="H2187" s="14"/>
      <c r="I2187" s="14"/>
      <c r="J2187" s="14"/>
      <c r="K2187" s="14"/>
      <c r="L2187" s="14"/>
      <c r="M2187" s="14"/>
      <c r="N2187" s="14"/>
      <c r="O2187" s="4"/>
      <c r="P2187" s="14"/>
      <c r="Q2187" s="14"/>
    </row>
    <row r="2188" spans="1:17" x14ac:dyDescent="0.25">
      <c r="A2188" s="5"/>
      <c r="B2188" s="6"/>
      <c r="C2188" s="4"/>
      <c r="D2188" s="4"/>
      <c r="E2188" s="12"/>
      <c r="F2188" s="12"/>
      <c r="G2188" s="16"/>
      <c r="H2188" s="14"/>
      <c r="I2188" s="14"/>
      <c r="J2188" s="14"/>
      <c r="K2188" s="14"/>
      <c r="L2188" s="14"/>
      <c r="M2188" s="14"/>
      <c r="N2188" s="14"/>
      <c r="O2188" s="4"/>
      <c r="P2188" s="14"/>
      <c r="Q2188" s="14"/>
    </row>
    <row r="2189" spans="1:17" x14ac:dyDescent="0.25">
      <c r="A2189" s="5"/>
      <c r="B2189" s="6"/>
      <c r="C2189" s="4"/>
      <c r="D2189" s="4"/>
      <c r="E2189" s="12"/>
      <c r="F2189" s="12"/>
      <c r="G2189" s="16"/>
      <c r="H2189" s="14"/>
      <c r="I2189" s="14"/>
      <c r="J2189" s="14"/>
      <c r="K2189" s="14"/>
      <c r="L2189" s="14"/>
      <c r="M2189" s="14"/>
      <c r="N2189" s="14"/>
      <c r="O2189" s="4"/>
      <c r="P2189" s="14"/>
      <c r="Q2189" s="14"/>
    </row>
    <row r="2190" spans="1:17" x14ac:dyDescent="0.25">
      <c r="A2190" s="5"/>
      <c r="B2190" s="6"/>
      <c r="C2190" s="4"/>
      <c r="D2190" s="4"/>
      <c r="E2190" s="12"/>
      <c r="F2190" s="12"/>
      <c r="G2190" s="16"/>
      <c r="H2190" s="14"/>
      <c r="I2190" s="14"/>
      <c r="J2190" s="14"/>
      <c r="K2190" s="14"/>
      <c r="L2190" s="14"/>
      <c r="M2190" s="14"/>
      <c r="N2190" s="14"/>
      <c r="O2190" s="4"/>
      <c r="P2190" s="14"/>
      <c r="Q2190" s="14"/>
    </row>
    <row r="2191" spans="1:17" x14ac:dyDescent="0.25">
      <c r="A2191" s="5"/>
      <c r="B2191" s="6"/>
      <c r="C2191" s="4"/>
      <c r="D2191" s="4"/>
      <c r="E2191" s="12"/>
      <c r="F2191" s="12"/>
      <c r="G2191" s="16"/>
      <c r="H2191" s="14"/>
      <c r="I2191" s="14"/>
      <c r="J2191" s="14"/>
      <c r="K2191" s="14"/>
      <c r="L2191" s="14"/>
      <c r="M2191" s="14"/>
      <c r="N2191" s="14"/>
      <c r="O2191" s="4"/>
      <c r="P2191" s="14"/>
      <c r="Q2191" s="14"/>
    </row>
    <row r="2192" spans="1:17" x14ac:dyDescent="0.25">
      <c r="A2192" s="5"/>
      <c r="B2192" s="6"/>
      <c r="C2192" s="4"/>
      <c r="D2192" s="4"/>
      <c r="E2192" s="12"/>
      <c r="F2192" s="12"/>
      <c r="G2192" s="16"/>
      <c r="H2192" s="14"/>
      <c r="I2192" s="14"/>
      <c r="J2192" s="14"/>
      <c r="K2192" s="14"/>
      <c r="L2192" s="14"/>
      <c r="M2192" s="14"/>
      <c r="N2192" s="14"/>
      <c r="O2192" s="4"/>
      <c r="P2192" s="14"/>
      <c r="Q2192" s="14"/>
    </row>
    <row r="2193" spans="1:17" x14ac:dyDescent="0.25">
      <c r="A2193" s="5"/>
      <c r="B2193" s="6"/>
      <c r="C2193" s="4"/>
      <c r="D2193" s="4"/>
      <c r="E2193" s="12"/>
      <c r="F2193" s="12"/>
      <c r="G2193" s="16"/>
      <c r="H2193" s="14"/>
      <c r="I2193" s="14"/>
      <c r="J2193" s="14"/>
      <c r="K2193" s="14"/>
      <c r="L2193" s="14"/>
      <c r="M2193" s="14"/>
      <c r="N2193" s="14"/>
      <c r="O2193" s="4"/>
      <c r="P2193" s="14"/>
      <c r="Q2193" s="14"/>
    </row>
    <row r="2194" spans="1:17" x14ac:dyDescent="0.25">
      <c r="A2194" s="5"/>
      <c r="B2194" s="6"/>
      <c r="C2194" s="4"/>
      <c r="D2194" s="4"/>
      <c r="E2194" s="12"/>
      <c r="F2194" s="12"/>
      <c r="G2194" s="16"/>
      <c r="H2194" s="14"/>
      <c r="I2194" s="14"/>
      <c r="J2194" s="14"/>
      <c r="K2194" s="14"/>
      <c r="L2194" s="14"/>
      <c r="M2194" s="14"/>
      <c r="N2194" s="14"/>
      <c r="O2194" s="4"/>
      <c r="P2194" s="14"/>
      <c r="Q2194" s="14"/>
    </row>
    <row r="2195" spans="1:17" x14ac:dyDescent="0.25">
      <c r="A2195" s="5"/>
      <c r="B2195" s="6"/>
      <c r="C2195" s="4"/>
      <c r="D2195" s="4"/>
      <c r="E2195" s="12"/>
      <c r="F2195" s="12"/>
      <c r="G2195" s="16"/>
      <c r="H2195" s="14"/>
      <c r="I2195" s="14"/>
      <c r="J2195" s="14"/>
      <c r="K2195" s="14"/>
      <c r="L2195" s="14"/>
      <c r="M2195" s="14"/>
      <c r="N2195" s="14"/>
      <c r="O2195" s="4"/>
      <c r="P2195" s="14"/>
      <c r="Q2195" s="14"/>
    </row>
    <row r="2196" spans="1:17" x14ac:dyDescent="0.25">
      <c r="A2196" s="5"/>
      <c r="B2196" s="6"/>
      <c r="C2196" s="4"/>
      <c r="D2196" s="4"/>
      <c r="E2196" s="12"/>
      <c r="F2196" s="12"/>
      <c r="G2196" s="16"/>
      <c r="H2196" s="14"/>
      <c r="I2196" s="14"/>
      <c r="J2196" s="14"/>
      <c r="K2196" s="14"/>
      <c r="L2196" s="14"/>
      <c r="M2196" s="14"/>
      <c r="N2196" s="14"/>
      <c r="O2196" s="4"/>
      <c r="P2196" s="14"/>
      <c r="Q2196" s="14"/>
    </row>
    <row r="2197" spans="1:17" x14ac:dyDescent="0.25">
      <c r="A2197" s="5"/>
      <c r="B2197" s="6"/>
      <c r="C2197" s="4"/>
      <c r="D2197" s="4"/>
      <c r="E2197" s="12"/>
      <c r="F2197" s="12"/>
      <c r="G2197" s="16"/>
      <c r="H2197" s="14"/>
      <c r="I2197" s="14"/>
      <c r="J2197" s="14"/>
      <c r="K2197" s="14"/>
      <c r="L2197" s="14"/>
      <c r="M2197" s="14"/>
      <c r="N2197" s="14"/>
      <c r="O2197" s="4"/>
      <c r="P2197" s="14"/>
      <c r="Q2197" s="14"/>
    </row>
    <row r="2198" spans="1:17" x14ac:dyDescent="0.25">
      <c r="A2198" s="5"/>
      <c r="B2198" s="6"/>
      <c r="C2198" s="4"/>
      <c r="D2198" s="4"/>
      <c r="E2198" s="12"/>
      <c r="F2198" s="12"/>
      <c r="G2198" s="16"/>
      <c r="H2198" s="14"/>
      <c r="I2198" s="14"/>
      <c r="J2198" s="14"/>
      <c r="K2198" s="14"/>
      <c r="L2198" s="14"/>
      <c r="M2198" s="14"/>
      <c r="N2198" s="14"/>
      <c r="O2198" s="4"/>
      <c r="P2198" s="14"/>
      <c r="Q2198" s="14"/>
    </row>
    <row r="2199" spans="1:17" x14ac:dyDescent="0.25">
      <c r="A2199" s="5"/>
      <c r="B2199" s="6"/>
      <c r="C2199" s="4"/>
      <c r="D2199" s="4"/>
      <c r="E2199" s="12"/>
      <c r="F2199" s="12"/>
      <c r="G2199" s="16"/>
      <c r="H2199" s="14"/>
      <c r="I2199" s="14"/>
      <c r="J2199" s="14"/>
      <c r="K2199" s="14"/>
      <c r="L2199" s="14"/>
      <c r="M2199" s="14"/>
      <c r="N2199" s="14"/>
      <c r="O2199" s="4"/>
      <c r="P2199" s="14"/>
      <c r="Q2199" s="14"/>
    </row>
    <row r="2200" spans="1:17" x14ac:dyDescent="0.25">
      <c r="A2200" s="5"/>
      <c r="B2200" s="6"/>
      <c r="C2200" s="4"/>
      <c r="D2200" s="4"/>
      <c r="E2200" s="12"/>
      <c r="F2200" s="12"/>
      <c r="G2200" s="16"/>
      <c r="H2200" s="14"/>
      <c r="I2200" s="14"/>
      <c r="J2200" s="14"/>
      <c r="K2200" s="14"/>
      <c r="L2200" s="14"/>
      <c r="M2200" s="14"/>
      <c r="N2200" s="14"/>
      <c r="O2200" s="4"/>
      <c r="P2200" s="14"/>
      <c r="Q2200" s="14"/>
    </row>
    <row r="2201" spans="1:17" x14ac:dyDescent="0.25">
      <c r="A2201" s="5"/>
      <c r="B2201" s="6"/>
      <c r="C2201" s="4"/>
      <c r="D2201" s="4"/>
      <c r="E2201" s="12"/>
      <c r="F2201" s="12"/>
      <c r="G2201" s="16"/>
      <c r="H2201" s="14"/>
      <c r="I2201" s="14"/>
      <c r="J2201" s="14"/>
      <c r="K2201" s="14"/>
      <c r="L2201" s="14"/>
      <c r="M2201" s="14"/>
      <c r="N2201" s="14"/>
      <c r="O2201" s="4"/>
      <c r="P2201" s="14"/>
      <c r="Q2201" s="14"/>
    </row>
    <row r="2202" spans="1:17" x14ac:dyDescent="0.25">
      <c r="A2202" s="5"/>
      <c r="B2202" s="6"/>
      <c r="C2202" s="4"/>
      <c r="D2202" s="4"/>
      <c r="E2202" s="12"/>
      <c r="F2202" s="12"/>
      <c r="G2202" s="16"/>
      <c r="H2202" s="14"/>
      <c r="I2202" s="14"/>
      <c r="J2202" s="14"/>
      <c r="K2202" s="14"/>
      <c r="L2202" s="14"/>
      <c r="M2202" s="14"/>
      <c r="N2202" s="14"/>
      <c r="O2202" s="4"/>
      <c r="P2202" s="14"/>
      <c r="Q2202" s="14"/>
    </row>
    <row r="2203" spans="1:17" x14ac:dyDescent="0.25">
      <c r="A2203" s="5"/>
      <c r="B2203" s="6"/>
      <c r="C2203" s="4"/>
      <c r="D2203" s="4"/>
      <c r="E2203" s="12"/>
      <c r="F2203" s="12"/>
      <c r="G2203" s="16"/>
      <c r="H2203" s="14"/>
      <c r="I2203" s="14"/>
      <c r="J2203" s="14"/>
      <c r="K2203" s="14"/>
      <c r="L2203" s="14"/>
      <c r="M2203" s="14"/>
      <c r="N2203" s="14"/>
      <c r="O2203" s="4"/>
      <c r="P2203" s="14"/>
      <c r="Q2203" s="14"/>
    </row>
    <row r="2204" spans="1:17" x14ac:dyDescent="0.25">
      <c r="A2204" s="5"/>
      <c r="B2204" s="6"/>
      <c r="C2204" s="4"/>
      <c r="D2204" s="4"/>
      <c r="E2204" s="12"/>
      <c r="F2204" s="12"/>
      <c r="G2204" s="16"/>
      <c r="H2204" s="14"/>
      <c r="I2204" s="14"/>
      <c r="J2204" s="14"/>
      <c r="K2204" s="14"/>
      <c r="L2204" s="14"/>
      <c r="M2204" s="14"/>
      <c r="N2204" s="14"/>
      <c r="O2204" s="4"/>
      <c r="P2204" s="14"/>
      <c r="Q2204" s="14"/>
    </row>
    <row r="2205" spans="1:17" x14ac:dyDescent="0.25">
      <c r="A2205" s="5"/>
      <c r="B2205" s="6"/>
      <c r="C2205" s="4"/>
      <c r="D2205" s="4"/>
      <c r="E2205" s="12"/>
      <c r="F2205" s="12"/>
      <c r="G2205" s="16"/>
      <c r="H2205" s="14"/>
      <c r="I2205" s="14"/>
      <c r="J2205" s="14"/>
      <c r="K2205" s="14"/>
      <c r="L2205" s="14"/>
      <c r="M2205" s="14"/>
      <c r="N2205" s="14"/>
      <c r="O2205" s="4"/>
      <c r="P2205" s="14"/>
      <c r="Q2205" s="14"/>
    </row>
    <row r="2206" spans="1:17" x14ac:dyDescent="0.25">
      <c r="A2206" s="5"/>
      <c r="B2206" s="6"/>
      <c r="C2206" s="4"/>
      <c r="D2206" s="4"/>
      <c r="E2206" s="12"/>
      <c r="F2206" s="12"/>
      <c r="G2206" s="16"/>
      <c r="H2206" s="14"/>
      <c r="I2206" s="14"/>
      <c r="J2206" s="14"/>
      <c r="K2206" s="14"/>
      <c r="L2206" s="14"/>
      <c r="M2206" s="14"/>
      <c r="N2206" s="14"/>
      <c r="O2206" s="4"/>
      <c r="P2206" s="14"/>
      <c r="Q2206" s="14"/>
    </row>
    <row r="2207" spans="1:17" x14ac:dyDescent="0.25">
      <c r="A2207" s="5"/>
      <c r="B2207" s="6"/>
      <c r="C2207" s="4"/>
      <c r="D2207" s="4"/>
      <c r="E2207" s="12"/>
      <c r="F2207" s="12"/>
      <c r="G2207" s="16"/>
      <c r="H2207" s="14"/>
      <c r="I2207" s="14"/>
      <c r="J2207" s="14"/>
      <c r="K2207" s="14"/>
      <c r="L2207" s="14"/>
      <c r="M2207" s="14"/>
      <c r="N2207" s="14"/>
      <c r="O2207" s="4"/>
      <c r="P2207" s="14"/>
      <c r="Q2207" s="14"/>
    </row>
    <row r="2208" spans="1:17" x14ac:dyDescent="0.25">
      <c r="A2208" s="5"/>
      <c r="B2208" s="6"/>
      <c r="C2208" s="4"/>
      <c r="D2208" s="4"/>
      <c r="E2208" s="12"/>
      <c r="F2208" s="12"/>
      <c r="G2208" s="16"/>
      <c r="H2208" s="14"/>
      <c r="I2208" s="14"/>
      <c r="J2208" s="14"/>
      <c r="K2208" s="14"/>
      <c r="L2208" s="14"/>
      <c r="M2208" s="14"/>
      <c r="N2208" s="14"/>
      <c r="O2208" s="4"/>
      <c r="P2208" s="14"/>
      <c r="Q2208" s="14"/>
    </row>
    <row r="2209" spans="1:17" x14ac:dyDescent="0.25">
      <c r="A2209" s="5"/>
      <c r="B2209" s="6"/>
      <c r="C2209" s="4"/>
      <c r="D2209" s="4"/>
      <c r="E2209" s="12"/>
      <c r="F2209" s="12"/>
      <c r="G2209" s="16"/>
      <c r="H2209" s="14"/>
      <c r="I2209" s="14"/>
      <c r="J2209" s="14"/>
      <c r="K2209" s="14"/>
      <c r="L2209" s="14"/>
      <c r="M2209" s="14"/>
      <c r="N2209" s="14"/>
      <c r="O2209" s="4"/>
      <c r="P2209" s="14"/>
      <c r="Q2209" s="14"/>
    </row>
    <row r="2210" spans="1:17" x14ac:dyDescent="0.25">
      <c r="A2210" s="5"/>
      <c r="B2210" s="6"/>
      <c r="C2210" s="4"/>
      <c r="D2210" s="4"/>
      <c r="E2210" s="12"/>
      <c r="F2210" s="12"/>
      <c r="G2210" s="16"/>
      <c r="H2210" s="14"/>
      <c r="I2210" s="14"/>
      <c r="J2210" s="14"/>
      <c r="K2210" s="14"/>
      <c r="L2210" s="14"/>
      <c r="M2210" s="14"/>
      <c r="N2210" s="14"/>
      <c r="O2210" s="4"/>
      <c r="P2210" s="14"/>
      <c r="Q2210" s="14"/>
    </row>
    <row r="2211" spans="1:17" x14ac:dyDescent="0.25">
      <c r="A2211" s="5"/>
      <c r="B2211" s="6"/>
      <c r="C2211" s="4"/>
      <c r="D2211" s="4"/>
      <c r="E2211" s="12"/>
      <c r="F2211" s="12"/>
      <c r="G2211" s="16"/>
      <c r="H2211" s="14"/>
      <c r="I2211" s="14"/>
      <c r="J2211" s="14"/>
      <c r="K2211" s="14"/>
      <c r="L2211" s="14"/>
      <c r="M2211" s="14"/>
      <c r="N2211" s="14"/>
      <c r="O2211" s="4"/>
      <c r="P2211" s="14"/>
      <c r="Q2211" s="14"/>
    </row>
    <row r="2212" spans="1:17" x14ac:dyDescent="0.25">
      <c r="A2212" s="5"/>
      <c r="B2212" s="6"/>
      <c r="C2212" s="4"/>
      <c r="D2212" s="4"/>
      <c r="E2212" s="12"/>
      <c r="F2212" s="12"/>
      <c r="G2212" s="16"/>
      <c r="H2212" s="14"/>
      <c r="I2212" s="14"/>
      <c r="J2212" s="14"/>
      <c r="K2212" s="14"/>
      <c r="L2212" s="14"/>
      <c r="M2212" s="14"/>
      <c r="N2212" s="14"/>
      <c r="O2212" s="4"/>
      <c r="P2212" s="14"/>
      <c r="Q2212" s="14"/>
    </row>
    <row r="2213" spans="1:17" x14ac:dyDescent="0.25">
      <c r="A2213" s="5"/>
      <c r="B2213" s="6"/>
      <c r="C2213" s="4"/>
      <c r="D2213" s="4"/>
      <c r="E2213" s="12"/>
      <c r="F2213" s="12"/>
      <c r="G2213" s="16"/>
      <c r="H2213" s="14"/>
      <c r="I2213" s="14"/>
      <c r="J2213" s="14"/>
      <c r="K2213" s="14"/>
      <c r="L2213" s="14"/>
      <c r="M2213" s="14"/>
      <c r="N2213" s="14"/>
      <c r="O2213" s="4"/>
      <c r="P2213" s="14"/>
      <c r="Q2213" s="14"/>
    </row>
    <row r="2214" spans="1:17" x14ac:dyDescent="0.25">
      <c r="A2214" s="5"/>
      <c r="B2214" s="6"/>
      <c r="C2214" s="4"/>
      <c r="D2214" s="4"/>
      <c r="E2214" s="12"/>
      <c r="F2214" s="12"/>
      <c r="G2214" s="16"/>
      <c r="H2214" s="14"/>
      <c r="I2214" s="14"/>
      <c r="J2214" s="14"/>
      <c r="K2214" s="14"/>
      <c r="L2214" s="14"/>
      <c r="M2214" s="14"/>
      <c r="N2214" s="14"/>
      <c r="O2214" s="4"/>
      <c r="P2214" s="14"/>
      <c r="Q2214" s="14"/>
    </row>
    <row r="2215" spans="1:17" x14ac:dyDescent="0.25">
      <c r="A2215" s="5"/>
      <c r="B2215" s="6"/>
      <c r="C2215" s="4"/>
      <c r="D2215" s="4"/>
      <c r="E2215" s="12"/>
      <c r="F2215" s="12"/>
      <c r="G2215" s="16"/>
      <c r="H2215" s="14"/>
      <c r="I2215" s="14"/>
      <c r="J2215" s="14"/>
      <c r="K2215" s="14"/>
      <c r="L2215" s="14"/>
      <c r="M2215" s="14"/>
      <c r="N2215" s="14"/>
      <c r="O2215" s="4"/>
      <c r="P2215" s="14"/>
      <c r="Q2215" s="14"/>
    </row>
    <row r="2216" spans="1:17" x14ac:dyDescent="0.25">
      <c r="A2216" s="5"/>
      <c r="B2216" s="6"/>
      <c r="C2216" s="4"/>
      <c r="D2216" s="4"/>
      <c r="E2216" s="12"/>
      <c r="F2216" s="12"/>
      <c r="G2216" s="16"/>
      <c r="H2216" s="14"/>
      <c r="I2216" s="14"/>
      <c r="J2216" s="14"/>
      <c r="K2216" s="14"/>
      <c r="L2216" s="14"/>
      <c r="M2216" s="14"/>
      <c r="N2216" s="14"/>
      <c r="O2216" s="4"/>
      <c r="P2216" s="14"/>
      <c r="Q2216" s="14"/>
    </row>
    <row r="2217" spans="1:17" x14ac:dyDescent="0.25">
      <c r="A2217" s="5"/>
      <c r="B2217" s="6"/>
      <c r="C2217" s="4"/>
      <c r="D2217" s="4"/>
      <c r="E2217" s="12"/>
      <c r="F2217" s="12"/>
      <c r="G2217" s="16"/>
      <c r="H2217" s="14"/>
      <c r="I2217" s="14"/>
      <c r="J2217" s="14"/>
      <c r="K2217" s="14"/>
      <c r="L2217" s="14"/>
      <c r="M2217" s="14"/>
      <c r="N2217" s="14"/>
      <c r="O2217" s="4"/>
      <c r="P2217" s="14"/>
      <c r="Q2217" s="14"/>
    </row>
    <row r="2218" spans="1:17" x14ac:dyDescent="0.25">
      <c r="A2218" s="5"/>
      <c r="B2218" s="6"/>
      <c r="C2218" s="4"/>
      <c r="D2218" s="4"/>
      <c r="E2218" s="12"/>
      <c r="F2218" s="12"/>
      <c r="G2218" s="16"/>
      <c r="H2218" s="14"/>
      <c r="I2218" s="14"/>
      <c r="J2218" s="14"/>
      <c r="K2218" s="14"/>
      <c r="L2218" s="14"/>
      <c r="M2218" s="14"/>
      <c r="N2218" s="14"/>
      <c r="O2218" s="4"/>
      <c r="P2218" s="14"/>
      <c r="Q2218" s="14"/>
    </row>
    <row r="2219" spans="1:17" x14ac:dyDescent="0.25">
      <c r="A2219" s="5"/>
      <c r="B2219" s="6"/>
      <c r="C2219" s="4"/>
      <c r="D2219" s="4"/>
      <c r="E2219" s="12"/>
      <c r="F2219" s="12"/>
      <c r="G2219" s="16"/>
      <c r="H2219" s="14"/>
      <c r="I2219" s="14"/>
      <c r="J2219" s="14"/>
      <c r="K2219" s="14"/>
      <c r="L2219" s="14"/>
      <c r="M2219" s="14"/>
      <c r="N2219" s="14"/>
      <c r="O2219" s="4"/>
      <c r="P2219" s="14"/>
      <c r="Q2219" s="14"/>
    </row>
    <row r="2220" spans="1:17" x14ac:dyDescent="0.25">
      <c r="A2220" s="5"/>
      <c r="B2220" s="6"/>
      <c r="C2220" s="4"/>
      <c r="D2220" s="4"/>
      <c r="E2220" s="12"/>
      <c r="F2220" s="12"/>
      <c r="G2220" s="16"/>
      <c r="H2220" s="14"/>
      <c r="I2220" s="14"/>
      <c r="J2220" s="14"/>
      <c r="K2220" s="14"/>
      <c r="L2220" s="14"/>
      <c r="M2220" s="14"/>
      <c r="N2220" s="14"/>
      <c r="O2220" s="4"/>
      <c r="P2220" s="14"/>
      <c r="Q2220" s="14"/>
    </row>
    <row r="2221" spans="1:17" x14ac:dyDescent="0.25">
      <c r="A2221" s="5"/>
      <c r="B2221" s="6"/>
      <c r="C2221" s="4"/>
      <c r="D2221" s="4"/>
      <c r="E2221" s="12"/>
      <c r="F2221" s="12"/>
      <c r="G2221" s="16"/>
      <c r="H2221" s="14"/>
      <c r="I2221" s="14"/>
      <c r="J2221" s="14"/>
      <c r="K2221" s="14"/>
      <c r="L2221" s="14"/>
      <c r="M2221" s="14"/>
      <c r="N2221" s="14"/>
      <c r="O2221" s="4"/>
      <c r="P2221" s="14"/>
      <c r="Q2221" s="14"/>
    </row>
    <row r="2222" spans="1:17" x14ac:dyDescent="0.25">
      <c r="A2222" s="5"/>
      <c r="B2222" s="6"/>
      <c r="C2222" s="4"/>
      <c r="D2222" s="4"/>
      <c r="E2222" s="12"/>
      <c r="F2222" s="12"/>
      <c r="G2222" s="16"/>
      <c r="H2222" s="14"/>
      <c r="I2222" s="14"/>
      <c r="J2222" s="14"/>
      <c r="K2222" s="14"/>
      <c r="L2222" s="14"/>
      <c r="M2222" s="14"/>
      <c r="N2222" s="14"/>
      <c r="O2222" s="4"/>
      <c r="P2222" s="14"/>
      <c r="Q2222" s="14"/>
    </row>
    <row r="2223" spans="1:17" x14ac:dyDescent="0.25">
      <c r="A2223" s="5"/>
      <c r="B2223" s="6"/>
      <c r="C2223" s="4"/>
      <c r="D2223" s="4"/>
      <c r="E2223" s="12"/>
      <c r="F2223" s="12"/>
      <c r="G2223" s="16"/>
      <c r="H2223" s="14"/>
      <c r="I2223" s="14"/>
      <c r="J2223" s="14"/>
      <c r="K2223" s="14"/>
      <c r="L2223" s="14"/>
      <c r="M2223" s="14"/>
      <c r="N2223" s="14"/>
      <c r="O2223" s="4"/>
      <c r="P2223" s="14"/>
      <c r="Q2223" s="14"/>
    </row>
    <row r="2224" spans="1:17" x14ac:dyDescent="0.25">
      <c r="A2224" s="5"/>
      <c r="B2224" s="6"/>
      <c r="C2224" s="4"/>
      <c r="D2224" s="4"/>
      <c r="E2224" s="12"/>
      <c r="F2224" s="12"/>
      <c r="G2224" s="16"/>
      <c r="H2224" s="14"/>
      <c r="I2224" s="14"/>
      <c r="J2224" s="14"/>
      <c r="K2224" s="14"/>
      <c r="L2224" s="14"/>
      <c r="M2224" s="14"/>
      <c r="N2224" s="14"/>
      <c r="O2224" s="4"/>
      <c r="P2224" s="14"/>
      <c r="Q2224" s="14"/>
    </row>
    <row r="2225" spans="1:17" x14ac:dyDescent="0.25">
      <c r="A2225" s="5"/>
      <c r="B2225" s="6"/>
      <c r="C2225" s="4"/>
      <c r="D2225" s="4"/>
      <c r="E2225" s="12"/>
      <c r="F2225" s="12"/>
      <c r="G2225" s="16"/>
      <c r="H2225" s="14"/>
      <c r="I2225" s="14"/>
      <c r="J2225" s="14"/>
      <c r="K2225" s="14"/>
      <c r="L2225" s="14"/>
      <c r="M2225" s="14"/>
      <c r="N2225" s="14"/>
      <c r="O2225" s="4"/>
      <c r="P2225" s="14"/>
      <c r="Q2225" s="14"/>
    </row>
    <row r="2226" spans="1:17" x14ac:dyDescent="0.25">
      <c r="A2226" s="5"/>
      <c r="B2226" s="6"/>
      <c r="C2226" s="4"/>
      <c r="D2226" s="4"/>
      <c r="E2226" s="12"/>
      <c r="F2226" s="12"/>
      <c r="G2226" s="16"/>
      <c r="H2226" s="14"/>
      <c r="I2226" s="14"/>
      <c r="J2226" s="14"/>
      <c r="K2226" s="14"/>
      <c r="L2226" s="14"/>
      <c r="M2226" s="14"/>
      <c r="N2226" s="14"/>
      <c r="O2226" s="4"/>
      <c r="P2226" s="14"/>
      <c r="Q2226" s="14"/>
    </row>
    <row r="2227" spans="1:17" x14ac:dyDescent="0.25">
      <c r="A2227" s="5"/>
      <c r="B2227" s="6"/>
      <c r="C2227" s="4"/>
      <c r="D2227" s="4"/>
      <c r="E2227" s="12"/>
      <c r="F2227" s="12"/>
      <c r="G2227" s="16"/>
      <c r="H2227" s="14"/>
      <c r="I2227" s="14"/>
      <c r="J2227" s="14"/>
      <c r="K2227" s="14"/>
      <c r="L2227" s="14"/>
      <c r="M2227" s="14"/>
      <c r="N2227" s="14"/>
      <c r="O2227" s="4"/>
      <c r="P2227" s="14"/>
      <c r="Q2227" s="14"/>
    </row>
    <row r="2228" spans="1:17" x14ac:dyDescent="0.25">
      <c r="A2228" s="5"/>
      <c r="B2228" s="6"/>
      <c r="C2228" s="4"/>
      <c r="D2228" s="4"/>
      <c r="E2228" s="12"/>
      <c r="F2228" s="12"/>
      <c r="G2228" s="16"/>
      <c r="H2228" s="14"/>
      <c r="I2228" s="14"/>
      <c r="J2228" s="14"/>
      <c r="K2228" s="14"/>
      <c r="L2228" s="14"/>
      <c r="M2228" s="14"/>
      <c r="N2228" s="14"/>
      <c r="O2228" s="4"/>
      <c r="P2228" s="14"/>
      <c r="Q2228" s="14"/>
    </row>
    <row r="2229" spans="1:17" x14ac:dyDescent="0.25">
      <c r="A2229" s="5"/>
      <c r="B2229" s="6"/>
      <c r="C2229" s="4"/>
      <c r="D2229" s="4"/>
      <c r="E2229" s="12"/>
      <c r="F2229" s="12"/>
      <c r="G2229" s="16"/>
      <c r="H2229" s="14"/>
      <c r="I2229" s="14"/>
      <c r="J2229" s="14"/>
      <c r="K2229" s="14"/>
      <c r="L2229" s="14"/>
      <c r="M2229" s="14"/>
      <c r="N2229" s="14"/>
      <c r="O2229" s="4"/>
      <c r="P2229" s="14"/>
      <c r="Q2229" s="14"/>
    </row>
    <row r="2230" spans="1:17" x14ac:dyDescent="0.25">
      <c r="A2230" s="5"/>
      <c r="B2230" s="6"/>
      <c r="C2230" s="4"/>
      <c r="D2230" s="4"/>
      <c r="E2230" s="12"/>
      <c r="F2230" s="12"/>
      <c r="G2230" s="16"/>
      <c r="H2230" s="14"/>
      <c r="I2230" s="14"/>
      <c r="J2230" s="14"/>
      <c r="K2230" s="14"/>
      <c r="L2230" s="14"/>
      <c r="M2230" s="14"/>
      <c r="N2230" s="14"/>
      <c r="O2230" s="4"/>
      <c r="P2230" s="14"/>
      <c r="Q2230" s="14"/>
    </row>
    <row r="2231" spans="1:17" x14ac:dyDescent="0.25">
      <c r="A2231" s="5"/>
      <c r="B2231" s="6"/>
      <c r="C2231" s="4"/>
      <c r="D2231" s="4"/>
      <c r="E2231" s="12"/>
      <c r="F2231" s="12"/>
      <c r="G2231" s="16"/>
      <c r="H2231" s="14"/>
      <c r="I2231" s="14"/>
      <c r="J2231" s="14"/>
      <c r="K2231" s="14"/>
      <c r="L2231" s="14"/>
      <c r="M2231" s="14"/>
      <c r="N2231" s="14"/>
      <c r="O2231" s="4"/>
      <c r="P2231" s="14"/>
      <c r="Q2231" s="14"/>
    </row>
    <row r="2232" spans="1:17" x14ac:dyDescent="0.25">
      <c r="A2232" s="5"/>
      <c r="B2232" s="6"/>
      <c r="C2232" s="4"/>
      <c r="D2232" s="4"/>
      <c r="E2232" s="12"/>
      <c r="F2232" s="12"/>
      <c r="G2232" s="16"/>
      <c r="H2232" s="14"/>
      <c r="I2232" s="14"/>
      <c r="J2232" s="14"/>
      <c r="K2232" s="14"/>
      <c r="L2232" s="14"/>
      <c r="M2232" s="14"/>
      <c r="N2232" s="14"/>
      <c r="O2232" s="4"/>
      <c r="P2232" s="14"/>
      <c r="Q2232" s="14"/>
    </row>
    <row r="2233" spans="1:17" x14ac:dyDescent="0.25">
      <c r="A2233" s="5"/>
      <c r="B2233" s="6"/>
      <c r="C2233" s="4"/>
      <c r="D2233" s="4"/>
      <c r="E2233" s="12"/>
      <c r="F2233" s="12"/>
      <c r="G2233" s="16"/>
      <c r="H2233" s="14"/>
      <c r="I2233" s="14"/>
      <c r="J2233" s="14"/>
      <c r="K2233" s="14"/>
      <c r="L2233" s="14"/>
      <c r="M2233" s="14"/>
      <c r="N2233" s="14"/>
      <c r="O2233" s="4"/>
      <c r="P2233" s="14"/>
      <c r="Q2233" s="14"/>
    </row>
    <row r="2234" spans="1:17" x14ac:dyDescent="0.25">
      <c r="A2234" s="5"/>
      <c r="B2234" s="6"/>
      <c r="C2234" s="4"/>
      <c r="D2234" s="4"/>
      <c r="E2234" s="12"/>
      <c r="F2234" s="12"/>
      <c r="G2234" s="16"/>
      <c r="H2234" s="14"/>
      <c r="I2234" s="14"/>
      <c r="J2234" s="14"/>
      <c r="K2234" s="14"/>
      <c r="L2234" s="14"/>
      <c r="M2234" s="14"/>
      <c r="N2234" s="14"/>
      <c r="O2234" s="4"/>
      <c r="P2234" s="14"/>
      <c r="Q2234" s="14"/>
    </row>
    <row r="2235" spans="1:17" x14ac:dyDescent="0.25">
      <c r="A2235" s="5"/>
      <c r="B2235" s="6"/>
      <c r="C2235" s="4"/>
      <c r="D2235" s="4"/>
      <c r="E2235" s="12"/>
      <c r="F2235" s="12"/>
      <c r="G2235" s="16"/>
      <c r="H2235" s="14"/>
      <c r="I2235" s="14"/>
      <c r="J2235" s="14"/>
      <c r="K2235" s="14"/>
      <c r="L2235" s="14"/>
      <c r="M2235" s="14"/>
      <c r="N2235" s="14"/>
      <c r="O2235" s="4"/>
      <c r="P2235" s="14"/>
      <c r="Q2235" s="14"/>
    </row>
    <row r="2236" spans="1:17" x14ac:dyDescent="0.25">
      <c r="A2236" s="5"/>
      <c r="B2236" s="6"/>
      <c r="C2236" s="4"/>
      <c r="D2236" s="4"/>
      <c r="E2236" s="12"/>
      <c r="F2236" s="12"/>
      <c r="G2236" s="16"/>
      <c r="H2236" s="14"/>
      <c r="I2236" s="14"/>
      <c r="J2236" s="14"/>
      <c r="K2236" s="14"/>
      <c r="L2236" s="14"/>
      <c r="M2236" s="14"/>
      <c r="N2236" s="14"/>
      <c r="O2236" s="4"/>
      <c r="P2236" s="14"/>
      <c r="Q2236" s="14"/>
    </row>
    <row r="2237" spans="1:17" x14ac:dyDescent="0.25">
      <c r="A2237" s="5"/>
      <c r="B2237" s="6"/>
      <c r="C2237" s="4"/>
      <c r="D2237" s="4"/>
      <c r="E2237" s="12"/>
      <c r="F2237" s="12"/>
      <c r="G2237" s="16"/>
      <c r="H2237" s="14"/>
      <c r="I2237" s="14"/>
      <c r="J2237" s="14"/>
      <c r="K2237" s="14"/>
      <c r="L2237" s="14"/>
      <c r="M2237" s="14"/>
      <c r="N2237" s="14"/>
      <c r="O2237" s="4"/>
      <c r="P2237" s="14"/>
      <c r="Q2237" s="14"/>
    </row>
    <row r="2238" spans="1:17" x14ac:dyDescent="0.25">
      <c r="A2238" s="5"/>
      <c r="B2238" s="6"/>
      <c r="C2238" s="4"/>
      <c r="D2238" s="4"/>
      <c r="E2238" s="12"/>
      <c r="F2238" s="12"/>
      <c r="G2238" s="16"/>
      <c r="H2238" s="14"/>
      <c r="I2238" s="14"/>
      <c r="J2238" s="14"/>
      <c r="K2238" s="14"/>
      <c r="L2238" s="14"/>
      <c r="M2238" s="14"/>
      <c r="N2238" s="14"/>
      <c r="O2238" s="4"/>
      <c r="P2238" s="14"/>
      <c r="Q2238" s="14"/>
    </row>
    <row r="2239" spans="1:17" x14ac:dyDescent="0.25">
      <c r="A2239" s="5"/>
      <c r="B2239" s="6"/>
      <c r="C2239" s="4"/>
      <c r="D2239" s="4"/>
      <c r="E2239" s="12"/>
      <c r="F2239" s="12"/>
      <c r="G2239" s="16"/>
      <c r="H2239" s="14"/>
      <c r="I2239" s="14"/>
      <c r="J2239" s="14"/>
      <c r="K2239" s="14"/>
      <c r="L2239" s="14"/>
      <c r="M2239" s="14"/>
      <c r="N2239" s="14"/>
      <c r="O2239" s="4"/>
      <c r="P2239" s="14"/>
      <c r="Q2239" s="14"/>
    </row>
    <row r="2240" spans="1:17" x14ac:dyDescent="0.25">
      <c r="A2240" s="5"/>
      <c r="B2240" s="6"/>
      <c r="C2240" s="4"/>
      <c r="D2240" s="4"/>
      <c r="E2240" s="12"/>
      <c r="F2240" s="12"/>
      <c r="G2240" s="16"/>
      <c r="H2240" s="14"/>
      <c r="I2240" s="14"/>
      <c r="J2240" s="14"/>
      <c r="K2240" s="14"/>
      <c r="L2240" s="14"/>
      <c r="M2240" s="14"/>
      <c r="N2240" s="14"/>
      <c r="O2240" s="4"/>
      <c r="P2240" s="14"/>
      <c r="Q2240" s="14"/>
    </row>
    <row r="2241" spans="1:17" x14ac:dyDescent="0.25">
      <c r="A2241" s="5"/>
      <c r="B2241" s="6"/>
      <c r="C2241" s="4"/>
      <c r="D2241" s="4"/>
      <c r="E2241" s="12"/>
      <c r="F2241" s="12"/>
      <c r="G2241" s="16"/>
      <c r="H2241" s="14"/>
      <c r="I2241" s="14"/>
      <c r="J2241" s="14"/>
      <c r="K2241" s="14"/>
      <c r="L2241" s="14"/>
      <c r="M2241" s="14"/>
      <c r="N2241" s="14"/>
      <c r="O2241" s="4"/>
      <c r="P2241" s="14"/>
      <c r="Q2241" s="14"/>
    </row>
    <row r="2242" spans="1:17" x14ac:dyDescent="0.25">
      <c r="A2242" s="5"/>
      <c r="B2242" s="6"/>
      <c r="C2242" s="4"/>
      <c r="D2242" s="4"/>
      <c r="E2242" s="12"/>
      <c r="F2242" s="12"/>
      <c r="G2242" s="16"/>
      <c r="H2242" s="14"/>
      <c r="I2242" s="14"/>
      <c r="J2242" s="14"/>
      <c r="K2242" s="14"/>
      <c r="L2242" s="14"/>
      <c r="M2242" s="14"/>
      <c r="N2242" s="14"/>
      <c r="O2242" s="4"/>
      <c r="P2242" s="14"/>
      <c r="Q2242" s="14"/>
    </row>
    <row r="2243" spans="1:17" x14ac:dyDescent="0.25">
      <c r="A2243" s="5"/>
      <c r="B2243" s="6"/>
      <c r="C2243" s="4"/>
      <c r="D2243" s="4"/>
      <c r="E2243" s="12"/>
      <c r="F2243" s="12"/>
      <c r="G2243" s="16"/>
      <c r="H2243" s="14"/>
      <c r="I2243" s="14"/>
      <c r="J2243" s="14"/>
      <c r="K2243" s="14"/>
      <c r="L2243" s="14"/>
      <c r="M2243" s="14"/>
      <c r="N2243" s="14"/>
      <c r="O2243" s="4"/>
      <c r="P2243" s="14"/>
      <c r="Q2243" s="14"/>
    </row>
    <row r="2244" spans="1:17" x14ac:dyDescent="0.25">
      <c r="A2244" s="5"/>
      <c r="B2244" s="6"/>
      <c r="C2244" s="4"/>
      <c r="D2244" s="4"/>
      <c r="E2244" s="12"/>
      <c r="F2244" s="12"/>
      <c r="G2244" s="16"/>
      <c r="H2244" s="14"/>
      <c r="I2244" s="14"/>
      <c r="J2244" s="14"/>
      <c r="K2244" s="14"/>
      <c r="L2244" s="14"/>
      <c r="M2244" s="14"/>
      <c r="N2244" s="14"/>
      <c r="O2244" s="4"/>
      <c r="P2244" s="14"/>
      <c r="Q2244" s="14"/>
    </row>
    <row r="2245" spans="1:17" x14ac:dyDescent="0.25">
      <c r="A2245" s="5"/>
      <c r="B2245" s="6"/>
      <c r="C2245" s="4"/>
      <c r="D2245" s="4"/>
      <c r="E2245" s="12"/>
      <c r="F2245" s="12"/>
      <c r="G2245" s="16"/>
      <c r="H2245" s="14"/>
      <c r="I2245" s="14"/>
      <c r="J2245" s="14"/>
      <c r="K2245" s="14"/>
      <c r="L2245" s="14"/>
      <c r="M2245" s="14"/>
      <c r="N2245" s="14"/>
      <c r="O2245" s="4"/>
      <c r="P2245" s="14"/>
      <c r="Q2245" s="14"/>
    </row>
    <row r="2246" spans="1:17" x14ac:dyDescent="0.25">
      <c r="A2246" s="5"/>
      <c r="B2246" s="6"/>
      <c r="C2246" s="4"/>
      <c r="D2246" s="4"/>
      <c r="E2246" s="12"/>
      <c r="F2246" s="12"/>
      <c r="G2246" s="16"/>
      <c r="H2246" s="14"/>
      <c r="I2246" s="14"/>
      <c r="J2246" s="14"/>
      <c r="K2246" s="14"/>
      <c r="L2246" s="14"/>
      <c r="M2246" s="14"/>
      <c r="N2246" s="14"/>
      <c r="O2246" s="4"/>
      <c r="P2246" s="14"/>
      <c r="Q2246" s="14"/>
    </row>
    <row r="2247" spans="1:17" x14ac:dyDescent="0.25">
      <c r="A2247" s="5"/>
      <c r="B2247" s="6"/>
      <c r="C2247" s="4"/>
      <c r="D2247" s="4"/>
      <c r="E2247" s="12"/>
      <c r="F2247" s="12"/>
      <c r="G2247" s="16"/>
      <c r="H2247" s="14"/>
      <c r="I2247" s="14"/>
      <c r="J2247" s="14"/>
      <c r="K2247" s="14"/>
      <c r="L2247" s="14"/>
      <c r="M2247" s="14"/>
      <c r="N2247" s="14"/>
      <c r="O2247" s="4"/>
      <c r="P2247" s="14"/>
      <c r="Q2247" s="14"/>
    </row>
    <row r="2248" spans="1:17" x14ac:dyDescent="0.25">
      <c r="A2248" s="5"/>
      <c r="B2248" s="6"/>
      <c r="C2248" s="4"/>
      <c r="D2248" s="4"/>
      <c r="E2248" s="12"/>
      <c r="F2248" s="12"/>
      <c r="G2248" s="16"/>
      <c r="H2248" s="14"/>
      <c r="I2248" s="14"/>
      <c r="J2248" s="14"/>
      <c r="K2248" s="14"/>
      <c r="L2248" s="14"/>
      <c r="M2248" s="14"/>
      <c r="N2248" s="14"/>
      <c r="O2248" s="4"/>
      <c r="P2248" s="14"/>
      <c r="Q2248" s="14"/>
    </row>
    <row r="2249" spans="1:17" x14ac:dyDescent="0.25">
      <c r="A2249" s="5"/>
      <c r="B2249" s="6"/>
      <c r="C2249" s="4"/>
      <c r="D2249" s="4"/>
      <c r="E2249" s="12"/>
      <c r="F2249" s="12"/>
      <c r="G2249" s="16"/>
      <c r="H2249" s="14"/>
      <c r="I2249" s="14"/>
      <c r="J2249" s="14"/>
      <c r="K2249" s="14"/>
      <c r="L2249" s="14"/>
      <c r="M2249" s="14"/>
      <c r="N2249" s="14"/>
      <c r="O2249" s="4"/>
      <c r="P2249" s="14"/>
      <c r="Q2249" s="14"/>
    </row>
    <row r="2250" spans="1:17" x14ac:dyDescent="0.25">
      <c r="A2250" s="5"/>
      <c r="B2250" s="6"/>
      <c r="C2250" s="4"/>
      <c r="D2250" s="4"/>
      <c r="E2250" s="12"/>
      <c r="F2250" s="12"/>
      <c r="G2250" s="16"/>
      <c r="H2250" s="14"/>
      <c r="I2250" s="14"/>
      <c r="J2250" s="14"/>
      <c r="K2250" s="14"/>
      <c r="L2250" s="14"/>
      <c r="M2250" s="14"/>
      <c r="N2250" s="14"/>
      <c r="O2250" s="4"/>
      <c r="P2250" s="14"/>
      <c r="Q2250" s="14"/>
    </row>
    <row r="2251" spans="1:17" x14ac:dyDescent="0.25">
      <c r="A2251" s="5"/>
      <c r="B2251" s="6"/>
      <c r="C2251" s="4"/>
      <c r="D2251" s="4"/>
      <c r="E2251" s="12"/>
      <c r="F2251" s="12"/>
      <c r="G2251" s="16"/>
      <c r="H2251" s="14"/>
      <c r="I2251" s="14"/>
      <c r="J2251" s="14"/>
      <c r="K2251" s="14"/>
      <c r="L2251" s="14"/>
      <c r="M2251" s="14"/>
      <c r="N2251" s="14"/>
      <c r="O2251" s="4"/>
      <c r="P2251" s="14"/>
      <c r="Q2251" s="14"/>
    </row>
    <row r="2252" spans="1:17" x14ac:dyDescent="0.25">
      <c r="A2252" s="5"/>
      <c r="B2252" s="6"/>
      <c r="C2252" s="4"/>
      <c r="D2252" s="4"/>
      <c r="E2252" s="12"/>
      <c r="F2252" s="12"/>
      <c r="G2252" s="16"/>
      <c r="H2252" s="14"/>
      <c r="I2252" s="14"/>
      <c r="J2252" s="14"/>
      <c r="K2252" s="14"/>
      <c r="L2252" s="14"/>
      <c r="M2252" s="14"/>
      <c r="N2252" s="14"/>
      <c r="O2252" s="4"/>
      <c r="P2252" s="14"/>
      <c r="Q2252" s="14"/>
    </row>
    <row r="2253" spans="1:17" x14ac:dyDescent="0.25">
      <c r="A2253" s="5"/>
      <c r="B2253" s="6"/>
      <c r="C2253" s="4"/>
      <c r="D2253" s="4"/>
      <c r="E2253" s="12"/>
      <c r="F2253" s="12"/>
      <c r="G2253" s="16"/>
      <c r="H2253" s="14"/>
      <c r="I2253" s="14"/>
      <c r="J2253" s="14"/>
      <c r="K2253" s="14"/>
      <c r="L2253" s="14"/>
      <c r="M2253" s="14"/>
      <c r="N2253" s="14"/>
      <c r="O2253" s="4"/>
      <c r="P2253" s="14"/>
      <c r="Q2253" s="14"/>
    </row>
    <row r="2254" spans="1:17" x14ac:dyDescent="0.25">
      <c r="A2254" s="5"/>
      <c r="B2254" s="6"/>
      <c r="C2254" s="4"/>
      <c r="D2254" s="4"/>
      <c r="E2254" s="12"/>
      <c r="F2254" s="12"/>
      <c r="G2254" s="16"/>
      <c r="H2254" s="14"/>
      <c r="I2254" s="14"/>
      <c r="J2254" s="14"/>
      <c r="K2254" s="14"/>
      <c r="L2254" s="14"/>
      <c r="M2254" s="14"/>
      <c r="N2254" s="14"/>
      <c r="O2254" s="4"/>
      <c r="P2254" s="14"/>
      <c r="Q2254" s="14"/>
    </row>
    <row r="2255" spans="1:17" x14ac:dyDescent="0.25">
      <c r="A2255" s="5"/>
      <c r="B2255" s="6"/>
      <c r="C2255" s="4"/>
      <c r="D2255" s="4"/>
      <c r="E2255" s="12"/>
      <c r="F2255" s="12"/>
      <c r="G2255" s="16"/>
      <c r="H2255" s="14"/>
      <c r="I2255" s="14"/>
      <c r="J2255" s="14"/>
      <c r="K2255" s="14"/>
      <c r="L2255" s="14"/>
      <c r="M2255" s="14"/>
      <c r="N2255" s="14"/>
      <c r="O2255" s="4"/>
      <c r="P2255" s="14"/>
      <c r="Q2255" s="14"/>
    </row>
    <row r="2256" spans="1:17" x14ac:dyDescent="0.25">
      <c r="A2256" s="5"/>
      <c r="B2256" s="6"/>
      <c r="C2256" s="4"/>
      <c r="D2256" s="4"/>
      <c r="E2256" s="12"/>
      <c r="F2256" s="12"/>
      <c r="G2256" s="16"/>
      <c r="H2256" s="14"/>
      <c r="I2256" s="14"/>
      <c r="J2256" s="14"/>
      <c r="K2256" s="14"/>
      <c r="L2256" s="14"/>
      <c r="M2256" s="14"/>
      <c r="N2256" s="14"/>
      <c r="O2256" s="4"/>
      <c r="P2256" s="14"/>
      <c r="Q2256" s="14"/>
    </row>
    <row r="2257" spans="1:17" x14ac:dyDescent="0.25">
      <c r="A2257" s="5"/>
      <c r="B2257" s="6"/>
      <c r="C2257" s="4"/>
      <c r="D2257" s="4"/>
      <c r="E2257" s="12"/>
      <c r="F2257" s="12"/>
      <c r="G2257" s="16"/>
      <c r="H2257" s="14"/>
      <c r="I2257" s="14"/>
      <c r="J2257" s="14"/>
      <c r="K2257" s="14"/>
      <c r="L2257" s="14"/>
      <c r="M2257" s="14"/>
      <c r="N2257" s="14"/>
      <c r="O2257" s="4"/>
      <c r="P2257" s="14"/>
      <c r="Q2257" s="14"/>
    </row>
    <row r="2258" spans="1:17" x14ac:dyDescent="0.25">
      <c r="A2258" s="5"/>
      <c r="B2258" s="6"/>
      <c r="C2258" s="4"/>
      <c r="D2258" s="4"/>
      <c r="E2258" s="12"/>
      <c r="F2258" s="12"/>
      <c r="G2258" s="16"/>
      <c r="H2258" s="14"/>
      <c r="I2258" s="14"/>
      <c r="J2258" s="14"/>
      <c r="K2258" s="14"/>
      <c r="L2258" s="14"/>
      <c r="M2258" s="14"/>
      <c r="N2258" s="14"/>
      <c r="O2258" s="4"/>
      <c r="P2258" s="14"/>
      <c r="Q2258" s="14"/>
    </row>
    <row r="2259" spans="1:17" x14ac:dyDescent="0.25">
      <c r="A2259" s="5"/>
      <c r="B2259" s="6"/>
      <c r="C2259" s="4"/>
      <c r="D2259" s="4"/>
      <c r="E2259" s="12"/>
      <c r="F2259" s="12"/>
      <c r="G2259" s="16"/>
      <c r="H2259" s="14"/>
      <c r="I2259" s="14"/>
      <c r="J2259" s="14"/>
      <c r="K2259" s="14"/>
      <c r="L2259" s="14"/>
      <c r="M2259" s="14"/>
      <c r="N2259" s="14"/>
      <c r="O2259" s="4"/>
      <c r="P2259" s="14"/>
      <c r="Q2259" s="14"/>
    </row>
    <row r="2260" spans="1:17" x14ac:dyDescent="0.25">
      <c r="A2260" s="5"/>
      <c r="B2260" s="6"/>
      <c r="C2260" s="4"/>
      <c r="D2260" s="4"/>
      <c r="E2260" s="12"/>
      <c r="F2260" s="12"/>
      <c r="G2260" s="16"/>
      <c r="H2260" s="14"/>
      <c r="I2260" s="14"/>
      <c r="J2260" s="14"/>
      <c r="K2260" s="14"/>
      <c r="L2260" s="14"/>
      <c r="M2260" s="14"/>
      <c r="N2260" s="14"/>
      <c r="O2260" s="4"/>
      <c r="P2260" s="14"/>
      <c r="Q2260" s="14"/>
    </row>
    <row r="2261" spans="1:17" x14ac:dyDescent="0.25">
      <c r="A2261" s="5"/>
      <c r="B2261" s="6"/>
      <c r="C2261" s="4"/>
      <c r="D2261" s="4"/>
      <c r="E2261" s="12"/>
      <c r="F2261" s="12"/>
      <c r="G2261" s="16"/>
      <c r="H2261" s="14"/>
      <c r="I2261" s="14"/>
      <c r="J2261" s="14"/>
      <c r="K2261" s="14"/>
      <c r="L2261" s="14"/>
      <c r="M2261" s="14"/>
      <c r="N2261" s="14"/>
      <c r="O2261" s="4"/>
      <c r="P2261" s="14"/>
      <c r="Q2261" s="14"/>
    </row>
    <row r="2262" spans="1:17" x14ac:dyDescent="0.25">
      <c r="A2262" s="5"/>
      <c r="B2262" s="6"/>
      <c r="C2262" s="4"/>
      <c r="D2262" s="4"/>
      <c r="E2262" s="12"/>
      <c r="F2262" s="12"/>
      <c r="G2262" s="16"/>
      <c r="H2262" s="14"/>
      <c r="I2262" s="14"/>
      <c r="J2262" s="14"/>
      <c r="K2262" s="14"/>
      <c r="L2262" s="14"/>
      <c r="M2262" s="14"/>
      <c r="N2262" s="14"/>
      <c r="O2262" s="4"/>
      <c r="P2262" s="14"/>
      <c r="Q2262" s="14"/>
    </row>
    <row r="2263" spans="1:17" x14ac:dyDescent="0.25">
      <c r="A2263" s="5"/>
      <c r="B2263" s="6"/>
      <c r="C2263" s="4"/>
      <c r="D2263" s="4"/>
      <c r="E2263" s="12"/>
      <c r="F2263" s="12"/>
      <c r="G2263" s="16"/>
      <c r="H2263" s="14"/>
      <c r="I2263" s="14"/>
      <c r="J2263" s="14"/>
      <c r="K2263" s="14"/>
      <c r="L2263" s="14"/>
      <c r="M2263" s="14"/>
      <c r="N2263" s="14"/>
      <c r="O2263" s="4"/>
      <c r="P2263" s="14"/>
      <c r="Q2263" s="14"/>
    </row>
    <row r="2264" spans="1:17" x14ac:dyDescent="0.25">
      <c r="A2264" s="5"/>
      <c r="B2264" s="6"/>
      <c r="C2264" s="4"/>
      <c r="D2264" s="4"/>
      <c r="E2264" s="12"/>
      <c r="F2264" s="12"/>
      <c r="G2264" s="16"/>
      <c r="H2264" s="14"/>
      <c r="I2264" s="14"/>
      <c r="J2264" s="14"/>
      <c r="K2264" s="14"/>
      <c r="L2264" s="14"/>
      <c r="M2264" s="14"/>
      <c r="N2264" s="14"/>
      <c r="O2264" s="4"/>
      <c r="P2264" s="14"/>
      <c r="Q2264" s="14"/>
    </row>
    <row r="2265" spans="1:17" x14ac:dyDescent="0.25">
      <c r="A2265" s="5"/>
      <c r="B2265" s="6"/>
      <c r="C2265" s="4"/>
      <c r="D2265" s="4"/>
      <c r="E2265" s="12"/>
      <c r="F2265" s="12"/>
      <c r="G2265" s="16"/>
      <c r="H2265" s="14"/>
      <c r="I2265" s="14"/>
      <c r="J2265" s="14"/>
      <c r="K2265" s="14"/>
      <c r="L2265" s="14"/>
      <c r="M2265" s="14"/>
      <c r="N2265" s="14"/>
      <c r="O2265" s="4"/>
      <c r="P2265" s="14"/>
      <c r="Q2265" s="14"/>
    </row>
    <row r="2266" spans="1:17" x14ac:dyDescent="0.25">
      <c r="A2266" s="5"/>
      <c r="B2266" s="6"/>
      <c r="C2266" s="4"/>
      <c r="D2266" s="4"/>
      <c r="E2266" s="12"/>
      <c r="F2266" s="12"/>
      <c r="G2266" s="16"/>
      <c r="H2266" s="14"/>
      <c r="I2266" s="14"/>
      <c r="J2266" s="14"/>
      <c r="K2266" s="14"/>
      <c r="L2266" s="14"/>
      <c r="M2266" s="14"/>
      <c r="N2266" s="14"/>
      <c r="O2266" s="4"/>
      <c r="P2266" s="14"/>
      <c r="Q2266" s="14"/>
    </row>
    <row r="2267" spans="1:17" x14ac:dyDescent="0.25">
      <c r="A2267" s="5"/>
      <c r="B2267" s="6"/>
      <c r="C2267" s="4"/>
      <c r="D2267" s="4"/>
      <c r="E2267" s="12"/>
      <c r="F2267" s="12"/>
      <c r="G2267" s="16"/>
      <c r="H2267" s="14"/>
      <c r="I2267" s="14"/>
      <c r="J2267" s="14"/>
      <c r="K2267" s="14"/>
      <c r="L2267" s="14"/>
      <c r="M2267" s="14"/>
      <c r="N2267" s="14"/>
      <c r="O2267" s="4"/>
      <c r="P2267" s="14"/>
      <c r="Q2267" s="14"/>
    </row>
    <row r="2268" spans="1:17" x14ac:dyDescent="0.25">
      <c r="A2268" s="5"/>
      <c r="B2268" s="6"/>
      <c r="C2268" s="4"/>
      <c r="D2268" s="4"/>
      <c r="E2268" s="12"/>
      <c r="F2268" s="12"/>
      <c r="G2268" s="16"/>
      <c r="H2268" s="14"/>
      <c r="I2268" s="14"/>
      <c r="J2268" s="14"/>
      <c r="K2268" s="14"/>
      <c r="L2268" s="14"/>
      <c r="M2268" s="14"/>
      <c r="N2268" s="14"/>
      <c r="O2268" s="4"/>
      <c r="P2268" s="14"/>
      <c r="Q2268" s="14"/>
    </row>
    <row r="2269" spans="1:17" x14ac:dyDescent="0.25">
      <c r="A2269" s="5"/>
      <c r="B2269" s="6"/>
      <c r="C2269" s="4"/>
      <c r="D2269" s="4"/>
      <c r="E2269" s="12"/>
      <c r="F2269" s="12"/>
      <c r="G2269" s="16"/>
      <c r="H2269" s="14"/>
      <c r="I2269" s="14"/>
      <c r="J2269" s="14"/>
      <c r="K2269" s="14"/>
      <c r="L2269" s="14"/>
      <c r="M2269" s="14"/>
      <c r="N2269" s="14"/>
      <c r="O2269" s="4"/>
      <c r="P2269" s="14"/>
      <c r="Q2269" s="14"/>
    </row>
    <row r="2270" spans="1:17" x14ac:dyDescent="0.25">
      <c r="A2270" s="5"/>
      <c r="B2270" s="6"/>
      <c r="C2270" s="4"/>
      <c r="D2270" s="4"/>
      <c r="E2270" s="12"/>
      <c r="F2270" s="12"/>
      <c r="G2270" s="16"/>
      <c r="H2270" s="14"/>
      <c r="I2270" s="14"/>
      <c r="J2270" s="14"/>
      <c r="K2270" s="14"/>
      <c r="L2270" s="14"/>
      <c r="M2270" s="14"/>
      <c r="N2270" s="14"/>
      <c r="O2270" s="4"/>
      <c r="P2270" s="14"/>
      <c r="Q2270" s="14"/>
    </row>
    <row r="2271" spans="1:17" x14ac:dyDescent="0.25">
      <c r="A2271" s="5"/>
      <c r="B2271" s="6"/>
      <c r="C2271" s="4"/>
      <c r="D2271" s="4"/>
      <c r="E2271" s="12"/>
      <c r="F2271" s="12"/>
      <c r="G2271" s="16"/>
      <c r="H2271" s="14"/>
      <c r="I2271" s="14"/>
      <c r="J2271" s="14"/>
      <c r="K2271" s="14"/>
      <c r="L2271" s="14"/>
      <c r="M2271" s="14"/>
      <c r="N2271" s="14"/>
      <c r="O2271" s="4"/>
      <c r="P2271" s="14"/>
      <c r="Q2271" s="14"/>
    </row>
    <row r="2272" spans="1:17" x14ac:dyDescent="0.25">
      <c r="A2272" s="5"/>
      <c r="B2272" s="6"/>
      <c r="C2272" s="4"/>
      <c r="D2272" s="4"/>
      <c r="E2272" s="12"/>
      <c r="F2272" s="12"/>
      <c r="G2272" s="16"/>
      <c r="H2272" s="14"/>
      <c r="I2272" s="14"/>
      <c r="J2272" s="14"/>
      <c r="K2272" s="14"/>
      <c r="L2272" s="14"/>
      <c r="M2272" s="14"/>
      <c r="N2272" s="14"/>
      <c r="O2272" s="4"/>
      <c r="P2272" s="14"/>
      <c r="Q2272" s="14"/>
    </row>
    <row r="2273" spans="1:17" x14ac:dyDescent="0.25">
      <c r="A2273" s="5"/>
      <c r="B2273" s="6"/>
      <c r="C2273" s="4"/>
      <c r="D2273" s="4"/>
      <c r="E2273" s="12"/>
      <c r="F2273" s="12"/>
      <c r="G2273" s="16"/>
      <c r="H2273" s="14"/>
      <c r="I2273" s="14"/>
      <c r="J2273" s="14"/>
      <c r="K2273" s="14"/>
      <c r="L2273" s="14"/>
      <c r="M2273" s="14"/>
      <c r="N2273" s="14"/>
      <c r="O2273" s="4"/>
      <c r="P2273" s="14"/>
      <c r="Q2273" s="14"/>
    </row>
    <row r="2274" spans="1:17" x14ac:dyDescent="0.25">
      <c r="A2274" s="5"/>
      <c r="B2274" s="6"/>
      <c r="C2274" s="4"/>
      <c r="D2274" s="4"/>
      <c r="E2274" s="12"/>
      <c r="F2274" s="12"/>
      <c r="G2274" s="16"/>
      <c r="H2274" s="14"/>
      <c r="I2274" s="14"/>
      <c r="J2274" s="14"/>
      <c r="K2274" s="14"/>
      <c r="L2274" s="14"/>
      <c r="M2274" s="14"/>
      <c r="N2274" s="14"/>
      <c r="O2274" s="4"/>
      <c r="P2274" s="14"/>
      <c r="Q2274" s="14"/>
    </row>
    <row r="2275" spans="1:17" x14ac:dyDescent="0.25">
      <c r="A2275" s="5"/>
      <c r="B2275" s="6"/>
      <c r="C2275" s="4"/>
      <c r="D2275" s="4"/>
      <c r="E2275" s="12"/>
      <c r="F2275" s="12"/>
      <c r="G2275" s="16"/>
      <c r="H2275" s="14"/>
      <c r="I2275" s="14"/>
      <c r="J2275" s="14"/>
      <c r="K2275" s="14"/>
      <c r="L2275" s="14"/>
      <c r="M2275" s="14"/>
      <c r="N2275" s="14"/>
      <c r="O2275" s="4"/>
      <c r="P2275" s="14"/>
      <c r="Q2275" s="14"/>
    </row>
    <row r="2276" spans="1:17" x14ac:dyDescent="0.25">
      <c r="A2276" s="5"/>
      <c r="B2276" s="6"/>
      <c r="C2276" s="4"/>
      <c r="D2276" s="4"/>
      <c r="E2276" s="12"/>
      <c r="F2276" s="12"/>
      <c r="G2276" s="16"/>
      <c r="H2276" s="14"/>
      <c r="I2276" s="14"/>
      <c r="J2276" s="14"/>
      <c r="K2276" s="14"/>
      <c r="L2276" s="14"/>
      <c r="M2276" s="14"/>
      <c r="N2276" s="14"/>
      <c r="O2276" s="4"/>
      <c r="P2276" s="14"/>
      <c r="Q2276" s="14"/>
    </row>
    <row r="2277" spans="1:17" x14ac:dyDescent="0.25">
      <c r="A2277" s="5"/>
      <c r="B2277" s="6"/>
      <c r="C2277" s="4"/>
      <c r="D2277" s="4"/>
      <c r="E2277" s="12"/>
      <c r="F2277" s="12"/>
      <c r="G2277" s="16"/>
      <c r="H2277" s="14"/>
      <c r="I2277" s="14"/>
      <c r="J2277" s="14"/>
      <c r="K2277" s="14"/>
      <c r="L2277" s="14"/>
      <c r="M2277" s="14"/>
      <c r="N2277" s="14"/>
      <c r="O2277" s="4"/>
      <c r="P2277" s="14"/>
      <c r="Q2277" s="14"/>
    </row>
    <row r="2278" spans="1:17" x14ac:dyDescent="0.25">
      <c r="A2278" s="5"/>
      <c r="B2278" s="6"/>
      <c r="C2278" s="4"/>
      <c r="D2278" s="4"/>
      <c r="E2278" s="12"/>
      <c r="F2278" s="12"/>
      <c r="G2278" s="16"/>
      <c r="H2278" s="14"/>
      <c r="I2278" s="14"/>
      <c r="J2278" s="14"/>
      <c r="K2278" s="14"/>
      <c r="L2278" s="14"/>
      <c r="M2278" s="14"/>
      <c r="N2278" s="14"/>
      <c r="O2278" s="4"/>
      <c r="P2278" s="14"/>
      <c r="Q2278" s="14"/>
    </row>
    <row r="2279" spans="1:17" x14ac:dyDescent="0.25">
      <c r="A2279" s="5"/>
      <c r="B2279" s="6"/>
      <c r="C2279" s="4"/>
      <c r="D2279" s="4"/>
      <c r="E2279" s="12"/>
      <c r="F2279" s="12"/>
      <c r="G2279" s="16"/>
      <c r="H2279" s="14"/>
      <c r="I2279" s="14"/>
      <c r="J2279" s="14"/>
      <c r="K2279" s="14"/>
      <c r="L2279" s="14"/>
      <c r="M2279" s="14"/>
      <c r="N2279" s="14"/>
      <c r="O2279" s="4"/>
      <c r="P2279" s="14"/>
      <c r="Q2279" s="14"/>
    </row>
    <row r="2280" spans="1:17" x14ac:dyDescent="0.25">
      <c r="A2280" s="5"/>
      <c r="B2280" s="6"/>
      <c r="C2280" s="4"/>
      <c r="D2280" s="4"/>
      <c r="E2280" s="12"/>
      <c r="F2280" s="12"/>
      <c r="G2280" s="16"/>
      <c r="H2280" s="14"/>
      <c r="I2280" s="14"/>
      <c r="J2280" s="14"/>
      <c r="K2280" s="14"/>
      <c r="L2280" s="14"/>
      <c r="M2280" s="14"/>
      <c r="N2280" s="14"/>
      <c r="O2280" s="4"/>
      <c r="P2280" s="14"/>
      <c r="Q2280" s="14"/>
    </row>
    <row r="2281" spans="1:17" x14ac:dyDescent="0.25">
      <c r="A2281" s="5"/>
      <c r="B2281" s="6"/>
      <c r="C2281" s="4"/>
      <c r="D2281" s="4"/>
      <c r="E2281" s="12"/>
      <c r="F2281" s="12"/>
      <c r="G2281" s="16"/>
      <c r="H2281" s="14"/>
      <c r="I2281" s="14"/>
      <c r="J2281" s="14"/>
      <c r="K2281" s="14"/>
      <c r="L2281" s="14"/>
      <c r="M2281" s="14"/>
      <c r="N2281" s="14"/>
      <c r="O2281" s="4"/>
      <c r="P2281" s="14"/>
      <c r="Q2281" s="14"/>
    </row>
    <row r="2282" spans="1:17" x14ac:dyDescent="0.25">
      <c r="A2282" s="5"/>
      <c r="B2282" s="6"/>
      <c r="C2282" s="4"/>
      <c r="D2282" s="4"/>
      <c r="E2282" s="12"/>
      <c r="F2282" s="12"/>
      <c r="G2282" s="16"/>
      <c r="H2282" s="14"/>
      <c r="I2282" s="14"/>
      <c r="J2282" s="14"/>
      <c r="K2282" s="14"/>
      <c r="L2282" s="14"/>
      <c r="M2282" s="14"/>
      <c r="N2282" s="14"/>
      <c r="O2282" s="4"/>
      <c r="P2282" s="14"/>
      <c r="Q2282" s="14"/>
    </row>
    <row r="2283" spans="1:17" x14ac:dyDescent="0.25">
      <c r="A2283" s="5"/>
      <c r="B2283" s="6"/>
      <c r="C2283" s="4"/>
      <c r="D2283" s="4"/>
      <c r="E2283" s="12"/>
      <c r="F2283" s="12"/>
      <c r="G2283" s="16"/>
      <c r="H2283" s="14"/>
      <c r="I2283" s="14"/>
      <c r="J2283" s="14"/>
      <c r="K2283" s="14"/>
      <c r="L2283" s="14"/>
      <c r="M2283" s="14"/>
      <c r="N2283" s="14"/>
      <c r="O2283" s="4"/>
      <c r="P2283" s="14"/>
      <c r="Q2283" s="14"/>
    </row>
    <row r="2284" spans="1:17" x14ac:dyDescent="0.25">
      <c r="A2284" s="5"/>
      <c r="B2284" s="6"/>
      <c r="C2284" s="4"/>
      <c r="D2284" s="4"/>
      <c r="E2284" s="12"/>
      <c r="F2284" s="12"/>
      <c r="G2284" s="16"/>
      <c r="H2284" s="14"/>
      <c r="I2284" s="14"/>
      <c r="J2284" s="14"/>
      <c r="K2284" s="14"/>
      <c r="L2284" s="14"/>
      <c r="M2284" s="14"/>
      <c r="N2284" s="14"/>
      <c r="O2284" s="4"/>
      <c r="P2284" s="14"/>
      <c r="Q2284" s="14"/>
    </row>
    <row r="2285" spans="1:17" x14ac:dyDescent="0.25">
      <c r="A2285" s="5"/>
      <c r="B2285" s="6"/>
      <c r="C2285" s="4"/>
      <c r="D2285" s="4"/>
      <c r="E2285" s="12"/>
      <c r="F2285" s="12"/>
      <c r="G2285" s="16"/>
      <c r="H2285" s="14"/>
      <c r="I2285" s="14"/>
      <c r="J2285" s="14"/>
      <c r="K2285" s="14"/>
      <c r="L2285" s="14"/>
      <c r="M2285" s="14"/>
      <c r="N2285" s="14"/>
      <c r="O2285" s="4"/>
      <c r="P2285" s="14"/>
      <c r="Q2285" s="14"/>
    </row>
    <row r="2286" spans="1:17" x14ac:dyDescent="0.25">
      <c r="A2286" s="5"/>
      <c r="B2286" s="6"/>
      <c r="C2286" s="4"/>
      <c r="D2286" s="4"/>
      <c r="E2286" s="12"/>
      <c r="F2286" s="12"/>
      <c r="G2286" s="16"/>
      <c r="H2286" s="14"/>
      <c r="I2286" s="14"/>
      <c r="J2286" s="14"/>
      <c r="K2286" s="14"/>
      <c r="L2286" s="14"/>
      <c r="M2286" s="14"/>
      <c r="N2286" s="14"/>
      <c r="O2286" s="4"/>
      <c r="P2286" s="14"/>
      <c r="Q2286" s="14"/>
    </row>
    <row r="2287" spans="1:17" x14ac:dyDescent="0.25">
      <c r="A2287" s="5"/>
      <c r="B2287" s="6"/>
      <c r="C2287" s="4"/>
      <c r="D2287" s="4"/>
      <c r="E2287" s="12"/>
      <c r="F2287" s="12"/>
      <c r="G2287" s="16"/>
      <c r="H2287" s="14"/>
      <c r="I2287" s="14"/>
      <c r="J2287" s="14"/>
      <c r="K2287" s="14"/>
      <c r="L2287" s="14"/>
      <c r="M2287" s="14"/>
      <c r="N2287" s="14"/>
      <c r="O2287" s="4"/>
      <c r="P2287" s="14"/>
      <c r="Q2287" s="14"/>
    </row>
    <row r="2288" spans="1:17" x14ac:dyDescent="0.25">
      <c r="A2288" s="5"/>
      <c r="B2288" s="6"/>
      <c r="C2288" s="4"/>
      <c r="D2288" s="4"/>
      <c r="E2288" s="12"/>
      <c r="F2288" s="12"/>
      <c r="G2288" s="16"/>
      <c r="H2288" s="14"/>
      <c r="I2288" s="14"/>
      <c r="J2288" s="14"/>
      <c r="K2288" s="14"/>
      <c r="L2288" s="14"/>
      <c r="M2288" s="14"/>
      <c r="N2288" s="14"/>
      <c r="O2288" s="4"/>
      <c r="P2288" s="14"/>
      <c r="Q2288" s="14"/>
    </row>
    <row r="2289" spans="1:17" x14ac:dyDescent="0.25">
      <c r="A2289" s="5"/>
      <c r="B2289" s="6"/>
      <c r="C2289" s="4"/>
      <c r="D2289" s="4"/>
      <c r="E2289" s="12"/>
      <c r="F2289" s="12"/>
      <c r="G2289" s="16"/>
      <c r="H2289" s="14"/>
      <c r="I2289" s="14"/>
      <c r="J2289" s="14"/>
      <c r="K2289" s="14"/>
      <c r="L2289" s="14"/>
      <c r="M2289" s="14"/>
      <c r="N2289" s="14"/>
      <c r="O2289" s="4"/>
      <c r="P2289" s="14"/>
      <c r="Q2289" s="14"/>
    </row>
    <row r="2290" spans="1:17" x14ac:dyDescent="0.25">
      <c r="A2290" s="5"/>
      <c r="B2290" s="6"/>
      <c r="C2290" s="4"/>
      <c r="D2290" s="4"/>
      <c r="E2290" s="12"/>
      <c r="F2290" s="12"/>
      <c r="G2290" s="16"/>
      <c r="H2290" s="14"/>
      <c r="I2290" s="14"/>
      <c r="J2290" s="14"/>
      <c r="K2290" s="14"/>
      <c r="L2290" s="14"/>
      <c r="M2290" s="14"/>
      <c r="N2290" s="14"/>
      <c r="O2290" s="4"/>
      <c r="P2290" s="14"/>
      <c r="Q2290" s="14"/>
    </row>
    <row r="2291" spans="1:17" x14ac:dyDescent="0.25">
      <c r="A2291" s="5"/>
      <c r="B2291" s="6"/>
      <c r="C2291" s="4"/>
      <c r="D2291" s="4"/>
      <c r="E2291" s="12"/>
      <c r="F2291" s="12"/>
      <c r="G2291" s="16"/>
      <c r="H2291" s="14"/>
      <c r="I2291" s="14"/>
      <c r="J2291" s="14"/>
      <c r="K2291" s="14"/>
      <c r="L2291" s="14"/>
      <c r="M2291" s="14"/>
      <c r="N2291" s="14"/>
      <c r="O2291" s="4"/>
      <c r="P2291" s="14"/>
      <c r="Q2291" s="14"/>
    </row>
    <row r="2292" spans="1:17" x14ac:dyDescent="0.25">
      <c r="A2292" s="5"/>
      <c r="B2292" s="6"/>
      <c r="C2292" s="4"/>
      <c r="D2292" s="4"/>
      <c r="E2292" s="12"/>
      <c r="F2292" s="12"/>
      <c r="G2292" s="16"/>
      <c r="H2292" s="14"/>
      <c r="I2292" s="14"/>
      <c r="J2292" s="14"/>
      <c r="K2292" s="14"/>
      <c r="L2292" s="14"/>
      <c r="M2292" s="14"/>
      <c r="N2292" s="14"/>
      <c r="O2292" s="4"/>
      <c r="P2292" s="14"/>
      <c r="Q2292" s="14"/>
    </row>
    <row r="2293" spans="1:17" x14ac:dyDescent="0.25">
      <c r="A2293" s="5"/>
      <c r="B2293" s="6"/>
      <c r="C2293" s="4"/>
      <c r="D2293" s="4"/>
      <c r="E2293" s="12"/>
      <c r="F2293" s="12"/>
      <c r="G2293" s="16"/>
      <c r="H2293" s="14"/>
      <c r="I2293" s="14"/>
      <c r="J2293" s="14"/>
      <c r="K2293" s="14"/>
      <c r="L2293" s="14"/>
      <c r="M2293" s="14"/>
      <c r="N2293" s="14"/>
      <c r="O2293" s="4"/>
      <c r="P2293" s="14"/>
      <c r="Q2293" s="14"/>
    </row>
    <row r="2294" spans="1:17" x14ac:dyDescent="0.25">
      <c r="A2294" s="5"/>
      <c r="B2294" s="6"/>
      <c r="C2294" s="4"/>
      <c r="D2294" s="4"/>
      <c r="E2294" s="12"/>
      <c r="F2294" s="12"/>
      <c r="G2294" s="16"/>
      <c r="H2294" s="14"/>
      <c r="I2294" s="14"/>
      <c r="J2294" s="14"/>
      <c r="K2294" s="14"/>
      <c r="L2294" s="14"/>
      <c r="M2294" s="14"/>
      <c r="N2294" s="14"/>
      <c r="O2294" s="4"/>
      <c r="P2294" s="14"/>
      <c r="Q2294" s="14"/>
    </row>
    <row r="2295" spans="1:17" x14ac:dyDescent="0.25">
      <c r="A2295" s="5"/>
      <c r="B2295" s="6"/>
      <c r="C2295" s="4"/>
      <c r="D2295" s="4"/>
      <c r="E2295" s="12"/>
      <c r="F2295" s="12"/>
      <c r="G2295" s="16"/>
      <c r="H2295" s="14"/>
      <c r="I2295" s="14"/>
      <c r="J2295" s="14"/>
      <c r="K2295" s="14"/>
      <c r="L2295" s="14"/>
      <c r="M2295" s="14"/>
      <c r="N2295" s="14"/>
      <c r="O2295" s="4"/>
      <c r="P2295" s="14"/>
      <c r="Q2295" s="14"/>
    </row>
    <row r="2296" spans="1:17" x14ac:dyDescent="0.25">
      <c r="A2296" s="5"/>
      <c r="B2296" s="6"/>
      <c r="C2296" s="4"/>
      <c r="D2296" s="4"/>
      <c r="E2296" s="12"/>
      <c r="F2296" s="12"/>
      <c r="G2296" s="16"/>
      <c r="H2296" s="14"/>
      <c r="I2296" s="14"/>
      <c r="J2296" s="14"/>
      <c r="K2296" s="14"/>
      <c r="L2296" s="14"/>
      <c r="M2296" s="14"/>
      <c r="N2296" s="14"/>
      <c r="O2296" s="4"/>
      <c r="P2296" s="14"/>
      <c r="Q2296" s="14"/>
    </row>
    <row r="2297" spans="1:17" x14ac:dyDescent="0.25">
      <c r="A2297" s="5"/>
      <c r="B2297" s="6"/>
      <c r="C2297" s="4"/>
      <c r="D2297" s="4"/>
      <c r="E2297" s="12"/>
      <c r="F2297" s="12"/>
      <c r="G2297" s="16"/>
      <c r="H2297" s="14"/>
      <c r="I2297" s="14"/>
      <c r="J2297" s="14"/>
      <c r="K2297" s="14"/>
      <c r="L2297" s="14"/>
      <c r="M2297" s="14"/>
      <c r="N2297" s="14"/>
      <c r="O2297" s="4"/>
      <c r="P2297" s="14"/>
      <c r="Q2297" s="14"/>
    </row>
    <row r="2298" spans="1:17" x14ac:dyDescent="0.25">
      <c r="A2298" s="5"/>
      <c r="B2298" s="6"/>
      <c r="C2298" s="4"/>
      <c r="D2298" s="4"/>
      <c r="E2298" s="12"/>
      <c r="F2298" s="12"/>
      <c r="G2298" s="16"/>
      <c r="H2298" s="14"/>
      <c r="I2298" s="14"/>
      <c r="J2298" s="14"/>
      <c r="K2298" s="14"/>
      <c r="L2298" s="14"/>
      <c r="M2298" s="14"/>
      <c r="N2298" s="14"/>
      <c r="O2298" s="4"/>
      <c r="P2298" s="14"/>
      <c r="Q2298" s="14"/>
    </row>
    <row r="2299" spans="1:17" x14ac:dyDescent="0.25">
      <c r="A2299" s="5"/>
      <c r="B2299" s="6"/>
      <c r="C2299" s="4"/>
      <c r="D2299" s="4"/>
      <c r="E2299" s="12"/>
      <c r="F2299" s="12"/>
      <c r="G2299" s="16"/>
      <c r="H2299" s="14"/>
      <c r="I2299" s="14"/>
      <c r="J2299" s="14"/>
      <c r="K2299" s="14"/>
      <c r="L2299" s="14"/>
      <c r="M2299" s="14"/>
      <c r="N2299" s="14"/>
      <c r="O2299" s="4"/>
      <c r="P2299" s="14"/>
      <c r="Q2299" s="14"/>
    </row>
    <row r="2300" spans="1:17" x14ac:dyDescent="0.25">
      <c r="A2300" s="5"/>
      <c r="B2300" s="6"/>
      <c r="C2300" s="4"/>
      <c r="D2300" s="4"/>
      <c r="E2300" s="12"/>
      <c r="F2300" s="12"/>
      <c r="G2300" s="16"/>
      <c r="H2300" s="14"/>
      <c r="I2300" s="14"/>
      <c r="J2300" s="14"/>
      <c r="K2300" s="14"/>
      <c r="L2300" s="14"/>
      <c r="M2300" s="14"/>
      <c r="N2300" s="14"/>
      <c r="O2300" s="4"/>
      <c r="P2300" s="14"/>
      <c r="Q2300" s="14"/>
    </row>
    <row r="2301" spans="1:17" x14ac:dyDescent="0.25">
      <c r="A2301" s="5"/>
      <c r="B2301" s="6"/>
      <c r="C2301" s="4"/>
      <c r="D2301" s="4"/>
      <c r="E2301" s="12"/>
      <c r="F2301" s="12"/>
      <c r="G2301" s="16"/>
      <c r="H2301" s="14"/>
      <c r="I2301" s="14"/>
      <c r="J2301" s="14"/>
      <c r="K2301" s="14"/>
      <c r="L2301" s="14"/>
      <c r="M2301" s="14"/>
      <c r="N2301" s="14"/>
      <c r="O2301" s="4"/>
      <c r="P2301" s="14"/>
      <c r="Q2301" s="14"/>
    </row>
    <row r="2302" spans="1:17" x14ac:dyDescent="0.25">
      <c r="A2302" s="5"/>
      <c r="B2302" s="6"/>
      <c r="C2302" s="4"/>
      <c r="D2302" s="4"/>
      <c r="E2302" s="12"/>
      <c r="F2302" s="12"/>
      <c r="G2302" s="16"/>
      <c r="H2302" s="14"/>
      <c r="I2302" s="14"/>
      <c r="J2302" s="14"/>
      <c r="K2302" s="14"/>
      <c r="L2302" s="14"/>
      <c r="M2302" s="14"/>
      <c r="N2302" s="14"/>
      <c r="O2302" s="4"/>
      <c r="P2302" s="14"/>
      <c r="Q2302" s="14"/>
    </row>
    <row r="2303" spans="1:17" x14ac:dyDescent="0.25">
      <c r="A2303" s="5"/>
      <c r="B2303" s="6"/>
      <c r="C2303" s="4"/>
      <c r="D2303" s="4"/>
      <c r="E2303" s="12"/>
      <c r="F2303" s="12"/>
      <c r="G2303" s="16"/>
      <c r="H2303" s="14"/>
      <c r="I2303" s="14"/>
      <c r="J2303" s="14"/>
      <c r="K2303" s="14"/>
      <c r="L2303" s="14"/>
      <c r="M2303" s="14"/>
      <c r="N2303" s="14"/>
      <c r="O2303" s="4"/>
      <c r="P2303" s="14"/>
      <c r="Q2303" s="14"/>
    </row>
    <row r="2304" spans="1:17" x14ac:dyDescent="0.25">
      <c r="A2304" s="5"/>
      <c r="B2304" s="6"/>
      <c r="C2304" s="4"/>
      <c r="D2304" s="4"/>
      <c r="E2304" s="12"/>
      <c r="F2304" s="12"/>
      <c r="G2304" s="16"/>
      <c r="H2304" s="14"/>
      <c r="I2304" s="14"/>
      <c r="J2304" s="14"/>
      <c r="K2304" s="14"/>
      <c r="L2304" s="14"/>
      <c r="M2304" s="14"/>
      <c r="N2304" s="14"/>
      <c r="O2304" s="4"/>
      <c r="P2304" s="14"/>
      <c r="Q2304" s="14"/>
    </row>
    <row r="2305" spans="1:17" x14ac:dyDescent="0.25">
      <c r="A2305" s="5"/>
      <c r="B2305" s="6"/>
      <c r="C2305" s="4"/>
      <c r="D2305" s="4"/>
      <c r="E2305" s="12"/>
      <c r="F2305" s="12"/>
      <c r="G2305" s="16"/>
      <c r="H2305" s="14"/>
      <c r="I2305" s="14"/>
      <c r="J2305" s="14"/>
      <c r="K2305" s="14"/>
      <c r="L2305" s="14"/>
      <c r="M2305" s="14"/>
      <c r="N2305" s="14"/>
      <c r="O2305" s="4"/>
      <c r="P2305" s="14"/>
      <c r="Q2305" s="14"/>
    </row>
    <row r="2306" spans="1:17" x14ac:dyDescent="0.25">
      <c r="A2306" s="5"/>
      <c r="B2306" s="6"/>
      <c r="C2306" s="4"/>
      <c r="D2306" s="4"/>
      <c r="E2306" s="12"/>
      <c r="F2306" s="12"/>
      <c r="G2306" s="16"/>
      <c r="H2306" s="14"/>
      <c r="I2306" s="14"/>
      <c r="J2306" s="14"/>
      <c r="K2306" s="14"/>
      <c r="L2306" s="14"/>
      <c r="M2306" s="14"/>
      <c r="N2306" s="14"/>
      <c r="O2306" s="4"/>
      <c r="P2306" s="14"/>
      <c r="Q2306" s="14"/>
    </row>
    <row r="2307" spans="1:17" x14ac:dyDescent="0.25">
      <c r="A2307" s="5"/>
      <c r="B2307" s="6"/>
      <c r="C2307" s="4"/>
      <c r="D2307" s="4"/>
      <c r="E2307" s="12"/>
      <c r="F2307" s="12"/>
      <c r="G2307" s="16"/>
      <c r="H2307" s="14"/>
      <c r="I2307" s="14"/>
      <c r="J2307" s="14"/>
      <c r="K2307" s="14"/>
      <c r="L2307" s="14"/>
      <c r="M2307" s="14"/>
      <c r="N2307" s="14"/>
      <c r="O2307" s="4"/>
      <c r="P2307" s="14"/>
      <c r="Q2307" s="14"/>
    </row>
    <row r="2308" spans="1:17" x14ac:dyDescent="0.25">
      <c r="A2308" s="5"/>
      <c r="B2308" s="6"/>
      <c r="C2308" s="4"/>
      <c r="D2308" s="4"/>
      <c r="E2308" s="12"/>
      <c r="F2308" s="12"/>
      <c r="G2308" s="16"/>
      <c r="H2308" s="14"/>
      <c r="I2308" s="14"/>
      <c r="J2308" s="14"/>
      <c r="K2308" s="14"/>
      <c r="L2308" s="14"/>
      <c r="M2308" s="14"/>
      <c r="N2308" s="14"/>
      <c r="O2308" s="4"/>
      <c r="P2308" s="14"/>
      <c r="Q2308" s="14"/>
    </row>
    <row r="2309" spans="1:17" x14ac:dyDescent="0.25">
      <c r="A2309" s="5"/>
      <c r="B2309" s="6"/>
      <c r="C2309" s="4"/>
      <c r="D2309" s="4"/>
      <c r="E2309" s="12"/>
      <c r="F2309" s="12"/>
      <c r="G2309" s="16"/>
      <c r="H2309" s="14"/>
      <c r="I2309" s="14"/>
      <c r="J2309" s="14"/>
      <c r="K2309" s="14"/>
      <c r="L2309" s="14"/>
      <c r="M2309" s="14"/>
      <c r="N2309" s="14"/>
      <c r="O2309" s="4"/>
      <c r="P2309" s="14"/>
      <c r="Q2309" s="14"/>
    </row>
    <row r="2310" spans="1:17" x14ac:dyDescent="0.25">
      <c r="A2310" s="5"/>
      <c r="B2310" s="6"/>
      <c r="C2310" s="4"/>
      <c r="D2310" s="4"/>
      <c r="E2310" s="12"/>
      <c r="F2310" s="12"/>
      <c r="G2310" s="16"/>
      <c r="H2310" s="14"/>
      <c r="I2310" s="14"/>
      <c r="J2310" s="14"/>
      <c r="K2310" s="14"/>
      <c r="L2310" s="14"/>
      <c r="M2310" s="14"/>
      <c r="N2310" s="14"/>
      <c r="O2310" s="4"/>
      <c r="P2310" s="14"/>
      <c r="Q2310" s="14"/>
    </row>
    <row r="2311" spans="1:17" x14ac:dyDescent="0.25">
      <c r="A2311" s="5"/>
      <c r="B2311" s="6"/>
      <c r="C2311" s="4"/>
      <c r="D2311" s="4"/>
      <c r="E2311" s="12"/>
      <c r="F2311" s="12"/>
      <c r="G2311" s="16"/>
      <c r="H2311" s="14"/>
      <c r="I2311" s="14"/>
      <c r="J2311" s="14"/>
      <c r="K2311" s="14"/>
      <c r="L2311" s="14"/>
      <c r="M2311" s="14"/>
      <c r="N2311" s="14"/>
      <c r="O2311" s="4"/>
      <c r="P2311" s="14"/>
      <c r="Q2311" s="14"/>
    </row>
    <row r="2312" spans="1:17" x14ac:dyDescent="0.25">
      <c r="A2312" s="5"/>
      <c r="B2312" s="6"/>
      <c r="C2312" s="4"/>
      <c r="D2312" s="4"/>
      <c r="E2312" s="12"/>
      <c r="F2312" s="12"/>
      <c r="G2312" s="16"/>
      <c r="H2312" s="14"/>
      <c r="I2312" s="14"/>
      <c r="J2312" s="14"/>
      <c r="K2312" s="14"/>
      <c r="L2312" s="14"/>
      <c r="M2312" s="14"/>
      <c r="N2312" s="14"/>
      <c r="O2312" s="4"/>
      <c r="P2312" s="14"/>
      <c r="Q2312" s="14"/>
    </row>
    <row r="2313" spans="1:17" x14ac:dyDescent="0.25">
      <c r="A2313" s="5"/>
      <c r="B2313" s="6"/>
      <c r="C2313" s="4"/>
      <c r="D2313" s="4"/>
      <c r="E2313" s="12"/>
      <c r="F2313" s="12"/>
      <c r="G2313" s="16"/>
      <c r="H2313" s="14"/>
      <c r="I2313" s="14"/>
      <c r="J2313" s="14"/>
      <c r="K2313" s="14"/>
      <c r="L2313" s="14"/>
      <c r="M2313" s="14"/>
      <c r="N2313" s="14"/>
      <c r="O2313" s="4"/>
      <c r="P2313" s="14"/>
      <c r="Q2313" s="14"/>
    </row>
    <row r="2314" spans="1:17" x14ac:dyDescent="0.25">
      <c r="A2314" s="5"/>
      <c r="B2314" s="6"/>
      <c r="C2314" s="4"/>
      <c r="D2314" s="4"/>
      <c r="E2314" s="12"/>
      <c r="F2314" s="12"/>
      <c r="G2314" s="16"/>
      <c r="H2314" s="14"/>
      <c r="I2314" s="14"/>
      <c r="J2314" s="14"/>
      <c r="K2314" s="14"/>
      <c r="L2314" s="14"/>
      <c r="M2314" s="14"/>
      <c r="N2314" s="14"/>
      <c r="O2314" s="4"/>
      <c r="P2314" s="14"/>
      <c r="Q2314" s="14"/>
    </row>
    <row r="2315" spans="1:17" x14ac:dyDescent="0.25">
      <c r="A2315" s="5"/>
      <c r="B2315" s="6"/>
      <c r="C2315" s="4"/>
      <c r="D2315" s="4"/>
      <c r="E2315" s="12"/>
      <c r="F2315" s="12"/>
      <c r="G2315" s="16"/>
      <c r="H2315" s="14"/>
      <c r="I2315" s="14"/>
      <c r="J2315" s="14"/>
      <c r="K2315" s="14"/>
      <c r="L2315" s="14"/>
      <c r="M2315" s="14"/>
      <c r="N2315" s="14"/>
      <c r="O2315" s="4"/>
      <c r="P2315" s="14"/>
      <c r="Q2315" s="14"/>
    </row>
    <row r="2316" spans="1:17" x14ac:dyDescent="0.25">
      <c r="A2316" s="5"/>
      <c r="B2316" s="6"/>
      <c r="C2316" s="4"/>
      <c r="D2316" s="4"/>
      <c r="E2316" s="12"/>
      <c r="F2316" s="12"/>
      <c r="G2316" s="16"/>
      <c r="H2316" s="14"/>
      <c r="I2316" s="14"/>
      <c r="J2316" s="14"/>
      <c r="K2316" s="14"/>
      <c r="L2316" s="14"/>
      <c r="M2316" s="14"/>
      <c r="N2316" s="14"/>
      <c r="O2316" s="4"/>
      <c r="P2316" s="14"/>
      <c r="Q2316" s="14"/>
    </row>
    <row r="2317" spans="1:17" x14ac:dyDescent="0.25">
      <c r="A2317" s="5"/>
      <c r="B2317" s="6"/>
      <c r="C2317" s="4"/>
      <c r="D2317" s="4"/>
      <c r="E2317" s="12"/>
      <c r="F2317" s="12"/>
      <c r="G2317" s="16"/>
      <c r="H2317" s="14"/>
      <c r="I2317" s="14"/>
      <c r="J2317" s="14"/>
      <c r="K2317" s="14"/>
      <c r="L2317" s="14"/>
      <c r="M2317" s="14"/>
      <c r="N2317" s="14"/>
      <c r="O2317" s="4"/>
      <c r="P2317" s="14"/>
      <c r="Q2317" s="14"/>
    </row>
    <row r="2318" spans="1:17" x14ac:dyDescent="0.25">
      <c r="A2318" s="5"/>
      <c r="B2318" s="6"/>
      <c r="C2318" s="4"/>
      <c r="D2318" s="4"/>
      <c r="E2318" s="12"/>
      <c r="F2318" s="12"/>
      <c r="G2318" s="16"/>
      <c r="H2318" s="14"/>
      <c r="I2318" s="14"/>
      <c r="J2318" s="14"/>
      <c r="K2318" s="14"/>
      <c r="L2318" s="14"/>
      <c r="M2318" s="14"/>
      <c r="N2318" s="14"/>
      <c r="O2318" s="4"/>
      <c r="P2318" s="14"/>
      <c r="Q2318" s="14"/>
    </row>
    <row r="2319" spans="1:17" x14ac:dyDescent="0.25">
      <c r="A2319" s="5"/>
      <c r="B2319" s="6"/>
      <c r="C2319" s="4"/>
      <c r="D2319" s="4"/>
      <c r="E2319" s="12"/>
      <c r="F2319" s="12"/>
      <c r="G2319" s="16"/>
      <c r="H2319" s="14"/>
      <c r="I2319" s="14"/>
      <c r="J2319" s="14"/>
      <c r="K2319" s="14"/>
      <c r="L2319" s="14"/>
      <c r="M2319" s="14"/>
      <c r="N2319" s="14"/>
      <c r="O2319" s="4"/>
      <c r="P2319" s="14"/>
      <c r="Q2319" s="14"/>
    </row>
    <row r="2320" spans="1:17" x14ac:dyDescent="0.25">
      <c r="A2320" s="5"/>
      <c r="B2320" s="6"/>
      <c r="C2320" s="4"/>
      <c r="D2320" s="4"/>
      <c r="E2320" s="12"/>
      <c r="F2320" s="12"/>
      <c r="G2320" s="16"/>
      <c r="H2320" s="14"/>
      <c r="I2320" s="14"/>
      <c r="J2320" s="14"/>
      <c r="K2320" s="14"/>
      <c r="L2320" s="14"/>
      <c r="M2320" s="14"/>
      <c r="N2320" s="14"/>
      <c r="O2320" s="4"/>
      <c r="P2320" s="14"/>
      <c r="Q2320" s="14"/>
    </row>
    <row r="2321" spans="1:17" x14ac:dyDescent="0.25">
      <c r="A2321" s="5"/>
      <c r="B2321" s="6"/>
      <c r="C2321" s="4"/>
      <c r="D2321" s="4"/>
      <c r="E2321" s="12"/>
      <c r="F2321" s="12"/>
      <c r="G2321" s="16"/>
      <c r="H2321" s="14"/>
      <c r="I2321" s="14"/>
      <c r="J2321" s="14"/>
      <c r="K2321" s="14"/>
      <c r="L2321" s="14"/>
      <c r="M2321" s="14"/>
      <c r="N2321" s="14"/>
      <c r="O2321" s="4"/>
      <c r="P2321" s="14"/>
      <c r="Q2321" s="14"/>
    </row>
    <row r="2322" spans="1:17" x14ac:dyDescent="0.25">
      <c r="A2322" s="5"/>
      <c r="B2322" s="6"/>
      <c r="C2322" s="4"/>
      <c r="D2322" s="4"/>
      <c r="E2322" s="12"/>
      <c r="F2322" s="12"/>
      <c r="G2322" s="16"/>
      <c r="H2322" s="14"/>
      <c r="I2322" s="14"/>
      <c r="J2322" s="14"/>
      <c r="K2322" s="14"/>
      <c r="L2322" s="14"/>
      <c r="M2322" s="14"/>
      <c r="N2322" s="14"/>
      <c r="O2322" s="4"/>
      <c r="P2322" s="14"/>
      <c r="Q2322" s="14"/>
    </row>
    <row r="2323" spans="1:17" x14ac:dyDescent="0.25">
      <c r="A2323" s="5"/>
      <c r="B2323" s="6"/>
      <c r="C2323" s="4"/>
      <c r="D2323" s="4"/>
      <c r="E2323" s="12"/>
      <c r="F2323" s="12"/>
      <c r="G2323" s="16"/>
      <c r="H2323" s="14"/>
      <c r="I2323" s="14"/>
      <c r="J2323" s="14"/>
      <c r="K2323" s="14"/>
      <c r="L2323" s="14"/>
      <c r="M2323" s="14"/>
      <c r="N2323" s="14"/>
      <c r="O2323" s="4"/>
      <c r="P2323" s="14"/>
      <c r="Q2323" s="14"/>
    </row>
    <row r="2324" spans="1:17" x14ac:dyDescent="0.25">
      <c r="A2324" s="5"/>
      <c r="B2324" s="6"/>
      <c r="C2324" s="4"/>
      <c r="D2324" s="4"/>
      <c r="E2324" s="12"/>
      <c r="F2324" s="12"/>
      <c r="G2324" s="16"/>
      <c r="H2324" s="14"/>
      <c r="I2324" s="14"/>
      <c r="J2324" s="14"/>
      <c r="K2324" s="14"/>
      <c r="L2324" s="14"/>
      <c r="M2324" s="14"/>
      <c r="N2324" s="14"/>
      <c r="O2324" s="4"/>
      <c r="P2324" s="14"/>
      <c r="Q2324" s="14"/>
    </row>
    <row r="2325" spans="1:17" x14ac:dyDescent="0.25">
      <c r="A2325" s="5"/>
      <c r="B2325" s="6"/>
      <c r="C2325" s="4"/>
      <c r="D2325" s="4"/>
      <c r="E2325" s="12"/>
      <c r="F2325" s="12"/>
      <c r="G2325" s="16"/>
      <c r="H2325" s="14"/>
      <c r="I2325" s="14"/>
      <c r="J2325" s="14"/>
      <c r="K2325" s="14"/>
      <c r="L2325" s="14"/>
      <c r="M2325" s="14"/>
      <c r="N2325" s="14"/>
      <c r="O2325" s="4"/>
      <c r="P2325" s="14"/>
      <c r="Q2325" s="14"/>
    </row>
    <row r="2326" spans="1:17" x14ac:dyDescent="0.25">
      <c r="A2326" s="5"/>
      <c r="B2326" s="6"/>
      <c r="C2326" s="4"/>
      <c r="D2326" s="4"/>
      <c r="E2326" s="12"/>
      <c r="F2326" s="12"/>
      <c r="G2326" s="16"/>
      <c r="H2326" s="14"/>
      <c r="I2326" s="14"/>
      <c r="J2326" s="14"/>
      <c r="K2326" s="14"/>
      <c r="L2326" s="14"/>
      <c r="M2326" s="14"/>
      <c r="N2326" s="14"/>
      <c r="O2326" s="4"/>
      <c r="P2326" s="14"/>
      <c r="Q2326" s="14"/>
    </row>
    <row r="2327" spans="1:17" x14ac:dyDescent="0.25">
      <c r="A2327" s="5"/>
      <c r="B2327" s="6"/>
      <c r="C2327" s="4"/>
      <c r="D2327" s="4"/>
      <c r="E2327" s="12"/>
      <c r="F2327" s="12"/>
      <c r="G2327" s="16"/>
      <c r="H2327" s="14"/>
      <c r="I2327" s="14"/>
      <c r="J2327" s="14"/>
      <c r="K2327" s="14"/>
      <c r="L2327" s="14"/>
      <c r="M2327" s="14"/>
      <c r="N2327" s="14"/>
      <c r="O2327" s="4"/>
      <c r="P2327" s="14"/>
      <c r="Q2327" s="14"/>
    </row>
    <row r="2328" spans="1:17" x14ac:dyDescent="0.25">
      <c r="A2328" s="5"/>
      <c r="B2328" s="6"/>
      <c r="C2328" s="4"/>
      <c r="D2328" s="4"/>
      <c r="E2328" s="12"/>
      <c r="F2328" s="12"/>
      <c r="G2328" s="16"/>
      <c r="H2328" s="14"/>
      <c r="I2328" s="14"/>
      <c r="J2328" s="14"/>
      <c r="K2328" s="14"/>
      <c r="L2328" s="14"/>
      <c r="M2328" s="14"/>
      <c r="N2328" s="14"/>
      <c r="O2328" s="4"/>
      <c r="P2328" s="14"/>
      <c r="Q2328" s="14"/>
    </row>
    <row r="2329" spans="1:17" x14ac:dyDescent="0.25">
      <c r="A2329" s="5"/>
      <c r="B2329" s="6"/>
      <c r="C2329" s="4"/>
      <c r="D2329" s="4"/>
      <c r="E2329" s="12"/>
      <c r="F2329" s="12"/>
      <c r="G2329" s="16"/>
      <c r="H2329" s="14"/>
      <c r="I2329" s="14"/>
      <c r="J2329" s="14"/>
      <c r="K2329" s="14"/>
      <c r="L2329" s="14"/>
      <c r="M2329" s="14"/>
      <c r="N2329" s="14"/>
      <c r="O2329" s="4"/>
      <c r="P2329" s="14"/>
      <c r="Q2329" s="14"/>
    </row>
    <row r="2330" spans="1:17" x14ac:dyDescent="0.25">
      <c r="A2330" s="5"/>
      <c r="B2330" s="6"/>
      <c r="C2330" s="4"/>
      <c r="D2330" s="4"/>
      <c r="E2330" s="12"/>
      <c r="F2330" s="12"/>
      <c r="G2330" s="16"/>
      <c r="H2330" s="14"/>
      <c r="I2330" s="14"/>
      <c r="J2330" s="14"/>
      <c r="K2330" s="14"/>
      <c r="L2330" s="14"/>
      <c r="M2330" s="14"/>
      <c r="N2330" s="14"/>
      <c r="O2330" s="4"/>
      <c r="P2330" s="14"/>
      <c r="Q2330" s="14"/>
    </row>
    <row r="2331" spans="1:17" x14ac:dyDescent="0.25">
      <c r="A2331" s="5"/>
      <c r="B2331" s="6"/>
      <c r="C2331" s="4"/>
      <c r="D2331" s="4"/>
      <c r="E2331" s="12"/>
      <c r="F2331" s="12"/>
      <c r="G2331" s="16"/>
      <c r="H2331" s="14"/>
      <c r="I2331" s="14"/>
      <c r="J2331" s="14"/>
      <c r="K2331" s="14"/>
      <c r="L2331" s="14"/>
      <c r="M2331" s="14"/>
      <c r="N2331" s="14"/>
      <c r="O2331" s="4"/>
      <c r="P2331" s="14"/>
      <c r="Q2331" s="14"/>
    </row>
    <row r="2332" spans="1:17" x14ac:dyDescent="0.25">
      <c r="A2332" s="5"/>
      <c r="B2332" s="6"/>
      <c r="C2332" s="4"/>
      <c r="D2332" s="4"/>
      <c r="E2332" s="12"/>
      <c r="F2332" s="12"/>
      <c r="G2332" s="16"/>
      <c r="H2332" s="14"/>
      <c r="I2332" s="14"/>
      <c r="J2332" s="14"/>
      <c r="K2332" s="14"/>
      <c r="L2332" s="14"/>
      <c r="M2332" s="14"/>
      <c r="N2332" s="14"/>
      <c r="O2332" s="4"/>
      <c r="P2332" s="14"/>
      <c r="Q2332" s="14"/>
    </row>
    <row r="2333" spans="1:17" x14ac:dyDescent="0.25">
      <c r="A2333" s="5"/>
      <c r="B2333" s="6"/>
      <c r="C2333" s="4"/>
      <c r="D2333" s="4"/>
      <c r="E2333" s="12"/>
      <c r="F2333" s="12"/>
      <c r="G2333" s="16"/>
      <c r="H2333" s="14"/>
      <c r="I2333" s="14"/>
      <c r="J2333" s="14"/>
      <c r="K2333" s="14"/>
      <c r="L2333" s="14"/>
      <c r="M2333" s="14"/>
      <c r="N2333" s="14"/>
      <c r="O2333" s="4"/>
      <c r="P2333" s="14"/>
      <c r="Q2333" s="14"/>
    </row>
    <row r="2334" spans="1:17" x14ac:dyDescent="0.25">
      <c r="A2334" s="5"/>
      <c r="B2334" s="6"/>
      <c r="C2334" s="4"/>
      <c r="D2334" s="4"/>
      <c r="E2334" s="12"/>
      <c r="F2334" s="12"/>
      <c r="G2334" s="16"/>
      <c r="H2334" s="14"/>
      <c r="I2334" s="14"/>
      <c r="J2334" s="14"/>
      <c r="K2334" s="14"/>
      <c r="L2334" s="14"/>
      <c r="M2334" s="14"/>
      <c r="N2334" s="14"/>
      <c r="O2334" s="4"/>
      <c r="P2334" s="14"/>
      <c r="Q2334" s="14"/>
    </row>
    <row r="2335" spans="1:17" x14ac:dyDescent="0.25">
      <c r="A2335" s="5"/>
      <c r="B2335" s="6"/>
      <c r="C2335" s="4"/>
      <c r="D2335" s="4"/>
      <c r="E2335" s="12"/>
      <c r="F2335" s="12"/>
      <c r="G2335" s="16"/>
      <c r="H2335" s="14"/>
      <c r="I2335" s="14"/>
      <c r="J2335" s="14"/>
      <c r="K2335" s="14"/>
      <c r="L2335" s="14"/>
      <c r="M2335" s="14"/>
      <c r="N2335" s="14"/>
      <c r="O2335" s="4"/>
      <c r="P2335" s="14"/>
      <c r="Q2335" s="14"/>
    </row>
    <row r="2336" spans="1:17" x14ac:dyDescent="0.25">
      <c r="A2336" s="5"/>
      <c r="B2336" s="6"/>
      <c r="C2336" s="4"/>
      <c r="D2336" s="4"/>
      <c r="E2336" s="12"/>
      <c r="F2336" s="12"/>
      <c r="G2336" s="16"/>
      <c r="H2336" s="14"/>
      <c r="I2336" s="14"/>
      <c r="J2336" s="14"/>
      <c r="K2336" s="14"/>
      <c r="L2336" s="14"/>
      <c r="M2336" s="14"/>
      <c r="N2336" s="14"/>
      <c r="O2336" s="4"/>
      <c r="P2336" s="14"/>
      <c r="Q2336" s="14"/>
    </row>
    <row r="2337" spans="1:17" x14ac:dyDescent="0.25">
      <c r="A2337" s="5"/>
      <c r="B2337" s="6"/>
      <c r="C2337" s="4"/>
      <c r="D2337" s="4"/>
      <c r="E2337" s="12"/>
      <c r="F2337" s="12"/>
      <c r="G2337" s="16"/>
      <c r="H2337" s="14"/>
      <c r="I2337" s="14"/>
      <c r="J2337" s="14"/>
      <c r="K2337" s="14"/>
      <c r="L2337" s="14"/>
      <c r="M2337" s="14"/>
      <c r="N2337" s="14"/>
      <c r="O2337" s="4"/>
      <c r="P2337" s="14"/>
      <c r="Q2337" s="14"/>
    </row>
    <row r="2338" spans="1:17" x14ac:dyDescent="0.25">
      <c r="A2338" s="5"/>
      <c r="B2338" s="6"/>
      <c r="C2338" s="4"/>
      <c r="D2338" s="4"/>
      <c r="E2338" s="12"/>
      <c r="F2338" s="12"/>
      <c r="G2338" s="16"/>
      <c r="H2338" s="14"/>
      <c r="I2338" s="14"/>
      <c r="J2338" s="14"/>
      <c r="K2338" s="14"/>
      <c r="L2338" s="14"/>
      <c r="M2338" s="14"/>
      <c r="N2338" s="14"/>
      <c r="O2338" s="4"/>
      <c r="P2338" s="14"/>
      <c r="Q2338" s="14"/>
    </row>
    <row r="2339" spans="1:17" x14ac:dyDescent="0.25">
      <c r="A2339" s="5"/>
      <c r="B2339" s="6"/>
      <c r="C2339" s="4"/>
      <c r="D2339" s="4"/>
      <c r="E2339" s="12"/>
      <c r="F2339" s="12"/>
      <c r="G2339" s="16"/>
      <c r="H2339" s="14"/>
      <c r="I2339" s="14"/>
      <c r="J2339" s="14"/>
      <c r="K2339" s="14"/>
      <c r="L2339" s="14"/>
      <c r="M2339" s="14"/>
      <c r="N2339" s="14"/>
      <c r="O2339" s="4"/>
      <c r="P2339" s="14"/>
      <c r="Q2339" s="14"/>
    </row>
    <row r="2340" spans="1:17" x14ac:dyDescent="0.25">
      <c r="A2340" s="5"/>
      <c r="B2340" s="6"/>
      <c r="C2340" s="4"/>
      <c r="D2340" s="4"/>
      <c r="E2340" s="12"/>
      <c r="F2340" s="12"/>
      <c r="G2340" s="16"/>
      <c r="H2340" s="14"/>
      <c r="I2340" s="14"/>
      <c r="J2340" s="14"/>
      <c r="K2340" s="14"/>
      <c r="L2340" s="14"/>
      <c r="M2340" s="14"/>
      <c r="N2340" s="14"/>
      <c r="O2340" s="4"/>
      <c r="P2340" s="14"/>
      <c r="Q2340" s="14"/>
    </row>
    <row r="2341" spans="1:17" x14ac:dyDescent="0.25">
      <c r="A2341" s="5"/>
      <c r="B2341" s="6"/>
      <c r="C2341" s="4"/>
      <c r="D2341" s="4"/>
      <c r="E2341" s="12"/>
      <c r="F2341" s="12"/>
      <c r="G2341" s="16"/>
      <c r="H2341" s="14"/>
      <c r="I2341" s="14"/>
      <c r="J2341" s="14"/>
      <c r="K2341" s="14"/>
      <c r="L2341" s="14"/>
      <c r="M2341" s="14"/>
      <c r="N2341" s="14"/>
      <c r="O2341" s="4"/>
      <c r="P2341" s="14"/>
      <c r="Q2341" s="14"/>
    </row>
    <row r="2342" spans="1:17" x14ac:dyDescent="0.25">
      <c r="A2342" s="5"/>
      <c r="B2342" s="6"/>
      <c r="C2342" s="4"/>
      <c r="D2342" s="4"/>
      <c r="E2342" s="12"/>
      <c r="F2342" s="12"/>
      <c r="G2342" s="16"/>
      <c r="H2342" s="14"/>
      <c r="I2342" s="14"/>
      <c r="J2342" s="14"/>
      <c r="K2342" s="14"/>
      <c r="L2342" s="14"/>
      <c r="M2342" s="14"/>
      <c r="N2342" s="14"/>
      <c r="O2342" s="4"/>
      <c r="P2342" s="14"/>
      <c r="Q2342" s="14"/>
    </row>
    <row r="2343" spans="1:17" x14ac:dyDescent="0.25">
      <c r="A2343" s="5"/>
      <c r="B2343" s="6"/>
      <c r="C2343" s="4"/>
      <c r="D2343" s="4"/>
      <c r="E2343" s="12"/>
      <c r="F2343" s="12"/>
      <c r="G2343" s="16"/>
      <c r="H2343" s="14"/>
      <c r="I2343" s="14"/>
      <c r="J2343" s="14"/>
      <c r="K2343" s="14"/>
      <c r="L2343" s="14"/>
      <c r="M2343" s="14"/>
      <c r="N2343" s="14"/>
      <c r="O2343" s="4"/>
      <c r="P2343" s="14"/>
      <c r="Q2343" s="14"/>
    </row>
    <row r="2344" spans="1:17" x14ac:dyDescent="0.25">
      <c r="A2344" s="5"/>
      <c r="B2344" s="6"/>
      <c r="C2344" s="4"/>
      <c r="D2344" s="4"/>
      <c r="E2344" s="12"/>
      <c r="F2344" s="12"/>
      <c r="G2344" s="16"/>
      <c r="H2344" s="14"/>
      <c r="I2344" s="14"/>
      <c r="J2344" s="14"/>
      <c r="K2344" s="14"/>
      <c r="L2344" s="14"/>
      <c r="M2344" s="14"/>
      <c r="N2344" s="14"/>
      <c r="O2344" s="4"/>
      <c r="P2344" s="14"/>
      <c r="Q2344" s="14"/>
    </row>
    <row r="2345" spans="1:17" x14ac:dyDescent="0.25">
      <c r="A2345" s="5"/>
      <c r="B2345" s="6"/>
      <c r="C2345" s="4"/>
      <c r="D2345" s="4"/>
      <c r="E2345" s="12"/>
      <c r="F2345" s="12"/>
      <c r="G2345" s="16"/>
      <c r="H2345" s="14"/>
      <c r="I2345" s="14"/>
      <c r="J2345" s="14"/>
      <c r="K2345" s="14"/>
      <c r="L2345" s="14"/>
      <c r="M2345" s="14"/>
      <c r="N2345" s="14"/>
      <c r="O2345" s="4"/>
      <c r="P2345" s="14"/>
      <c r="Q2345" s="14"/>
    </row>
    <row r="2346" spans="1:17" x14ac:dyDescent="0.25">
      <c r="A2346" s="5"/>
      <c r="B2346" s="6"/>
      <c r="C2346" s="4"/>
      <c r="D2346" s="4"/>
      <c r="E2346" s="12"/>
      <c r="F2346" s="12"/>
      <c r="G2346" s="16"/>
      <c r="H2346" s="14"/>
      <c r="I2346" s="14"/>
      <c r="J2346" s="14"/>
      <c r="K2346" s="14"/>
      <c r="L2346" s="14"/>
      <c r="M2346" s="14"/>
      <c r="N2346" s="14"/>
      <c r="O2346" s="4"/>
      <c r="P2346" s="14"/>
      <c r="Q2346" s="14"/>
    </row>
    <row r="2347" spans="1:17" x14ac:dyDescent="0.25">
      <c r="A2347" s="5"/>
      <c r="B2347" s="6"/>
      <c r="C2347" s="4"/>
      <c r="D2347" s="4"/>
      <c r="E2347" s="12"/>
      <c r="F2347" s="12"/>
      <c r="G2347" s="16"/>
      <c r="H2347" s="14"/>
      <c r="I2347" s="14"/>
      <c r="J2347" s="14"/>
      <c r="K2347" s="14"/>
      <c r="L2347" s="14"/>
      <c r="M2347" s="14"/>
      <c r="N2347" s="14"/>
      <c r="O2347" s="4"/>
      <c r="P2347" s="14"/>
      <c r="Q2347" s="14"/>
    </row>
    <row r="2348" spans="1:17" x14ac:dyDescent="0.25">
      <c r="A2348" s="5"/>
      <c r="B2348" s="6"/>
      <c r="C2348" s="4"/>
      <c r="D2348" s="4"/>
      <c r="E2348" s="12"/>
      <c r="F2348" s="12"/>
      <c r="G2348" s="16"/>
      <c r="H2348" s="14"/>
      <c r="I2348" s="14"/>
      <c r="J2348" s="14"/>
      <c r="K2348" s="14"/>
      <c r="L2348" s="14"/>
      <c r="M2348" s="14"/>
      <c r="N2348" s="14"/>
      <c r="O2348" s="4"/>
      <c r="P2348" s="14"/>
      <c r="Q2348" s="14"/>
    </row>
    <row r="2349" spans="1:17" x14ac:dyDescent="0.25">
      <c r="A2349" s="5"/>
      <c r="B2349" s="6"/>
      <c r="C2349" s="4"/>
      <c r="D2349" s="4"/>
      <c r="E2349" s="12"/>
      <c r="F2349" s="12"/>
      <c r="G2349" s="16"/>
      <c r="H2349" s="14"/>
      <c r="I2349" s="14"/>
      <c r="J2349" s="14"/>
      <c r="K2349" s="14"/>
      <c r="L2349" s="14"/>
      <c r="M2349" s="14"/>
      <c r="N2349" s="14"/>
      <c r="O2349" s="4"/>
      <c r="P2349" s="14"/>
      <c r="Q2349" s="14"/>
    </row>
    <row r="2350" spans="1:17" x14ac:dyDescent="0.25">
      <c r="A2350" s="5"/>
      <c r="B2350" s="6"/>
      <c r="C2350" s="4"/>
      <c r="D2350" s="4"/>
      <c r="E2350" s="12"/>
      <c r="F2350" s="12"/>
      <c r="G2350" s="16"/>
      <c r="H2350" s="14"/>
      <c r="I2350" s="14"/>
      <c r="J2350" s="14"/>
      <c r="K2350" s="14"/>
      <c r="L2350" s="14"/>
      <c r="M2350" s="14"/>
      <c r="N2350" s="14"/>
      <c r="O2350" s="4"/>
      <c r="P2350" s="14"/>
      <c r="Q2350" s="14"/>
    </row>
    <row r="2351" spans="1:17" x14ac:dyDescent="0.25">
      <c r="A2351" s="5"/>
      <c r="B2351" s="6"/>
      <c r="C2351" s="4"/>
      <c r="D2351" s="4"/>
      <c r="E2351" s="12"/>
      <c r="F2351" s="12"/>
      <c r="G2351" s="16"/>
      <c r="H2351" s="14"/>
      <c r="I2351" s="14"/>
      <c r="J2351" s="14"/>
      <c r="K2351" s="14"/>
      <c r="L2351" s="14"/>
      <c r="M2351" s="14"/>
      <c r="N2351" s="14"/>
      <c r="O2351" s="4"/>
      <c r="P2351" s="14"/>
      <c r="Q2351" s="14"/>
    </row>
    <row r="2352" spans="1:17" x14ac:dyDescent="0.25">
      <c r="A2352" s="5"/>
      <c r="B2352" s="6"/>
      <c r="C2352" s="4"/>
      <c r="D2352" s="4"/>
      <c r="E2352" s="12"/>
      <c r="F2352" s="12"/>
      <c r="G2352" s="16"/>
      <c r="H2352" s="14"/>
      <c r="I2352" s="14"/>
      <c r="J2352" s="14"/>
      <c r="K2352" s="14"/>
      <c r="L2352" s="14"/>
      <c r="M2352" s="14"/>
      <c r="N2352" s="14"/>
      <c r="O2352" s="4"/>
      <c r="P2352" s="14"/>
      <c r="Q2352" s="14"/>
    </row>
    <row r="2353" spans="1:17" x14ac:dyDescent="0.25">
      <c r="A2353" s="5"/>
      <c r="B2353" s="6"/>
      <c r="C2353" s="4"/>
      <c r="D2353" s="4"/>
      <c r="E2353" s="12"/>
      <c r="F2353" s="12"/>
      <c r="G2353" s="16"/>
      <c r="H2353" s="14"/>
      <c r="I2353" s="14"/>
      <c r="J2353" s="14"/>
      <c r="K2353" s="14"/>
      <c r="L2353" s="14"/>
      <c r="M2353" s="14"/>
      <c r="N2353" s="14"/>
      <c r="O2353" s="4"/>
      <c r="P2353" s="14"/>
      <c r="Q2353" s="14"/>
    </row>
    <row r="2354" spans="1:17" x14ac:dyDescent="0.25">
      <c r="A2354" s="5"/>
      <c r="B2354" s="6"/>
      <c r="C2354" s="4"/>
      <c r="D2354" s="4"/>
      <c r="E2354" s="12"/>
      <c r="F2354" s="12"/>
      <c r="G2354" s="16"/>
      <c r="H2354" s="14"/>
      <c r="I2354" s="14"/>
      <c r="J2354" s="14"/>
      <c r="K2354" s="14"/>
      <c r="L2354" s="14"/>
      <c r="M2354" s="14"/>
      <c r="N2354" s="14"/>
      <c r="O2354" s="4"/>
      <c r="P2354" s="14"/>
      <c r="Q2354" s="14"/>
    </row>
    <row r="2355" spans="1:17" x14ac:dyDescent="0.25">
      <c r="A2355" s="5"/>
      <c r="B2355" s="6"/>
      <c r="C2355" s="4"/>
      <c r="D2355" s="4"/>
      <c r="E2355" s="12"/>
      <c r="F2355" s="12"/>
      <c r="G2355" s="16"/>
      <c r="H2355" s="14"/>
      <c r="I2355" s="14"/>
      <c r="J2355" s="14"/>
      <c r="K2355" s="14"/>
      <c r="L2355" s="14"/>
      <c r="M2355" s="14"/>
      <c r="N2355" s="14"/>
      <c r="O2355" s="4"/>
      <c r="P2355" s="14"/>
      <c r="Q2355" s="14"/>
    </row>
    <row r="2356" spans="1:17" x14ac:dyDescent="0.25">
      <c r="A2356" s="5"/>
      <c r="B2356" s="6"/>
      <c r="C2356" s="4"/>
      <c r="D2356" s="4"/>
      <c r="E2356" s="12"/>
      <c r="F2356" s="12"/>
      <c r="G2356" s="16"/>
      <c r="H2356" s="14"/>
      <c r="I2356" s="14"/>
      <c r="J2356" s="14"/>
      <c r="K2356" s="14"/>
      <c r="L2356" s="14"/>
      <c r="M2356" s="14"/>
      <c r="N2356" s="14"/>
      <c r="O2356" s="4"/>
      <c r="P2356" s="14"/>
      <c r="Q2356" s="14"/>
    </row>
    <row r="2357" spans="1:17" x14ac:dyDescent="0.25">
      <c r="A2357" s="5"/>
      <c r="B2357" s="6"/>
      <c r="C2357" s="4"/>
      <c r="D2357" s="4"/>
      <c r="E2357" s="12"/>
      <c r="F2357" s="12"/>
      <c r="G2357" s="16"/>
      <c r="H2357" s="14"/>
      <c r="I2357" s="14"/>
      <c r="J2357" s="14"/>
      <c r="K2357" s="14"/>
      <c r="L2357" s="14"/>
      <c r="M2357" s="14"/>
      <c r="N2357" s="14"/>
      <c r="O2357" s="4"/>
      <c r="P2357" s="14"/>
      <c r="Q2357" s="14"/>
    </row>
    <row r="2358" spans="1:17" x14ac:dyDescent="0.25">
      <c r="A2358" s="5"/>
      <c r="B2358" s="6"/>
      <c r="C2358" s="4"/>
      <c r="D2358" s="4"/>
      <c r="E2358" s="12"/>
      <c r="F2358" s="12"/>
      <c r="G2358" s="16"/>
      <c r="H2358" s="14"/>
      <c r="I2358" s="14"/>
      <c r="J2358" s="14"/>
      <c r="K2358" s="14"/>
      <c r="L2358" s="14"/>
      <c r="M2358" s="14"/>
      <c r="N2358" s="14"/>
      <c r="O2358" s="4"/>
      <c r="P2358" s="14"/>
      <c r="Q2358" s="14"/>
    </row>
    <row r="2359" spans="1:17" x14ac:dyDescent="0.25">
      <c r="A2359" s="5"/>
      <c r="B2359" s="6"/>
      <c r="C2359" s="4"/>
      <c r="D2359" s="4"/>
      <c r="E2359" s="12"/>
      <c r="F2359" s="12"/>
      <c r="G2359" s="16"/>
      <c r="H2359" s="14"/>
      <c r="I2359" s="14"/>
      <c r="J2359" s="14"/>
      <c r="K2359" s="14"/>
      <c r="L2359" s="14"/>
      <c r="M2359" s="14"/>
      <c r="N2359" s="14"/>
      <c r="O2359" s="4"/>
      <c r="P2359" s="14"/>
      <c r="Q2359" s="14"/>
    </row>
    <row r="2360" spans="1:17" x14ac:dyDescent="0.25">
      <c r="A2360" s="5"/>
      <c r="B2360" s="6"/>
      <c r="C2360" s="4"/>
      <c r="D2360" s="4"/>
      <c r="E2360" s="12"/>
      <c r="F2360" s="12"/>
      <c r="G2360" s="16"/>
      <c r="H2360" s="14"/>
      <c r="I2360" s="14"/>
      <c r="J2360" s="14"/>
      <c r="K2360" s="14"/>
      <c r="L2360" s="14"/>
      <c r="M2360" s="14"/>
      <c r="N2360" s="14"/>
      <c r="O2360" s="4"/>
      <c r="P2360" s="14"/>
      <c r="Q2360" s="14"/>
    </row>
    <row r="2361" spans="1:17" x14ac:dyDescent="0.25">
      <c r="A2361" s="5"/>
      <c r="B2361" s="6"/>
      <c r="C2361" s="4"/>
      <c r="D2361" s="4"/>
      <c r="E2361" s="12"/>
      <c r="F2361" s="12"/>
      <c r="G2361" s="16"/>
      <c r="H2361" s="14"/>
      <c r="I2361" s="14"/>
      <c r="J2361" s="14"/>
      <c r="K2361" s="14"/>
      <c r="L2361" s="14"/>
      <c r="M2361" s="14"/>
      <c r="N2361" s="14"/>
      <c r="O2361" s="4"/>
      <c r="P2361" s="14"/>
      <c r="Q2361" s="14"/>
    </row>
    <row r="2362" spans="1:17" x14ac:dyDescent="0.25">
      <c r="A2362" s="5"/>
      <c r="B2362" s="6"/>
      <c r="C2362" s="4"/>
      <c r="D2362" s="4"/>
      <c r="E2362" s="12"/>
      <c r="F2362" s="12"/>
      <c r="G2362" s="16"/>
      <c r="H2362" s="14"/>
      <c r="I2362" s="14"/>
      <c r="J2362" s="14"/>
      <c r="K2362" s="14"/>
      <c r="L2362" s="14"/>
      <c r="M2362" s="14"/>
      <c r="N2362" s="14"/>
      <c r="O2362" s="4"/>
      <c r="P2362" s="14"/>
      <c r="Q2362" s="14"/>
    </row>
    <row r="2363" spans="1:17" x14ac:dyDescent="0.25">
      <c r="A2363" s="5"/>
      <c r="B2363" s="6"/>
      <c r="C2363" s="4"/>
      <c r="D2363" s="4"/>
      <c r="E2363" s="12"/>
      <c r="F2363" s="12"/>
      <c r="G2363" s="16"/>
      <c r="H2363" s="14"/>
      <c r="I2363" s="14"/>
      <c r="J2363" s="14"/>
      <c r="K2363" s="14"/>
      <c r="L2363" s="14"/>
      <c r="M2363" s="14"/>
      <c r="N2363" s="14"/>
      <c r="O2363" s="4"/>
      <c r="P2363" s="14"/>
      <c r="Q2363" s="14"/>
    </row>
    <row r="2364" spans="1:17" x14ac:dyDescent="0.25">
      <c r="A2364" s="5"/>
      <c r="B2364" s="6"/>
      <c r="C2364" s="4"/>
      <c r="D2364" s="4"/>
      <c r="E2364" s="12"/>
      <c r="F2364" s="12"/>
      <c r="G2364" s="16"/>
      <c r="H2364" s="14"/>
      <c r="I2364" s="14"/>
      <c r="J2364" s="14"/>
      <c r="K2364" s="14"/>
      <c r="L2364" s="14"/>
      <c r="M2364" s="14"/>
      <c r="N2364" s="14"/>
      <c r="O2364" s="4"/>
      <c r="P2364" s="14"/>
      <c r="Q2364" s="14"/>
    </row>
    <row r="2365" spans="1:17" x14ac:dyDescent="0.25">
      <c r="A2365" s="5"/>
      <c r="B2365" s="6"/>
      <c r="C2365" s="4"/>
      <c r="D2365" s="4"/>
      <c r="E2365" s="12"/>
      <c r="F2365" s="12"/>
      <c r="G2365" s="16"/>
      <c r="H2365" s="14"/>
      <c r="I2365" s="14"/>
      <c r="J2365" s="14"/>
      <c r="K2365" s="14"/>
      <c r="L2365" s="14"/>
      <c r="M2365" s="14"/>
      <c r="N2365" s="14"/>
      <c r="O2365" s="4"/>
      <c r="P2365" s="14"/>
      <c r="Q2365" s="14"/>
    </row>
    <row r="2366" spans="1:17" x14ac:dyDescent="0.25">
      <c r="A2366" s="5"/>
      <c r="B2366" s="6"/>
      <c r="C2366" s="4"/>
      <c r="D2366" s="4"/>
      <c r="E2366" s="12"/>
      <c r="F2366" s="12"/>
      <c r="G2366" s="16"/>
      <c r="H2366" s="14"/>
      <c r="I2366" s="14"/>
      <c r="J2366" s="14"/>
      <c r="K2366" s="14"/>
      <c r="L2366" s="14"/>
      <c r="M2366" s="14"/>
      <c r="N2366" s="14"/>
      <c r="O2366" s="4"/>
      <c r="P2366" s="14"/>
      <c r="Q2366" s="14"/>
    </row>
    <row r="2367" spans="1:17" x14ac:dyDescent="0.25">
      <c r="A2367" s="5"/>
      <c r="B2367" s="6"/>
      <c r="C2367" s="4"/>
      <c r="D2367" s="4"/>
      <c r="E2367" s="12"/>
      <c r="F2367" s="12"/>
      <c r="G2367" s="16"/>
      <c r="H2367" s="14"/>
      <c r="I2367" s="14"/>
      <c r="J2367" s="14"/>
      <c r="K2367" s="14"/>
      <c r="L2367" s="14"/>
      <c r="M2367" s="14"/>
      <c r="N2367" s="14"/>
      <c r="O2367" s="4"/>
      <c r="P2367" s="14"/>
      <c r="Q2367" s="14"/>
    </row>
    <row r="2368" spans="1:17" x14ac:dyDescent="0.25">
      <c r="A2368" s="5"/>
      <c r="B2368" s="6"/>
      <c r="C2368" s="4"/>
      <c r="D2368" s="4"/>
      <c r="E2368" s="12"/>
      <c r="F2368" s="12"/>
      <c r="G2368" s="16"/>
      <c r="H2368" s="14"/>
      <c r="I2368" s="14"/>
      <c r="J2368" s="14"/>
      <c r="K2368" s="14"/>
      <c r="L2368" s="14"/>
      <c r="M2368" s="14"/>
      <c r="N2368" s="14"/>
      <c r="O2368" s="4"/>
      <c r="P2368" s="14"/>
      <c r="Q2368" s="14"/>
    </row>
    <row r="2369" spans="1:17" x14ac:dyDescent="0.25">
      <c r="A2369" s="5"/>
      <c r="B2369" s="6"/>
      <c r="C2369" s="4"/>
      <c r="D2369" s="4"/>
      <c r="E2369" s="12"/>
      <c r="F2369" s="12"/>
      <c r="G2369" s="16"/>
      <c r="H2369" s="14"/>
      <c r="I2369" s="14"/>
      <c r="J2369" s="14"/>
      <c r="K2369" s="14"/>
      <c r="L2369" s="14"/>
      <c r="M2369" s="14"/>
      <c r="N2369" s="14"/>
      <c r="O2369" s="4"/>
      <c r="P2369" s="14"/>
      <c r="Q2369" s="14"/>
    </row>
    <row r="2370" spans="1:17" x14ac:dyDescent="0.25">
      <c r="A2370" s="5"/>
      <c r="B2370" s="6"/>
      <c r="C2370" s="4"/>
      <c r="D2370" s="4"/>
      <c r="E2370" s="12"/>
      <c r="F2370" s="12"/>
      <c r="G2370" s="16"/>
      <c r="H2370" s="14"/>
      <c r="I2370" s="14"/>
      <c r="J2370" s="14"/>
      <c r="K2370" s="14"/>
      <c r="L2370" s="14"/>
      <c r="M2370" s="14"/>
      <c r="N2370" s="14"/>
      <c r="O2370" s="4"/>
      <c r="P2370" s="14"/>
      <c r="Q2370" s="14"/>
    </row>
    <row r="2371" spans="1:17" x14ac:dyDescent="0.25">
      <c r="A2371" s="5"/>
      <c r="B2371" s="6"/>
      <c r="C2371" s="4"/>
      <c r="D2371" s="4"/>
      <c r="E2371" s="12"/>
      <c r="F2371" s="12"/>
      <c r="G2371" s="16"/>
      <c r="H2371" s="14"/>
      <c r="I2371" s="14"/>
      <c r="J2371" s="14"/>
      <c r="K2371" s="14"/>
      <c r="L2371" s="14"/>
      <c r="M2371" s="14"/>
      <c r="N2371" s="14"/>
      <c r="O2371" s="4"/>
      <c r="P2371" s="14"/>
      <c r="Q2371" s="14"/>
    </row>
    <row r="2372" spans="1:17" x14ac:dyDescent="0.25">
      <c r="A2372" s="5"/>
      <c r="B2372" s="6"/>
      <c r="C2372" s="4"/>
      <c r="D2372" s="4"/>
      <c r="E2372" s="12"/>
      <c r="F2372" s="12"/>
      <c r="G2372" s="16"/>
      <c r="H2372" s="14"/>
      <c r="I2372" s="14"/>
      <c r="J2372" s="14"/>
      <c r="K2372" s="14"/>
      <c r="L2372" s="14"/>
      <c r="M2372" s="14"/>
      <c r="N2372" s="14"/>
      <c r="O2372" s="4"/>
      <c r="P2372" s="14"/>
      <c r="Q2372" s="14"/>
    </row>
    <row r="2373" spans="1:17" x14ac:dyDescent="0.25">
      <c r="A2373" s="5"/>
      <c r="B2373" s="6"/>
      <c r="C2373" s="4"/>
      <c r="D2373" s="4"/>
      <c r="E2373" s="12"/>
      <c r="F2373" s="12"/>
      <c r="G2373" s="16"/>
      <c r="H2373" s="14"/>
      <c r="I2373" s="14"/>
      <c r="J2373" s="14"/>
      <c r="K2373" s="14"/>
      <c r="L2373" s="14"/>
      <c r="M2373" s="14"/>
      <c r="N2373" s="14"/>
      <c r="O2373" s="4"/>
      <c r="P2373" s="14"/>
      <c r="Q2373" s="14"/>
    </row>
    <row r="2374" spans="1:17" x14ac:dyDescent="0.25">
      <c r="A2374" s="5"/>
      <c r="B2374" s="6"/>
      <c r="C2374" s="4"/>
      <c r="D2374" s="4"/>
      <c r="E2374" s="12"/>
      <c r="F2374" s="12"/>
      <c r="G2374" s="16"/>
      <c r="H2374" s="14"/>
      <c r="I2374" s="14"/>
      <c r="J2374" s="14"/>
      <c r="K2374" s="14"/>
      <c r="L2374" s="14"/>
      <c r="M2374" s="14"/>
      <c r="N2374" s="14"/>
      <c r="O2374" s="4"/>
      <c r="P2374" s="14"/>
      <c r="Q2374" s="14"/>
    </row>
    <row r="2375" spans="1:17" x14ac:dyDescent="0.25">
      <c r="A2375" s="5"/>
      <c r="B2375" s="6"/>
      <c r="C2375" s="4"/>
      <c r="D2375" s="4"/>
      <c r="E2375" s="12"/>
      <c r="F2375" s="12"/>
      <c r="G2375" s="16"/>
      <c r="H2375" s="14"/>
      <c r="I2375" s="14"/>
      <c r="J2375" s="14"/>
      <c r="K2375" s="14"/>
      <c r="L2375" s="14"/>
      <c r="M2375" s="14"/>
      <c r="N2375" s="14"/>
      <c r="O2375" s="4"/>
      <c r="P2375" s="14"/>
      <c r="Q2375" s="14"/>
    </row>
    <row r="2376" spans="1:17" x14ac:dyDescent="0.25">
      <c r="A2376" s="5"/>
      <c r="B2376" s="6"/>
      <c r="C2376" s="4"/>
      <c r="D2376" s="4"/>
      <c r="E2376" s="12"/>
      <c r="F2376" s="12"/>
      <c r="G2376" s="16"/>
      <c r="H2376" s="14"/>
      <c r="I2376" s="14"/>
      <c r="J2376" s="14"/>
      <c r="K2376" s="14"/>
      <c r="L2376" s="14"/>
      <c r="M2376" s="14"/>
      <c r="N2376" s="14"/>
      <c r="O2376" s="4"/>
      <c r="P2376" s="14"/>
      <c r="Q2376" s="14"/>
    </row>
    <row r="2377" spans="1:17" x14ac:dyDescent="0.25">
      <c r="A2377" s="5"/>
      <c r="B2377" s="6"/>
      <c r="C2377" s="4"/>
      <c r="D2377" s="4"/>
      <c r="E2377" s="12"/>
      <c r="F2377" s="12"/>
      <c r="G2377" s="16"/>
      <c r="H2377" s="14"/>
      <c r="I2377" s="14"/>
      <c r="J2377" s="14"/>
      <c r="K2377" s="14"/>
      <c r="L2377" s="14"/>
      <c r="M2377" s="14"/>
      <c r="N2377" s="14"/>
      <c r="O2377" s="4"/>
      <c r="P2377" s="14"/>
      <c r="Q2377" s="14"/>
    </row>
    <row r="2378" spans="1:17" x14ac:dyDescent="0.25">
      <c r="A2378" s="5"/>
      <c r="B2378" s="6"/>
      <c r="C2378" s="4"/>
      <c r="D2378" s="4"/>
      <c r="E2378" s="12"/>
      <c r="F2378" s="12"/>
      <c r="G2378" s="16"/>
      <c r="H2378" s="14"/>
      <c r="I2378" s="14"/>
      <c r="J2378" s="14"/>
      <c r="K2378" s="14"/>
      <c r="L2378" s="14"/>
      <c r="M2378" s="14"/>
      <c r="N2378" s="14"/>
      <c r="O2378" s="4"/>
      <c r="P2378" s="14"/>
      <c r="Q2378" s="14"/>
    </row>
    <row r="2379" spans="1:17" x14ac:dyDescent="0.25">
      <c r="A2379" s="5"/>
      <c r="B2379" s="6"/>
      <c r="C2379" s="4"/>
      <c r="D2379" s="4"/>
      <c r="E2379" s="12"/>
      <c r="F2379" s="12"/>
      <c r="G2379" s="16"/>
      <c r="H2379" s="14"/>
      <c r="I2379" s="14"/>
      <c r="J2379" s="14"/>
      <c r="K2379" s="14"/>
      <c r="L2379" s="14"/>
      <c r="M2379" s="14"/>
      <c r="N2379" s="14"/>
      <c r="O2379" s="4"/>
      <c r="P2379" s="14"/>
      <c r="Q2379" s="14"/>
    </row>
    <row r="2380" spans="1:17" x14ac:dyDescent="0.25">
      <c r="A2380" s="5"/>
      <c r="B2380" s="6"/>
      <c r="C2380" s="4"/>
      <c r="D2380" s="4"/>
      <c r="E2380" s="12"/>
      <c r="F2380" s="12"/>
      <c r="G2380" s="16"/>
      <c r="H2380" s="14"/>
      <c r="I2380" s="14"/>
      <c r="J2380" s="14"/>
      <c r="K2380" s="14"/>
      <c r="L2380" s="14"/>
      <c r="M2380" s="14"/>
      <c r="N2380" s="14"/>
      <c r="O2380" s="4"/>
      <c r="P2380" s="14"/>
      <c r="Q2380" s="14"/>
    </row>
    <row r="2381" spans="1:17" x14ac:dyDescent="0.25">
      <c r="A2381" s="5"/>
      <c r="B2381" s="6"/>
      <c r="C2381" s="4"/>
      <c r="D2381" s="4"/>
      <c r="E2381" s="12"/>
      <c r="F2381" s="12"/>
      <c r="G2381" s="16"/>
      <c r="H2381" s="14"/>
      <c r="I2381" s="14"/>
      <c r="J2381" s="14"/>
      <c r="K2381" s="14"/>
      <c r="L2381" s="14"/>
      <c r="M2381" s="14"/>
      <c r="N2381" s="14"/>
      <c r="O2381" s="4"/>
      <c r="P2381" s="14"/>
      <c r="Q2381" s="14"/>
    </row>
    <row r="2382" spans="1:17" x14ac:dyDescent="0.25">
      <c r="A2382" s="5"/>
      <c r="B2382" s="6"/>
      <c r="C2382" s="4"/>
      <c r="D2382" s="4"/>
      <c r="E2382" s="12"/>
      <c r="F2382" s="12"/>
      <c r="G2382" s="16"/>
      <c r="H2382" s="14"/>
      <c r="I2382" s="14"/>
      <c r="J2382" s="14"/>
      <c r="K2382" s="14"/>
      <c r="L2382" s="14"/>
      <c r="M2382" s="14"/>
      <c r="N2382" s="14"/>
      <c r="O2382" s="4"/>
      <c r="P2382" s="14"/>
      <c r="Q2382" s="14"/>
    </row>
    <row r="2383" spans="1:17" x14ac:dyDescent="0.25">
      <c r="A2383" s="5"/>
      <c r="B2383" s="6"/>
      <c r="C2383" s="4"/>
      <c r="D2383" s="4"/>
      <c r="E2383" s="12"/>
      <c r="F2383" s="12"/>
      <c r="G2383" s="16"/>
      <c r="H2383" s="14"/>
      <c r="I2383" s="14"/>
      <c r="J2383" s="14"/>
      <c r="K2383" s="14"/>
      <c r="L2383" s="14"/>
      <c r="M2383" s="14"/>
      <c r="N2383" s="14"/>
      <c r="O2383" s="4"/>
      <c r="P2383" s="14"/>
      <c r="Q2383" s="14"/>
    </row>
    <row r="2384" spans="1:17" x14ac:dyDescent="0.25">
      <c r="A2384" s="5"/>
      <c r="B2384" s="6"/>
      <c r="C2384" s="4"/>
      <c r="D2384" s="4"/>
      <c r="E2384" s="12"/>
      <c r="F2384" s="12"/>
      <c r="G2384" s="16"/>
      <c r="H2384" s="14"/>
      <c r="I2384" s="14"/>
      <c r="J2384" s="14"/>
      <c r="K2384" s="14"/>
      <c r="L2384" s="14"/>
      <c r="M2384" s="14"/>
      <c r="N2384" s="14"/>
      <c r="O2384" s="4"/>
      <c r="P2384" s="14"/>
      <c r="Q2384" s="14"/>
    </row>
    <row r="2385" spans="1:17" x14ac:dyDescent="0.25">
      <c r="A2385" s="5"/>
      <c r="B2385" s="6"/>
      <c r="C2385" s="4"/>
      <c r="D2385" s="4"/>
      <c r="E2385" s="12"/>
      <c r="F2385" s="12"/>
      <c r="G2385" s="16"/>
      <c r="H2385" s="14"/>
      <c r="I2385" s="14"/>
      <c r="J2385" s="14"/>
      <c r="K2385" s="14"/>
      <c r="L2385" s="14"/>
      <c r="M2385" s="14"/>
      <c r="N2385" s="14"/>
      <c r="O2385" s="4"/>
      <c r="P2385" s="14"/>
      <c r="Q2385" s="14"/>
    </row>
    <row r="2386" spans="1:17" x14ac:dyDescent="0.25">
      <c r="A2386" s="5"/>
      <c r="B2386" s="6"/>
      <c r="C2386" s="4"/>
      <c r="D2386" s="4"/>
      <c r="E2386" s="12"/>
      <c r="F2386" s="12"/>
      <c r="G2386" s="16"/>
      <c r="H2386" s="14"/>
      <c r="I2386" s="14"/>
      <c r="J2386" s="14"/>
      <c r="K2386" s="14"/>
      <c r="L2386" s="14"/>
      <c r="M2386" s="14"/>
      <c r="N2386" s="14"/>
      <c r="O2386" s="4"/>
      <c r="P2386" s="14"/>
      <c r="Q2386" s="14"/>
    </row>
    <row r="2387" spans="1:17" x14ac:dyDescent="0.25">
      <c r="A2387" s="5"/>
      <c r="B2387" s="6"/>
      <c r="C2387" s="4"/>
      <c r="D2387" s="4"/>
      <c r="E2387" s="12"/>
      <c r="F2387" s="12"/>
      <c r="G2387" s="16"/>
      <c r="H2387" s="14"/>
      <c r="I2387" s="14"/>
      <c r="J2387" s="14"/>
      <c r="K2387" s="14"/>
      <c r="L2387" s="14"/>
      <c r="M2387" s="14"/>
      <c r="N2387" s="14"/>
      <c r="O2387" s="4"/>
      <c r="P2387" s="14"/>
      <c r="Q2387" s="14"/>
    </row>
    <row r="2388" spans="1:17" x14ac:dyDescent="0.25">
      <c r="A2388" s="5"/>
      <c r="B2388" s="6"/>
      <c r="C2388" s="4"/>
      <c r="D2388" s="4"/>
      <c r="E2388" s="12"/>
      <c r="F2388" s="12"/>
      <c r="G2388" s="16"/>
      <c r="H2388" s="14"/>
      <c r="I2388" s="14"/>
      <c r="J2388" s="14"/>
      <c r="K2388" s="14"/>
      <c r="L2388" s="14"/>
      <c r="M2388" s="14"/>
      <c r="N2388" s="14"/>
      <c r="O2388" s="4"/>
      <c r="P2388" s="14"/>
      <c r="Q2388" s="14"/>
    </row>
    <row r="2389" spans="1:17" x14ac:dyDescent="0.25">
      <c r="A2389" s="5"/>
      <c r="B2389" s="6"/>
      <c r="C2389" s="4"/>
      <c r="D2389" s="4"/>
      <c r="E2389" s="12"/>
      <c r="F2389" s="12"/>
      <c r="G2389" s="16"/>
      <c r="H2389" s="14"/>
      <c r="I2389" s="14"/>
      <c r="J2389" s="14"/>
      <c r="K2389" s="14"/>
      <c r="L2389" s="14"/>
      <c r="M2389" s="14"/>
      <c r="N2389" s="14"/>
      <c r="O2389" s="4"/>
      <c r="P2389" s="14"/>
      <c r="Q2389" s="14"/>
    </row>
    <row r="2390" spans="1:17" x14ac:dyDescent="0.25">
      <c r="A2390" s="5"/>
      <c r="B2390" s="6"/>
      <c r="C2390" s="4"/>
      <c r="D2390" s="4"/>
      <c r="E2390" s="12"/>
      <c r="F2390" s="12"/>
      <c r="G2390" s="16"/>
      <c r="H2390" s="14"/>
      <c r="I2390" s="14"/>
      <c r="J2390" s="14"/>
      <c r="K2390" s="14"/>
      <c r="L2390" s="14"/>
      <c r="M2390" s="14"/>
      <c r="N2390" s="14"/>
      <c r="O2390" s="4"/>
      <c r="P2390" s="14"/>
      <c r="Q2390" s="14"/>
    </row>
    <row r="2391" spans="1:17" x14ac:dyDescent="0.25">
      <c r="A2391" s="5"/>
      <c r="B2391" s="6"/>
      <c r="C2391" s="4"/>
      <c r="D2391" s="4"/>
      <c r="E2391" s="12"/>
      <c r="F2391" s="12"/>
      <c r="G2391" s="16"/>
      <c r="H2391" s="14"/>
      <c r="I2391" s="14"/>
      <c r="J2391" s="14"/>
      <c r="K2391" s="14"/>
      <c r="L2391" s="14"/>
      <c r="M2391" s="14"/>
      <c r="N2391" s="14"/>
      <c r="O2391" s="4"/>
      <c r="P2391" s="14"/>
      <c r="Q2391" s="14"/>
    </row>
    <row r="2392" spans="1:17" x14ac:dyDescent="0.25">
      <c r="A2392" s="5"/>
      <c r="B2392" s="6"/>
      <c r="C2392" s="4"/>
      <c r="D2392" s="4"/>
      <c r="E2392" s="12"/>
      <c r="F2392" s="12"/>
      <c r="G2392" s="16"/>
      <c r="H2392" s="14"/>
      <c r="I2392" s="14"/>
      <c r="J2392" s="14"/>
      <c r="K2392" s="14"/>
      <c r="L2392" s="14"/>
      <c r="M2392" s="14"/>
      <c r="N2392" s="14"/>
      <c r="O2392" s="4"/>
      <c r="P2392" s="14"/>
      <c r="Q2392" s="14"/>
    </row>
    <row r="2393" spans="1:17" x14ac:dyDescent="0.25">
      <c r="A2393" s="5"/>
      <c r="B2393" s="6"/>
      <c r="C2393" s="4"/>
      <c r="D2393" s="4"/>
      <c r="E2393" s="12"/>
      <c r="F2393" s="12"/>
      <c r="G2393" s="16"/>
      <c r="H2393" s="14"/>
      <c r="I2393" s="14"/>
      <c r="J2393" s="14"/>
      <c r="K2393" s="14"/>
      <c r="L2393" s="14"/>
      <c r="M2393" s="14"/>
      <c r="N2393" s="14"/>
      <c r="O2393" s="4"/>
      <c r="P2393" s="14"/>
      <c r="Q2393" s="14"/>
    </row>
    <row r="2394" spans="1:17" x14ac:dyDescent="0.25">
      <c r="A2394" s="5"/>
      <c r="B2394" s="6"/>
      <c r="C2394" s="4"/>
      <c r="D2394" s="4"/>
      <c r="E2394" s="12"/>
      <c r="F2394" s="12"/>
      <c r="G2394" s="16"/>
      <c r="H2394" s="14"/>
      <c r="I2394" s="14"/>
      <c r="J2394" s="14"/>
      <c r="K2394" s="14"/>
      <c r="L2394" s="14"/>
      <c r="M2394" s="14"/>
      <c r="N2394" s="14"/>
      <c r="O2394" s="4"/>
      <c r="P2394" s="14"/>
      <c r="Q2394" s="14"/>
    </row>
    <row r="2395" spans="1:17" x14ac:dyDescent="0.25">
      <c r="A2395" s="5"/>
      <c r="B2395" s="6"/>
      <c r="C2395" s="4"/>
      <c r="D2395" s="4"/>
      <c r="E2395" s="12"/>
      <c r="F2395" s="12"/>
      <c r="G2395" s="16"/>
      <c r="H2395" s="14"/>
      <c r="I2395" s="14"/>
      <c r="J2395" s="14"/>
      <c r="K2395" s="14"/>
      <c r="L2395" s="14"/>
      <c r="M2395" s="14"/>
      <c r="N2395" s="14"/>
      <c r="O2395" s="4"/>
      <c r="P2395" s="14"/>
      <c r="Q2395" s="14"/>
    </row>
    <row r="2396" spans="1:17" x14ac:dyDescent="0.25">
      <c r="A2396" s="5"/>
      <c r="B2396" s="6"/>
      <c r="C2396" s="4"/>
      <c r="D2396" s="4"/>
      <c r="E2396" s="12"/>
      <c r="F2396" s="12"/>
      <c r="G2396" s="16"/>
      <c r="H2396" s="14"/>
      <c r="I2396" s="14"/>
      <c r="J2396" s="14"/>
      <c r="K2396" s="14"/>
      <c r="L2396" s="14"/>
      <c r="M2396" s="14"/>
      <c r="N2396" s="14"/>
      <c r="O2396" s="4"/>
      <c r="P2396" s="14"/>
      <c r="Q2396" s="14"/>
    </row>
    <row r="2397" spans="1:17" x14ac:dyDescent="0.25">
      <c r="A2397" s="5"/>
      <c r="B2397" s="6"/>
      <c r="C2397" s="4"/>
      <c r="D2397" s="4"/>
      <c r="E2397" s="12"/>
      <c r="F2397" s="12"/>
      <c r="G2397" s="16"/>
      <c r="H2397" s="14"/>
      <c r="I2397" s="14"/>
      <c r="J2397" s="14"/>
      <c r="K2397" s="14"/>
      <c r="L2397" s="14"/>
      <c r="M2397" s="14"/>
      <c r="N2397" s="14"/>
      <c r="O2397" s="4"/>
      <c r="P2397" s="14"/>
      <c r="Q2397" s="14"/>
    </row>
    <row r="2398" spans="1:17" x14ac:dyDescent="0.25">
      <c r="A2398" s="5"/>
      <c r="B2398" s="6"/>
      <c r="C2398" s="4"/>
      <c r="D2398" s="4"/>
      <c r="E2398" s="12"/>
      <c r="F2398" s="12"/>
      <c r="G2398" s="16"/>
      <c r="H2398" s="14"/>
      <c r="I2398" s="14"/>
      <c r="J2398" s="14"/>
      <c r="K2398" s="14"/>
      <c r="L2398" s="14"/>
      <c r="M2398" s="14"/>
      <c r="N2398" s="14"/>
      <c r="O2398" s="4"/>
      <c r="P2398" s="14"/>
      <c r="Q2398" s="14"/>
    </row>
    <row r="2399" spans="1:17" x14ac:dyDescent="0.25">
      <c r="A2399" s="5"/>
      <c r="B2399" s="6"/>
      <c r="C2399" s="4"/>
      <c r="D2399" s="4"/>
      <c r="E2399" s="12"/>
      <c r="F2399" s="12"/>
      <c r="G2399" s="16"/>
      <c r="H2399" s="14"/>
      <c r="I2399" s="14"/>
      <c r="J2399" s="14"/>
      <c r="K2399" s="14"/>
      <c r="L2399" s="14"/>
      <c r="M2399" s="14"/>
      <c r="N2399" s="14"/>
      <c r="O2399" s="4"/>
      <c r="P2399" s="14"/>
      <c r="Q2399" s="14"/>
    </row>
    <row r="2400" spans="1:17" x14ac:dyDescent="0.25">
      <c r="A2400" s="5"/>
      <c r="B2400" s="6"/>
      <c r="C2400" s="4"/>
      <c r="D2400" s="4"/>
      <c r="E2400" s="12"/>
      <c r="F2400" s="12"/>
      <c r="G2400" s="16"/>
      <c r="H2400" s="14"/>
      <c r="I2400" s="14"/>
      <c r="J2400" s="14"/>
      <c r="K2400" s="14"/>
      <c r="L2400" s="14"/>
      <c r="M2400" s="14"/>
      <c r="N2400" s="14"/>
      <c r="O2400" s="4"/>
      <c r="P2400" s="14"/>
      <c r="Q2400" s="14"/>
    </row>
    <row r="2401" spans="1:17" x14ac:dyDescent="0.25">
      <c r="A2401" s="5"/>
      <c r="B2401" s="6"/>
      <c r="C2401" s="4"/>
      <c r="D2401" s="4"/>
      <c r="E2401" s="12"/>
      <c r="F2401" s="12"/>
      <c r="G2401" s="16"/>
      <c r="H2401" s="14"/>
      <c r="I2401" s="14"/>
      <c r="J2401" s="14"/>
      <c r="K2401" s="14"/>
      <c r="L2401" s="14"/>
      <c r="M2401" s="14"/>
      <c r="N2401" s="14"/>
      <c r="O2401" s="4"/>
      <c r="P2401" s="14"/>
      <c r="Q2401" s="14"/>
    </row>
    <row r="2402" spans="1:17" x14ac:dyDescent="0.25">
      <c r="A2402" s="5"/>
      <c r="B2402" s="6"/>
      <c r="C2402" s="4"/>
      <c r="D2402" s="4"/>
      <c r="E2402" s="12"/>
      <c r="F2402" s="12"/>
      <c r="G2402" s="16"/>
      <c r="H2402" s="14"/>
      <c r="I2402" s="14"/>
      <c r="J2402" s="14"/>
      <c r="K2402" s="14"/>
      <c r="L2402" s="14"/>
      <c r="M2402" s="14"/>
      <c r="N2402" s="14"/>
      <c r="O2402" s="4"/>
      <c r="P2402" s="14"/>
      <c r="Q2402" s="14"/>
    </row>
    <row r="2403" spans="1:17" x14ac:dyDescent="0.25">
      <c r="A2403" s="5"/>
      <c r="B2403" s="6"/>
      <c r="C2403" s="4"/>
      <c r="D2403" s="4"/>
      <c r="E2403" s="12"/>
      <c r="F2403" s="12"/>
      <c r="G2403" s="16"/>
      <c r="H2403" s="14"/>
      <c r="I2403" s="14"/>
      <c r="J2403" s="14"/>
      <c r="K2403" s="14"/>
      <c r="L2403" s="14"/>
      <c r="M2403" s="14"/>
      <c r="N2403" s="14"/>
      <c r="O2403" s="4"/>
      <c r="P2403" s="14"/>
      <c r="Q2403" s="14"/>
    </row>
    <row r="2404" spans="1:17" x14ac:dyDescent="0.25">
      <c r="A2404" s="5"/>
      <c r="B2404" s="6"/>
      <c r="C2404" s="4"/>
      <c r="D2404" s="4"/>
      <c r="E2404" s="12"/>
      <c r="F2404" s="12"/>
      <c r="G2404" s="16"/>
      <c r="H2404" s="14"/>
      <c r="I2404" s="14"/>
      <c r="J2404" s="14"/>
      <c r="K2404" s="14"/>
      <c r="L2404" s="14"/>
      <c r="M2404" s="14"/>
      <c r="N2404" s="14"/>
      <c r="O2404" s="4"/>
      <c r="P2404" s="14"/>
      <c r="Q2404" s="14"/>
    </row>
    <row r="2405" spans="1:17" x14ac:dyDescent="0.25">
      <c r="A2405" s="5"/>
      <c r="B2405" s="6"/>
      <c r="C2405" s="4"/>
      <c r="D2405" s="4"/>
      <c r="E2405" s="12"/>
      <c r="F2405" s="12"/>
      <c r="G2405" s="16"/>
      <c r="H2405" s="14"/>
      <c r="I2405" s="14"/>
      <c r="J2405" s="14"/>
      <c r="K2405" s="14"/>
      <c r="L2405" s="14"/>
      <c r="M2405" s="14"/>
      <c r="N2405" s="14"/>
      <c r="O2405" s="4"/>
      <c r="P2405" s="14"/>
      <c r="Q2405" s="14"/>
    </row>
    <row r="2406" spans="1:17" x14ac:dyDescent="0.25">
      <c r="A2406" s="5"/>
      <c r="B2406" s="6"/>
      <c r="C2406" s="4"/>
      <c r="D2406" s="4"/>
      <c r="E2406" s="12"/>
      <c r="F2406" s="12"/>
      <c r="G2406" s="16"/>
      <c r="H2406" s="14"/>
      <c r="I2406" s="14"/>
      <c r="J2406" s="14"/>
      <c r="K2406" s="14"/>
      <c r="L2406" s="14"/>
      <c r="M2406" s="14"/>
      <c r="N2406" s="14"/>
      <c r="O2406" s="4"/>
      <c r="P2406" s="14"/>
      <c r="Q2406" s="14"/>
    </row>
    <row r="2407" spans="1:17" x14ac:dyDescent="0.25">
      <c r="A2407" s="5"/>
      <c r="B2407" s="6"/>
      <c r="C2407" s="4"/>
      <c r="D2407" s="4"/>
      <c r="E2407" s="12"/>
      <c r="F2407" s="12"/>
      <c r="G2407" s="16"/>
      <c r="H2407" s="14"/>
      <c r="I2407" s="14"/>
      <c r="J2407" s="14"/>
      <c r="K2407" s="14"/>
      <c r="L2407" s="14"/>
      <c r="M2407" s="14"/>
      <c r="N2407" s="14"/>
      <c r="O2407" s="4"/>
      <c r="P2407" s="14"/>
      <c r="Q2407" s="14"/>
    </row>
    <row r="2408" spans="1:17" x14ac:dyDescent="0.25">
      <c r="A2408" s="5"/>
      <c r="B2408" s="6"/>
      <c r="C2408" s="4"/>
      <c r="D2408" s="4"/>
      <c r="E2408" s="12"/>
      <c r="F2408" s="12"/>
      <c r="G2408" s="16"/>
      <c r="H2408" s="14"/>
      <c r="I2408" s="14"/>
      <c r="J2408" s="14"/>
      <c r="K2408" s="14"/>
      <c r="L2408" s="14"/>
      <c r="M2408" s="14"/>
      <c r="N2408" s="14"/>
      <c r="O2408" s="4"/>
      <c r="P2408" s="14"/>
      <c r="Q2408" s="14"/>
    </row>
    <row r="2409" spans="1:17" x14ac:dyDescent="0.25">
      <c r="A2409" s="5"/>
      <c r="B2409" s="6"/>
      <c r="C2409" s="4"/>
      <c r="D2409" s="4"/>
      <c r="E2409" s="12"/>
      <c r="F2409" s="12"/>
      <c r="G2409" s="16"/>
      <c r="H2409" s="14"/>
      <c r="I2409" s="14"/>
      <c r="J2409" s="14"/>
      <c r="K2409" s="14"/>
      <c r="L2409" s="14"/>
      <c r="M2409" s="14"/>
      <c r="N2409" s="14"/>
      <c r="O2409" s="4"/>
      <c r="P2409" s="14"/>
      <c r="Q2409" s="14"/>
    </row>
    <row r="2410" spans="1:17" x14ac:dyDescent="0.25">
      <c r="A2410" s="5"/>
      <c r="B2410" s="6"/>
      <c r="C2410" s="4"/>
      <c r="D2410" s="4"/>
      <c r="E2410" s="12"/>
      <c r="F2410" s="12"/>
      <c r="G2410" s="16"/>
      <c r="H2410" s="14"/>
      <c r="I2410" s="14"/>
      <c r="J2410" s="14"/>
      <c r="K2410" s="14"/>
      <c r="L2410" s="14"/>
      <c r="M2410" s="14"/>
      <c r="N2410" s="14"/>
      <c r="O2410" s="4"/>
      <c r="P2410" s="14"/>
      <c r="Q2410" s="14"/>
    </row>
    <row r="2411" spans="1:17" x14ac:dyDescent="0.25">
      <c r="A2411" s="5"/>
      <c r="B2411" s="6"/>
      <c r="C2411" s="4"/>
      <c r="D2411" s="4"/>
      <c r="E2411" s="12"/>
      <c r="F2411" s="12"/>
      <c r="G2411" s="16"/>
      <c r="H2411" s="14"/>
      <c r="I2411" s="14"/>
      <c r="J2411" s="14"/>
      <c r="K2411" s="14"/>
      <c r="L2411" s="14"/>
      <c r="M2411" s="14"/>
      <c r="N2411" s="14"/>
      <c r="O2411" s="4"/>
      <c r="P2411" s="14"/>
      <c r="Q2411" s="14"/>
    </row>
    <row r="2412" spans="1:17" x14ac:dyDescent="0.25">
      <c r="A2412" s="5"/>
      <c r="B2412" s="6"/>
      <c r="C2412" s="4"/>
      <c r="D2412" s="4"/>
      <c r="E2412" s="12"/>
      <c r="F2412" s="12"/>
      <c r="G2412" s="16"/>
      <c r="H2412" s="14"/>
      <c r="I2412" s="14"/>
      <c r="J2412" s="14"/>
      <c r="K2412" s="14"/>
      <c r="L2412" s="14"/>
      <c r="M2412" s="14"/>
      <c r="N2412" s="14"/>
      <c r="O2412" s="4"/>
      <c r="P2412" s="14"/>
      <c r="Q2412" s="14"/>
    </row>
    <row r="2413" spans="1:17" x14ac:dyDescent="0.25">
      <c r="A2413" s="5"/>
      <c r="B2413" s="6"/>
      <c r="C2413" s="4"/>
      <c r="D2413" s="4"/>
      <c r="E2413" s="12"/>
      <c r="F2413" s="12"/>
      <c r="G2413" s="16"/>
      <c r="H2413" s="14"/>
      <c r="I2413" s="14"/>
      <c r="J2413" s="14"/>
      <c r="K2413" s="14"/>
      <c r="L2413" s="14"/>
      <c r="M2413" s="14"/>
      <c r="N2413" s="14"/>
      <c r="O2413" s="4"/>
      <c r="P2413" s="14"/>
      <c r="Q2413" s="14"/>
    </row>
    <row r="2414" spans="1:17" x14ac:dyDescent="0.25">
      <c r="A2414" s="5"/>
      <c r="B2414" s="6"/>
      <c r="C2414" s="4"/>
      <c r="D2414" s="4"/>
      <c r="E2414" s="12"/>
      <c r="F2414" s="12"/>
      <c r="G2414" s="16"/>
      <c r="H2414" s="14"/>
      <c r="I2414" s="14"/>
      <c r="J2414" s="14"/>
      <c r="K2414" s="14"/>
      <c r="L2414" s="14"/>
      <c r="M2414" s="14"/>
      <c r="N2414" s="14"/>
      <c r="O2414" s="4"/>
      <c r="P2414" s="14"/>
      <c r="Q2414" s="14"/>
    </row>
    <row r="2415" spans="1:17" x14ac:dyDescent="0.25">
      <c r="A2415" s="5"/>
      <c r="B2415" s="6"/>
      <c r="C2415" s="4"/>
      <c r="D2415" s="4"/>
      <c r="E2415" s="12"/>
      <c r="F2415" s="12"/>
      <c r="G2415" s="16"/>
      <c r="H2415" s="14"/>
      <c r="I2415" s="14"/>
      <c r="J2415" s="14"/>
      <c r="K2415" s="14"/>
      <c r="L2415" s="14"/>
      <c r="M2415" s="14"/>
      <c r="N2415" s="14"/>
      <c r="O2415" s="4"/>
      <c r="P2415" s="14"/>
      <c r="Q2415" s="14"/>
    </row>
    <row r="2416" spans="1:17" x14ac:dyDescent="0.25">
      <c r="A2416" s="5"/>
      <c r="B2416" s="6"/>
      <c r="C2416" s="4"/>
      <c r="D2416" s="4"/>
      <c r="E2416" s="12"/>
      <c r="F2416" s="12"/>
      <c r="G2416" s="16"/>
      <c r="H2416" s="14"/>
      <c r="I2416" s="14"/>
      <c r="J2416" s="14"/>
      <c r="K2416" s="14"/>
      <c r="L2416" s="14"/>
      <c r="M2416" s="14"/>
      <c r="N2416" s="14"/>
      <c r="O2416" s="4"/>
      <c r="P2416" s="14"/>
      <c r="Q2416" s="14"/>
    </row>
    <row r="2417" spans="1:17" x14ac:dyDescent="0.25">
      <c r="A2417" s="5"/>
      <c r="B2417" s="6"/>
      <c r="C2417" s="4"/>
      <c r="D2417" s="4"/>
      <c r="E2417" s="12"/>
      <c r="F2417" s="12"/>
      <c r="G2417" s="16"/>
      <c r="H2417" s="14"/>
      <c r="I2417" s="14"/>
      <c r="J2417" s="14"/>
      <c r="K2417" s="14"/>
      <c r="L2417" s="14"/>
      <c r="M2417" s="14"/>
      <c r="N2417" s="14"/>
      <c r="O2417" s="4"/>
      <c r="P2417" s="14"/>
      <c r="Q2417" s="14"/>
    </row>
    <row r="2418" spans="1:17" x14ac:dyDescent="0.25">
      <c r="A2418" s="5"/>
      <c r="B2418" s="6"/>
      <c r="C2418" s="4"/>
      <c r="D2418" s="4"/>
      <c r="E2418" s="12"/>
      <c r="F2418" s="12"/>
      <c r="G2418" s="16"/>
      <c r="H2418" s="14"/>
      <c r="I2418" s="14"/>
      <c r="J2418" s="14"/>
      <c r="K2418" s="14"/>
      <c r="L2418" s="14"/>
      <c r="M2418" s="14"/>
      <c r="N2418" s="14"/>
      <c r="O2418" s="4"/>
      <c r="P2418" s="14"/>
      <c r="Q2418" s="14"/>
    </row>
    <row r="2419" spans="1:17" x14ac:dyDescent="0.25">
      <c r="A2419" s="5"/>
      <c r="B2419" s="6"/>
      <c r="C2419" s="4"/>
      <c r="D2419" s="4"/>
      <c r="E2419" s="12"/>
      <c r="F2419" s="12"/>
      <c r="G2419" s="16"/>
      <c r="H2419" s="14"/>
      <c r="I2419" s="14"/>
      <c r="J2419" s="14"/>
      <c r="K2419" s="14"/>
      <c r="L2419" s="14"/>
      <c r="M2419" s="14"/>
      <c r="N2419" s="14"/>
      <c r="O2419" s="4"/>
      <c r="P2419" s="14"/>
      <c r="Q2419" s="14"/>
    </row>
    <row r="2420" spans="1:17" x14ac:dyDescent="0.25">
      <c r="A2420" s="5"/>
      <c r="B2420" s="6"/>
      <c r="C2420" s="4"/>
      <c r="D2420" s="4"/>
      <c r="E2420" s="12"/>
      <c r="F2420" s="12"/>
      <c r="G2420" s="16"/>
      <c r="H2420" s="14"/>
      <c r="I2420" s="14"/>
      <c r="J2420" s="14"/>
      <c r="K2420" s="14"/>
      <c r="L2420" s="14"/>
      <c r="M2420" s="14"/>
      <c r="N2420" s="14"/>
      <c r="O2420" s="4"/>
      <c r="P2420" s="14"/>
      <c r="Q2420" s="14"/>
    </row>
    <row r="2421" spans="1:17" x14ac:dyDescent="0.25">
      <c r="A2421" s="5"/>
      <c r="B2421" s="6"/>
      <c r="C2421" s="4"/>
      <c r="D2421" s="4"/>
      <c r="E2421" s="12"/>
      <c r="F2421" s="12"/>
      <c r="G2421" s="16"/>
      <c r="H2421" s="14"/>
      <c r="I2421" s="14"/>
      <c r="J2421" s="14"/>
      <c r="K2421" s="14"/>
      <c r="L2421" s="14"/>
      <c r="M2421" s="14"/>
      <c r="N2421" s="14"/>
      <c r="O2421" s="4"/>
      <c r="P2421" s="14"/>
      <c r="Q2421" s="14"/>
    </row>
    <row r="2422" spans="1:17" x14ac:dyDescent="0.25">
      <c r="A2422" s="5"/>
      <c r="B2422" s="6"/>
      <c r="C2422" s="4"/>
      <c r="D2422" s="4"/>
      <c r="E2422" s="12"/>
      <c r="F2422" s="12"/>
      <c r="G2422" s="16"/>
      <c r="H2422" s="14"/>
      <c r="I2422" s="14"/>
      <c r="J2422" s="14"/>
      <c r="K2422" s="14"/>
      <c r="L2422" s="14"/>
      <c r="M2422" s="14"/>
      <c r="N2422" s="14"/>
      <c r="O2422" s="4"/>
      <c r="P2422" s="14"/>
      <c r="Q2422" s="14"/>
    </row>
    <row r="2423" spans="1:17" x14ac:dyDescent="0.25">
      <c r="A2423" s="5"/>
      <c r="B2423" s="6"/>
      <c r="C2423" s="4"/>
      <c r="D2423" s="4"/>
      <c r="E2423" s="12"/>
      <c r="F2423" s="12"/>
      <c r="G2423" s="16"/>
      <c r="H2423" s="14"/>
      <c r="I2423" s="14"/>
      <c r="J2423" s="14"/>
      <c r="K2423" s="14"/>
      <c r="L2423" s="14"/>
      <c r="M2423" s="14"/>
      <c r="N2423" s="14"/>
      <c r="O2423" s="4"/>
      <c r="P2423" s="14"/>
      <c r="Q2423" s="14"/>
    </row>
    <row r="2424" spans="1:17" x14ac:dyDescent="0.25">
      <c r="A2424" s="5"/>
      <c r="B2424" s="6"/>
      <c r="C2424" s="4"/>
      <c r="D2424" s="4"/>
      <c r="E2424" s="12"/>
      <c r="F2424" s="12"/>
      <c r="G2424" s="16"/>
      <c r="H2424" s="14"/>
      <c r="I2424" s="14"/>
      <c r="J2424" s="14"/>
      <c r="K2424" s="14"/>
      <c r="L2424" s="14"/>
      <c r="M2424" s="14"/>
      <c r="N2424" s="14"/>
      <c r="O2424" s="4"/>
      <c r="P2424" s="14"/>
      <c r="Q2424" s="14"/>
    </row>
    <row r="2425" spans="1:17" x14ac:dyDescent="0.25">
      <c r="A2425" s="5"/>
      <c r="B2425" s="6"/>
      <c r="C2425" s="4"/>
      <c r="D2425" s="4"/>
      <c r="E2425" s="12"/>
      <c r="F2425" s="12"/>
      <c r="G2425" s="16"/>
      <c r="H2425" s="14"/>
      <c r="I2425" s="14"/>
      <c r="J2425" s="14"/>
      <c r="K2425" s="14"/>
      <c r="L2425" s="14"/>
      <c r="M2425" s="14"/>
      <c r="N2425" s="14"/>
      <c r="O2425" s="4"/>
      <c r="P2425" s="14"/>
      <c r="Q2425" s="14"/>
    </row>
    <row r="2426" spans="1:17" x14ac:dyDescent="0.25">
      <c r="A2426" s="5"/>
      <c r="B2426" s="6"/>
      <c r="C2426" s="4"/>
      <c r="D2426" s="4"/>
      <c r="E2426" s="12"/>
      <c r="F2426" s="12"/>
      <c r="G2426" s="16"/>
      <c r="H2426" s="14"/>
      <c r="I2426" s="14"/>
      <c r="J2426" s="14"/>
      <c r="K2426" s="14"/>
      <c r="L2426" s="14"/>
      <c r="M2426" s="14"/>
      <c r="N2426" s="14"/>
      <c r="O2426" s="4"/>
      <c r="P2426" s="14"/>
      <c r="Q2426" s="14"/>
    </row>
    <row r="2427" spans="1:17" x14ac:dyDescent="0.25">
      <c r="A2427" s="5"/>
      <c r="B2427" s="6"/>
      <c r="C2427" s="4"/>
      <c r="D2427" s="4"/>
      <c r="E2427" s="12"/>
      <c r="F2427" s="12"/>
      <c r="G2427" s="16"/>
      <c r="H2427" s="14"/>
      <c r="I2427" s="14"/>
      <c r="J2427" s="14"/>
      <c r="K2427" s="14"/>
      <c r="L2427" s="14"/>
      <c r="M2427" s="14"/>
      <c r="N2427" s="14"/>
      <c r="O2427" s="4"/>
      <c r="P2427" s="14"/>
      <c r="Q2427" s="14"/>
    </row>
    <row r="2428" spans="1:17" x14ac:dyDescent="0.25">
      <c r="A2428" s="5"/>
      <c r="B2428" s="6"/>
      <c r="C2428" s="4"/>
      <c r="D2428" s="4"/>
      <c r="E2428" s="12"/>
      <c r="F2428" s="12"/>
      <c r="G2428" s="16"/>
      <c r="H2428" s="14"/>
      <c r="I2428" s="14"/>
      <c r="J2428" s="14"/>
      <c r="K2428" s="14"/>
      <c r="L2428" s="14"/>
      <c r="M2428" s="14"/>
      <c r="N2428" s="14"/>
      <c r="O2428" s="4"/>
      <c r="P2428" s="14"/>
      <c r="Q2428" s="14"/>
    </row>
    <row r="2429" spans="1:17" x14ac:dyDescent="0.25">
      <c r="A2429" s="5"/>
      <c r="B2429" s="6"/>
      <c r="C2429" s="4"/>
      <c r="D2429" s="4"/>
      <c r="E2429" s="12"/>
      <c r="F2429" s="12"/>
      <c r="G2429" s="16"/>
      <c r="H2429" s="14"/>
      <c r="I2429" s="14"/>
      <c r="J2429" s="14"/>
      <c r="K2429" s="14"/>
      <c r="L2429" s="14"/>
      <c r="M2429" s="14"/>
      <c r="N2429" s="14"/>
      <c r="O2429" s="4"/>
      <c r="P2429" s="14"/>
      <c r="Q2429" s="14"/>
    </row>
    <row r="2430" spans="1:17" x14ac:dyDescent="0.25">
      <c r="A2430" s="5"/>
      <c r="B2430" s="6"/>
      <c r="C2430" s="4"/>
      <c r="D2430" s="4"/>
      <c r="E2430" s="12"/>
      <c r="F2430" s="12"/>
      <c r="G2430" s="16"/>
      <c r="H2430" s="14"/>
      <c r="I2430" s="14"/>
      <c r="J2430" s="14"/>
      <c r="K2430" s="14"/>
      <c r="L2430" s="14"/>
      <c r="M2430" s="14"/>
      <c r="N2430" s="14"/>
      <c r="O2430" s="4"/>
      <c r="P2430" s="14"/>
      <c r="Q2430" s="14"/>
    </row>
    <row r="2431" spans="1:17" x14ac:dyDescent="0.25">
      <c r="A2431" s="5"/>
      <c r="B2431" s="6"/>
      <c r="C2431" s="4"/>
      <c r="D2431" s="4"/>
      <c r="E2431" s="12"/>
      <c r="F2431" s="12"/>
      <c r="G2431" s="16"/>
      <c r="H2431" s="14"/>
      <c r="I2431" s="14"/>
      <c r="J2431" s="14"/>
      <c r="K2431" s="14"/>
      <c r="L2431" s="14"/>
      <c r="M2431" s="14"/>
      <c r="N2431" s="14"/>
      <c r="O2431" s="4"/>
      <c r="P2431" s="14"/>
      <c r="Q2431" s="14"/>
    </row>
    <row r="2432" spans="1:17" x14ac:dyDescent="0.25">
      <c r="A2432" s="5"/>
      <c r="B2432" s="6"/>
      <c r="C2432" s="4"/>
      <c r="D2432" s="4"/>
      <c r="E2432" s="12"/>
      <c r="F2432" s="12"/>
      <c r="G2432" s="16"/>
      <c r="H2432" s="14"/>
      <c r="I2432" s="14"/>
      <c r="J2432" s="14"/>
      <c r="K2432" s="14"/>
      <c r="L2432" s="14"/>
      <c r="M2432" s="14"/>
      <c r="N2432" s="14"/>
      <c r="O2432" s="4"/>
      <c r="P2432" s="14"/>
      <c r="Q2432" s="14"/>
    </row>
    <row r="2433" spans="1:17" x14ac:dyDescent="0.25">
      <c r="A2433" s="5"/>
      <c r="B2433" s="6"/>
      <c r="C2433" s="4"/>
      <c r="D2433" s="4"/>
      <c r="E2433" s="12"/>
      <c r="F2433" s="12"/>
      <c r="G2433" s="16"/>
      <c r="H2433" s="14"/>
      <c r="I2433" s="14"/>
      <c r="J2433" s="14"/>
      <c r="K2433" s="14"/>
      <c r="L2433" s="14"/>
      <c r="M2433" s="14"/>
      <c r="N2433" s="14"/>
      <c r="O2433" s="4"/>
      <c r="P2433" s="14"/>
      <c r="Q2433" s="14"/>
    </row>
    <row r="2434" spans="1:17" x14ac:dyDescent="0.25">
      <c r="A2434" s="5"/>
      <c r="B2434" s="6"/>
      <c r="C2434" s="4"/>
      <c r="D2434" s="4"/>
      <c r="E2434" s="12"/>
      <c r="F2434" s="12"/>
      <c r="G2434" s="16"/>
      <c r="H2434" s="14"/>
      <c r="I2434" s="14"/>
      <c r="J2434" s="14"/>
      <c r="K2434" s="14"/>
      <c r="L2434" s="14"/>
      <c r="M2434" s="14"/>
      <c r="N2434" s="14"/>
      <c r="O2434" s="4"/>
      <c r="P2434" s="14"/>
      <c r="Q2434" s="14"/>
    </row>
    <row r="2435" spans="1:17" x14ac:dyDescent="0.25">
      <c r="A2435" s="5"/>
      <c r="B2435" s="6"/>
      <c r="C2435" s="4"/>
      <c r="D2435" s="4"/>
      <c r="E2435" s="12"/>
      <c r="F2435" s="12"/>
      <c r="G2435" s="16"/>
      <c r="H2435" s="14"/>
      <c r="I2435" s="14"/>
      <c r="J2435" s="14"/>
      <c r="K2435" s="14"/>
      <c r="L2435" s="14"/>
      <c r="M2435" s="14"/>
      <c r="N2435" s="14"/>
      <c r="O2435" s="4"/>
      <c r="P2435" s="14"/>
      <c r="Q2435" s="14"/>
    </row>
    <row r="2436" spans="1:17" x14ac:dyDescent="0.25">
      <c r="A2436" s="5"/>
      <c r="B2436" s="6"/>
      <c r="C2436" s="4"/>
      <c r="D2436" s="4"/>
      <c r="E2436" s="12"/>
      <c r="F2436" s="12"/>
      <c r="G2436" s="16"/>
      <c r="H2436" s="14"/>
      <c r="I2436" s="14"/>
      <c r="J2436" s="14"/>
      <c r="K2436" s="14"/>
      <c r="L2436" s="14"/>
      <c r="M2436" s="14"/>
      <c r="N2436" s="14"/>
      <c r="O2436" s="4"/>
      <c r="P2436" s="14"/>
      <c r="Q2436" s="14"/>
    </row>
    <row r="2437" spans="1:17" x14ac:dyDescent="0.25">
      <c r="A2437" s="5"/>
      <c r="B2437" s="6"/>
      <c r="C2437" s="4"/>
      <c r="D2437" s="4"/>
      <c r="E2437" s="12"/>
      <c r="F2437" s="12"/>
      <c r="G2437" s="16"/>
      <c r="H2437" s="14"/>
      <c r="I2437" s="14"/>
      <c r="J2437" s="14"/>
      <c r="K2437" s="14"/>
      <c r="L2437" s="14"/>
      <c r="M2437" s="14"/>
      <c r="N2437" s="14"/>
      <c r="O2437" s="4"/>
      <c r="P2437" s="14"/>
      <c r="Q2437" s="14"/>
    </row>
    <row r="2438" spans="1:17" x14ac:dyDescent="0.25">
      <c r="A2438" s="5"/>
      <c r="B2438" s="6"/>
      <c r="C2438" s="4"/>
      <c r="D2438" s="4"/>
      <c r="E2438" s="12"/>
      <c r="F2438" s="12"/>
      <c r="G2438" s="16"/>
      <c r="H2438" s="14"/>
      <c r="I2438" s="14"/>
      <c r="J2438" s="14"/>
      <c r="K2438" s="14"/>
      <c r="L2438" s="14"/>
      <c r="M2438" s="14"/>
      <c r="N2438" s="14"/>
      <c r="O2438" s="4"/>
      <c r="P2438" s="14"/>
      <c r="Q2438" s="14"/>
    </row>
    <row r="2439" spans="1:17" x14ac:dyDescent="0.25">
      <c r="A2439" s="5"/>
      <c r="B2439" s="6"/>
      <c r="C2439" s="4"/>
      <c r="D2439" s="4"/>
      <c r="E2439" s="12"/>
      <c r="F2439" s="12"/>
      <c r="G2439" s="16"/>
      <c r="H2439" s="14"/>
      <c r="I2439" s="14"/>
      <c r="J2439" s="14"/>
      <c r="K2439" s="14"/>
      <c r="L2439" s="14"/>
      <c r="M2439" s="14"/>
      <c r="N2439" s="14"/>
      <c r="O2439" s="4"/>
      <c r="P2439" s="14"/>
      <c r="Q2439" s="14"/>
    </row>
    <row r="2440" spans="1:17" x14ac:dyDescent="0.25">
      <c r="A2440" s="5"/>
      <c r="B2440" s="6"/>
      <c r="C2440" s="4"/>
      <c r="D2440" s="4"/>
      <c r="E2440" s="12"/>
      <c r="F2440" s="12"/>
      <c r="G2440" s="16"/>
      <c r="H2440" s="14"/>
      <c r="I2440" s="14"/>
      <c r="J2440" s="14"/>
      <c r="K2440" s="14"/>
      <c r="L2440" s="14"/>
      <c r="M2440" s="14"/>
      <c r="N2440" s="14"/>
      <c r="O2440" s="4"/>
      <c r="P2440" s="14"/>
      <c r="Q2440" s="14"/>
    </row>
    <row r="2441" spans="1:17" x14ac:dyDescent="0.25">
      <c r="A2441" s="5"/>
      <c r="B2441" s="6"/>
      <c r="C2441" s="4"/>
      <c r="D2441" s="4"/>
      <c r="E2441" s="12"/>
      <c r="F2441" s="12"/>
      <c r="G2441" s="16"/>
      <c r="H2441" s="14"/>
      <c r="I2441" s="14"/>
      <c r="J2441" s="14"/>
      <c r="K2441" s="14"/>
      <c r="L2441" s="14"/>
      <c r="M2441" s="14"/>
      <c r="N2441" s="14"/>
      <c r="O2441" s="4"/>
      <c r="P2441" s="14"/>
      <c r="Q2441" s="14"/>
    </row>
    <row r="2442" spans="1:17" x14ac:dyDescent="0.25">
      <c r="A2442" s="5"/>
      <c r="B2442" s="6"/>
      <c r="C2442" s="4"/>
      <c r="D2442" s="4"/>
      <c r="E2442" s="12"/>
      <c r="F2442" s="12"/>
      <c r="G2442" s="16"/>
      <c r="H2442" s="14"/>
      <c r="I2442" s="14"/>
      <c r="J2442" s="14"/>
      <c r="K2442" s="14"/>
      <c r="L2442" s="14"/>
      <c r="M2442" s="14"/>
      <c r="N2442" s="14"/>
      <c r="O2442" s="4"/>
      <c r="P2442" s="14"/>
      <c r="Q2442" s="14"/>
    </row>
    <row r="2443" spans="1:17" x14ac:dyDescent="0.25">
      <c r="A2443" s="5"/>
      <c r="B2443" s="6"/>
      <c r="C2443" s="4"/>
      <c r="D2443" s="4"/>
      <c r="E2443" s="12"/>
      <c r="F2443" s="12"/>
      <c r="G2443" s="16"/>
      <c r="H2443" s="14"/>
      <c r="I2443" s="14"/>
      <c r="J2443" s="14"/>
      <c r="K2443" s="14"/>
      <c r="L2443" s="14"/>
      <c r="M2443" s="14"/>
      <c r="N2443" s="14"/>
      <c r="O2443" s="4"/>
      <c r="P2443" s="14"/>
      <c r="Q2443" s="14"/>
    </row>
    <row r="2444" spans="1:17" x14ac:dyDescent="0.25">
      <c r="A2444" s="5"/>
      <c r="B2444" s="6"/>
      <c r="C2444" s="4"/>
      <c r="D2444" s="4"/>
      <c r="E2444" s="12"/>
      <c r="F2444" s="12"/>
      <c r="G2444" s="16"/>
      <c r="H2444" s="14"/>
      <c r="I2444" s="14"/>
      <c r="J2444" s="14"/>
      <c r="K2444" s="14"/>
      <c r="L2444" s="14"/>
      <c r="M2444" s="14"/>
      <c r="N2444" s="14"/>
      <c r="O2444" s="4"/>
      <c r="P2444" s="14"/>
      <c r="Q2444" s="14"/>
    </row>
    <row r="2445" spans="1:17" x14ac:dyDescent="0.25">
      <c r="A2445" s="5"/>
      <c r="B2445" s="6"/>
      <c r="C2445" s="4"/>
      <c r="D2445" s="4"/>
      <c r="E2445" s="12"/>
      <c r="F2445" s="12"/>
      <c r="G2445" s="16"/>
      <c r="H2445" s="14"/>
      <c r="I2445" s="14"/>
      <c r="J2445" s="14"/>
      <c r="K2445" s="14"/>
      <c r="L2445" s="14"/>
      <c r="M2445" s="14"/>
      <c r="N2445" s="14"/>
      <c r="O2445" s="4"/>
      <c r="P2445" s="14"/>
      <c r="Q2445" s="14"/>
    </row>
    <row r="2446" spans="1:17" x14ac:dyDescent="0.25">
      <c r="A2446" s="5"/>
      <c r="B2446" s="6"/>
      <c r="C2446" s="4"/>
      <c r="D2446" s="4"/>
      <c r="E2446" s="12"/>
      <c r="F2446" s="12"/>
      <c r="G2446" s="16"/>
      <c r="H2446" s="14"/>
      <c r="I2446" s="14"/>
      <c r="J2446" s="14"/>
      <c r="K2446" s="14"/>
      <c r="L2446" s="14"/>
      <c r="M2446" s="14"/>
      <c r="N2446" s="14"/>
      <c r="O2446" s="4"/>
      <c r="P2446" s="14"/>
      <c r="Q2446" s="14"/>
    </row>
    <row r="2447" spans="1:17" x14ac:dyDescent="0.25">
      <c r="A2447" s="5"/>
      <c r="B2447" s="6"/>
      <c r="C2447" s="4"/>
      <c r="D2447" s="4"/>
      <c r="E2447" s="12"/>
      <c r="F2447" s="12"/>
      <c r="G2447" s="16"/>
      <c r="H2447" s="14"/>
      <c r="I2447" s="14"/>
      <c r="J2447" s="14"/>
      <c r="K2447" s="14"/>
      <c r="L2447" s="14"/>
      <c r="M2447" s="14"/>
      <c r="N2447" s="14"/>
      <c r="O2447" s="4"/>
      <c r="P2447" s="14"/>
      <c r="Q2447" s="14"/>
    </row>
    <row r="2448" spans="1:17" x14ac:dyDescent="0.25">
      <c r="A2448" s="5"/>
      <c r="B2448" s="6"/>
      <c r="C2448" s="4"/>
      <c r="D2448" s="4"/>
      <c r="E2448" s="12"/>
      <c r="F2448" s="12"/>
      <c r="G2448" s="16"/>
      <c r="H2448" s="14"/>
      <c r="I2448" s="14"/>
      <c r="J2448" s="14"/>
      <c r="K2448" s="14"/>
      <c r="L2448" s="14"/>
      <c r="M2448" s="14"/>
      <c r="N2448" s="14"/>
      <c r="O2448" s="4"/>
      <c r="P2448" s="14"/>
      <c r="Q2448" s="14"/>
    </row>
    <row r="2449" spans="1:17" x14ac:dyDescent="0.25">
      <c r="A2449" s="5"/>
      <c r="B2449" s="6"/>
      <c r="C2449" s="4"/>
      <c r="D2449" s="4"/>
      <c r="E2449" s="12"/>
      <c r="F2449" s="12"/>
      <c r="G2449" s="16"/>
      <c r="H2449" s="14"/>
      <c r="I2449" s="14"/>
      <c r="J2449" s="14"/>
      <c r="K2449" s="14"/>
      <c r="L2449" s="14"/>
      <c r="M2449" s="14"/>
      <c r="N2449" s="14"/>
      <c r="O2449" s="4"/>
      <c r="P2449" s="14"/>
      <c r="Q2449" s="14"/>
    </row>
    <row r="2450" spans="1:17" x14ac:dyDescent="0.25">
      <c r="A2450" s="5"/>
      <c r="B2450" s="6"/>
      <c r="C2450" s="4"/>
      <c r="D2450" s="4"/>
      <c r="E2450" s="12"/>
      <c r="F2450" s="12"/>
      <c r="G2450" s="16"/>
      <c r="H2450" s="14"/>
      <c r="I2450" s="14"/>
      <c r="J2450" s="14"/>
      <c r="K2450" s="14"/>
      <c r="L2450" s="14"/>
      <c r="M2450" s="14"/>
      <c r="N2450" s="14"/>
      <c r="O2450" s="4"/>
      <c r="P2450" s="14"/>
      <c r="Q2450" s="14"/>
    </row>
    <row r="2451" spans="1:17" x14ac:dyDescent="0.25">
      <c r="A2451" s="5"/>
      <c r="B2451" s="6"/>
      <c r="C2451" s="4"/>
      <c r="D2451" s="4"/>
      <c r="E2451" s="12"/>
      <c r="F2451" s="12"/>
      <c r="G2451" s="16"/>
      <c r="H2451" s="14"/>
      <c r="I2451" s="14"/>
      <c r="J2451" s="14"/>
      <c r="K2451" s="14"/>
      <c r="L2451" s="14"/>
      <c r="M2451" s="14"/>
      <c r="N2451" s="14"/>
      <c r="O2451" s="4"/>
      <c r="P2451" s="14"/>
      <c r="Q2451" s="14"/>
    </row>
    <row r="2452" spans="1:17" x14ac:dyDescent="0.25">
      <c r="A2452" s="5"/>
      <c r="B2452" s="6"/>
      <c r="C2452" s="4"/>
      <c r="D2452" s="4"/>
      <c r="E2452" s="12"/>
      <c r="F2452" s="12"/>
      <c r="G2452" s="16"/>
      <c r="H2452" s="14"/>
      <c r="I2452" s="14"/>
      <c r="J2452" s="14"/>
      <c r="K2452" s="14"/>
      <c r="L2452" s="14"/>
      <c r="M2452" s="14"/>
      <c r="N2452" s="14"/>
      <c r="O2452" s="4"/>
      <c r="P2452" s="14"/>
      <c r="Q2452" s="14"/>
    </row>
    <row r="2453" spans="1:17" x14ac:dyDescent="0.25">
      <c r="A2453" s="5"/>
      <c r="B2453" s="6"/>
      <c r="C2453" s="4"/>
      <c r="D2453" s="4"/>
      <c r="E2453" s="12"/>
      <c r="F2453" s="12"/>
      <c r="G2453" s="16"/>
      <c r="H2453" s="14"/>
      <c r="I2453" s="14"/>
      <c r="J2453" s="14"/>
      <c r="K2453" s="14"/>
      <c r="L2453" s="14"/>
      <c r="M2453" s="14"/>
      <c r="N2453" s="14"/>
      <c r="O2453" s="4"/>
      <c r="P2453" s="14"/>
      <c r="Q2453" s="14"/>
    </row>
    <row r="2454" spans="1:17" x14ac:dyDescent="0.25">
      <c r="A2454" s="5"/>
      <c r="B2454" s="6"/>
      <c r="C2454" s="4"/>
      <c r="D2454" s="4"/>
      <c r="E2454" s="12"/>
      <c r="F2454" s="12"/>
      <c r="G2454" s="16"/>
      <c r="H2454" s="14"/>
      <c r="I2454" s="14"/>
      <c r="J2454" s="14"/>
      <c r="K2454" s="14"/>
      <c r="L2454" s="14"/>
      <c r="M2454" s="14"/>
      <c r="N2454" s="14"/>
      <c r="O2454" s="4"/>
      <c r="P2454" s="14"/>
      <c r="Q2454" s="14"/>
    </row>
    <row r="2455" spans="1:17" x14ac:dyDescent="0.25">
      <c r="A2455" s="5"/>
      <c r="B2455" s="6"/>
      <c r="C2455" s="4"/>
      <c r="D2455" s="4"/>
      <c r="E2455" s="12"/>
      <c r="F2455" s="12"/>
      <c r="G2455" s="16"/>
      <c r="H2455" s="14"/>
      <c r="I2455" s="14"/>
      <c r="J2455" s="14"/>
      <c r="K2455" s="14"/>
      <c r="L2455" s="14"/>
      <c r="M2455" s="14"/>
      <c r="N2455" s="14"/>
      <c r="O2455" s="4"/>
      <c r="P2455" s="14"/>
      <c r="Q2455" s="14"/>
    </row>
    <row r="2456" spans="1:17" x14ac:dyDescent="0.25">
      <c r="A2456" s="5"/>
      <c r="B2456" s="6"/>
      <c r="C2456" s="4"/>
      <c r="D2456" s="4"/>
      <c r="E2456" s="12"/>
      <c r="F2456" s="12"/>
      <c r="G2456" s="16"/>
      <c r="H2456" s="14"/>
      <c r="I2456" s="14"/>
      <c r="J2456" s="14"/>
      <c r="K2456" s="14"/>
      <c r="L2456" s="14"/>
      <c r="M2456" s="14"/>
      <c r="N2456" s="14"/>
      <c r="O2456" s="4"/>
      <c r="P2456" s="14"/>
      <c r="Q2456" s="14"/>
    </row>
    <row r="2457" spans="1:17" x14ac:dyDescent="0.25">
      <c r="A2457" s="5"/>
      <c r="B2457" s="6"/>
      <c r="C2457" s="4"/>
      <c r="D2457" s="4"/>
      <c r="E2457" s="12"/>
      <c r="F2457" s="12"/>
      <c r="G2457" s="16"/>
      <c r="H2457" s="14"/>
      <c r="I2457" s="14"/>
      <c r="J2457" s="14"/>
      <c r="K2457" s="14"/>
      <c r="L2457" s="14"/>
      <c r="M2457" s="14"/>
      <c r="N2457" s="14"/>
      <c r="O2457" s="4"/>
      <c r="P2457" s="14"/>
      <c r="Q2457" s="14"/>
    </row>
    <row r="2458" spans="1:17" x14ac:dyDescent="0.25">
      <c r="A2458" s="5"/>
      <c r="B2458" s="6"/>
      <c r="C2458" s="4"/>
      <c r="D2458" s="4"/>
      <c r="E2458" s="12"/>
      <c r="F2458" s="12"/>
      <c r="G2458" s="16"/>
      <c r="H2458" s="14"/>
      <c r="I2458" s="14"/>
      <c r="J2458" s="14"/>
      <c r="K2458" s="14"/>
      <c r="L2458" s="14"/>
      <c r="M2458" s="14"/>
      <c r="N2458" s="14"/>
      <c r="O2458" s="4"/>
      <c r="P2458" s="14"/>
      <c r="Q2458" s="14"/>
    </row>
    <row r="2459" spans="1:17" x14ac:dyDescent="0.25">
      <c r="A2459" s="5"/>
      <c r="B2459" s="6"/>
      <c r="C2459" s="4"/>
      <c r="D2459" s="4"/>
      <c r="E2459" s="12"/>
      <c r="F2459" s="12"/>
      <c r="G2459" s="16"/>
      <c r="H2459" s="14"/>
      <c r="I2459" s="14"/>
      <c r="J2459" s="14"/>
      <c r="K2459" s="14"/>
      <c r="L2459" s="14"/>
      <c r="M2459" s="14"/>
      <c r="N2459" s="14"/>
      <c r="O2459" s="4"/>
      <c r="P2459" s="14"/>
      <c r="Q2459" s="14"/>
    </row>
    <row r="2460" spans="1:17" x14ac:dyDescent="0.25">
      <c r="A2460" s="5"/>
      <c r="B2460" s="6"/>
      <c r="C2460" s="4"/>
      <c r="D2460" s="4"/>
      <c r="E2460" s="12"/>
      <c r="F2460" s="12"/>
      <c r="G2460" s="16"/>
      <c r="H2460" s="14"/>
      <c r="I2460" s="14"/>
      <c r="J2460" s="14"/>
      <c r="K2460" s="14"/>
      <c r="L2460" s="14"/>
      <c r="M2460" s="14"/>
      <c r="N2460" s="14"/>
      <c r="O2460" s="4"/>
      <c r="P2460" s="14"/>
      <c r="Q2460" s="14"/>
    </row>
    <row r="2461" spans="1:17" x14ac:dyDescent="0.25">
      <c r="A2461" s="5"/>
      <c r="B2461" s="6"/>
      <c r="C2461" s="4"/>
      <c r="D2461" s="4"/>
      <c r="E2461" s="12"/>
      <c r="F2461" s="12"/>
      <c r="G2461" s="16"/>
      <c r="H2461" s="14"/>
      <c r="I2461" s="14"/>
      <c r="J2461" s="14"/>
      <c r="K2461" s="14"/>
      <c r="L2461" s="14"/>
      <c r="M2461" s="14"/>
      <c r="N2461" s="14"/>
      <c r="O2461" s="4"/>
      <c r="P2461" s="14"/>
      <c r="Q2461" s="14"/>
    </row>
    <row r="2462" spans="1:17" x14ac:dyDescent="0.25">
      <c r="A2462" s="5"/>
      <c r="B2462" s="6"/>
      <c r="C2462" s="4"/>
      <c r="D2462" s="4"/>
      <c r="E2462" s="12"/>
      <c r="F2462" s="12"/>
      <c r="G2462" s="16"/>
      <c r="H2462" s="14"/>
      <c r="I2462" s="14"/>
      <c r="J2462" s="14"/>
      <c r="K2462" s="14"/>
      <c r="L2462" s="14"/>
      <c r="M2462" s="14"/>
      <c r="N2462" s="14"/>
      <c r="O2462" s="4"/>
      <c r="P2462" s="14"/>
      <c r="Q2462" s="14"/>
    </row>
    <row r="2463" spans="1:17" x14ac:dyDescent="0.25">
      <c r="A2463" s="5"/>
      <c r="B2463" s="6"/>
      <c r="C2463" s="4"/>
      <c r="D2463" s="4"/>
      <c r="E2463" s="12"/>
      <c r="F2463" s="12"/>
      <c r="G2463" s="16"/>
      <c r="H2463" s="14"/>
      <c r="I2463" s="14"/>
      <c r="J2463" s="14"/>
      <c r="K2463" s="14"/>
      <c r="L2463" s="14"/>
      <c r="M2463" s="14"/>
      <c r="N2463" s="14"/>
      <c r="O2463" s="4"/>
      <c r="P2463" s="14"/>
      <c r="Q2463" s="14"/>
    </row>
    <row r="2464" spans="1:17" x14ac:dyDescent="0.25">
      <c r="A2464" s="5"/>
      <c r="B2464" s="6"/>
      <c r="C2464" s="4"/>
      <c r="D2464" s="4"/>
      <c r="E2464" s="12"/>
      <c r="F2464" s="12"/>
      <c r="G2464" s="16"/>
      <c r="H2464" s="14"/>
      <c r="I2464" s="14"/>
      <c r="J2464" s="14"/>
      <c r="K2464" s="14"/>
      <c r="L2464" s="14"/>
      <c r="M2464" s="14"/>
      <c r="N2464" s="14"/>
      <c r="O2464" s="4"/>
      <c r="P2464" s="14"/>
      <c r="Q2464" s="14"/>
    </row>
    <row r="2465" spans="1:17" x14ac:dyDescent="0.25">
      <c r="A2465" s="5"/>
      <c r="B2465" s="6"/>
      <c r="C2465" s="4"/>
      <c r="D2465" s="4"/>
      <c r="E2465" s="12"/>
      <c r="F2465" s="12"/>
      <c r="G2465" s="16"/>
      <c r="H2465" s="14"/>
      <c r="I2465" s="14"/>
      <c r="J2465" s="14"/>
      <c r="K2465" s="14"/>
      <c r="L2465" s="14"/>
      <c r="M2465" s="14"/>
      <c r="N2465" s="14"/>
      <c r="O2465" s="4"/>
      <c r="P2465" s="14"/>
      <c r="Q2465" s="14"/>
    </row>
    <row r="2466" spans="1:17" x14ac:dyDescent="0.25">
      <c r="A2466" s="5"/>
      <c r="B2466" s="6"/>
      <c r="C2466" s="4"/>
      <c r="D2466" s="4"/>
      <c r="E2466" s="12"/>
      <c r="F2466" s="12"/>
      <c r="G2466" s="16"/>
      <c r="H2466" s="14"/>
      <c r="I2466" s="14"/>
      <c r="J2466" s="14"/>
      <c r="K2466" s="14"/>
      <c r="L2466" s="14"/>
      <c r="M2466" s="14"/>
      <c r="N2466" s="14"/>
      <c r="O2466" s="4"/>
      <c r="P2466" s="14"/>
      <c r="Q2466" s="14"/>
    </row>
    <row r="2467" spans="1:17" x14ac:dyDescent="0.25">
      <c r="A2467" s="5"/>
      <c r="B2467" s="6"/>
      <c r="C2467" s="4"/>
      <c r="D2467" s="4"/>
      <c r="E2467" s="12"/>
      <c r="F2467" s="12"/>
      <c r="G2467" s="16"/>
      <c r="H2467" s="14"/>
      <c r="I2467" s="14"/>
      <c r="J2467" s="14"/>
      <c r="K2467" s="14"/>
      <c r="L2467" s="14"/>
      <c r="M2467" s="14"/>
      <c r="N2467" s="14"/>
      <c r="O2467" s="4"/>
      <c r="P2467" s="14"/>
      <c r="Q2467" s="14"/>
    </row>
    <row r="2468" spans="1:17" x14ac:dyDescent="0.25">
      <c r="A2468" s="5"/>
      <c r="B2468" s="6"/>
      <c r="C2468" s="4"/>
      <c r="D2468" s="4"/>
      <c r="E2468" s="12"/>
      <c r="F2468" s="12"/>
      <c r="G2468" s="16"/>
      <c r="H2468" s="14"/>
      <c r="I2468" s="14"/>
      <c r="J2468" s="14"/>
      <c r="K2468" s="14"/>
      <c r="L2468" s="14"/>
      <c r="M2468" s="14"/>
      <c r="N2468" s="14"/>
      <c r="O2468" s="4"/>
      <c r="P2468" s="14"/>
      <c r="Q2468" s="14"/>
    </row>
    <row r="2469" spans="1:17" x14ac:dyDescent="0.25">
      <c r="A2469" s="5"/>
      <c r="B2469" s="6"/>
      <c r="C2469" s="4"/>
      <c r="D2469" s="4"/>
      <c r="E2469" s="12"/>
      <c r="F2469" s="12"/>
      <c r="G2469" s="16"/>
      <c r="H2469" s="14"/>
      <c r="I2469" s="14"/>
      <c r="J2469" s="14"/>
      <c r="K2469" s="14"/>
      <c r="L2469" s="14"/>
      <c r="M2469" s="14"/>
      <c r="N2469" s="14"/>
      <c r="O2469" s="4"/>
      <c r="P2469" s="14"/>
      <c r="Q2469" s="14"/>
    </row>
    <row r="2470" spans="1:17" x14ac:dyDescent="0.25">
      <c r="A2470" s="5"/>
      <c r="B2470" s="6"/>
      <c r="C2470" s="4"/>
      <c r="D2470" s="4"/>
      <c r="E2470" s="12"/>
      <c r="F2470" s="12"/>
      <c r="G2470" s="16"/>
      <c r="H2470" s="14"/>
      <c r="I2470" s="14"/>
      <c r="J2470" s="14"/>
      <c r="K2470" s="14"/>
      <c r="L2470" s="14"/>
      <c r="M2470" s="14"/>
      <c r="N2470" s="14"/>
      <c r="O2470" s="4"/>
      <c r="P2470" s="14"/>
      <c r="Q2470" s="14"/>
    </row>
    <row r="2471" spans="1:17" x14ac:dyDescent="0.25">
      <c r="A2471" s="5"/>
      <c r="B2471" s="6"/>
      <c r="C2471" s="4"/>
      <c r="D2471" s="4"/>
      <c r="E2471" s="12"/>
      <c r="F2471" s="12"/>
      <c r="G2471" s="16"/>
      <c r="H2471" s="14"/>
      <c r="I2471" s="14"/>
      <c r="J2471" s="14"/>
      <c r="K2471" s="14"/>
      <c r="L2471" s="14"/>
      <c r="M2471" s="14"/>
      <c r="N2471" s="14"/>
      <c r="O2471" s="4"/>
      <c r="P2471" s="14"/>
      <c r="Q2471" s="14"/>
    </row>
    <row r="2472" spans="1:17" x14ac:dyDescent="0.25">
      <c r="A2472" s="5"/>
      <c r="B2472" s="6"/>
      <c r="C2472" s="4"/>
      <c r="D2472" s="4"/>
      <c r="E2472" s="12"/>
      <c r="F2472" s="12"/>
      <c r="G2472" s="16"/>
      <c r="H2472" s="14"/>
      <c r="I2472" s="14"/>
      <c r="J2472" s="14"/>
      <c r="K2472" s="14"/>
      <c r="L2472" s="14"/>
      <c r="M2472" s="14"/>
      <c r="N2472" s="14"/>
      <c r="O2472" s="4"/>
      <c r="P2472" s="14"/>
      <c r="Q2472" s="14"/>
    </row>
    <row r="2473" spans="1:17" x14ac:dyDescent="0.25">
      <c r="A2473" s="5"/>
      <c r="B2473" s="6"/>
      <c r="C2473" s="4"/>
      <c r="D2473" s="4"/>
      <c r="E2473" s="12"/>
      <c r="F2473" s="12"/>
      <c r="G2473" s="16"/>
      <c r="H2473" s="14"/>
      <c r="I2473" s="14"/>
      <c r="J2473" s="14"/>
      <c r="K2473" s="14"/>
      <c r="L2473" s="14"/>
      <c r="M2473" s="14"/>
      <c r="N2473" s="14"/>
      <c r="O2473" s="4"/>
      <c r="P2473" s="14"/>
      <c r="Q2473" s="14"/>
    </row>
    <row r="2474" spans="1:17" x14ac:dyDescent="0.25">
      <c r="A2474" s="5"/>
      <c r="B2474" s="6"/>
      <c r="C2474" s="4"/>
      <c r="D2474" s="4"/>
      <c r="E2474" s="12"/>
      <c r="F2474" s="12"/>
      <c r="G2474" s="16"/>
      <c r="H2474" s="14"/>
      <c r="I2474" s="14"/>
      <c r="J2474" s="14"/>
      <c r="K2474" s="14"/>
      <c r="L2474" s="14"/>
      <c r="M2474" s="14"/>
      <c r="N2474" s="14"/>
      <c r="O2474" s="4"/>
      <c r="P2474" s="14"/>
      <c r="Q2474" s="14"/>
    </row>
    <row r="2475" spans="1:17" x14ac:dyDescent="0.25">
      <c r="A2475" s="5"/>
      <c r="B2475" s="6"/>
      <c r="C2475" s="4"/>
      <c r="D2475" s="4"/>
      <c r="E2475" s="12"/>
      <c r="F2475" s="12"/>
      <c r="G2475" s="16"/>
      <c r="H2475" s="14"/>
      <c r="I2475" s="14"/>
      <c r="J2475" s="14"/>
      <c r="K2475" s="14"/>
      <c r="L2475" s="14"/>
      <c r="M2475" s="14"/>
      <c r="N2475" s="14"/>
      <c r="O2475" s="4"/>
      <c r="P2475" s="14"/>
      <c r="Q2475" s="14"/>
    </row>
    <row r="2476" spans="1:17" x14ac:dyDescent="0.25">
      <c r="A2476" s="5"/>
      <c r="B2476" s="6"/>
      <c r="C2476" s="4"/>
      <c r="D2476" s="4"/>
      <c r="E2476" s="12"/>
      <c r="F2476" s="12"/>
      <c r="G2476" s="16"/>
      <c r="H2476" s="14"/>
      <c r="I2476" s="14"/>
      <c r="J2476" s="14"/>
      <c r="K2476" s="14"/>
      <c r="L2476" s="14"/>
      <c r="M2476" s="14"/>
      <c r="N2476" s="14"/>
      <c r="O2476" s="4"/>
      <c r="P2476" s="14"/>
      <c r="Q2476" s="14"/>
    </row>
    <row r="2477" spans="1:17" x14ac:dyDescent="0.25">
      <c r="A2477" s="5"/>
      <c r="B2477" s="6"/>
      <c r="C2477" s="4"/>
      <c r="D2477" s="4"/>
      <c r="E2477" s="12"/>
      <c r="F2477" s="12"/>
      <c r="G2477" s="16"/>
      <c r="H2477" s="14"/>
      <c r="I2477" s="14"/>
      <c r="J2477" s="14"/>
      <c r="K2477" s="14"/>
      <c r="L2477" s="14"/>
      <c r="M2477" s="14"/>
      <c r="N2477" s="14"/>
      <c r="O2477" s="4"/>
      <c r="P2477" s="14"/>
      <c r="Q2477" s="14"/>
    </row>
    <row r="2478" spans="1:17" x14ac:dyDescent="0.25">
      <c r="A2478" s="5"/>
      <c r="B2478" s="6"/>
      <c r="C2478" s="4"/>
      <c r="D2478" s="4"/>
      <c r="E2478" s="12"/>
      <c r="F2478" s="12"/>
      <c r="G2478" s="16"/>
      <c r="H2478" s="14"/>
      <c r="I2478" s="14"/>
      <c r="J2478" s="14"/>
      <c r="K2478" s="14"/>
      <c r="L2478" s="14"/>
      <c r="M2478" s="14"/>
      <c r="N2478" s="14"/>
      <c r="O2478" s="4"/>
      <c r="P2478" s="14"/>
      <c r="Q2478" s="14"/>
    </row>
    <row r="2479" spans="1:17" x14ac:dyDescent="0.25">
      <c r="A2479" s="5"/>
      <c r="B2479" s="6"/>
      <c r="C2479" s="4"/>
      <c r="D2479" s="4"/>
      <c r="E2479" s="12"/>
      <c r="F2479" s="12"/>
      <c r="G2479" s="16"/>
      <c r="H2479" s="14"/>
      <c r="I2479" s="14"/>
      <c r="J2479" s="14"/>
      <c r="K2479" s="14"/>
      <c r="L2479" s="14"/>
      <c r="M2479" s="14"/>
      <c r="N2479" s="14"/>
      <c r="O2479" s="4"/>
      <c r="P2479" s="14"/>
      <c r="Q2479" s="14"/>
    </row>
    <row r="2480" spans="1:17" x14ac:dyDescent="0.25">
      <c r="A2480" s="5"/>
      <c r="B2480" s="6"/>
      <c r="C2480" s="4"/>
      <c r="D2480" s="4"/>
      <c r="E2480" s="12"/>
      <c r="F2480" s="12"/>
      <c r="G2480" s="16"/>
      <c r="H2480" s="14"/>
      <c r="I2480" s="14"/>
      <c r="J2480" s="14"/>
      <c r="K2480" s="14"/>
      <c r="L2480" s="14"/>
      <c r="M2480" s="14"/>
      <c r="N2480" s="14"/>
      <c r="O2480" s="4"/>
      <c r="P2480" s="14"/>
      <c r="Q2480" s="14"/>
    </row>
    <row r="2481" spans="1:17" x14ac:dyDescent="0.25">
      <c r="A2481" s="5"/>
      <c r="B2481" s="6"/>
      <c r="C2481" s="4"/>
      <c r="D2481" s="4"/>
      <c r="E2481" s="12"/>
      <c r="F2481" s="12"/>
      <c r="G2481" s="16"/>
      <c r="H2481" s="14"/>
      <c r="I2481" s="14"/>
      <c r="J2481" s="14"/>
      <c r="K2481" s="14"/>
      <c r="L2481" s="14"/>
      <c r="M2481" s="14"/>
      <c r="N2481" s="14"/>
      <c r="O2481" s="4"/>
      <c r="P2481" s="14"/>
      <c r="Q2481" s="14"/>
    </row>
    <row r="2482" spans="1:17" x14ac:dyDescent="0.25">
      <c r="A2482" s="5"/>
      <c r="B2482" s="6"/>
      <c r="C2482" s="4"/>
      <c r="D2482" s="4"/>
      <c r="E2482" s="12"/>
      <c r="F2482" s="12"/>
      <c r="G2482" s="16"/>
      <c r="H2482" s="14"/>
      <c r="I2482" s="14"/>
      <c r="J2482" s="14"/>
      <c r="K2482" s="14"/>
      <c r="L2482" s="14"/>
      <c r="M2482" s="14"/>
      <c r="N2482" s="14"/>
      <c r="O2482" s="4"/>
      <c r="P2482" s="14"/>
      <c r="Q2482" s="14"/>
    </row>
    <row r="2483" spans="1:17" x14ac:dyDescent="0.25">
      <c r="A2483" s="5"/>
      <c r="B2483" s="6"/>
      <c r="C2483" s="4"/>
      <c r="D2483" s="4"/>
      <c r="E2483" s="12"/>
      <c r="F2483" s="12"/>
      <c r="G2483" s="16"/>
      <c r="H2483" s="14"/>
      <c r="I2483" s="14"/>
      <c r="J2483" s="14"/>
      <c r="K2483" s="14"/>
      <c r="L2483" s="14"/>
      <c r="M2483" s="14"/>
      <c r="N2483" s="14"/>
      <c r="O2483" s="4"/>
      <c r="P2483" s="14"/>
      <c r="Q2483" s="14"/>
    </row>
    <row r="2484" spans="1:17" x14ac:dyDescent="0.25">
      <c r="A2484" s="5"/>
      <c r="B2484" s="6"/>
      <c r="C2484" s="4"/>
      <c r="D2484" s="4"/>
      <c r="E2484" s="12"/>
      <c r="F2484" s="12"/>
      <c r="G2484" s="16"/>
      <c r="H2484" s="14"/>
      <c r="I2484" s="14"/>
      <c r="J2484" s="14"/>
      <c r="K2484" s="14"/>
      <c r="L2484" s="14"/>
      <c r="M2484" s="14"/>
      <c r="N2484" s="14"/>
      <c r="O2484" s="4"/>
      <c r="P2484" s="14"/>
      <c r="Q2484" s="14"/>
    </row>
    <row r="2485" spans="1:17" x14ac:dyDescent="0.25">
      <c r="A2485" s="5"/>
      <c r="B2485" s="6"/>
      <c r="C2485" s="4"/>
      <c r="D2485" s="4"/>
      <c r="E2485" s="12"/>
      <c r="F2485" s="12"/>
      <c r="G2485" s="16"/>
      <c r="H2485" s="14"/>
      <c r="I2485" s="14"/>
      <c r="J2485" s="14"/>
      <c r="K2485" s="14"/>
      <c r="L2485" s="14"/>
      <c r="M2485" s="14"/>
      <c r="N2485" s="14"/>
      <c r="O2485" s="4"/>
      <c r="P2485" s="14"/>
      <c r="Q2485" s="14"/>
    </row>
    <row r="2486" spans="1:17" x14ac:dyDescent="0.25">
      <c r="A2486" s="5"/>
      <c r="B2486" s="6"/>
      <c r="C2486" s="4"/>
      <c r="D2486" s="4"/>
      <c r="E2486" s="12"/>
      <c r="F2486" s="12"/>
      <c r="G2486" s="16"/>
      <c r="H2486" s="14"/>
      <c r="I2486" s="14"/>
      <c r="J2486" s="14"/>
      <c r="K2486" s="14"/>
      <c r="L2486" s="14"/>
      <c r="M2486" s="14"/>
      <c r="N2486" s="14"/>
      <c r="O2486" s="4"/>
      <c r="P2486" s="14"/>
      <c r="Q2486" s="14"/>
    </row>
    <row r="2487" spans="1:17" x14ac:dyDescent="0.25">
      <c r="A2487" s="5"/>
      <c r="B2487" s="6"/>
      <c r="C2487" s="4"/>
      <c r="D2487" s="4"/>
      <c r="E2487" s="12"/>
      <c r="F2487" s="12"/>
      <c r="G2487" s="16"/>
      <c r="H2487" s="14"/>
      <c r="I2487" s="14"/>
      <c r="J2487" s="14"/>
      <c r="K2487" s="14"/>
      <c r="L2487" s="14"/>
      <c r="M2487" s="14"/>
      <c r="N2487" s="14"/>
      <c r="O2487" s="4"/>
      <c r="P2487" s="14"/>
      <c r="Q2487" s="14"/>
    </row>
    <row r="2488" spans="1:17" x14ac:dyDescent="0.25">
      <c r="A2488" s="5"/>
      <c r="B2488" s="6"/>
      <c r="C2488" s="4"/>
      <c r="D2488" s="4"/>
      <c r="E2488" s="12"/>
      <c r="F2488" s="12"/>
      <c r="G2488" s="16"/>
      <c r="H2488" s="14"/>
      <c r="I2488" s="14"/>
      <c r="J2488" s="14"/>
      <c r="K2488" s="14"/>
      <c r="L2488" s="14"/>
      <c r="M2488" s="14"/>
      <c r="N2488" s="14"/>
      <c r="O2488" s="4"/>
      <c r="P2488" s="14"/>
      <c r="Q2488" s="14"/>
    </row>
    <row r="2489" spans="1:17" x14ac:dyDescent="0.25">
      <c r="A2489" s="5"/>
      <c r="B2489" s="6"/>
      <c r="C2489" s="4"/>
      <c r="D2489" s="4"/>
      <c r="E2489" s="12"/>
      <c r="F2489" s="12"/>
      <c r="G2489" s="16"/>
      <c r="H2489" s="14"/>
      <c r="I2489" s="14"/>
      <c r="J2489" s="14"/>
      <c r="K2489" s="14"/>
      <c r="L2489" s="14"/>
      <c r="M2489" s="14"/>
      <c r="N2489" s="14"/>
      <c r="O2489" s="4"/>
      <c r="P2489" s="14"/>
      <c r="Q2489" s="14"/>
    </row>
    <row r="2490" spans="1:17" x14ac:dyDescent="0.25">
      <c r="A2490" s="5"/>
      <c r="B2490" s="6"/>
      <c r="C2490" s="4"/>
      <c r="D2490" s="4"/>
      <c r="E2490" s="12"/>
      <c r="F2490" s="12"/>
      <c r="G2490" s="16"/>
      <c r="H2490" s="14"/>
      <c r="I2490" s="14"/>
      <c r="J2490" s="14"/>
      <c r="K2490" s="14"/>
      <c r="L2490" s="14"/>
      <c r="M2490" s="14"/>
      <c r="N2490" s="14"/>
      <c r="O2490" s="4"/>
      <c r="P2490" s="14"/>
      <c r="Q2490" s="14"/>
    </row>
    <row r="2491" spans="1:17" x14ac:dyDescent="0.25">
      <c r="A2491" s="5"/>
      <c r="B2491" s="6"/>
      <c r="C2491" s="4"/>
      <c r="D2491" s="4"/>
      <c r="E2491" s="12"/>
      <c r="F2491" s="12"/>
      <c r="G2491" s="16"/>
      <c r="H2491" s="14"/>
      <c r="I2491" s="14"/>
      <c r="J2491" s="14"/>
      <c r="K2491" s="14"/>
      <c r="L2491" s="14"/>
      <c r="M2491" s="14"/>
      <c r="N2491" s="14"/>
      <c r="O2491" s="4"/>
      <c r="P2491" s="14"/>
      <c r="Q2491" s="14"/>
    </row>
    <row r="2492" spans="1:17" x14ac:dyDescent="0.25">
      <c r="A2492" s="5"/>
      <c r="B2492" s="6"/>
      <c r="C2492" s="4"/>
      <c r="D2492" s="4"/>
      <c r="E2492" s="12"/>
      <c r="F2492" s="12"/>
      <c r="G2492" s="16"/>
      <c r="H2492" s="14"/>
      <c r="I2492" s="14"/>
      <c r="J2492" s="14"/>
      <c r="K2492" s="14"/>
      <c r="L2492" s="14"/>
      <c r="M2492" s="14"/>
      <c r="N2492" s="14"/>
      <c r="O2492" s="4"/>
      <c r="P2492" s="14"/>
      <c r="Q2492" s="14"/>
    </row>
    <row r="2493" spans="1:17" x14ac:dyDescent="0.25">
      <c r="A2493" s="5"/>
      <c r="B2493" s="6"/>
      <c r="C2493" s="4"/>
      <c r="D2493" s="4"/>
      <c r="E2493" s="12"/>
      <c r="F2493" s="12"/>
      <c r="G2493" s="16"/>
      <c r="H2493" s="14"/>
      <c r="I2493" s="14"/>
      <c r="J2493" s="14"/>
      <c r="K2493" s="14"/>
      <c r="L2493" s="14"/>
      <c r="M2493" s="14"/>
      <c r="N2493" s="14"/>
      <c r="O2493" s="4"/>
      <c r="P2493" s="14"/>
      <c r="Q2493" s="14"/>
    </row>
    <row r="2494" spans="1:17" x14ac:dyDescent="0.25">
      <c r="A2494" s="5"/>
      <c r="B2494" s="6"/>
      <c r="C2494" s="4"/>
      <c r="D2494" s="4"/>
      <c r="E2494" s="12"/>
      <c r="F2494" s="12"/>
      <c r="G2494" s="16"/>
      <c r="H2494" s="14"/>
      <c r="I2494" s="14"/>
      <c r="J2494" s="14"/>
      <c r="K2494" s="14"/>
      <c r="L2494" s="14"/>
      <c r="M2494" s="14"/>
      <c r="N2494" s="14"/>
      <c r="O2494" s="4"/>
      <c r="P2494" s="14"/>
      <c r="Q2494" s="14"/>
    </row>
    <row r="2495" spans="1:17" x14ac:dyDescent="0.25">
      <c r="A2495" s="5"/>
      <c r="B2495" s="6"/>
      <c r="C2495" s="4"/>
      <c r="D2495" s="4"/>
      <c r="E2495" s="12"/>
      <c r="F2495" s="12"/>
      <c r="G2495" s="16"/>
      <c r="H2495" s="14"/>
      <c r="I2495" s="14"/>
      <c r="J2495" s="14"/>
      <c r="K2495" s="14"/>
      <c r="L2495" s="14"/>
      <c r="M2495" s="14"/>
      <c r="N2495" s="14"/>
      <c r="O2495" s="4"/>
      <c r="P2495" s="14"/>
      <c r="Q2495" s="14"/>
    </row>
    <row r="2496" spans="1:17" x14ac:dyDescent="0.25">
      <c r="A2496" s="5"/>
      <c r="B2496" s="6"/>
      <c r="C2496" s="4"/>
      <c r="D2496" s="4"/>
      <c r="E2496" s="12"/>
      <c r="F2496" s="12"/>
      <c r="G2496" s="16"/>
      <c r="H2496" s="14"/>
      <c r="I2496" s="14"/>
      <c r="J2496" s="14"/>
      <c r="K2496" s="14"/>
      <c r="L2496" s="14"/>
      <c r="M2496" s="14"/>
      <c r="N2496" s="14"/>
      <c r="O2496" s="4"/>
      <c r="P2496" s="14"/>
      <c r="Q2496" s="14"/>
    </row>
    <row r="2497" spans="1:17" x14ac:dyDescent="0.25">
      <c r="A2497" s="5"/>
      <c r="B2497" s="6"/>
      <c r="C2497" s="4"/>
      <c r="D2497" s="4"/>
      <c r="E2497" s="12"/>
      <c r="F2497" s="12"/>
      <c r="G2497" s="16"/>
      <c r="H2497" s="14"/>
      <c r="I2497" s="14"/>
      <c r="J2497" s="14"/>
      <c r="K2497" s="14"/>
      <c r="L2497" s="14"/>
      <c r="M2497" s="14"/>
      <c r="N2497" s="14"/>
      <c r="O2497" s="4"/>
      <c r="P2497" s="14"/>
      <c r="Q2497" s="14"/>
    </row>
    <row r="2498" spans="1:17" x14ac:dyDescent="0.25">
      <c r="A2498" s="5"/>
      <c r="B2498" s="6"/>
      <c r="C2498" s="4"/>
      <c r="D2498" s="4"/>
      <c r="E2498" s="12"/>
      <c r="F2498" s="12"/>
      <c r="G2498" s="16"/>
      <c r="H2498" s="14"/>
      <c r="I2498" s="14"/>
      <c r="J2498" s="14"/>
      <c r="K2498" s="14"/>
      <c r="L2498" s="14"/>
      <c r="M2498" s="14"/>
      <c r="N2498" s="14"/>
      <c r="O2498" s="4"/>
      <c r="P2498" s="14"/>
      <c r="Q2498" s="14"/>
    </row>
    <row r="2499" spans="1:17" x14ac:dyDescent="0.25">
      <c r="A2499" s="5"/>
      <c r="B2499" s="6"/>
      <c r="C2499" s="4"/>
      <c r="D2499" s="4"/>
      <c r="E2499" s="12"/>
      <c r="F2499" s="12"/>
      <c r="G2499" s="16"/>
      <c r="H2499" s="14"/>
      <c r="I2499" s="14"/>
      <c r="J2499" s="14"/>
      <c r="K2499" s="14"/>
      <c r="L2499" s="14"/>
      <c r="M2499" s="14"/>
      <c r="N2499" s="14"/>
      <c r="O2499" s="4"/>
      <c r="P2499" s="14"/>
      <c r="Q2499" s="14"/>
    </row>
    <row r="2500" spans="1:17" x14ac:dyDescent="0.25">
      <c r="A2500" s="5"/>
      <c r="B2500" s="6"/>
      <c r="C2500" s="4"/>
      <c r="D2500" s="4"/>
      <c r="E2500" s="12"/>
      <c r="F2500" s="12"/>
      <c r="G2500" s="16"/>
      <c r="H2500" s="14"/>
      <c r="I2500" s="14"/>
      <c r="J2500" s="14"/>
      <c r="K2500" s="14"/>
      <c r="L2500" s="14"/>
      <c r="M2500" s="14"/>
      <c r="N2500" s="14"/>
      <c r="O2500" s="4"/>
      <c r="P2500" s="14"/>
      <c r="Q2500" s="14"/>
    </row>
    <row r="2501" spans="1:17" x14ac:dyDescent="0.25">
      <c r="A2501" s="5"/>
      <c r="B2501" s="6"/>
      <c r="C2501" s="4"/>
      <c r="D2501" s="4"/>
      <c r="E2501" s="12"/>
      <c r="F2501" s="12"/>
      <c r="G2501" s="16"/>
      <c r="H2501" s="14"/>
      <c r="I2501" s="14"/>
      <c r="J2501" s="14"/>
      <c r="K2501" s="14"/>
      <c r="L2501" s="14"/>
      <c r="M2501" s="14"/>
      <c r="N2501" s="14"/>
      <c r="O2501" s="4"/>
      <c r="P2501" s="14"/>
      <c r="Q2501" s="14"/>
    </row>
    <row r="2502" spans="1:17" x14ac:dyDescent="0.25">
      <c r="A2502" s="5"/>
      <c r="B2502" s="6"/>
      <c r="C2502" s="4"/>
      <c r="D2502" s="4"/>
      <c r="E2502" s="12"/>
      <c r="F2502" s="12"/>
      <c r="G2502" s="16"/>
      <c r="H2502" s="14"/>
      <c r="I2502" s="14"/>
      <c r="J2502" s="14"/>
      <c r="K2502" s="14"/>
      <c r="L2502" s="14"/>
      <c r="M2502" s="14"/>
      <c r="N2502" s="14"/>
      <c r="O2502" s="4"/>
      <c r="P2502" s="14"/>
      <c r="Q2502" s="14"/>
    </row>
    <row r="2503" spans="1:17" x14ac:dyDescent="0.25">
      <c r="A2503" s="5"/>
      <c r="B2503" s="6"/>
      <c r="C2503" s="4"/>
      <c r="D2503" s="4"/>
      <c r="E2503" s="12"/>
      <c r="F2503" s="12"/>
      <c r="G2503" s="16"/>
      <c r="H2503" s="14"/>
      <c r="I2503" s="14"/>
      <c r="J2503" s="14"/>
      <c r="K2503" s="14"/>
      <c r="L2503" s="14"/>
      <c r="M2503" s="14"/>
      <c r="N2503" s="14"/>
      <c r="O2503" s="4"/>
      <c r="P2503" s="14"/>
      <c r="Q2503" s="14"/>
    </row>
    <row r="2504" spans="1:17" x14ac:dyDescent="0.25">
      <c r="A2504" s="5"/>
      <c r="B2504" s="6"/>
      <c r="C2504" s="4"/>
      <c r="D2504" s="4"/>
      <c r="E2504" s="12"/>
      <c r="F2504" s="12"/>
      <c r="G2504" s="16"/>
      <c r="H2504" s="14"/>
      <c r="I2504" s="14"/>
      <c r="J2504" s="14"/>
      <c r="K2504" s="14"/>
      <c r="L2504" s="14"/>
      <c r="M2504" s="14"/>
      <c r="N2504" s="14"/>
      <c r="O2504" s="4"/>
      <c r="P2504" s="14"/>
      <c r="Q2504" s="14"/>
    </row>
    <row r="2505" spans="1:17" x14ac:dyDescent="0.25">
      <c r="A2505" s="5"/>
      <c r="B2505" s="6"/>
      <c r="C2505" s="4"/>
      <c r="D2505" s="4"/>
      <c r="E2505" s="12"/>
      <c r="F2505" s="12"/>
      <c r="G2505" s="16"/>
      <c r="H2505" s="14"/>
      <c r="I2505" s="14"/>
      <c r="J2505" s="14"/>
      <c r="K2505" s="14"/>
      <c r="L2505" s="14"/>
      <c r="M2505" s="14"/>
      <c r="N2505" s="14"/>
      <c r="O2505" s="4"/>
      <c r="P2505" s="14"/>
      <c r="Q2505" s="14"/>
    </row>
    <row r="2506" spans="1:17" x14ac:dyDescent="0.25">
      <c r="A2506" s="5"/>
      <c r="B2506" s="6"/>
      <c r="C2506" s="4"/>
      <c r="D2506" s="4"/>
      <c r="E2506" s="12"/>
      <c r="F2506" s="12"/>
      <c r="G2506" s="16"/>
      <c r="H2506" s="14"/>
      <c r="I2506" s="14"/>
      <c r="J2506" s="14"/>
      <c r="K2506" s="14"/>
      <c r="L2506" s="14"/>
      <c r="M2506" s="14"/>
      <c r="N2506" s="14"/>
      <c r="O2506" s="4"/>
      <c r="P2506" s="14"/>
      <c r="Q2506" s="14"/>
    </row>
    <row r="2507" spans="1:17" x14ac:dyDescent="0.25">
      <c r="A2507" s="5"/>
      <c r="B2507" s="6"/>
      <c r="C2507" s="4"/>
      <c r="D2507" s="4"/>
      <c r="E2507" s="12"/>
      <c r="F2507" s="12"/>
      <c r="G2507" s="16"/>
      <c r="H2507" s="14"/>
      <c r="I2507" s="14"/>
      <c r="J2507" s="14"/>
      <c r="K2507" s="14"/>
      <c r="L2507" s="14"/>
      <c r="M2507" s="14"/>
      <c r="N2507" s="14"/>
      <c r="O2507" s="4"/>
      <c r="P2507" s="14"/>
      <c r="Q2507" s="14"/>
    </row>
    <row r="2508" spans="1:17" x14ac:dyDescent="0.25">
      <c r="A2508" s="5"/>
      <c r="B2508" s="6"/>
      <c r="C2508" s="4"/>
      <c r="D2508" s="4"/>
      <c r="E2508" s="12"/>
      <c r="F2508" s="12"/>
      <c r="G2508" s="16"/>
      <c r="H2508" s="14"/>
      <c r="I2508" s="14"/>
      <c r="J2508" s="14"/>
      <c r="K2508" s="14"/>
      <c r="L2508" s="14"/>
      <c r="M2508" s="14"/>
      <c r="N2508" s="14"/>
      <c r="O2508" s="4"/>
      <c r="P2508" s="14"/>
      <c r="Q2508" s="14"/>
    </row>
    <row r="2509" spans="1:17" x14ac:dyDescent="0.25">
      <c r="A2509" s="5"/>
      <c r="B2509" s="6"/>
      <c r="C2509" s="4"/>
      <c r="D2509" s="4"/>
      <c r="E2509" s="12"/>
      <c r="F2509" s="12"/>
      <c r="G2509" s="16"/>
      <c r="H2509" s="14"/>
      <c r="I2509" s="14"/>
      <c r="J2509" s="14"/>
      <c r="K2509" s="14"/>
      <c r="L2509" s="14"/>
      <c r="M2509" s="14"/>
      <c r="N2509" s="14"/>
      <c r="O2509" s="4"/>
      <c r="P2509" s="14"/>
      <c r="Q2509" s="14"/>
    </row>
    <row r="2510" spans="1:17" x14ac:dyDescent="0.25">
      <c r="A2510" s="5"/>
      <c r="B2510" s="6"/>
      <c r="C2510" s="4"/>
      <c r="D2510" s="4"/>
      <c r="E2510" s="12"/>
      <c r="F2510" s="12"/>
      <c r="G2510" s="16"/>
      <c r="H2510" s="14"/>
      <c r="I2510" s="14"/>
      <c r="J2510" s="14"/>
      <c r="K2510" s="14"/>
      <c r="L2510" s="14"/>
      <c r="M2510" s="14"/>
      <c r="N2510" s="14"/>
      <c r="O2510" s="4"/>
      <c r="P2510" s="14"/>
      <c r="Q2510" s="14"/>
    </row>
    <row r="2511" spans="1:17" x14ac:dyDescent="0.25">
      <c r="A2511" s="5"/>
      <c r="B2511" s="6"/>
      <c r="C2511" s="4"/>
      <c r="D2511" s="4"/>
      <c r="E2511" s="12"/>
      <c r="F2511" s="12"/>
      <c r="G2511" s="16"/>
      <c r="H2511" s="14"/>
      <c r="I2511" s="14"/>
      <c r="J2511" s="14"/>
      <c r="K2511" s="14"/>
      <c r="L2511" s="14"/>
      <c r="M2511" s="14"/>
      <c r="N2511" s="14"/>
      <c r="O2511" s="4"/>
      <c r="P2511" s="14"/>
      <c r="Q2511" s="14"/>
    </row>
    <row r="2512" spans="1:17" x14ac:dyDescent="0.25">
      <c r="A2512" s="5"/>
      <c r="B2512" s="6"/>
      <c r="C2512" s="4"/>
      <c r="D2512" s="4"/>
      <c r="E2512" s="12"/>
      <c r="F2512" s="12"/>
      <c r="G2512" s="16"/>
      <c r="H2512" s="14"/>
      <c r="I2512" s="14"/>
      <c r="J2512" s="14"/>
      <c r="K2512" s="14"/>
      <c r="L2512" s="14"/>
      <c r="M2512" s="14"/>
      <c r="N2512" s="14"/>
      <c r="O2512" s="4"/>
      <c r="P2512" s="14"/>
      <c r="Q2512" s="14"/>
    </row>
    <row r="2513" spans="1:17" x14ac:dyDescent="0.25">
      <c r="A2513" s="5"/>
      <c r="B2513" s="6"/>
      <c r="C2513" s="4"/>
      <c r="D2513" s="4"/>
      <c r="E2513" s="12"/>
      <c r="F2513" s="12"/>
      <c r="G2513" s="16"/>
      <c r="H2513" s="14"/>
      <c r="I2513" s="14"/>
      <c r="J2513" s="14"/>
      <c r="K2513" s="14"/>
      <c r="L2513" s="14"/>
      <c r="M2513" s="14"/>
      <c r="N2513" s="14"/>
      <c r="O2513" s="4"/>
      <c r="P2513" s="14"/>
      <c r="Q2513" s="14"/>
    </row>
    <row r="2514" spans="1:17" x14ac:dyDescent="0.25">
      <c r="A2514" s="5"/>
      <c r="B2514" s="6"/>
      <c r="C2514" s="4"/>
      <c r="D2514" s="4"/>
      <c r="E2514" s="12"/>
      <c r="F2514" s="12"/>
      <c r="G2514" s="16"/>
      <c r="H2514" s="14"/>
      <c r="I2514" s="14"/>
      <c r="J2514" s="14"/>
      <c r="K2514" s="14"/>
      <c r="L2514" s="14"/>
      <c r="M2514" s="14"/>
      <c r="N2514" s="14"/>
      <c r="O2514" s="4"/>
      <c r="P2514" s="14"/>
      <c r="Q2514" s="14"/>
    </row>
    <row r="2515" spans="1:17" x14ac:dyDescent="0.25">
      <c r="A2515" s="5"/>
      <c r="B2515" s="6"/>
      <c r="C2515" s="4"/>
      <c r="D2515" s="4"/>
      <c r="E2515" s="12"/>
      <c r="F2515" s="12"/>
      <c r="G2515" s="16"/>
      <c r="H2515" s="14"/>
      <c r="I2515" s="14"/>
      <c r="J2515" s="14"/>
      <c r="K2515" s="14"/>
      <c r="L2515" s="14"/>
      <c r="M2515" s="14"/>
      <c r="N2515" s="14"/>
      <c r="O2515" s="4"/>
      <c r="P2515" s="14"/>
      <c r="Q2515" s="14"/>
    </row>
    <row r="2516" spans="1:17" x14ac:dyDescent="0.25">
      <c r="A2516" s="5"/>
      <c r="B2516" s="6"/>
      <c r="C2516" s="4"/>
      <c r="D2516" s="4"/>
      <c r="E2516" s="12"/>
      <c r="F2516" s="12"/>
      <c r="G2516" s="16"/>
      <c r="H2516" s="14"/>
      <c r="I2516" s="14"/>
      <c r="J2516" s="14"/>
      <c r="K2516" s="14"/>
      <c r="L2516" s="14"/>
      <c r="M2516" s="14"/>
      <c r="N2516" s="14"/>
      <c r="O2516" s="4"/>
      <c r="P2516" s="14"/>
      <c r="Q2516" s="14"/>
    </row>
    <row r="2517" spans="1:17" x14ac:dyDescent="0.25">
      <c r="A2517" s="5"/>
      <c r="B2517" s="6"/>
      <c r="C2517" s="4"/>
      <c r="D2517" s="4"/>
      <c r="E2517" s="12"/>
      <c r="F2517" s="12"/>
      <c r="G2517" s="16"/>
      <c r="H2517" s="14"/>
      <c r="I2517" s="14"/>
      <c r="J2517" s="14"/>
      <c r="K2517" s="14"/>
      <c r="L2517" s="14"/>
      <c r="M2517" s="14"/>
      <c r="N2517" s="14"/>
      <c r="O2517" s="4"/>
      <c r="P2517" s="14"/>
      <c r="Q2517" s="14"/>
    </row>
    <row r="2518" spans="1:17" x14ac:dyDescent="0.25">
      <c r="A2518" s="5"/>
      <c r="B2518" s="6"/>
      <c r="C2518" s="4"/>
      <c r="D2518" s="4"/>
      <c r="E2518" s="12"/>
      <c r="F2518" s="12"/>
      <c r="G2518" s="16"/>
      <c r="H2518" s="14"/>
      <c r="I2518" s="14"/>
      <c r="J2518" s="14"/>
      <c r="K2518" s="14"/>
      <c r="L2518" s="14"/>
      <c r="M2518" s="14"/>
      <c r="N2518" s="14"/>
      <c r="O2518" s="4"/>
      <c r="P2518" s="14"/>
      <c r="Q2518" s="14"/>
    </row>
    <row r="2519" spans="1:17" x14ac:dyDescent="0.25">
      <c r="A2519" s="5"/>
      <c r="B2519" s="6"/>
      <c r="C2519" s="4"/>
      <c r="D2519" s="4"/>
      <c r="E2519" s="12"/>
      <c r="F2519" s="12"/>
      <c r="G2519" s="16"/>
      <c r="H2519" s="14"/>
      <c r="I2519" s="14"/>
      <c r="J2519" s="14"/>
      <c r="K2519" s="14"/>
      <c r="L2519" s="14"/>
      <c r="M2519" s="14"/>
      <c r="N2519" s="14"/>
      <c r="O2519" s="4"/>
      <c r="P2519" s="14"/>
      <c r="Q2519" s="14"/>
    </row>
    <row r="2520" spans="1:17" x14ac:dyDescent="0.25">
      <c r="A2520" s="5"/>
      <c r="B2520" s="6"/>
      <c r="C2520" s="4"/>
      <c r="D2520" s="4"/>
      <c r="E2520" s="12"/>
      <c r="F2520" s="12"/>
      <c r="G2520" s="16"/>
      <c r="H2520" s="14"/>
      <c r="I2520" s="14"/>
      <c r="J2520" s="14"/>
      <c r="K2520" s="14"/>
      <c r="L2520" s="14"/>
      <c r="M2520" s="14"/>
      <c r="N2520" s="14"/>
      <c r="O2520" s="4"/>
      <c r="P2520" s="14"/>
      <c r="Q2520" s="14"/>
    </row>
    <row r="2521" spans="1:17" x14ac:dyDescent="0.25">
      <c r="A2521" s="5"/>
      <c r="B2521" s="6"/>
      <c r="C2521" s="4"/>
      <c r="D2521" s="4"/>
      <c r="E2521" s="12"/>
      <c r="F2521" s="12"/>
      <c r="G2521" s="16"/>
      <c r="H2521" s="14"/>
      <c r="I2521" s="14"/>
      <c r="J2521" s="14"/>
      <c r="K2521" s="14"/>
      <c r="L2521" s="14"/>
      <c r="M2521" s="14"/>
      <c r="N2521" s="14"/>
      <c r="O2521" s="4"/>
      <c r="P2521" s="14"/>
      <c r="Q2521" s="14"/>
    </row>
    <row r="2522" spans="1:17" x14ac:dyDescent="0.25">
      <c r="A2522" s="5"/>
      <c r="B2522" s="6"/>
      <c r="C2522" s="4"/>
      <c r="D2522" s="4"/>
      <c r="E2522" s="12"/>
      <c r="F2522" s="12"/>
      <c r="G2522" s="16"/>
      <c r="H2522" s="14"/>
      <c r="I2522" s="14"/>
      <c r="J2522" s="14"/>
      <c r="K2522" s="14"/>
      <c r="L2522" s="14"/>
      <c r="M2522" s="14"/>
      <c r="N2522" s="14"/>
      <c r="O2522" s="4"/>
      <c r="P2522" s="14"/>
      <c r="Q2522" s="14"/>
    </row>
    <row r="2523" spans="1:17" x14ac:dyDescent="0.25">
      <c r="A2523" s="5"/>
      <c r="B2523" s="6"/>
      <c r="C2523" s="4"/>
      <c r="D2523" s="4"/>
      <c r="E2523" s="12"/>
      <c r="F2523" s="12"/>
      <c r="G2523" s="16"/>
      <c r="H2523" s="14"/>
      <c r="I2523" s="14"/>
      <c r="J2523" s="14"/>
      <c r="K2523" s="14"/>
      <c r="L2523" s="14"/>
      <c r="M2523" s="14"/>
      <c r="N2523" s="14"/>
      <c r="O2523" s="4"/>
      <c r="P2523" s="14"/>
      <c r="Q2523" s="14"/>
    </row>
    <row r="2524" spans="1:17" x14ac:dyDescent="0.25">
      <c r="A2524" s="5"/>
      <c r="B2524" s="6"/>
      <c r="C2524" s="4"/>
      <c r="D2524" s="4"/>
      <c r="E2524" s="12"/>
      <c r="F2524" s="12"/>
      <c r="G2524" s="16"/>
      <c r="H2524" s="14"/>
      <c r="I2524" s="14"/>
      <c r="J2524" s="14"/>
      <c r="K2524" s="14"/>
      <c r="L2524" s="14"/>
      <c r="M2524" s="14"/>
      <c r="N2524" s="14"/>
      <c r="O2524" s="4"/>
      <c r="P2524" s="14"/>
      <c r="Q2524" s="14"/>
    </row>
    <row r="2525" spans="1:17" x14ac:dyDescent="0.25">
      <c r="A2525" s="5"/>
      <c r="B2525" s="6"/>
      <c r="C2525" s="4"/>
      <c r="D2525" s="4"/>
      <c r="E2525" s="12"/>
      <c r="F2525" s="12"/>
      <c r="G2525" s="16"/>
      <c r="H2525" s="14"/>
      <c r="I2525" s="14"/>
      <c r="J2525" s="14"/>
      <c r="K2525" s="14"/>
      <c r="L2525" s="14"/>
      <c r="M2525" s="14"/>
      <c r="N2525" s="14"/>
      <c r="O2525" s="4"/>
      <c r="P2525" s="14"/>
      <c r="Q2525" s="14"/>
    </row>
    <row r="2526" spans="1:17" x14ac:dyDescent="0.25">
      <c r="A2526" s="5"/>
      <c r="B2526" s="6"/>
      <c r="C2526" s="4"/>
      <c r="D2526" s="4"/>
      <c r="E2526" s="12"/>
      <c r="F2526" s="12"/>
      <c r="G2526" s="16"/>
      <c r="H2526" s="14"/>
      <c r="I2526" s="14"/>
      <c r="J2526" s="14"/>
      <c r="K2526" s="14"/>
      <c r="L2526" s="14"/>
      <c r="M2526" s="14"/>
      <c r="N2526" s="14"/>
      <c r="O2526" s="4"/>
      <c r="P2526" s="14"/>
      <c r="Q2526" s="14"/>
    </row>
    <row r="2527" spans="1:17" x14ac:dyDescent="0.25">
      <c r="A2527" s="5"/>
      <c r="B2527" s="6"/>
      <c r="C2527" s="4"/>
      <c r="D2527" s="4"/>
      <c r="E2527" s="12"/>
      <c r="F2527" s="12"/>
      <c r="G2527" s="16"/>
      <c r="H2527" s="14"/>
      <c r="I2527" s="14"/>
      <c r="J2527" s="14"/>
      <c r="K2527" s="14"/>
      <c r="L2527" s="14"/>
      <c r="M2527" s="14"/>
      <c r="N2527" s="14"/>
      <c r="O2527" s="4"/>
      <c r="P2527" s="14"/>
      <c r="Q2527" s="14"/>
    </row>
    <row r="2528" spans="1:17" x14ac:dyDescent="0.25">
      <c r="A2528" s="5"/>
      <c r="B2528" s="6"/>
      <c r="C2528" s="4"/>
      <c r="D2528" s="4"/>
      <c r="E2528" s="12"/>
      <c r="F2528" s="12"/>
      <c r="G2528" s="16"/>
      <c r="H2528" s="14"/>
      <c r="I2528" s="14"/>
      <c r="J2528" s="14"/>
      <c r="K2528" s="14"/>
      <c r="L2528" s="14"/>
      <c r="M2528" s="14"/>
      <c r="N2528" s="14"/>
      <c r="O2528" s="4"/>
      <c r="P2528" s="14"/>
      <c r="Q2528" s="14"/>
    </row>
    <row r="2529" spans="1:17" x14ac:dyDescent="0.25">
      <c r="A2529" s="5"/>
      <c r="B2529" s="6"/>
      <c r="C2529" s="4"/>
      <c r="D2529" s="4"/>
      <c r="E2529" s="12"/>
      <c r="F2529" s="12"/>
      <c r="G2529" s="16"/>
      <c r="H2529" s="14"/>
      <c r="I2529" s="14"/>
      <c r="J2529" s="14"/>
      <c r="K2529" s="14"/>
      <c r="L2529" s="14"/>
      <c r="M2529" s="14"/>
      <c r="N2529" s="14"/>
      <c r="O2529" s="4"/>
      <c r="P2529" s="14"/>
      <c r="Q2529" s="14"/>
    </row>
    <row r="2530" spans="1:17" x14ac:dyDescent="0.25">
      <c r="A2530" s="5"/>
      <c r="B2530" s="6"/>
      <c r="C2530" s="4"/>
      <c r="D2530" s="4"/>
      <c r="E2530" s="12"/>
      <c r="F2530" s="12"/>
      <c r="G2530" s="16"/>
      <c r="H2530" s="14"/>
      <c r="I2530" s="14"/>
      <c r="J2530" s="14"/>
      <c r="K2530" s="14"/>
      <c r="L2530" s="14"/>
      <c r="M2530" s="14"/>
      <c r="N2530" s="14"/>
      <c r="O2530" s="4"/>
      <c r="P2530" s="14"/>
      <c r="Q2530" s="14"/>
    </row>
    <row r="2531" spans="1:17" x14ac:dyDescent="0.25">
      <c r="A2531" s="5"/>
      <c r="B2531" s="6"/>
      <c r="C2531" s="4"/>
      <c r="D2531" s="4"/>
      <c r="E2531" s="12"/>
      <c r="F2531" s="12"/>
      <c r="G2531" s="16"/>
      <c r="H2531" s="14"/>
      <c r="I2531" s="14"/>
      <c r="J2531" s="14"/>
      <c r="K2531" s="14"/>
      <c r="L2531" s="14"/>
      <c r="M2531" s="14"/>
      <c r="N2531" s="14"/>
      <c r="O2531" s="4"/>
      <c r="P2531" s="14"/>
      <c r="Q2531" s="14"/>
    </row>
    <row r="2532" spans="1:17" x14ac:dyDescent="0.25">
      <c r="A2532" s="5"/>
      <c r="B2532" s="6"/>
      <c r="C2532" s="4"/>
      <c r="D2532" s="4"/>
      <c r="E2532" s="12"/>
      <c r="F2532" s="12"/>
      <c r="G2532" s="16"/>
      <c r="H2532" s="14"/>
      <c r="I2532" s="14"/>
      <c r="J2532" s="14"/>
      <c r="K2532" s="14"/>
      <c r="L2532" s="14"/>
      <c r="M2532" s="14"/>
      <c r="N2532" s="14"/>
      <c r="O2532" s="4"/>
      <c r="P2532" s="14"/>
      <c r="Q2532" s="14"/>
    </row>
    <row r="2533" spans="1:17" x14ac:dyDescent="0.25">
      <c r="A2533" s="5"/>
      <c r="B2533" s="6"/>
      <c r="C2533" s="4"/>
      <c r="D2533" s="4"/>
      <c r="E2533" s="12"/>
      <c r="F2533" s="12"/>
      <c r="G2533" s="16"/>
      <c r="H2533" s="14"/>
      <c r="I2533" s="14"/>
      <c r="J2533" s="14"/>
      <c r="K2533" s="14"/>
      <c r="L2533" s="14"/>
      <c r="M2533" s="14"/>
      <c r="N2533" s="14"/>
      <c r="O2533" s="4"/>
      <c r="P2533" s="14"/>
      <c r="Q2533" s="14"/>
    </row>
    <row r="2534" spans="1:17" x14ac:dyDescent="0.25">
      <c r="A2534" s="5"/>
      <c r="B2534" s="6"/>
      <c r="C2534" s="4"/>
      <c r="D2534" s="4"/>
      <c r="E2534" s="12"/>
      <c r="F2534" s="12"/>
      <c r="G2534" s="16"/>
      <c r="H2534" s="14"/>
      <c r="I2534" s="14"/>
      <c r="J2534" s="14"/>
      <c r="K2534" s="14"/>
      <c r="L2534" s="14"/>
      <c r="M2534" s="14"/>
      <c r="N2534" s="14"/>
      <c r="O2534" s="4"/>
      <c r="P2534" s="14"/>
      <c r="Q2534" s="14"/>
    </row>
    <row r="2535" spans="1:17" x14ac:dyDescent="0.25">
      <c r="A2535" s="5"/>
      <c r="B2535" s="6"/>
      <c r="C2535" s="4"/>
      <c r="D2535" s="4"/>
      <c r="E2535" s="12"/>
      <c r="F2535" s="12"/>
      <c r="G2535" s="16"/>
      <c r="H2535" s="14"/>
      <c r="I2535" s="14"/>
      <c r="J2535" s="14"/>
      <c r="K2535" s="14"/>
      <c r="L2535" s="14"/>
      <c r="M2535" s="14"/>
      <c r="N2535" s="14"/>
      <c r="O2535" s="4"/>
      <c r="P2535" s="14"/>
      <c r="Q2535" s="14"/>
    </row>
    <row r="2536" spans="1:17" x14ac:dyDescent="0.25">
      <c r="A2536" s="5"/>
      <c r="B2536" s="6"/>
      <c r="C2536" s="4"/>
      <c r="D2536" s="4"/>
      <c r="E2536" s="12"/>
      <c r="F2536" s="12"/>
      <c r="G2536" s="16"/>
      <c r="H2536" s="14"/>
      <c r="I2536" s="14"/>
      <c r="J2536" s="14"/>
      <c r="K2536" s="14"/>
      <c r="L2536" s="14"/>
      <c r="M2536" s="14"/>
      <c r="N2536" s="14"/>
      <c r="O2536" s="4"/>
      <c r="P2536" s="14"/>
      <c r="Q2536" s="14"/>
    </row>
    <row r="2537" spans="1:17" x14ac:dyDescent="0.25">
      <c r="A2537" s="5"/>
      <c r="B2537" s="6"/>
      <c r="C2537" s="4"/>
      <c r="D2537" s="4"/>
      <c r="E2537" s="12"/>
      <c r="F2537" s="12"/>
      <c r="G2537" s="16"/>
      <c r="H2537" s="14"/>
      <c r="I2537" s="14"/>
      <c r="J2537" s="14"/>
      <c r="K2537" s="14"/>
      <c r="L2537" s="14"/>
      <c r="M2537" s="14"/>
      <c r="N2537" s="14"/>
      <c r="O2537" s="4"/>
      <c r="P2537" s="14"/>
      <c r="Q2537" s="14"/>
    </row>
    <row r="2538" spans="1:17" x14ac:dyDescent="0.25">
      <c r="A2538" s="5"/>
      <c r="B2538" s="6"/>
      <c r="C2538" s="4"/>
      <c r="D2538" s="4"/>
      <c r="E2538" s="12"/>
      <c r="F2538" s="12"/>
      <c r="G2538" s="16"/>
      <c r="H2538" s="14"/>
      <c r="I2538" s="14"/>
      <c r="J2538" s="14"/>
      <c r="K2538" s="14"/>
      <c r="L2538" s="14"/>
      <c r="M2538" s="14"/>
      <c r="N2538" s="14"/>
      <c r="O2538" s="4"/>
      <c r="P2538" s="14"/>
      <c r="Q2538" s="14"/>
    </row>
    <row r="2539" spans="1:17" x14ac:dyDescent="0.25">
      <c r="A2539" s="5"/>
      <c r="B2539" s="6"/>
      <c r="C2539" s="4"/>
      <c r="D2539" s="4"/>
      <c r="E2539" s="12"/>
      <c r="F2539" s="12"/>
      <c r="G2539" s="16"/>
      <c r="H2539" s="14"/>
      <c r="I2539" s="14"/>
      <c r="J2539" s="14"/>
      <c r="K2539" s="14"/>
      <c r="L2539" s="14"/>
      <c r="M2539" s="14"/>
      <c r="N2539" s="14"/>
      <c r="O2539" s="4"/>
      <c r="P2539" s="14"/>
      <c r="Q2539" s="14"/>
    </row>
    <row r="2540" spans="1:17" x14ac:dyDescent="0.25">
      <c r="A2540" s="5"/>
      <c r="B2540" s="6"/>
      <c r="C2540" s="4"/>
      <c r="D2540" s="4"/>
      <c r="E2540" s="12"/>
      <c r="F2540" s="12"/>
      <c r="G2540" s="16"/>
      <c r="H2540" s="14"/>
      <c r="I2540" s="14"/>
      <c r="J2540" s="14"/>
      <c r="K2540" s="14"/>
      <c r="L2540" s="14"/>
      <c r="M2540" s="14"/>
      <c r="N2540" s="14"/>
      <c r="O2540" s="4"/>
      <c r="P2540" s="14"/>
      <c r="Q2540" s="14"/>
    </row>
    <row r="2541" spans="1:17" x14ac:dyDescent="0.25">
      <c r="A2541" s="5"/>
      <c r="B2541" s="6"/>
      <c r="C2541" s="4"/>
      <c r="D2541" s="4"/>
      <c r="E2541" s="12"/>
      <c r="F2541" s="12"/>
      <c r="G2541" s="16"/>
      <c r="H2541" s="14"/>
      <c r="I2541" s="14"/>
      <c r="J2541" s="14"/>
      <c r="K2541" s="14"/>
      <c r="L2541" s="14"/>
      <c r="M2541" s="14"/>
      <c r="N2541" s="14"/>
      <c r="O2541" s="4"/>
      <c r="P2541" s="14"/>
      <c r="Q2541" s="14"/>
    </row>
    <row r="2542" spans="1:17" x14ac:dyDescent="0.25">
      <c r="A2542" s="5"/>
      <c r="B2542" s="6"/>
      <c r="C2542" s="4"/>
      <c r="D2542" s="4"/>
      <c r="E2542" s="12"/>
      <c r="F2542" s="12"/>
      <c r="G2542" s="16"/>
      <c r="H2542" s="14"/>
      <c r="I2542" s="14"/>
      <c r="J2542" s="14"/>
      <c r="K2542" s="14"/>
      <c r="L2542" s="14"/>
      <c r="M2542" s="14"/>
      <c r="N2542" s="14"/>
      <c r="O2542" s="4"/>
      <c r="P2542" s="14"/>
      <c r="Q2542" s="14"/>
    </row>
    <row r="2543" spans="1:17" x14ac:dyDescent="0.25">
      <c r="A2543" s="5"/>
      <c r="B2543" s="6"/>
      <c r="C2543" s="4"/>
      <c r="D2543" s="4"/>
      <c r="E2543" s="12"/>
      <c r="F2543" s="12"/>
      <c r="G2543" s="16"/>
      <c r="H2543" s="14"/>
      <c r="I2543" s="14"/>
      <c r="J2543" s="14"/>
      <c r="K2543" s="14"/>
      <c r="L2543" s="14"/>
      <c r="M2543" s="14"/>
      <c r="N2543" s="14"/>
      <c r="O2543" s="4"/>
      <c r="P2543" s="14"/>
      <c r="Q2543" s="14"/>
    </row>
    <row r="2544" spans="1:17" x14ac:dyDescent="0.25">
      <c r="A2544" s="5"/>
      <c r="B2544" s="6"/>
      <c r="C2544" s="4"/>
      <c r="D2544" s="4"/>
      <c r="E2544" s="12"/>
      <c r="F2544" s="12"/>
      <c r="G2544" s="16"/>
      <c r="H2544" s="14"/>
      <c r="I2544" s="14"/>
      <c r="J2544" s="14"/>
      <c r="K2544" s="14"/>
      <c r="L2544" s="14"/>
      <c r="M2544" s="14"/>
      <c r="N2544" s="14"/>
      <c r="O2544" s="4"/>
      <c r="P2544" s="14"/>
      <c r="Q2544" s="14"/>
    </row>
    <row r="2545" spans="1:17" x14ac:dyDescent="0.25">
      <c r="A2545" s="5"/>
      <c r="B2545" s="6"/>
      <c r="C2545" s="4"/>
      <c r="D2545" s="4"/>
      <c r="E2545" s="12"/>
      <c r="F2545" s="12"/>
      <c r="G2545" s="16"/>
      <c r="H2545" s="14"/>
      <c r="I2545" s="14"/>
      <c r="J2545" s="14"/>
      <c r="K2545" s="14"/>
      <c r="L2545" s="14"/>
      <c r="M2545" s="14"/>
      <c r="N2545" s="14"/>
      <c r="O2545" s="4"/>
      <c r="P2545" s="14"/>
      <c r="Q2545" s="14"/>
    </row>
    <row r="2546" spans="1:17" x14ac:dyDescent="0.25">
      <c r="A2546" s="5"/>
      <c r="B2546" s="6"/>
      <c r="C2546" s="4"/>
      <c r="D2546" s="4"/>
      <c r="E2546" s="12"/>
      <c r="F2546" s="12"/>
      <c r="G2546" s="16"/>
      <c r="H2546" s="14"/>
      <c r="I2546" s="14"/>
      <c r="J2546" s="14"/>
      <c r="K2546" s="14"/>
      <c r="L2546" s="14"/>
      <c r="M2546" s="14"/>
      <c r="N2546" s="14"/>
      <c r="O2546" s="4"/>
      <c r="P2546" s="14"/>
      <c r="Q2546" s="14"/>
    </row>
    <row r="2547" spans="1:17" x14ac:dyDescent="0.25">
      <c r="A2547" s="5"/>
      <c r="B2547" s="6"/>
      <c r="C2547" s="4"/>
      <c r="D2547" s="4"/>
      <c r="E2547" s="12"/>
      <c r="F2547" s="12"/>
      <c r="G2547" s="16"/>
      <c r="H2547" s="14"/>
      <c r="I2547" s="14"/>
      <c r="J2547" s="14"/>
      <c r="K2547" s="14"/>
      <c r="L2547" s="14"/>
      <c r="M2547" s="14"/>
      <c r="N2547" s="14"/>
      <c r="O2547" s="4"/>
      <c r="P2547" s="14"/>
      <c r="Q2547" s="14"/>
    </row>
    <row r="2548" spans="1:17" x14ac:dyDescent="0.25">
      <c r="A2548" s="5"/>
      <c r="B2548" s="6"/>
      <c r="C2548" s="4"/>
      <c r="D2548" s="4"/>
      <c r="E2548" s="12"/>
      <c r="F2548" s="12"/>
      <c r="G2548" s="16"/>
      <c r="H2548" s="14"/>
      <c r="I2548" s="14"/>
      <c r="J2548" s="14"/>
      <c r="K2548" s="14"/>
      <c r="L2548" s="14"/>
      <c r="M2548" s="14"/>
      <c r="N2548" s="14"/>
      <c r="O2548" s="4"/>
      <c r="P2548" s="14"/>
      <c r="Q2548" s="14"/>
    </row>
    <row r="2549" spans="1:17" x14ac:dyDescent="0.25">
      <c r="A2549" s="5"/>
      <c r="B2549" s="6"/>
      <c r="C2549" s="4"/>
      <c r="D2549" s="4"/>
      <c r="E2549" s="12"/>
      <c r="F2549" s="12"/>
      <c r="G2549" s="16"/>
      <c r="H2549" s="14"/>
      <c r="I2549" s="14"/>
      <c r="J2549" s="14"/>
      <c r="K2549" s="14"/>
      <c r="L2549" s="14"/>
      <c r="M2549" s="14"/>
      <c r="N2549" s="14"/>
      <c r="O2549" s="4"/>
      <c r="P2549" s="14"/>
      <c r="Q2549" s="14"/>
    </row>
    <row r="2550" spans="1:17" x14ac:dyDescent="0.25">
      <c r="A2550" s="5"/>
      <c r="B2550" s="6"/>
      <c r="C2550" s="4"/>
      <c r="D2550" s="4"/>
      <c r="E2550" s="12"/>
      <c r="F2550" s="12"/>
      <c r="G2550" s="16"/>
      <c r="H2550" s="14"/>
      <c r="I2550" s="14"/>
      <c r="J2550" s="14"/>
      <c r="K2550" s="14"/>
      <c r="L2550" s="14"/>
      <c r="M2550" s="14"/>
      <c r="N2550" s="14"/>
      <c r="O2550" s="4"/>
      <c r="P2550" s="14"/>
      <c r="Q2550" s="14"/>
    </row>
    <row r="2551" spans="1:17" x14ac:dyDescent="0.25">
      <c r="A2551" s="5"/>
      <c r="B2551" s="6"/>
      <c r="C2551" s="4"/>
      <c r="D2551" s="4"/>
      <c r="E2551" s="12"/>
      <c r="F2551" s="12"/>
      <c r="G2551" s="16"/>
      <c r="H2551" s="14"/>
      <c r="I2551" s="14"/>
      <c r="J2551" s="14"/>
      <c r="K2551" s="14"/>
      <c r="L2551" s="14"/>
      <c r="M2551" s="14"/>
      <c r="N2551" s="14"/>
      <c r="O2551" s="4"/>
      <c r="P2551" s="14"/>
      <c r="Q2551" s="14"/>
    </row>
    <row r="2552" spans="1:17" x14ac:dyDescent="0.25">
      <c r="A2552" s="5"/>
      <c r="B2552" s="6"/>
      <c r="C2552" s="4"/>
      <c r="D2552" s="4"/>
      <c r="E2552" s="12"/>
      <c r="F2552" s="12"/>
      <c r="G2552" s="16"/>
      <c r="H2552" s="14"/>
      <c r="I2552" s="14"/>
      <c r="J2552" s="14"/>
      <c r="K2552" s="14"/>
      <c r="L2552" s="14"/>
      <c r="M2552" s="14"/>
      <c r="N2552" s="14"/>
      <c r="O2552" s="4"/>
      <c r="P2552" s="14"/>
      <c r="Q2552" s="14"/>
    </row>
    <row r="2553" spans="1:17" x14ac:dyDescent="0.25">
      <c r="A2553" s="5"/>
      <c r="B2553" s="6"/>
      <c r="C2553" s="4"/>
      <c r="D2553" s="4"/>
      <c r="E2553" s="12"/>
      <c r="F2553" s="12"/>
      <c r="G2553" s="16"/>
      <c r="H2553" s="14"/>
      <c r="I2553" s="14"/>
      <c r="J2553" s="14"/>
      <c r="K2553" s="14"/>
      <c r="L2553" s="14"/>
      <c r="M2553" s="14"/>
      <c r="N2553" s="14"/>
      <c r="O2553" s="4"/>
      <c r="P2553" s="14"/>
      <c r="Q2553" s="14"/>
    </row>
    <row r="2554" spans="1:17" x14ac:dyDescent="0.25">
      <c r="A2554" s="5"/>
      <c r="B2554" s="6"/>
      <c r="C2554" s="4"/>
      <c r="D2554" s="4"/>
      <c r="E2554" s="12"/>
      <c r="F2554" s="12"/>
      <c r="G2554" s="16"/>
      <c r="H2554" s="14"/>
      <c r="I2554" s="14"/>
      <c r="J2554" s="14"/>
      <c r="K2554" s="14"/>
      <c r="L2554" s="14"/>
      <c r="M2554" s="14"/>
      <c r="N2554" s="14"/>
      <c r="O2554" s="4"/>
      <c r="P2554" s="14"/>
      <c r="Q2554" s="14"/>
    </row>
    <row r="2555" spans="1:17" x14ac:dyDescent="0.25">
      <c r="A2555" s="5"/>
      <c r="B2555" s="6"/>
      <c r="C2555" s="4"/>
      <c r="D2555" s="4"/>
      <c r="E2555" s="12"/>
      <c r="F2555" s="12"/>
      <c r="G2555" s="16"/>
      <c r="H2555" s="14"/>
      <c r="I2555" s="14"/>
      <c r="J2555" s="14"/>
      <c r="K2555" s="14"/>
      <c r="L2555" s="14"/>
      <c r="M2555" s="14"/>
      <c r="N2555" s="14"/>
      <c r="O2555" s="4"/>
      <c r="P2555" s="14"/>
      <c r="Q2555" s="14"/>
    </row>
    <row r="2556" spans="1:17" x14ac:dyDescent="0.25">
      <c r="A2556" s="5"/>
      <c r="B2556" s="6"/>
      <c r="C2556" s="4"/>
      <c r="D2556" s="4"/>
      <c r="E2556" s="12"/>
      <c r="F2556" s="12"/>
      <c r="G2556" s="16"/>
      <c r="H2556" s="14"/>
      <c r="I2556" s="14"/>
      <c r="J2556" s="14"/>
      <c r="K2556" s="14"/>
      <c r="L2556" s="14"/>
      <c r="M2556" s="14"/>
      <c r="N2556" s="14"/>
      <c r="O2556" s="4"/>
      <c r="P2556" s="14"/>
      <c r="Q2556" s="14"/>
    </row>
    <row r="2557" spans="1:17" x14ac:dyDescent="0.25">
      <c r="A2557" s="5"/>
      <c r="B2557" s="6"/>
      <c r="C2557" s="4"/>
      <c r="D2557" s="4"/>
      <c r="E2557" s="12"/>
      <c r="F2557" s="12"/>
      <c r="G2557" s="16"/>
      <c r="H2557" s="14"/>
      <c r="I2557" s="14"/>
      <c r="J2557" s="14"/>
      <c r="K2557" s="14"/>
      <c r="L2557" s="14"/>
      <c r="M2557" s="14"/>
      <c r="N2557" s="14"/>
      <c r="O2557" s="4"/>
      <c r="P2557" s="14"/>
      <c r="Q2557" s="14"/>
    </row>
    <row r="2558" spans="1:17" x14ac:dyDescent="0.25">
      <c r="A2558" s="5"/>
      <c r="B2558" s="6"/>
      <c r="C2558" s="4"/>
      <c r="D2558" s="4"/>
      <c r="E2558" s="12"/>
      <c r="F2558" s="12"/>
      <c r="G2558" s="16"/>
      <c r="H2558" s="14"/>
      <c r="I2558" s="14"/>
      <c r="J2558" s="14"/>
      <c r="K2558" s="14"/>
      <c r="L2558" s="14"/>
      <c r="M2558" s="14"/>
      <c r="N2558" s="14"/>
      <c r="O2558" s="4"/>
      <c r="P2558" s="14"/>
      <c r="Q2558" s="14"/>
    </row>
    <row r="2559" spans="1:17" x14ac:dyDescent="0.25">
      <c r="A2559" s="5"/>
      <c r="B2559" s="6"/>
      <c r="C2559" s="4"/>
      <c r="D2559" s="4"/>
      <c r="E2559" s="12"/>
      <c r="F2559" s="12"/>
      <c r="G2559" s="16"/>
      <c r="H2559" s="14"/>
      <c r="I2559" s="14"/>
      <c r="J2559" s="14"/>
      <c r="K2559" s="14"/>
      <c r="L2559" s="14"/>
      <c r="M2559" s="14"/>
      <c r="N2559" s="14"/>
      <c r="O2559" s="4"/>
      <c r="P2559" s="14"/>
      <c r="Q2559" s="14"/>
    </row>
    <row r="2560" spans="1:17" x14ac:dyDescent="0.25">
      <c r="A2560" s="5"/>
      <c r="B2560" s="6"/>
      <c r="C2560" s="4"/>
      <c r="D2560" s="4"/>
      <c r="E2560" s="12"/>
      <c r="F2560" s="12"/>
      <c r="G2560" s="16"/>
      <c r="H2560" s="14"/>
      <c r="I2560" s="14"/>
      <c r="J2560" s="14"/>
      <c r="K2560" s="14"/>
      <c r="L2560" s="14"/>
      <c r="M2560" s="14"/>
      <c r="N2560" s="14"/>
      <c r="O2560" s="4"/>
      <c r="P2560" s="14"/>
      <c r="Q2560" s="14"/>
    </row>
    <row r="2561" spans="1:17" x14ac:dyDescent="0.25">
      <c r="A2561" s="5"/>
      <c r="B2561" s="6"/>
      <c r="C2561" s="4"/>
      <c r="D2561" s="4"/>
      <c r="E2561" s="12"/>
      <c r="F2561" s="12"/>
      <c r="G2561" s="16"/>
      <c r="H2561" s="14"/>
      <c r="I2561" s="14"/>
      <c r="J2561" s="14"/>
      <c r="K2561" s="14"/>
      <c r="L2561" s="14"/>
      <c r="M2561" s="14"/>
      <c r="N2561" s="14"/>
      <c r="O2561" s="4"/>
      <c r="P2561" s="14"/>
      <c r="Q2561" s="14"/>
    </row>
    <row r="2562" spans="1:17" x14ac:dyDescent="0.25">
      <c r="A2562" s="5"/>
      <c r="B2562" s="6"/>
      <c r="C2562" s="4"/>
      <c r="D2562" s="4"/>
      <c r="E2562" s="12"/>
      <c r="F2562" s="12"/>
      <c r="G2562" s="16"/>
      <c r="H2562" s="14"/>
      <c r="I2562" s="14"/>
      <c r="J2562" s="14"/>
      <c r="K2562" s="14"/>
      <c r="L2562" s="14"/>
      <c r="M2562" s="14"/>
      <c r="N2562" s="14"/>
      <c r="O2562" s="4"/>
      <c r="P2562" s="14"/>
      <c r="Q2562" s="14"/>
    </row>
    <row r="2563" spans="1:17" x14ac:dyDescent="0.25">
      <c r="A2563" s="5"/>
      <c r="B2563" s="6"/>
      <c r="C2563" s="4"/>
      <c r="D2563" s="4"/>
      <c r="E2563" s="12"/>
      <c r="F2563" s="12"/>
      <c r="G2563" s="16"/>
      <c r="H2563" s="14"/>
      <c r="I2563" s="14"/>
      <c r="J2563" s="14"/>
      <c r="K2563" s="14"/>
      <c r="L2563" s="14"/>
      <c r="M2563" s="14"/>
      <c r="N2563" s="14"/>
      <c r="O2563" s="4"/>
      <c r="P2563" s="14"/>
      <c r="Q2563" s="14"/>
    </row>
    <row r="2564" spans="1:17" x14ac:dyDescent="0.25">
      <c r="A2564" s="5"/>
      <c r="B2564" s="6"/>
      <c r="C2564" s="4"/>
      <c r="D2564" s="4"/>
      <c r="E2564" s="12"/>
      <c r="F2564" s="12"/>
      <c r="G2564" s="16"/>
      <c r="H2564" s="14"/>
      <c r="I2564" s="14"/>
      <c r="J2564" s="14"/>
      <c r="K2564" s="14"/>
      <c r="L2564" s="14"/>
      <c r="M2564" s="14"/>
      <c r="N2564" s="14"/>
      <c r="O2564" s="4"/>
      <c r="P2564" s="14"/>
      <c r="Q2564" s="14"/>
    </row>
    <row r="2565" spans="1:17" x14ac:dyDescent="0.25">
      <c r="A2565" s="5"/>
      <c r="B2565" s="6"/>
      <c r="C2565" s="4"/>
      <c r="D2565" s="4"/>
      <c r="E2565" s="12"/>
      <c r="F2565" s="12"/>
      <c r="G2565" s="16"/>
      <c r="H2565" s="14"/>
      <c r="I2565" s="14"/>
      <c r="J2565" s="14"/>
      <c r="K2565" s="14"/>
      <c r="L2565" s="14"/>
      <c r="M2565" s="14"/>
      <c r="N2565" s="14"/>
      <c r="O2565" s="4"/>
      <c r="P2565" s="14"/>
      <c r="Q2565" s="14"/>
    </row>
    <row r="2566" spans="1:17" x14ac:dyDescent="0.25">
      <c r="A2566" s="5"/>
      <c r="B2566" s="6"/>
      <c r="C2566" s="4"/>
      <c r="D2566" s="4"/>
      <c r="E2566" s="12"/>
      <c r="F2566" s="12"/>
      <c r="G2566" s="16"/>
      <c r="H2566" s="14"/>
      <c r="I2566" s="14"/>
      <c r="J2566" s="14"/>
      <c r="K2566" s="14"/>
      <c r="L2566" s="14"/>
      <c r="M2566" s="14"/>
      <c r="N2566" s="14"/>
      <c r="O2566" s="4"/>
      <c r="P2566" s="14"/>
      <c r="Q2566" s="14"/>
    </row>
    <row r="2567" spans="1:17" x14ac:dyDescent="0.25">
      <c r="A2567" s="5"/>
      <c r="B2567" s="6"/>
      <c r="C2567" s="4"/>
      <c r="D2567" s="4"/>
      <c r="E2567" s="12"/>
      <c r="F2567" s="12"/>
      <c r="G2567" s="16"/>
      <c r="H2567" s="14"/>
      <c r="I2567" s="14"/>
      <c r="J2567" s="14"/>
      <c r="K2567" s="14"/>
      <c r="L2567" s="14"/>
      <c r="M2567" s="14"/>
      <c r="N2567" s="14"/>
      <c r="O2567" s="4"/>
      <c r="P2567" s="14"/>
      <c r="Q2567" s="14"/>
    </row>
    <row r="2568" spans="1:17" x14ac:dyDescent="0.25">
      <c r="A2568" s="5"/>
      <c r="B2568" s="6"/>
      <c r="C2568" s="4"/>
      <c r="D2568" s="4"/>
      <c r="E2568" s="12"/>
      <c r="F2568" s="12"/>
      <c r="G2568" s="16"/>
      <c r="H2568" s="14"/>
      <c r="I2568" s="14"/>
      <c r="J2568" s="14"/>
      <c r="K2568" s="14"/>
      <c r="L2568" s="14"/>
      <c r="M2568" s="14"/>
      <c r="N2568" s="14"/>
      <c r="O2568" s="4"/>
      <c r="P2568" s="14"/>
      <c r="Q2568" s="14"/>
    </row>
    <row r="2569" spans="1:17" x14ac:dyDescent="0.25">
      <c r="A2569" s="5"/>
      <c r="B2569" s="6"/>
      <c r="C2569" s="4"/>
      <c r="D2569" s="4"/>
      <c r="E2569" s="12"/>
      <c r="F2569" s="12"/>
      <c r="G2569" s="16"/>
      <c r="H2569" s="14"/>
      <c r="I2569" s="14"/>
      <c r="J2569" s="14"/>
      <c r="K2569" s="14"/>
      <c r="L2569" s="14"/>
      <c r="M2569" s="14"/>
      <c r="N2569" s="14"/>
      <c r="O2569" s="4"/>
      <c r="P2569" s="14"/>
      <c r="Q2569" s="14"/>
    </row>
    <row r="2570" spans="1:17" x14ac:dyDescent="0.25">
      <c r="A2570" s="5"/>
      <c r="B2570" s="6"/>
      <c r="C2570" s="4"/>
      <c r="D2570" s="4"/>
      <c r="E2570" s="12"/>
      <c r="F2570" s="12"/>
      <c r="G2570" s="16"/>
      <c r="H2570" s="14"/>
      <c r="I2570" s="14"/>
      <c r="J2570" s="14"/>
      <c r="K2570" s="14"/>
      <c r="L2570" s="14"/>
      <c r="M2570" s="14"/>
      <c r="N2570" s="14"/>
      <c r="O2570" s="4"/>
      <c r="P2570" s="14"/>
      <c r="Q2570" s="14"/>
    </row>
    <row r="2571" spans="1:17" x14ac:dyDescent="0.25">
      <c r="A2571" s="5"/>
      <c r="B2571" s="6"/>
      <c r="C2571" s="4"/>
      <c r="D2571" s="4"/>
      <c r="E2571" s="12"/>
      <c r="F2571" s="12"/>
      <c r="G2571" s="16"/>
      <c r="H2571" s="14"/>
      <c r="I2571" s="14"/>
      <c r="J2571" s="14"/>
      <c r="K2571" s="14"/>
      <c r="L2571" s="14"/>
      <c r="M2571" s="14"/>
      <c r="N2571" s="14"/>
      <c r="O2571" s="4"/>
      <c r="P2571" s="14"/>
      <c r="Q2571" s="14"/>
    </row>
    <row r="2572" spans="1:17" x14ac:dyDescent="0.25">
      <c r="A2572" s="5"/>
      <c r="B2572" s="6"/>
      <c r="C2572" s="4"/>
      <c r="D2572" s="4"/>
      <c r="E2572" s="12"/>
      <c r="F2572" s="12"/>
      <c r="G2572" s="16"/>
      <c r="H2572" s="14"/>
      <c r="I2572" s="14"/>
      <c r="J2572" s="14"/>
      <c r="K2572" s="14"/>
      <c r="L2572" s="14"/>
      <c r="M2572" s="14"/>
      <c r="N2572" s="14"/>
      <c r="O2572" s="4"/>
      <c r="P2572" s="14"/>
      <c r="Q2572" s="14"/>
    </row>
    <row r="2573" spans="1:17" x14ac:dyDescent="0.25">
      <c r="A2573" s="5"/>
      <c r="B2573" s="6"/>
      <c r="C2573" s="4"/>
      <c r="D2573" s="4"/>
      <c r="E2573" s="12"/>
      <c r="F2573" s="12"/>
      <c r="G2573" s="16"/>
      <c r="H2573" s="14"/>
      <c r="I2573" s="14"/>
      <c r="J2573" s="14"/>
      <c r="K2573" s="14"/>
      <c r="L2573" s="14"/>
      <c r="M2573" s="14"/>
      <c r="N2573" s="14"/>
      <c r="O2573" s="4"/>
      <c r="P2573" s="14"/>
      <c r="Q2573" s="14"/>
    </row>
    <row r="2574" spans="1:17" x14ac:dyDescent="0.25">
      <c r="A2574" s="5"/>
      <c r="B2574" s="6"/>
      <c r="C2574" s="4"/>
      <c r="D2574" s="4"/>
      <c r="E2574" s="12"/>
      <c r="F2574" s="12"/>
      <c r="G2574" s="16"/>
      <c r="H2574" s="14"/>
      <c r="I2574" s="14"/>
      <c r="J2574" s="14"/>
      <c r="K2574" s="14"/>
      <c r="L2574" s="14"/>
      <c r="M2574" s="14"/>
      <c r="N2574" s="14"/>
      <c r="O2574" s="4"/>
      <c r="P2574" s="14"/>
      <c r="Q2574" s="14"/>
    </row>
    <row r="2575" spans="1:17" x14ac:dyDescent="0.25">
      <c r="A2575" s="5"/>
      <c r="B2575" s="6"/>
      <c r="C2575" s="4"/>
      <c r="D2575" s="4"/>
      <c r="E2575" s="12"/>
      <c r="F2575" s="12"/>
      <c r="G2575" s="16"/>
      <c r="H2575" s="14"/>
      <c r="I2575" s="14"/>
      <c r="J2575" s="14"/>
      <c r="K2575" s="14"/>
      <c r="L2575" s="14"/>
      <c r="M2575" s="14"/>
      <c r="N2575" s="14"/>
      <c r="O2575" s="4"/>
      <c r="P2575" s="14"/>
      <c r="Q2575" s="14"/>
    </row>
    <row r="2576" spans="1:17" x14ac:dyDescent="0.25">
      <c r="A2576" s="5"/>
      <c r="B2576" s="6"/>
      <c r="C2576" s="4"/>
      <c r="D2576" s="4"/>
      <c r="E2576" s="12"/>
      <c r="F2576" s="12"/>
      <c r="G2576" s="16"/>
      <c r="H2576" s="14"/>
      <c r="I2576" s="14"/>
      <c r="J2576" s="14"/>
      <c r="K2576" s="14"/>
      <c r="L2576" s="14"/>
      <c r="M2576" s="14"/>
      <c r="N2576" s="14"/>
      <c r="O2576" s="4"/>
      <c r="P2576" s="14"/>
      <c r="Q2576" s="14"/>
    </row>
    <row r="2577" spans="1:17" x14ac:dyDescent="0.25">
      <c r="A2577" s="5"/>
      <c r="B2577" s="6"/>
      <c r="C2577" s="4"/>
      <c r="D2577" s="4"/>
      <c r="E2577" s="12"/>
      <c r="F2577" s="12"/>
      <c r="G2577" s="16"/>
      <c r="H2577" s="14"/>
      <c r="I2577" s="14"/>
      <c r="J2577" s="14"/>
      <c r="K2577" s="14"/>
      <c r="L2577" s="14"/>
      <c r="M2577" s="14"/>
      <c r="N2577" s="14"/>
      <c r="O2577" s="4"/>
      <c r="P2577" s="14"/>
      <c r="Q2577" s="14"/>
    </row>
    <row r="2578" spans="1:17" x14ac:dyDescent="0.25">
      <c r="A2578" s="5"/>
      <c r="B2578" s="6"/>
      <c r="C2578" s="4"/>
      <c r="D2578" s="4"/>
      <c r="E2578" s="12"/>
      <c r="F2578" s="12"/>
      <c r="G2578" s="16"/>
      <c r="H2578" s="14"/>
      <c r="I2578" s="14"/>
      <c r="J2578" s="14"/>
      <c r="K2578" s="14"/>
      <c r="L2578" s="14"/>
      <c r="M2578" s="14"/>
      <c r="N2578" s="14"/>
      <c r="O2578" s="4"/>
      <c r="P2578" s="14"/>
      <c r="Q2578" s="14"/>
    </row>
    <row r="2579" spans="1:17" x14ac:dyDescent="0.25">
      <c r="A2579" s="5"/>
      <c r="B2579" s="6"/>
      <c r="C2579" s="4"/>
      <c r="D2579" s="4"/>
      <c r="E2579" s="12"/>
      <c r="F2579" s="12"/>
      <c r="G2579" s="16"/>
      <c r="H2579" s="14"/>
      <c r="I2579" s="14"/>
      <c r="J2579" s="14"/>
      <c r="K2579" s="14"/>
      <c r="L2579" s="14"/>
      <c r="M2579" s="14"/>
      <c r="N2579" s="14"/>
      <c r="O2579" s="4"/>
      <c r="P2579" s="14"/>
      <c r="Q2579" s="14"/>
    </row>
    <row r="2580" spans="1:17" x14ac:dyDescent="0.25">
      <c r="A2580" s="5"/>
      <c r="B2580" s="6"/>
      <c r="C2580" s="4"/>
      <c r="D2580" s="4"/>
      <c r="E2580" s="12"/>
      <c r="F2580" s="12"/>
      <c r="G2580" s="16"/>
      <c r="H2580" s="14"/>
      <c r="I2580" s="14"/>
      <c r="J2580" s="14"/>
      <c r="K2580" s="14"/>
      <c r="L2580" s="14"/>
      <c r="M2580" s="14"/>
      <c r="N2580" s="14"/>
      <c r="O2580" s="4"/>
      <c r="P2580" s="14"/>
      <c r="Q2580" s="14"/>
    </row>
    <row r="2581" spans="1:17" x14ac:dyDescent="0.25">
      <c r="A2581" s="5"/>
      <c r="B2581" s="6"/>
      <c r="C2581" s="4"/>
      <c r="D2581" s="4"/>
      <c r="E2581" s="12"/>
      <c r="F2581" s="12"/>
      <c r="G2581" s="16"/>
      <c r="H2581" s="14"/>
      <c r="I2581" s="14"/>
      <c r="J2581" s="14"/>
      <c r="K2581" s="14"/>
      <c r="L2581" s="14"/>
      <c r="M2581" s="14"/>
      <c r="N2581" s="14"/>
      <c r="O2581" s="4"/>
      <c r="P2581" s="14"/>
      <c r="Q2581" s="14"/>
    </row>
    <row r="2582" spans="1:17" x14ac:dyDescent="0.25">
      <c r="A2582" s="5"/>
      <c r="B2582" s="6"/>
      <c r="C2582" s="4"/>
      <c r="D2582" s="4"/>
      <c r="E2582" s="12"/>
      <c r="F2582" s="12"/>
      <c r="G2582" s="16"/>
      <c r="H2582" s="14"/>
      <c r="I2582" s="14"/>
      <c r="J2582" s="14"/>
      <c r="K2582" s="14"/>
      <c r="L2582" s="14"/>
      <c r="M2582" s="14"/>
      <c r="N2582" s="14"/>
      <c r="O2582" s="4"/>
      <c r="P2582" s="14"/>
      <c r="Q2582" s="14"/>
    </row>
    <row r="2583" spans="1:17" x14ac:dyDescent="0.25">
      <c r="A2583" s="5"/>
      <c r="B2583" s="6"/>
      <c r="C2583" s="4"/>
      <c r="D2583" s="4"/>
      <c r="E2583" s="12"/>
      <c r="F2583" s="12"/>
      <c r="G2583" s="16"/>
      <c r="H2583" s="14"/>
      <c r="I2583" s="14"/>
      <c r="J2583" s="14"/>
      <c r="K2583" s="14"/>
      <c r="L2583" s="14"/>
      <c r="M2583" s="14"/>
      <c r="N2583" s="14"/>
      <c r="O2583" s="4"/>
      <c r="P2583" s="14"/>
      <c r="Q2583" s="14"/>
    </row>
    <row r="2584" spans="1:17" x14ac:dyDescent="0.25">
      <c r="A2584" s="5"/>
      <c r="B2584" s="6"/>
      <c r="C2584" s="4"/>
      <c r="D2584" s="4"/>
      <c r="E2584" s="12"/>
      <c r="F2584" s="12"/>
      <c r="G2584" s="16"/>
      <c r="H2584" s="14"/>
      <c r="I2584" s="14"/>
      <c r="J2584" s="14"/>
      <c r="K2584" s="14"/>
      <c r="L2584" s="14"/>
      <c r="M2584" s="14"/>
      <c r="N2584" s="14"/>
      <c r="O2584" s="4"/>
      <c r="P2584" s="14"/>
      <c r="Q2584" s="14"/>
    </row>
    <row r="2585" spans="1:17" x14ac:dyDescent="0.25">
      <c r="A2585" s="5"/>
      <c r="B2585" s="6"/>
      <c r="C2585" s="4"/>
      <c r="D2585" s="4"/>
      <c r="E2585" s="12"/>
      <c r="F2585" s="12"/>
      <c r="G2585" s="16"/>
      <c r="H2585" s="14"/>
      <c r="I2585" s="14"/>
      <c r="J2585" s="14"/>
      <c r="K2585" s="14"/>
      <c r="L2585" s="14"/>
      <c r="M2585" s="14"/>
      <c r="N2585" s="14"/>
      <c r="O2585" s="4"/>
      <c r="P2585" s="14"/>
      <c r="Q2585" s="14"/>
    </row>
    <row r="2586" spans="1:17" x14ac:dyDescent="0.25">
      <c r="A2586" s="5"/>
      <c r="B2586" s="6"/>
      <c r="C2586" s="4"/>
      <c r="D2586" s="4"/>
      <c r="E2586" s="12"/>
      <c r="F2586" s="12"/>
      <c r="G2586" s="16"/>
      <c r="H2586" s="14"/>
      <c r="I2586" s="14"/>
      <c r="J2586" s="14"/>
      <c r="K2586" s="14"/>
      <c r="L2586" s="14"/>
      <c r="M2586" s="14"/>
      <c r="N2586" s="14"/>
      <c r="O2586" s="4"/>
      <c r="P2586" s="14"/>
      <c r="Q2586" s="14"/>
    </row>
    <row r="2587" spans="1:17" x14ac:dyDescent="0.25">
      <c r="A2587" s="5"/>
      <c r="B2587" s="6"/>
      <c r="C2587" s="4"/>
      <c r="D2587" s="4"/>
      <c r="E2587" s="12"/>
      <c r="F2587" s="12"/>
      <c r="G2587" s="16"/>
      <c r="H2587" s="14"/>
      <c r="I2587" s="14"/>
      <c r="J2587" s="14"/>
      <c r="K2587" s="14"/>
      <c r="L2587" s="14"/>
      <c r="M2587" s="14"/>
      <c r="N2587" s="14"/>
      <c r="O2587" s="4"/>
      <c r="P2587" s="14"/>
      <c r="Q2587" s="14"/>
    </row>
    <row r="2588" spans="1:17" x14ac:dyDescent="0.25">
      <c r="A2588" s="5"/>
      <c r="B2588" s="6"/>
      <c r="C2588" s="4"/>
      <c r="D2588" s="4"/>
      <c r="E2588" s="12"/>
      <c r="F2588" s="12"/>
      <c r="G2588" s="16"/>
      <c r="H2588" s="14"/>
      <c r="I2588" s="14"/>
      <c r="J2588" s="14"/>
      <c r="K2588" s="14"/>
      <c r="L2588" s="14"/>
      <c r="M2588" s="14"/>
      <c r="N2588" s="14"/>
      <c r="O2588" s="4"/>
      <c r="P2588" s="14"/>
      <c r="Q2588" s="14"/>
    </row>
    <row r="2589" spans="1:17" x14ac:dyDescent="0.25">
      <c r="A2589" s="5"/>
      <c r="B2589" s="6"/>
      <c r="C2589" s="4"/>
      <c r="D2589" s="4"/>
      <c r="E2589" s="12"/>
      <c r="F2589" s="12"/>
      <c r="G2589" s="16"/>
      <c r="H2589" s="14"/>
      <c r="I2589" s="14"/>
      <c r="J2589" s="14"/>
      <c r="K2589" s="14"/>
      <c r="L2589" s="14"/>
      <c r="M2589" s="14"/>
      <c r="N2589" s="14"/>
      <c r="O2589" s="4"/>
      <c r="P2589" s="14"/>
      <c r="Q2589" s="14"/>
    </row>
    <row r="2590" spans="1:17" x14ac:dyDescent="0.25">
      <c r="A2590" s="5"/>
      <c r="B2590" s="6"/>
      <c r="C2590" s="4"/>
      <c r="D2590" s="4"/>
      <c r="E2590" s="12"/>
      <c r="F2590" s="12"/>
      <c r="G2590" s="16"/>
      <c r="H2590" s="14"/>
      <c r="I2590" s="14"/>
      <c r="J2590" s="14"/>
      <c r="K2590" s="14"/>
      <c r="L2590" s="14"/>
      <c r="M2590" s="14"/>
      <c r="N2590" s="14"/>
      <c r="O2590" s="4"/>
      <c r="P2590" s="14"/>
      <c r="Q2590" s="14"/>
    </row>
    <row r="2591" spans="1:17" x14ac:dyDescent="0.25">
      <c r="A2591" s="5"/>
      <c r="B2591" s="6"/>
      <c r="C2591" s="4"/>
      <c r="D2591" s="4"/>
      <c r="E2591" s="12"/>
      <c r="F2591" s="12"/>
      <c r="G2591" s="16"/>
      <c r="H2591" s="14"/>
      <c r="I2591" s="14"/>
      <c r="J2591" s="14"/>
      <c r="K2591" s="14"/>
      <c r="L2591" s="14"/>
      <c r="M2591" s="14"/>
      <c r="N2591" s="14"/>
      <c r="O2591" s="4"/>
      <c r="P2591" s="14"/>
      <c r="Q2591" s="14"/>
    </row>
    <row r="2592" spans="1:17" x14ac:dyDescent="0.25">
      <c r="A2592" s="5"/>
      <c r="B2592" s="6"/>
      <c r="C2592" s="4"/>
      <c r="D2592" s="4"/>
      <c r="E2592" s="12"/>
      <c r="F2592" s="12"/>
      <c r="G2592" s="16"/>
      <c r="H2592" s="14"/>
      <c r="I2592" s="14"/>
      <c r="J2592" s="14"/>
      <c r="K2592" s="14"/>
      <c r="L2592" s="14"/>
      <c r="M2592" s="14"/>
      <c r="N2592" s="14"/>
      <c r="O2592" s="4"/>
      <c r="P2592" s="14"/>
      <c r="Q2592" s="14"/>
    </row>
    <row r="2593" spans="1:17" x14ac:dyDescent="0.25">
      <c r="A2593" s="5"/>
      <c r="B2593" s="6"/>
      <c r="C2593" s="4"/>
      <c r="D2593" s="4"/>
      <c r="E2593" s="12"/>
      <c r="F2593" s="12"/>
      <c r="G2593" s="16"/>
      <c r="H2593" s="14"/>
      <c r="I2593" s="14"/>
      <c r="J2593" s="14"/>
      <c r="K2593" s="14"/>
      <c r="L2593" s="14"/>
      <c r="M2593" s="14"/>
      <c r="N2593" s="14"/>
      <c r="O2593" s="4"/>
      <c r="P2593" s="14"/>
      <c r="Q2593" s="14"/>
    </row>
    <row r="2594" spans="1:17" x14ac:dyDescent="0.25">
      <c r="A2594" s="5"/>
      <c r="B2594" s="6"/>
      <c r="C2594" s="4"/>
      <c r="D2594" s="4"/>
      <c r="E2594" s="12"/>
      <c r="F2594" s="12"/>
      <c r="G2594" s="16"/>
      <c r="H2594" s="14"/>
      <c r="I2594" s="14"/>
      <c r="J2594" s="14"/>
      <c r="K2594" s="14"/>
      <c r="L2594" s="14"/>
      <c r="M2594" s="14"/>
      <c r="N2594" s="14"/>
      <c r="O2594" s="4"/>
      <c r="P2594" s="14"/>
      <c r="Q2594" s="14"/>
    </row>
    <row r="2595" spans="1:17" x14ac:dyDescent="0.25">
      <c r="A2595" s="5"/>
      <c r="B2595" s="6"/>
      <c r="C2595" s="4"/>
      <c r="D2595" s="4"/>
      <c r="E2595" s="12"/>
      <c r="F2595" s="12"/>
      <c r="G2595" s="16"/>
      <c r="H2595" s="14"/>
      <c r="I2595" s="14"/>
      <c r="J2595" s="14"/>
      <c r="K2595" s="14"/>
      <c r="L2595" s="14"/>
      <c r="M2595" s="14"/>
      <c r="N2595" s="14"/>
      <c r="O2595" s="4"/>
      <c r="P2595" s="14"/>
      <c r="Q2595" s="14"/>
    </row>
    <row r="2596" spans="1:17" x14ac:dyDescent="0.25">
      <c r="A2596" s="5"/>
      <c r="B2596" s="6"/>
      <c r="C2596" s="4"/>
      <c r="D2596" s="4"/>
      <c r="E2596" s="12"/>
      <c r="F2596" s="12"/>
      <c r="G2596" s="16"/>
      <c r="H2596" s="14"/>
      <c r="I2596" s="14"/>
      <c r="J2596" s="14"/>
      <c r="K2596" s="14"/>
      <c r="L2596" s="14"/>
      <c r="M2596" s="14"/>
      <c r="N2596" s="14"/>
      <c r="O2596" s="4"/>
      <c r="P2596" s="14"/>
      <c r="Q2596" s="14"/>
    </row>
    <row r="2597" spans="1:17" x14ac:dyDescent="0.25">
      <c r="A2597" s="5"/>
      <c r="B2597" s="6"/>
      <c r="C2597" s="4"/>
      <c r="D2597" s="4"/>
      <c r="E2597" s="12"/>
      <c r="F2597" s="12"/>
      <c r="G2597" s="16"/>
      <c r="H2597" s="14"/>
      <c r="I2597" s="14"/>
      <c r="J2597" s="14"/>
      <c r="K2597" s="14"/>
      <c r="L2597" s="14"/>
      <c r="M2597" s="14"/>
      <c r="N2597" s="14"/>
      <c r="O2597" s="4"/>
      <c r="P2597" s="14"/>
      <c r="Q2597" s="14"/>
    </row>
    <row r="2598" spans="1:17" x14ac:dyDescent="0.25">
      <c r="A2598" s="5"/>
      <c r="B2598" s="6"/>
      <c r="C2598" s="4"/>
      <c r="D2598" s="4"/>
      <c r="E2598" s="12"/>
      <c r="F2598" s="12"/>
      <c r="G2598" s="16"/>
      <c r="H2598" s="14"/>
      <c r="I2598" s="14"/>
      <c r="J2598" s="14"/>
      <c r="K2598" s="14"/>
      <c r="L2598" s="14"/>
      <c r="M2598" s="14"/>
      <c r="N2598" s="14"/>
      <c r="O2598" s="4"/>
      <c r="P2598" s="14"/>
      <c r="Q2598" s="14"/>
    </row>
    <row r="2599" spans="1:17" x14ac:dyDescent="0.25">
      <c r="A2599" s="5"/>
      <c r="B2599" s="6"/>
      <c r="C2599" s="4"/>
      <c r="D2599" s="4"/>
      <c r="E2599" s="12"/>
      <c r="F2599" s="12"/>
      <c r="G2599" s="16"/>
      <c r="H2599" s="14"/>
      <c r="I2599" s="14"/>
      <c r="J2599" s="14"/>
      <c r="K2599" s="14"/>
      <c r="L2599" s="14"/>
      <c r="M2599" s="14"/>
      <c r="N2599" s="14"/>
      <c r="O2599" s="4"/>
      <c r="P2599" s="14"/>
      <c r="Q2599" s="14"/>
    </row>
    <row r="2600" spans="1:17" x14ac:dyDescent="0.25">
      <c r="A2600" s="5"/>
      <c r="B2600" s="6"/>
      <c r="C2600" s="4"/>
      <c r="D2600" s="4"/>
      <c r="E2600" s="12"/>
      <c r="F2600" s="12"/>
      <c r="G2600" s="16"/>
      <c r="H2600" s="14"/>
      <c r="I2600" s="14"/>
      <c r="J2600" s="14"/>
      <c r="K2600" s="14"/>
      <c r="L2600" s="14"/>
      <c r="M2600" s="14"/>
      <c r="N2600" s="14"/>
      <c r="O2600" s="4"/>
      <c r="P2600" s="14"/>
      <c r="Q2600" s="14"/>
    </row>
    <row r="2601" spans="1:17" x14ac:dyDescent="0.25">
      <c r="A2601" s="5"/>
      <c r="B2601" s="6"/>
      <c r="C2601" s="4"/>
      <c r="D2601" s="4"/>
      <c r="E2601" s="12"/>
      <c r="F2601" s="12"/>
      <c r="G2601" s="16"/>
      <c r="H2601" s="14"/>
      <c r="I2601" s="14"/>
      <c r="J2601" s="14"/>
      <c r="K2601" s="14"/>
      <c r="L2601" s="14"/>
      <c r="M2601" s="14"/>
      <c r="N2601" s="14"/>
      <c r="O2601" s="4"/>
      <c r="P2601" s="14"/>
      <c r="Q2601" s="14"/>
    </row>
    <row r="2602" spans="1:17" x14ac:dyDescent="0.25">
      <c r="A2602" s="5"/>
      <c r="B2602" s="6"/>
      <c r="C2602" s="4"/>
      <c r="D2602" s="4"/>
      <c r="E2602" s="12"/>
      <c r="F2602" s="12"/>
      <c r="G2602" s="16"/>
      <c r="H2602" s="14"/>
      <c r="I2602" s="14"/>
      <c r="J2602" s="14"/>
      <c r="K2602" s="14"/>
      <c r="L2602" s="14"/>
      <c r="M2602" s="14"/>
      <c r="N2602" s="14"/>
      <c r="O2602" s="4"/>
      <c r="P2602" s="14"/>
      <c r="Q2602" s="14"/>
    </row>
    <row r="2603" spans="1:17" x14ac:dyDescent="0.25">
      <c r="A2603" s="5"/>
      <c r="B2603" s="6"/>
      <c r="C2603" s="4"/>
      <c r="D2603" s="4"/>
      <c r="E2603" s="12"/>
      <c r="F2603" s="12"/>
      <c r="G2603" s="16"/>
      <c r="H2603" s="14"/>
      <c r="I2603" s="14"/>
      <c r="J2603" s="14"/>
      <c r="K2603" s="14"/>
      <c r="L2603" s="14"/>
      <c r="M2603" s="14"/>
      <c r="N2603" s="14"/>
      <c r="O2603" s="4"/>
      <c r="P2603" s="14"/>
      <c r="Q2603" s="14"/>
    </row>
    <row r="2604" spans="1:17" x14ac:dyDescent="0.25">
      <c r="A2604" s="5"/>
      <c r="B2604" s="6"/>
      <c r="C2604" s="4"/>
      <c r="D2604" s="4"/>
      <c r="E2604" s="12"/>
      <c r="F2604" s="12"/>
      <c r="G2604" s="16"/>
      <c r="H2604" s="14"/>
      <c r="I2604" s="14"/>
      <c r="J2604" s="14"/>
      <c r="K2604" s="14"/>
      <c r="L2604" s="14"/>
      <c r="M2604" s="14"/>
      <c r="N2604" s="14"/>
      <c r="O2604" s="4"/>
      <c r="P2604" s="14"/>
      <c r="Q2604" s="14"/>
    </row>
    <row r="2605" spans="1:17" x14ac:dyDescent="0.25">
      <c r="A2605" s="5"/>
      <c r="B2605" s="6"/>
      <c r="C2605" s="4"/>
      <c r="D2605" s="4"/>
      <c r="E2605" s="12"/>
      <c r="F2605" s="12"/>
      <c r="G2605" s="16"/>
      <c r="H2605" s="14"/>
      <c r="I2605" s="14"/>
      <c r="J2605" s="14"/>
      <c r="K2605" s="14"/>
      <c r="L2605" s="14"/>
      <c r="M2605" s="14"/>
      <c r="N2605" s="14"/>
      <c r="O2605" s="4"/>
      <c r="P2605" s="14"/>
      <c r="Q2605" s="14"/>
    </row>
    <row r="2606" spans="1:17" x14ac:dyDescent="0.25">
      <c r="A2606" s="5"/>
      <c r="B2606" s="6"/>
      <c r="C2606" s="4"/>
      <c r="D2606" s="4"/>
      <c r="E2606" s="12"/>
      <c r="F2606" s="12"/>
      <c r="G2606" s="16"/>
      <c r="H2606" s="14"/>
      <c r="I2606" s="14"/>
      <c r="J2606" s="14"/>
      <c r="K2606" s="14"/>
      <c r="L2606" s="14"/>
      <c r="M2606" s="14"/>
      <c r="N2606" s="14"/>
      <c r="O2606" s="4"/>
      <c r="P2606" s="14"/>
      <c r="Q2606" s="14"/>
    </row>
    <row r="2607" spans="1:17" x14ac:dyDescent="0.25">
      <c r="A2607" s="5"/>
      <c r="B2607" s="6"/>
      <c r="C2607" s="4"/>
      <c r="D2607" s="4"/>
      <c r="E2607" s="12"/>
      <c r="F2607" s="12"/>
      <c r="G2607" s="16"/>
      <c r="H2607" s="14"/>
      <c r="I2607" s="14"/>
      <c r="J2607" s="14"/>
      <c r="K2607" s="14"/>
      <c r="L2607" s="14"/>
      <c r="M2607" s="14"/>
      <c r="N2607" s="14"/>
      <c r="O2607" s="4"/>
      <c r="P2607" s="14"/>
      <c r="Q2607" s="14"/>
    </row>
    <row r="2608" spans="1:17" x14ac:dyDescent="0.25">
      <c r="A2608" s="5"/>
      <c r="B2608" s="6"/>
      <c r="C2608" s="4"/>
      <c r="D2608" s="4"/>
      <c r="E2608" s="12"/>
      <c r="F2608" s="12"/>
      <c r="G2608" s="16"/>
      <c r="H2608" s="14"/>
      <c r="I2608" s="14"/>
      <c r="J2608" s="14"/>
      <c r="K2608" s="14"/>
      <c r="L2608" s="14"/>
      <c r="M2608" s="14"/>
      <c r="N2608" s="14"/>
      <c r="O2608" s="4"/>
      <c r="P2608" s="14"/>
      <c r="Q2608" s="14"/>
    </row>
    <row r="2609" spans="1:17" x14ac:dyDescent="0.25">
      <c r="A2609" s="5"/>
      <c r="B2609" s="6"/>
      <c r="C2609" s="4"/>
      <c r="D2609" s="4"/>
      <c r="E2609" s="12"/>
      <c r="F2609" s="12"/>
      <c r="G2609" s="16"/>
      <c r="H2609" s="14"/>
      <c r="I2609" s="14"/>
      <c r="J2609" s="14"/>
      <c r="K2609" s="14"/>
      <c r="L2609" s="14"/>
      <c r="M2609" s="14"/>
      <c r="N2609" s="14"/>
      <c r="O2609" s="4"/>
      <c r="P2609" s="14"/>
      <c r="Q2609" s="14"/>
    </row>
    <row r="2610" spans="1:17" x14ac:dyDescent="0.25">
      <c r="A2610" s="5"/>
      <c r="B2610" s="6"/>
      <c r="C2610" s="4"/>
      <c r="D2610" s="4"/>
      <c r="E2610" s="12"/>
      <c r="F2610" s="12"/>
      <c r="G2610" s="16"/>
      <c r="H2610" s="14"/>
      <c r="I2610" s="14"/>
      <c r="J2610" s="14"/>
      <c r="K2610" s="14"/>
      <c r="L2610" s="14"/>
      <c r="M2610" s="14"/>
      <c r="N2610" s="14"/>
      <c r="O2610" s="4"/>
      <c r="P2610" s="14"/>
      <c r="Q2610" s="14"/>
    </row>
    <row r="2611" spans="1:17" x14ac:dyDescent="0.25">
      <c r="A2611" s="5"/>
      <c r="B2611" s="6"/>
      <c r="C2611" s="4"/>
      <c r="D2611" s="4"/>
      <c r="E2611" s="12"/>
      <c r="F2611" s="12"/>
      <c r="G2611" s="16"/>
      <c r="H2611" s="14"/>
      <c r="I2611" s="14"/>
      <c r="J2611" s="14"/>
      <c r="K2611" s="14"/>
      <c r="L2611" s="14"/>
      <c r="M2611" s="14"/>
      <c r="N2611" s="14"/>
      <c r="O2611" s="4"/>
      <c r="P2611" s="14"/>
      <c r="Q2611" s="14"/>
    </row>
    <row r="2612" spans="1:17" x14ac:dyDescent="0.25">
      <c r="A2612" s="5"/>
      <c r="B2612" s="6"/>
      <c r="C2612" s="4"/>
      <c r="D2612" s="4"/>
      <c r="E2612" s="12"/>
      <c r="F2612" s="12"/>
      <c r="G2612" s="16"/>
      <c r="H2612" s="14"/>
      <c r="I2612" s="14"/>
      <c r="J2612" s="14"/>
      <c r="K2612" s="14"/>
      <c r="L2612" s="14"/>
      <c r="M2612" s="14"/>
      <c r="N2612" s="14"/>
      <c r="O2612" s="4"/>
      <c r="P2612" s="14"/>
      <c r="Q2612" s="14"/>
    </row>
    <row r="2613" spans="1:17" x14ac:dyDescent="0.25">
      <c r="A2613" s="5"/>
      <c r="B2613" s="6"/>
      <c r="C2613" s="4"/>
      <c r="D2613" s="4"/>
      <c r="E2613" s="12"/>
      <c r="F2613" s="12"/>
      <c r="G2613" s="16"/>
      <c r="H2613" s="14"/>
      <c r="I2613" s="14"/>
      <c r="J2613" s="14"/>
      <c r="K2613" s="14"/>
      <c r="L2613" s="14"/>
      <c r="M2613" s="14"/>
      <c r="N2613" s="14"/>
      <c r="O2613" s="4"/>
      <c r="P2613" s="14"/>
      <c r="Q2613" s="14"/>
    </row>
    <row r="2614" spans="1:17" x14ac:dyDescent="0.25">
      <c r="A2614" s="5"/>
      <c r="B2614" s="6"/>
      <c r="C2614" s="4"/>
      <c r="D2614" s="4"/>
      <c r="E2614" s="12"/>
      <c r="F2614" s="12"/>
      <c r="G2614" s="16"/>
      <c r="H2614" s="14"/>
      <c r="I2614" s="14"/>
      <c r="J2614" s="14"/>
      <c r="K2614" s="14"/>
      <c r="L2614" s="14"/>
      <c r="M2614" s="14"/>
      <c r="N2614" s="14"/>
      <c r="O2614" s="4"/>
      <c r="P2614" s="14"/>
      <c r="Q2614" s="14"/>
    </row>
    <row r="2615" spans="1:17" x14ac:dyDescent="0.25">
      <c r="A2615" s="5"/>
      <c r="B2615" s="6"/>
      <c r="C2615" s="4"/>
      <c r="D2615" s="4"/>
      <c r="E2615" s="12"/>
      <c r="F2615" s="12"/>
      <c r="G2615" s="16"/>
      <c r="H2615" s="14"/>
      <c r="I2615" s="14"/>
      <c r="J2615" s="14"/>
      <c r="K2615" s="14"/>
      <c r="L2615" s="14"/>
      <c r="M2615" s="14"/>
      <c r="N2615" s="14"/>
      <c r="O2615" s="4"/>
      <c r="P2615" s="14"/>
      <c r="Q2615" s="14"/>
    </row>
    <row r="2616" spans="1:17" x14ac:dyDescent="0.25">
      <c r="A2616" s="5"/>
      <c r="B2616" s="6"/>
      <c r="C2616" s="4"/>
      <c r="D2616" s="4"/>
      <c r="E2616" s="12"/>
      <c r="F2616" s="12"/>
      <c r="G2616" s="16"/>
      <c r="H2616" s="14"/>
      <c r="I2616" s="14"/>
      <c r="J2616" s="14"/>
      <c r="K2616" s="14"/>
      <c r="L2616" s="14"/>
      <c r="M2616" s="14"/>
      <c r="N2616" s="14"/>
      <c r="O2616" s="4"/>
      <c r="P2616" s="14"/>
      <c r="Q2616" s="14"/>
    </row>
    <row r="2617" spans="1:17" x14ac:dyDescent="0.25">
      <c r="A2617" s="5"/>
      <c r="B2617" s="6"/>
      <c r="C2617" s="4"/>
      <c r="D2617" s="4"/>
      <c r="E2617" s="12"/>
      <c r="F2617" s="12"/>
      <c r="G2617" s="16"/>
      <c r="H2617" s="14"/>
      <c r="I2617" s="14"/>
      <c r="J2617" s="14"/>
      <c r="K2617" s="14"/>
      <c r="L2617" s="14"/>
      <c r="M2617" s="14"/>
      <c r="N2617" s="14"/>
      <c r="O2617" s="4"/>
      <c r="P2617" s="14"/>
      <c r="Q2617" s="14"/>
    </row>
    <row r="2618" spans="1:17" x14ac:dyDescent="0.25">
      <c r="A2618" s="5"/>
      <c r="B2618" s="6"/>
      <c r="C2618" s="4"/>
      <c r="D2618" s="4"/>
      <c r="E2618" s="12"/>
      <c r="F2618" s="12"/>
      <c r="G2618" s="16"/>
      <c r="H2618" s="14"/>
      <c r="I2618" s="14"/>
      <c r="J2618" s="14"/>
      <c r="K2618" s="14"/>
      <c r="L2618" s="14"/>
      <c r="M2618" s="14"/>
      <c r="N2618" s="14"/>
      <c r="O2618" s="4"/>
      <c r="P2618" s="14"/>
      <c r="Q2618" s="14"/>
    </row>
    <row r="2619" spans="1:17" x14ac:dyDescent="0.25">
      <c r="A2619" s="5"/>
      <c r="B2619" s="6"/>
      <c r="C2619" s="4"/>
      <c r="D2619" s="4"/>
      <c r="E2619" s="12"/>
      <c r="F2619" s="12"/>
      <c r="G2619" s="16"/>
      <c r="H2619" s="14"/>
      <c r="I2619" s="14"/>
      <c r="J2619" s="14"/>
      <c r="K2619" s="14"/>
      <c r="L2619" s="14"/>
      <c r="M2619" s="14"/>
      <c r="N2619" s="14"/>
      <c r="O2619" s="4"/>
      <c r="P2619" s="14"/>
      <c r="Q2619" s="14"/>
    </row>
    <row r="2620" spans="1:17" x14ac:dyDescent="0.25">
      <c r="A2620" s="5"/>
      <c r="B2620" s="6"/>
      <c r="C2620" s="4"/>
      <c r="D2620" s="4"/>
      <c r="E2620" s="12"/>
      <c r="F2620" s="12"/>
      <c r="G2620" s="16"/>
      <c r="H2620" s="14"/>
      <c r="I2620" s="14"/>
      <c r="J2620" s="14"/>
      <c r="K2620" s="14"/>
      <c r="L2620" s="14"/>
      <c r="M2620" s="14"/>
      <c r="N2620" s="14"/>
      <c r="O2620" s="4"/>
      <c r="P2620" s="14"/>
      <c r="Q2620" s="14"/>
    </row>
    <row r="2621" spans="1:17" x14ac:dyDescent="0.25">
      <c r="A2621" s="5"/>
      <c r="B2621" s="6"/>
      <c r="C2621" s="4"/>
      <c r="D2621" s="4"/>
      <c r="E2621" s="12"/>
      <c r="F2621" s="12"/>
      <c r="G2621" s="16"/>
      <c r="H2621" s="14"/>
      <c r="I2621" s="14"/>
      <c r="J2621" s="14"/>
      <c r="K2621" s="14"/>
      <c r="L2621" s="14"/>
      <c r="M2621" s="14"/>
      <c r="N2621" s="14"/>
      <c r="O2621" s="4"/>
      <c r="P2621" s="14"/>
      <c r="Q2621" s="14"/>
    </row>
    <row r="2622" spans="1:17" x14ac:dyDescent="0.25">
      <c r="A2622" s="5"/>
      <c r="B2622" s="6"/>
      <c r="C2622" s="4"/>
      <c r="D2622" s="4"/>
      <c r="E2622" s="12"/>
      <c r="F2622" s="12"/>
      <c r="G2622" s="16"/>
      <c r="H2622" s="14"/>
      <c r="I2622" s="14"/>
      <c r="J2622" s="14"/>
      <c r="K2622" s="14"/>
      <c r="L2622" s="14"/>
      <c r="M2622" s="14"/>
      <c r="N2622" s="14"/>
      <c r="O2622" s="4"/>
      <c r="P2622" s="14"/>
      <c r="Q2622" s="14"/>
    </row>
    <row r="2623" spans="1:17" x14ac:dyDescent="0.25">
      <c r="A2623" s="5"/>
      <c r="B2623" s="6"/>
      <c r="C2623" s="4"/>
      <c r="D2623" s="4"/>
      <c r="E2623" s="12"/>
      <c r="F2623" s="12"/>
      <c r="G2623" s="16"/>
      <c r="H2623" s="14"/>
      <c r="I2623" s="14"/>
      <c r="J2623" s="14"/>
      <c r="K2623" s="14"/>
      <c r="L2623" s="14"/>
      <c r="M2623" s="14"/>
      <c r="N2623" s="14"/>
      <c r="O2623" s="4"/>
      <c r="P2623" s="14"/>
      <c r="Q2623" s="14"/>
    </row>
    <row r="2624" spans="1:17" x14ac:dyDescent="0.25">
      <c r="A2624" s="5"/>
      <c r="B2624" s="6"/>
      <c r="C2624" s="4"/>
      <c r="D2624" s="4"/>
      <c r="E2624" s="12"/>
      <c r="F2624" s="12"/>
      <c r="G2624" s="16"/>
      <c r="H2624" s="14"/>
      <c r="I2624" s="14"/>
      <c r="J2624" s="14"/>
      <c r="K2624" s="14"/>
      <c r="L2624" s="14"/>
      <c r="M2624" s="14"/>
      <c r="N2624" s="14"/>
      <c r="O2624" s="4"/>
      <c r="P2624" s="14"/>
      <c r="Q2624" s="14"/>
    </row>
    <row r="2625" spans="1:17" x14ac:dyDescent="0.25">
      <c r="A2625" s="5"/>
      <c r="B2625" s="6"/>
      <c r="C2625" s="4"/>
      <c r="D2625" s="4"/>
      <c r="E2625" s="12"/>
      <c r="F2625" s="12"/>
      <c r="G2625" s="16"/>
      <c r="H2625" s="14"/>
      <c r="I2625" s="14"/>
      <c r="J2625" s="14"/>
      <c r="K2625" s="14"/>
      <c r="L2625" s="14"/>
      <c r="M2625" s="14"/>
      <c r="N2625" s="14"/>
      <c r="O2625" s="4"/>
      <c r="P2625" s="14"/>
      <c r="Q2625" s="14"/>
    </row>
    <row r="2626" spans="1:17" x14ac:dyDescent="0.25">
      <c r="A2626" s="5"/>
      <c r="B2626" s="6"/>
      <c r="C2626" s="4"/>
      <c r="D2626" s="4"/>
      <c r="E2626" s="12"/>
      <c r="F2626" s="12"/>
      <c r="G2626" s="16"/>
      <c r="H2626" s="14"/>
      <c r="I2626" s="14"/>
      <c r="J2626" s="14"/>
      <c r="K2626" s="14"/>
      <c r="L2626" s="14"/>
      <c r="M2626" s="14"/>
      <c r="N2626" s="14"/>
      <c r="O2626" s="4"/>
      <c r="P2626" s="14"/>
      <c r="Q2626" s="14"/>
    </row>
    <row r="2627" spans="1:17" x14ac:dyDescent="0.25">
      <c r="A2627" s="5"/>
      <c r="B2627" s="6"/>
      <c r="C2627" s="4"/>
      <c r="D2627" s="4"/>
      <c r="E2627" s="12"/>
      <c r="F2627" s="12"/>
      <c r="G2627" s="16"/>
      <c r="H2627" s="14"/>
      <c r="I2627" s="14"/>
      <c r="J2627" s="14"/>
      <c r="K2627" s="14"/>
      <c r="L2627" s="14"/>
      <c r="M2627" s="14"/>
      <c r="N2627" s="14"/>
      <c r="O2627" s="4"/>
      <c r="P2627" s="14"/>
      <c r="Q2627" s="14"/>
    </row>
    <row r="2628" spans="1:17" x14ac:dyDescent="0.25">
      <c r="A2628" s="5"/>
      <c r="B2628" s="6"/>
      <c r="C2628" s="4"/>
      <c r="D2628" s="4"/>
      <c r="E2628" s="12"/>
      <c r="F2628" s="12"/>
      <c r="G2628" s="16"/>
      <c r="H2628" s="14"/>
      <c r="I2628" s="14"/>
      <c r="J2628" s="14"/>
      <c r="K2628" s="14"/>
      <c r="L2628" s="14"/>
      <c r="M2628" s="14"/>
      <c r="N2628" s="14"/>
      <c r="O2628" s="4"/>
      <c r="P2628" s="14"/>
      <c r="Q2628" s="14"/>
    </row>
    <row r="2629" spans="1:17" x14ac:dyDescent="0.25">
      <c r="A2629" s="5"/>
      <c r="B2629" s="6"/>
      <c r="C2629" s="4"/>
      <c r="D2629" s="4"/>
      <c r="E2629" s="12"/>
      <c r="F2629" s="12"/>
      <c r="G2629" s="16"/>
      <c r="H2629" s="14"/>
      <c r="I2629" s="14"/>
      <c r="J2629" s="14"/>
      <c r="K2629" s="14"/>
      <c r="L2629" s="14"/>
      <c r="M2629" s="14"/>
      <c r="N2629" s="14"/>
      <c r="O2629" s="4"/>
      <c r="P2629" s="14"/>
      <c r="Q2629" s="14"/>
    </row>
    <row r="2630" spans="1:17" x14ac:dyDescent="0.25">
      <c r="A2630" s="5"/>
      <c r="B2630" s="6"/>
      <c r="C2630" s="4"/>
      <c r="D2630" s="4"/>
      <c r="E2630" s="12"/>
      <c r="F2630" s="12"/>
      <c r="G2630" s="16"/>
      <c r="H2630" s="14"/>
      <c r="I2630" s="14"/>
      <c r="J2630" s="14"/>
      <c r="K2630" s="14"/>
      <c r="L2630" s="14"/>
      <c r="M2630" s="14"/>
      <c r="N2630" s="14"/>
      <c r="O2630" s="4"/>
      <c r="P2630" s="14"/>
      <c r="Q2630" s="14"/>
    </row>
    <row r="2631" spans="1:17" x14ac:dyDescent="0.25">
      <c r="A2631" s="5"/>
      <c r="B2631" s="6"/>
      <c r="C2631" s="4"/>
      <c r="D2631" s="4"/>
      <c r="E2631" s="12"/>
      <c r="F2631" s="12"/>
      <c r="G2631" s="16"/>
      <c r="H2631" s="14"/>
      <c r="I2631" s="14"/>
      <c r="J2631" s="14"/>
      <c r="K2631" s="14"/>
      <c r="L2631" s="14"/>
      <c r="M2631" s="14"/>
      <c r="N2631" s="14"/>
      <c r="O2631" s="4"/>
      <c r="P2631" s="14"/>
      <c r="Q2631" s="14"/>
    </row>
    <row r="2632" spans="1:17" x14ac:dyDescent="0.25">
      <c r="A2632" s="5"/>
      <c r="B2632" s="6"/>
      <c r="C2632" s="4"/>
      <c r="D2632" s="4"/>
      <c r="E2632" s="12"/>
      <c r="F2632" s="12"/>
      <c r="G2632" s="16"/>
      <c r="H2632" s="14"/>
      <c r="I2632" s="14"/>
      <c r="J2632" s="14"/>
      <c r="K2632" s="14"/>
      <c r="L2632" s="14"/>
      <c r="M2632" s="14"/>
      <c r="N2632" s="14"/>
      <c r="O2632" s="4"/>
      <c r="P2632" s="14"/>
      <c r="Q2632" s="14"/>
    </row>
    <row r="2633" spans="1:17" x14ac:dyDescent="0.25">
      <c r="A2633" s="5"/>
      <c r="B2633" s="6"/>
      <c r="C2633" s="4"/>
      <c r="D2633" s="4"/>
      <c r="E2633" s="12"/>
      <c r="F2633" s="12"/>
      <c r="G2633" s="16"/>
      <c r="H2633" s="14"/>
      <c r="I2633" s="14"/>
      <c r="J2633" s="14"/>
      <c r="K2633" s="14"/>
      <c r="L2633" s="14"/>
      <c r="M2633" s="14"/>
      <c r="N2633" s="14"/>
      <c r="O2633" s="4"/>
      <c r="P2633" s="14"/>
      <c r="Q2633" s="14"/>
    </row>
    <row r="2634" spans="1:17" x14ac:dyDescent="0.25">
      <c r="A2634" s="5"/>
      <c r="B2634" s="6"/>
      <c r="C2634" s="4"/>
      <c r="D2634" s="4"/>
      <c r="E2634" s="12"/>
      <c r="F2634" s="12"/>
      <c r="G2634" s="16"/>
      <c r="H2634" s="14"/>
      <c r="I2634" s="14"/>
      <c r="J2634" s="14"/>
      <c r="K2634" s="14"/>
      <c r="L2634" s="14"/>
      <c r="M2634" s="14"/>
      <c r="N2634" s="14"/>
      <c r="O2634" s="4"/>
      <c r="P2634" s="14"/>
      <c r="Q2634" s="14"/>
    </row>
    <row r="2635" spans="1:17" x14ac:dyDescent="0.25">
      <c r="A2635" s="5"/>
      <c r="B2635" s="6"/>
      <c r="C2635" s="4"/>
      <c r="D2635" s="4"/>
      <c r="E2635" s="12"/>
      <c r="F2635" s="12"/>
      <c r="G2635" s="16"/>
      <c r="H2635" s="14"/>
      <c r="I2635" s="14"/>
      <c r="J2635" s="14"/>
      <c r="K2635" s="14"/>
      <c r="L2635" s="14"/>
      <c r="M2635" s="14"/>
      <c r="N2635" s="14"/>
      <c r="O2635" s="4"/>
      <c r="P2635" s="14"/>
      <c r="Q2635" s="14"/>
    </row>
    <row r="2636" spans="1:17" x14ac:dyDescent="0.25">
      <c r="A2636" s="5"/>
      <c r="B2636" s="6"/>
      <c r="C2636" s="4"/>
      <c r="D2636" s="4"/>
      <c r="E2636" s="12"/>
      <c r="F2636" s="12"/>
      <c r="G2636" s="16"/>
      <c r="H2636" s="14"/>
      <c r="I2636" s="14"/>
      <c r="J2636" s="14"/>
      <c r="K2636" s="14"/>
      <c r="L2636" s="14"/>
      <c r="M2636" s="14"/>
      <c r="N2636" s="14"/>
      <c r="O2636" s="4"/>
      <c r="P2636" s="14"/>
      <c r="Q2636" s="14"/>
    </row>
    <row r="2637" spans="1:17" x14ac:dyDescent="0.25">
      <c r="A2637" s="5"/>
      <c r="B2637" s="6"/>
      <c r="C2637" s="4"/>
      <c r="D2637" s="4"/>
      <c r="E2637" s="12"/>
      <c r="F2637" s="12"/>
      <c r="G2637" s="16"/>
      <c r="H2637" s="14"/>
      <c r="I2637" s="14"/>
      <c r="J2637" s="14"/>
      <c r="K2637" s="14"/>
      <c r="L2637" s="14"/>
      <c r="M2637" s="14"/>
      <c r="N2637" s="14"/>
      <c r="O2637" s="4"/>
      <c r="P2637" s="14"/>
      <c r="Q2637" s="14"/>
    </row>
    <row r="2638" spans="1:17" x14ac:dyDescent="0.25">
      <c r="A2638" s="5"/>
      <c r="B2638" s="6"/>
      <c r="C2638" s="4"/>
      <c r="D2638" s="4"/>
      <c r="E2638" s="12"/>
      <c r="F2638" s="12"/>
      <c r="G2638" s="16"/>
      <c r="H2638" s="14"/>
      <c r="I2638" s="14"/>
      <c r="J2638" s="14"/>
      <c r="K2638" s="14"/>
      <c r="L2638" s="14"/>
      <c r="M2638" s="14"/>
      <c r="N2638" s="14"/>
      <c r="O2638" s="4"/>
      <c r="P2638" s="14"/>
      <c r="Q2638" s="14"/>
    </row>
    <row r="2639" spans="1:17" x14ac:dyDescent="0.25">
      <c r="A2639" s="5"/>
      <c r="B2639" s="6"/>
      <c r="C2639" s="4"/>
      <c r="D2639" s="4"/>
      <c r="E2639" s="12"/>
      <c r="F2639" s="12"/>
      <c r="G2639" s="16"/>
      <c r="H2639" s="14"/>
      <c r="I2639" s="14"/>
      <c r="J2639" s="14"/>
      <c r="K2639" s="14"/>
      <c r="L2639" s="14"/>
      <c r="M2639" s="14"/>
      <c r="N2639" s="14"/>
      <c r="O2639" s="4"/>
      <c r="P2639" s="14"/>
      <c r="Q2639" s="14"/>
    </row>
    <row r="2640" spans="1:17" x14ac:dyDescent="0.25">
      <c r="A2640" s="5"/>
      <c r="B2640" s="6"/>
      <c r="C2640" s="4"/>
      <c r="D2640" s="4"/>
      <c r="E2640" s="12"/>
      <c r="F2640" s="12"/>
      <c r="G2640" s="16"/>
      <c r="H2640" s="14"/>
      <c r="I2640" s="14"/>
      <c r="J2640" s="14"/>
      <c r="K2640" s="14"/>
      <c r="L2640" s="14"/>
      <c r="M2640" s="14"/>
      <c r="N2640" s="14"/>
      <c r="O2640" s="4"/>
      <c r="P2640" s="14"/>
      <c r="Q2640" s="14"/>
    </row>
    <row r="2641" spans="1:17" x14ac:dyDescent="0.25">
      <c r="A2641" s="5"/>
      <c r="B2641" s="6"/>
      <c r="C2641" s="4"/>
      <c r="D2641" s="4"/>
      <c r="E2641" s="12"/>
      <c r="F2641" s="12"/>
      <c r="G2641" s="16"/>
      <c r="H2641" s="14"/>
      <c r="I2641" s="14"/>
      <c r="J2641" s="14"/>
      <c r="K2641" s="14"/>
      <c r="L2641" s="14"/>
      <c r="M2641" s="14"/>
      <c r="N2641" s="14"/>
      <c r="O2641" s="4"/>
      <c r="P2641" s="14"/>
      <c r="Q2641" s="14"/>
    </row>
    <row r="2642" spans="1:17" x14ac:dyDescent="0.25">
      <c r="A2642" s="5"/>
      <c r="B2642" s="6"/>
      <c r="C2642" s="4"/>
      <c r="D2642" s="4"/>
      <c r="E2642" s="12"/>
      <c r="F2642" s="12"/>
      <c r="G2642" s="16"/>
      <c r="H2642" s="14"/>
      <c r="I2642" s="14"/>
      <c r="J2642" s="14"/>
      <c r="K2642" s="14"/>
      <c r="L2642" s="14"/>
      <c r="M2642" s="14"/>
      <c r="N2642" s="14"/>
      <c r="O2642" s="4"/>
      <c r="P2642" s="14"/>
      <c r="Q2642" s="14"/>
    </row>
    <row r="2643" spans="1:17" x14ac:dyDescent="0.25">
      <c r="A2643" s="5"/>
      <c r="B2643" s="6"/>
      <c r="C2643" s="4"/>
      <c r="D2643" s="4"/>
      <c r="E2643" s="12"/>
      <c r="F2643" s="12"/>
      <c r="G2643" s="16"/>
      <c r="H2643" s="14"/>
      <c r="I2643" s="14"/>
      <c r="J2643" s="14"/>
      <c r="K2643" s="14"/>
      <c r="L2643" s="14"/>
      <c r="M2643" s="14"/>
      <c r="N2643" s="14"/>
      <c r="O2643" s="4"/>
      <c r="P2643" s="14"/>
      <c r="Q2643" s="14"/>
    </row>
    <row r="2644" spans="1:17" x14ac:dyDescent="0.25">
      <c r="A2644" s="5"/>
      <c r="B2644" s="6"/>
      <c r="C2644" s="4"/>
      <c r="D2644" s="4"/>
      <c r="E2644" s="12"/>
      <c r="F2644" s="12"/>
      <c r="G2644" s="16"/>
      <c r="H2644" s="14"/>
      <c r="I2644" s="14"/>
      <c r="J2644" s="14"/>
      <c r="K2644" s="14"/>
      <c r="L2644" s="14"/>
      <c r="M2644" s="14"/>
      <c r="N2644" s="14"/>
      <c r="O2644" s="4"/>
      <c r="P2644" s="14"/>
      <c r="Q2644" s="14"/>
    </row>
    <row r="2645" spans="1:17" x14ac:dyDescent="0.25">
      <c r="A2645" s="5"/>
      <c r="B2645" s="6"/>
      <c r="C2645" s="4"/>
      <c r="D2645" s="4"/>
      <c r="E2645" s="12"/>
      <c r="F2645" s="12"/>
      <c r="G2645" s="16"/>
      <c r="H2645" s="14"/>
      <c r="I2645" s="14"/>
      <c r="J2645" s="14"/>
      <c r="K2645" s="14"/>
      <c r="L2645" s="14"/>
      <c r="M2645" s="14"/>
      <c r="N2645" s="14"/>
      <c r="O2645" s="4"/>
      <c r="P2645" s="14"/>
      <c r="Q2645" s="14"/>
    </row>
    <row r="2646" spans="1:17" x14ac:dyDescent="0.25">
      <c r="A2646" s="5"/>
      <c r="B2646" s="6"/>
      <c r="C2646" s="4"/>
      <c r="D2646" s="4"/>
      <c r="E2646" s="12"/>
      <c r="F2646" s="12"/>
      <c r="G2646" s="16"/>
      <c r="H2646" s="14"/>
      <c r="I2646" s="14"/>
      <c r="J2646" s="14"/>
      <c r="K2646" s="14"/>
      <c r="L2646" s="14"/>
      <c r="M2646" s="14"/>
      <c r="N2646" s="14"/>
      <c r="O2646" s="4"/>
      <c r="P2646" s="14"/>
      <c r="Q2646" s="14"/>
    </row>
    <row r="2647" spans="1:17" x14ac:dyDescent="0.25">
      <c r="A2647" s="5"/>
      <c r="B2647" s="6"/>
      <c r="C2647" s="4"/>
      <c r="D2647" s="4"/>
      <c r="E2647" s="12"/>
      <c r="F2647" s="12"/>
      <c r="G2647" s="16"/>
      <c r="H2647" s="14"/>
      <c r="I2647" s="14"/>
      <c r="J2647" s="14"/>
      <c r="K2647" s="14"/>
      <c r="L2647" s="14"/>
      <c r="M2647" s="14"/>
      <c r="N2647" s="14"/>
      <c r="O2647" s="4"/>
      <c r="P2647" s="14"/>
      <c r="Q2647" s="14"/>
    </row>
    <row r="2648" spans="1:17" x14ac:dyDescent="0.25">
      <c r="A2648" s="5"/>
      <c r="B2648" s="6"/>
      <c r="C2648" s="4"/>
      <c r="D2648" s="4"/>
      <c r="E2648" s="12"/>
      <c r="F2648" s="12"/>
      <c r="G2648" s="16"/>
      <c r="H2648" s="14"/>
      <c r="I2648" s="14"/>
      <c r="J2648" s="14"/>
      <c r="K2648" s="14"/>
      <c r="L2648" s="14"/>
      <c r="M2648" s="14"/>
      <c r="N2648" s="14"/>
      <c r="O2648" s="4"/>
      <c r="P2648" s="14"/>
      <c r="Q2648" s="14"/>
    </row>
    <row r="2649" spans="1:17" x14ac:dyDescent="0.25">
      <c r="A2649" s="5"/>
      <c r="B2649" s="6"/>
      <c r="C2649" s="4"/>
      <c r="D2649" s="4"/>
      <c r="E2649" s="12"/>
      <c r="F2649" s="12"/>
      <c r="G2649" s="16"/>
      <c r="H2649" s="14"/>
      <c r="I2649" s="14"/>
      <c r="J2649" s="14"/>
      <c r="K2649" s="14"/>
      <c r="L2649" s="14"/>
      <c r="M2649" s="14"/>
      <c r="N2649" s="14"/>
      <c r="O2649" s="4"/>
      <c r="P2649" s="14"/>
      <c r="Q2649" s="14"/>
    </row>
    <row r="2650" spans="1:17" x14ac:dyDescent="0.25">
      <c r="A2650" s="5"/>
      <c r="B2650" s="6"/>
      <c r="C2650" s="4"/>
      <c r="D2650" s="4"/>
      <c r="E2650" s="12"/>
      <c r="F2650" s="12"/>
      <c r="G2650" s="16"/>
      <c r="H2650" s="14"/>
      <c r="I2650" s="14"/>
      <c r="J2650" s="14"/>
      <c r="K2650" s="14"/>
      <c r="L2650" s="14"/>
      <c r="M2650" s="14"/>
      <c r="N2650" s="14"/>
      <c r="O2650" s="4"/>
      <c r="P2650" s="14"/>
      <c r="Q2650" s="14"/>
    </row>
    <row r="2651" spans="1:17" x14ac:dyDescent="0.25">
      <c r="A2651" s="5"/>
      <c r="B2651" s="6"/>
      <c r="C2651" s="4"/>
      <c r="D2651" s="4"/>
      <c r="E2651" s="12"/>
      <c r="F2651" s="12"/>
      <c r="G2651" s="16"/>
      <c r="H2651" s="14"/>
      <c r="I2651" s="14"/>
      <c r="J2651" s="14"/>
      <c r="K2651" s="14"/>
      <c r="L2651" s="14"/>
      <c r="M2651" s="14"/>
      <c r="N2651" s="14"/>
      <c r="O2651" s="4"/>
      <c r="P2651" s="14"/>
      <c r="Q2651" s="14"/>
    </row>
    <row r="2652" spans="1:17" x14ac:dyDescent="0.25">
      <c r="A2652" s="5"/>
      <c r="B2652" s="6"/>
      <c r="C2652" s="4"/>
      <c r="D2652" s="4"/>
      <c r="E2652" s="12"/>
      <c r="F2652" s="12"/>
      <c r="G2652" s="16"/>
      <c r="H2652" s="14"/>
      <c r="I2652" s="14"/>
      <c r="J2652" s="14"/>
      <c r="K2652" s="14"/>
      <c r="L2652" s="14"/>
      <c r="M2652" s="14"/>
      <c r="N2652" s="14"/>
      <c r="O2652" s="4"/>
      <c r="P2652" s="14"/>
      <c r="Q2652" s="14"/>
    </row>
    <row r="2653" spans="1:17" x14ac:dyDescent="0.25">
      <c r="A2653" s="5"/>
      <c r="B2653" s="6"/>
      <c r="C2653" s="4"/>
      <c r="D2653" s="4"/>
      <c r="E2653" s="12"/>
      <c r="F2653" s="12"/>
      <c r="G2653" s="16"/>
      <c r="H2653" s="14"/>
      <c r="I2653" s="14"/>
      <c r="J2653" s="14"/>
      <c r="K2653" s="14"/>
      <c r="L2653" s="14"/>
      <c r="M2653" s="14"/>
      <c r="N2653" s="14"/>
      <c r="O2653" s="4"/>
      <c r="P2653" s="14"/>
      <c r="Q2653" s="14"/>
    </row>
    <row r="2654" spans="1:17" x14ac:dyDescent="0.25">
      <c r="A2654" s="5"/>
      <c r="B2654" s="6"/>
      <c r="C2654" s="4"/>
      <c r="D2654" s="4"/>
      <c r="E2654" s="12"/>
      <c r="F2654" s="12"/>
      <c r="G2654" s="16"/>
      <c r="H2654" s="14"/>
      <c r="I2654" s="14"/>
      <c r="J2654" s="14"/>
      <c r="K2654" s="14"/>
      <c r="L2654" s="14"/>
      <c r="M2654" s="14"/>
      <c r="N2654" s="14"/>
      <c r="O2654" s="4"/>
      <c r="P2654" s="14"/>
      <c r="Q2654" s="14"/>
    </row>
    <row r="2655" spans="1:17" x14ac:dyDescent="0.25">
      <c r="A2655" s="5"/>
      <c r="B2655" s="6"/>
      <c r="C2655" s="4"/>
      <c r="D2655" s="4"/>
      <c r="E2655" s="12"/>
      <c r="F2655" s="12"/>
      <c r="G2655" s="16"/>
      <c r="H2655" s="14"/>
      <c r="I2655" s="14"/>
      <c r="J2655" s="14"/>
      <c r="K2655" s="14"/>
      <c r="L2655" s="14"/>
      <c r="M2655" s="14"/>
      <c r="N2655" s="14"/>
      <c r="O2655" s="4"/>
      <c r="P2655" s="14"/>
      <c r="Q2655" s="14"/>
    </row>
    <row r="2656" spans="1:17" x14ac:dyDescent="0.25">
      <c r="A2656" s="5"/>
      <c r="B2656" s="6"/>
      <c r="C2656" s="4"/>
      <c r="D2656" s="4"/>
      <c r="E2656" s="12"/>
      <c r="F2656" s="12"/>
      <c r="G2656" s="16"/>
      <c r="H2656" s="14"/>
      <c r="I2656" s="14"/>
      <c r="J2656" s="14"/>
      <c r="K2656" s="14"/>
      <c r="L2656" s="14"/>
      <c r="M2656" s="14"/>
      <c r="N2656" s="14"/>
      <c r="O2656" s="4"/>
      <c r="P2656" s="14"/>
      <c r="Q2656" s="14"/>
    </row>
    <row r="2657" spans="1:17" x14ac:dyDescent="0.25">
      <c r="A2657" s="5"/>
      <c r="B2657" s="6"/>
      <c r="C2657" s="4"/>
      <c r="D2657" s="4"/>
      <c r="E2657" s="12"/>
      <c r="F2657" s="12"/>
      <c r="G2657" s="16"/>
      <c r="H2657" s="14"/>
      <c r="I2657" s="14"/>
      <c r="J2657" s="14"/>
      <c r="K2657" s="14"/>
      <c r="L2657" s="14"/>
      <c r="M2657" s="14"/>
      <c r="N2657" s="14"/>
      <c r="O2657" s="4"/>
      <c r="P2657" s="14"/>
      <c r="Q2657" s="14"/>
    </row>
    <row r="2658" spans="1:17" x14ac:dyDescent="0.25">
      <c r="A2658" s="5"/>
      <c r="B2658" s="6"/>
      <c r="C2658" s="4"/>
      <c r="D2658" s="4"/>
      <c r="E2658" s="12"/>
      <c r="F2658" s="12"/>
      <c r="G2658" s="16"/>
      <c r="H2658" s="14"/>
      <c r="I2658" s="14"/>
      <c r="J2658" s="14"/>
      <c r="K2658" s="14"/>
      <c r="L2658" s="14"/>
      <c r="M2658" s="14"/>
      <c r="N2658" s="14"/>
      <c r="O2658" s="4"/>
      <c r="P2658" s="14"/>
      <c r="Q2658" s="14"/>
    </row>
    <row r="2659" spans="1:17" x14ac:dyDescent="0.25">
      <c r="A2659" s="5"/>
      <c r="B2659" s="6"/>
      <c r="C2659" s="4"/>
      <c r="D2659" s="4"/>
      <c r="E2659" s="12"/>
      <c r="F2659" s="12"/>
      <c r="G2659" s="16"/>
      <c r="H2659" s="14"/>
      <c r="I2659" s="14"/>
      <c r="J2659" s="14"/>
      <c r="K2659" s="14"/>
      <c r="L2659" s="14"/>
      <c r="M2659" s="14"/>
      <c r="N2659" s="14"/>
      <c r="O2659" s="4"/>
      <c r="P2659" s="14"/>
      <c r="Q2659" s="14"/>
    </row>
    <row r="2660" spans="1:17" x14ac:dyDescent="0.25">
      <c r="A2660" s="5"/>
      <c r="B2660" s="6"/>
      <c r="C2660" s="4"/>
      <c r="D2660" s="4"/>
      <c r="E2660" s="12"/>
      <c r="F2660" s="12"/>
      <c r="G2660" s="16"/>
      <c r="H2660" s="14"/>
      <c r="I2660" s="14"/>
      <c r="J2660" s="14"/>
      <c r="K2660" s="14"/>
      <c r="L2660" s="14"/>
      <c r="M2660" s="14"/>
      <c r="N2660" s="14"/>
      <c r="O2660" s="4"/>
      <c r="P2660" s="14"/>
      <c r="Q2660" s="14"/>
    </row>
    <row r="2661" spans="1:17" x14ac:dyDescent="0.25">
      <c r="A2661" s="5"/>
      <c r="B2661" s="6"/>
      <c r="C2661" s="4"/>
      <c r="D2661" s="4"/>
      <c r="E2661" s="12"/>
      <c r="F2661" s="12"/>
      <c r="G2661" s="16"/>
      <c r="H2661" s="14"/>
      <c r="I2661" s="14"/>
      <c r="J2661" s="14"/>
      <c r="K2661" s="14"/>
      <c r="L2661" s="14"/>
      <c r="M2661" s="14"/>
      <c r="N2661" s="14"/>
      <c r="O2661" s="4"/>
      <c r="P2661" s="14"/>
      <c r="Q2661" s="14"/>
    </row>
    <row r="2662" spans="1:17" x14ac:dyDescent="0.25">
      <c r="A2662" s="5"/>
      <c r="B2662" s="6"/>
      <c r="C2662" s="4"/>
      <c r="D2662" s="4"/>
      <c r="E2662" s="12"/>
      <c r="F2662" s="12"/>
      <c r="G2662" s="16"/>
      <c r="H2662" s="14"/>
      <c r="I2662" s="14"/>
      <c r="J2662" s="14"/>
      <c r="K2662" s="14"/>
      <c r="L2662" s="14"/>
      <c r="M2662" s="14"/>
      <c r="N2662" s="14"/>
      <c r="O2662" s="4"/>
      <c r="P2662" s="14"/>
      <c r="Q2662" s="14"/>
    </row>
    <row r="2663" spans="1:17" x14ac:dyDescent="0.25">
      <c r="A2663" s="5"/>
      <c r="B2663" s="6"/>
      <c r="C2663" s="4"/>
      <c r="D2663" s="4"/>
      <c r="E2663" s="12"/>
      <c r="F2663" s="12"/>
      <c r="G2663" s="16"/>
      <c r="H2663" s="14"/>
      <c r="I2663" s="14"/>
      <c r="J2663" s="14"/>
      <c r="K2663" s="14"/>
      <c r="L2663" s="14"/>
      <c r="M2663" s="14"/>
      <c r="N2663" s="14"/>
      <c r="O2663" s="4"/>
      <c r="P2663" s="14"/>
      <c r="Q2663" s="14"/>
    </row>
    <row r="2664" spans="1:17" x14ac:dyDescent="0.25">
      <c r="A2664" s="5"/>
      <c r="B2664" s="6"/>
      <c r="C2664" s="4"/>
      <c r="D2664" s="4"/>
      <c r="E2664" s="12"/>
      <c r="F2664" s="12"/>
      <c r="G2664" s="16"/>
      <c r="H2664" s="14"/>
      <c r="I2664" s="14"/>
      <c r="J2664" s="14"/>
      <c r="K2664" s="14"/>
      <c r="L2664" s="14"/>
      <c r="M2664" s="14"/>
      <c r="N2664" s="14"/>
      <c r="O2664" s="4"/>
      <c r="P2664" s="14"/>
      <c r="Q2664" s="14"/>
    </row>
    <row r="2665" spans="1:17" x14ac:dyDescent="0.25">
      <c r="A2665" s="5"/>
      <c r="B2665" s="6"/>
      <c r="C2665" s="4"/>
      <c r="D2665" s="4"/>
      <c r="E2665" s="12"/>
      <c r="F2665" s="12"/>
      <c r="G2665" s="16"/>
      <c r="H2665" s="14"/>
      <c r="I2665" s="14"/>
      <c r="J2665" s="14"/>
      <c r="K2665" s="14"/>
      <c r="L2665" s="14"/>
      <c r="M2665" s="14"/>
      <c r="N2665" s="14"/>
      <c r="O2665" s="4"/>
      <c r="P2665" s="14"/>
      <c r="Q2665" s="14"/>
    </row>
    <row r="2666" spans="1:17" x14ac:dyDescent="0.25">
      <c r="A2666" s="5"/>
      <c r="B2666" s="6"/>
      <c r="C2666" s="4"/>
      <c r="D2666" s="4"/>
      <c r="E2666" s="12"/>
      <c r="F2666" s="12"/>
      <c r="G2666" s="16"/>
      <c r="H2666" s="14"/>
      <c r="I2666" s="14"/>
      <c r="J2666" s="14"/>
      <c r="K2666" s="14"/>
      <c r="L2666" s="14"/>
      <c r="M2666" s="14"/>
      <c r="N2666" s="14"/>
      <c r="O2666" s="4"/>
      <c r="P2666" s="14"/>
      <c r="Q2666" s="14"/>
    </row>
    <row r="2667" spans="1:17" x14ac:dyDescent="0.25">
      <c r="A2667" s="5"/>
      <c r="B2667" s="6"/>
      <c r="C2667" s="4"/>
      <c r="D2667" s="4"/>
      <c r="E2667" s="12"/>
      <c r="F2667" s="12"/>
      <c r="G2667" s="16"/>
      <c r="H2667" s="14"/>
      <c r="I2667" s="14"/>
      <c r="J2667" s="14"/>
      <c r="K2667" s="14"/>
      <c r="L2667" s="14"/>
      <c r="M2667" s="14"/>
      <c r="N2667" s="14"/>
      <c r="O2667" s="4"/>
      <c r="P2667" s="14"/>
      <c r="Q2667" s="14"/>
    </row>
    <row r="2668" spans="1:17" x14ac:dyDescent="0.25">
      <c r="A2668" s="5"/>
      <c r="B2668" s="6"/>
      <c r="C2668" s="4"/>
      <c r="D2668" s="4"/>
      <c r="E2668" s="12"/>
      <c r="F2668" s="12"/>
      <c r="G2668" s="16"/>
      <c r="H2668" s="14"/>
      <c r="I2668" s="14"/>
      <c r="J2668" s="14"/>
      <c r="K2668" s="14"/>
      <c r="L2668" s="14"/>
      <c r="M2668" s="14"/>
      <c r="N2668" s="14"/>
      <c r="O2668" s="4"/>
      <c r="P2668" s="14"/>
      <c r="Q2668" s="14"/>
    </row>
    <row r="2669" spans="1:17" x14ac:dyDescent="0.25">
      <c r="A2669" s="5"/>
      <c r="B2669" s="6"/>
      <c r="C2669" s="4"/>
      <c r="D2669" s="4"/>
      <c r="E2669" s="12"/>
      <c r="F2669" s="12"/>
      <c r="G2669" s="16"/>
      <c r="H2669" s="14"/>
      <c r="I2669" s="14"/>
      <c r="J2669" s="14"/>
      <c r="K2669" s="14"/>
      <c r="L2669" s="14"/>
      <c r="M2669" s="14"/>
      <c r="N2669" s="14"/>
      <c r="O2669" s="4"/>
      <c r="P2669" s="14"/>
      <c r="Q2669" s="14"/>
    </row>
    <row r="2670" spans="1:17" x14ac:dyDescent="0.25">
      <c r="A2670" s="5"/>
      <c r="B2670" s="6"/>
      <c r="C2670" s="4"/>
      <c r="D2670" s="4"/>
      <c r="E2670" s="12"/>
      <c r="F2670" s="12"/>
      <c r="G2670" s="16"/>
      <c r="H2670" s="14"/>
      <c r="I2670" s="14"/>
      <c r="J2670" s="14"/>
      <c r="K2670" s="14"/>
      <c r="L2670" s="14"/>
      <c r="M2670" s="14"/>
      <c r="N2670" s="14"/>
      <c r="O2670" s="4"/>
      <c r="P2670" s="14"/>
      <c r="Q2670" s="14"/>
    </row>
    <row r="2671" spans="1:17" x14ac:dyDescent="0.25">
      <c r="A2671" s="5"/>
      <c r="B2671" s="6"/>
      <c r="C2671" s="4"/>
      <c r="D2671" s="4"/>
      <c r="E2671" s="12"/>
      <c r="F2671" s="12"/>
      <c r="G2671" s="16"/>
      <c r="H2671" s="14"/>
      <c r="I2671" s="14"/>
      <c r="J2671" s="14"/>
      <c r="K2671" s="14"/>
      <c r="L2671" s="14"/>
      <c r="M2671" s="14"/>
      <c r="N2671" s="14"/>
      <c r="O2671" s="4"/>
      <c r="P2671" s="14"/>
      <c r="Q2671" s="14"/>
    </row>
    <row r="2672" spans="1:17" x14ac:dyDescent="0.25">
      <c r="A2672" s="5"/>
      <c r="B2672" s="6"/>
      <c r="C2672" s="4"/>
      <c r="D2672" s="4"/>
      <c r="E2672" s="12"/>
      <c r="F2672" s="12"/>
      <c r="G2672" s="16"/>
      <c r="H2672" s="14"/>
      <c r="I2672" s="14"/>
      <c r="J2672" s="14"/>
      <c r="K2672" s="14"/>
      <c r="L2672" s="14"/>
      <c r="M2672" s="14"/>
      <c r="N2672" s="14"/>
      <c r="O2672" s="4"/>
      <c r="P2672" s="14"/>
      <c r="Q2672" s="14"/>
    </row>
    <row r="2673" spans="1:17" x14ac:dyDescent="0.25">
      <c r="A2673" s="5"/>
      <c r="B2673" s="6"/>
      <c r="C2673" s="4"/>
      <c r="D2673" s="4"/>
      <c r="E2673" s="12"/>
      <c r="F2673" s="12"/>
      <c r="G2673" s="16"/>
      <c r="H2673" s="14"/>
      <c r="I2673" s="14"/>
      <c r="J2673" s="14"/>
      <c r="K2673" s="14"/>
      <c r="L2673" s="14"/>
      <c r="M2673" s="14"/>
      <c r="N2673" s="14"/>
      <c r="O2673" s="4"/>
      <c r="P2673" s="14"/>
      <c r="Q2673" s="14"/>
    </row>
    <row r="2674" spans="1:17" x14ac:dyDescent="0.25">
      <c r="A2674" s="5"/>
      <c r="B2674" s="6"/>
      <c r="C2674" s="4"/>
      <c r="D2674" s="4"/>
      <c r="E2674" s="12"/>
      <c r="F2674" s="12"/>
      <c r="G2674" s="16"/>
      <c r="H2674" s="14"/>
      <c r="I2674" s="14"/>
      <c r="J2674" s="14"/>
      <c r="K2674" s="14"/>
      <c r="L2674" s="14"/>
      <c r="M2674" s="14"/>
      <c r="N2674" s="14"/>
      <c r="O2674" s="4"/>
      <c r="P2674" s="14"/>
      <c r="Q2674" s="14"/>
    </row>
    <row r="2675" spans="1:17" x14ac:dyDescent="0.25">
      <c r="A2675" s="5"/>
      <c r="B2675" s="6"/>
      <c r="C2675" s="4"/>
      <c r="D2675" s="4"/>
      <c r="E2675" s="12"/>
      <c r="F2675" s="12"/>
      <c r="G2675" s="16"/>
      <c r="H2675" s="14"/>
      <c r="I2675" s="14"/>
      <c r="J2675" s="14"/>
      <c r="K2675" s="14"/>
      <c r="L2675" s="14"/>
      <c r="M2675" s="14"/>
      <c r="N2675" s="14"/>
      <c r="O2675" s="4"/>
      <c r="P2675" s="14"/>
      <c r="Q2675" s="14"/>
    </row>
    <row r="2676" spans="1:17" x14ac:dyDescent="0.25">
      <c r="A2676" s="5"/>
      <c r="B2676" s="6"/>
      <c r="C2676" s="4"/>
      <c r="D2676" s="4"/>
      <c r="E2676" s="12"/>
      <c r="F2676" s="12"/>
      <c r="G2676" s="16"/>
      <c r="H2676" s="14"/>
      <c r="I2676" s="14"/>
      <c r="J2676" s="14"/>
      <c r="K2676" s="14"/>
      <c r="L2676" s="14"/>
      <c r="M2676" s="14"/>
      <c r="N2676" s="14"/>
      <c r="O2676" s="4"/>
      <c r="P2676" s="14"/>
      <c r="Q2676" s="14"/>
    </row>
    <row r="2677" spans="1:17" x14ac:dyDescent="0.25">
      <c r="A2677" s="5"/>
      <c r="B2677" s="6"/>
      <c r="C2677" s="4"/>
      <c r="D2677" s="4"/>
      <c r="E2677" s="12"/>
      <c r="F2677" s="12"/>
      <c r="G2677" s="16"/>
      <c r="H2677" s="14"/>
      <c r="I2677" s="14"/>
      <c r="J2677" s="14"/>
      <c r="K2677" s="14"/>
      <c r="L2677" s="14"/>
      <c r="M2677" s="14"/>
      <c r="N2677" s="14"/>
      <c r="O2677" s="4"/>
      <c r="P2677" s="14"/>
      <c r="Q2677" s="14"/>
    </row>
    <row r="2678" spans="1:17" x14ac:dyDescent="0.25">
      <c r="A2678" s="5"/>
      <c r="B2678" s="6"/>
      <c r="C2678" s="4"/>
      <c r="D2678" s="4"/>
      <c r="E2678" s="12"/>
      <c r="F2678" s="12"/>
      <c r="G2678" s="16"/>
      <c r="H2678" s="14"/>
      <c r="I2678" s="14"/>
      <c r="J2678" s="14"/>
      <c r="K2678" s="14"/>
      <c r="L2678" s="14"/>
      <c r="M2678" s="14"/>
      <c r="N2678" s="14"/>
      <c r="O2678" s="4"/>
      <c r="P2678" s="14"/>
      <c r="Q2678" s="14"/>
    </row>
    <row r="2679" spans="1:17" x14ac:dyDescent="0.25">
      <c r="A2679" s="5"/>
      <c r="B2679" s="6"/>
      <c r="C2679" s="4"/>
      <c r="D2679" s="4"/>
      <c r="E2679" s="12"/>
      <c r="F2679" s="12"/>
      <c r="G2679" s="16"/>
      <c r="H2679" s="14"/>
      <c r="I2679" s="14"/>
      <c r="J2679" s="14"/>
      <c r="K2679" s="14"/>
      <c r="L2679" s="14"/>
      <c r="M2679" s="14"/>
      <c r="N2679" s="14"/>
      <c r="O2679" s="4"/>
      <c r="P2679" s="14"/>
      <c r="Q2679" s="14"/>
    </row>
    <row r="2680" spans="1:17" x14ac:dyDescent="0.25">
      <c r="A2680" s="5"/>
      <c r="B2680" s="6"/>
      <c r="C2680" s="4"/>
      <c r="D2680" s="4"/>
      <c r="E2680" s="12"/>
      <c r="F2680" s="12"/>
      <c r="G2680" s="16"/>
      <c r="H2680" s="14"/>
      <c r="I2680" s="14"/>
      <c r="J2680" s="14"/>
      <c r="K2680" s="14"/>
      <c r="L2680" s="14"/>
      <c r="M2680" s="14"/>
      <c r="N2680" s="14"/>
      <c r="O2680" s="4"/>
      <c r="P2680" s="14"/>
      <c r="Q2680" s="14"/>
    </row>
    <row r="2681" spans="1:17" x14ac:dyDescent="0.25">
      <c r="A2681" s="5"/>
      <c r="B2681" s="6"/>
      <c r="C2681" s="4"/>
      <c r="D2681" s="4"/>
      <c r="E2681" s="12"/>
      <c r="F2681" s="12"/>
      <c r="G2681" s="16"/>
      <c r="H2681" s="14"/>
      <c r="I2681" s="14"/>
      <c r="J2681" s="14"/>
      <c r="K2681" s="14"/>
      <c r="L2681" s="14"/>
      <c r="M2681" s="14"/>
      <c r="N2681" s="14"/>
      <c r="O2681" s="4"/>
      <c r="P2681" s="14"/>
      <c r="Q2681" s="14"/>
    </row>
    <row r="2682" spans="1:17" x14ac:dyDescent="0.25">
      <c r="A2682" s="5"/>
      <c r="B2682" s="6"/>
      <c r="C2682" s="4"/>
      <c r="D2682" s="4"/>
      <c r="E2682" s="12"/>
      <c r="F2682" s="12"/>
      <c r="G2682" s="16"/>
      <c r="H2682" s="14"/>
      <c r="I2682" s="14"/>
      <c r="J2682" s="14"/>
      <c r="K2682" s="14"/>
      <c r="L2682" s="14"/>
      <c r="M2682" s="14"/>
      <c r="N2682" s="14"/>
      <c r="O2682" s="4"/>
      <c r="P2682" s="14"/>
      <c r="Q2682" s="14"/>
    </row>
    <row r="2683" spans="1:17" x14ac:dyDescent="0.25">
      <c r="A2683" s="5"/>
      <c r="B2683" s="6"/>
      <c r="C2683" s="4"/>
      <c r="D2683" s="4"/>
      <c r="E2683" s="12"/>
      <c r="F2683" s="12"/>
      <c r="G2683" s="16"/>
      <c r="H2683" s="14"/>
      <c r="I2683" s="14"/>
      <c r="J2683" s="14"/>
      <c r="K2683" s="14"/>
      <c r="L2683" s="14"/>
      <c r="M2683" s="14"/>
      <c r="N2683" s="14"/>
      <c r="O2683" s="4"/>
      <c r="P2683" s="14"/>
      <c r="Q2683" s="14"/>
    </row>
    <row r="2684" spans="1:17" x14ac:dyDescent="0.25">
      <c r="A2684" s="5"/>
      <c r="B2684" s="6"/>
      <c r="C2684" s="4"/>
      <c r="D2684" s="4"/>
      <c r="E2684" s="12"/>
      <c r="F2684" s="12"/>
      <c r="G2684" s="16"/>
      <c r="H2684" s="14"/>
      <c r="I2684" s="14"/>
      <c r="J2684" s="14"/>
      <c r="K2684" s="14"/>
      <c r="L2684" s="14"/>
      <c r="M2684" s="14"/>
      <c r="N2684" s="14"/>
      <c r="O2684" s="4"/>
      <c r="P2684" s="14"/>
      <c r="Q2684" s="14"/>
    </row>
    <row r="2685" spans="1:17" x14ac:dyDescent="0.25">
      <c r="A2685" s="5"/>
      <c r="B2685" s="6"/>
      <c r="C2685" s="4"/>
      <c r="D2685" s="4"/>
      <c r="E2685" s="12"/>
      <c r="F2685" s="12"/>
      <c r="G2685" s="16"/>
      <c r="H2685" s="14"/>
      <c r="I2685" s="14"/>
      <c r="J2685" s="14"/>
      <c r="K2685" s="14"/>
      <c r="L2685" s="14"/>
      <c r="M2685" s="14"/>
      <c r="N2685" s="14"/>
      <c r="O2685" s="4"/>
      <c r="P2685" s="14"/>
      <c r="Q2685" s="14"/>
    </row>
    <row r="2686" spans="1:17" x14ac:dyDescent="0.25">
      <c r="A2686" s="5"/>
      <c r="B2686" s="6"/>
      <c r="C2686" s="4"/>
      <c r="D2686" s="4"/>
      <c r="E2686" s="12"/>
      <c r="F2686" s="12"/>
      <c r="G2686" s="16"/>
      <c r="H2686" s="14"/>
      <c r="I2686" s="14"/>
      <c r="J2686" s="14"/>
      <c r="K2686" s="14"/>
      <c r="L2686" s="14"/>
      <c r="M2686" s="14"/>
      <c r="N2686" s="14"/>
      <c r="O2686" s="4"/>
      <c r="P2686" s="14"/>
      <c r="Q2686" s="14"/>
    </row>
    <row r="2687" spans="1:17" x14ac:dyDescent="0.25">
      <c r="A2687" s="5"/>
      <c r="B2687" s="6"/>
      <c r="C2687" s="4"/>
      <c r="D2687" s="4"/>
      <c r="E2687" s="12"/>
      <c r="F2687" s="12"/>
      <c r="G2687" s="16"/>
      <c r="H2687" s="14"/>
      <c r="I2687" s="14"/>
      <c r="J2687" s="14"/>
      <c r="K2687" s="14"/>
      <c r="L2687" s="14"/>
      <c r="M2687" s="14"/>
      <c r="N2687" s="14"/>
      <c r="O2687" s="4"/>
      <c r="P2687" s="14"/>
      <c r="Q2687" s="14"/>
    </row>
    <row r="2688" spans="1:17" x14ac:dyDescent="0.25">
      <c r="A2688" s="5"/>
      <c r="B2688" s="6"/>
      <c r="C2688" s="4"/>
      <c r="D2688" s="4"/>
      <c r="E2688" s="12"/>
      <c r="F2688" s="12"/>
      <c r="G2688" s="16"/>
      <c r="H2688" s="14"/>
      <c r="I2688" s="14"/>
      <c r="J2688" s="14"/>
      <c r="K2688" s="14"/>
      <c r="L2688" s="14"/>
      <c r="M2688" s="14"/>
      <c r="N2688" s="14"/>
      <c r="O2688" s="4"/>
      <c r="P2688" s="14"/>
      <c r="Q2688" s="14"/>
    </row>
    <row r="2689" spans="1:17" x14ac:dyDescent="0.25">
      <c r="A2689" s="5"/>
      <c r="B2689" s="6"/>
      <c r="C2689" s="4"/>
      <c r="D2689" s="4"/>
      <c r="E2689" s="12"/>
      <c r="F2689" s="12"/>
      <c r="G2689" s="16"/>
      <c r="H2689" s="14"/>
      <c r="I2689" s="14"/>
      <c r="J2689" s="14"/>
      <c r="K2689" s="14"/>
      <c r="L2689" s="14"/>
      <c r="M2689" s="14"/>
      <c r="N2689" s="14"/>
      <c r="O2689" s="4"/>
      <c r="P2689" s="14"/>
      <c r="Q2689" s="14"/>
    </row>
    <row r="2690" spans="1:17" x14ac:dyDescent="0.25">
      <c r="A2690" s="5"/>
      <c r="B2690" s="6"/>
      <c r="C2690" s="4"/>
      <c r="D2690" s="4"/>
      <c r="E2690" s="12"/>
      <c r="F2690" s="12"/>
      <c r="G2690" s="16"/>
      <c r="H2690" s="14"/>
      <c r="I2690" s="14"/>
      <c r="J2690" s="14"/>
      <c r="K2690" s="14"/>
      <c r="L2690" s="14"/>
      <c r="M2690" s="14"/>
      <c r="N2690" s="14"/>
      <c r="O2690" s="4"/>
      <c r="P2690" s="14"/>
      <c r="Q2690" s="14"/>
    </row>
    <row r="2691" spans="1:17" x14ac:dyDescent="0.25">
      <c r="A2691" s="5"/>
      <c r="B2691" s="6"/>
      <c r="C2691" s="4"/>
      <c r="D2691" s="4"/>
      <c r="E2691" s="12"/>
      <c r="F2691" s="12"/>
      <c r="G2691" s="16"/>
      <c r="H2691" s="14"/>
      <c r="I2691" s="14"/>
      <c r="J2691" s="14"/>
      <c r="K2691" s="14"/>
      <c r="L2691" s="14"/>
      <c r="M2691" s="14"/>
      <c r="N2691" s="14"/>
      <c r="O2691" s="4"/>
      <c r="P2691" s="14"/>
      <c r="Q2691" s="14"/>
    </row>
    <row r="2692" spans="1:17" x14ac:dyDescent="0.25">
      <c r="A2692" s="5"/>
      <c r="B2692" s="6"/>
      <c r="C2692" s="4"/>
      <c r="D2692" s="4"/>
      <c r="E2692" s="12"/>
      <c r="F2692" s="12"/>
      <c r="G2692" s="16"/>
      <c r="H2692" s="14"/>
      <c r="I2692" s="14"/>
      <c r="J2692" s="14"/>
      <c r="K2692" s="14"/>
      <c r="L2692" s="14"/>
      <c r="M2692" s="14"/>
      <c r="N2692" s="14"/>
      <c r="O2692" s="4"/>
      <c r="P2692" s="14"/>
      <c r="Q2692" s="14"/>
    </row>
    <row r="2693" spans="1:17" x14ac:dyDescent="0.25">
      <c r="A2693" s="5"/>
      <c r="B2693" s="6"/>
      <c r="C2693" s="4"/>
      <c r="D2693" s="4"/>
      <c r="E2693" s="12"/>
      <c r="F2693" s="12"/>
      <c r="G2693" s="16"/>
      <c r="H2693" s="14"/>
      <c r="I2693" s="14"/>
      <c r="J2693" s="14"/>
      <c r="K2693" s="14"/>
      <c r="L2693" s="14"/>
      <c r="M2693" s="14"/>
      <c r="N2693" s="14"/>
      <c r="O2693" s="4"/>
      <c r="P2693" s="14"/>
      <c r="Q2693" s="14"/>
    </row>
    <row r="2694" spans="1:17" x14ac:dyDescent="0.25">
      <c r="A2694" s="5"/>
      <c r="B2694" s="6"/>
      <c r="C2694" s="4"/>
      <c r="D2694" s="4"/>
      <c r="E2694" s="12"/>
      <c r="F2694" s="12"/>
      <c r="G2694" s="16"/>
      <c r="H2694" s="14"/>
      <c r="I2694" s="14"/>
      <c r="J2694" s="14"/>
      <c r="K2694" s="14"/>
      <c r="L2694" s="14"/>
      <c r="M2694" s="14"/>
      <c r="N2694" s="14"/>
      <c r="O2694" s="4"/>
      <c r="P2694" s="14"/>
      <c r="Q2694" s="14"/>
    </row>
    <row r="2695" spans="1:17" x14ac:dyDescent="0.25">
      <c r="A2695" s="5"/>
      <c r="B2695" s="6"/>
      <c r="C2695" s="4"/>
      <c r="D2695" s="4"/>
      <c r="E2695" s="12"/>
      <c r="F2695" s="12"/>
      <c r="G2695" s="16"/>
      <c r="H2695" s="14"/>
      <c r="I2695" s="14"/>
      <c r="J2695" s="14"/>
      <c r="K2695" s="14"/>
      <c r="L2695" s="14"/>
      <c r="M2695" s="14"/>
      <c r="N2695" s="14"/>
      <c r="O2695" s="4"/>
      <c r="P2695" s="14"/>
      <c r="Q2695" s="14"/>
    </row>
    <row r="2696" spans="1:17" x14ac:dyDescent="0.25">
      <c r="A2696" s="5"/>
      <c r="B2696" s="6"/>
      <c r="C2696" s="4"/>
      <c r="D2696" s="4"/>
      <c r="E2696" s="12"/>
      <c r="F2696" s="12"/>
      <c r="G2696" s="16"/>
      <c r="H2696" s="14"/>
      <c r="I2696" s="14"/>
      <c r="J2696" s="14"/>
      <c r="K2696" s="14"/>
      <c r="L2696" s="14"/>
      <c r="M2696" s="14"/>
      <c r="N2696" s="14"/>
      <c r="O2696" s="4"/>
      <c r="P2696" s="14"/>
      <c r="Q2696" s="14"/>
    </row>
    <row r="2697" spans="1:17" x14ac:dyDescent="0.25">
      <c r="A2697" s="5"/>
      <c r="B2697" s="6"/>
      <c r="C2697" s="4"/>
      <c r="D2697" s="4"/>
      <c r="E2697" s="12"/>
      <c r="F2697" s="12"/>
      <c r="G2697" s="16"/>
      <c r="H2697" s="14"/>
      <c r="I2697" s="14"/>
      <c r="J2697" s="14"/>
      <c r="K2697" s="14"/>
      <c r="L2697" s="14"/>
      <c r="M2697" s="14"/>
      <c r="N2697" s="14"/>
      <c r="O2697" s="4"/>
      <c r="P2697" s="14"/>
      <c r="Q2697" s="14"/>
    </row>
    <row r="2698" spans="1:17" x14ac:dyDescent="0.25">
      <c r="A2698" s="5"/>
      <c r="B2698" s="6"/>
      <c r="C2698" s="4"/>
      <c r="D2698" s="4"/>
      <c r="E2698" s="12"/>
      <c r="F2698" s="12"/>
      <c r="G2698" s="16"/>
      <c r="H2698" s="14"/>
      <c r="I2698" s="14"/>
      <c r="J2698" s="14"/>
      <c r="K2698" s="14"/>
      <c r="L2698" s="14"/>
      <c r="M2698" s="14"/>
      <c r="N2698" s="14"/>
      <c r="O2698" s="4"/>
      <c r="P2698" s="14"/>
      <c r="Q2698" s="14"/>
    </row>
    <row r="2699" spans="1:17" x14ac:dyDescent="0.25">
      <c r="A2699" s="5"/>
      <c r="B2699" s="6"/>
      <c r="C2699" s="4"/>
      <c r="D2699" s="4"/>
      <c r="E2699" s="12"/>
      <c r="F2699" s="12"/>
      <c r="G2699" s="16"/>
      <c r="H2699" s="14"/>
      <c r="I2699" s="14"/>
      <c r="J2699" s="14"/>
      <c r="K2699" s="14"/>
      <c r="L2699" s="14"/>
      <c r="M2699" s="14"/>
      <c r="N2699" s="14"/>
      <c r="O2699" s="4"/>
      <c r="P2699" s="14"/>
      <c r="Q2699" s="14"/>
    </row>
    <row r="2700" spans="1:17" x14ac:dyDescent="0.25">
      <c r="A2700" s="5"/>
      <c r="B2700" s="6"/>
      <c r="C2700" s="4"/>
      <c r="D2700" s="4"/>
      <c r="E2700" s="12"/>
      <c r="F2700" s="12"/>
      <c r="G2700" s="16"/>
      <c r="H2700" s="14"/>
      <c r="I2700" s="14"/>
      <c r="J2700" s="14"/>
      <c r="K2700" s="14"/>
      <c r="L2700" s="14"/>
      <c r="M2700" s="14"/>
      <c r="N2700" s="14"/>
      <c r="O2700" s="4"/>
      <c r="P2700" s="14"/>
      <c r="Q2700" s="14"/>
    </row>
    <row r="2701" spans="1:17" x14ac:dyDescent="0.25">
      <c r="A2701" s="5"/>
      <c r="B2701" s="6"/>
      <c r="C2701" s="4"/>
      <c r="D2701" s="4"/>
      <c r="E2701" s="12"/>
      <c r="F2701" s="12"/>
      <c r="G2701" s="16"/>
      <c r="H2701" s="14"/>
      <c r="I2701" s="14"/>
      <c r="J2701" s="14"/>
      <c r="K2701" s="14"/>
      <c r="L2701" s="14"/>
      <c r="M2701" s="14"/>
      <c r="N2701" s="14"/>
      <c r="O2701" s="4"/>
      <c r="P2701" s="14"/>
      <c r="Q2701" s="14"/>
    </row>
    <row r="2702" spans="1:17" x14ac:dyDescent="0.25">
      <c r="A2702" s="5"/>
      <c r="B2702" s="6"/>
      <c r="C2702" s="4"/>
      <c r="D2702" s="4"/>
      <c r="E2702" s="12"/>
      <c r="F2702" s="12"/>
      <c r="G2702" s="16"/>
      <c r="H2702" s="14"/>
      <c r="I2702" s="14"/>
      <c r="J2702" s="14"/>
      <c r="K2702" s="14"/>
      <c r="L2702" s="14"/>
      <c r="M2702" s="14"/>
      <c r="N2702" s="14"/>
      <c r="O2702" s="4"/>
      <c r="P2702" s="14"/>
      <c r="Q2702" s="14"/>
    </row>
    <row r="2703" spans="1:17" x14ac:dyDescent="0.25">
      <c r="A2703" s="5"/>
      <c r="B2703" s="6"/>
      <c r="C2703" s="4"/>
      <c r="D2703" s="4"/>
      <c r="E2703" s="12"/>
      <c r="F2703" s="12"/>
      <c r="G2703" s="16"/>
      <c r="H2703" s="14"/>
      <c r="I2703" s="14"/>
      <c r="J2703" s="14"/>
      <c r="K2703" s="14"/>
      <c r="L2703" s="14"/>
      <c r="M2703" s="14"/>
      <c r="N2703" s="14"/>
      <c r="O2703" s="4"/>
      <c r="P2703" s="14"/>
      <c r="Q2703" s="14"/>
    </row>
    <row r="2704" spans="1:17" x14ac:dyDescent="0.25">
      <c r="A2704" s="5"/>
      <c r="B2704" s="6"/>
      <c r="C2704" s="4"/>
      <c r="D2704" s="4"/>
      <c r="E2704" s="12"/>
      <c r="F2704" s="12"/>
      <c r="G2704" s="16"/>
      <c r="H2704" s="14"/>
      <c r="I2704" s="14"/>
      <c r="J2704" s="14"/>
      <c r="K2704" s="14"/>
      <c r="L2704" s="14"/>
      <c r="M2704" s="14"/>
      <c r="N2704" s="14"/>
      <c r="O2704" s="4"/>
      <c r="P2704" s="14"/>
      <c r="Q2704" s="14"/>
    </row>
    <row r="2705" spans="1:17" x14ac:dyDescent="0.25">
      <c r="A2705" s="5"/>
      <c r="B2705" s="6"/>
      <c r="C2705" s="4"/>
      <c r="D2705" s="4"/>
      <c r="E2705" s="12"/>
      <c r="F2705" s="12"/>
      <c r="G2705" s="16"/>
      <c r="H2705" s="14"/>
      <c r="I2705" s="14"/>
      <c r="J2705" s="14"/>
      <c r="K2705" s="14"/>
      <c r="L2705" s="14"/>
      <c r="M2705" s="14"/>
      <c r="N2705" s="14"/>
      <c r="O2705" s="4"/>
      <c r="P2705" s="14"/>
      <c r="Q2705" s="14"/>
    </row>
    <row r="2706" spans="1:17" x14ac:dyDescent="0.25">
      <c r="A2706" s="5"/>
      <c r="B2706" s="6"/>
      <c r="C2706" s="4"/>
      <c r="D2706" s="4"/>
      <c r="E2706" s="12"/>
      <c r="F2706" s="12"/>
      <c r="G2706" s="16"/>
      <c r="H2706" s="14"/>
      <c r="I2706" s="14"/>
      <c r="J2706" s="14"/>
      <c r="K2706" s="14"/>
      <c r="L2706" s="14"/>
      <c r="M2706" s="14"/>
      <c r="N2706" s="14"/>
      <c r="O2706" s="4"/>
      <c r="P2706" s="14"/>
      <c r="Q2706" s="14"/>
    </row>
    <row r="2707" spans="1:17" x14ac:dyDescent="0.25">
      <c r="A2707" s="5"/>
      <c r="B2707" s="6"/>
      <c r="C2707" s="4"/>
      <c r="D2707" s="4"/>
      <c r="E2707" s="12"/>
      <c r="F2707" s="12"/>
      <c r="G2707" s="16"/>
      <c r="H2707" s="14"/>
      <c r="I2707" s="14"/>
      <c r="J2707" s="14"/>
      <c r="K2707" s="14"/>
      <c r="L2707" s="14"/>
      <c r="M2707" s="14"/>
      <c r="N2707" s="14"/>
      <c r="O2707" s="4"/>
      <c r="P2707" s="14"/>
      <c r="Q2707" s="14"/>
    </row>
    <row r="2708" spans="1:17" x14ac:dyDescent="0.25">
      <c r="A2708" s="5"/>
      <c r="B2708" s="6"/>
      <c r="C2708" s="4"/>
      <c r="D2708" s="4"/>
      <c r="E2708" s="12"/>
      <c r="F2708" s="12"/>
      <c r="G2708" s="16"/>
      <c r="H2708" s="14"/>
      <c r="I2708" s="14"/>
      <c r="J2708" s="14"/>
      <c r="K2708" s="14"/>
      <c r="L2708" s="14"/>
      <c r="M2708" s="14"/>
      <c r="N2708" s="14"/>
      <c r="O2708" s="4"/>
      <c r="P2708" s="14"/>
      <c r="Q2708" s="14"/>
    </row>
    <row r="2709" spans="1:17" x14ac:dyDescent="0.25">
      <c r="A2709" s="5"/>
      <c r="B2709" s="6"/>
      <c r="C2709" s="4"/>
      <c r="D2709" s="4"/>
      <c r="E2709" s="12"/>
      <c r="F2709" s="12"/>
      <c r="G2709" s="16"/>
      <c r="H2709" s="14"/>
      <c r="I2709" s="14"/>
      <c r="J2709" s="14"/>
      <c r="K2709" s="14"/>
      <c r="L2709" s="14"/>
      <c r="M2709" s="14"/>
      <c r="N2709" s="14"/>
      <c r="O2709" s="4"/>
      <c r="P2709" s="14"/>
      <c r="Q2709" s="14"/>
    </row>
    <row r="2710" spans="1:17" x14ac:dyDescent="0.25">
      <c r="A2710" s="5"/>
      <c r="B2710" s="6"/>
      <c r="C2710" s="4"/>
      <c r="D2710" s="4"/>
      <c r="E2710" s="12"/>
      <c r="F2710" s="12"/>
      <c r="G2710" s="16"/>
      <c r="H2710" s="14"/>
      <c r="I2710" s="14"/>
      <c r="J2710" s="14"/>
      <c r="K2710" s="14"/>
      <c r="L2710" s="14"/>
      <c r="M2710" s="14"/>
      <c r="N2710" s="14"/>
      <c r="O2710" s="4"/>
      <c r="P2710" s="14"/>
      <c r="Q2710" s="14"/>
    </row>
    <row r="2711" spans="1:17" x14ac:dyDescent="0.25">
      <c r="A2711" s="5"/>
      <c r="B2711" s="6"/>
      <c r="C2711" s="4"/>
      <c r="D2711" s="4"/>
      <c r="E2711" s="12"/>
      <c r="F2711" s="12"/>
      <c r="G2711" s="16"/>
      <c r="H2711" s="14"/>
      <c r="I2711" s="14"/>
      <c r="J2711" s="14"/>
      <c r="K2711" s="14"/>
      <c r="L2711" s="14"/>
      <c r="M2711" s="14"/>
      <c r="N2711" s="14"/>
      <c r="O2711" s="4"/>
      <c r="P2711" s="14"/>
      <c r="Q2711" s="14"/>
    </row>
    <row r="2712" spans="1:17" x14ac:dyDescent="0.25">
      <c r="A2712" s="5"/>
      <c r="B2712" s="6"/>
      <c r="C2712" s="4"/>
      <c r="D2712" s="4"/>
      <c r="E2712" s="12"/>
      <c r="F2712" s="12"/>
      <c r="G2712" s="16"/>
      <c r="H2712" s="14"/>
      <c r="I2712" s="14"/>
      <c r="J2712" s="14"/>
      <c r="K2712" s="14"/>
      <c r="L2712" s="14"/>
      <c r="M2712" s="14"/>
      <c r="N2712" s="14"/>
      <c r="O2712" s="4"/>
      <c r="P2712" s="14"/>
      <c r="Q2712" s="14"/>
    </row>
    <row r="2713" spans="1:17" x14ac:dyDescent="0.25">
      <c r="A2713" s="5"/>
      <c r="B2713" s="6"/>
      <c r="C2713" s="4"/>
      <c r="D2713" s="4"/>
      <c r="E2713" s="12"/>
      <c r="F2713" s="12"/>
      <c r="G2713" s="16"/>
      <c r="H2713" s="14"/>
      <c r="I2713" s="14"/>
      <c r="J2713" s="14"/>
      <c r="K2713" s="14"/>
      <c r="L2713" s="14"/>
      <c r="M2713" s="14"/>
      <c r="N2713" s="14"/>
      <c r="O2713" s="4"/>
      <c r="P2713" s="14"/>
      <c r="Q2713" s="14"/>
    </row>
    <row r="2714" spans="1:17" x14ac:dyDescent="0.25">
      <c r="A2714" s="5"/>
      <c r="B2714" s="6"/>
      <c r="C2714" s="4"/>
      <c r="D2714" s="4"/>
      <c r="E2714" s="12"/>
      <c r="F2714" s="12"/>
      <c r="G2714" s="16"/>
      <c r="H2714" s="14"/>
      <c r="I2714" s="14"/>
      <c r="J2714" s="14"/>
      <c r="K2714" s="14"/>
      <c r="L2714" s="14"/>
      <c r="M2714" s="14"/>
      <c r="N2714" s="14"/>
      <c r="O2714" s="4"/>
      <c r="P2714" s="14"/>
      <c r="Q2714" s="14"/>
    </row>
    <row r="2715" spans="1:17" x14ac:dyDescent="0.25">
      <c r="A2715" s="5"/>
      <c r="B2715" s="6"/>
      <c r="C2715" s="4"/>
      <c r="D2715" s="4"/>
      <c r="E2715" s="12"/>
      <c r="F2715" s="12"/>
      <c r="G2715" s="16"/>
      <c r="H2715" s="14"/>
      <c r="I2715" s="14"/>
      <c r="J2715" s="14"/>
      <c r="K2715" s="14"/>
      <c r="L2715" s="14"/>
      <c r="M2715" s="14"/>
      <c r="N2715" s="14"/>
      <c r="O2715" s="4"/>
      <c r="P2715" s="14"/>
      <c r="Q2715" s="14"/>
    </row>
    <row r="2716" spans="1:17" x14ac:dyDescent="0.25">
      <c r="A2716" s="5"/>
      <c r="B2716" s="6"/>
      <c r="C2716" s="4"/>
      <c r="D2716" s="4"/>
      <c r="E2716" s="12"/>
      <c r="F2716" s="12"/>
      <c r="G2716" s="16"/>
      <c r="H2716" s="14"/>
      <c r="I2716" s="14"/>
      <c r="J2716" s="14"/>
      <c r="K2716" s="14"/>
      <c r="L2716" s="14"/>
      <c r="M2716" s="14"/>
      <c r="N2716" s="14"/>
      <c r="O2716" s="4"/>
      <c r="P2716" s="14"/>
      <c r="Q2716" s="14"/>
    </row>
    <row r="2717" spans="1:17" x14ac:dyDescent="0.25">
      <c r="A2717" s="5"/>
      <c r="B2717" s="6"/>
      <c r="C2717" s="4"/>
      <c r="D2717" s="4"/>
      <c r="E2717" s="12"/>
      <c r="F2717" s="12"/>
      <c r="G2717" s="16"/>
      <c r="H2717" s="14"/>
      <c r="I2717" s="14"/>
      <c r="J2717" s="14"/>
      <c r="K2717" s="14"/>
      <c r="L2717" s="14"/>
      <c r="M2717" s="14"/>
      <c r="N2717" s="14"/>
      <c r="O2717" s="4"/>
      <c r="P2717" s="14"/>
      <c r="Q2717" s="14"/>
    </row>
    <row r="2718" spans="1:17" x14ac:dyDescent="0.25">
      <c r="A2718" s="5"/>
      <c r="B2718" s="6"/>
      <c r="C2718" s="4"/>
      <c r="D2718" s="4"/>
      <c r="E2718" s="12"/>
      <c r="F2718" s="12"/>
      <c r="G2718" s="16"/>
      <c r="H2718" s="14"/>
      <c r="I2718" s="14"/>
      <c r="J2718" s="14"/>
      <c r="K2718" s="14"/>
      <c r="L2718" s="14"/>
      <c r="M2718" s="14"/>
      <c r="N2718" s="14"/>
      <c r="O2718" s="4"/>
      <c r="P2718" s="14"/>
      <c r="Q2718" s="14"/>
    </row>
    <row r="2719" spans="1:17" x14ac:dyDescent="0.25">
      <c r="A2719" s="5"/>
      <c r="B2719" s="6"/>
      <c r="C2719" s="4"/>
      <c r="D2719" s="4"/>
      <c r="E2719" s="12"/>
      <c r="F2719" s="12"/>
      <c r="G2719" s="16"/>
      <c r="H2719" s="14"/>
      <c r="I2719" s="14"/>
      <c r="J2719" s="14"/>
      <c r="K2719" s="14"/>
      <c r="L2719" s="14"/>
      <c r="M2719" s="14"/>
      <c r="N2719" s="14"/>
      <c r="O2719" s="4"/>
      <c r="P2719" s="14"/>
      <c r="Q2719" s="14"/>
    </row>
    <row r="2720" spans="1:17" x14ac:dyDescent="0.25">
      <c r="A2720" s="5"/>
      <c r="B2720" s="6"/>
      <c r="C2720" s="4"/>
      <c r="D2720" s="4"/>
      <c r="E2720" s="12"/>
      <c r="F2720" s="12"/>
      <c r="G2720" s="16"/>
      <c r="H2720" s="14"/>
      <c r="I2720" s="14"/>
      <c r="J2720" s="14"/>
      <c r="K2720" s="14"/>
      <c r="L2720" s="14"/>
      <c r="M2720" s="14"/>
      <c r="N2720" s="14"/>
      <c r="O2720" s="4"/>
      <c r="P2720" s="14"/>
      <c r="Q2720" s="14"/>
    </row>
    <row r="2721" spans="1:17" x14ac:dyDescent="0.25">
      <c r="A2721" s="5"/>
      <c r="B2721" s="6"/>
      <c r="C2721" s="4"/>
      <c r="D2721" s="4"/>
      <c r="E2721" s="12"/>
      <c r="F2721" s="12"/>
      <c r="G2721" s="16"/>
      <c r="H2721" s="14"/>
      <c r="I2721" s="14"/>
      <c r="J2721" s="14"/>
      <c r="K2721" s="14"/>
      <c r="L2721" s="14"/>
      <c r="M2721" s="14"/>
      <c r="N2721" s="14"/>
      <c r="O2721" s="4"/>
      <c r="P2721" s="14"/>
      <c r="Q2721" s="14"/>
    </row>
    <row r="2722" spans="1:17" x14ac:dyDescent="0.25">
      <c r="A2722" s="5"/>
      <c r="B2722" s="6"/>
      <c r="C2722" s="4"/>
      <c r="D2722" s="4"/>
      <c r="E2722" s="12"/>
      <c r="F2722" s="12"/>
      <c r="G2722" s="16"/>
      <c r="H2722" s="14"/>
      <c r="I2722" s="14"/>
      <c r="J2722" s="14"/>
      <c r="K2722" s="14"/>
      <c r="L2722" s="14"/>
      <c r="M2722" s="14"/>
      <c r="N2722" s="14"/>
      <c r="O2722" s="4"/>
      <c r="P2722" s="14"/>
      <c r="Q2722" s="14"/>
    </row>
    <row r="2723" spans="1:17" x14ac:dyDescent="0.25">
      <c r="A2723" s="5"/>
      <c r="B2723" s="6"/>
      <c r="C2723" s="4"/>
      <c r="D2723" s="4"/>
      <c r="E2723" s="12"/>
      <c r="F2723" s="12"/>
      <c r="G2723" s="16"/>
      <c r="H2723" s="14"/>
      <c r="I2723" s="14"/>
      <c r="J2723" s="14"/>
      <c r="K2723" s="14"/>
      <c r="L2723" s="14"/>
      <c r="M2723" s="14"/>
      <c r="N2723" s="14"/>
      <c r="O2723" s="4"/>
      <c r="P2723" s="14"/>
      <c r="Q2723" s="14"/>
    </row>
    <row r="2724" spans="1:17" x14ac:dyDescent="0.25">
      <c r="A2724" s="5"/>
      <c r="B2724" s="6"/>
      <c r="C2724" s="4"/>
      <c r="D2724" s="4"/>
      <c r="E2724" s="12"/>
      <c r="F2724" s="12"/>
      <c r="G2724" s="16"/>
      <c r="H2724" s="14"/>
      <c r="I2724" s="14"/>
      <c r="J2724" s="14"/>
      <c r="K2724" s="14"/>
      <c r="L2724" s="14"/>
      <c r="M2724" s="14"/>
      <c r="N2724" s="14"/>
      <c r="O2724" s="4"/>
      <c r="P2724" s="14"/>
      <c r="Q2724" s="14"/>
    </row>
    <row r="2725" spans="1:17" x14ac:dyDescent="0.25">
      <c r="A2725" s="5"/>
      <c r="B2725" s="6"/>
      <c r="C2725" s="4"/>
      <c r="D2725" s="4"/>
      <c r="E2725" s="12"/>
      <c r="F2725" s="12"/>
      <c r="G2725" s="16"/>
      <c r="H2725" s="14"/>
      <c r="I2725" s="14"/>
      <c r="J2725" s="14"/>
      <c r="K2725" s="14"/>
      <c r="L2725" s="14"/>
      <c r="M2725" s="14"/>
      <c r="N2725" s="14"/>
      <c r="O2725" s="4"/>
      <c r="P2725" s="14"/>
      <c r="Q2725" s="14"/>
    </row>
    <row r="2726" spans="1:17" x14ac:dyDescent="0.25">
      <c r="A2726" s="5"/>
      <c r="B2726" s="6"/>
      <c r="C2726" s="4"/>
      <c r="D2726" s="4"/>
      <c r="E2726" s="12"/>
      <c r="F2726" s="12"/>
      <c r="G2726" s="16"/>
      <c r="H2726" s="14"/>
      <c r="I2726" s="14"/>
      <c r="J2726" s="14"/>
      <c r="K2726" s="14"/>
      <c r="L2726" s="14"/>
      <c r="M2726" s="14"/>
      <c r="N2726" s="14"/>
      <c r="O2726" s="4"/>
      <c r="P2726" s="14"/>
      <c r="Q2726" s="14"/>
    </row>
    <row r="2727" spans="1:17" x14ac:dyDescent="0.25">
      <c r="A2727" s="5"/>
      <c r="B2727" s="6"/>
      <c r="C2727" s="4"/>
      <c r="D2727" s="4"/>
      <c r="E2727" s="12"/>
      <c r="F2727" s="12"/>
      <c r="G2727" s="16"/>
      <c r="H2727" s="14"/>
      <c r="I2727" s="14"/>
      <c r="J2727" s="14"/>
      <c r="K2727" s="14"/>
      <c r="L2727" s="14"/>
      <c r="M2727" s="14"/>
      <c r="N2727" s="14"/>
      <c r="O2727" s="4"/>
      <c r="P2727" s="14"/>
      <c r="Q2727" s="14"/>
    </row>
    <row r="2728" spans="1:17" x14ac:dyDescent="0.25">
      <c r="A2728" s="5"/>
      <c r="B2728" s="6"/>
      <c r="C2728" s="4"/>
      <c r="D2728" s="4"/>
      <c r="E2728" s="12"/>
      <c r="F2728" s="12"/>
      <c r="G2728" s="16"/>
      <c r="H2728" s="14"/>
      <c r="I2728" s="14"/>
      <c r="J2728" s="14"/>
      <c r="K2728" s="14"/>
      <c r="L2728" s="14"/>
      <c r="M2728" s="14"/>
      <c r="N2728" s="14"/>
      <c r="O2728" s="4"/>
      <c r="P2728" s="14"/>
      <c r="Q2728" s="14"/>
    </row>
    <row r="2729" spans="1:17" x14ac:dyDescent="0.25">
      <c r="A2729" s="5"/>
      <c r="B2729" s="6"/>
      <c r="C2729" s="4"/>
      <c r="D2729" s="4"/>
      <c r="E2729" s="12"/>
      <c r="F2729" s="12"/>
      <c r="G2729" s="16"/>
      <c r="H2729" s="14"/>
      <c r="I2729" s="14"/>
      <c r="J2729" s="14"/>
      <c r="K2729" s="14"/>
      <c r="L2729" s="14"/>
      <c r="M2729" s="14"/>
      <c r="N2729" s="14"/>
      <c r="O2729" s="4"/>
      <c r="P2729" s="14"/>
      <c r="Q2729" s="14"/>
    </row>
    <row r="2730" spans="1:17" x14ac:dyDescent="0.25">
      <c r="A2730" s="5"/>
      <c r="B2730" s="6"/>
      <c r="C2730" s="4"/>
      <c r="D2730" s="4"/>
      <c r="E2730" s="12"/>
      <c r="F2730" s="12"/>
      <c r="G2730" s="16"/>
      <c r="H2730" s="14"/>
      <c r="I2730" s="14"/>
      <c r="J2730" s="14"/>
      <c r="K2730" s="14"/>
      <c r="L2730" s="14"/>
      <c r="M2730" s="14"/>
      <c r="N2730" s="14"/>
      <c r="O2730" s="4"/>
      <c r="P2730" s="14"/>
      <c r="Q2730" s="14"/>
    </row>
    <row r="2731" spans="1:17" x14ac:dyDescent="0.25">
      <c r="A2731" s="5"/>
      <c r="B2731" s="6"/>
      <c r="C2731" s="4"/>
      <c r="D2731" s="4"/>
      <c r="E2731" s="12"/>
      <c r="F2731" s="12"/>
      <c r="G2731" s="16"/>
      <c r="H2731" s="14"/>
      <c r="I2731" s="14"/>
      <c r="J2731" s="14"/>
      <c r="K2731" s="14"/>
      <c r="L2731" s="14"/>
      <c r="M2731" s="14"/>
      <c r="N2731" s="14"/>
      <c r="O2731" s="4"/>
      <c r="P2731" s="14"/>
      <c r="Q2731" s="14"/>
    </row>
    <row r="2732" spans="1:17" x14ac:dyDescent="0.25">
      <c r="A2732" s="5"/>
      <c r="B2732" s="6"/>
      <c r="C2732" s="4"/>
      <c r="D2732" s="4"/>
      <c r="E2732" s="12"/>
      <c r="F2732" s="12"/>
      <c r="G2732" s="16"/>
      <c r="H2732" s="14"/>
      <c r="I2732" s="14"/>
      <c r="J2732" s="14"/>
      <c r="K2732" s="14"/>
      <c r="L2732" s="14"/>
      <c r="M2732" s="14"/>
      <c r="N2732" s="14"/>
      <c r="O2732" s="4"/>
      <c r="P2732" s="14"/>
      <c r="Q2732" s="14"/>
    </row>
    <row r="2733" spans="1:17" x14ac:dyDescent="0.25">
      <c r="A2733" s="5"/>
      <c r="B2733" s="6"/>
      <c r="C2733" s="4"/>
      <c r="D2733" s="4"/>
      <c r="E2733" s="12"/>
      <c r="F2733" s="12"/>
      <c r="G2733" s="16"/>
      <c r="H2733" s="14"/>
      <c r="I2733" s="14"/>
      <c r="J2733" s="14"/>
      <c r="K2733" s="14"/>
      <c r="L2733" s="14"/>
      <c r="M2733" s="14"/>
      <c r="N2733" s="14"/>
      <c r="O2733" s="4"/>
      <c r="P2733" s="14"/>
      <c r="Q2733" s="14"/>
    </row>
    <row r="2734" spans="1:17" x14ac:dyDescent="0.25">
      <c r="A2734" s="5"/>
      <c r="B2734" s="6"/>
      <c r="C2734" s="4"/>
      <c r="D2734" s="4"/>
      <c r="E2734" s="12"/>
      <c r="F2734" s="12"/>
      <c r="G2734" s="16"/>
      <c r="H2734" s="14"/>
      <c r="I2734" s="14"/>
      <c r="J2734" s="14"/>
      <c r="K2734" s="14"/>
      <c r="L2734" s="14"/>
      <c r="M2734" s="14"/>
      <c r="N2734" s="14"/>
      <c r="O2734" s="4"/>
      <c r="P2734" s="14"/>
      <c r="Q2734" s="14"/>
    </row>
    <row r="2735" spans="1:17" x14ac:dyDescent="0.25">
      <c r="A2735" s="5"/>
      <c r="B2735" s="6"/>
      <c r="C2735" s="4"/>
      <c r="D2735" s="4"/>
      <c r="E2735" s="12"/>
      <c r="F2735" s="12"/>
      <c r="G2735" s="16"/>
      <c r="H2735" s="14"/>
      <c r="I2735" s="14"/>
      <c r="J2735" s="14"/>
      <c r="K2735" s="14"/>
      <c r="L2735" s="14"/>
      <c r="M2735" s="14"/>
      <c r="N2735" s="14"/>
      <c r="O2735" s="4"/>
      <c r="P2735" s="14"/>
      <c r="Q2735" s="14"/>
    </row>
    <row r="2736" spans="1:17" x14ac:dyDescent="0.25">
      <c r="A2736" s="5"/>
      <c r="B2736" s="6"/>
      <c r="C2736" s="4"/>
      <c r="D2736" s="4"/>
      <c r="E2736" s="12"/>
      <c r="F2736" s="12"/>
      <c r="G2736" s="16"/>
      <c r="H2736" s="14"/>
      <c r="I2736" s="14"/>
      <c r="J2736" s="14"/>
      <c r="K2736" s="14"/>
      <c r="L2736" s="14"/>
      <c r="M2736" s="14"/>
      <c r="N2736" s="14"/>
      <c r="O2736" s="4"/>
      <c r="P2736" s="14"/>
      <c r="Q2736" s="14"/>
    </row>
    <row r="2737" spans="1:17" x14ac:dyDescent="0.25">
      <c r="A2737" s="5"/>
      <c r="B2737" s="6"/>
      <c r="C2737" s="4"/>
      <c r="D2737" s="4"/>
      <c r="E2737" s="12"/>
      <c r="F2737" s="12"/>
      <c r="G2737" s="16"/>
      <c r="H2737" s="14"/>
      <c r="I2737" s="14"/>
      <c r="J2737" s="14"/>
      <c r="K2737" s="14"/>
      <c r="L2737" s="14"/>
      <c r="M2737" s="14"/>
      <c r="N2737" s="14"/>
      <c r="O2737" s="4"/>
      <c r="P2737" s="14"/>
      <c r="Q2737" s="14"/>
    </row>
    <row r="2738" spans="1:17" x14ac:dyDescent="0.25">
      <c r="A2738" s="5"/>
      <c r="B2738" s="6"/>
      <c r="C2738" s="4"/>
      <c r="D2738" s="4"/>
      <c r="E2738" s="12"/>
      <c r="F2738" s="12"/>
      <c r="G2738" s="16"/>
      <c r="H2738" s="14"/>
      <c r="I2738" s="14"/>
      <c r="J2738" s="14"/>
      <c r="K2738" s="14"/>
      <c r="L2738" s="14"/>
      <c r="M2738" s="14"/>
      <c r="N2738" s="14"/>
      <c r="O2738" s="4"/>
      <c r="P2738" s="14"/>
      <c r="Q2738" s="14"/>
    </row>
    <row r="2739" spans="1:17" x14ac:dyDescent="0.25">
      <c r="A2739" s="5"/>
      <c r="B2739" s="6"/>
      <c r="C2739" s="4"/>
      <c r="D2739" s="4"/>
      <c r="E2739" s="12"/>
      <c r="F2739" s="12"/>
      <c r="G2739" s="16"/>
      <c r="H2739" s="14"/>
      <c r="I2739" s="14"/>
      <c r="J2739" s="14"/>
      <c r="K2739" s="14"/>
      <c r="L2739" s="14"/>
      <c r="M2739" s="14"/>
      <c r="N2739" s="14"/>
      <c r="O2739" s="4"/>
      <c r="P2739" s="14"/>
      <c r="Q2739" s="14"/>
    </row>
    <row r="2740" spans="1:17" x14ac:dyDescent="0.25">
      <c r="A2740" s="5"/>
      <c r="B2740" s="6"/>
      <c r="C2740" s="4"/>
      <c r="D2740" s="4"/>
      <c r="E2740" s="12"/>
      <c r="F2740" s="12"/>
      <c r="G2740" s="16"/>
      <c r="H2740" s="14"/>
      <c r="I2740" s="14"/>
      <c r="J2740" s="14"/>
      <c r="K2740" s="14"/>
      <c r="L2740" s="14"/>
      <c r="M2740" s="14"/>
      <c r="N2740" s="14"/>
      <c r="O2740" s="4"/>
      <c r="P2740" s="14"/>
      <c r="Q2740" s="14"/>
    </row>
    <row r="2741" spans="1:17" x14ac:dyDescent="0.25">
      <c r="A2741" s="5"/>
      <c r="B2741" s="6"/>
      <c r="C2741" s="4"/>
      <c r="D2741" s="4"/>
      <c r="E2741" s="12"/>
      <c r="F2741" s="12"/>
      <c r="G2741" s="16"/>
      <c r="H2741" s="14"/>
      <c r="I2741" s="14"/>
      <c r="J2741" s="14"/>
      <c r="K2741" s="14"/>
      <c r="L2741" s="14"/>
      <c r="M2741" s="14"/>
      <c r="N2741" s="14"/>
      <c r="O2741" s="4"/>
      <c r="P2741" s="14"/>
      <c r="Q2741" s="14"/>
    </row>
    <row r="2742" spans="1:17" x14ac:dyDescent="0.25">
      <c r="A2742" s="5"/>
      <c r="B2742" s="6"/>
      <c r="C2742" s="4"/>
      <c r="D2742" s="4"/>
      <c r="E2742" s="12"/>
      <c r="F2742" s="12"/>
      <c r="G2742" s="16"/>
      <c r="H2742" s="14"/>
      <c r="I2742" s="14"/>
      <c r="J2742" s="14"/>
      <c r="K2742" s="14"/>
      <c r="L2742" s="14"/>
      <c r="M2742" s="14"/>
      <c r="N2742" s="14"/>
      <c r="O2742" s="4"/>
      <c r="P2742" s="14"/>
      <c r="Q2742" s="14"/>
    </row>
    <row r="2743" spans="1:17" x14ac:dyDescent="0.25">
      <c r="A2743" s="5"/>
      <c r="B2743" s="6"/>
      <c r="C2743" s="4"/>
      <c r="D2743" s="4"/>
      <c r="E2743" s="12"/>
      <c r="F2743" s="12"/>
      <c r="G2743" s="16"/>
      <c r="H2743" s="14"/>
      <c r="I2743" s="14"/>
      <c r="J2743" s="14"/>
      <c r="K2743" s="14"/>
      <c r="L2743" s="14"/>
      <c r="M2743" s="14"/>
      <c r="N2743" s="14"/>
      <c r="O2743" s="4"/>
      <c r="P2743" s="14"/>
      <c r="Q2743" s="14"/>
    </row>
    <row r="2744" spans="1:17" x14ac:dyDescent="0.25">
      <c r="A2744" s="5"/>
      <c r="B2744" s="6"/>
      <c r="C2744" s="4"/>
      <c r="D2744" s="4"/>
      <c r="E2744" s="12"/>
      <c r="F2744" s="12"/>
      <c r="G2744" s="16"/>
      <c r="H2744" s="14"/>
      <c r="I2744" s="14"/>
      <c r="J2744" s="14"/>
      <c r="K2744" s="14"/>
      <c r="L2744" s="14"/>
      <c r="M2744" s="14"/>
      <c r="N2744" s="14"/>
      <c r="O2744" s="4"/>
      <c r="P2744" s="14"/>
      <c r="Q2744" s="14"/>
    </row>
    <row r="2745" spans="1:17" x14ac:dyDescent="0.25">
      <c r="A2745" s="5"/>
      <c r="B2745" s="6"/>
      <c r="C2745" s="4"/>
      <c r="D2745" s="4"/>
      <c r="E2745" s="12"/>
      <c r="F2745" s="12"/>
      <c r="G2745" s="16"/>
      <c r="H2745" s="14"/>
      <c r="I2745" s="14"/>
      <c r="J2745" s="14"/>
      <c r="K2745" s="14"/>
      <c r="L2745" s="14"/>
      <c r="M2745" s="14"/>
      <c r="N2745" s="14"/>
      <c r="O2745" s="4"/>
      <c r="P2745" s="14"/>
      <c r="Q2745" s="14"/>
    </row>
    <row r="2746" spans="1:17" x14ac:dyDescent="0.25">
      <c r="A2746" s="5"/>
      <c r="B2746" s="6"/>
      <c r="C2746" s="4"/>
      <c r="D2746" s="4"/>
      <c r="E2746" s="12"/>
      <c r="F2746" s="12"/>
      <c r="G2746" s="16"/>
      <c r="H2746" s="14"/>
      <c r="I2746" s="14"/>
      <c r="J2746" s="14"/>
      <c r="K2746" s="14"/>
      <c r="L2746" s="14"/>
      <c r="M2746" s="14"/>
      <c r="N2746" s="14"/>
      <c r="O2746" s="4"/>
      <c r="P2746" s="14"/>
      <c r="Q2746" s="14"/>
    </row>
    <row r="2747" spans="1:17" x14ac:dyDescent="0.25">
      <c r="A2747" s="5"/>
      <c r="B2747" s="6"/>
      <c r="C2747" s="4"/>
      <c r="D2747" s="4"/>
      <c r="E2747" s="12"/>
      <c r="F2747" s="12"/>
      <c r="G2747" s="16"/>
      <c r="H2747" s="14"/>
      <c r="I2747" s="14"/>
      <c r="J2747" s="14"/>
      <c r="K2747" s="14"/>
      <c r="L2747" s="14"/>
      <c r="M2747" s="14"/>
      <c r="N2747" s="14"/>
      <c r="O2747" s="4"/>
      <c r="P2747" s="14"/>
      <c r="Q2747" s="14"/>
    </row>
    <row r="2748" spans="1:17" x14ac:dyDescent="0.25">
      <c r="A2748" s="5"/>
      <c r="B2748" s="6"/>
      <c r="C2748" s="4"/>
      <c r="D2748" s="4"/>
      <c r="E2748" s="12"/>
      <c r="F2748" s="12"/>
      <c r="G2748" s="16"/>
      <c r="H2748" s="14"/>
      <c r="I2748" s="14"/>
      <c r="J2748" s="14"/>
      <c r="K2748" s="14"/>
      <c r="L2748" s="14"/>
      <c r="M2748" s="14"/>
      <c r="N2748" s="14"/>
      <c r="O2748" s="4"/>
      <c r="P2748" s="14"/>
      <c r="Q2748" s="14"/>
    </row>
    <row r="2749" spans="1:17" x14ac:dyDescent="0.25">
      <c r="A2749" s="5"/>
      <c r="B2749" s="6"/>
      <c r="C2749" s="4"/>
      <c r="D2749" s="4"/>
      <c r="E2749" s="12"/>
      <c r="F2749" s="12"/>
      <c r="G2749" s="16"/>
      <c r="H2749" s="14"/>
      <c r="I2749" s="14"/>
      <c r="J2749" s="14"/>
      <c r="K2749" s="14"/>
      <c r="L2749" s="14"/>
      <c r="M2749" s="14"/>
      <c r="N2749" s="14"/>
      <c r="O2749" s="4"/>
      <c r="P2749" s="14"/>
      <c r="Q2749" s="14"/>
    </row>
    <row r="2750" spans="1:17" x14ac:dyDescent="0.25">
      <c r="A2750" s="5"/>
      <c r="B2750" s="6"/>
      <c r="C2750" s="4"/>
      <c r="D2750" s="4"/>
      <c r="E2750" s="12"/>
      <c r="F2750" s="12"/>
      <c r="G2750" s="16"/>
      <c r="H2750" s="14"/>
      <c r="I2750" s="14"/>
      <c r="J2750" s="14"/>
      <c r="K2750" s="14"/>
      <c r="L2750" s="14"/>
      <c r="M2750" s="14"/>
      <c r="N2750" s="14"/>
      <c r="O2750" s="4"/>
      <c r="P2750" s="14"/>
      <c r="Q2750" s="14"/>
    </row>
    <row r="2751" spans="1:17" x14ac:dyDescent="0.25">
      <c r="A2751" s="5"/>
      <c r="B2751" s="6"/>
      <c r="C2751" s="4"/>
      <c r="D2751" s="4"/>
      <c r="E2751" s="12"/>
      <c r="F2751" s="12"/>
      <c r="G2751" s="16"/>
      <c r="H2751" s="14"/>
      <c r="I2751" s="14"/>
      <c r="J2751" s="14"/>
      <c r="K2751" s="14"/>
      <c r="L2751" s="14"/>
      <c r="M2751" s="14"/>
      <c r="N2751" s="14"/>
      <c r="O2751" s="4"/>
      <c r="P2751" s="14"/>
      <c r="Q2751" s="14"/>
    </row>
    <row r="2752" spans="1:17" x14ac:dyDescent="0.25">
      <c r="A2752" s="5"/>
      <c r="B2752" s="6"/>
      <c r="C2752" s="4"/>
      <c r="D2752" s="4"/>
      <c r="E2752" s="12"/>
      <c r="F2752" s="12"/>
      <c r="G2752" s="16"/>
      <c r="H2752" s="14"/>
      <c r="I2752" s="14"/>
      <c r="J2752" s="14"/>
      <c r="K2752" s="14"/>
      <c r="L2752" s="14"/>
      <c r="M2752" s="14"/>
      <c r="N2752" s="14"/>
      <c r="O2752" s="4"/>
      <c r="P2752" s="14"/>
      <c r="Q2752" s="14"/>
    </row>
    <row r="2753" spans="1:17" x14ac:dyDescent="0.25">
      <c r="A2753" s="5"/>
      <c r="B2753" s="6"/>
      <c r="C2753" s="4"/>
      <c r="D2753" s="4"/>
      <c r="E2753" s="12"/>
      <c r="F2753" s="12"/>
      <c r="G2753" s="16"/>
      <c r="H2753" s="14"/>
      <c r="I2753" s="14"/>
      <c r="J2753" s="14"/>
      <c r="K2753" s="14"/>
      <c r="L2753" s="14"/>
      <c r="M2753" s="14"/>
      <c r="N2753" s="14"/>
      <c r="O2753" s="4"/>
      <c r="P2753" s="14"/>
      <c r="Q2753" s="14"/>
    </row>
    <row r="2754" spans="1:17" x14ac:dyDescent="0.25">
      <c r="A2754" s="5"/>
      <c r="B2754" s="6"/>
      <c r="C2754" s="4"/>
      <c r="D2754" s="4"/>
      <c r="E2754" s="12"/>
      <c r="F2754" s="12"/>
      <c r="G2754" s="16"/>
      <c r="H2754" s="14"/>
      <c r="I2754" s="14"/>
      <c r="J2754" s="14"/>
      <c r="K2754" s="14"/>
      <c r="L2754" s="14"/>
      <c r="M2754" s="14"/>
      <c r="N2754" s="14"/>
      <c r="O2754" s="4"/>
      <c r="P2754" s="14"/>
      <c r="Q2754" s="14"/>
    </row>
    <row r="2755" spans="1:17" x14ac:dyDescent="0.25">
      <c r="A2755" s="5"/>
      <c r="B2755" s="6"/>
      <c r="C2755" s="4"/>
      <c r="D2755" s="4"/>
      <c r="E2755" s="12"/>
      <c r="F2755" s="12"/>
      <c r="G2755" s="16"/>
      <c r="H2755" s="14"/>
      <c r="I2755" s="14"/>
      <c r="J2755" s="14"/>
      <c r="K2755" s="14"/>
      <c r="L2755" s="14"/>
      <c r="M2755" s="14"/>
      <c r="N2755" s="14"/>
      <c r="O2755" s="4"/>
      <c r="P2755" s="14"/>
      <c r="Q2755" s="14"/>
    </row>
    <row r="2756" spans="1:17" x14ac:dyDescent="0.25">
      <c r="A2756" s="5"/>
      <c r="B2756" s="6"/>
      <c r="C2756" s="4"/>
      <c r="D2756" s="4"/>
      <c r="E2756" s="12"/>
      <c r="F2756" s="12"/>
      <c r="G2756" s="16"/>
      <c r="H2756" s="14"/>
      <c r="I2756" s="14"/>
      <c r="J2756" s="14"/>
      <c r="K2756" s="14"/>
      <c r="L2756" s="14"/>
      <c r="M2756" s="14"/>
      <c r="N2756" s="14"/>
      <c r="O2756" s="4"/>
      <c r="P2756" s="14"/>
      <c r="Q2756" s="14"/>
    </row>
    <row r="2757" spans="1:17" x14ac:dyDescent="0.25">
      <c r="A2757" s="5"/>
      <c r="B2757" s="6"/>
      <c r="C2757" s="4"/>
      <c r="D2757" s="4"/>
      <c r="E2757" s="12"/>
      <c r="F2757" s="12"/>
      <c r="G2757" s="16"/>
      <c r="H2757" s="14"/>
      <c r="I2757" s="14"/>
      <c r="J2757" s="14"/>
      <c r="K2757" s="14"/>
      <c r="L2757" s="14"/>
      <c r="M2757" s="14"/>
      <c r="N2757" s="14"/>
      <c r="O2757" s="4"/>
      <c r="P2757" s="14"/>
      <c r="Q2757" s="14"/>
    </row>
    <row r="2758" spans="1:17" x14ac:dyDescent="0.25">
      <c r="A2758" s="5"/>
      <c r="B2758" s="6"/>
      <c r="C2758" s="4"/>
      <c r="D2758" s="4"/>
      <c r="E2758" s="12"/>
      <c r="F2758" s="12"/>
      <c r="G2758" s="16"/>
      <c r="H2758" s="14"/>
      <c r="I2758" s="14"/>
      <c r="J2758" s="14"/>
      <c r="K2758" s="14"/>
      <c r="L2758" s="14"/>
      <c r="M2758" s="14"/>
      <c r="N2758" s="14"/>
      <c r="O2758" s="4"/>
      <c r="P2758" s="14"/>
      <c r="Q2758" s="14"/>
    </row>
    <row r="2759" spans="1:17" x14ac:dyDescent="0.25">
      <c r="A2759" s="5"/>
      <c r="B2759" s="6"/>
      <c r="C2759" s="4"/>
      <c r="D2759" s="4"/>
      <c r="E2759" s="12"/>
      <c r="F2759" s="12"/>
      <c r="G2759" s="16"/>
      <c r="H2759" s="14"/>
      <c r="I2759" s="14"/>
      <c r="J2759" s="14"/>
      <c r="K2759" s="14"/>
      <c r="L2759" s="14"/>
      <c r="M2759" s="14"/>
      <c r="N2759" s="14"/>
      <c r="O2759" s="4"/>
      <c r="P2759" s="14"/>
      <c r="Q2759" s="14"/>
    </row>
    <row r="2760" spans="1:17" x14ac:dyDescent="0.25">
      <c r="A2760" s="5"/>
      <c r="B2760" s="6"/>
      <c r="C2760" s="4"/>
      <c r="D2760" s="4"/>
      <c r="E2760" s="12"/>
      <c r="F2760" s="12"/>
      <c r="G2760" s="16"/>
      <c r="H2760" s="14"/>
      <c r="I2760" s="14"/>
      <c r="J2760" s="14"/>
      <c r="K2760" s="14"/>
      <c r="L2760" s="14"/>
      <c r="M2760" s="14"/>
      <c r="N2760" s="14"/>
      <c r="O2760" s="4"/>
      <c r="P2760" s="14"/>
      <c r="Q2760" s="14"/>
    </row>
    <row r="2761" spans="1:17" x14ac:dyDescent="0.25">
      <c r="A2761" s="5"/>
      <c r="B2761" s="6"/>
      <c r="C2761" s="4"/>
      <c r="D2761" s="4"/>
      <c r="E2761" s="12"/>
      <c r="F2761" s="12"/>
      <c r="G2761" s="16"/>
      <c r="H2761" s="14"/>
      <c r="I2761" s="14"/>
      <c r="J2761" s="14"/>
      <c r="K2761" s="14"/>
      <c r="L2761" s="14"/>
      <c r="M2761" s="14"/>
      <c r="N2761" s="14"/>
      <c r="O2761" s="4"/>
      <c r="P2761" s="14"/>
      <c r="Q2761" s="14"/>
    </row>
    <row r="2762" spans="1:17" x14ac:dyDescent="0.25">
      <c r="A2762" s="5"/>
      <c r="B2762" s="6"/>
      <c r="C2762" s="4"/>
      <c r="D2762" s="4"/>
      <c r="E2762" s="12"/>
      <c r="F2762" s="12"/>
      <c r="G2762" s="16"/>
      <c r="H2762" s="14"/>
      <c r="I2762" s="14"/>
      <c r="J2762" s="14"/>
      <c r="K2762" s="14"/>
      <c r="L2762" s="14"/>
      <c r="M2762" s="14"/>
      <c r="N2762" s="14"/>
      <c r="O2762" s="4"/>
      <c r="P2762" s="14"/>
      <c r="Q2762" s="14"/>
    </row>
    <row r="2763" spans="1:17" x14ac:dyDescent="0.25">
      <c r="A2763" s="5"/>
      <c r="B2763" s="6"/>
      <c r="C2763" s="4"/>
      <c r="D2763" s="4"/>
      <c r="E2763" s="12"/>
      <c r="F2763" s="12"/>
      <c r="G2763" s="16"/>
      <c r="H2763" s="14"/>
      <c r="I2763" s="14"/>
      <c r="J2763" s="14"/>
      <c r="K2763" s="14"/>
      <c r="L2763" s="14"/>
      <c r="M2763" s="14"/>
      <c r="N2763" s="14"/>
      <c r="O2763" s="4"/>
      <c r="P2763" s="14"/>
      <c r="Q2763" s="14"/>
    </row>
    <row r="2764" spans="1:17" x14ac:dyDescent="0.25">
      <c r="A2764" s="5"/>
      <c r="B2764" s="6"/>
      <c r="C2764" s="4"/>
      <c r="D2764" s="4"/>
      <c r="E2764" s="12"/>
      <c r="F2764" s="12"/>
      <c r="G2764" s="16"/>
      <c r="H2764" s="14"/>
      <c r="I2764" s="14"/>
      <c r="J2764" s="14"/>
      <c r="K2764" s="14"/>
      <c r="L2764" s="14"/>
      <c r="M2764" s="14"/>
      <c r="N2764" s="14"/>
      <c r="O2764" s="4"/>
      <c r="P2764" s="14"/>
      <c r="Q2764" s="14"/>
    </row>
    <row r="2765" spans="1:17" x14ac:dyDescent="0.25">
      <c r="A2765" s="5"/>
      <c r="B2765" s="6"/>
      <c r="C2765" s="4"/>
      <c r="D2765" s="4"/>
      <c r="E2765" s="12"/>
      <c r="F2765" s="12"/>
      <c r="G2765" s="16"/>
      <c r="H2765" s="14"/>
      <c r="I2765" s="14"/>
      <c r="J2765" s="14"/>
      <c r="K2765" s="14"/>
      <c r="L2765" s="14"/>
      <c r="M2765" s="14"/>
      <c r="N2765" s="14"/>
      <c r="O2765" s="4"/>
      <c r="P2765" s="14"/>
      <c r="Q2765" s="14"/>
    </row>
    <row r="2766" spans="1:17" x14ac:dyDescent="0.25">
      <c r="A2766" s="5"/>
      <c r="B2766" s="6"/>
      <c r="C2766" s="4"/>
      <c r="D2766" s="4"/>
      <c r="E2766" s="12"/>
      <c r="F2766" s="12"/>
      <c r="G2766" s="16"/>
      <c r="H2766" s="14"/>
      <c r="I2766" s="14"/>
      <c r="J2766" s="14"/>
      <c r="K2766" s="14"/>
      <c r="L2766" s="14"/>
      <c r="M2766" s="14"/>
      <c r="N2766" s="14"/>
      <c r="O2766" s="4"/>
      <c r="P2766" s="14"/>
      <c r="Q2766" s="14"/>
    </row>
    <row r="2767" spans="1:17" x14ac:dyDescent="0.25">
      <c r="A2767" s="5"/>
      <c r="B2767" s="6"/>
      <c r="C2767" s="4"/>
      <c r="D2767" s="4"/>
      <c r="E2767" s="12"/>
      <c r="F2767" s="12"/>
      <c r="G2767" s="16"/>
      <c r="H2767" s="14"/>
      <c r="I2767" s="14"/>
      <c r="J2767" s="14"/>
      <c r="K2767" s="14"/>
      <c r="L2767" s="14"/>
      <c r="M2767" s="14"/>
      <c r="N2767" s="14"/>
      <c r="O2767" s="4"/>
      <c r="P2767" s="14"/>
      <c r="Q2767" s="14"/>
    </row>
    <row r="2768" spans="1:17" x14ac:dyDescent="0.25">
      <c r="A2768" s="5"/>
      <c r="B2768" s="6"/>
      <c r="C2768" s="4"/>
      <c r="D2768" s="4"/>
      <c r="E2768" s="12"/>
      <c r="F2768" s="12"/>
      <c r="G2768" s="16"/>
      <c r="H2768" s="14"/>
      <c r="I2768" s="14"/>
      <c r="J2768" s="14"/>
      <c r="K2768" s="14"/>
      <c r="L2768" s="14"/>
      <c r="M2768" s="14"/>
      <c r="N2768" s="14"/>
      <c r="O2768" s="4"/>
      <c r="P2768" s="14"/>
      <c r="Q2768" s="14"/>
    </row>
    <row r="2769" spans="1:17" x14ac:dyDescent="0.25">
      <c r="A2769" s="5"/>
      <c r="B2769" s="6"/>
      <c r="C2769" s="4"/>
      <c r="D2769" s="4"/>
      <c r="E2769" s="12"/>
      <c r="F2769" s="12"/>
      <c r="G2769" s="16"/>
      <c r="H2769" s="14"/>
      <c r="I2769" s="14"/>
      <c r="J2769" s="14"/>
      <c r="K2769" s="14"/>
      <c r="L2769" s="14"/>
      <c r="M2769" s="14"/>
      <c r="N2769" s="14"/>
      <c r="O2769" s="4"/>
      <c r="P2769" s="14"/>
      <c r="Q2769" s="14"/>
    </row>
    <row r="2770" spans="1:17" x14ac:dyDescent="0.25">
      <c r="A2770" s="5"/>
      <c r="B2770" s="6"/>
      <c r="C2770" s="4"/>
      <c r="D2770" s="4"/>
      <c r="E2770" s="12"/>
      <c r="F2770" s="12"/>
      <c r="G2770" s="16"/>
      <c r="H2770" s="14"/>
      <c r="I2770" s="14"/>
      <c r="J2770" s="14"/>
      <c r="K2770" s="14"/>
      <c r="L2770" s="14"/>
      <c r="M2770" s="14"/>
      <c r="N2770" s="14"/>
      <c r="O2770" s="4"/>
      <c r="P2770" s="14"/>
      <c r="Q2770" s="14"/>
    </row>
    <row r="2771" spans="1:17" x14ac:dyDescent="0.25">
      <c r="A2771" s="5"/>
      <c r="B2771" s="6"/>
      <c r="C2771" s="4"/>
      <c r="D2771" s="4"/>
      <c r="E2771" s="12"/>
      <c r="F2771" s="12"/>
      <c r="G2771" s="16"/>
      <c r="H2771" s="14"/>
      <c r="I2771" s="14"/>
      <c r="J2771" s="14"/>
      <c r="K2771" s="14"/>
      <c r="L2771" s="14"/>
      <c r="M2771" s="14"/>
      <c r="N2771" s="14"/>
      <c r="O2771" s="4"/>
      <c r="P2771" s="14"/>
      <c r="Q2771" s="14"/>
    </row>
    <row r="2772" spans="1:17" x14ac:dyDescent="0.25">
      <c r="A2772" s="5"/>
      <c r="B2772" s="6"/>
      <c r="C2772" s="4"/>
      <c r="D2772" s="4"/>
      <c r="E2772" s="12"/>
      <c r="F2772" s="12"/>
      <c r="G2772" s="16"/>
      <c r="H2772" s="14"/>
      <c r="I2772" s="14"/>
      <c r="J2772" s="14"/>
      <c r="K2772" s="14"/>
      <c r="L2772" s="14"/>
      <c r="M2772" s="14"/>
      <c r="N2772" s="14"/>
      <c r="O2772" s="4"/>
      <c r="P2772" s="14"/>
      <c r="Q2772" s="14"/>
    </row>
    <row r="2773" spans="1:17" x14ac:dyDescent="0.25">
      <c r="A2773" s="5"/>
      <c r="B2773" s="6"/>
      <c r="C2773" s="4"/>
      <c r="D2773" s="4"/>
      <c r="E2773" s="12"/>
      <c r="F2773" s="12"/>
      <c r="G2773" s="16"/>
      <c r="H2773" s="14"/>
      <c r="I2773" s="14"/>
      <c r="J2773" s="14"/>
      <c r="K2773" s="14"/>
      <c r="L2773" s="14"/>
      <c r="M2773" s="14"/>
      <c r="N2773" s="14"/>
      <c r="O2773" s="4"/>
      <c r="P2773" s="14"/>
      <c r="Q2773" s="14"/>
    </row>
    <row r="2774" spans="1:17" x14ac:dyDescent="0.25">
      <c r="A2774" s="5"/>
      <c r="B2774" s="6"/>
      <c r="C2774" s="4"/>
      <c r="D2774" s="4"/>
      <c r="E2774" s="12"/>
      <c r="F2774" s="12"/>
      <c r="G2774" s="16"/>
      <c r="H2774" s="14"/>
      <c r="I2774" s="14"/>
      <c r="J2774" s="14"/>
      <c r="K2774" s="14"/>
      <c r="L2774" s="14"/>
      <c r="M2774" s="14"/>
      <c r="N2774" s="14"/>
      <c r="O2774" s="4"/>
      <c r="P2774" s="14"/>
      <c r="Q2774" s="14"/>
    </row>
    <row r="2775" spans="1:17" x14ac:dyDescent="0.25">
      <c r="A2775" s="5"/>
      <c r="B2775" s="6"/>
      <c r="C2775" s="4"/>
      <c r="D2775" s="4"/>
      <c r="E2775" s="12"/>
      <c r="F2775" s="12"/>
      <c r="G2775" s="16"/>
      <c r="H2775" s="14"/>
      <c r="I2775" s="14"/>
      <c r="J2775" s="14"/>
      <c r="K2775" s="14"/>
      <c r="L2775" s="14"/>
      <c r="M2775" s="14"/>
      <c r="N2775" s="14"/>
      <c r="O2775" s="4"/>
      <c r="P2775" s="14"/>
      <c r="Q2775" s="14"/>
    </row>
    <row r="2776" spans="1:17" x14ac:dyDescent="0.25">
      <c r="A2776" s="5"/>
      <c r="B2776" s="6"/>
      <c r="C2776" s="4"/>
      <c r="D2776" s="4"/>
      <c r="E2776" s="12"/>
      <c r="F2776" s="12"/>
      <c r="G2776" s="16"/>
      <c r="H2776" s="14"/>
      <c r="I2776" s="14"/>
      <c r="J2776" s="14"/>
      <c r="K2776" s="14"/>
      <c r="L2776" s="14"/>
      <c r="M2776" s="14"/>
      <c r="N2776" s="14"/>
      <c r="O2776" s="4"/>
      <c r="P2776" s="14"/>
      <c r="Q2776" s="14"/>
    </row>
    <row r="2777" spans="1:17" x14ac:dyDescent="0.25">
      <c r="A2777" s="5"/>
      <c r="B2777" s="6"/>
      <c r="C2777" s="4"/>
      <c r="D2777" s="4"/>
      <c r="E2777" s="12"/>
      <c r="F2777" s="12"/>
      <c r="G2777" s="16"/>
      <c r="H2777" s="14"/>
      <c r="I2777" s="14"/>
      <c r="J2777" s="14"/>
      <c r="K2777" s="14"/>
      <c r="L2777" s="14"/>
      <c r="M2777" s="14"/>
      <c r="N2777" s="14"/>
      <c r="O2777" s="4"/>
      <c r="P2777" s="14"/>
      <c r="Q2777" s="14"/>
    </row>
    <row r="2778" spans="1:17" x14ac:dyDescent="0.25">
      <c r="A2778" s="5"/>
      <c r="B2778" s="6"/>
      <c r="C2778" s="4"/>
      <c r="D2778" s="4"/>
      <c r="E2778" s="12"/>
      <c r="F2778" s="12"/>
      <c r="G2778" s="16"/>
      <c r="H2778" s="14"/>
      <c r="I2778" s="14"/>
      <c r="J2778" s="14"/>
      <c r="K2778" s="14"/>
      <c r="L2778" s="14"/>
      <c r="M2778" s="14"/>
      <c r="N2778" s="14"/>
      <c r="O2778" s="4"/>
      <c r="P2778" s="14"/>
      <c r="Q2778" s="14"/>
    </row>
    <row r="2779" spans="1:17" x14ac:dyDescent="0.25">
      <c r="A2779" s="5"/>
      <c r="B2779" s="6"/>
      <c r="C2779" s="4"/>
      <c r="D2779" s="4"/>
      <c r="E2779" s="12"/>
      <c r="F2779" s="12"/>
      <c r="G2779" s="16"/>
      <c r="H2779" s="14"/>
      <c r="I2779" s="14"/>
      <c r="J2779" s="14"/>
      <c r="K2779" s="14"/>
      <c r="L2779" s="14"/>
      <c r="M2779" s="14"/>
      <c r="N2779" s="14"/>
      <c r="O2779" s="4"/>
      <c r="P2779" s="14"/>
      <c r="Q2779" s="14"/>
    </row>
    <row r="2780" spans="1:17" x14ac:dyDescent="0.25">
      <c r="A2780" s="5"/>
      <c r="B2780" s="6"/>
      <c r="C2780" s="4"/>
      <c r="D2780" s="4"/>
      <c r="E2780" s="12"/>
      <c r="F2780" s="12"/>
      <c r="G2780" s="16"/>
      <c r="H2780" s="14"/>
      <c r="I2780" s="14"/>
      <c r="J2780" s="14"/>
      <c r="K2780" s="14"/>
      <c r="L2780" s="14"/>
      <c r="M2780" s="14"/>
      <c r="N2780" s="14"/>
      <c r="O2780" s="4"/>
      <c r="P2780" s="14"/>
      <c r="Q2780" s="14"/>
    </row>
    <row r="2781" spans="1:17" x14ac:dyDescent="0.25">
      <c r="A2781" s="5"/>
      <c r="B2781" s="6"/>
      <c r="C2781" s="4"/>
      <c r="D2781" s="4"/>
      <c r="E2781" s="12"/>
      <c r="F2781" s="12"/>
      <c r="G2781" s="16"/>
      <c r="H2781" s="14"/>
      <c r="I2781" s="14"/>
      <c r="J2781" s="14"/>
      <c r="K2781" s="14"/>
      <c r="L2781" s="14"/>
      <c r="M2781" s="14"/>
      <c r="N2781" s="14"/>
      <c r="O2781" s="4"/>
      <c r="P2781" s="14"/>
      <c r="Q2781" s="14"/>
    </row>
    <row r="2782" spans="1:17" x14ac:dyDescent="0.25">
      <c r="A2782" s="5"/>
      <c r="B2782" s="6"/>
      <c r="C2782" s="4"/>
      <c r="D2782" s="4"/>
      <c r="E2782" s="12"/>
      <c r="F2782" s="12"/>
      <c r="G2782" s="16"/>
      <c r="H2782" s="14"/>
      <c r="I2782" s="14"/>
      <c r="J2782" s="14"/>
      <c r="K2782" s="14"/>
      <c r="L2782" s="14"/>
      <c r="M2782" s="14"/>
      <c r="N2782" s="14"/>
      <c r="O2782" s="4"/>
      <c r="P2782" s="14"/>
      <c r="Q2782" s="14"/>
    </row>
    <row r="2783" spans="1:17" x14ac:dyDescent="0.25">
      <c r="A2783" s="5"/>
      <c r="B2783" s="6"/>
      <c r="C2783" s="4"/>
      <c r="D2783" s="4"/>
      <c r="E2783" s="12"/>
      <c r="F2783" s="12"/>
      <c r="G2783" s="16"/>
      <c r="H2783" s="14"/>
      <c r="I2783" s="14"/>
      <c r="J2783" s="14"/>
      <c r="K2783" s="14"/>
      <c r="L2783" s="14"/>
      <c r="M2783" s="14"/>
      <c r="N2783" s="14"/>
      <c r="O2783" s="4"/>
      <c r="P2783" s="14"/>
      <c r="Q2783" s="14"/>
    </row>
    <row r="2784" spans="1:17" x14ac:dyDescent="0.25">
      <c r="A2784" s="5"/>
      <c r="B2784" s="6"/>
      <c r="C2784" s="4"/>
      <c r="D2784" s="4"/>
      <c r="E2784" s="12"/>
      <c r="F2784" s="12"/>
      <c r="G2784" s="16"/>
      <c r="H2784" s="14"/>
      <c r="I2784" s="14"/>
      <c r="J2784" s="14"/>
      <c r="K2784" s="14"/>
      <c r="L2784" s="14"/>
      <c r="M2784" s="14"/>
      <c r="N2784" s="14"/>
      <c r="O2784" s="4"/>
      <c r="P2784" s="14"/>
      <c r="Q2784" s="14"/>
    </row>
    <row r="2785" spans="1:17" x14ac:dyDescent="0.25">
      <c r="A2785" s="5"/>
      <c r="B2785" s="6"/>
      <c r="C2785" s="4"/>
      <c r="D2785" s="4"/>
      <c r="E2785" s="12"/>
      <c r="F2785" s="12"/>
      <c r="G2785" s="16"/>
      <c r="H2785" s="14"/>
      <c r="I2785" s="14"/>
      <c r="J2785" s="14"/>
      <c r="K2785" s="14"/>
      <c r="L2785" s="14"/>
      <c r="M2785" s="14"/>
      <c r="N2785" s="14"/>
      <c r="O2785" s="4"/>
      <c r="P2785" s="14"/>
      <c r="Q2785" s="14"/>
    </row>
    <row r="2786" spans="1:17" x14ac:dyDescent="0.25">
      <c r="A2786" s="5"/>
      <c r="B2786" s="6"/>
      <c r="C2786" s="4"/>
      <c r="D2786" s="4"/>
      <c r="E2786" s="12"/>
      <c r="F2786" s="12"/>
      <c r="G2786" s="16"/>
      <c r="H2786" s="14"/>
      <c r="I2786" s="14"/>
      <c r="J2786" s="14"/>
      <c r="K2786" s="14"/>
      <c r="L2786" s="14"/>
      <c r="M2786" s="14"/>
      <c r="N2786" s="14"/>
      <c r="O2786" s="4"/>
      <c r="P2786" s="14"/>
      <c r="Q2786" s="14"/>
    </row>
    <row r="2787" spans="1:17" x14ac:dyDescent="0.25">
      <c r="A2787" s="5"/>
      <c r="B2787" s="6"/>
      <c r="C2787" s="4"/>
      <c r="D2787" s="4"/>
      <c r="E2787" s="12"/>
      <c r="F2787" s="12"/>
      <c r="G2787" s="16"/>
      <c r="H2787" s="14"/>
      <c r="I2787" s="14"/>
      <c r="J2787" s="14"/>
      <c r="K2787" s="14"/>
      <c r="L2787" s="14"/>
      <c r="M2787" s="14"/>
      <c r="N2787" s="14"/>
      <c r="O2787" s="4"/>
      <c r="P2787" s="14"/>
      <c r="Q2787" s="14"/>
    </row>
    <row r="2788" spans="1:17" x14ac:dyDescent="0.25">
      <c r="A2788" s="5"/>
      <c r="B2788" s="6"/>
      <c r="C2788" s="4"/>
      <c r="D2788" s="4"/>
      <c r="E2788" s="12"/>
      <c r="F2788" s="12"/>
      <c r="G2788" s="16"/>
      <c r="H2788" s="14"/>
      <c r="I2788" s="14"/>
      <c r="J2788" s="14"/>
      <c r="K2788" s="14"/>
      <c r="L2788" s="14"/>
      <c r="M2788" s="14"/>
      <c r="N2788" s="14"/>
      <c r="O2788" s="4"/>
      <c r="P2788" s="14"/>
      <c r="Q2788" s="14"/>
    </row>
    <row r="2789" spans="1:17" x14ac:dyDescent="0.25">
      <c r="A2789" s="5"/>
      <c r="B2789" s="6"/>
      <c r="C2789" s="4"/>
      <c r="D2789" s="4"/>
      <c r="E2789" s="12"/>
      <c r="F2789" s="12"/>
      <c r="G2789" s="16"/>
      <c r="H2789" s="14"/>
      <c r="I2789" s="14"/>
      <c r="J2789" s="14"/>
      <c r="K2789" s="14"/>
      <c r="L2789" s="14"/>
      <c r="M2789" s="14"/>
      <c r="N2789" s="14"/>
      <c r="O2789" s="4"/>
      <c r="P2789" s="14"/>
      <c r="Q2789" s="14"/>
    </row>
    <row r="2790" spans="1:17" x14ac:dyDescent="0.25">
      <c r="A2790" s="5"/>
      <c r="B2790" s="6"/>
      <c r="C2790" s="4"/>
      <c r="D2790" s="4"/>
      <c r="E2790" s="12"/>
      <c r="F2790" s="12"/>
      <c r="G2790" s="16"/>
      <c r="H2790" s="14"/>
      <c r="I2790" s="14"/>
      <c r="J2790" s="14"/>
      <c r="K2790" s="14"/>
      <c r="L2790" s="14"/>
      <c r="M2790" s="14"/>
      <c r="N2790" s="14"/>
      <c r="O2790" s="4"/>
      <c r="P2790" s="14"/>
      <c r="Q2790" s="14"/>
    </row>
    <row r="2791" spans="1:17" x14ac:dyDescent="0.25">
      <c r="A2791" s="5"/>
      <c r="B2791" s="6"/>
      <c r="C2791" s="4"/>
      <c r="D2791" s="4"/>
      <c r="E2791" s="12"/>
      <c r="F2791" s="12"/>
      <c r="G2791" s="16"/>
      <c r="H2791" s="14"/>
      <c r="I2791" s="14"/>
      <c r="J2791" s="14"/>
      <c r="K2791" s="14"/>
      <c r="L2791" s="14"/>
      <c r="M2791" s="14"/>
      <c r="N2791" s="14"/>
      <c r="O2791" s="4"/>
      <c r="P2791" s="14"/>
      <c r="Q2791" s="14"/>
    </row>
    <row r="2792" spans="1:17" x14ac:dyDescent="0.25">
      <c r="A2792" s="5"/>
      <c r="B2792" s="6"/>
      <c r="C2792" s="4"/>
      <c r="D2792" s="4"/>
      <c r="E2792" s="12"/>
      <c r="F2792" s="12"/>
      <c r="G2792" s="16"/>
      <c r="H2792" s="14"/>
      <c r="I2792" s="14"/>
      <c r="J2792" s="14"/>
      <c r="K2792" s="14"/>
      <c r="L2792" s="14"/>
      <c r="M2792" s="14"/>
      <c r="N2792" s="14"/>
      <c r="O2792" s="4"/>
      <c r="P2792" s="14"/>
      <c r="Q2792" s="14"/>
    </row>
    <row r="2793" spans="1:17" x14ac:dyDescent="0.25">
      <c r="A2793" s="5"/>
      <c r="B2793" s="6"/>
      <c r="C2793" s="4"/>
      <c r="D2793" s="4"/>
      <c r="E2793" s="12"/>
      <c r="F2793" s="12"/>
      <c r="G2793" s="16"/>
      <c r="H2793" s="14"/>
      <c r="I2793" s="14"/>
      <c r="J2793" s="14"/>
      <c r="K2793" s="14"/>
      <c r="L2793" s="14"/>
      <c r="M2793" s="14"/>
      <c r="N2793" s="14"/>
      <c r="O2793" s="4"/>
      <c r="P2793" s="14"/>
      <c r="Q2793" s="14"/>
    </row>
    <row r="2794" spans="1:17" x14ac:dyDescent="0.25">
      <c r="A2794" s="5"/>
      <c r="B2794" s="6"/>
      <c r="C2794" s="4"/>
      <c r="D2794" s="4"/>
      <c r="E2794" s="12"/>
      <c r="F2794" s="12"/>
      <c r="G2794" s="16"/>
      <c r="H2794" s="14"/>
      <c r="I2794" s="14"/>
      <c r="J2794" s="14"/>
      <c r="K2794" s="14"/>
      <c r="L2794" s="14"/>
      <c r="M2794" s="14"/>
      <c r="N2794" s="14"/>
      <c r="O2794" s="4"/>
      <c r="P2794" s="14"/>
      <c r="Q2794" s="14"/>
    </row>
    <row r="2795" spans="1:17" x14ac:dyDescent="0.25">
      <c r="A2795" s="5"/>
      <c r="B2795" s="6"/>
      <c r="C2795" s="4"/>
      <c r="D2795" s="4"/>
      <c r="E2795" s="12"/>
      <c r="F2795" s="12"/>
      <c r="G2795" s="16"/>
      <c r="H2795" s="14"/>
      <c r="I2795" s="14"/>
      <c r="J2795" s="14"/>
      <c r="K2795" s="14"/>
      <c r="L2795" s="14"/>
      <c r="M2795" s="14"/>
      <c r="N2795" s="14"/>
      <c r="O2795" s="4"/>
      <c r="P2795" s="14"/>
      <c r="Q2795" s="14"/>
    </row>
    <row r="2796" spans="1:17" x14ac:dyDescent="0.25">
      <c r="A2796" s="5"/>
      <c r="B2796" s="6"/>
      <c r="C2796" s="4"/>
      <c r="D2796" s="4"/>
      <c r="E2796" s="12"/>
      <c r="F2796" s="12"/>
      <c r="G2796" s="16"/>
      <c r="H2796" s="14"/>
      <c r="I2796" s="14"/>
      <c r="J2796" s="14"/>
      <c r="K2796" s="14"/>
      <c r="L2796" s="14"/>
      <c r="M2796" s="14"/>
      <c r="N2796" s="14"/>
      <c r="O2796" s="4"/>
      <c r="P2796" s="14"/>
      <c r="Q2796" s="14"/>
    </row>
    <row r="2797" spans="1:17" x14ac:dyDescent="0.25">
      <c r="A2797" s="5"/>
      <c r="B2797" s="6"/>
      <c r="C2797" s="4"/>
      <c r="D2797" s="4"/>
      <c r="E2797" s="12"/>
      <c r="F2797" s="12"/>
      <c r="G2797" s="16"/>
      <c r="H2797" s="14"/>
      <c r="I2797" s="14"/>
      <c r="J2797" s="14"/>
      <c r="K2797" s="14"/>
      <c r="L2797" s="14"/>
      <c r="M2797" s="14"/>
      <c r="N2797" s="14"/>
      <c r="O2797" s="4"/>
      <c r="P2797" s="14"/>
      <c r="Q2797" s="14"/>
    </row>
    <row r="2798" spans="1:17" x14ac:dyDescent="0.25">
      <c r="A2798" s="5"/>
      <c r="B2798" s="6"/>
      <c r="C2798" s="4"/>
      <c r="D2798" s="4"/>
      <c r="E2798" s="12"/>
      <c r="F2798" s="12"/>
      <c r="G2798" s="16"/>
      <c r="H2798" s="14"/>
      <c r="I2798" s="14"/>
      <c r="J2798" s="14"/>
      <c r="K2798" s="14"/>
      <c r="L2798" s="14"/>
      <c r="M2798" s="14"/>
      <c r="N2798" s="14"/>
      <c r="O2798" s="4"/>
      <c r="P2798" s="14"/>
      <c r="Q2798" s="14"/>
    </row>
    <row r="2799" spans="1:17" x14ac:dyDescent="0.25">
      <c r="A2799" s="5"/>
      <c r="B2799" s="6"/>
      <c r="C2799" s="4"/>
      <c r="D2799" s="4"/>
      <c r="E2799" s="12"/>
      <c r="F2799" s="12"/>
      <c r="G2799" s="16"/>
      <c r="H2799" s="14"/>
      <c r="I2799" s="14"/>
      <c r="J2799" s="14"/>
      <c r="K2799" s="14"/>
      <c r="L2799" s="14"/>
      <c r="M2799" s="14"/>
      <c r="N2799" s="14"/>
      <c r="O2799" s="4"/>
      <c r="P2799" s="14"/>
      <c r="Q2799" s="14"/>
    </row>
    <row r="2800" spans="1:17" x14ac:dyDescent="0.25">
      <c r="A2800" s="5"/>
      <c r="B2800" s="6"/>
      <c r="C2800" s="4"/>
      <c r="D2800" s="4"/>
      <c r="E2800" s="12"/>
      <c r="F2800" s="12"/>
      <c r="G2800" s="16"/>
      <c r="H2800" s="14"/>
      <c r="I2800" s="14"/>
      <c r="J2800" s="14"/>
      <c r="K2800" s="14"/>
      <c r="L2800" s="14"/>
      <c r="M2800" s="14"/>
      <c r="N2800" s="14"/>
      <c r="O2800" s="4"/>
      <c r="P2800" s="14"/>
      <c r="Q2800" s="14"/>
    </row>
    <row r="2801" spans="1:17" x14ac:dyDescent="0.25">
      <c r="A2801" s="5"/>
      <c r="B2801" s="6"/>
      <c r="C2801" s="4"/>
      <c r="D2801" s="4"/>
      <c r="E2801" s="12"/>
      <c r="F2801" s="12"/>
      <c r="G2801" s="16"/>
      <c r="H2801" s="14"/>
      <c r="I2801" s="14"/>
      <c r="J2801" s="14"/>
      <c r="K2801" s="14"/>
      <c r="L2801" s="14"/>
      <c r="M2801" s="14"/>
      <c r="N2801" s="14"/>
      <c r="O2801" s="4"/>
      <c r="P2801" s="14"/>
      <c r="Q2801" s="14"/>
    </row>
    <row r="2802" spans="1:17" x14ac:dyDescent="0.25">
      <c r="A2802" s="5"/>
      <c r="B2802" s="6"/>
      <c r="C2802" s="4"/>
      <c r="D2802" s="4"/>
      <c r="E2802" s="12"/>
      <c r="F2802" s="12"/>
      <c r="G2802" s="16"/>
      <c r="H2802" s="14"/>
      <c r="I2802" s="14"/>
      <c r="J2802" s="14"/>
      <c r="K2802" s="14"/>
      <c r="L2802" s="14"/>
      <c r="M2802" s="14"/>
      <c r="N2802" s="14"/>
      <c r="O2802" s="4"/>
      <c r="P2802" s="14"/>
      <c r="Q2802" s="14"/>
    </row>
    <row r="2803" spans="1:17" x14ac:dyDescent="0.25">
      <c r="A2803" s="5"/>
      <c r="B2803" s="6"/>
      <c r="C2803" s="4"/>
      <c r="D2803" s="4"/>
      <c r="E2803" s="12"/>
      <c r="F2803" s="12"/>
      <c r="G2803" s="16"/>
      <c r="H2803" s="14"/>
      <c r="I2803" s="14"/>
      <c r="J2803" s="14"/>
      <c r="K2803" s="14"/>
      <c r="L2803" s="14"/>
      <c r="M2803" s="14"/>
      <c r="N2803" s="14"/>
      <c r="O2803" s="4"/>
      <c r="P2803" s="14"/>
      <c r="Q2803" s="14"/>
    </row>
    <row r="2804" spans="1:17" x14ac:dyDescent="0.25">
      <c r="A2804" s="5"/>
      <c r="B2804" s="6"/>
      <c r="C2804" s="4"/>
      <c r="D2804" s="4"/>
      <c r="E2804" s="12"/>
      <c r="F2804" s="12"/>
      <c r="G2804" s="16"/>
      <c r="H2804" s="14"/>
      <c r="I2804" s="14"/>
      <c r="J2804" s="14"/>
      <c r="K2804" s="14"/>
      <c r="L2804" s="14"/>
      <c r="M2804" s="14"/>
      <c r="N2804" s="14"/>
      <c r="O2804" s="4"/>
      <c r="P2804" s="14"/>
      <c r="Q2804" s="14"/>
    </row>
    <row r="2805" spans="1:17" x14ac:dyDescent="0.25">
      <c r="A2805" s="5"/>
      <c r="B2805" s="6"/>
      <c r="C2805" s="4"/>
      <c r="D2805" s="4"/>
      <c r="E2805" s="12"/>
      <c r="F2805" s="12"/>
      <c r="G2805" s="16"/>
      <c r="H2805" s="14"/>
      <c r="I2805" s="14"/>
      <c r="J2805" s="14"/>
      <c r="K2805" s="14"/>
      <c r="L2805" s="14"/>
      <c r="M2805" s="14"/>
      <c r="N2805" s="14"/>
      <c r="O2805" s="4"/>
      <c r="P2805" s="14"/>
      <c r="Q2805" s="14"/>
    </row>
    <row r="2806" spans="1:17" x14ac:dyDescent="0.25">
      <c r="A2806" s="5"/>
      <c r="B2806" s="6"/>
      <c r="C2806" s="4"/>
      <c r="D2806" s="4"/>
      <c r="E2806" s="12"/>
      <c r="F2806" s="12"/>
      <c r="G2806" s="16"/>
      <c r="H2806" s="14"/>
      <c r="I2806" s="14"/>
      <c r="J2806" s="14"/>
      <c r="K2806" s="14"/>
      <c r="L2806" s="14"/>
      <c r="M2806" s="14"/>
      <c r="N2806" s="14"/>
      <c r="O2806" s="4"/>
      <c r="P2806" s="14"/>
      <c r="Q2806" s="14"/>
    </row>
    <row r="2807" spans="1:17" x14ac:dyDescent="0.25">
      <c r="A2807" s="5"/>
      <c r="B2807" s="6"/>
      <c r="C2807" s="4"/>
      <c r="D2807" s="4"/>
      <c r="E2807" s="12"/>
      <c r="F2807" s="12"/>
      <c r="G2807" s="16"/>
      <c r="H2807" s="14"/>
      <c r="I2807" s="14"/>
      <c r="J2807" s="14"/>
      <c r="K2807" s="14"/>
      <c r="L2807" s="14"/>
      <c r="M2807" s="14"/>
      <c r="N2807" s="14"/>
      <c r="O2807" s="4"/>
      <c r="P2807" s="14"/>
      <c r="Q2807" s="14"/>
    </row>
    <row r="2808" spans="1:17" x14ac:dyDescent="0.25">
      <c r="A2808" s="5"/>
      <c r="B2808" s="6"/>
      <c r="C2808" s="4"/>
      <c r="D2808" s="4"/>
      <c r="E2808" s="12"/>
      <c r="F2808" s="12"/>
      <c r="G2808" s="16"/>
      <c r="H2808" s="14"/>
      <c r="I2808" s="14"/>
      <c r="J2808" s="14"/>
      <c r="K2808" s="14"/>
      <c r="L2808" s="14"/>
      <c r="M2808" s="14"/>
      <c r="N2808" s="14"/>
      <c r="O2808" s="4"/>
      <c r="P2808" s="14"/>
      <c r="Q2808" s="14"/>
    </row>
    <row r="2809" spans="1:17" x14ac:dyDescent="0.25">
      <c r="A2809" s="5"/>
      <c r="B2809" s="6"/>
      <c r="C2809" s="4"/>
      <c r="D2809" s="4"/>
      <c r="E2809" s="12"/>
      <c r="F2809" s="12"/>
      <c r="G2809" s="16"/>
      <c r="H2809" s="14"/>
      <c r="I2809" s="14"/>
      <c r="J2809" s="14"/>
      <c r="K2809" s="14"/>
      <c r="L2809" s="14"/>
      <c r="M2809" s="14"/>
      <c r="N2809" s="14"/>
      <c r="O2809" s="4"/>
      <c r="P2809" s="14"/>
      <c r="Q2809" s="14"/>
    </row>
    <row r="2810" spans="1:17" x14ac:dyDescent="0.25">
      <c r="A2810" s="5"/>
      <c r="B2810" s="6"/>
      <c r="C2810" s="4"/>
      <c r="D2810" s="4"/>
      <c r="E2810" s="12"/>
      <c r="F2810" s="12"/>
      <c r="G2810" s="16"/>
      <c r="H2810" s="14"/>
      <c r="I2810" s="14"/>
      <c r="J2810" s="14"/>
      <c r="K2810" s="14"/>
      <c r="L2810" s="14"/>
      <c r="M2810" s="14"/>
      <c r="N2810" s="14"/>
      <c r="O2810" s="4"/>
      <c r="P2810" s="14"/>
      <c r="Q2810" s="14"/>
    </row>
    <row r="2811" spans="1:17" x14ac:dyDescent="0.25">
      <c r="A2811" s="5"/>
      <c r="B2811" s="6"/>
      <c r="C2811" s="4"/>
      <c r="D2811" s="4"/>
      <c r="E2811" s="12"/>
      <c r="F2811" s="12"/>
      <c r="G2811" s="16"/>
      <c r="H2811" s="14"/>
      <c r="I2811" s="14"/>
      <c r="J2811" s="14"/>
      <c r="K2811" s="14"/>
      <c r="L2811" s="14"/>
      <c r="M2811" s="14"/>
      <c r="N2811" s="14"/>
      <c r="O2811" s="4"/>
      <c r="P2811" s="14"/>
      <c r="Q2811" s="14"/>
    </row>
    <row r="2812" spans="1:17" x14ac:dyDescent="0.25">
      <c r="A2812" s="5"/>
      <c r="B2812" s="6"/>
      <c r="C2812" s="4"/>
      <c r="D2812" s="4"/>
      <c r="E2812" s="12"/>
      <c r="F2812" s="12"/>
      <c r="G2812" s="16"/>
      <c r="H2812" s="14"/>
      <c r="I2812" s="14"/>
      <c r="J2812" s="14"/>
      <c r="K2812" s="14"/>
      <c r="L2812" s="14"/>
      <c r="M2812" s="14"/>
      <c r="N2812" s="14"/>
      <c r="O2812" s="4"/>
      <c r="P2812" s="14"/>
      <c r="Q2812" s="14"/>
    </row>
    <row r="2813" spans="1:17" x14ac:dyDescent="0.25">
      <c r="A2813" s="5"/>
      <c r="B2813" s="6"/>
      <c r="C2813" s="4"/>
      <c r="D2813" s="4"/>
      <c r="E2813" s="12"/>
      <c r="F2813" s="12"/>
      <c r="G2813" s="16"/>
      <c r="H2813" s="14"/>
      <c r="I2813" s="14"/>
      <c r="J2813" s="14"/>
      <c r="K2813" s="14"/>
      <c r="L2813" s="14"/>
      <c r="M2813" s="14"/>
      <c r="N2813" s="14"/>
      <c r="O2813" s="4"/>
      <c r="P2813" s="14"/>
      <c r="Q2813" s="14"/>
    </row>
    <row r="2814" spans="1:17" x14ac:dyDescent="0.25">
      <c r="A2814" s="5"/>
      <c r="B2814" s="6"/>
      <c r="C2814" s="4"/>
      <c r="D2814" s="4"/>
      <c r="E2814" s="12"/>
      <c r="F2814" s="12"/>
      <c r="G2814" s="16"/>
      <c r="H2814" s="14"/>
      <c r="I2814" s="14"/>
      <c r="J2814" s="14"/>
      <c r="K2814" s="14"/>
      <c r="L2814" s="14"/>
      <c r="M2814" s="14"/>
      <c r="N2814" s="14"/>
      <c r="O2814" s="4"/>
      <c r="P2814" s="14"/>
      <c r="Q2814" s="14"/>
    </row>
    <row r="2815" spans="1:17" x14ac:dyDescent="0.25">
      <c r="A2815" s="5"/>
      <c r="B2815" s="6"/>
      <c r="C2815" s="4"/>
      <c r="D2815" s="4"/>
      <c r="E2815" s="12"/>
      <c r="F2815" s="12"/>
      <c r="G2815" s="16"/>
      <c r="H2815" s="14"/>
      <c r="I2815" s="14"/>
      <c r="J2815" s="14"/>
      <c r="K2815" s="14"/>
      <c r="L2815" s="14"/>
      <c r="M2815" s="14"/>
      <c r="N2815" s="14"/>
      <c r="O2815" s="4"/>
      <c r="P2815" s="14"/>
      <c r="Q2815" s="14"/>
    </row>
    <row r="2816" spans="1:17" x14ac:dyDescent="0.25">
      <c r="A2816" s="5"/>
      <c r="B2816" s="6"/>
      <c r="C2816" s="4"/>
      <c r="D2816" s="4"/>
      <c r="E2816" s="12"/>
      <c r="F2816" s="12"/>
      <c r="G2816" s="16"/>
      <c r="H2816" s="14"/>
      <c r="I2816" s="14"/>
      <c r="J2816" s="14"/>
      <c r="K2816" s="14"/>
      <c r="L2816" s="14"/>
      <c r="M2816" s="14"/>
      <c r="N2816" s="14"/>
      <c r="O2816" s="4"/>
      <c r="P2816" s="14"/>
      <c r="Q2816" s="14"/>
    </row>
    <row r="2817" spans="1:17" x14ac:dyDescent="0.25">
      <c r="A2817" s="5"/>
      <c r="B2817" s="6"/>
      <c r="C2817" s="4"/>
      <c r="D2817" s="4"/>
      <c r="E2817" s="12"/>
      <c r="F2817" s="12"/>
      <c r="G2817" s="16"/>
      <c r="H2817" s="14"/>
      <c r="I2817" s="14"/>
      <c r="J2817" s="14"/>
      <c r="K2817" s="14"/>
      <c r="L2817" s="14"/>
      <c r="M2817" s="14"/>
      <c r="N2817" s="14"/>
      <c r="O2817" s="4"/>
      <c r="P2817" s="14"/>
      <c r="Q2817" s="14"/>
    </row>
    <row r="2818" spans="1:17" x14ac:dyDescent="0.25">
      <c r="A2818" s="5"/>
      <c r="B2818" s="6"/>
      <c r="C2818" s="4"/>
      <c r="D2818" s="4"/>
      <c r="E2818" s="12"/>
      <c r="F2818" s="12"/>
      <c r="G2818" s="16"/>
      <c r="H2818" s="14"/>
      <c r="I2818" s="14"/>
      <c r="J2818" s="14"/>
      <c r="K2818" s="14"/>
      <c r="L2818" s="14"/>
      <c r="M2818" s="14"/>
      <c r="N2818" s="14"/>
      <c r="O2818" s="4"/>
      <c r="P2818" s="14"/>
      <c r="Q2818" s="14"/>
    </row>
    <row r="2819" spans="1:17" x14ac:dyDescent="0.25">
      <c r="A2819" s="5"/>
      <c r="B2819" s="6"/>
      <c r="C2819" s="4"/>
      <c r="D2819" s="4"/>
      <c r="E2819" s="12"/>
      <c r="F2819" s="12"/>
      <c r="G2819" s="16"/>
      <c r="H2819" s="14"/>
      <c r="I2819" s="14"/>
      <c r="J2819" s="14"/>
      <c r="K2819" s="14"/>
      <c r="L2819" s="14"/>
      <c r="M2819" s="14"/>
      <c r="N2819" s="14"/>
      <c r="O2819" s="4"/>
      <c r="P2819" s="14"/>
      <c r="Q2819" s="14"/>
    </row>
    <row r="2820" spans="1:17" x14ac:dyDescent="0.25">
      <c r="A2820" s="5"/>
      <c r="B2820" s="6"/>
      <c r="C2820" s="4"/>
      <c r="D2820" s="4"/>
      <c r="E2820" s="12"/>
      <c r="F2820" s="12"/>
      <c r="G2820" s="16"/>
      <c r="H2820" s="14"/>
      <c r="I2820" s="14"/>
      <c r="J2820" s="14"/>
      <c r="K2820" s="14"/>
      <c r="L2820" s="14"/>
      <c r="M2820" s="14"/>
      <c r="N2820" s="14"/>
      <c r="O2820" s="4"/>
      <c r="P2820" s="14"/>
      <c r="Q2820" s="14"/>
    </row>
    <row r="2821" spans="1:17" x14ac:dyDescent="0.25">
      <c r="A2821" s="5"/>
      <c r="B2821" s="6"/>
      <c r="C2821" s="4"/>
      <c r="D2821" s="4"/>
      <c r="E2821" s="12"/>
      <c r="F2821" s="12"/>
      <c r="G2821" s="16"/>
      <c r="H2821" s="14"/>
      <c r="I2821" s="14"/>
      <c r="J2821" s="14"/>
      <c r="K2821" s="14"/>
      <c r="L2821" s="14"/>
      <c r="M2821" s="14"/>
      <c r="N2821" s="14"/>
      <c r="O2821" s="4"/>
      <c r="P2821" s="14"/>
      <c r="Q2821" s="14"/>
    </row>
    <row r="2822" spans="1:17" x14ac:dyDescent="0.25">
      <c r="A2822" s="5"/>
      <c r="B2822" s="6"/>
      <c r="C2822" s="4"/>
      <c r="D2822" s="4"/>
      <c r="E2822" s="12"/>
      <c r="F2822" s="12"/>
      <c r="G2822" s="16"/>
      <c r="H2822" s="14"/>
      <c r="I2822" s="14"/>
      <c r="J2822" s="14"/>
      <c r="K2822" s="14"/>
      <c r="L2822" s="14"/>
      <c r="M2822" s="14"/>
      <c r="N2822" s="14"/>
      <c r="O2822" s="4"/>
      <c r="P2822" s="14"/>
      <c r="Q2822" s="14"/>
    </row>
    <row r="2823" spans="1:17" x14ac:dyDescent="0.25">
      <c r="A2823" s="5"/>
      <c r="B2823" s="6"/>
      <c r="C2823" s="4"/>
      <c r="D2823" s="4"/>
      <c r="E2823" s="12"/>
      <c r="F2823" s="12"/>
      <c r="G2823" s="16"/>
      <c r="H2823" s="14"/>
      <c r="I2823" s="14"/>
      <c r="J2823" s="14"/>
      <c r="K2823" s="14"/>
      <c r="L2823" s="14"/>
      <c r="M2823" s="14"/>
      <c r="N2823" s="14"/>
      <c r="O2823" s="4"/>
      <c r="P2823" s="14"/>
      <c r="Q2823" s="14"/>
    </row>
    <row r="2824" spans="1:17" x14ac:dyDescent="0.25">
      <c r="A2824" s="5"/>
      <c r="B2824" s="6"/>
      <c r="C2824" s="4"/>
      <c r="D2824" s="4"/>
      <c r="E2824" s="12"/>
      <c r="F2824" s="12"/>
      <c r="G2824" s="16"/>
      <c r="H2824" s="14"/>
      <c r="I2824" s="14"/>
      <c r="J2824" s="14"/>
      <c r="K2824" s="14"/>
      <c r="L2824" s="14"/>
      <c r="M2824" s="14"/>
      <c r="N2824" s="14"/>
      <c r="O2824" s="4"/>
      <c r="P2824" s="14"/>
      <c r="Q2824" s="14"/>
    </row>
    <row r="2825" spans="1:17" x14ac:dyDescent="0.25">
      <c r="A2825" s="5"/>
      <c r="B2825" s="6"/>
      <c r="C2825" s="4"/>
      <c r="D2825" s="4"/>
      <c r="E2825" s="12"/>
      <c r="F2825" s="12"/>
      <c r="G2825" s="16"/>
      <c r="H2825" s="14"/>
      <c r="I2825" s="14"/>
      <c r="J2825" s="14"/>
      <c r="K2825" s="14"/>
      <c r="L2825" s="14"/>
      <c r="M2825" s="14"/>
      <c r="N2825" s="14"/>
      <c r="O2825" s="4"/>
      <c r="P2825" s="14"/>
      <c r="Q2825" s="14"/>
    </row>
    <row r="2826" spans="1:17" x14ac:dyDescent="0.25">
      <c r="A2826" s="5"/>
      <c r="B2826" s="6"/>
      <c r="C2826" s="4"/>
      <c r="D2826" s="4"/>
      <c r="E2826" s="12"/>
      <c r="F2826" s="12"/>
      <c r="G2826" s="16"/>
      <c r="H2826" s="14"/>
      <c r="I2826" s="14"/>
      <c r="J2826" s="14"/>
      <c r="K2826" s="14"/>
      <c r="L2826" s="14"/>
      <c r="M2826" s="14"/>
      <c r="N2826" s="14"/>
      <c r="O2826" s="4"/>
      <c r="P2826" s="14"/>
      <c r="Q2826" s="14"/>
    </row>
    <row r="2827" spans="1:17" x14ac:dyDescent="0.25">
      <c r="A2827" s="5"/>
      <c r="B2827" s="6"/>
      <c r="C2827" s="4"/>
      <c r="D2827" s="4"/>
      <c r="E2827" s="12"/>
      <c r="F2827" s="12"/>
      <c r="G2827" s="16"/>
      <c r="H2827" s="14"/>
      <c r="I2827" s="14"/>
      <c r="J2827" s="14"/>
      <c r="K2827" s="14"/>
      <c r="L2827" s="14"/>
      <c r="M2827" s="14"/>
      <c r="N2827" s="14"/>
      <c r="O2827" s="4"/>
      <c r="P2827" s="14"/>
      <c r="Q2827" s="14"/>
    </row>
    <row r="2828" spans="1:17" x14ac:dyDescent="0.25">
      <c r="A2828" s="5"/>
      <c r="B2828" s="6"/>
      <c r="C2828" s="4"/>
      <c r="D2828" s="4"/>
      <c r="E2828" s="12"/>
      <c r="F2828" s="12"/>
      <c r="G2828" s="16"/>
      <c r="H2828" s="14"/>
      <c r="I2828" s="14"/>
      <c r="J2828" s="14"/>
      <c r="K2828" s="14"/>
      <c r="L2828" s="14"/>
      <c r="M2828" s="14"/>
      <c r="N2828" s="14"/>
      <c r="O2828" s="4"/>
      <c r="P2828" s="14"/>
      <c r="Q2828" s="14"/>
    </row>
    <row r="2829" spans="1:17" x14ac:dyDescent="0.25">
      <c r="A2829" s="5"/>
      <c r="B2829" s="6"/>
      <c r="C2829" s="4"/>
      <c r="D2829" s="4"/>
      <c r="E2829" s="12"/>
      <c r="F2829" s="12"/>
      <c r="G2829" s="16"/>
      <c r="H2829" s="14"/>
      <c r="I2829" s="14"/>
      <c r="J2829" s="14"/>
      <c r="K2829" s="14"/>
      <c r="L2829" s="14"/>
      <c r="M2829" s="14"/>
      <c r="N2829" s="14"/>
      <c r="O2829" s="4"/>
      <c r="P2829" s="14"/>
      <c r="Q2829" s="14"/>
    </row>
    <row r="2830" spans="1:17" x14ac:dyDescent="0.25">
      <c r="A2830" s="5"/>
      <c r="B2830" s="6"/>
      <c r="C2830" s="4"/>
      <c r="D2830" s="4"/>
      <c r="E2830" s="12"/>
      <c r="F2830" s="12"/>
      <c r="G2830" s="16"/>
      <c r="H2830" s="14"/>
      <c r="I2830" s="14"/>
      <c r="J2830" s="14"/>
      <c r="K2830" s="14"/>
      <c r="L2830" s="14"/>
      <c r="M2830" s="14"/>
      <c r="N2830" s="14"/>
      <c r="O2830" s="4"/>
      <c r="P2830" s="14"/>
      <c r="Q2830" s="14"/>
    </row>
    <row r="2831" spans="1:17" x14ac:dyDescent="0.25">
      <c r="A2831" s="5"/>
      <c r="B2831" s="6"/>
      <c r="C2831" s="4"/>
      <c r="D2831" s="4"/>
      <c r="E2831" s="12"/>
      <c r="F2831" s="12"/>
      <c r="G2831" s="16"/>
      <c r="H2831" s="14"/>
      <c r="I2831" s="14"/>
      <c r="J2831" s="14"/>
      <c r="K2831" s="14"/>
      <c r="L2831" s="14"/>
      <c r="M2831" s="14"/>
      <c r="N2831" s="14"/>
      <c r="O2831" s="4"/>
      <c r="P2831" s="14"/>
      <c r="Q2831" s="14"/>
    </row>
    <row r="2832" spans="1:17" x14ac:dyDescent="0.25">
      <c r="A2832" s="5"/>
      <c r="B2832" s="6"/>
      <c r="C2832" s="4"/>
      <c r="D2832" s="4"/>
      <c r="E2832" s="12"/>
      <c r="F2832" s="12"/>
      <c r="G2832" s="16"/>
      <c r="H2832" s="14"/>
      <c r="I2832" s="14"/>
      <c r="J2832" s="14"/>
      <c r="K2832" s="14"/>
      <c r="L2832" s="14"/>
      <c r="M2832" s="14"/>
      <c r="N2832" s="14"/>
      <c r="O2832" s="4"/>
      <c r="P2832" s="14"/>
      <c r="Q2832" s="14"/>
    </row>
    <row r="2833" spans="1:17" x14ac:dyDescent="0.25">
      <c r="A2833" s="5"/>
      <c r="B2833" s="6"/>
      <c r="C2833" s="4"/>
      <c r="D2833" s="4"/>
      <c r="E2833" s="12"/>
      <c r="F2833" s="12"/>
      <c r="G2833" s="16"/>
      <c r="H2833" s="14"/>
      <c r="I2833" s="14"/>
      <c r="J2833" s="14"/>
      <c r="K2833" s="14"/>
      <c r="L2833" s="14"/>
      <c r="M2833" s="14"/>
      <c r="N2833" s="14"/>
      <c r="O2833" s="4"/>
      <c r="P2833" s="14"/>
      <c r="Q2833" s="14"/>
    </row>
    <row r="2834" spans="1:17" x14ac:dyDescent="0.25">
      <c r="A2834" s="5"/>
      <c r="B2834" s="6"/>
      <c r="C2834" s="4"/>
      <c r="D2834" s="4"/>
      <c r="E2834" s="12"/>
      <c r="F2834" s="12"/>
      <c r="G2834" s="16"/>
      <c r="H2834" s="14"/>
      <c r="I2834" s="14"/>
      <c r="J2834" s="14"/>
      <c r="K2834" s="14"/>
      <c r="L2834" s="14"/>
      <c r="M2834" s="14"/>
      <c r="N2834" s="14"/>
      <c r="O2834" s="4"/>
      <c r="P2834" s="14"/>
      <c r="Q2834" s="14"/>
    </row>
    <row r="2835" spans="1:17" x14ac:dyDescent="0.25">
      <c r="A2835" s="5"/>
      <c r="B2835" s="6"/>
      <c r="C2835" s="4"/>
      <c r="D2835" s="4"/>
      <c r="E2835" s="12"/>
      <c r="F2835" s="12"/>
      <c r="G2835" s="16"/>
      <c r="H2835" s="14"/>
      <c r="I2835" s="14"/>
      <c r="J2835" s="14"/>
      <c r="K2835" s="14"/>
      <c r="L2835" s="14"/>
      <c r="M2835" s="14"/>
      <c r="N2835" s="14"/>
      <c r="O2835" s="4"/>
      <c r="P2835" s="14"/>
      <c r="Q2835" s="14"/>
    </row>
    <row r="2836" spans="1:17" x14ac:dyDescent="0.25">
      <c r="A2836" s="5"/>
      <c r="B2836" s="6"/>
      <c r="C2836" s="4"/>
      <c r="D2836" s="4"/>
      <c r="E2836" s="12"/>
      <c r="F2836" s="12"/>
      <c r="G2836" s="16"/>
      <c r="H2836" s="14"/>
      <c r="I2836" s="14"/>
      <c r="J2836" s="14"/>
      <c r="K2836" s="14"/>
      <c r="L2836" s="14"/>
      <c r="M2836" s="14"/>
      <c r="N2836" s="14"/>
      <c r="O2836" s="4"/>
      <c r="P2836" s="14"/>
      <c r="Q2836" s="14"/>
    </row>
    <row r="2837" spans="1:17" x14ac:dyDescent="0.25">
      <c r="A2837" s="5"/>
      <c r="B2837" s="6"/>
      <c r="C2837" s="4"/>
      <c r="D2837" s="4"/>
      <c r="E2837" s="12"/>
      <c r="F2837" s="12"/>
      <c r="G2837" s="16"/>
      <c r="H2837" s="14"/>
      <c r="I2837" s="14"/>
      <c r="J2837" s="14"/>
      <c r="K2837" s="14"/>
      <c r="L2837" s="14"/>
      <c r="M2837" s="14"/>
      <c r="N2837" s="14"/>
      <c r="O2837" s="4"/>
      <c r="P2837" s="14"/>
      <c r="Q2837" s="14"/>
    </row>
    <row r="2838" spans="1:17" x14ac:dyDescent="0.25">
      <c r="A2838" s="5"/>
      <c r="B2838" s="6"/>
      <c r="C2838" s="4"/>
      <c r="D2838" s="4"/>
      <c r="E2838" s="12"/>
      <c r="F2838" s="12"/>
      <c r="G2838" s="16"/>
      <c r="H2838" s="14"/>
      <c r="I2838" s="14"/>
      <c r="J2838" s="14"/>
      <c r="K2838" s="14"/>
      <c r="L2838" s="14"/>
      <c r="M2838" s="14"/>
      <c r="N2838" s="14"/>
      <c r="O2838" s="4"/>
      <c r="P2838" s="14"/>
      <c r="Q2838" s="14"/>
    </row>
    <row r="2839" spans="1:17" x14ac:dyDescent="0.25">
      <c r="A2839" s="5"/>
      <c r="B2839" s="6"/>
      <c r="C2839" s="4"/>
      <c r="D2839" s="4"/>
      <c r="E2839" s="12"/>
      <c r="F2839" s="12"/>
      <c r="G2839" s="16"/>
      <c r="H2839" s="14"/>
      <c r="I2839" s="14"/>
      <c r="J2839" s="14"/>
      <c r="K2839" s="14"/>
      <c r="L2839" s="14"/>
      <c r="M2839" s="14"/>
      <c r="N2839" s="14"/>
      <c r="O2839" s="4"/>
      <c r="P2839" s="14"/>
      <c r="Q2839" s="14"/>
    </row>
    <row r="2840" spans="1:17" x14ac:dyDescent="0.25">
      <c r="A2840" s="5"/>
      <c r="B2840" s="6"/>
      <c r="C2840" s="4"/>
      <c r="D2840" s="4"/>
      <c r="E2840" s="12"/>
      <c r="F2840" s="12"/>
      <c r="G2840" s="16"/>
      <c r="H2840" s="14"/>
      <c r="I2840" s="14"/>
      <c r="J2840" s="14"/>
      <c r="K2840" s="14"/>
      <c r="L2840" s="14"/>
      <c r="M2840" s="14"/>
      <c r="N2840" s="14"/>
      <c r="O2840" s="4"/>
      <c r="P2840" s="14"/>
      <c r="Q2840" s="14"/>
    </row>
    <row r="2841" spans="1:17" x14ac:dyDescent="0.25">
      <c r="A2841" s="5"/>
      <c r="B2841" s="6"/>
      <c r="C2841" s="4"/>
      <c r="D2841" s="4"/>
      <c r="E2841" s="12"/>
      <c r="F2841" s="12"/>
      <c r="G2841" s="16"/>
      <c r="H2841" s="14"/>
      <c r="I2841" s="14"/>
      <c r="J2841" s="14"/>
      <c r="K2841" s="14"/>
      <c r="L2841" s="14"/>
      <c r="M2841" s="14"/>
      <c r="N2841" s="14"/>
      <c r="O2841" s="4"/>
      <c r="P2841" s="14"/>
      <c r="Q2841" s="14"/>
    </row>
    <row r="2842" spans="1:17" x14ac:dyDescent="0.25">
      <c r="A2842" s="5"/>
      <c r="B2842" s="6"/>
      <c r="C2842" s="4"/>
      <c r="D2842" s="4"/>
      <c r="E2842" s="12"/>
      <c r="F2842" s="12"/>
      <c r="G2842" s="16"/>
      <c r="H2842" s="14"/>
      <c r="I2842" s="14"/>
      <c r="J2842" s="14"/>
      <c r="K2842" s="14"/>
      <c r="L2842" s="14"/>
      <c r="M2842" s="14"/>
      <c r="N2842" s="14"/>
      <c r="O2842" s="4"/>
      <c r="P2842" s="14"/>
      <c r="Q2842" s="14"/>
    </row>
    <row r="2843" spans="1:17" x14ac:dyDescent="0.25">
      <c r="A2843" s="5"/>
      <c r="B2843" s="6"/>
      <c r="C2843" s="4"/>
      <c r="D2843" s="4"/>
      <c r="E2843" s="12"/>
      <c r="F2843" s="12"/>
      <c r="G2843" s="16"/>
      <c r="H2843" s="14"/>
      <c r="I2843" s="14"/>
      <c r="J2843" s="14"/>
      <c r="K2843" s="14"/>
      <c r="L2843" s="14"/>
      <c r="M2843" s="14"/>
      <c r="N2843" s="14"/>
      <c r="O2843" s="4"/>
      <c r="P2843" s="14"/>
      <c r="Q2843" s="14"/>
    </row>
    <row r="2844" spans="1:17" x14ac:dyDescent="0.25">
      <c r="A2844" s="5"/>
      <c r="B2844" s="6"/>
      <c r="C2844" s="4"/>
      <c r="D2844" s="4"/>
      <c r="E2844" s="12"/>
      <c r="F2844" s="12"/>
      <c r="G2844" s="16"/>
      <c r="H2844" s="14"/>
      <c r="I2844" s="14"/>
      <c r="J2844" s="14"/>
      <c r="K2844" s="14"/>
      <c r="L2844" s="14"/>
      <c r="M2844" s="14"/>
      <c r="N2844" s="14"/>
      <c r="O2844" s="4"/>
      <c r="P2844" s="14"/>
      <c r="Q2844" s="14"/>
    </row>
    <row r="2845" spans="1:17" x14ac:dyDescent="0.25">
      <c r="A2845" s="5"/>
      <c r="B2845" s="6"/>
      <c r="C2845" s="4"/>
      <c r="D2845" s="4"/>
      <c r="E2845" s="12"/>
      <c r="F2845" s="12"/>
      <c r="G2845" s="16"/>
      <c r="H2845" s="14"/>
      <c r="I2845" s="14"/>
      <c r="J2845" s="14"/>
      <c r="K2845" s="14"/>
      <c r="L2845" s="14"/>
      <c r="M2845" s="14"/>
      <c r="N2845" s="14"/>
      <c r="O2845" s="4"/>
      <c r="P2845" s="14"/>
      <c r="Q2845" s="14"/>
    </row>
    <row r="2846" spans="1:17" x14ac:dyDescent="0.25">
      <c r="A2846" s="5"/>
      <c r="B2846" s="6"/>
      <c r="C2846" s="4"/>
      <c r="D2846" s="4"/>
      <c r="E2846" s="12"/>
      <c r="F2846" s="12"/>
      <c r="G2846" s="16"/>
      <c r="H2846" s="14"/>
      <c r="I2846" s="14"/>
      <c r="J2846" s="14"/>
      <c r="K2846" s="14"/>
      <c r="L2846" s="14"/>
      <c r="M2846" s="14"/>
      <c r="N2846" s="14"/>
      <c r="O2846" s="4"/>
      <c r="P2846" s="14"/>
      <c r="Q2846" s="14"/>
    </row>
    <row r="2847" spans="1:17" x14ac:dyDescent="0.25">
      <c r="A2847" s="5"/>
      <c r="B2847" s="6"/>
      <c r="C2847" s="4"/>
      <c r="D2847" s="4"/>
      <c r="E2847" s="12"/>
      <c r="F2847" s="12"/>
      <c r="G2847" s="16"/>
      <c r="H2847" s="14"/>
      <c r="I2847" s="14"/>
      <c r="J2847" s="14"/>
      <c r="K2847" s="14"/>
      <c r="L2847" s="14"/>
      <c r="M2847" s="14"/>
      <c r="N2847" s="14"/>
      <c r="O2847" s="4"/>
      <c r="P2847" s="14"/>
      <c r="Q2847" s="14"/>
    </row>
    <row r="2848" spans="1:17" x14ac:dyDescent="0.25">
      <c r="A2848" s="5"/>
      <c r="B2848" s="6"/>
      <c r="C2848" s="4"/>
      <c r="D2848" s="4"/>
      <c r="E2848" s="12"/>
      <c r="F2848" s="12"/>
      <c r="G2848" s="16"/>
      <c r="H2848" s="14"/>
      <c r="I2848" s="14"/>
      <c r="J2848" s="14"/>
      <c r="K2848" s="14"/>
      <c r="L2848" s="14"/>
      <c r="M2848" s="14"/>
      <c r="N2848" s="14"/>
      <c r="O2848" s="4"/>
      <c r="P2848" s="14"/>
      <c r="Q2848" s="14"/>
    </row>
    <row r="2849" spans="1:17" x14ac:dyDescent="0.25">
      <c r="A2849" s="5"/>
      <c r="B2849" s="6"/>
      <c r="C2849" s="4"/>
      <c r="D2849" s="4"/>
      <c r="E2849" s="12"/>
      <c r="F2849" s="12"/>
      <c r="G2849" s="16"/>
      <c r="H2849" s="14"/>
      <c r="I2849" s="14"/>
      <c r="J2849" s="14"/>
      <c r="K2849" s="14"/>
      <c r="L2849" s="14"/>
      <c r="M2849" s="14"/>
      <c r="N2849" s="14"/>
      <c r="O2849" s="4"/>
      <c r="P2849" s="14"/>
      <c r="Q2849" s="14"/>
    </row>
    <row r="2850" spans="1:17" x14ac:dyDescent="0.25">
      <c r="A2850" s="5"/>
      <c r="B2850" s="6"/>
      <c r="C2850" s="4"/>
      <c r="D2850" s="4"/>
      <c r="E2850" s="12"/>
      <c r="F2850" s="12"/>
      <c r="G2850" s="16"/>
      <c r="H2850" s="14"/>
      <c r="I2850" s="14"/>
      <c r="J2850" s="14"/>
      <c r="K2850" s="14"/>
      <c r="L2850" s="14"/>
      <c r="M2850" s="14"/>
      <c r="N2850" s="14"/>
      <c r="O2850" s="4"/>
      <c r="P2850" s="14"/>
      <c r="Q2850" s="14"/>
    </row>
    <row r="2851" spans="1:17" x14ac:dyDescent="0.25">
      <c r="A2851" s="5"/>
      <c r="B2851" s="6"/>
      <c r="C2851" s="4"/>
      <c r="D2851" s="4"/>
      <c r="E2851" s="12"/>
      <c r="F2851" s="12"/>
      <c r="G2851" s="16"/>
      <c r="H2851" s="14"/>
      <c r="I2851" s="14"/>
      <c r="J2851" s="14"/>
      <c r="K2851" s="14"/>
      <c r="L2851" s="14"/>
      <c r="M2851" s="14"/>
      <c r="N2851" s="14"/>
      <c r="O2851" s="4"/>
      <c r="P2851" s="14"/>
      <c r="Q2851" s="14"/>
    </row>
    <row r="2852" spans="1:17" x14ac:dyDescent="0.25">
      <c r="A2852" s="5"/>
      <c r="B2852" s="6"/>
      <c r="C2852" s="4"/>
      <c r="D2852" s="4"/>
      <c r="E2852" s="12"/>
      <c r="F2852" s="12"/>
      <c r="G2852" s="16"/>
      <c r="H2852" s="14"/>
      <c r="I2852" s="14"/>
      <c r="J2852" s="14"/>
      <c r="K2852" s="14"/>
      <c r="L2852" s="14"/>
      <c r="M2852" s="14"/>
      <c r="N2852" s="14"/>
      <c r="O2852" s="4"/>
      <c r="P2852" s="14"/>
      <c r="Q2852" s="14"/>
    </row>
    <row r="2853" spans="1:17" x14ac:dyDescent="0.25">
      <c r="A2853" s="5"/>
      <c r="B2853" s="6"/>
      <c r="C2853" s="4"/>
      <c r="D2853" s="4"/>
      <c r="E2853" s="12"/>
      <c r="F2853" s="12"/>
      <c r="G2853" s="16"/>
      <c r="H2853" s="14"/>
      <c r="I2853" s="14"/>
      <c r="J2853" s="14"/>
      <c r="K2853" s="14"/>
      <c r="L2853" s="14"/>
      <c r="M2853" s="14"/>
      <c r="N2853" s="14"/>
      <c r="O2853" s="4"/>
      <c r="P2853" s="14"/>
      <c r="Q2853" s="14"/>
    </row>
    <row r="2854" spans="1:17" x14ac:dyDescent="0.25">
      <c r="A2854" s="5"/>
      <c r="B2854" s="6"/>
      <c r="C2854" s="4"/>
      <c r="D2854" s="4"/>
      <c r="E2854" s="12"/>
      <c r="F2854" s="12"/>
      <c r="G2854" s="16"/>
      <c r="H2854" s="14"/>
      <c r="I2854" s="14"/>
      <c r="J2854" s="14"/>
      <c r="K2854" s="14"/>
      <c r="L2854" s="14"/>
      <c r="M2854" s="14"/>
      <c r="N2854" s="14"/>
      <c r="O2854" s="4"/>
      <c r="P2854" s="14"/>
      <c r="Q2854" s="14"/>
    </row>
    <row r="2855" spans="1:17" x14ac:dyDescent="0.25">
      <c r="A2855" s="5"/>
      <c r="B2855" s="6"/>
      <c r="C2855" s="4"/>
      <c r="D2855" s="4"/>
      <c r="E2855" s="12"/>
      <c r="F2855" s="12"/>
      <c r="G2855" s="16"/>
      <c r="H2855" s="14"/>
      <c r="I2855" s="14"/>
      <c r="J2855" s="14"/>
      <c r="K2855" s="14"/>
      <c r="L2855" s="14"/>
      <c r="M2855" s="14"/>
      <c r="N2855" s="14"/>
      <c r="O2855" s="4"/>
      <c r="P2855" s="14"/>
      <c r="Q2855" s="14"/>
    </row>
    <row r="2856" spans="1:17" x14ac:dyDescent="0.25">
      <c r="A2856" s="5"/>
      <c r="B2856" s="6"/>
      <c r="C2856" s="4"/>
      <c r="D2856" s="4"/>
      <c r="E2856" s="12"/>
      <c r="F2856" s="12"/>
      <c r="G2856" s="16"/>
      <c r="H2856" s="14"/>
      <c r="I2856" s="14"/>
      <c r="J2856" s="14"/>
      <c r="K2856" s="14"/>
      <c r="L2856" s="14"/>
      <c r="M2856" s="14"/>
      <c r="N2856" s="14"/>
      <c r="O2856" s="4"/>
      <c r="P2856" s="14"/>
      <c r="Q2856" s="14"/>
    </row>
    <row r="2857" spans="1:17" x14ac:dyDescent="0.25">
      <c r="A2857" s="5"/>
      <c r="B2857" s="6"/>
      <c r="C2857" s="4"/>
      <c r="D2857" s="4"/>
      <c r="E2857" s="12"/>
      <c r="F2857" s="12"/>
      <c r="G2857" s="16"/>
      <c r="H2857" s="14"/>
      <c r="I2857" s="14"/>
      <c r="J2857" s="14"/>
      <c r="K2857" s="14"/>
      <c r="L2857" s="14"/>
      <c r="M2857" s="14"/>
      <c r="N2857" s="14"/>
      <c r="O2857" s="4"/>
      <c r="P2857" s="14"/>
      <c r="Q2857" s="14"/>
    </row>
    <row r="2858" spans="1:17" x14ac:dyDescent="0.25">
      <c r="A2858" s="5"/>
      <c r="B2858" s="6"/>
      <c r="C2858" s="4"/>
      <c r="D2858" s="4"/>
      <c r="E2858" s="12"/>
      <c r="F2858" s="12"/>
      <c r="G2858" s="16"/>
      <c r="H2858" s="14"/>
      <c r="I2858" s="14"/>
      <c r="J2858" s="14"/>
      <c r="K2858" s="14"/>
      <c r="L2858" s="14"/>
      <c r="M2858" s="14"/>
      <c r="N2858" s="14"/>
      <c r="O2858" s="4"/>
      <c r="P2858" s="14"/>
      <c r="Q2858" s="14"/>
    </row>
    <row r="2859" spans="1:17" x14ac:dyDescent="0.25">
      <c r="A2859" s="5"/>
      <c r="B2859" s="6"/>
      <c r="C2859" s="4"/>
      <c r="D2859" s="4"/>
      <c r="E2859" s="12"/>
      <c r="F2859" s="12"/>
      <c r="G2859" s="16"/>
      <c r="H2859" s="14"/>
      <c r="I2859" s="14"/>
      <c r="J2859" s="14"/>
      <c r="K2859" s="14"/>
      <c r="L2859" s="14"/>
      <c r="M2859" s="14"/>
      <c r="N2859" s="14"/>
      <c r="O2859" s="4"/>
      <c r="P2859" s="14"/>
      <c r="Q2859" s="14"/>
    </row>
    <row r="2860" spans="1:17" x14ac:dyDescent="0.25">
      <c r="A2860" s="5"/>
      <c r="B2860" s="6"/>
      <c r="C2860" s="4"/>
      <c r="D2860" s="4"/>
      <c r="E2860" s="12"/>
      <c r="F2860" s="12"/>
      <c r="G2860" s="16"/>
      <c r="H2860" s="14"/>
      <c r="I2860" s="14"/>
      <c r="J2860" s="14"/>
      <c r="K2860" s="14"/>
      <c r="L2860" s="14"/>
      <c r="M2860" s="14"/>
      <c r="N2860" s="14"/>
      <c r="O2860" s="4"/>
      <c r="P2860" s="14"/>
      <c r="Q2860" s="14"/>
    </row>
    <row r="2861" spans="1:17" x14ac:dyDescent="0.25">
      <c r="A2861" s="5"/>
      <c r="B2861" s="6"/>
      <c r="C2861" s="4"/>
      <c r="D2861" s="4"/>
      <c r="E2861" s="12"/>
      <c r="F2861" s="12"/>
      <c r="G2861" s="16"/>
      <c r="H2861" s="14"/>
      <c r="I2861" s="14"/>
      <c r="J2861" s="14"/>
      <c r="K2861" s="14"/>
      <c r="L2861" s="14"/>
      <c r="M2861" s="14"/>
      <c r="N2861" s="14"/>
      <c r="O2861" s="4"/>
      <c r="P2861" s="14"/>
      <c r="Q2861" s="14"/>
    </row>
    <row r="2862" spans="1:17" x14ac:dyDescent="0.25">
      <c r="A2862" s="5"/>
      <c r="B2862" s="6"/>
      <c r="C2862" s="4"/>
      <c r="D2862" s="4"/>
      <c r="E2862" s="12"/>
      <c r="F2862" s="12"/>
      <c r="G2862" s="16"/>
      <c r="H2862" s="14"/>
      <c r="I2862" s="14"/>
      <c r="J2862" s="14"/>
      <c r="K2862" s="14"/>
      <c r="L2862" s="14"/>
      <c r="M2862" s="14"/>
      <c r="N2862" s="14"/>
      <c r="O2862" s="4"/>
      <c r="P2862" s="14"/>
      <c r="Q2862" s="14"/>
    </row>
    <row r="2863" spans="1:17" x14ac:dyDescent="0.25">
      <c r="A2863" s="5"/>
      <c r="B2863" s="6"/>
      <c r="C2863" s="4"/>
      <c r="D2863" s="4"/>
      <c r="E2863" s="12"/>
      <c r="F2863" s="12"/>
      <c r="G2863" s="16"/>
      <c r="H2863" s="14"/>
      <c r="I2863" s="14"/>
      <c r="J2863" s="14"/>
      <c r="K2863" s="14"/>
      <c r="L2863" s="14"/>
      <c r="M2863" s="14"/>
      <c r="N2863" s="14"/>
      <c r="O2863" s="4"/>
      <c r="P2863" s="14"/>
      <c r="Q2863" s="14"/>
    </row>
    <row r="2864" spans="1:17" x14ac:dyDescent="0.25">
      <c r="A2864" s="5"/>
      <c r="B2864" s="6"/>
      <c r="C2864" s="4"/>
      <c r="D2864" s="4"/>
      <c r="E2864" s="12"/>
      <c r="F2864" s="12"/>
      <c r="G2864" s="16"/>
      <c r="H2864" s="14"/>
      <c r="I2864" s="14"/>
      <c r="J2864" s="14"/>
      <c r="K2864" s="14"/>
      <c r="L2864" s="14"/>
      <c r="M2864" s="14"/>
      <c r="N2864" s="14"/>
      <c r="O2864" s="4"/>
      <c r="P2864" s="14"/>
      <c r="Q2864" s="14"/>
    </row>
    <row r="2865" spans="1:17" x14ac:dyDescent="0.25">
      <c r="A2865" s="5"/>
      <c r="B2865" s="6"/>
      <c r="C2865" s="4"/>
      <c r="D2865" s="4"/>
      <c r="E2865" s="12"/>
      <c r="F2865" s="12"/>
      <c r="G2865" s="16"/>
      <c r="H2865" s="14"/>
      <c r="I2865" s="14"/>
      <c r="J2865" s="14"/>
      <c r="K2865" s="14"/>
      <c r="L2865" s="14"/>
      <c r="M2865" s="14"/>
      <c r="N2865" s="14"/>
      <c r="O2865" s="4"/>
      <c r="P2865" s="14"/>
      <c r="Q2865" s="14"/>
    </row>
    <row r="2866" spans="1:17" x14ac:dyDescent="0.25">
      <c r="A2866" s="5"/>
      <c r="B2866" s="6"/>
      <c r="C2866" s="4"/>
      <c r="D2866" s="4"/>
      <c r="E2866" s="12"/>
      <c r="F2866" s="12"/>
      <c r="G2866" s="16"/>
      <c r="H2866" s="14"/>
      <c r="I2866" s="14"/>
      <c r="J2866" s="14"/>
      <c r="K2866" s="14"/>
      <c r="L2866" s="14"/>
      <c r="M2866" s="14"/>
      <c r="N2866" s="14"/>
      <c r="O2866" s="4"/>
      <c r="P2866" s="14"/>
      <c r="Q2866" s="14"/>
    </row>
    <row r="2867" spans="1:17" x14ac:dyDescent="0.25">
      <c r="A2867" s="5"/>
      <c r="B2867" s="6"/>
      <c r="C2867" s="4"/>
      <c r="D2867" s="4"/>
      <c r="E2867" s="12"/>
      <c r="F2867" s="12"/>
      <c r="G2867" s="16"/>
      <c r="H2867" s="14"/>
      <c r="I2867" s="14"/>
      <c r="J2867" s="14"/>
      <c r="K2867" s="14"/>
      <c r="L2867" s="14"/>
      <c r="M2867" s="14"/>
      <c r="N2867" s="14"/>
      <c r="O2867" s="4"/>
      <c r="P2867" s="14"/>
      <c r="Q2867" s="14"/>
    </row>
    <row r="2868" spans="1:17" x14ac:dyDescent="0.25">
      <c r="A2868" s="5"/>
      <c r="B2868" s="6"/>
      <c r="C2868" s="4"/>
      <c r="D2868" s="4"/>
      <c r="E2868" s="12"/>
      <c r="F2868" s="12"/>
      <c r="G2868" s="16"/>
      <c r="H2868" s="14"/>
      <c r="I2868" s="14"/>
      <c r="J2868" s="14"/>
      <c r="K2868" s="14"/>
      <c r="L2868" s="14"/>
      <c r="M2868" s="14"/>
      <c r="N2868" s="14"/>
      <c r="O2868" s="4"/>
      <c r="P2868" s="14"/>
      <c r="Q2868" s="14"/>
    </row>
    <row r="2869" spans="1:17" x14ac:dyDescent="0.25">
      <c r="A2869" s="5"/>
      <c r="B2869" s="6"/>
      <c r="C2869" s="4"/>
      <c r="D2869" s="4"/>
      <c r="E2869" s="12"/>
      <c r="F2869" s="12"/>
      <c r="G2869" s="16"/>
      <c r="H2869" s="14"/>
      <c r="I2869" s="14"/>
      <c r="J2869" s="14"/>
      <c r="K2869" s="14"/>
      <c r="L2869" s="14"/>
      <c r="M2869" s="14"/>
      <c r="N2869" s="14"/>
      <c r="O2869" s="4"/>
      <c r="P2869" s="14"/>
      <c r="Q2869" s="14"/>
    </row>
    <row r="2870" spans="1:17" x14ac:dyDescent="0.25">
      <c r="A2870" s="5"/>
      <c r="B2870" s="6"/>
      <c r="C2870" s="4"/>
      <c r="D2870" s="4"/>
      <c r="E2870" s="12"/>
      <c r="F2870" s="12"/>
      <c r="G2870" s="16"/>
      <c r="H2870" s="14"/>
      <c r="I2870" s="14"/>
      <c r="J2870" s="14"/>
      <c r="K2870" s="14"/>
      <c r="L2870" s="14"/>
      <c r="M2870" s="14"/>
      <c r="N2870" s="14"/>
      <c r="O2870" s="4"/>
      <c r="P2870" s="14"/>
      <c r="Q2870" s="14"/>
    </row>
    <row r="2871" spans="1:17" x14ac:dyDescent="0.25">
      <c r="A2871" s="5"/>
      <c r="B2871" s="6"/>
      <c r="C2871" s="4"/>
      <c r="D2871" s="4"/>
      <c r="E2871" s="12"/>
      <c r="F2871" s="12"/>
      <c r="G2871" s="16"/>
      <c r="H2871" s="14"/>
      <c r="I2871" s="14"/>
      <c r="J2871" s="14"/>
      <c r="K2871" s="14"/>
      <c r="L2871" s="14"/>
      <c r="M2871" s="14"/>
      <c r="N2871" s="14"/>
      <c r="O2871" s="4"/>
      <c r="P2871" s="14"/>
      <c r="Q2871" s="14"/>
    </row>
    <row r="2872" spans="1:17" x14ac:dyDescent="0.25">
      <c r="A2872" s="5"/>
      <c r="B2872" s="6"/>
      <c r="C2872" s="4"/>
      <c r="D2872" s="4"/>
      <c r="E2872" s="12"/>
      <c r="F2872" s="12"/>
      <c r="G2872" s="16"/>
      <c r="H2872" s="14"/>
      <c r="I2872" s="14"/>
      <c r="J2872" s="14"/>
      <c r="K2872" s="14"/>
      <c r="L2872" s="14"/>
      <c r="M2872" s="14"/>
      <c r="N2872" s="14"/>
      <c r="O2872" s="4"/>
      <c r="P2872" s="14"/>
      <c r="Q2872" s="14"/>
    </row>
    <row r="2873" spans="1:17" x14ac:dyDescent="0.25">
      <c r="A2873" s="5"/>
      <c r="B2873" s="6"/>
      <c r="C2873" s="4"/>
      <c r="D2873" s="4"/>
      <c r="E2873" s="12"/>
      <c r="F2873" s="12"/>
      <c r="G2873" s="16"/>
      <c r="H2873" s="14"/>
      <c r="I2873" s="14"/>
      <c r="J2873" s="14"/>
      <c r="K2873" s="14"/>
      <c r="L2873" s="14"/>
      <c r="M2873" s="14"/>
      <c r="N2873" s="14"/>
      <c r="O2873" s="4"/>
      <c r="P2873" s="14"/>
      <c r="Q2873" s="14"/>
    </row>
    <row r="2874" spans="1:17" x14ac:dyDescent="0.25">
      <c r="A2874" s="5"/>
      <c r="B2874" s="6"/>
      <c r="C2874" s="4"/>
      <c r="D2874" s="4"/>
      <c r="E2874" s="12"/>
      <c r="F2874" s="12"/>
      <c r="G2874" s="16"/>
      <c r="H2874" s="14"/>
      <c r="I2874" s="14"/>
      <c r="J2874" s="14"/>
      <c r="K2874" s="14"/>
      <c r="L2874" s="14"/>
      <c r="M2874" s="14"/>
      <c r="N2874" s="14"/>
      <c r="O2874" s="4"/>
      <c r="P2874" s="14"/>
      <c r="Q2874" s="14"/>
    </row>
    <row r="2875" spans="1:17" x14ac:dyDescent="0.25">
      <c r="A2875" s="5"/>
      <c r="B2875" s="6"/>
      <c r="C2875" s="4"/>
      <c r="D2875" s="4"/>
      <c r="E2875" s="12"/>
      <c r="F2875" s="12"/>
      <c r="G2875" s="16"/>
      <c r="H2875" s="14"/>
      <c r="I2875" s="14"/>
      <c r="J2875" s="14"/>
      <c r="K2875" s="14"/>
      <c r="L2875" s="14"/>
      <c r="M2875" s="14"/>
      <c r="N2875" s="14"/>
      <c r="O2875" s="4"/>
      <c r="P2875" s="14"/>
      <c r="Q2875" s="14"/>
    </row>
    <row r="2876" spans="1:17" x14ac:dyDescent="0.25">
      <c r="A2876" s="5"/>
      <c r="B2876" s="6"/>
      <c r="C2876" s="4"/>
      <c r="D2876" s="4"/>
      <c r="E2876" s="12"/>
      <c r="F2876" s="12"/>
      <c r="G2876" s="16"/>
      <c r="H2876" s="14"/>
      <c r="I2876" s="14"/>
      <c r="J2876" s="14"/>
      <c r="K2876" s="14"/>
      <c r="L2876" s="14"/>
      <c r="M2876" s="14"/>
      <c r="N2876" s="14"/>
      <c r="O2876" s="4"/>
      <c r="P2876" s="14"/>
      <c r="Q2876" s="14"/>
    </row>
    <row r="2877" spans="1:17" x14ac:dyDescent="0.25">
      <c r="A2877" s="5"/>
      <c r="B2877" s="6"/>
      <c r="C2877" s="4"/>
      <c r="D2877" s="4"/>
      <c r="E2877" s="12"/>
      <c r="F2877" s="12"/>
      <c r="G2877" s="16"/>
      <c r="H2877" s="14"/>
      <c r="I2877" s="14"/>
      <c r="J2877" s="14"/>
      <c r="K2877" s="14"/>
      <c r="L2877" s="14"/>
      <c r="M2877" s="14"/>
      <c r="N2877" s="14"/>
      <c r="O2877" s="4"/>
      <c r="P2877" s="14"/>
      <c r="Q2877" s="14"/>
    </row>
    <row r="2878" spans="1:17" x14ac:dyDescent="0.25">
      <c r="A2878" s="5"/>
      <c r="B2878" s="6"/>
      <c r="C2878" s="4"/>
      <c r="D2878" s="4"/>
      <c r="E2878" s="12"/>
      <c r="F2878" s="12"/>
      <c r="G2878" s="16"/>
      <c r="H2878" s="14"/>
      <c r="I2878" s="14"/>
      <c r="J2878" s="14"/>
      <c r="K2878" s="14"/>
      <c r="L2878" s="14"/>
      <c r="M2878" s="14"/>
      <c r="N2878" s="14"/>
      <c r="O2878" s="4"/>
      <c r="P2878" s="14"/>
      <c r="Q2878" s="14"/>
    </row>
    <row r="2879" spans="1:17" x14ac:dyDescent="0.25">
      <c r="A2879" s="5"/>
      <c r="B2879" s="6"/>
      <c r="C2879" s="4"/>
      <c r="D2879" s="4"/>
      <c r="E2879" s="12"/>
      <c r="F2879" s="12"/>
      <c r="G2879" s="16"/>
      <c r="H2879" s="14"/>
      <c r="I2879" s="14"/>
      <c r="J2879" s="14"/>
      <c r="K2879" s="14"/>
      <c r="L2879" s="14"/>
      <c r="M2879" s="14"/>
      <c r="N2879" s="14"/>
      <c r="O2879" s="4"/>
      <c r="P2879" s="14"/>
      <c r="Q2879" s="14"/>
    </row>
    <row r="2880" spans="1:17" x14ac:dyDescent="0.25">
      <c r="A2880" s="5"/>
      <c r="B2880" s="6"/>
      <c r="C2880" s="4"/>
      <c r="D2880" s="4"/>
      <c r="E2880" s="12"/>
      <c r="F2880" s="12"/>
      <c r="G2880" s="16"/>
      <c r="H2880" s="14"/>
      <c r="I2880" s="14"/>
      <c r="J2880" s="14"/>
      <c r="K2880" s="14"/>
      <c r="L2880" s="14"/>
      <c r="M2880" s="14"/>
      <c r="N2880" s="14"/>
      <c r="O2880" s="4"/>
      <c r="P2880" s="14"/>
      <c r="Q2880" s="14"/>
    </row>
    <row r="2881" spans="1:17" x14ac:dyDescent="0.25">
      <c r="A2881" s="5"/>
      <c r="B2881" s="6"/>
      <c r="C2881" s="4"/>
      <c r="D2881" s="4"/>
      <c r="E2881" s="12"/>
      <c r="F2881" s="12"/>
      <c r="G2881" s="16"/>
      <c r="H2881" s="14"/>
      <c r="I2881" s="14"/>
      <c r="J2881" s="14"/>
      <c r="K2881" s="14"/>
      <c r="L2881" s="14"/>
      <c r="M2881" s="14"/>
      <c r="N2881" s="14"/>
      <c r="O2881" s="4"/>
      <c r="P2881" s="14"/>
      <c r="Q2881" s="14"/>
    </row>
    <row r="2882" spans="1:17" x14ac:dyDescent="0.25">
      <c r="A2882" s="5"/>
      <c r="B2882" s="6"/>
      <c r="C2882" s="4"/>
      <c r="D2882" s="4"/>
      <c r="E2882" s="12"/>
      <c r="F2882" s="12"/>
      <c r="G2882" s="16"/>
      <c r="H2882" s="14"/>
      <c r="I2882" s="14"/>
      <c r="J2882" s="14"/>
      <c r="K2882" s="14"/>
      <c r="L2882" s="14"/>
      <c r="M2882" s="14"/>
      <c r="N2882" s="14"/>
      <c r="O2882" s="4"/>
      <c r="P2882" s="14"/>
      <c r="Q2882" s="14"/>
    </row>
    <row r="2883" spans="1:17" x14ac:dyDescent="0.25">
      <c r="A2883" s="5"/>
      <c r="B2883" s="6"/>
      <c r="C2883" s="4"/>
      <c r="D2883" s="4"/>
      <c r="E2883" s="12"/>
      <c r="F2883" s="12"/>
      <c r="G2883" s="16"/>
      <c r="H2883" s="14"/>
      <c r="I2883" s="14"/>
      <c r="J2883" s="14"/>
      <c r="K2883" s="14"/>
      <c r="L2883" s="14"/>
      <c r="M2883" s="14"/>
      <c r="N2883" s="14"/>
      <c r="O2883" s="4"/>
      <c r="P2883" s="14"/>
      <c r="Q2883" s="14"/>
    </row>
    <row r="2884" spans="1:17" x14ac:dyDescent="0.25">
      <c r="A2884" s="5"/>
      <c r="B2884" s="6"/>
      <c r="C2884" s="4"/>
      <c r="D2884" s="4"/>
      <c r="E2884" s="12"/>
      <c r="F2884" s="12"/>
      <c r="G2884" s="16"/>
      <c r="H2884" s="14"/>
      <c r="I2884" s="14"/>
      <c r="J2884" s="14"/>
      <c r="K2884" s="14"/>
      <c r="L2884" s="14"/>
      <c r="M2884" s="14"/>
      <c r="N2884" s="14"/>
      <c r="O2884" s="4"/>
      <c r="P2884" s="14"/>
      <c r="Q2884" s="14"/>
    </row>
    <row r="2885" spans="1:17" x14ac:dyDescent="0.25">
      <c r="A2885" s="5"/>
      <c r="B2885" s="6"/>
      <c r="C2885" s="4"/>
      <c r="D2885" s="4"/>
      <c r="E2885" s="12"/>
      <c r="F2885" s="12"/>
      <c r="G2885" s="16"/>
      <c r="H2885" s="14"/>
      <c r="I2885" s="14"/>
      <c r="J2885" s="14"/>
      <c r="K2885" s="14"/>
      <c r="L2885" s="14"/>
      <c r="M2885" s="14"/>
      <c r="N2885" s="14"/>
      <c r="O2885" s="4"/>
      <c r="P2885" s="14"/>
      <c r="Q2885" s="14"/>
    </row>
    <row r="2886" spans="1:17" x14ac:dyDescent="0.25">
      <c r="A2886" s="5"/>
      <c r="B2886" s="6"/>
      <c r="C2886" s="4"/>
      <c r="D2886" s="4"/>
      <c r="E2886" s="12"/>
      <c r="F2886" s="12"/>
      <c r="G2886" s="16"/>
      <c r="H2886" s="14"/>
      <c r="I2886" s="14"/>
      <c r="J2886" s="14"/>
      <c r="K2886" s="14"/>
      <c r="L2886" s="14"/>
      <c r="M2886" s="14"/>
      <c r="N2886" s="14"/>
      <c r="O2886" s="4"/>
      <c r="P2886" s="14"/>
      <c r="Q2886" s="14"/>
    </row>
    <row r="2887" spans="1:17" x14ac:dyDescent="0.25">
      <c r="A2887" s="5"/>
      <c r="B2887" s="6"/>
      <c r="C2887" s="4"/>
      <c r="D2887" s="4"/>
      <c r="E2887" s="12"/>
      <c r="F2887" s="12"/>
      <c r="G2887" s="16"/>
      <c r="H2887" s="14"/>
      <c r="I2887" s="14"/>
      <c r="J2887" s="14"/>
      <c r="K2887" s="14"/>
      <c r="L2887" s="14"/>
      <c r="M2887" s="14"/>
      <c r="N2887" s="14"/>
      <c r="O2887" s="4"/>
      <c r="P2887" s="14"/>
      <c r="Q2887" s="14"/>
    </row>
    <row r="2888" spans="1:17" x14ac:dyDescent="0.25">
      <c r="A2888" s="5"/>
      <c r="B2888" s="6"/>
      <c r="C2888" s="4"/>
      <c r="D2888" s="4"/>
      <c r="E2888" s="12"/>
      <c r="F2888" s="12"/>
      <c r="G2888" s="16"/>
      <c r="H2888" s="14"/>
      <c r="I2888" s="14"/>
      <c r="J2888" s="14"/>
      <c r="K2888" s="14"/>
      <c r="L2888" s="14"/>
      <c r="M2888" s="14"/>
      <c r="N2888" s="14"/>
      <c r="O2888" s="4"/>
      <c r="P2888" s="14"/>
      <c r="Q2888" s="14"/>
    </row>
    <row r="2889" spans="1:17" x14ac:dyDescent="0.25">
      <c r="A2889" s="5"/>
      <c r="B2889" s="6"/>
      <c r="C2889" s="4"/>
      <c r="D2889" s="4"/>
      <c r="E2889" s="12"/>
      <c r="F2889" s="12"/>
      <c r="G2889" s="16"/>
      <c r="H2889" s="14"/>
      <c r="I2889" s="14"/>
      <c r="J2889" s="14"/>
      <c r="K2889" s="14"/>
      <c r="L2889" s="14"/>
      <c r="M2889" s="14"/>
      <c r="N2889" s="14"/>
      <c r="O2889" s="4"/>
      <c r="P2889" s="14"/>
      <c r="Q2889" s="14"/>
    </row>
    <row r="2890" spans="1:17" x14ac:dyDescent="0.25">
      <c r="A2890" s="5"/>
      <c r="B2890" s="6"/>
      <c r="C2890" s="4"/>
      <c r="D2890" s="4"/>
      <c r="E2890" s="12"/>
      <c r="F2890" s="12"/>
      <c r="G2890" s="16"/>
      <c r="H2890" s="14"/>
      <c r="I2890" s="14"/>
      <c r="J2890" s="14"/>
      <c r="K2890" s="14"/>
      <c r="L2890" s="14"/>
      <c r="M2890" s="14"/>
      <c r="N2890" s="14"/>
      <c r="O2890" s="4"/>
      <c r="P2890" s="14"/>
      <c r="Q2890" s="14"/>
    </row>
    <row r="2891" spans="1:17" x14ac:dyDescent="0.25">
      <c r="A2891" s="5"/>
      <c r="B2891" s="6"/>
      <c r="C2891" s="4"/>
      <c r="D2891" s="4"/>
      <c r="E2891" s="12"/>
      <c r="F2891" s="12"/>
      <c r="G2891" s="16"/>
      <c r="H2891" s="14"/>
      <c r="I2891" s="14"/>
      <c r="J2891" s="14"/>
      <c r="K2891" s="14"/>
      <c r="L2891" s="14"/>
      <c r="M2891" s="14"/>
      <c r="N2891" s="14"/>
      <c r="O2891" s="4"/>
      <c r="P2891" s="14"/>
      <c r="Q2891" s="14"/>
    </row>
    <row r="2892" spans="1:17" x14ac:dyDescent="0.25">
      <c r="A2892" s="5"/>
      <c r="B2892" s="6"/>
      <c r="C2892" s="4"/>
      <c r="D2892" s="4"/>
      <c r="E2892" s="12"/>
      <c r="F2892" s="12"/>
      <c r="G2892" s="16"/>
      <c r="H2892" s="14"/>
      <c r="I2892" s="14"/>
      <c r="J2892" s="14"/>
      <c r="K2892" s="14"/>
      <c r="L2892" s="14"/>
      <c r="M2892" s="14"/>
      <c r="N2892" s="14"/>
      <c r="O2892" s="4"/>
      <c r="P2892" s="14"/>
      <c r="Q2892" s="14"/>
    </row>
    <row r="2893" spans="1:17" x14ac:dyDescent="0.25">
      <c r="A2893" s="5"/>
      <c r="B2893" s="6"/>
      <c r="C2893" s="4"/>
      <c r="D2893" s="4"/>
      <c r="E2893" s="12"/>
      <c r="F2893" s="12"/>
      <c r="G2893" s="16"/>
      <c r="H2893" s="14"/>
      <c r="I2893" s="14"/>
      <c r="J2893" s="14"/>
      <c r="K2893" s="14"/>
      <c r="L2893" s="14"/>
      <c r="M2893" s="14"/>
      <c r="N2893" s="14"/>
      <c r="O2893" s="4"/>
      <c r="P2893" s="14"/>
      <c r="Q2893" s="14"/>
    </row>
    <row r="2894" spans="1:17" x14ac:dyDescent="0.25">
      <c r="A2894" s="5"/>
      <c r="B2894" s="6"/>
      <c r="C2894" s="4"/>
      <c r="D2894" s="4"/>
      <c r="E2894" s="12"/>
      <c r="F2894" s="12"/>
      <c r="G2894" s="16"/>
      <c r="H2894" s="14"/>
      <c r="I2894" s="14"/>
      <c r="J2894" s="14"/>
      <c r="K2894" s="14"/>
      <c r="L2894" s="14"/>
      <c r="M2894" s="14"/>
      <c r="N2894" s="14"/>
      <c r="O2894" s="4"/>
      <c r="P2894" s="14"/>
      <c r="Q2894" s="14"/>
    </row>
    <row r="2895" spans="1:17" x14ac:dyDescent="0.25">
      <c r="A2895" s="5"/>
      <c r="B2895" s="6"/>
      <c r="C2895" s="4"/>
      <c r="D2895" s="4"/>
      <c r="E2895" s="12"/>
      <c r="F2895" s="12"/>
      <c r="G2895" s="16"/>
      <c r="H2895" s="14"/>
      <c r="I2895" s="14"/>
      <c r="J2895" s="14"/>
      <c r="K2895" s="14"/>
      <c r="L2895" s="14"/>
      <c r="M2895" s="14"/>
      <c r="N2895" s="14"/>
      <c r="O2895" s="4"/>
      <c r="P2895" s="14"/>
      <c r="Q2895" s="14"/>
    </row>
    <row r="2896" spans="1:17" x14ac:dyDescent="0.25">
      <c r="A2896" s="5"/>
      <c r="B2896" s="6"/>
      <c r="C2896" s="4"/>
      <c r="D2896" s="4"/>
      <c r="E2896" s="12"/>
      <c r="F2896" s="12"/>
      <c r="G2896" s="16"/>
      <c r="H2896" s="14"/>
      <c r="I2896" s="14"/>
      <c r="J2896" s="14"/>
      <c r="K2896" s="14"/>
      <c r="L2896" s="14"/>
      <c r="M2896" s="14"/>
      <c r="N2896" s="14"/>
      <c r="O2896" s="4"/>
      <c r="P2896" s="14"/>
      <c r="Q2896" s="14"/>
    </row>
    <row r="2897" spans="1:17" x14ac:dyDescent="0.25">
      <c r="A2897" s="5"/>
      <c r="B2897" s="6"/>
      <c r="C2897" s="4"/>
      <c r="D2897" s="4"/>
      <c r="E2897" s="12"/>
      <c r="F2897" s="12"/>
      <c r="G2897" s="16"/>
      <c r="H2897" s="14"/>
      <c r="I2897" s="14"/>
      <c r="J2897" s="14"/>
      <c r="K2897" s="14"/>
      <c r="L2897" s="14"/>
      <c r="M2897" s="14"/>
      <c r="N2897" s="14"/>
      <c r="O2897" s="4"/>
      <c r="P2897" s="14"/>
      <c r="Q2897" s="14"/>
    </row>
    <row r="2898" spans="1:17" x14ac:dyDescent="0.25">
      <c r="A2898" s="5"/>
      <c r="B2898" s="6"/>
      <c r="C2898" s="4"/>
      <c r="D2898" s="4"/>
      <c r="E2898" s="12"/>
      <c r="F2898" s="12"/>
      <c r="G2898" s="16"/>
      <c r="H2898" s="14"/>
      <c r="I2898" s="14"/>
      <c r="J2898" s="14"/>
      <c r="K2898" s="14"/>
      <c r="L2898" s="14"/>
      <c r="M2898" s="14"/>
      <c r="N2898" s="14"/>
      <c r="O2898" s="4"/>
      <c r="P2898" s="14"/>
      <c r="Q2898" s="14"/>
    </row>
    <row r="2899" spans="1:17" x14ac:dyDescent="0.25">
      <c r="A2899" s="5"/>
      <c r="B2899" s="6"/>
      <c r="C2899" s="4"/>
      <c r="D2899" s="4"/>
      <c r="E2899" s="12"/>
      <c r="F2899" s="12"/>
      <c r="G2899" s="16"/>
      <c r="H2899" s="14"/>
      <c r="I2899" s="14"/>
      <c r="J2899" s="14"/>
      <c r="K2899" s="14"/>
      <c r="L2899" s="14"/>
      <c r="M2899" s="14"/>
      <c r="N2899" s="14"/>
      <c r="O2899" s="4"/>
      <c r="P2899" s="14"/>
      <c r="Q2899" s="14"/>
    </row>
    <row r="2900" spans="1:17" x14ac:dyDescent="0.25">
      <c r="A2900" s="5"/>
      <c r="B2900" s="6"/>
      <c r="C2900" s="4"/>
      <c r="D2900" s="4"/>
      <c r="E2900" s="12"/>
      <c r="F2900" s="12"/>
      <c r="G2900" s="16"/>
      <c r="H2900" s="14"/>
      <c r="I2900" s="14"/>
      <c r="J2900" s="14"/>
      <c r="K2900" s="14"/>
      <c r="L2900" s="14"/>
      <c r="M2900" s="14"/>
      <c r="N2900" s="14"/>
      <c r="O2900" s="4"/>
      <c r="P2900" s="14"/>
      <c r="Q2900" s="14"/>
    </row>
    <row r="2901" spans="1:17" x14ac:dyDescent="0.25">
      <c r="A2901" s="5"/>
      <c r="B2901" s="6"/>
      <c r="C2901" s="4"/>
      <c r="D2901" s="4"/>
      <c r="E2901" s="12"/>
      <c r="F2901" s="12"/>
      <c r="G2901" s="16"/>
      <c r="H2901" s="14"/>
      <c r="I2901" s="14"/>
      <c r="J2901" s="14"/>
      <c r="K2901" s="14"/>
      <c r="L2901" s="14"/>
      <c r="M2901" s="14"/>
      <c r="N2901" s="14"/>
      <c r="O2901" s="4"/>
      <c r="P2901" s="14"/>
      <c r="Q2901" s="14"/>
    </row>
    <row r="2902" spans="1:17" x14ac:dyDescent="0.25">
      <c r="A2902" s="5"/>
      <c r="B2902" s="6"/>
      <c r="C2902" s="4"/>
      <c r="D2902" s="4"/>
      <c r="E2902" s="12"/>
      <c r="F2902" s="12"/>
      <c r="G2902" s="16"/>
      <c r="H2902" s="14"/>
      <c r="I2902" s="14"/>
      <c r="J2902" s="14"/>
      <c r="K2902" s="14"/>
      <c r="L2902" s="14"/>
      <c r="M2902" s="14"/>
      <c r="N2902" s="14"/>
      <c r="O2902" s="4"/>
      <c r="P2902" s="14"/>
      <c r="Q2902" s="14"/>
    </row>
    <row r="2903" spans="1:17" x14ac:dyDescent="0.25">
      <c r="A2903" s="5"/>
      <c r="B2903" s="6"/>
      <c r="C2903" s="4"/>
      <c r="D2903" s="4"/>
      <c r="E2903" s="12"/>
      <c r="F2903" s="12"/>
      <c r="G2903" s="16"/>
      <c r="H2903" s="14"/>
      <c r="I2903" s="14"/>
      <c r="J2903" s="14"/>
      <c r="K2903" s="14"/>
      <c r="L2903" s="14"/>
      <c r="M2903" s="14"/>
      <c r="N2903" s="14"/>
      <c r="O2903" s="4"/>
      <c r="P2903" s="14"/>
      <c r="Q2903" s="14"/>
    </row>
    <row r="2904" spans="1:17" x14ac:dyDescent="0.25">
      <c r="A2904" s="5"/>
      <c r="B2904" s="6"/>
      <c r="C2904" s="4"/>
      <c r="D2904" s="4"/>
      <c r="E2904" s="12"/>
      <c r="F2904" s="12"/>
      <c r="G2904" s="16"/>
      <c r="H2904" s="14"/>
      <c r="I2904" s="14"/>
      <c r="J2904" s="14"/>
      <c r="K2904" s="14"/>
      <c r="L2904" s="14"/>
      <c r="M2904" s="14"/>
      <c r="N2904" s="14"/>
      <c r="O2904" s="4"/>
      <c r="P2904" s="14"/>
      <c r="Q2904" s="14"/>
    </row>
    <row r="2905" spans="1:17" x14ac:dyDescent="0.25">
      <c r="A2905" s="5"/>
      <c r="B2905" s="6"/>
      <c r="C2905" s="4"/>
      <c r="D2905" s="4"/>
      <c r="E2905" s="12"/>
      <c r="F2905" s="12"/>
      <c r="G2905" s="16"/>
      <c r="H2905" s="14"/>
      <c r="I2905" s="14"/>
      <c r="J2905" s="14"/>
      <c r="K2905" s="14"/>
      <c r="L2905" s="14"/>
      <c r="M2905" s="14"/>
      <c r="N2905" s="14"/>
      <c r="O2905" s="4"/>
      <c r="P2905" s="14"/>
      <c r="Q2905" s="14"/>
    </row>
    <row r="2906" spans="1:17" x14ac:dyDescent="0.25">
      <c r="A2906" s="5"/>
      <c r="B2906" s="6"/>
      <c r="C2906" s="4"/>
      <c r="D2906" s="4"/>
      <c r="E2906" s="12"/>
      <c r="F2906" s="12"/>
      <c r="G2906" s="16"/>
      <c r="H2906" s="14"/>
      <c r="I2906" s="14"/>
      <c r="J2906" s="14"/>
      <c r="K2906" s="14"/>
      <c r="L2906" s="14"/>
      <c r="M2906" s="14"/>
      <c r="N2906" s="14"/>
      <c r="O2906" s="4"/>
      <c r="P2906" s="14"/>
      <c r="Q2906" s="14"/>
    </row>
    <row r="2907" spans="1:17" x14ac:dyDescent="0.25">
      <c r="A2907" s="5"/>
      <c r="B2907" s="6"/>
      <c r="C2907" s="4"/>
      <c r="D2907" s="4"/>
      <c r="E2907" s="12"/>
      <c r="F2907" s="12"/>
      <c r="G2907" s="16"/>
      <c r="H2907" s="14"/>
      <c r="I2907" s="14"/>
      <c r="J2907" s="14"/>
      <c r="K2907" s="14"/>
      <c r="L2907" s="14"/>
      <c r="M2907" s="14"/>
      <c r="N2907" s="14"/>
      <c r="O2907" s="4"/>
      <c r="P2907" s="14"/>
      <c r="Q2907" s="14"/>
    </row>
    <row r="2908" spans="1:17" x14ac:dyDescent="0.25">
      <c r="A2908" s="5"/>
      <c r="B2908" s="6"/>
      <c r="C2908" s="4"/>
      <c r="D2908" s="4"/>
      <c r="E2908" s="12"/>
      <c r="F2908" s="12"/>
      <c r="G2908" s="16"/>
      <c r="H2908" s="14"/>
      <c r="I2908" s="14"/>
      <c r="J2908" s="14"/>
      <c r="K2908" s="14"/>
      <c r="L2908" s="14"/>
      <c r="M2908" s="14"/>
      <c r="N2908" s="14"/>
      <c r="O2908" s="4"/>
      <c r="P2908" s="14"/>
      <c r="Q2908" s="14"/>
    </row>
    <row r="2909" spans="1:17" x14ac:dyDescent="0.25">
      <c r="A2909" s="5"/>
      <c r="B2909" s="6"/>
      <c r="C2909" s="4"/>
      <c r="D2909" s="4"/>
      <c r="E2909" s="12"/>
      <c r="F2909" s="12"/>
      <c r="G2909" s="16"/>
      <c r="H2909" s="14"/>
      <c r="I2909" s="14"/>
      <c r="J2909" s="14"/>
      <c r="K2909" s="14"/>
      <c r="L2909" s="14"/>
      <c r="M2909" s="14"/>
      <c r="N2909" s="14"/>
      <c r="O2909" s="4"/>
      <c r="P2909" s="14"/>
      <c r="Q2909" s="14"/>
    </row>
    <row r="2910" spans="1:17" x14ac:dyDescent="0.25">
      <c r="A2910" s="5"/>
      <c r="B2910" s="6"/>
      <c r="C2910" s="4"/>
      <c r="D2910" s="4"/>
      <c r="E2910" s="12"/>
      <c r="F2910" s="12"/>
      <c r="G2910" s="16"/>
      <c r="H2910" s="14"/>
      <c r="I2910" s="14"/>
      <c r="J2910" s="14"/>
      <c r="K2910" s="14"/>
      <c r="L2910" s="14"/>
      <c r="M2910" s="14"/>
      <c r="N2910" s="14"/>
      <c r="O2910" s="4"/>
      <c r="P2910" s="14"/>
      <c r="Q2910" s="14"/>
    </row>
    <row r="2911" spans="1:17" x14ac:dyDescent="0.25">
      <c r="A2911" s="5"/>
      <c r="B2911" s="6"/>
      <c r="C2911" s="4"/>
      <c r="D2911" s="4"/>
      <c r="E2911" s="12"/>
      <c r="F2911" s="12"/>
      <c r="G2911" s="16"/>
      <c r="H2911" s="14"/>
      <c r="I2911" s="14"/>
      <c r="J2911" s="14"/>
      <c r="K2911" s="14"/>
      <c r="L2911" s="14"/>
      <c r="M2911" s="14"/>
      <c r="N2911" s="14"/>
      <c r="O2911" s="4"/>
      <c r="P2911" s="14"/>
      <c r="Q2911" s="14"/>
    </row>
    <row r="2912" spans="1:17" x14ac:dyDescent="0.25">
      <c r="A2912" s="5"/>
      <c r="B2912" s="6"/>
      <c r="C2912" s="4"/>
      <c r="D2912" s="4"/>
      <c r="E2912" s="12"/>
      <c r="F2912" s="12"/>
      <c r="G2912" s="16"/>
      <c r="H2912" s="14"/>
      <c r="I2912" s="14"/>
      <c r="J2912" s="14"/>
      <c r="K2912" s="14"/>
      <c r="L2912" s="14"/>
      <c r="M2912" s="14"/>
      <c r="N2912" s="14"/>
      <c r="O2912" s="4"/>
      <c r="P2912" s="14"/>
      <c r="Q2912" s="14"/>
    </row>
    <row r="2913" spans="1:17" x14ac:dyDescent="0.25">
      <c r="A2913" s="5"/>
      <c r="B2913" s="6"/>
      <c r="C2913" s="4"/>
      <c r="D2913" s="4"/>
      <c r="E2913" s="12"/>
      <c r="F2913" s="12"/>
      <c r="G2913" s="16"/>
      <c r="H2913" s="14"/>
      <c r="I2913" s="14"/>
      <c r="J2913" s="14"/>
      <c r="K2913" s="14"/>
      <c r="L2913" s="14"/>
      <c r="M2913" s="14"/>
      <c r="N2913" s="14"/>
      <c r="O2913" s="4"/>
      <c r="P2913" s="14"/>
      <c r="Q2913" s="14"/>
    </row>
    <row r="2914" spans="1:17" x14ac:dyDescent="0.25">
      <c r="A2914" s="5"/>
      <c r="B2914" s="6"/>
      <c r="C2914" s="4"/>
      <c r="D2914" s="4"/>
      <c r="E2914" s="12"/>
      <c r="F2914" s="12"/>
      <c r="G2914" s="16"/>
      <c r="H2914" s="14"/>
      <c r="I2914" s="14"/>
      <c r="J2914" s="14"/>
      <c r="K2914" s="14"/>
      <c r="L2914" s="14"/>
      <c r="M2914" s="14"/>
      <c r="N2914" s="14"/>
      <c r="O2914" s="4"/>
      <c r="P2914" s="14"/>
      <c r="Q2914" s="14"/>
    </row>
    <row r="2915" spans="1:17" x14ac:dyDescent="0.25">
      <c r="A2915" s="5"/>
      <c r="B2915" s="6"/>
      <c r="C2915" s="4"/>
      <c r="D2915" s="4"/>
      <c r="E2915" s="12"/>
      <c r="F2915" s="12"/>
      <c r="G2915" s="16"/>
      <c r="H2915" s="14"/>
      <c r="I2915" s="14"/>
      <c r="J2915" s="14"/>
      <c r="K2915" s="14"/>
      <c r="L2915" s="14"/>
      <c r="M2915" s="14"/>
      <c r="N2915" s="14"/>
      <c r="O2915" s="4"/>
      <c r="P2915" s="14"/>
      <c r="Q2915" s="14"/>
    </row>
    <row r="2916" spans="1:17" x14ac:dyDescent="0.25">
      <c r="A2916" s="5"/>
      <c r="B2916" s="6"/>
      <c r="C2916" s="4"/>
      <c r="D2916" s="4"/>
      <c r="E2916" s="12"/>
      <c r="F2916" s="12"/>
      <c r="G2916" s="16"/>
      <c r="H2916" s="14"/>
      <c r="I2916" s="14"/>
      <c r="J2916" s="14"/>
      <c r="K2916" s="14"/>
      <c r="L2916" s="14"/>
      <c r="M2916" s="14"/>
      <c r="N2916" s="14"/>
      <c r="O2916" s="4"/>
      <c r="P2916" s="14"/>
      <c r="Q2916" s="14"/>
    </row>
    <row r="2917" spans="1:17" x14ac:dyDescent="0.25">
      <c r="A2917" s="5"/>
      <c r="B2917" s="6"/>
      <c r="C2917" s="4"/>
      <c r="D2917" s="4"/>
      <c r="E2917" s="12"/>
      <c r="F2917" s="12"/>
      <c r="G2917" s="16"/>
      <c r="H2917" s="14"/>
      <c r="I2917" s="14"/>
      <c r="J2917" s="14"/>
      <c r="K2917" s="14"/>
      <c r="L2917" s="14"/>
      <c r="M2917" s="14"/>
      <c r="N2917" s="14"/>
      <c r="O2917" s="4"/>
      <c r="P2917" s="14"/>
      <c r="Q2917" s="14"/>
    </row>
    <row r="2918" spans="1:17" x14ac:dyDescent="0.25">
      <c r="A2918" s="5"/>
      <c r="B2918" s="6"/>
      <c r="C2918" s="4"/>
      <c r="D2918" s="4"/>
      <c r="E2918" s="12"/>
      <c r="F2918" s="12"/>
      <c r="G2918" s="16"/>
      <c r="H2918" s="14"/>
      <c r="I2918" s="14"/>
      <c r="J2918" s="14"/>
      <c r="K2918" s="14"/>
      <c r="L2918" s="14"/>
      <c r="M2918" s="14"/>
      <c r="N2918" s="14"/>
      <c r="O2918" s="4"/>
      <c r="P2918" s="14"/>
      <c r="Q2918" s="14"/>
    </row>
    <row r="2919" spans="1:17" x14ac:dyDescent="0.25">
      <c r="A2919" s="5"/>
      <c r="B2919" s="6"/>
      <c r="C2919" s="4"/>
      <c r="D2919" s="4"/>
      <c r="E2919" s="12"/>
      <c r="F2919" s="12"/>
      <c r="G2919" s="16"/>
      <c r="H2919" s="14"/>
      <c r="I2919" s="14"/>
      <c r="J2919" s="14"/>
      <c r="K2919" s="14"/>
      <c r="L2919" s="14"/>
      <c r="M2919" s="14"/>
      <c r="N2919" s="14"/>
      <c r="O2919" s="4"/>
      <c r="P2919" s="14"/>
      <c r="Q2919" s="14"/>
    </row>
    <row r="2920" spans="1:17" x14ac:dyDescent="0.25">
      <c r="A2920" s="5"/>
      <c r="B2920" s="6"/>
      <c r="C2920" s="4"/>
      <c r="D2920" s="4"/>
      <c r="E2920" s="12"/>
      <c r="F2920" s="12"/>
      <c r="G2920" s="16"/>
      <c r="H2920" s="14"/>
      <c r="I2920" s="14"/>
      <c r="J2920" s="14"/>
      <c r="K2920" s="14"/>
      <c r="L2920" s="14"/>
      <c r="M2920" s="14"/>
      <c r="N2920" s="14"/>
      <c r="O2920" s="4"/>
      <c r="P2920" s="14"/>
      <c r="Q2920" s="14"/>
    </row>
    <row r="2921" spans="1:17" x14ac:dyDescent="0.25">
      <c r="A2921" s="5"/>
      <c r="B2921" s="6"/>
      <c r="C2921" s="4"/>
      <c r="D2921" s="4"/>
      <c r="E2921" s="12"/>
      <c r="F2921" s="12"/>
      <c r="G2921" s="16"/>
      <c r="H2921" s="14"/>
      <c r="I2921" s="14"/>
      <c r="J2921" s="14"/>
      <c r="K2921" s="14"/>
      <c r="L2921" s="14"/>
      <c r="M2921" s="14"/>
      <c r="N2921" s="14"/>
      <c r="O2921" s="4"/>
      <c r="P2921" s="14"/>
      <c r="Q2921" s="14"/>
    </row>
    <row r="2922" spans="1:17" x14ac:dyDescent="0.25">
      <c r="A2922" s="5"/>
      <c r="B2922" s="6"/>
      <c r="C2922" s="4"/>
      <c r="D2922" s="4"/>
      <c r="E2922" s="12"/>
      <c r="F2922" s="12"/>
      <c r="G2922" s="16"/>
      <c r="H2922" s="14"/>
      <c r="I2922" s="14"/>
      <c r="J2922" s="14"/>
      <c r="K2922" s="14"/>
      <c r="L2922" s="14"/>
      <c r="M2922" s="14"/>
      <c r="N2922" s="14"/>
      <c r="O2922" s="4"/>
      <c r="P2922" s="14"/>
      <c r="Q2922" s="14"/>
    </row>
    <row r="2923" spans="1:17" x14ac:dyDescent="0.25">
      <c r="A2923" s="5"/>
      <c r="B2923" s="6"/>
      <c r="C2923" s="4"/>
      <c r="D2923" s="4"/>
      <c r="E2923" s="12"/>
      <c r="F2923" s="12"/>
      <c r="G2923" s="16"/>
      <c r="H2923" s="14"/>
      <c r="I2923" s="14"/>
      <c r="J2923" s="14"/>
      <c r="K2923" s="14"/>
      <c r="L2923" s="14"/>
      <c r="M2923" s="14"/>
      <c r="N2923" s="14"/>
      <c r="O2923" s="4"/>
      <c r="P2923" s="14"/>
      <c r="Q2923" s="14"/>
    </row>
    <row r="2924" spans="1:17" x14ac:dyDescent="0.25">
      <c r="A2924" s="5"/>
      <c r="B2924" s="6"/>
      <c r="C2924" s="4"/>
      <c r="D2924" s="4"/>
      <c r="E2924" s="12"/>
      <c r="F2924" s="12"/>
      <c r="G2924" s="16"/>
      <c r="H2924" s="14"/>
      <c r="I2924" s="14"/>
      <c r="J2924" s="14"/>
      <c r="K2924" s="14"/>
      <c r="L2924" s="14"/>
      <c r="M2924" s="14"/>
      <c r="N2924" s="14"/>
      <c r="O2924" s="4"/>
      <c r="P2924" s="14"/>
      <c r="Q2924" s="14"/>
    </row>
    <row r="2925" spans="1:17" x14ac:dyDescent="0.25">
      <c r="A2925" s="5"/>
      <c r="B2925" s="6"/>
      <c r="C2925" s="4"/>
      <c r="D2925" s="4"/>
      <c r="E2925" s="12"/>
      <c r="F2925" s="12"/>
      <c r="G2925" s="16"/>
      <c r="H2925" s="14"/>
      <c r="I2925" s="14"/>
      <c r="J2925" s="14"/>
      <c r="K2925" s="14"/>
      <c r="L2925" s="14"/>
      <c r="M2925" s="14"/>
      <c r="N2925" s="14"/>
      <c r="O2925" s="4"/>
      <c r="P2925" s="14"/>
      <c r="Q2925" s="14"/>
    </row>
    <row r="2926" spans="1:17" x14ac:dyDescent="0.25">
      <c r="A2926" s="5"/>
      <c r="B2926" s="6"/>
      <c r="C2926" s="4"/>
      <c r="D2926" s="4"/>
      <c r="E2926" s="12"/>
      <c r="F2926" s="12"/>
      <c r="G2926" s="16"/>
      <c r="H2926" s="14"/>
      <c r="I2926" s="14"/>
      <c r="J2926" s="14"/>
      <c r="K2926" s="14"/>
      <c r="L2926" s="14"/>
      <c r="M2926" s="14"/>
      <c r="N2926" s="14"/>
      <c r="O2926" s="4"/>
      <c r="P2926" s="14"/>
      <c r="Q2926" s="14"/>
    </row>
    <row r="2927" spans="1:17" x14ac:dyDescent="0.25">
      <c r="A2927" s="5"/>
      <c r="B2927" s="6"/>
      <c r="C2927" s="4"/>
      <c r="D2927" s="4"/>
      <c r="E2927" s="12"/>
      <c r="F2927" s="12"/>
      <c r="G2927" s="16"/>
      <c r="H2927" s="14"/>
      <c r="I2927" s="14"/>
      <c r="J2927" s="14"/>
      <c r="K2927" s="14"/>
      <c r="L2927" s="14"/>
      <c r="M2927" s="14"/>
      <c r="N2927" s="14"/>
      <c r="O2927" s="4"/>
      <c r="P2927" s="14"/>
      <c r="Q2927" s="14"/>
    </row>
    <row r="2928" spans="1:17" x14ac:dyDescent="0.25">
      <c r="A2928" s="5"/>
      <c r="B2928" s="6"/>
      <c r="C2928" s="4"/>
      <c r="D2928" s="4"/>
      <c r="E2928" s="12"/>
      <c r="F2928" s="12"/>
      <c r="G2928" s="16"/>
      <c r="H2928" s="14"/>
      <c r="I2928" s="14"/>
      <c r="J2928" s="14"/>
      <c r="K2928" s="14"/>
      <c r="L2928" s="14"/>
      <c r="M2928" s="14"/>
      <c r="N2928" s="14"/>
      <c r="O2928" s="4"/>
      <c r="P2928" s="14"/>
      <c r="Q2928" s="14"/>
    </row>
    <row r="2929" spans="1:17" x14ac:dyDescent="0.25">
      <c r="A2929" s="5"/>
      <c r="B2929" s="6"/>
      <c r="C2929" s="4"/>
      <c r="D2929" s="4"/>
      <c r="E2929" s="12"/>
      <c r="F2929" s="12"/>
      <c r="G2929" s="16"/>
      <c r="H2929" s="14"/>
      <c r="I2929" s="14"/>
      <c r="J2929" s="14"/>
      <c r="K2929" s="14"/>
      <c r="L2929" s="14"/>
      <c r="M2929" s="14"/>
      <c r="N2929" s="14"/>
      <c r="O2929" s="4"/>
      <c r="P2929" s="14"/>
      <c r="Q2929" s="14"/>
    </row>
    <row r="2930" spans="1:17" x14ac:dyDescent="0.25">
      <c r="A2930" s="5"/>
      <c r="B2930" s="6"/>
      <c r="C2930" s="4"/>
      <c r="D2930" s="4"/>
      <c r="E2930" s="12"/>
      <c r="F2930" s="12"/>
      <c r="G2930" s="16"/>
      <c r="H2930" s="14"/>
      <c r="I2930" s="14"/>
      <c r="J2930" s="14"/>
      <c r="K2930" s="14"/>
      <c r="L2930" s="14"/>
      <c r="M2930" s="14"/>
      <c r="N2930" s="14"/>
      <c r="O2930" s="4"/>
      <c r="P2930" s="14"/>
      <c r="Q2930" s="14"/>
    </row>
    <row r="2931" spans="1:17" x14ac:dyDescent="0.25">
      <c r="A2931" s="5"/>
      <c r="B2931" s="6"/>
      <c r="C2931" s="4"/>
      <c r="D2931" s="4"/>
      <c r="E2931" s="12"/>
      <c r="F2931" s="12"/>
      <c r="G2931" s="16"/>
      <c r="H2931" s="14"/>
      <c r="I2931" s="14"/>
      <c r="J2931" s="14"/>
      <c r="K2931" s="14"/>
      <c r="L2931" s="14"/>
      <c r="M2931" s="14"/>
      <c r="N2931" s="14"/>
      <c r="O2931" s="4"/>
      <c r="P2931" s="14"/>
      <c r="Q2931" s="14"/>
    </row>
    <row r="2932" spans="1:17" x14ac:dyDescent="0.25">
      <c r="A2932" s="5"/>
      <c r="B2932" s="6"/>
      <c r="C2932" s="4"/>
      <c r="D2932" s="4"/>
      <c r="E2932" s="12"/>
      <c r="F2932" s="12"/>
      <c r="G2932" s="16"/>
      <c r="H2932" s="14"/>
      <c r="I2932" s="14"/>
      <c r="J2932" s="14"/>
      <c r="K2932" s="14"/>
      <c r="L2932" s="14"/>
      <c r="M2932" s="14"/>
      <c r="N2932" s="14"/>
      <c r="O2932" s="4"/>
      <c r="P2932" s="14"/>
      <c r="Q2932" s="14"/>
    </row>
    <row r="2933" spans="1:17" x14ac:dyDescent="0.25">
      <c r="A2933" s="5"/>
      <c r="B2933" s="6"/>
      <c r="C2933" s="4"/>
      <c r="D2933" s="4"/>
      <c r="E2933" s="12"/>
      <c r="F2933" s="12"/>
      <c r="G2933" s="16"/>
      <c r="H2933" s="14"/>
      <c r="I2933" s="14"/>
      <c r="J2933" s="14"/>
      <c r="K2933" s="14"/>
      <c r="L2933" s="14"/>
      <c r="M2933" s="14"/>
      <c r="N2933" s="14"/>
      <c r="O2933" s="4"/>
      <c r="P2933" s="14"/>
      <c r="Q2933" s="14"/>
    </row>
    <row r="2934" spans="1:17" x14ac:dyDescent="0.25">
      <c r="A2934" s="5"/>
      <c r="B2934" s="6"/>
      <c r="C2934" s="4"/>
      <c r="D2934" s="4"/>
      <c r="E2934" s="12"/>
      <c r="F2934" s="12"/>
      <c r="G2934" s="16"/>
      <c r="H2934" s="14"/>
      <c r="I2934" s="14"/>
      <c r="J2934" s="14"/>
      <c r="K2934" s="14"/>
      <c r="L2934" s="14"/>
      <c r="M2934" s="14"/>
      <c r="N2934" s="14"/>
      <c r="O2934" s="4"/>
      <c r="P2934" s="14"/>
      <c r="Q2934" s="14"/>
    </row>
    <row r="2935" spans="1:17" x14ac:dyDescent="0.25">
      <c r="A2935" s="5"/>
      <c r="B2935" s="6"/>
      <c r="C2935" s="4"/>
      <c r="D2935" s="4"/>
      <c r="E2935" s="12"/>
      <c r="F2935" s="12"/>
      <c r="G2935" s="16"/>
      <c r="H2935" s="14"/>
      <c r="I2935" s="14"/>
      <c r="J2935" s="14"/>
      <c r="K2935" s="14"/>
      <c r="L2935" s="14"/>
      <c r="M2935" s="14"/>
      <c r="N2935" s="14"/>
      <c r="O2935" s="4"/>
      <c r="P2935" s="14"/>
      <c r="Q2935" s="14"/>
    </row>
    <row r="2936" spans="1:17" x14ac:dyDescent="0.25">
      <c r="A2936" s="5"/>
      <c r="B2936" s="6"/>
      <c r="C2936" s="4"/>
      <c r="D2936" s="4"/>
      <c r="E2936" s="12"/>
      <c r="F2936" s="12"/>
      <c r="G2936" s="16"/>
      <c r="H2936" s="14"/>
      <c r="I2936" s="14"/>
      <c r="J2936" s="14"/>
      <c r="K2936" s="14"/>
      <c r="L2936" s="14"/>
      <c r="M2936" s="14"/>
      <c r="N2936" s="14"/>
      <c r="O2936" s="4"/>
      <c r="P2936" s="14"/>
      <c r="Q2936" s="14"/>
    </row>
    <row r="2937" spans="1:17" x14ac:dyDescent="0.25">
      <c r="A2937" s="5"/>
      <c r="B2937" s="6"/>
      <c r="C2937" s="4"/>
      <c r="D2937" s="4"/>
      <c r="E2937" s="12"/>
      <c r="F2937" s="12"/>
      <c r="G2937" s="16"/>
      <c r="H2937" s="14"/>
      <c r="I2937" s="14"/>
      <c r="J2937" s="14"/>
      <c r="K2937" s="14"/>
      <c r="L2937" s="14"/>
      <c r="M2937" s="14"/>
      <c r="N2937" s="14"/>
      <c r="O2937" s="4"/>
      <c r="P2937" s="14"/>
      <c r="Q2937" s="14"/>
    </row>
    <row r="2938" spans="1:17" x14ac:dyDescent="0.25">
      <c r="A2938" s="5"/>
      <c r="B2938" s="6"/>
      <c r="C2938" s="4"/>
      <c r="D2938" s="4"/>
      <c r="E2938" s="12"/>
      <c r="F2938" s="12"/>
      <c r="G2938" s="16"/>
      <c r="H2938" s="14"/>
      <c r="I2938" s="14"/>
      <c r="J2938" s="14"/>
      <c r="K2938" s="14"/>
      <c r="L2938" s="14"/>
      <c r="M2938" s="14"/>
      <c r="N2938" s="14"/>
      <c r="O2938" s="4"/>
      <c r="P2938" s="14"/>
      <c r="Q2938" s="14"/>
    </row>
    <row r="2939" spans="1:17" x14ac:dyDescent="0.25">
      <c r="A2939" s="5"/>
      <c r="B2939" s="6"/>
      <c r="C2939" s="4"/>
      <c r="D2939" s="4"/>
      <c r="E2939" s="12"/>
      <c r="F2939" s="12"/>
      <c r="G2939" s="16"/>
      <c r="H2939" s="14"/>
      <c r="I2939" s="14"/>
      <c r="J2939" s="14"/>
      <c r="K2939" s="14"/>
      <c r="L2939" s="14"/>
      <c r="M2939" s="14"/>
      <c r="N2939" s="14"/>
      <c r="O2939" s="4"/>
      <c r="P2939" s="14"/>
      <c r="Q2939" s="14"/>
    </row>
    <row r="2940" spans="1:17" x14ac:dyDescent="0.25">
      <c r="A2940" s="5"/>
      <c r="B2940" s="6"/>
      <c r="C2940" s="4"/>
      <c r="D2940" s="4"/>
      <c r="E2940" s="12"/>
      <c r="F2940" s="12"/>
      <c r="G2940" s="16"/>
      <c r="H2940" s="14"/>
      <c r="I2940" s="14"/>
      <c r="J2940" s="14"/>
      <c r="K2940" s="14"/>
      <c r="L2940" s="14"/>
      <c r="M2940" s="14"/>
      <c r="N2940" s="14"/>
      <c r="O2940" s="4"/>
      <c r="P2940" s="14"/>
      <c r="Q2940" s="14"/>
    </row>
    <row r="2941" spans="1:17" x14ac:dyDescent="0.25">
      <c r="A2941" s="5"/>
      <c r="B2941" s="6"/>
      <c r="C2941" s="4"/>
      <c r="D2941" s="4"/>
      <c r="E2941" s="12"/>
      <c r="F2941" s="12"/>
      <c r="G2941" s="16"/>
      <c r="H2941" s="14"/>
      <c r="I2941" s="14"/>
      <c r="J2941" s="14"/>
      <c r="K2941" s="14"/>
      <c r="L2941" s="14"/>
      <c r="M2941" s="14"/>
      <c r="N2941" s="14"/>
      <c r="O2941" s="4"/>
      <c r="P2941" s="14"/>
      <c r="Q2941" s="14"/>
    </row>
    <row r="2942" spans="1:17" x14ac:dyDescent="0.25">
      <c r="A2942" s="5"/>
      <c r="B2942" s="6"/>
      <c r="C2942" s="4"/>
      <c r="D2942" s="4"/>
      <c r="E2942" s="12"/>
      <c r="F2942" s="12"/>
      <c r="G2942" s="16"/>
      <c r="H2942" s="14"/>
      <c r="I2942" s="14"/>
      <c r="J2942" s="14"/>
      <c r="K2942" s="14"/>
      <c r="L2942" s="14"/>
      <c r="M2942" s="14"/>
      <c r="N2942" s="14"/>
      <c r="O2942" s="4"/>
      <c r="P2942" s="14"/>
      <c r="Q2942" s="14"/>
    </row>
    <row r="2943" spans="1:17" x14ac:dyDescent="0.25">
      <c r="A2943" s="5"/>
      <c r="B2943" s="6"/>
      <c r="C2943" s="4"/>
      <c r="D2943" s="4"/>
      <c r="E2943" s="12"/>
      <c r="F2943" s="12"/>
      <c r="G2943" s="16"/>
      <c r="H2943" s="14"/>
      <c r="I2943" s="14"/>
      <c r="J2943" s="14"/>
      <c r="K2943" s="14"/>
      <c r="L2943" s="14"/>
      <c r="M2943" s="14"/>
      <c r="N2943" s="14"/>
      <c r="O2943" s="4"/>
      <c r="P2943" s="14"/>
      <c r="Q2943" s="14"/>
    </row>
    <row r="2944" spans="1:17" x14ac:dyDescent="0.25">
      <c r="A2944" s="5"/>
      <c r="B2944" s="6"/>
      <c r="C2944" s="4"/>
      <c r="D2944" s="4"/>
      <c r="E2944" s="12"/>
      <c r="F2944" s="12"/>
      <c r="G2944" s="16"/>
      <c r="H2944" s="14"/>
      <c r="I2944" s="14"/>
      <c r="J2944" s="14"/>
      <c r="K2944" s="14"/>
      <c r="L2944" s="14"/>
      <c r="M2944" s="14"/>
      <c r="N2944" s="14"/>
      <c r="O2944" s="4"/>
      <c r="P2944" s="14"/>
      <c r="Q2944" s="14"/>
    </row>
    <row r="2945" spans="1:17" x14ac:dyDescent="0.25">
      <c r="A2945" s="5"/>
      <c r="B2945" s="6"/>
      <c r="C2945" s="4"/>
      <c r="D2945" s="4"/>
      <c r="E2945" s="12"/>
      <c r="F2945" s="12"/>
      <c r="G2945" s="16"/>
      <c r="H2945" s="14"/>
      <c r="I2945" s="14"/>
      <c r="J2945" s="14"/>
      <c r="K2945" s="14"/>
      <c r="L2945" s="14"/>
      <c r="M2945" s="14"/>
      <c r="N2945" s="14"/>
      <c r="O2945" s="4"/>
      <c r="P2945" s="14"/>
      <c r="Q2945" s="14"/>
    </row>
    <row r="2946" spans="1:17" x14ac:dyDescent="0.25">
      <c r="A2946" s="5"/>
      <c r="B2946" s="6"/>
      <c r="C2946" s="4"/>
      <c r="D2946" s="4"/>
      <c r="E2946" s="12"/>
      <c r="F2946" s="12"/>
      <c r="G2946" s="16"/>
      <c r="H2946" s="14"/>
      <c r="I2946" s="14"/>
      <c r="J2946" s="14"/>
      <c r="K2946" s="14"/>
      <c r="L2946" s="14"/>
      <c r="M2946" s="14"/>
      <c r="N2946" s="14"/>
      <c r="O2946" s="4"/>
      <c r="P2946" s="14"/>
      <c r="Q2946" s="14"/>
    </row>
    <row r="2947" spans="1:17" x14ac:dyDescent="0.25">
      <c r="A2947" s="5"/>
      <c r="B2947" s="6"/>
      <c r="C2947" s="4"/>
      <c r="D2947" s="4"/>
      <c r="E2947" s="12"/>
      <c r="F2947" s="12"/>
      <c r="G2947" s="16"/>
      <c r="H2947" s="14"/>
      <c r="I2947" s="14"/>
      <c r="J2947" s="14"/>
      <c r="K2947" s="14"/>
      <c r="L2947" s="14"/>
      <c r="M2947" s="14"/>
      <c r="N2947" s="14"/>
      <c r="O2947" s="4"/>
      <c r="P2947" s="14"/>
      <c r="Q2947" s="14"/>
    </row>
    <row r="2948" spans="1:17" x14ac:dyDescent="0.25">
      <c r="A2948" s="5"/>
      <c r="B2948" s="6"/>
      <c r="C2948" s="4"/>
      <c r="D2948" s="4"/>
      <c r="E2948" s="12"/>
      <c r="F2948" s="12"/>
      <c r="G2948" s="16"/>
      <c r="H2948" s="14"/>
      <c r="I2948" s="14"/>
      <c r="J2948" s="14"/>
      <c r="K2948" s="14"/>
      <c r="L2948" s="14"/>
      <c r="M2948" s="14"/>
      <c r="N2948" s="14"/>
      <c r="O2948" s="4"/>
      <c r="P2948" s="14"/>
      <c r="Q2948" s="14"/>
    </row>
    <row r="2949" spans="1:17" x14ac:dyDescent="0.25">
      <c r="A2949" s="5"/>
      <c r="B2949" s="6"/>
      <c r="C2949" s="4"/>
      <c r="D2949" s="4"/>
      <c r="E2949" s="12"/>
      <c r="F2949" s="12"/>
      <c r="G2949" s="16"/>
      <c r="H2949" s="14"/>
      <c r="I2949" s="14"/>
      <c r="J2949" s="14"/>
      <c r="K2949" s="14"/>
      <c r="L2949" s="14"/>
      <c r="M2949" s="14"/>
      <c r="N2949" s="14"/>
      <c r="O2949" s="4"/>
      <c r="P2949" s="14"/>
      <c r="Q2949" s="14"/>
    </row>
    <row r="2950" spans="1:17" x14ac:dyDescent="0.25">
      <c r="A2950" s="5"/>
      <c r="B2950" s="6"/>
      <c r="C2950" s="4"/>
      <c r="D2950" s="4"/>
      <c r="E2950" s="12"/>
      <c r="F2950" s="12"/>
      <c r="G2950" s="16"/>
      <c r="H2950" s="14"/>
      <c r="I2950" s="14"/>
      <c r="J2950" s="14"/>
      <c r="K2950" s="14"/>
      <c r="L2950" s="14"/>
      <c r="M2950" s="14"/>
      <c r="N2950" s="14"/>
      <c r="O2950" s="4"/>
      <c r="P2950" s="14"/>
      <c r="Q2950" s="14"/>
    </row>
    <row r="2951" spans="1:17" x14ac:dyDescent="0.25">
      <c r="A2951" s="5"/>
      <c r="B2951" s="6"/>
      <c r="C2951" s="4"/>
      <c r="D2951" s="4"/>
      <c r="E2951" s="12"/>
      <c r="F2951" s="12"/>
      <c r="G2951" s="16"/>
      <c r="H2951" s="14"/>
      <c r="I2951" s="14"/>
      <c r="J2951" s="14"/>
      <c r="K2951" s="14"/>
      <c r="L2951" s="14"/>
      <c r="M2951" s="14"/>
      <c r="N2951" s="14"/>
      <c r="O2951" s="4"/>
      <c r="P2951" s="14"/>
      <c r="Q2951" s="14"/>
    </row>
    <row r="2952" spans="1:17" x14ac:dyDescent="0.25">
      <c r="A2952" s="5"/>
      <c r="B2952" s="6"/>
      <c r="C2952" s="4"/>
      <c r="D2952" s="4"/>
      <c r="E2952" s="12"/>
      <c r="F2952" s="12"/>
      <c r="G2952" s="16"/>
      <c r="H2952" s="14"/>
      <c r="I2952" s="14"/>
      <c r="J2952" s="14"/>
      <c r="K2952" s="14"/>
      <c r="L2952" s="14"/>
      <c r="M2952" s="14"/>
      <c r="N2952" s="14"/>
      <c r="O2952" s="4"/>
      <c r="P2952" s="14"/>
      <c r="Q2952" s="14"/>
    </row>
    <row r="2953" spans="1:17" x14ac:dyDescent="0.25">
      <c r="A2953" s="5"/>
      <c r="B2953" s="6"/>
      <c r="C2953" s="4"/>
      <c r="D2953" s="4"/>
      <c r="E2953" s="12"/>
      <c r="F2953" s="12"/>
      <c r="G2953" s="16"/>
      <c r="H2953" s="14"/>
      <c r="I2953" s="14"/>
      <c r="J2953" s="14"/>
      <c r="K2953" s="14"/>
      <c r="L2953" s="14"/>
      <c r="M2953" s="14"/>
      <c r="N2953" s="14"/>
      <c r="O2953" s="4"/>
      <c r="P2953" s="14"/>
      <c r="Q2953" s="14"/>
    </row>
    <row r="2954" spans="1:17" x14ac:dyDescent="0.25">
      <c r="A2954" s="5"/>
      <c r="B2954" s="6"/>
      <c r="C2954" s="4"/>
      <c r="D2954" s="4"/>
      <c r="E2954" s="12"/>
      <c r="F2954" s="12"/>
      <c r="G2954" s="16"/>
      <c r="H2954" s="14"/>
      <c r="I2954" s="14"/>
      <c r="J2954" s="14"/>
      <c r="K2954" s="14"/>
      <c r="L2954" s="14"/>
      <c r="M2954" s="14"/>
      <c r="N2954" s="14"/>
      <c r="O2954" s="4"/>
      <c r="P2954" s="14"/>
      <c r="Q2954" s="14"/>
    </row>
    <row r="2955" spans="1:17" x14ac:dyDescent="0.25">
      <c r="A2955" s="5"/>
      <c r="B2955" s="6"/>
      <c r="C2955" s="4"/>
      <c r="D2955" s="4"/>
      <c r="E2955" s="12"/>
      <c r="F2955" s="12"/>
      <c r="G2955" s="16"/>
      <c r="H2955" s="14"/>
      <c r="I2955" s="14"/>
      <c r="J2955" s="14"/>
      <c r="K2955" s="14"/>
      <c r="L2955" s="14"/>
      <c r="M2955" s="14"/>
      <c r="N2955" s="14"/>
      <c r="O2955" s="4"/>
      <c r="P2955" s="14"/>
      <c r="Q2955" s="14"/>
    </row>
    <row r="2956" spans="1:17" x14ac:dyDescent="0.25">
      <c r="A2956" s="5"/>
      <c r="B2956" s="6"/>
      <c r="C2956" s="4"/>
      <c r="D2956" s="4"/>
      <c r="E2956" s="12"/>
      <c r="F2956" s="12"/>
      <c r="G2956" s="16"/>
      <c r="H2956" s="14"/>
      <c r="I2956" s="14"/>
      <c r="J2956" s="14"/>
      <c r="K2956" s="14"/>
      <c r="L2956" s="14"/>
      <c r="M2956" s="14"/>
      <c r="N2956" s="14"/>
      <c r="O2956" s="4"/>
      <c r="P2956" s="14"/>
      <c r="Q2956" s="14"/>
    </row>
    <row r="2957" spans="1:17" x14ac:dyDescent="0.25">
      <c r="A2957" s="5"/>
      <c r="B2957" s="6"/>
      <c r="C2957" s="4"/>
      <c r="D2957" s="4"/>
      <c r="E2957" s="12"/>
      <c r="F2957" s="12"/>
      <c r="G2957" s="16"/>
      <c r="H2957" s="14"/>
      <c r="I2957" s="14"/>
      <c r="J2957" s="14"/>
      <c r="K2957" s="14"/>
      <c r="L2957" s="14"/>
      <c r="M2957" s="14"/>
      <c r="N2957" s="14"/>
      <c r="O2957" s="4"/>
      <c r="P2957" s="14"/>
      <c r="Q2957" s="14"/>
    </row>
    <row r="2958" spans="1:17" x14ac:dyDescent="0.25">
      <c r="A2958" s="5"/>
      <c r="B2958" s="6"/>
      <c r="C2958" s="4"/>
      <c r="D2958" s="4"/>
      <c r="E2958" s="12"/>
      <c r="F2958" s="12"/>
      <c r="G2958" s="16"/>
      <c r="H2958" s="14"/>
      <c r="I2958" s="14"/>
      <c r="J2958" s="14"/>
      <c r="K2958" s="14"/>
      <c r="L2958" s="14"/>
      <c r="M2958" s="14"/>
      <c r="N2958" s="14"/>
      <c r="O2958" s="4"/>
      <c r="P2958" s="14"/>
      <c r="Q2958" s="14"/>
    </row>
    <row r="2959" spans="1:17" x14ac:dyDescent="0.25">
      <c r="A2959" s="5"/>
      <c r="B2959" s="6"/>
      <c r="C2959" s="4"/>
      <c r="D2959" s="4"/>
      <c r="E2959" s="12"/>
      <c r="F2959" s="12"/>
      <c r="G2959" s="16"/>
      <c r="H2959" s="14"/>
      <c r="I2959" s="14"/>
      <c r="J2959" s="14"/>
      <c r="K2959" s="14"/>
      <c r="L2959" s="14"/>
      <c r="M2959" s="14"/>
      <c r="N2959" s="14"/>
      <c r="O2959" s="4"/>
      <c r="P2959" s="14"/>
      <c r="Q2959" s="14"/>
    </row>
    <row r="2960" spans="1:17" x14ac:dyDescent="0.25">
      <c r="A2960" s="5"/>
      <c r="B2960" s="6"/>
      <c r="C2960" s="4"/>
      <c r="D2960" s="4"/>
      <c r="E2960" s="12"/>
      <c r="F2960" s="12"/>
      <c r="G2960" s="16"/>
      <c r="H2960" s="14"/>
      <c r="I2960" s="14"/>
      <c r="J2960" s="14"/>
      <c r="K2960" s="14"/>
      <c r="L2960" s="14"/>
      <c r="M2960" s="14"/>
      <c r="N2960" s="14"/>
      <c r="O2960" s="4"/>
      <c r="P2960" s="14"/>
      <c r="Q2960" s="14"/>
    </row>
    <row r="2961" spans="1:17" x14ac:dyDescent="0.25">
      <c r="A2961" s="5"/>
      <c r="B2961" s="6"/>
      <c r="C2961" s="4"/>
      <c r="D2961" s="4"/>
      <c r="E2961" s="12"/>
      <c r="F2961" s="12"/>
      <c r="G2961" s="16"/>
      <c r="H2961" s="14"/>
      <c r="I2961" s="14"/>
      <c r="J2961" s="14"/>
      <c r="K2961" s="14"/>
      <c r="L2961" s="14"/>
      <c r="M2961" s="14"/>
      <c r="N2961" s="14"/>
      <c r="O2961" s="4"/>
      <c r="P2961" s="14"/>
      <c r="Q2961" s="14"/>
    </row>
    <row r="2962" spans="1:17" x14ac:dyDescent="0.25">
      <c r="A2962" s="5"/>
      <c r="B2962" s="6"/>
      <c r="C2962" s="4"/>
      <c r="D2962" s="4"/>
      <c r="E2962" s="12"/>
      <c r="F2962" s="12"/>
      <c r="G2962" s="16"/>
      <c r="H2962" s="14"/>
      <c r="I2962" s="14"/>
      <c r="J2962" s="14"/>
      <c r="K2962" s="14"/>
      <c r="L2962" s="14"/>
      <c r="M2962" s="14"/>
      <c r="N2962" s="14"/>
      <c r="O2962" s="4"/>
      <c r="P2962" s="14"/>
      <c r="Q2962" s="14"/>
    </row>
    <row r="2963" spans="1:17" x14ac:dyDescent="0.25">
      <c r="A2963" s="5"/>
      <c r="B2963" s="6"/>
      <c r="C2963" s="4"/>
      <c r="D2963" s="4"/>
      <c r="E2963" s="12"/>
      <c r="F2963" s="12"/>
      <c r="G2963" s="16"/>
      <c r="H2963" s="14"/>
      <c r="I2963" s="14"/>
      <c r="J2963" s="14"/>
      <c r="K2963" s="14"/>
      <c r="L2963" s="14"/>
      <c r="M2963" s="14"/>
      <c r="N2963" s="14"/>
      <c r="O2963" s="4"/>
      <c r="P2963" s="14"/>
      <c r="Q2963" s="14"/>
    </row>
    <row r="2964" spans="1:17" x14ac:dyDescent="0.25">
      <c r="A2964" s="5"/>
      <c r="B2964" s="6"/>
      <c r="C2964" s="4"/>
      <c r="D2964" s="4"/>
      <c r="E2964" s="12"/>
      <c r="F2964" s="12"/>
      <c r="G2964" s="16"/>
      <c r="H2964" s="14"/>
      <c r="I2964" s="14"/>
      <c r="J2964" s="14"/>
      <c r="K2964" s="14"/>
      <c r="L2964" s="14"/>
      <c r="M2964" s="14"/>
      <c r="N2964" s="14"/>
      <c r="O2964" s="4"/>
      <c r="P2964" s="14"/>
      <c r="Q2964" s="14"/>
    </row>
    <row r="2965" spans="1:17" x14ac:dyDescent="0.25">
      <c r="A2965" s="5"/>
      <c r="B2965" s="6"/>
      <c r="C2965" s="4"/>
      <c r="D2965" s="4"/>
      <c r="E2965" s="12"/>
      <c r="F2965" s="12"/>
      <c r="G2965" s="16"/>
      <c r="H2965" s="14"/>
      <c r="I2965" s="14"/>
      <c r="J2965" s="14"/>
      <c r="K2965" s="14"/>
      <c r="L2965" s="14"/>
      <c r="M2965" s="14"/>
      <c r="N2965" s="14"/>
      <c r="O2965" s="4"/>
      <c r="P2965" s="14"/>
      <c r="Q2965" s="14"/>
    </row>
    <row r="2966" spans="1:17" x14ac:dyDescent="0.25">
      <c r="A2966" s="5"/>
      <c r="B2966" s="6"/>
      <c r="C2966" s="4"/>
      <c r="D2966" s="4"/>
      <c r="E2966" s="12"/>
      <c r="F2966" s="12"/>
      <c r="G2966" s="16"/>
      <c r="H2966" s="14"/>
      <c r="I2966" s="14"/>
      <c r="J2966" s="14"/>
      <c r="K2966" s="14"/>
      <c r="L2966" s="14"/>
      <c r="M2966" s="14"/>
      <c r="N2966" s="14"/>
      <c r="O2966" s="4"/>
      <c r="P2966" s="14"/>
      <c r="Q2966" s="14"/>
    </row>
    <row r="2967" spans="1:17" x14ac:dyDescent="0.25">
      <c r="A2967" s="5"/>
      <c r="B2967" s="6"/>
      <c r="C2967" s="4"/>
      <c r="D2967" s="4"/>
      <c r="E2967" s="12"/>
      <c r="F2967" s="12"/>
      <c r="G2967" s="16"/>
      <c r="H2967" s="14"/>
      <c r="I2967" s="14"/>
      <c r="J2967" s="14"/>
      <c r="K2967" s="14"/>
      <c r="L2967" s="14"/>
      <c r="M2967" s="14"/>
      <c r="N2967" s="14"/>
      <c r="O2967" s="4"/>
      <c r="P2967" s="14"/>
      <c r="Q2967" s="14"/>
    </row>
    <row r="2968" spans="1:17" x14ac:dyDescent="0.25">
      <c r="A2968" s="5"/>
      <c r="B2968" s="6"/>
      <c r="C2968" s="4"/>
      <c r="D2968" s="4"/>
      <c r="E2968" s="12"/>
      <c r="F2968" s="12"/>
      <c r="G2968" s="16"/>
      <c r="H2968" s="14"/>
      <c r="I2968" s="14"/>
      <c r="J2968" s="14"/>
      <c r="K2968" s="14"/>
      <c r="L2968" s="14"/>
      <c r="M2968" s="14"/>
      <c r="N2968" s="14"/>
      <c r="O2968" s="4"/>
      <c r="P2968" s="14"/>
      <c r="Q2968" s="14"/>
    </row>
    <row r="2969" spans="1:17" x14ac:dyDescent="0.25">
      <c r="A2969" s="5"/>
      <c r="B2969" s="6"/>
      <c r="C2969" s="4"/>
      <c r="D2969" s="4"/>
      <c r="E2969" s="12"/>
      <c r="F2969" s="12"/>
      <c r="G2969" s="16"/>
      <c r="H2969" s="14"/>
      <c r="I2969" s="14"/>
      <c r="J2969" s="14"/>
      <c r="K2969" s="14"/>
      <c r="L2969" s="14"/>
      <c r="M2969" s="14"/>
      <c r="N2969" s="14"/>
      <c r="O2969" s="4"/>
      <c r="P2969" s="14"/>
      <c r="Q2969" s="14"/>
    </row>
    <row r="2970" spans="1:17" x14ac:dyDescent="0.25">
      <c r="A2970" s="5"/>
      <c r="B2970" s="6"/>
      <c r="C2970" s="4"/>
      <c r="D2970" s="4"/>
      <c r="E2970" s="12"/>
      <c r="F2970" s="12"/>
      <c r="G2970" s="16"/>
      <c r="H2970" s="14"/>
      <c r="I2970" s="14"/>
      <c r="J2970" s="14"/>
      <c r="K2970" s="14"/>
      <c r="L2970" s="14"/>
      <c r="M2970" s="14"/>
      <c r="N2970" s="14"/>
      <c r="O2970" s="4"/>
      <c r="P2970" s="14"/>
      <c r="Q2970" s="14"/>
    </row>
    <row r="2971" spans="1:17" x14ac:dyDescent="0.25">
      <c r="A2971" s="5"/>
      <c r="B2971" s="6"/>
      <c r="C2971" s="4"/>
      <c r="D2971" s="4"/>
      <c r="E2971" s="12"/>
      <c r="F2971" s="12"/>
      <c r="G2971" s="16"/>
      <c r="H2971" s="14"/>
      <c r="I2971" s="14"/>
      <c r="J2971" s="14"/>
      <c r="K2971" s="14"/>
      <c r="L2971" s="14"/>
      <c r="M2971" s="14"/>
      <c r="N2971" s="14"/>
      <c r="O2971" s="4"/>
      <c r="P2971" s="14"/>
      <c r="Q2971" s="14"/>
    </row>
    <row r="2972" spans="1:17" x14ac:dyDescent="0.25">
      <c r="A2972" s="5"/>
      <c r="B2972" s="6"/>
      <c r="C2972" s="4"/>
      <c r="D2972" s="4"/>
      <c r="E2972" s="12"/>
      <c r="F2972" s="12"/>
      <c r="G2972" s="16"/>
      <c r="H2972" s="14"/>
      <c r="I2972" s="14"/>
      <c r="J2972" s="14"/>
      <c r="K2972" s="14"/>
      <c r="L2972" s="14"/>
      <c r="M2972" s="14"/>
      <c r="N2972" s="14"/>
      <c r="O2972" s="4"/>
      <c r="P2972" s="14"/>
      <c r="Q2972" s="14"/>
    </row>
    <row r="2973" spans="1:17" x14ac:dyDescent="0.25">
      <c r="A2973" s="5"/>
      <c r="B2973" s="6"/>
      <c r="C2973" s="4"/>
      <c r="D2973" s="4"/>
      <c r="E2973" s="12"/>
      <c r="F2973" s="12"/>
      <c r="G2973" s="16"/>
      <c r="H2973" s="14"/>
      <c r="I2973" s="14"/>
      <c r="J2973" s="14"/>
      <c r="K2973" s="14"/>
      <c r="L2973" s="14"/>
      <c r="M2973" s="14"/>
      <c r="N2973" s="14"/>
      <c r="O2973" s="4"/>
      <c r="P2973" s="14"/>
      <c r="Q2973" s="14"/>
    </row>
    <row r="2974" spans="1:17" x14ac:dyDescent="0.25">
      <c r="A2974" s="5"/>
      <c r="B2974" s="6"/>
      <c r="C2974" s="4"/>
      <c r="D2974" s="4"/>
      <c r="E2974" s="12"/>
      <c r="F2974" s="12"/>
      <c r="G2974" s="16"/>
      <c r="H2974" s="14"/>
      <c r="I2974" s="14"/>
      <c r="J2974" s="14"/>
      <c r="K2974" s="14"/>
      <c r="L2974" s="14"/>
      <c r="M2974" s="14"/>
      <c r="N2974" s="14"/>
      <c r="O2974" s="4"/>
      <c r="P2974" s="14"/>
      <c r="Q2974" s="14"/>
    </row>
    <row r="2975" spans="1:17" x14ac:dyDescent="0.25">
      <c r="A2975" s="5"/>
      <c r="B2975" s="6"/>
      <c r="C2975" s="4"/>
      <c r="D2975" s="4"/>
      <c r="E2975" s="12"/>
      <c r="F2975" s="12"/>
      <c r="G2975" s="16"/>
      <c r="H2975" s="14"/>
      <c r="I2975" s="14"/>
      <c r="J2975" s="14"/>
      <c r="K2975" s="14"/>
      <c r="L2975" s="14"/>
      <c r="M2975" s="14"/>
      <c r="N2975" s="14"/>
      <c r="O2975" s="4"/>
      <c r="P2975" s="14"/>
      <c r="Q2975" s="14"/>
    </row>
    <row r="2976" spans="1:17" x14ac:dyDescent="0.25">
      <c r="A2976" s="5"/>
      <c r="B2976" s="6"/>
      <c r="C2976" s="4"/>
      <c r="D2976" s="4"/>
      <c r="E2976" s="12"/>
      <c r="F2976" s="12"/>
      <c r="G2976" s="16"/>
      <c r="H2976" s="14"/>
      <c r="I2976" s="14"/>
      <c r="J2976" s="14"/>
      <c r="K2976" s="14"/>
      <c r="L2976" s="14"/>
      <c r="M2976" s="14"/>
      <c r="N2976" s="14"/>
      <c r="O2976" s="4"/>
      <c r="P2976" s="14"/>
      <c r="Q2976" s="14"/>
    </row>
    <row r="2977" spans="1:17" x14ac:dyDescent="0.25">
      <c r="A2977" s="5"/>
      <c r="B2977" s="6"/>
      <c r="C2977" s="4"/>
      <c r="D2977" s="4"/>
      <c r="E2977" s="12"/>
      <c r="F2977" s="12"/>
      <c r="G2977" s="16"/>
      <c r="H2977" s="14"/>
      <c r="I2977" s="14"/>
      <c r="J2977" s="14"/>
      <c r="K2977" s="14"/>
      <c r="L2977" s="14"/>
      <c r="M2977" s="14"/>
      <c r="N2977" s="14"/>
      <c r="O2977" s="4"/>
      <c r="P2977" s="14"/>
      <c r="Q2977" s="14"/>
    </row>
    <row r="2978" spans="1:17" x14ac:dyDescent="0.25">
      <c r="A2978" s="5"/>
      <c r="B2978" s="6"/>
      <c r="C2978" s="4"/>
      <c r="D2978" s="4"/>
      <c r="E2978" s="12"/>
      <c r="F2978" s="12"/>
      <c r="G2978" s="16"/>
      <c r="H2978" s="14"/>
      <c r="I2978" s="14"/>
      <c r="J2978" s="14"/>
      <c r="K2978" s="14"/>
      <c r="L2978" s="14"/>
      <c r="M2978" s="14"/>
      <c r="N2978" s="14"/>
      <c r="O2978" s="4"/>
      <c r="P2978" s="14"/>
      <c r="Q2978" s="14"/>
    </row>
    <row r="2979" spans="1:17" x14ac:dyDescent="0.25">
      <c r="A2979" s="5"/>
      <c r="B2979" s="6"/>
      <c r="C2979" s="4"/>
      <c r="D2979" s="4"/>
      <c r="E2979" s="12"/>
      <c r="F2979" s="12"/>
      <c r="G2979" s="16"/>
      <c r="H2979" s="14"/>
      <c r="I2979" s="14"/>
      <c r="J2979" s="14"/>
      <c r="K2979" s="14"/>
      <c r="L2979" s="14"/>
      <c r="M2979" s="14"/>
      <c r="N2979" s="14"/>
      <c r="O2979" s="4"/>
      <c r="P2979" s="14"/>
      <c r="Q2979" s="14"/>
    </row>
    <row r="2980" spans="1:17" x14ac:dyDescent="0.25">
      <c r="A2980" s="5"/>
      <c r="B2980" s="6"/>
      <c r="C2980" s="4"/>
      <c r="D2980" s="4"/>
      <c r="E2980" s="12"/>
      <c r="F2980" s="12"/>
      <c r="G2980" s="16"/>
      <c r="H2980" s="14"/>
      <c r="I2980" s="14"/>
      <c r="J2980" s="14"/>
      <c r="K2980" s="14"/>
      <c r="L2980" s="14"/>
      <c r="M2980" s="14"/>
      <c r="N2980" s="14"/>
      <c r="O2980" s="4"/>
      <c r="P2980" s="14"/>
      <c r="Q2980" s="14"/>
    </row>
    <row r="2981" spans="1:17" x14ac:dyDescent="0.25">
      <c r="A2981" s="5"/>
      <c r="B2981" s="6"/>
      <c r="C2981" s="4"/>
      <c r="D2981" s="4"/>
      <c r="E2981" s="12"/>
      <c r="F2981" s="12"/>
      <c r="G2981" s="16"/>
      <c r="H2981" s="14"/>
      <c r="I2981" s="14"/>
      <c r="J2981" s="14"/>
      <c r="K2981" s="14"/>
      <c r="L2981" s="14"/>
      <c r="M2981" s="14"/>
      <c r="N2981" s="14"/>
      <c r="O2981" s="4"/>
      <c r="P2981" s="14"/>
      <c r="Q2981" s="14"/>
    </row>
    <row r="2982" spans="1:17" x14ac:dyDescent="0.25">
      <c r="A2982" s="5"/>
      <c r="B2982" s="6"/>
      <c r="C2982" s="4"/>
      <c r="D2982" s="4"/>
      <c r="E2982" s="12"/>
      <c r="F2982" s="12"/>
      <c r="G2982" s="16"/>
      <c r="H2982" s="14"/>
      <c r="I2982" s="14"/>
      <c r="J2982" s="14"/>
      <c r="K2982" s="14"/>
      <c r="L2982" s="14"/>
      <c r="M2982" s="14"/>
      <c r="N2982" s="14"/>
      <c r="O2982" s="4"/>
      <c r="P2982" s="14"/>
      <c r="Q2982" s="14"/>
    </row>
    <row r="2983" spans="1:17" x14ac:dyDescent="0.25">
      <c r="A2983" s="5"/>
      <c r="B2983" s="6"/>
      <c r="C2983" s="4"/>
      <c r="D2983" s="4"/>
      <c r="E2983" s="12"/>
      <c r="F2983" s="12"/>
      <c r="G2983" s="16"/>
      <c r="H2983" s="14"/>
      <c r="I2983" s="14"/>
      <c r="J2983" s="14"/>
      <c r="K2983" s="14"/>
      <c r="L2983" s="14"/>
      <c r="M2983" s="14"/>
      <c r="N2983" s="14"/>
      <c r="O2983" s="4"/>
      <c r="P2983" s="14"/>
      <c r="Q2983" s="14"/>
    </row>
    <row r="2984" spans="1:17" x14ac:dyDescent="0.25">
      <c r="A2984" s="5"/>
      <c r="B2984" s="6"/>
      <c r="C2984" s="4"/>
      <c r="D2984" s="4"/>
      <c r="E2984" s="12"/>
      <c r="F2984" s="12"/>
      <c r="G2984" s="16"/>
      <c r="H2984" s="14"/>
      <c r="I2984" s="14"/>
      <c r="J2984" s="14"/>
      <c r="K2984" s="14"/>
      <c r="L2984" s="14"/>
      <c r="M2984" s="14"/>
      <c r="N2984" s="14"/>
      <c r="O2984" s="4"/>
      <c r="P2984" s="14"/>
      <c r="Q2984" s="14"/>
    </row>
    <row r="2985" spans="1:17" x14ac:dyDescent="0.25">
      <c r="A2985" s="5"/>
      <c r="B2985" s="6"/>
      <c r="C2985" s="4"/>
      <c r="D2985" s="4"/>
      <c r="E2985" s="12"/>
      <c r="F2985" s="12"/>
      <c r="G2985" s="16"/>
      <c r="H2985" s="14"/>
      <c r="I2985" s="14"/>
      <c r="J2985" s="14"/>
      <c r="K2985" s="14"/>
      <c r="L2985" s="14"/>
      <c r="M2985" s="14"/>
      <c r="N2985" s="14"/>
      <c r="O2985" s="4"/>
      <c r="P2985" s="14"/>
      <c r="Q2985" s="14"/>
    </row>
    <row r="2986" spans="1:17" x14ac:dyDescent="0.25">
      <c r="A2986" s="5"/>
      <c r="B2986" s="6"/>
      <c r="C2986" s="4"/>
      <c r="D2986" s="4"/>
      <c r="E2986" s="12"/>
      <c r="F2986" s="12"/>
      <c r="G2986" s="16"/>
      <c r="H2986" s="14"/>
      <c r="I2986" s="14"/>
      <c r="J2986" s="14"/>
      <c r="K2986" s="14"/>
      <c r="L2986" s="14"/>
      <c r="M2986" s="14"/>
      <c r="N2986" s="14"/>
      <c r="O2986" s="4"/>
      <c r="P2986" s="14"/>
      <c r="Q2986" s="14"/>
    </row>
    <row r="2987" spans="1:17" x14ac:dyDescent="0.25">
      <c r="A2987" s="5"/>
      <c r="B2987" s="6"/>
      <c r="C2987" s="4"/>
      <c r="D2987" s="4"/>
      <c r="E2987" s="12"/>
      <c r="F2987" s="12"/>
      <c r="G2987" s="16"/>
      <c r="H2987" s="14"/>
      <c r="I2987" s="14"/>
      <c r="J2987" s="14"/>
      <c r="K2987" s="14"/>
      <c r="L2987" s="14"/>
      <c r="M2987" s="14"/>
      <c r="N2987" s="14"/>
      <c r="O2987" s="4"/>
      <c r="P2987" s="14"/>
      <c r="Q2987" s="14"/>
    </row>
    <row r="2988" spans="1:17" x14ac:dyDescent="0.25">
      <c r="A2988" s="5"/>
      <c r="B2988" s="6"/>
      <c r="C2988" s="4"/>
      <c r="D2988" s="4"/>
      <c r="E2988" s="12"/>
      <c r="F2988" s="12"/>
      <c r="G2988" s="16"/>
      <c r="H2988" s="14"/>
      <c r="I2988" s="14"/>
      <c r="J2988" s="14"/>
      <c r="K2988" s="14"/>
      <c r="L2988" s="14"/>
      <c r="M2988" s="14"/>
      <c r="N2988" s="14"/>
      <c r="O2988" s="4"/>
      <c r="P2988" s="14"/>
      <c r="Q2988" s="14"/>
    </row>
    <row r="2989" spans="1:17" x14ac:dyDescent="0.25">
      <c r="A2989" s="5"/>
      <c r="B2989" s="6"/>
      <c r="C2989" s="4"/>
      <c r="D2989" s="4"/>
      <c r="E2989" s="12"/>
      <c r="F2989" s="12"/>
      <c r="G2989" s="16"/>
      <c r="H2989" s="14"/>
      <c r="I2989" s="14"/>
      <c r="J2989" s="14"/>
      <c r="K2989" s="14"/>
      <c r="L2989" s="14"/>
      <c r="M2989" s="14"/>
      <c r="N2989" s="14"/>
      <c r="O2989" s="4"/>
      <c r="P2989" s="14"/>
      <c r="Q2989" s="14"/>
    </row>
    <row r="2990" spans="1:17" x14ac:dyDescent="0.25">
      <c r="A2990" s="5"/>
      <c r="B2990" s="6"/>
      <c r="C2990" s="4"/>
      <c r="D2990" s="4"/>
      <c r="E2990" s="12"/>
      <c r="F2990" s="12"/>
      <c r="G2990" s="16"/>
      <c r="H2990" s="14"/>
      <c r="I2990" s="14"/>
      <c r="J2990" s="14"/>
      <c r="K2990" s="14"/>
      <c r="L2990" s="14"/>
      <c r="M2990" s="14"/>
      <c r="N2990" s="14"/>
      <c r="O2990" s="4"/>
      <c r="P2990" s="14"/>
      <c r="Q2990" s="14"/>
    </row>
    <row r="2991" spans="1:17" x14ac:dyDescent="0.25">
      <c r="A2991" s="5"/>
      <c r="B2991" s="6"/>
      <c r="C2991" s="4"/>
      <c r="D2991" s="4"/>
      <c r="E2991" s="12"/>
      <c r="F2991" s="12"/>
      <c r="G2991" s="16"/>
      <c r="H2991" s="14"/>
      <c r="I2991" s="14"/>
      <c r="J2991" s="14"/>
      <c r="K2991" s="14"/>
      <c r="L2991" s="14"/>
      <c r="M2991" s="14"/>
      <c r="N2991" s="14"/>
      <c r="O2991" s="4"/>
      <c r="P2991" s="14"/>
      <c r="Q2991" s="14"/>
    </row>
    <row r="2992" spans="1:17" x14ac:dyDescent="0.25">
      <c r="A2992" s="5"/>
      <c r="B2992" s="6"/>
      <c r="C2992" s="4"/>
      <c r="D2992" s="4"/>
      <c r="E2992" s="12"/>
      <c r="F2992" s="12"/>
      <c r="G2992" s="16"/>
      <c r="H2992" s="14"/>
      <c r="I2992" s="14"/>
      <c r="J2992" s="14"/>
      <c r="K2992" s="14"/>
      <c r="L2992" s="14"/>
      <c r="M2992" s="14"/>
      <c r="N2992" s="14"/>
      <c r="O2992" s="4"/>
      <c r="P2992" s="14"/>
      <c r="Q2992" s="14"/>
    </row>
    <row r="2993" spans="1:17" x14ac:dyDescent="0.25">
      <c r="A2993" s="5"/>
      <c r="B2993" s="6"/>
      <c r="C2993" s="4"/>
      <c r="D2993" s="4"/>
      <c r="E2993" s="12"/>
      <c r="F2993" s="12"/>
      <c r="G2993" s="16"/>
      <c r="H2993" s="14"/>
      <c r="I2993" s="14"/>
      <c r="J2993" s="14"/>
      <c r="K2993" s="14"/>
      <c r="L2993" s="14"/>
      <c r="M2993" s="14"/>
      <c r="N2993" s="14"/>
      <c r="O2993" s="4"/>
      <c r="P2993" s="14"/>
      <c r="Q2993" s="14"/>
    </row>
    <row r="2994" spans="1:17" x14ac:dyDescent="0.25">
      <c r="A2994" s="5"/>
      <c r="B2994" s="6"/>
      <c r="C2994" s="4"/>
      <c r="D2994" s="4"/>
      <c r="E2994" s="12"/>
      <c r="F2994" s="12"/>
      <c r="G2994" s="16"/>
      <c r="H2994" s="14"/>
      <c r="I2994" s="14"/>
      <c r="J2994" s="14"/>
      <c r="K2994" s="14"/>
      <c r="L2994" s="14"/>
      <c r="M2994" s="14"/>
      <c r="N2994" s="14"/>
      <c r="O2994" s="4"/>
      <c r="P2994" s="14"/>
      <c r="Q2994" s="14"/>
    </row>
    <row r="2995" spans="1:17" x14ac:dyDescent="0.25">
      <c r="A2995" s="5"/>
      <c r="B2995" s="6"/>
      <c r="C2995" s="4"/>
      <c r="D2995" s="4"/>
      <c r="E2995" s="12"/>
      <c r="F2995" s="12"/>
      <c r="G2995" s="16"/>
      <c r="H2995" s="14"/>
      <c r="I2995" s="14"/>
      <c r="J2995" s="14"/>
      <c r="K2995" s="14"/>
      <c r="L2995" s="14"/>
      <c r="M2995" s="14"/>
      <c r="N2995" s="14"/>
      <c r="O2995" s="4"/>
      <c r="P2995" s="14"/>
      <c r="Q2995" s="14"/>
    </row>
    <row r="2996" spans="1:17" x14ac:dyDescent="0.25">
      <c r="A2996" s="5"/>
      <c r="B2996" s="6"/>
      <c r="C2996" s="4"/>
      <c r="D2996" s="4"/>
      <c r="E2996" s="12"/>
      <c r="F2996" s="12"/>
      <c r="G2996" s="16"/>
      <c r="H2996" s="14"/>
      <c r="I2996" s="14"/>
      <c r="J2996" s="14"/>
      <c r="K2996" s="14"/>
      <c r="L2996" s="14"/>
      <c r="M2996" s="14"/>
      <c r="N2996" s="14"/>
      <c r="O2996" s="4"/>
      <c r="P2996" s="14"/>
      <c r="Q2996" s="14"/>
    </row>
    <row r="2997" spans="1:17" x14ac:dyDescent="0.25">
      <c r="A2997" s="5"/>
      <c r="B2997" s="6"/>
      <c r="C2997" s="4"/>
      <c r="D2997" s="4"/>
      <c r="E2997" s="12"/>
      <c r="F2997" s="12"/>
      <c r="G2997" s="16"/>
      <c r="H2997" s="14"/>
      <c r="I2997" s="14"/>
      <c r="J2997" s="14"/>
      <c r="K2997" s="14"/>
      <c r="L2997" s="14"/>
      <c r="M2997" s="14"/>
      <c r="N2997" s="14"/>
      <c r="O2997" s="4"/>
      <c r="P2997" s="14"/>
      <c r="Q2997" s="14"/>
    </row>
    <row r="2998" spans="1:17" x14ac:dyDescent="0.25">
      <c r="A2998" s="5"/>
      <c r="B2998" s="6"/>
      <c r="C2998" s="4"/>
      <c r="D2998" s="4"/>
      <c r="E2998" s="12"/>
      <c r="F2998" s="12"/>
      <c r="G2998" s="16"/>
      <c r="H2998" s="14"/>
      <c r="I2998" s="14"/>
      <c r="J2998" s="14"/>
      <c r="K2998" s="14"/>
      <c r="L2998" s="14"/>
      <c r="M2998" s="14"/>
      <c r="N2998" s="14"/>
      <c r="O2998" s="4"/>
      <c r="P2998" s="14"/>
      <c r="Q2998" s="14"/>
    </row>
    <row r="2999" spans="1:17" x14ac:dyDescent="0.25">
      <c r="A2999" s="5"/>
      <c r="B2999" s="6"/>
      <c r="C2999" s="4"/>
      <c r="D2999" s="4"/>
      <c r="E2999" s="12"/>
      <c r="F2999" s="12"/>
      <c r="G2999" s="16"/>
      <c r="H2999" s="14"/>
      <c r="I2999" s="14"/>
      <c r="J2999" s="14"/>
      <c r="K2999" s="14"/>
      <c r="L2999" s="14"/>
      <c r="M2999" s="14"/>
      <c r="N2999" s="14"/>
      <c r="O2999" s="4"/>
      <c r="P2999" s="14"/>
      <c r="Q2999" s="14"/>
    </row>
    <row r="3000" spans="1:17" x14ac:dyDescent="0.25">
      <c r="A3000" s="5"/>
      <c r="B3000" s="6"/>
      <c r="C3000" s="4"/>
      <c r="D3000" s="4"/>
      <c r="E3000" s="12"/>
      <c r="F3000" s="12"/>
      <c r="G3000" s="16"/>
      <c r="H3000" s="14"/>
      <c r="I3000" s="14"/>
      <c r="J3000" s="14"/>
      <c r="K3000" s="14"/>
      <c r="L3000" s="14"/>
      <c r="M3000" s="14"/>
      <c r="N3000" s="14"/>
      <c r="O3000" s="4"/>
      <c r="P3000" s="14"/>
      <c r="Q3000" s="14"/>
    </row>
    <row r="3001" spans="1:17" x14ac:dyDescent="0.25">
      <c r="A3001" s="5"/>
      <c r="B3001" s="6"/>
      <c r="C3001" s="4"/>
      <c r="D3001" s="4"/>
      <c r="E3001" s="12"/>
      <c r="F3001" s="12"/>
      <c r="G3001" s="16"/>
      <c r="H3001" s="14"/>
      <c r="I3001" s="14"/>
      <c r="J3001" s="14"/>
      <c r="K3001" s="14"/>
      <c r="L3001" s="14"/>
      <c r="M3001" s="14"/>
      <c r="N3001" s="14"/>
      <c r="O3001" s="4"/>
      <c r="P3001" s="14"/>
      <c r="Q3001" s="14"/>
    </row>
    <row r="3002" spans="1:17" x14ac:dyDescent="0.25">
      <c r="A3002" s="5"/>
      <c r="B3002" s="6"/>
      <c r="C3002" s="4"/>
      <c r="D3002" s="4"/>
      <c r="E3002" s="12"/>
      <c r="F3002" s="12"/>
      <c r="G3002" s="16"/>
      <c r="H3002" s="14"/>
      <c r="I3002" s="14"/>
      <c r="J3002" s="14"/>
      <c r="K3002" s="14"/>
      <c r="L3002" s="14"/>
      <c r="M3002" s="14"/>
      <c r="N3002" s="14"/>
      <c r="O3002" s="4"/>
      <c r="P3002" s="14"/>
      <c r="Q3002" s="14"/>
    </row>
    <row r="3003" spans="1:17" x14ac:dyDescent="0.25">
      <c r="A3003" s="5"/>
      <c r="B3003" s="6"/>
      <c r="C3003" s="4"/>
      <c r="D3003" s="4"/>
      <c r="E3003" s="12"/>
      <c r="F3003" s="12"/>
      <c r="G3003" s="16"/>
      <c r="H3003" s="14"/>
      <c r="I3003" s="14"/>
      <c r="J3003" s="14"/>
      <c r="K3003" s="14"/>
      <c r="L3003" s="14"/>
      <c r="M3003" s="14"/>
      <c r="N3003" s="14"/>
      <c r="O3003" s="4"/>
      <c r="P3003" s="14"/>
      <c r="Q3003" s="14"/>
    </row>
    <row r="3004" spans="1:17" x14ac:dyDescent="0.25">
      <c r="A3004" s="5"/>
      <c r="B3004" s="6"/>
      <c r="C3004" s="4"/>
      <c r="D3004" s="4"/>
      <c r="E3004" s="12"/>
      <c r="F3004" s="12"/>
      <c r="G3004" s="16"/>
      <c r="H3004" s="14"/>
      <c r="I3004" s="14"/>
      <c r="J3004" s="14"/>
      <c r="K3004" s="14"/>
      <c r="L3004" s="14"/>
      <c r="M3004" s="14"/>
      <c r="N3004" s="14"/>
      <c r="O3004" s="4"/>
      <c r="P3004" s="14"/>
      <c r="Q3004" s="14"/>
    </row>
    <row r="3005" spans="1:17" x14ac:dyDescent="0.25">
      <c r="A3005" s="5"/>
      <c r="B3005" s="6"/>
      <c r="C3005" s="4"/>
      <c r="D3005" s="4"/>
      <c r="E3005" s="12"/>
      <c r="F3005" s="12"/>
      <c r="G3005" s="16"/>
      <c r="H3005" s="14"/>
      <c r="I3005" s="14"/>
      <c r="J3005" s="14"/>
      <c r="K3005" s="14"/>
      <c r="L3005" s="14"/>
      <c r="M3005" s="14"/>
      <c r="N3005" s="14"/>
      <c r="O3005" s="4"/>
      <c r="P3005" s="14"/>
      <c r="Q3005" s="14"/>
    </row>
    <row r="3006" spans="1:17" x14ac:dyDescent="0.25">
      <c r="A3006" s="5"/>
      <c r="B3006" s="6"/>
      <c r="C3006" s="4"/>
      <c r="D3006" s="4"/>
      <c r="E3006" s="12"/>
      <c r="F3006" s="12"/>
      <c r="G3006" s="16"/>
      <c r="H3006" s="14"/>
      <c r="I3006" s="14"/>
      <c r="J3006" s="14"/>
      <c r="K3006" s="14"/>
      <c r="L3006" s="14"/>
      <c r="M3006" s="14"/>
      <c r="N3006" s="14"/>
      <c r="O3006" s="4"/>
      <c r="P3006" s="14"/>
      <c r="Q3006" s="14"/>
    </row>
    <row r="3007" spans="1:17" x14ac:dyDescent="0.25">
      <c r="A3007" s="5"/>
      <c r="B3007" s="6"/>
      <c r="C3007" s="4"/>
      <c r="D3007" s="4"/>
      <c r="E3007" s="12"/>
      <c r="F3007" s="12"/>
      <c r="G3007" s="16"/>
      <c r="H3007" s="14"/>
      <c r="I3007" s="14"/>
      <c r="J3007" s="14"/>
      <c r="K3007" s="14"/>
      <c r="L3007" s="14"/>
      <c r="M3007" s="14"/>
      <c r="N3007" s="14"/>
      <c r="O3007" s="4"/>
      <c r="P3007" s="14"/>
      <c r="Q3007" s="14"/>
    </row>
    <row r="3008" spans="1:17" x14ac:dyDescent="0.25">
      <c r="A3008" s="5"/>
      <c r="B3008" s="6"/>
      <c r="C3008" s="4"/>
      <c r="D3008" s="4"/>
      <c r="E3008" s="12"/>
      <c r="F3008" s="12"/>
      <c r="G3008" s="16"/>
      <c r="H3008" s="14"/>
      <c r="I3008" s="14"/>
      <c r="J3008" s="14"/>
      <c r="K3008" s="14"/>
      <c r="L3008" s="14"/>
      <c r="M3008" s="14"/>
      <c r="N3008" s="14"/>
      <c r="O3008" s="4"/>
      <c r="P3008" s="14"/>
      <c r="Q3008" s="14"/>
    </row>
    <row r="3009" spans="1:17" x14ac:dyDescent="0.25">
      <c r="A3009" s="5"/>
      <c r="B3009" s="6"/>
      <c r="C3009" s="4"/>
      <c r="D3009" s="4"/>
      <c r="E3009" s="12"/>
      <c r="F3009" s="12"/>
      <c r="G3009" s="16"/>
      <c r="H3009" s="14"/>
      <c r="I3009" s="14"/>
      <c r="J3009" s="14"/>
      <c r="K3009" s="14"/>
      <c r="L3009" s="14"/>
      <c r="M3009" s="14"/>
      <c r="N3009" s="14"/>
      <c r="O3009" s="4"/>
      <c r="P3009" s="14"/>
      <c r="Q3009" s="14"/>
    </row>
    <row r="3010" spans="1:17" x14ac:dyDescent="0.25">
      <c r="A3010" s="5"/>
      <c r="B3010" s="6"/>
      <c r="C3010" s="4"/>
      <c r="D3010" s="4"/>
      <c r="E3010" s="12"/>
      <c r="F3010" s="12"/>
      <c r="G3010" s="16"/>
      <c r="H3010" s="14"/>
      <c r="I3010" s="14"/>
      <c r="J3010" s="14"/>
      <c r="K3010" s="14"/>
      <c r="L3010" s="14"/>
      <c r="M3010" s="14"/>
      <c r="N3010" s="14"/>
      <c r="O3010" s="4"/>
      <c r="P3010" s="14"/>
      <c r="Q3010" s="14"/>
    </row>
    <row r="3011" spans="1:17" x14ac:dyDescent="0.25">
      <c r="A3011" s="5"/>
      <c r="B3011" s="6"/>
      <c r="C3011" s="4"/>
      <c r="D3011" s="4"/>
      <c r="E3011" s="12"/>
      <c r="F3011" s="12"/>
      <c r="G3011" s="16"/>
      <c r="H3011" s="14"/>
      <c r="I3011" s="14"/>
      <c r="J3011" s="14"/>
      <c r="K3011" s="14"/>
      <c r="L3011" s="14"/>
      <c r="M3011" s="14"/>
      <c r="N3011" s="14"/>
      <c r="O3011" s="4"/>
      <c r="P3011" s="14"/>
      <c r="Q3011" s="14"/>
    </row>
    <row r="3012" spans="1:17" x14ac:dyDescent="0.25">
      <c r="A3012" s="5"/>
      <c r="B3012" s="6"/>
      <c r="C3012" s="4"/>
      <c r="D3012" s="4"/>
      <c r="E3012" s="12"/>
      <c r="F3012" s="12"/>
      <c r="G3012" s="16"/>
      <c r="H3012" s="14"/>
      <c r="I3012" s="14"/>
      <c r="J3012" s="14"/>
      <c r="K3012" s="14"/>
      <c r="L3012" s="14"/>
      <c r="M3012" s="14"/>
      <c r="N3012" s="14"/>
      <c r="O3012" s="4"/>
      <c r="P3012" s="14"/>
      <c r="Q3012" s="14"/>
    </row>
    <row r="3013" spans="1:17" x14ac:dyDescent="0.25">
      <c r="A3013" s="5"/>
      <c r="B3013" s="6"/>
      <c r="C3013" s="4"/>
      <c r="D3013" s="4"/>
      <c r="E3013" s="12"/>
      <c r="F3013" s="12"/>
      <c r="G3013" s="16"/>
      <c r="H3013" s="14"/>
      <c r="I3013" s="14"/>
      <c r="J3013" s="14"/>
      <c r="K3013" s="14"/>
      <c r="L3013" s="14"/>
      <c r="M3013" s="14"/>
      <c r="N3013" s="14"/>
      <c r="O3013" s="4"/>
      <c r="P3013" s="14"/>
      <c r="Q3013" s="14"/>
    </row>
    <row r="3014" spans="1:17" x14ac:dyDescent="0.25">
      <c r="A3014" s="5"/>
      <c r="B3014" s="6"/>
      <c r="C3014" s="4"/>
      <c r="D3014" s="4"/>
      <c r="E3014" s="12"/>
      <c r="F3014" s="12"/>
      <c r="G3014" s="16"/>
      <c r="H3014" s="14"/>
      <c r="I3014" s="14"/>
      <c r="J3014" s="14"/>
      <c r="K3014" s="14"/>
      <c r="L3014" s="14"/>
      <c r="M3014" s="14"/>
      <c r="N3014" s="14"/>
      <c r="O3014" s="4"/>
      <c r="P3014" s="14"/>
      <c r="Q3014" s="14"/>
    </row>
    <row r="3015" spans="1:17" x14ac:dyDescent="0.25">
      <c r="A3015" s="5"/>
      <c r="B3015" s="6"/>
      <c r="C3015" s="4"/>
      <c r="D3015" s="4"/>
      <c r="E3015" s="12"/>
      <c r="F3015" s="12"/>
      <c r="G3015" s="16"/>
      <c r="H3015" s="14"/>
      <c r="I3015" s="14"/>
      <c r="J3015" s="14"/>
      <c r="K3015" s="14"/>
      <c r="L3015" s="14"/>
      <c r="M3015" s="14"/>
      <c r="N3015" s="14"/>
      <c r="O3015" s="4"/>
      <c r="P3015" s="14"/>
      <c r="Q3015" s="14"/>
    </row>
    <row r="3016" spans="1:17" x14ac:dyDescent="0.25">
      <c r="A3016" s="5"/>
      <c r="B3016" s="6"/>
      <c r="C3016" s="4"/>
      <c r="D3016" s="4"/>
      <c r="E3016" s="12"/>
      <c r="F3016" s="12"/>
      <c r="G3016" s="16"/>
      <c r="H3016" s="14"/>
      <c r="I3016" s="14"/>
      <c r="J3016" s="14"/>
      <c r="K3016" s="14"/>
      <c r="L3016" s="14"/>
      <c r="M3016" s="14"/>
      <c r="N3016" s="14"/>
      <c r="O3016" s="4"/>
      <c r="P3016" s="14"/>
      <c r="Q3016" s="14"/>
    </row>
    <row r="3017" spans="1:17" x14ac:dyDescent="0.25">
      <c r="A3017" s="5"/>
      <c r="B3017" s="6"/>
      <c r="C3017" s="4"/>
      <c r="D3017" s="4"/>
      <c r="E3017" s="12"/>
      <c r="F3017" s="12"/>
      <c r="G3017" s="16"/>
      <c r="H3017" s="14"/>
      <c r="I3017" s="14"/>
      <c r="J3017" s="14"/>
      <c r="K3017" s="14"/>
      <c r="L3017" s="14"/>
      <c r="M3017" s="14"/>
      <c r="N3017" s="14"/>
      <c r="O3017" s="4"/>
      <c r="P3017" s="14"/>
      <c r="Q3017" s="14"/>
    </row>
    <row r="3018" spans="1:17" x14ac:dyDescent="0.25">
      <c r="A3018" s="5"/>
      <c r="B3018" s="6"/>
      <c r="C3018" s="4"/>
      <c r="D3018" s="4"/>
      <c r="E3018" s="12"/>
      <c r="F3018" s="12"/>
      <c r="G3018" s="16"/>
      <c r="H3018" s="14"/>
      <c r="I3018" s="14"/>
      <c r="J3018" s="14"/>
      <c r="K3018" s="14"/>
      <c r="L3018" s="14"/>
      <c r="M3018" s="14"/>
      <c r="N3018" s="14"/>
      <c r="O3018" s="4"/>
      <c r="P3018" s="14"/>
      <c r="Q3018" s="14"/>
    </row>
    <row r="3019" spans="1:17" x14ac:dyDescent="0.25">
      <c r="A3019" s="5"/>
      <c r="B3019" s="6"/>
      <c r="C3019" s="4"/>
      <c r="D3019" s="4"/>
      <c r="E3019" s="12"/>
      <c r="F3019" s="12"/>
      <c r="G3019" s="16"/>
      <c r="H3019" s="14"/>
      <c r="I3019" s="14"/>
      <c r="J3019" s="14"/>
      <c r="K3019" s="14"/>
      <c r="L3019" s="14"/>
      <c r="M3019" s="14"/>
      <c r="N3019" s="14"/>
      <c r="O3019" s="4"/>
      <c r="P3019" s="14"/>
      <c r="Q3019" s="14"/>
    </row>
    <row r="3020" spans="1:17" x14ac:dyDescent="0.25">
      <c r="A3020" s="5"/>
      <c r="B3020" s="6"/>
      <c r="C3020" s="4"/>
      <c r="D3020" s="4"/>
      <c r="E3020" s="12"/>
      <c r="F3020" s="12"/>
      <c r="G3020" s="16"/>
      <c r="H3020" s="14"/>
      <c r="I3020" s="14"/>
      <c r="J3020" s="14"/>
      <c r="K3020" s="14"/>
      <c r="L3020" s="14"/>
      <c r="M3020" s="14"/>
      <c r="N3020" s="14"/>
      <c r="O3020" s="4"/>
      <c r="P3020" s="14"/>
      <c r="Q3020" s="14"/>
    </row>
    <row r="3021" spans="1:17" x14ac:dyDescent="0.25">
      <c r="A3021" s="5"/>
      <c r="B3021" s="6"/>
      <c r="C3021" s="4"/>
      <c r="D3021" s="4"/>
      <c r="E3021" s="12"/>
      <c r="F3021" s="12"/>
      <c r="G3021" s="16"/>
      <c r="H3021" s="14"/>
      <c r="I3021" s="14"/>
      <c r="J3021" s="14"/>
      <c r="K3021" s="14"/>
      <c r="L3021" s="14"/>
      <c r="M3021" s="14"/>
      <c r="N3021" s="14"/>
      <c r="O3021" s="4"/>
      <c r="P3021" s="14"/>
      <c r="Q3021" s="14"/>
    </row>
    <row r="3022" spans="1:17" x14ac:dyDescent="0.25">
      <c r="A3022" s="5"/>
      <c r="B3022" s="6"/>
      <c r="C3022" s="4"/>
      <c r="D3022" s="4"/>
      <c r="E3022" s="12"/>
      <c r="F3022" s="12"/>
      <c r="G3022" s="16"/>
      <c r="H3022" s="14"/>
      <c r="I3022" s="14"/>
      <c r="J3022" s="14"/>
      <c r="K3022" s="14"/>
      <c r="L3022" s="14"/>
      <c r="M3022" s="14"/>
      <c r="N3022" s="14"/>
      <c r="O3022" s="4"/>
      <c r="P3022" s="14"/>
      <c r="Q3022" s="14"/>
    </row>
    <row r="3023" spans="1:17" x14ac:dyDescent="0.25">
      <c r="A3023" s="5"/>
      <c r="B3023" s="6"/>
      <c r="C3023" s="4"/>
      <c r="D3023" s="4"/>
      <c r="E3023" s="12"/>
      <c r="F3023" s="12"/>
      <c r="G3023" s="16"/>
      <c r="H3023" s="14"/>
      <c r="I3023" s="14"/>
      <c r="J3023" s="14"/>
      <c r="K3023" s="14"/>
      <c r="L3023" s="14"/>
      <c r="M3023" s="14"/>
      <c r="N3023" s="14"/>
      <c r="O3023" s="4"/>
      <c r="P3023" s="14"/>
      <c r="Q3023" s="14"/>
    </row>
    <row r="3024" spans="1:17" x14ac:dyDescent="0.25">
      <c r="A3024" s="5"/>
      <c r="B3024" s="6"/>
      <c r="C3024" s="4"/>
      <c r="D3024" s="4"/>
      <c r="E3024" s="12"/>
      <c r="F3024" s="12"/>
      <c r="G3024" s="16"/>
      <c r="H3024" s="14"/>
      <c r="I3024" s="14"/>
      <c r="J3024" s="14"/>
      <c r="K3024" s="14"/>
      <c r="L3024" s="14"/>
      <c r="M3024" s="14"/>
      <c r="N3024" s="14"/>
      <c r="O3024" s="4"/>
      <c r="P3024" s="14"/>
      <c r="Q3024" s="14"/>
    </row>
    <row r="3025" spans="1:17" x14ac:dyDescent="0.25">
      <c r="A3025" s="5"/>
      <c r="B3025" s="6"/>
      <c r="C3025" s="4"/>
      <c r="D3025" s="4"/>
      <c r="E3025" s="12"/>
      <c r="F3025" s="12"/>
      <c r="G3025" s="16"/>
      <c r="H3025" s="14"/>
      <c r="I3025" s="14"/>
      <c r="J3025" s="14"/>
      <c r="K3025" s="14"/>
      <c r="L3025" s="14"/>
      <c r="M3025" s="14"/>
      <c r="N3025" s="14"/>
      <c r="O3025" s="4"/>
      <c r="P3025" s="14"/>
      <c r="Q3025" s="14"/>
    </row>
    <row r="3026" spans="1:17" x14ac:dyDescent="0.25">
      <c r="A3026" s="5"/>
      <c r="B3026" s="6"/>
      <c r="C3026" s="4"/>
      <c r="D3026" s="4"/>
      <c r="E3026" s="12"/>
      <c r="F3026" s="12"/>
      <c r="G3026" s="16"/>
      <c r="H3026" s="14"/>
      <c r="I3026" s="14"/>
      <c r="J3026" s="14"/>
      <c r="K3026" s="14"/>
      <c r="L3026" s="14"/>
      <c r="M3026" s="14"/>
      <c r="N3026" s="14"/>
      <c r="O3026" s="4"/>
      <c r="P3026" s="14"/>
      <c r="Q3026" s="14"/>
    </row>
    <row r="3027" spans="1:17" x14ac:dyDescent="0.25">
      <c r="A3027" s="5"/>
      <c r="B3027" s="6"/>
      <c r="C3027" s="4"/>
      <c r="D3027" s="4"/>
      <c r="E3027" s="12"/>
      <c r="F3027" s="12"/>
      <c r="G3027" s="16"/>
      <c r="H3027" s="14"/>
      <c r="I3027" s="14"/>
      <c r="J3027" s="14"/>
      <c r="K3027" s="14"/>
      <c r="L3027" s="14"/>
      <c r="M3027" s="14"/>
      <c r="N3027" s="14"/>
      <c r="O3027" s="4"/>
      <c r="P3027" s="14"/>
      <c r="Q3027" s="14"/>
    </row>
    <row r="3028" spans="1:17" x14ac:dyDescent="0.25">
      <c r="A3028" s="5"/>
      <c r="B3028" s="6"/>
      <c r="C3028" s="4"/>
      <c r="D3028" s="4"/>
      <c r="E3028" s="12"/>
      <c r="F3028" s="12"/>
      <c r="G3028" s="16"/>
      <c r="H3028" s="14"/>
      <c r="I3028" s="14"/>
      <c r="J3028" s="14"/>
      <c r="K3028" s="14"/>
      <c r="L3028" s="14"/>
      <c r="M3028" s="14"/>
      <c r="N3028" s="14"/>
      <c r="O3028" s="4"/>
      <c r="P3028" s="14"/>
      <c r="Q3028" s="14"/>
    </row>
    <row r="3029" spans="1:17" x14ac:dyDescent="0.25">
      <c r="A3029" s="5"/>
      <c r="B3029" s="6"/>
      <c r="C3029" s="4"/>
      <c r="D3029" s="4"/>
      <c r="E3029" s="12"/>
      <c r="F3029" s="12"/>
      <c r="G3029" s="16"/>
      <c r="H3029" s="14"/>
      <c r="I3029" s="14"/>
      <c r="J3029" s="14"/>
      <c r="K3029" s="14"/>
      <c r="L3029" s="14"/>
      <c r="M3029" s="14"/>
      <c r="N3029" s="14"/>
      <c r="O3029" s="4"/>
      <c r="P3029" s="14"/>
      <c r="Q3029" s="14"/>
    </row>
    <row r="3030" spans="1:17" x14ac:dyDescent="0.25">
      <c r="A3030" s="5"/>
      <c r="B3030" s="6"/>
      <c r="C3030" s="4"/>
      <c r="D3030" s="4"/>
      <c r="E3030" s="12"/>
      <c r="F3030" s="12"/>
      <c r="G3030" s="16"/>
      <c r="H3030" s="14"/>
      <c r="I3030" s="14"/>
      <c r="J3030" s="14"/>
      <c r="K3030" s="14"/>
      <c r="L3030" s="14"/>
      <c r="M3030" s="14"/>
      <c r="N3030" s="14"/>
      <c r="O3030" s="4"/>
      <c r="P3030" s="14"/>
      <c r="Q3030" s="14"/>
    </row>
    <row r="3031" spans="1:17" x14ac:dyDescent="0.25">
      <c r="A3031" s="5"/>
      <c r="B3031" s="6"/>
      <c r="C3031" s="4"/>
      <c r="D3031" s="4"/>
      <c r="E3031" s="12"/>
      <c r="F3031" s="12"/>
      <c r="G3031" s="16"/>
      <c r="H3031" s="14"/>
      <c r="I3031" s="14"/>
      <c r="J3031" s="14"/>
      <c r="K3031" s="14"/>
      <c r="L3031" s="14"/>
      <c r="M3031" s="14"/>
      <c r="N3031" s="14"/>
      <c r="O3031" s="4"/>
      <c r="P3031" s="14"/>
      <c r="Q3031" s="14"/>
    </row>
    <row r="3032" spans="1:17" x14ac:dyDescent="0.25">
      <c r="A3032" s="5"/>
      <c r="B3032" s="6"/>
      <c r="C3032" s="4"/>
      <c r="D3032" s="4"/>
      <c r="E3032" s="12"/>
      <c r="F3032" s="12"/>
      <c r="G3032" s="16"/>
      <c r="H3032" s="14"/>
      <c r="I3032" s="14"/>
      <c r="J3032" s="14"/>
      <c r="K3032" s="14"/>
      <c r="L3032" s="14"/>
      <c r="M3032" s="14"/>
      <c r="N3032" s="14"/>
      <c r="O3032" s="4"/>
      <c r="P3032" s="14"/>
      <c r="Q3032" s="14"/>
    </row>
    <row r="3033" spans="1:17" x14ac:dyDescent="0.25">
      <c r="A3033" s="5"/>
      <c r="B3033" s="6"/>
      <c r="C3033" s="4"/>
      <c r="D3033" s="4"/>
      <c r="E3033" s="12"/>
      <c r="F3033" s="12"/>
      <c r="G3033" s="16"/>
      <c r="H3033" s="14"/>
      <c r="I3033" s="14"/>
      <c r="J3033" s="14"/>
      <c r="K3033" s="14"/>
      <c r="L3033" s="14"/>
      <c r="M3033" s="14"/>
      <c r="N3033" s="14"/>
      <c r="O3033" s="4"/>
      <c r="P3033" s="14"/>
      <c r="Q3033" s="14"/>
    </row>
    <row r="3034" spans="1:17" x14ac:dyDescent="0.25">
      <c r="A3034" s="5"/>
      <c r="B3034" s="6"/>
      <c r="C3034" s="4"/>
      <c r="D3034" s="4"/>
      <c r="E3034" s="12"/>
      <c r="F3034" s="12"/>
      <c r="G3034" s="16"/>
      <c r="H3034" s="14"/>
      <c r="I3034" s="14"/>
      <c r="J3034" s="14"/>
      <c r="K3034" s="14"/>
      <c r="L3034" s="14"/>
      <c r="M3034" s="14"/>
      <c r="N3034" s="14"/>
      <c r="O3034" s="4"/>
      <c r="P3034" s="14"/>
      <c r="Q3034" s="14"/>
    </row>
    <row r="3035" spans="1:17" x14ac:dyDescent="0.25">
      <c r="A3035" s="5"/>
      <c r="B3035" s="6"/>
      <c r="C3035" s="4"/>
      <c r="D3035" s="4"/>
      <c r="E3035" s="12"/>
      <c r="F3035" s="12"/>
      <c r="G3035" s="16"/>
      <c r="H3035" s="14"/>
      <c r="I3035" s="14"/>
      <c r="J3035" s="14"/>
      <c r="K3035" s="14"/>
      <c r="L3035" s="14"/>
      <c r="M3035" s="14"/>
      <c r="N3035" s="14"/>
      <c r="O3035" s="4"/>
      <c r="P3035" s="14"/>
      <c r="Q3035" s="14"/>
    </row>
    <row r="3036" spans="1:17" x14ac:dyDescent="0.25">
      <c r="A3036" s="5"/>
      <c r="B3036" s="6"/>
      <c r="C3036" s="4"/>
      <c r="D3036" s="4"/>
      <c r="E3036" s="12"/>
      <c r="F3036" s="12"/>
      <c r="G3036" s="16"/>
      <c r="H3036" s="14"/>
      <c r="I3036" s="14"/>
      <c r="J3036" s="14"/>
      <c r="K3036" s="14"/>
      <c r="L3036" s="14"/>
      <c r="M3036" s="14"/>
      <c r="N3036" s="14"/>
      <c r="O3036" s="4"/>
      <c r="P3036" s="14"/>
      <c r="Q3036" s="14"/>
    </row>
    <row r="3037" spans="1:17" x14ac:dyDescent="0.25">
      <c r="A3037" s="5"/>
      <c r="B3037" s="6"/>
      <c r="C3037" s="4"/>
      <c r="D3037" s="4"/>
      <c r="E3037" s="12"/>
      <c r="F3037" s="12"/>
      <c r="G3037" s="16"/>
      <c r="H3037" s="14"/>
      <c r="I3037" s="14"/>
      <c r="J3037" s="14"/>
      <c r="K3037" s="14"/>
      <c r="L3037" s="14"/>
      <c r="M3037" s="14"/>
      <c r="N3037" s="14"/>
      <c r="O3037" s="4"/>
      <c r="P3037" s="14"/>
      <c r="Q3037" s="14"/>
    </row>
    <row r="3038" spans="1:17" x14ac:dyDescent="0.25">
      <c r="A3038" s="5"/>
      <c r="B3038" s="6"/>
      <c r="C3038" s="4"/>
      <c r="D3038" s="4"/>
      <c r="E3038" s="12"/>
      <c r="F3038" s="12"/>
      <c r="G3038" s="16"/>
      <c r="H3038" s="14"/>
      <c r="I3038" s="14"/>
      <c r="J3038" s="14"/>
      <c r="K3038" s="14"/>
      <c r="L3038" s="14"/>
      <c r="M3038" s="14"/>
      <c r="N3038" s="14"/>
      <c r="O3038" s="4"/>
      <c r="P3038" s="14"/>
      <c r="Q3038" s="14"/>
    </row>
    <row r="3039" spans="1:17" x14ac:dyDescent="0.25">
      <c r="A3039" s="5"/>
      <c r="B3039" s="6"/>
      <c r="C3039" s="4"/>
      <c r="D3039" s="4"/>
      <c r="E3039" s="12"/>
      <c r="F3039" s="12"/>
      <c r="G3039" s="16"/>
      <c r="H3039" s="14"/>
      <c r="I3039" s="14"/>
      <c r="J3039" s="14"/>
      <c r="K3039" s="14"/>
      <c r="L3039" s="14"/>
      <c r="M3039" s="14"/>
      <c r="N3039" s="14"/>
      <c r="O3039" s="4"/>
      <c r="P3039" s="14"/>
      <c r="Q3039" s="14"/>
    </row>
    <row r="3040" spans="1:17" x14ac:dyDescent="0.25">
      <c r="A3040" s="5"/>
      <c r="B3040" s="6"/>
      <c r="C3040" s="4"/>
      <c r="D3040" s="4"/>
      <c r="E3040" s="12"/>
      <c r="F3040" s="12"/>
      <c r="G3040" s="16"/>
      <c r="H3040" s="14"/>
      <c r="I3040" s="14"/>
      <c r="J3040" s="14"/>
      <c r="K3040" s="14"/>
      <c r="L3040" s="14"/>
      <c r="M3040" s="14"/>
      <c r="N3040" s="14"/>
      <c r="O3040" s="4"/>
      <c r="P3040" s="14"/>
      <c r="Q3040" s="14"/>
    </row>
    <row r="3041" spans="1:17" x14ac:dyDescent="0.25">
      <c r="A3041" s="5"/>
      <c r="B3041" s="6"/>
      <c r="C3041" s="4"/>
      <c r="D3041" s="4"/>
      <c r="E3041" s="12"/>
      <c r="F3041" s="12"/>
      <c r="G3041" s="16"/>
      <c r="H3041" s="14"/>
      <c r="I3041" s="14"/>
      <c r="J3041" s="14"/>
      <c r="K3041" s="14"/>
      <c r="L3041" s="14"/>
      <c r="M3041" s="14"/>
      <c r="N3041" s="14"/>
      <c r="O3041" s="4"/>
      <c r="P3041" s="14"/>
      <c r="Q3041" s="14"/>
    </row>
    <row r="3042" spans="1:17" x14ac:dyDescent="0.25">
      <c r="A3042" s="5"/>
      <c r="B3042" s="6"/>
      <c r="C3042" s="4"/>
      <c r="D3042" s="4"/>
      <c r="E3042" s="12"/>
      <c r="F3042" s="12"/>
      <c r="G3042" s="16"/>
      <c r="H3042" s="14"/>
      <c r="I3042" s="14"/>
      <c r="J3042" s="14"/>
      <c r="K3042" s="14"/>
      <c r="L3042" s="14"/>
      <c r="M3042" s="14"/>
      <c r="N3042" s="14"/>
      <c r="O3042" s="4"/>
      <c r="P3042" s="14"/>
      <c r="Q3042" s="14"/>
    </row>
    <row r="3043" spans="1:17" x14ac:dyDescent="0.25">
      <c r="A3043" s="5"/>
      <c r="B3043" s="6"/>
      <c r="C3043" s="4"/>
      <c r="D3043" s="4"/>
      <c r="E3043" s="12"/>
      <c r="F3043" s="12"/>
      <c r="G3043" s="16"/>
      <c r="H3043" s="14"/>
      <c r="I3043" s="14"/>
      <c r="J3043" s="14"/>
      <c r="K3043" s="14"/>
      <c r="L3043" s="14"/>
      <c r="M3043" s="14"/>
      <c r="N3043" s="14"/>
      <c r="O3043" s="4"/>
      <c r="P3043" s="14"/>
      <c r="Q3043" s="14"/>
    </row>
    <row r="3044" spans="1:17" x14ac:dyDescent="0.25">
      <c r="A3044" s="5"/>
      <c r="B3044" s="6"/>
      <c r="C3044" s="4"/>
      <c r="D3044" s="4"/>
      <c r="E3044" s="12"/>
      <c r="F3044" s="12"/>
      <c r="G3044" s="16"/>
      <c r="H3044" s="14"/>
      <c r="I3044" s="14"/>
      <c r="J3044" s="14"/>
      <c r="K3044" s="14"/>
      <c r="L3044" s="14"/>
      <c r="M3044" s="14"/>
      <c r="N3044" s="14"/>
      <c r="O3044" s="4"/>
      <c r="P3044" s="14"/>
      <c r="Q3044" s="14"/>
    </row>
    <row r="3045" spans="1:17" x14ac:dyDescent="0.25">
      <c r="A3045" s="5"/>
      <c r="B3045" s="6"/>
      <c r="C3045" s="4"/>
      <c r="D3045" s="4"/>
      <c r="E3045" s="12"/>
      <c r="F3045" s="12"/>
      <c r="G3045" s="16"/>
      <c r="H3045" s="14"/>
      <c r="I3045" s="14"/>
      <c r="J3045" s="14"/>
      <c r="K3045" s="14"/>
      <c r="L3045" s="14"/>
      <c r="M3045" s="14"/>
      <c r="N3045" s="14"/>
      <c r="O3045" s="4"/>
      <c r="P3045" s="14"/>
      <c r="Q3045" s="14"/>
    </row>
    <row r="3046" spans="1:17" x14ac:dyDescent="0.25">
      <c r="A3046" s="5"/>
      <c r="B3046" s="6"/>
      <c r="C3046" s="4"/>
      <c r="D3046" s="4"/>
      <c r="E3046" s="12"/>
      <c r="F3046" s="12"/>
      <c r="G3046" s="16"/>
      <c r="H3046" s="14"/>
      <c r="I3046" s="14"/>
      <c r="J3046" s="14"/>
      <c r="K3046" s="14"/>
      <c r="L3046" s="14"/>
      <c r="M3046" s="14"/>
      <c r="N3046" s="14"/>
      <c r="O3046" s="4"/>
      <c r="P3046" s="14"/>
      <c r="Q3046" s="14"/>
    </row>
    <row r="3047" spans="1:17" x14ac:dyDescent="0.25">
      <c r="A3047" s="5"/>
      <c r="B3047" s="6"/>
      <c r="C3047" s="4"/>
      <c r="D3047" s="4"/>
      <c r="E3047" s="12"/>
      <c r="F3047" s="12"/>
      <c r="G3047" s="16"/>
      <c r="H3047" s="14"/>
      <c r="I3047" s="14"/>
      <c r="J3047" s="14"/>
      <c r="K3047" s="14"/>
      <c r="L3047" s="14"/>
      <c r="M3047" s="14"/>
      <c r="N3047" s="14"/>
      <c r="O3047" s="4"/>
      <c r="P3047" s="14"/>
      <c r="Q3047" s="14"/>
    </row>
    <row r="3048" spans="1:17" x14ac:dyDescent="0.25">
      <c r="A3048" s="5"/>
      <c r="B3048" s="6"/>
      <c r="C3048" s="4"/>
      <c r="D3048" s="4"/>
      <c r="E3048" s="12"/>
      <c r="F3048" s="12"/>
      <c r="G3048" s="16"/>
      <c r="H3048" s="14"/>
      <c r="I3048" s="14"/>
      <c r="J3048" s="14"/>
      <c r="K3048" s="14"/>
      <c r="L3048" s="14"/>
      <c r="M3048" s="14"/>
      <c r="N3048" s="14"/>
      <c r="O3048" s="4"/>
      <c r="P3048" s="14"/>
      <c r="Q3048" s="14"/>
    </row>
    <row r="3049" spans="1:17" x14ac:dyDescent="0.25">
      <c r="A3049" s="5"/>
      <c r="B3049" s="6"/>
      <c r="C3049" s="4"/>
      <c r="D3049" s="4"/>
      <c r="E3049" s="12"/>
      <c r="F3049" s="12"/>
      <c r="G3049" s="16"/>
      <c r="H3049" s="14"/>
      <c r="I3049" s="14"/>
      <c r="J3049" s="14"/>
      <c r="K3049" s="14"/>
      <c r="L3049" s="14"/>
      <c r="M3049" s="14"/>
      <c r="N3049" s="14"/>
      <c r="O3049" s="4"/>
      <c r="P3049" s="14"/>
      <c r="Q3049" s="14"/>
    </row>
    <row r="3050" spans="1:17" x14ac:dyDescent="0.25">
      <c r="A3050" s="5"/>
      <c r="B3050" s="6"/>
      <c r="C3050" s="4"/>
      <c r="D3050" s="4"/>
      <c r="E3050" s="12"/>
      <c r="F3050" s="12"/>
      <c r="G3050" s="16"/>
      <c r="H3050" s="14"/>
      <c r="I3050" s="14"/>
      <c r="J3050" s="14"/>
      <c r="K3050" s="14"/>
      <c r="L3050" s="14"/>
      <c r="M3050" s="14"/>
      <c r="N3050" s="14"/>
      <c r="O3050" s="4"/>
      <c r="P3050" s="14"/>
      <c r="Q3050" s="14"/>
    </row>
    <row r="3051" spans="1:17" x14ac:dyDescent="0.25">
      <c r="A3051" s="5"/>
      <c r="B3051" s="6"/>
      <c r="C3051" s="4"/>
      <c r="D3051" s="4"/>
      <c r="E3051" s="12"/>
      <c r="F3051" s="12"/>
      <c r="G3051" s="16"/>
      <c r="H3051" s="14"/>
      <c r="I3051" s="14"/>
      <c r="J3051" s="14"/>
      <c r="K3051" s="14"/>
      <c r="L3051" s="14"/>
      <c r="M3051" s="14"/>
      <c r="N3051" s="14"/>
      <c r="O3051" s="4"/>
      <c r="P3051" s="14"/>
      <c r="Q3051" s="14"/>
    </row>
    <row r="3052" spans="1:17" x14ac:dyDescent="0.25">
      <c r="A3052" s="5"/>
      <c r="B3052" s="6"/>
      <c r="C3052" s="4"/>
      <c r="D3052" s="4"/>
      <c r="E3052" s="12"/>
      <c r="F3052" s="12"/>
      <c r="G3052" s="16"/>
      <c r="H3052" s="14"/>
      <c r="I3052" s="14"/>
      <c r="J3052" s="14"/>
      <c r="K3052" s="14"/>
      <c r="L3052" s="14"/>
      <c r="M3052" s="14"/>
      <c r="N3052" s="14"/>
      <c r="O3052" s="4"/>
      <c r="P3052" s="14"/>
      <c r="Q3052" s="14"/>
    </row>
    <row r="3053" spans="1:17" x14ac:dyDescent="0.25">
      <c r="A3053" s="5"/>
      <c r="B3053" s="6"/>
      <c r="C3053" s="4"/>
      <c r="D3053" s="4"/>
      <c r="E3053" s="12"/>
      <c r="F3053" s="12"/>
      <c r="G3053" s="16"/>
      <c r="H3053" s="14"/>
      <c r="I3053" s="14"/>
      <c r="J3053" s="14"/>
      <c r="K3053" s="14"/>
      <c r="L3053" s="14"/>
      <c r="M3053" s="14"/>
      <c r="N3053" s="14"/>
      <c r="O3053" s="4"/>
      <c r="P3053" s="14"/>
      <c r="Q3053" s="14"/>
    </row>
    <row r="3054" spans="1:17" x14ac:dyDescent="0.25">
      <c r="A3054" s="5"/>
      <c r="B3054" s="6"/>
      <c r="C3054" s="4"/>
      <c r="D3054" s="4"/>
      <c r="E3054" s="12"/>
      <c r="F3054" s="12"/>
      <c r="G3054" s="16"/>
      <c r="H3054" s="14"/>
      <c r="I3054" s="14"/>
      <c r="J3054" s="14"/>
      <c r="K3054" s="14"/>
      <c r="L3054" s="14"/>
      <c r="M3054" s="14"/>
      <c r="N3054" s="14"/>
      <c r="O3054" s="4"/>
      <c r="P3054" s="14"/>
      <c r="Q3054" s="14"/>
    </row>
    <row r="3055" spans="1:17" x14ac:dyDescent="0.25">
      <c r="A3055" s="5"/>
      <c r="B3055" s="6"/>
      <c r="C3055" s="4"/>
      <c r="D3055" s="4"/>
      <c r="E3055" s="12"/>
      <c r="F3055" s="12"/>
      <c r="G3055" s="16"/>
      <c r="H3055" s="14"/>
      <c r="I3055" s="14"/>
      <c r="J3055" s="14"/>
      <c r="K3055" s="14"/>
      <c r="L3055" s="14"/>
      <c r="M3055" s="14"/>
      <c r="N3055" s="14"/>
      <c r="O3055" s="4"/>
      <c r="P3055" s="14"/>
      <c r="Q3055" s="14"/>
    </row>
    <row r="3056" spans="1:17" x14ac:dyDescent="0.25">
      <c r="A3056" s="5"/>
      <c r="B3056" s="6"/>
      <c r="C3056" s="4"/>
      <c r="D3056" s="4"/>
      <c r="E3056" s="12"/>
      <c r="F3056" s="12"/>
      <c r="G3056" s="16"/>
      <c r="H3056" s="14"/>
      <c r="I3056" s="14"/>
      <c r="J3056" s="14"/>
      <c r="K3056" s="14"/>
      <c r="L3056" s="14"/>
      <c r="M3056" s="14"/>
      <c r="N3056" s="14"/>
      <c r="O3056" s="4"/>
      <c r="P3056" s="14"/>
      <c r="Q3056" s="14"/>
    </row>
    <row r="3057" spans="1:17" x14ac:dyDescent="0.25">
      <c r="A3057" s="5"/>
      <c r="B3057" s="6"/>
      <c r="C3057" s="4"/>
      <c r="D3057" s="4"/>
      <c r="E3057" s="12"/>
      <c r="F3057" s="12"/>
      <c r="G3057" s="16"/>
      <c r="H3057" s="14"/>
      <c r="I3057" s="14"/>
      <c r="J3057" s="14"/>
      <c r="K3057" s="14"/>
      <c r="L3057" s="14"/>
      <c r="M3057" s="14"/>
      <c r="N3057" s="14"/>
      <c r="O3057" s="4"/>
      <c r="P3057" s="14"/>
      <c r="Q3057" s="14"/>
    </row>
    <row r="3058" spans="1:17" x14ac:dyDescent="0.25">
      <c r="A3058" s="5"/>
      <c r="B3058" s="6"/>
      <c r="C3058" s="4"/>
      <c r="D3058" s="4"/>
      <c r="E3058" s="12"/>
      <c r="F3058" s="12"/>
      <c r="G3058" s="16"/>
      <c r="H3058" s="14"/>
      <c r="I3058" s="14"/>
      <c r="J3058" s="14"/>
      <c r="K3058" s="14"/>
      <c r="L3058" s="14"/>
      <c r="M3058" s="14"/>
      <c r="N3058" s="14"/>
      <c r="O3058" s="4"/>
      <c r="P3058" s="14"/>
      <c r="Q3058" s="14"/>
    </row>
    <row r="3059" spans="1:17" x14ac:dyDescent="0.25">
      <c r="A3059" s="5"/>
      <c r="B3059" s="6"/>
      <c r="C3059" s="4"/>
      <c r="D3059" s="4"/>
      <c r="E3059" s="12"/>
      <c r="F3059" s="12"/>
      <c r="G3059" s="16"/>
      <c r="H3059" s="14"/>
      <c r="I3059" s="14"/>
      <c r="J3059" s="14"/>
      <c r="K3059" s="14"/>
      <c r="L3059" s="14"/>
      <c r="M3059" s="14"/>
      <c r="N3059" s="14"/>
      <c r="O3059" s="4"/>
      <c r="P3059" s="14"/>
      <c r="Q3059" s="14"/>
    </row>
    <row r="3060" spans="1:17" x14ac:dyDescent="0.25">
      <c r="A3060" s="5"/>
      <c r="B3060" s="6"/>
      <c r="C3060" s="4"/>
      <c r="D3060" s="4"/>
      <c r="E3060" s="12"/>
      <c r="F3060" s="12"/>
      <c r="G3060" s="16"/>
      <c r="H3060" s="14"/>
      <c r="I3060" s="14"/>
      <c r="J3060" s="14"/>
      <c r="K3060" s="14"/>
      <c r="L3060" s="14"/>
      <c r="M3060" s="14"/>
      <c r="N3060" s="14"/>
      <c r="O3060" s="4"/>
      <c r="P3060" s="14"/>
      <c r="Q3060" s="14"/>
    </row>
    <row r="3061" spans="1:17" x14ac:dyDescent="0.25">
      <c r="A3061" s="5"/>
      <c r="B3061" s="6"/>
      <c r="C3061" s="4"/>
      <c r="D3061" s="4"/>
      <c r="E3061" s="12"/>
      <c r="F3061" s="12"/>
      <c r="G3061" s="16"/>
      <c r="H3061" s="14"/>
      <c r="I3061" s="14"/>
      <c r="J3061" s="14"/>
      <c r="K3061" s="14"/>
      <c r="L3061" s="14"/>
      <c r="M3061" s="14"/>
      <c r="N3061" s="14"/>
      <c r="O3061" s="4"/>
      <c r="P3061" s="14"/>
      <c r="Q3061" s="14"/>
    </row>
    <row r="3062" spans="1:17" x14ac:dyDescent="0.25">
      <c r="A3062" s="5"/>
      <c r="B3062" s="6"/>
      <c r="C3062" s="4"/>
      <c r="D3062" s="4"/>
      <c r="E3062" s="12"/>
      <c r="F3062" s="12"/>
      <c r="G3062" s="16"/>
      <c r="H3062" s="14"/>
      <c r="I3062" s="14"/>
      <c r="J3062" s="14"/>
      <c r="K3062" s="14"/>
      <c r="L3062" s="14"/>
      <c r="M3062" s="14"/>
      <c r="N3062" s="14"/>
      <c r="O3062" s="4"/>
      <c r="P3062" s="14"/>
      <c r="Q3062" s="14"/>
    </row>
    <row r="3063" spans="1:17" x14ac:dyDescent="0.25">
      <c r="A3063" s="5"/>
      <c r="B3063" s="6"/>
      <c r="C3063" s="4"/>
      <c r="D3063" s="4"/>
      <c r="E3063" s="12"/>
      <c r="F3063" s="12"/>
      <c r="G3063" s="16"/>
      <c r="H3063" s="14"/>
      <c r="I3063" s="14"/>
      <c r="J3063" s="14"/>
      <c r="K3063" s="14"/>
      <c r="L3063" s="14"/>
      <c r="M3063" s="14"/>
      <c r="N3063" s="14"/>
      <c r="O3063" s="4"/>
      <c r="P3063" s="14"/>
      <c r="Q3063" s="14"/>
    </row>
    <row r="3064" spans="1:17" x14ac:dyDescent="0.25">
      <c r="A3064" s="5"/>
      <c r="B3064" s="6"/>
      <c r="C3064" s="4"/>
      <c r="D3064" s="4"/>
      <c r="E3064" s="12"/>
      <c r="F3064" s="12"/>
      <c r="G3064" s="16"/>
      <c r="H3064" s="14"/>
      <c r="I3064" s="14"/>
      <c r="J3064" s="14"/>
      <c r="K3064" s="14"/>
      <c r="L3064" s="14"/>
      <c r="M3064" s="14"/>
      <c r="N3064" s="14"/>
      <c r="O3064" s="4"/>
      <c r="P3064" s="14"/>
      <c r="Q3064" s="14"/>
    </row>
    <row r="3065" spans="1:17" x14ac:dyDescent="0.25">
      <c r="A3065" s="5"/>
      <c r="B3065" s="6"/>
      <c r="C3065" s="4"/>
      <c r="D3065" s="4"/>
      <c r="E3065" s="12"/>
      <c r="F3065" s="12"/>
      <c r="G3065" s="16"/>
      <c r="H3065" s="14"/>
      <c r="I3065" s="14"/>
      <c r="J3065" s="14"/>
      <c r="K3065" s="14"/>
      <c r="L3065" s="14"/>
      <c r="M3065" s="14"/>
      <c r="N3065" s="14"/>
      <c r="O3065" s="4"/>
      <c r="P3065" s="14"/>
      <c r="Q3065" s="14"/>
    </row>
    <row r="3066" spans="1:17" x14ac:dyDescent="0.25">
      <c r="A3066" s="5"/>
      <c r="B3066" s="6"/>
      <c r="C3066" s="4"/>
      <c r="D3066" s="4"/>
      <c r="E3066" s="12"/>
      <c r="F3066" s="12"/>
      <c r="G3066" s="16"/>
      <c r="H3066" s="14"/>
      <c r="I3066" s="14"/>
      <c r="J3066" s="14"/>
      <c r="K3066" s="14"/>
      <c r="L3066" s="14"/>
      <c r="M3066" s="14"/>
      <c r="N3066" s="14"/>
      <c r="O3066" s="4"/>
      <c r="P3066" s="14"/>
      <c r="Q3066" s="14"/>
    </row>
    <row r="3067" spans="1:17" x14ac:dyDescent="0.25">
      <c r="A3067" s="5"/>
      <c r="B3067" s="6"/>
      <c r="C3067" s="4"/>
      <c r="D3067" s="4"/>
      <c r="E3067" s="12"/>
      <c r="F3067" s="12"/>
      <c r="G3067" s="16"/>
      <c r="H3067" s="14"/>
      <c r="I3067" s="14"/>
      <c r="J3067" s="14"/>
      <c r="K3067" s="14"/>
      <c r="L3067" s="14"/>
      <c r="M3067" s="14"/>
      <c r="N3067" s="14"/>
      <c r="O3067" s="4"/>
      <c r="P3067" s="14"/>
      <c r="Q3067" s="14"/>
    </row>
    <row r="3068" spans="1:17" x14ac:dyDescent="0.25">
      <c r="A3068" s="5"/>
      <c r="B3068" s="6"/>
      <c r="C3068" s="4"/>
      <c r="D3068" s="4"/>
      <c r="E3068" s="12"/>
      <c r="F3068" s="12"/>
      <c r="G3068" s="16"/>
      <c r="H3068" s="14"/>
      <c r="I3068" s="14"/>
      <c r="J3068" s="14"/>
      <c r="K3068" s="14"/>
      <c r="L3068" s="14"/>
      <c r="M3068" s="14"/>
      <c r="N3068" s="14"/>
      <c r="O3068" s="4"/>
      <c r="P3068" s="14"/>
      <c r="Q3068" s="14"/>
    </row>
    <row r="3069" spans="1:17" x14ac:dyDescent="0.25">
      <c r="A3069" s="5"/>
      <c r="B3069" s="6"/>
      <c r="C3069" s="4"/>
      <c r="D3069" s="4"/>
      <c r="E3069" s="12"/>
      <c r="F3069" s="12"/>
      <c r="G3069" s="16"/>
      <c r="H3069" s="14"/>
      <c r="I3069" s="14"/>
      <c r="J3069" s="14"/>
      <c r="K3069" s="14"/>
      <c r="L3069" s="14"/>
      <c r="M3069" s="14"/>
      <c r="N3069" s="14"/>
      <c r="O3069" s="4"/>
      <c r="P3069" s="14"/>
      <c r="Q3069" s="14"/>
    </row>
    <row r="3070" spans="1:17" x14ac:dyDescent="0.25">
      <c r="A3070" s="5"/>
      <c r="B3070" s="6"/>
      <c r="C3070" s="4"/>
      <c r="D3070" s="4"/>
      <c r="E3070" s="12"/>
      <c r="F3070" s="12"/>
      <c r="G3070" s="16"/>
      <c r="H3070" s="14"/>
      <c r="I3070" s="14"/>
      <c r="J3070" s="14"/>
      <c r="K3070" s="14"/>
      <c r="L3070" s="14"/>
      <c r="M3070" s="14"/>
      <c r="N3070" s="14"/>
      <c r="O3070" s="4"/>
      <c r="P3070" s="14"/>
      <c r="Q3070" s="14"/>
    </row>
    <row r="3071" spans="1:17" x14ac:dyDescent="0.25">
      <c r="A3071" s="5"/>
      <c r="B3071" s="6"/>
      <c r="C3071" s="4"/>
      <c r="D3071" s="4"/>
      <c r="E3071" s="12"/>
      <c r="F3071" s="12"/>
      <c r="G3071" s="16"/>
      <c r="H3071" s="14"/>
      <c r="I3071" s="14"/>
      <c r="J3071" s="14"/>
      <c r="K3071" s="14"/>
      <c r="L3071" s="14"/>
      <c r="M3071" s="14"/>
      <c r="N3071" s="14"/>
      <c r="O3071" s="4"/>
      <c r="P3071" s="14"/>
      <c r="Q3071" s="14"/>
    </row>
    <row r="3072" spans="1:17" x14ac:dyDescent="0.25">
      <c r="A3072" s="5"/>
      <c r="B3072" s="6"/>
      <c r="C3072" s="4"/>
      <c r="D3072" s="4"/>
      <c r="E3072" s="12"/>
      <c r="F3072" s="12"/>
      <c r="G3072" s="16"/>
      <c r="H3072" s="14"/>
      <c r="I3072" s="14"/>
      <c r="J3072" s="14"/>
      <c r="K3072" s="14"/>
      <c r="L3072" s="14"/>
      <c r="M3072" s="14"/>
      <c r="N3072" s="14"/>
      <c r="O3072" s="4"/>
      <c r="P3072" s="14"/>
      <c r="Q3072" s="14"/>
    </row>
    <row r="3073" spans="1:17" x14ac:dyDescent="0.25">
      <c r="A3073" s="5"/>
      <c r="B3073" s="6"/>
      <c r="C3073" s="4"/>
      <c r="D3073" s="4"/>
      <c r="E3073" s="12"/>
      <c r="F3073" s="12"/>
      <c r="G3073" s="16"/>
      <c r="H3073" s="14"/>
      <c r="I3073" s="14"/>
      <c r="J3073" s="14"/>
      <c r="K3073" s="14"/>
      <c r="L3073" s="14"/>
      <c r="M3073" s="14"/>
      <c r="N3073" s="14"/>
      <c r="O3073" s="4"/>
      <c r="P3073" s="14"/>
      <c r="Q3073" s="14"/>
    </row>
    <row r="3074" spans="1:17" x14ac:dyDescent="0.25">
      <c r="A3074" s="5"/>
      <c r="B3074" s="6"/>
      <c r="C3074" s="4"/>
      <c r="D3074" s="4"/>
      <c r="E3074" s="12"/>
      <c r="F3074" s="12"/>
      <c r="G3074" s="16"/>
      <c r="H3074" s="14"/>
      <c r="I3074" s="14"/>
      <c r="J3074" s="14"/>
      <c r="K3074" s="14"/>
      <c r="L3074" s="14"/>
      <c r="M3074" s="14"/>
      <c r="N3074" s="14"/>
      <c r="O3074" s="4"/>
      <c r="P3074" s="14"/>
      <c r="Q3074" s="14"/>
    </row>
    <row r="3075" spans="1:17" x14ac:dyDescent="0.25">
      <c r="A3075" s="5"/>
      <c r="B3075" s="6"/>
      <c r="C3075" s="4"/>
      <c r="D3075" s="4"/>
      <c r="E3075" s="12"/>
      <c r="F3075" s="12"/>
      <c r="G3075" s="16"/>
      <c r="H3075" s="14"/>
      <c r="I3075" s="14"/>
      <c r="J3075" s="14"/>
      <c r="K3075" s="14"/>
      <c r="L3075" s="14"/>
      <c r="M3075" s="14"/>
      <c r="N3075" s="14"/>
      <c r="O3075" s="4"/>
      <c r="P3075" s="14"/>
      <c r="Q3075" s="14"/>
    </row>
    <row r="3076" spans="1:17" x14ac:dyDescent="0.25">
      <c r="A3076" s="5"/>
      <c r="B3076" s="6"/>
      <c r="C3076" s="4"/>
      <c r="D3076" s="4"/>
      <c r="E3076" s="12"/>
      <c r="F3076" s="12"/>
      <c r="G3076" s="16"/>
      <c r="H3076" s="14"/>
      <c r="I3076" s="14"/>
      <c r="J3076" s="14"/>
      <c r="K3076" s="14"/>
      <c r="L3076" s="14"/>
      <c r="M3076" s="14"/>
      <c r="N3076" s="14"/>
      <c r="O3076" s="4"/>
      <c r="P3076" s="14"/>
      <c r="Q3076" s="14"/>
    </row>
    <row r="3077" spans="1:17" x14ac:dyDescent="0.25">
      <c r="A3077" s="5"/>
      <c r="B3077" s="6"/>
      <c r="C3077" s="4"/>
      <c r="D3077" s="4"/>
      <c r="E3077" s="12"/>
      <c r="F3077" s="12"/>
      <c r="G3077" s="16"/>
      <c r="H3077" s="14"/>
      <c r="I3077" s="14"/>
      <c r="J3077" s="14"/>
      <c r="K3077" s="14"/>
      <c r="L3077" s="14"/>
      <c r="M3077" s="14"/>
      <c r="N3077" s="14"/>
      <c r="O3077" s="4"/>
      <c r="P3077" s="14"/>
      <c r="Q3077" s="14"/>
    </row>
    <row r="3078" spans="1:17" x14ac:dyDescent="0.25">
      <c r="A3078" s="5"/>
      <c r="B3078" s="6"/>
      <c r="C3078" s="4"/>
      <c r="D3078" s="4"/>
      <c r="E3078" s="12"/>
      <c r="F3078" s="12"/>
      <c r="G3078" s="16"/>
      <c r="H3078" s="14"/>
      <c r="I3078" s="14"/>
      <c r="J3078" s="14"/>
      <c r="K3078" s="14"/>
      <c r="L3078" s="14"/>
      <c r="M3078" s="14"/>
      <c r="N3078" s="14"/>
      <c r="O3078" s="4"/>
      <c r="P3078" s="14"/>
      <c r="Q3078" s="14"/>
    </row>
    <row r="3079" spans="1:17" x14ac:dyDescent="0.25">
      <c r="A3079" s="5"/>
      <c r="B3079" s="6"/>
      <c r="C3079" s="4"/>
      <c r="D3079" s="4"/>
      <c r="E3079" s="12"/>
      <c r="F3079" s="12"/>
      <c r="G3079" s="16"/>
      <c r="H3079" s="14"/>
      <c r="I3079" s="14"/>
      <c r="J3079" s="14"/>
      <c r="K3079" s="14"/>
      <c r="L3079" s="14"/>
      <c r="M3079" s="14"/>
      <c r="N3079" s="14"/>
      <c r="O3079" s="4"/>
      <c r="P3079" s="14"/>
      <c r="Q3079" s="14"/>
    </row>
    <row r="3080" spans="1:17" x14ac:dyDescent="0.25">
      <c r="A3080" s="5"/>
      <c r="B3080" s="6"/>
      <c r="C3080" s="4"/>
      <c r="D3080" s="4"/>
      <c r="E3080" s="12"/>
      <c r="F3080" s="12"/>
      <c r="G3080" s="16"/>
      <c r="H3080" s="14"/>
      <c r="I3080" s="14"/>
      <c r="J3080" s="14"/>
      <c r="K3080" s="14"/>
      <c r="L3080" s="14"/>
      <c r="M3080" s="14"/>
      <c r="N3080" s="14"/>
      <c r="O3080" s="4"/>
      <c r="P3080" s="14"/>
      <c r="Q3080" s="14"/>
    </row>
    <row r="3081" spans="1:17" x14ac:dyDescent="0.25">
      <c r="A3081" s="5"/>
      <c r="B3081" s="6"/>
      <c r="C3081" s="4"/>
      <c r="D3081" s="4"/>
      <c r="E3081" s="12"/>
      <c r="F3081" s="12"/>
      <c r="G3081" s="16"/>
      <c r="H3081" s="14"/>
      <c r="I3081" s="14"/>
      <c r="J3081" s="14"/>
      <c r="K3081" s="14"/>
      <c r="L3081" s="14"/>
      <c r="M3081" s="14"/>
      <c r="N3081" s="14"/>
      <c r="O3081" s="4"/>
      <c r="P3081" s="14"/>
      <c r="Q3081" s="14"/>
    </row>
    <row r="3082" spans="1:17" x14ac:dyDescent="0.25">
      <c r="A3082" s="5"/>
      <c r="B3082" s="6"/>
      <c r="C3082" s="4"/>
      <c r="D3082" s="4"/>
      <c r="E3082" s="12"/>
      <c r="F3082" s="12"/>
      <c r="G3082" s="16"/>
      <c r="H3082" s="14"/>
      <c r="I3082" s="14"/>
      <c r="J3082" s="14"/>
      <c r="K3082" s="14"/>
      <c r="L3082" s="14"/>
      <c r="M3082" s="14"/>
      <c r="N3082" s="14"/>
      <c r="O3082" s="4"/>
      <c r="P3082" s="14"/>
      <c r="Q3082" s="14"/>
    </row>
    <row r="3083" spans="1:17" x14ac:dyDescent="0.25">
      <c r="A3083" s="5"/>
      <c r="B3083" s="6"/>
      <c r="C3083" s="4"/>
      <c r="D3083" s="4"/>
      <c r="E3083" s="12"/>
      <c r="F3083" s="12"/>
      <c r="G3083" s="16"/>
      <c r="H3083" s="14"/>
      <c r="I3083" s="14"/>
      <c r="J3083" s="14"/>
      <c r="K3083" s="14"/>
      <c r="L3083" s="14"/>
      <c r="M3083" s="14"/>
      <c r="N3083" s="14"/>
      <c r="O3083" s="4"/>
      <c r="P3083" s="14"/>
      <c r="Q3083" s="14"/>
    </row>
    <row r="3084" spans="1:17" x14ac:dyDescent="0.25">
      <c r="A3084" s="5"/>
      <c r="B3084" s="6"/>
      <c r="C3084" s="4"/>
      <c r="D3084" s="4"/>
      <c r="E3084" s="12"/>
      <c r="F3084" s="12"/>
      <c r="G3084" s="16"/>
      <c r="H3084" s="14"/>
      <c r="I3084" s="14"/>
      <c r="J3084" s="14"/>
      <c r="K3084" s="14"/>
      <c r="L3084" s="14"/>
      <c r="M3084" s="14"/>
      <c r="N3084" s="14"/>
      <c r="O3084" s="4"/>
      <c r="P3084" s="14"/>
      <c r="Q3084" s="14"/>
    </row>
    <row r="3085" spans="1:17" x14ac:dyDescent="0.25">
      <c r="A3085" s="5"/>
      <c r="B3085" s="6"/>
      <c r="C3085" s="4"/>
      <c r="D3085" s="4"/>
      <c r="E3085" s="12"/>
      <c r="F3085" s="12"/>
      <c r="G3085" s="16"/>
      <c r="H3085" s="14"/>
      <c r="I3085" s="14"/>
      <c r="J3085" s="14"/>
      <c r="K3085" s="14"/>
      <c r="L3085" s="14"/>
      <c r="M3085" s="14"/>
      <c r="N3085" s="14"/>
      <c r="O3085" s="4"/>
      <c r="P3085" s="14"/>
      <c r="Q3085" s="14"/>
    </row>
    <row r="3086" spans="1:17" x14ac:dyDescent="0.25">
      <c r="A3086" s="5"/>
      <c r="B3086" s="6"/>
      <c r="C3086" s="4"/>
      <c r="D3086" s="4"/>
      <c r="E3086" s="12"/>
      <c r="F3086" s="12"/>
      <c r="G3086" s="16"/>
      <c r="H3086" s="14"/>
      <c r="I3086" s="14"/>
      <c r="J3086" s="14"/>
      <c r="K3086" s="14"/>
      <c r="L3086" s="14"/>
      <c r="M3086" s="14"/>
      <c r="N3086" s="14"/>
      <c r="O3086" s="4"/>
      <c r="P3086" s="14"/>
      <c r="Q3086" s="14"/>
    </row>
    <row r="3087" spans="1:17" x14ac:dyDescent="0.25">
      <c r="A3087" s="5"/>
      <c r="B3087" s="6"/>
      <c r="C3087" s="4"/>
      <c r="D3087" s="4"/>
      <c r="E3087" s="12"/>
      <c r="F3087" s="12"/>
      <c r="G3087" s="16"/>
      <c r="H3087" s="14"/>
      <c r="I3087" s="14"/>
      <c r="J3087" s="14"/>
      <c r="K3087" s="14"/>
      <c r="L3087" s="14"/>
      <c r="M3087" s="14"/>
      <c r="N3087" s="14"/>
      <c r="O3087" s="4"/>
      <c r="P3087" s="14"/>
      <c r="Q3087" s="14"/>
    </row>
    <row r="3088" spans="1:17" x14ac:dyDescent="0.25">
      <c r="A3088" s="5"/>
      <c r="B3088" s="6"/>
      <c r="C3088" s="4"/>
      <c r="D3088" s="4"/>
      <c r="E3088" s="12"/>
      <c r="F3088" s="12"/>
      <c r="G3088" s="16"/>
      <c r="H3088" s="14"/>
      <c r="I3088" s="14"/>
      <c r="J3088" s="14"/>
      <c r="K3088" s="14"/>
      <c r="L3088" s="14"/>
      <c r="M3088" s="14"/>
      <c r="N3088" s="14"/>
      <c r="O3088" s="4"/>
      <c r="P3088" s="14"/>
      <c r="Q3088" s="14"/>
    </row>
    <row r="3089" spans="1:17" x14ac:dyDescent="0.25">
      <c r="A3089" s="5"/>
      <c r="B3089" s="6"/>
      <c r="C3089" s="4"/>
      <c r="D3089" s="4"/>
      <c r="E3089" s="12"/>
      <c r="F3089" s="12"/>
      <c r="G3089" s="16"/>
      <c r="H3089" s="14"/>
      <c r="I3089" s="14"/>
      <c r="J3089" s="14"/>
      <c r="K3089" s="14"/>
      <c r="L3089" s="14"/>
      <c r="M3089" s="14"/>
      <c r="N3089" s="14"/>
      <c r="O3089" s="4"/>
      <c r="P3089" s="14"/>
      <c r="Q3089" s="14"/>
    </row>
    <row r="3090" spans="1:17" x14ac:dyDescent="0.25">
      <c r="A3090" s="5"/>
      <c r="B3090" s="6"/>
      <c r="C3090" s="4"/>
      <c r="D3090" s="4"/>
      <c r="E3090" s="12"/>
      <c r="F3090" s="12"/>
      <c r="G3090" s="16"/>
      <c r="H3090" s="14"/>
      <c r="I3090" s="14"/>
      <c r="J3090" s="14"/>
      <c r="K3090" s="14"/>
      <c r="L3090" s="14"/>
      <c r="M3090" s="14"/>
      <c r="N3090" s="14"/>
      <c r="O3090" s="4"/>
      <c r="P3090" s="14"/>
      <c r="Q3090" s="14"/>
    </row>
    <row r="3091" spans="1:17" x14ac:dyDescent="0.25">
      <c r="A3091" s="5"/>
      <c r="B3091" s="6"/>
      <c r="C3091" s="4"/>
      <c r="D3091" s="4"/>
      <c r="E3091" s="12"/>
      <c r="F3091" s="12"/>
      <c r="G3091" s="16"/>
      <c r="H3091" s="14"/>
      <c r="I3091" s="14"/>
      <c r="J3091" s="14"/>
      <c r="K3091" s="14"/>
      <c r="L3091" s="14"/>
      <c r="M3091" s="14"/>
      <c r="N3091" s="14"/>
      <c r="O3091" s="4"/>
      <c r="P3091" s="14"/>
      <c r="Q3091" s="14"/>
    </row>
    <row r="3092" spans="1:17" x14ac:dyDescent="0.25">
      <c r="A3092" s="5"/>
      <c r="B3092" s="6"/>
      <c r="C3092" s="4"/>
      <c r="D3092" s="4"/>
      <c r="E3092" s="12"/>
      <c r="F3092" s="12"/>
      <c r="G3092" s="16"/>
      <c r="H3092" s="14"/>
      <c r="I3092" s="14"/>
      <c r="J3092" s="14"/>
      <c r="K3092" s="14"/>
      <c r="L3092" s="14"/>
      <c r="M3092" s="14"/>
      <c r="N3092" s="14"/>
      <c r="O3092" s="4"/>
      <c r="P3092" s="14"/>
      <c r="Q3092" s="14"/>
    </row>
    <row r="3093" spans="1:17" x14ac:dyDescent="0.25">
      <c r="A3093" s="5"/>
      <c r="B3093" s="6"/>
      <c r="C3093" s="4"/>
      <c r="D3093" s="4"/>
      <c r="E3093" s="12"/>
      <c r="F3093" s="12"/>
      <c r="G3093" s="16"/>
      <c r="H3093" s="14"/>
      <c r="I3093" s="14"/>
      <c r="J3093" s="14"/>
      <c r="K3093" s="14"/>
      <c r="L3093" s="14"/>
      <c r="M3093" s="14"/>
      <c r="N3093" s="14"/>
      <c r="O3093" s="4"/>
      <c r="P3093" s="14"/>
      <c r="Q3093" s="14"/>
    </row>
    <row r="3094" spans="1:17" x14ac:dyDescent="0.25">
      <c r="A3094" s="5"/>
      <c r="B3094" s="6"/>
      <c r="C3094" s="4"/>
      <c r="D3094" s="4"/>
      <c r="E3094" s="12"/>
      <c r="F3094" s="12"/>
      <c r="G3094" s="16"/>
      <c r="H3094" s="14"/>
      <c r="I3094" s="14"/>
      <c r="J3094" s="14"/>
      <c r="K3094" s="14"/>
      <c r="L3094" s="14"/>
      <c r="M3094" s="14"/>
      <c r="N3094" s="14"/>
      <c r="O3094" s="4"/>
      <c r="P3094" s="14"/>
      <c r="Q3094" s="14"/>
    </row>
    <row r="3095" spans="1:17" x14ac:dyDescent="0.25">
      <c r="A3095" s="5"/>
      <c r="B3095" s="6"/>
      <c r="C3095" s="4"/>
      <c r="D3095" s="4"/>
      <c r="E3095" s="12"/>
      <c r="F3095" s="12"/>
      <c r="G3095" s="16"/>
      <c r="H3095" s="14"/>
      <c r="I3095" s="14"/>
      <c r="J3095" s="14"/>
      <c r="K3095" s="14"/>
      <c r="L3095" s="14"/>
      <c r="M3095" s="14"/>
      <c r="N3095" s="14"/>
      <c r="O3095" s="4"/>
      <c r="P3095" s="14"/>
      <c r="Q3095" s="14"/>
    </row>
    <row r="3096" spans="1:17" x14ac:dyDescent="0.25">
      <c r="A3096" s="5"/>
      <c r="B3096" s="6"/>
      <c r="C3096" s="4"/>
      <c r="D3096" s="4"/>
      <c r="E3096" s="12"/>
      <c r="F3096" s="12"/>
      <c r="G3096" s="16"/>
      <c r="H3096" s="14"/>
      <c r="I3096" s="14"/>
      <c r="J3096" s="14"/>
      <c r="K3096" s="14"/>
      <c r="L3096" s="14"/>
      <c r="M3096" s="14"/>
      <c r="N3096" s="14"/>
      <c r="O3096" s="4"/>
      <c r="P3096" s="14"/>
      <c r="Q3096" s="14"/>
    </row>
    <row r="3097" spans="1:17" x14ac:dyDescent="0.25">
      <c r="A3097" s="5"/>
      <c r="B3097" s="6"/>
      <c r="C3097" s="4"/>
      <c r="D3097" s="4"/>
      <c r="E3097" s="12"/>
      <c r="F3097" s="12"/>
      <c r="G3097" s="16"/>
      <c r="H3097" s="14"/>
      <c r="I3097" s="14"/>
      <c r="J3097" s="14"/>
      <c r="K3097" s="14"/>
      <c r="L3097" s="14"/>
      <c r="M3097" s="14"/>
      <c r="N3097" s="14"/>
      <c r="O3097" s="4"/>
      <c r="P3097" s="14"/>
      <c r="Q3097" s="14"/>
    </row>
    <row r="3098" spans="1:17" x14ac:dyDescent="0.25">
      <c r="A3098" s="5"/>
      <c r="B3098" s="6"/>
      <c r="C3098" s="4"/>
      <c r="D3098" s="4"/>
      <c r="E3098" s="12"/>
      <c r="F3098" s="12"/>
      <c r="G3098" s="16"/>
      <c r="H3098" s="14"/>
      <c r="I3098" s="14"/>
      <c r="J3098" s="14"/>
      <c r="K3098" s="14"/>
      <c r="L3098" s="14"/>
      <c r="M3098" s="14"/>
      <c r="N3098" s="14"/>
      <c r="O3098" s="4"/>
      <c r="P3098" s="14"/>
      <c r="Q3098" s="14"/>
    </row>
    <row r="3099" spans="1:17" x14ac:dyDescent="0.25">
      <c r="A3099" s="5"/>
      <c r="B3099" s="6"/>
      <c r="C3099" s="4"/>
      <c r="D3099" s="4"/>
      <c r="E3099" s="12"/>
      <c r="F3099" s="12"/>
      <c r="G3099" s="16"/>
      <c r="H3099" s="14"/>
      <c r="I3099" s="14"/>
      <c r="J3099" s="14"/>
      <c r="K3099" s="14"/>
      <c r="L3099" s="14"/>
      <c r="M3099" s="14"/>
      <c r="N3099" s="14"/>
      <c r="O3099" s="4"/>
      <c r="P3099" s="14"/>
      <c r="Q3099" s="14"/>
    </row>
    <row r="3100" spans="1:17" x14ac:dyDescent="0.25">
      <c r="A3100" s="5"/>
      <c r="B3100" s="6"/>
      <c r="C3100" s="4"/>
      <c r="D3100" s="4"/>
      <c r="E3100" s="12"/>
      <c r="F3100" s="12"/>
      <c r="G3100" s="16"/>
      <c r="H3100" s="14"/>
      <c r="I3100" s="14"/>
      <c r="J3100" s="14"/>
      <c r="K3100" s="14"/>
      <c r="L3100" s="14"/>
      <c r="M3100" s="14"/>
      <c r="N3100" s="14"/>
      <c r="O3100" s="4"/>
      <c r="P3100" s="14"/>
      <c r="Q3100" s="14"/>
    </row>
    <row r="3101" spans="1:17" x14ac:dyDescent="0.25">
      <c r="A3101" s="5"/>
      <c r="B3101" s="6"/>
      <c r="C3101" s="4"/>
      <c r="D3101" s="4"/>
      <c r="E3101" s="12"/>
      <c r="F3101" s="12"/>
      <c r="G3101" s="16"/>
      <c r="H3101" s="14"/>
      <c r="I3101" s="14"/>
      <c r="J3101" s="14"/>
      <c r="K3101" s="14"/>
      <c r="L3101" s="14"/>
      <c r="M3101" s="14"/>
      <c r="N3101" s="14"/>
      <c r="O3101" s="4"/>
      <c r="P3101" s="14"/>
      <c r="Q3101" s="14"/>
    </row>
    <row r="3102" spans="1:17" x14ac:dyDescent="0.25">
      <c r="A3102" s="5"/>
      <c r="B3102" s="6"/>
      <c r="C3102" s="4"/>
      <c r="D3102" s="4"/>
      <c r="E3102" s="12"/>
      <c r="F3102" s="12"/>
      <c r="G3102" s="16"/>
      <c r="H3102" s="14"/>
      <c r="I3102" s="14"/>
      <c r="J3102" s="14"/>
      <c r="K3102" s="14"/>
      <c r="L3102" s="14"/>
      <c r="M3102" s="14"/>
      <c r="N3102" s="14"/>
      <c r="O3102" s="4"/>
      <c r="P3102" s="14"/>
      <c r="Q3102" s="14"/>
    </row>
    <row r="3103" spans="1:17" x14ac:dyDescent="0.25">
      <c r="A3103" s="5"/>
      <c r="B3103" s="6"/>
      <c r="C3103" s="4"/>
      <c r="D3103" s="4"/>
      <c r="E3103" s="12"/>
      <c r="F3103" s="12"/>
      <c r="G3103" s="16"/>
      <c r="H3103" s="14"/>
      <c r="I3103" s="14"/>
      <c r="J3103" s="14"/>
      <c r="K3103" s="14"/>
      <c r="L3103" s="14"/>
      <c r="M3103" s="14"/>
      <c r="N3103" s="14"/>
      <c r="O3103" s="4"/>
      <c r="P3103" s="14"/>
      <c r="Q3103" s="14"/>
    </row>
    <row r="3104" spans="1:17" x14ac:dyDescent="0.25">
      <c r="A3104" s="5"/>
      <c r="B3104" s="6"/>
      <c r="C3104" s="4"/>
      <c r="D3104" s="4"/>
      <c r="E3104" s="12"/>
      <c r="F3104" s="12"/>
      <c r="G3104" s="16"/>
      <c r="H3104" s="14"/>
      <c r="I3104" s="14"/>
      <c r="J3104" s="14"/>
      <c r="K3104" s="14"/>
      <c r="L3104" s="14"/>
      <c r="M3104" s="14"/>
      <c r="N3104" s="14"/>
      <c r="O3104" s="4"/>
      <c r="P3104" s="14"/>
      <c r="Q3104" s="14"/>
    </row>
    <row r="3105" spans="1:17" x14ac:dyDescent="0.25">
      <c r="A3105" s="5"/>
      <c r="B3105" s="6"/>
      <c r="C3105" s="4"/>
      <c r="D3105" s="4"/>
      <c r="E3105" s="12"/>
      <c r="F3105" s="12"/>
      <c r="G3105" s="16"/>
      <c r="H3105" s="14"/>
      <c r="I3105" s="14"/>
      <c r="J3105" s="14"/>
      <c r="K3105" s="14"/>
      <c r="L3105" s="14"/>
      <c r="M3105" s="14"/>
      <c r="N3105" s="14"/>
      <c r="O3105" s="4"/>
      <c r="P3105" s="14"/>
      <c r="Q3105" s="14"/>
    </row>
    <row r="3106" spans="1:17" x14ac:dyDescent="0.25">
      <c r="A3106" s="5"/>
      <c r="B3106" s="6"/>
      <c r="C3106" s="4"/>
      <c r="D3106" s="4"/>
      <c r="E3106" s="12"/>
      <c r="F3106" s="12"/>
      <c r="G3106" s="16"/>
      <c r="H3106" s="14"/>
      <c r="I3106" s="14"/>
      <c r="J3106" s="14"/>
      <c r="K3106" s="14"/>
      <c r="L3106" s="14"/>
      <c r="M3106" s="14"/>
      <c r="N3106" s="14"/>
      <c r="O3106" s="4"/>
      <c r="P3106" s="14"/>
      <c r="Q3106" s="14"/>
    </row>
    <row r="3107" spans="1:17" x14ac:dyDescent="0.25">
      <c r="A3107" s="5"/>
      <c r="B3107" s="6"/>
      <c r="C3107" s="4"/>
      <c r="D3107" s="4"/>
      <c r="E3107" s="12"/>
      <c r="F3107" s="12"/>
      <c r="G3107" s="16"/>
      <c r="H3107" s="14"/>
      <c r="I3107" s="14"/>
      <c r="J3107" s="14"/>
      <c r="K3107" s="14"/>
      <c r="L3107" s="14"/>
      <c r="M3107" s="14"/>
      <c r="N3107" s="14"/>
      <c r="O3107" s="4"/>
      <c r="P3107" s="14"/>
      <c r="Q3107" s="14"/>
    </row>
    <row r="3108" spans="1:17" x14ac:dyDescent="0.25">
      <c r="A3108" s="5"/>
      <c r="B3108" s="6"/>
      <c r="C3108" s="4"/>
      <c r="D3108" s="4"/>
      <c r="E3108" s="12"/>
      <c r="F3108" s="12"/>
      <c r="G3108" s="16"/>
      <c r="H3108" s="14"/>
      <c r="I3108" s="14"/>
      <c r="J3108" s="14"/>
      <c r="K3108" s="14"/>
      <c r="L3108" s="14"/>
      <c r="M3108" s="14"/>
      <c r="N3108" s="14"/>
      <c r="O3108" s="4"/>
      <c r="P3108" s="14"/>
      <c r="Q3108" s="14"/>
    </row>
    <row r="3109" spans="1:17" x14ac:dyDescent="0.25">
      <c r="A3109" s="5"/>
      <c r="B3109" s="6"/>
      <c r="C3109" s="4"/>
      <c r="D3109" s="4"/>
      <c r="E3109" s="12"/>
      <c r="F3109" s="12"/>
      <c r="G3109" s="16"/>
      <c r="H3109" s="14"/>
      <c r="I3109" s="14"/>
      <c r="J3109" s="14"/>
      <c r="K3109" s="14"/>
      <c r="L3109" s="14"/>
      <c r="M3109" s="14"/>
      <c r="N3109" s="14"/>
      <c r="O3109" s="4"/>
      <c r="P3109" s="14"/>
      <c r="Q3109" s="14"/>
    </row>
    <row r="3110" spans="1:17" x14ac:dyDescent="0.25">
      <c r="A3110" s="5"/>
      <c r="B3110" s="6"/>
      <c r="C3110" s="4"/>
      <c r="D3110" s="4"/>
      <c r="E3110" s="12"/>
      <c r="F3110" s="12"/>
      <c r="G3110" s="16"/>
      <c r="H3110" s="14"/>
      <c r="I3110" s="14"/>
      <c r="J3110" s="14"/>
      <c r="K3110" s="14"/>
      <c r="L3110" s="14"/>
      <c r="M3110" s="14"/>
      <c r="N3110" s="14"/>
      <c r="O3110" s="4"/>
      <c r="P3110" s="14"/>
      <c r="Q3110" s="14"/>
    </row>
    <row r="3111" spans="1:17" x14ac:dyDescent="0.25">
      <c r="A3111" s="5"/>
      <c r="B3111" s="6"/>
      <c r="C3111" s="4"/>
      <c r="D3111" s="4"/>
      <c r="E3111" s="12"/>
      <c r="F3111" s="12"/>
      <c r="G3111" s="16"/>
      <c r="H3111" s="14"/>
      <c r="I3111" s="14"/>
      <c r="J3111" s="14"/>
      <c r="K3111" s="14"/>
      <c r="L3111" s="14"/>
      <c r="M3111" s="14"/>
      <c r="N3111" s="14"/>
      <c r="O3111" s="4"/>
      <c r="P3111" s="14"/>
      <c r="Q3111" s="14"/>
    </row>
    <row r="3112" spans="1:17" x14ac:dyDescent="0.25">
      <c r="A3112" s="5"/>
      <c r="B3112" s="6"/>
      <c r="C3112" s="4"/>
      <c r="D3112" s="4"/>
      <c r="E3112" s="12"/>
      <c r="F3112" s="12"/>
      <c r="G3112" s="16"/>
      <c r="H3112" s="14"/>
      <c r="I3112" s="14"/>
      <c r="J3112" s="14"/>
      <c r="K3112" s="14"/>
      <c r="L3112" s="14"/>
      <c r="M3112" s="14"/>
      <c r="N3112" s="14"/>
      <c r="O3112" s="4"/>
      <c r="P3112" s="14"/>
      <c r="Q3112" s="14"/>
    </row>
    <row r="3113" spans="1:17" x14ac:dyDescent="0.25">
      <c r="A3113" s="5"/>
      <c r="B3113" s="6"/>
      <c r="C3113" s="4"/>
      <c r="D3113" s="4"/>
      <c r="E3113" s="12"/>
      <c r="F3113" s="12"/>
      <c r="G3113" s="16"/>
      <c r="H3113" s="14"/>
      <c r="I3113" s="14"/>
      <c r="J3113" s="14"/>
      <c r="K3113" s="14"/>
      <c r="L3113" s="14"/>
      <c r="M3113" s="14"/>
      <c r="N3113" s="14"/>
      <c r="O3113" s="4"/>
      <c r="P3113" s="14"/>
      <c r="Q3113" s="14"/>
    </row>
    <row r="3114" spans="1:17" x14ac:dyDescent="0.25">
      <c r="A3114" s="5"/>
      <c r="B3114" s="6"/>
      <c r="C3114" s="4"/>
      <c r="D3114" s="4"/>
      <c r="E3114" s="12"/>
      <c r="F3114" s="12"/>
      <c r="G3114" s="16"/>
      <c r="H3114" s="14"/>
      <c r="I3114" s="14"/>
      <c r="J3114" s="14"/>
      <c r="K3114" s="14"/>
      <c r="L3114" s="14"/>
      <c r="M3114" s="14"/>
      <c r="N3114" s="14"/>
      <c r="O3114" s="4"/>
      <c r="P3114" s="14"/>
      <c r="Q3114" s="14"/>
    </row>
    <row r="3115" spans="1:17" x14ac:dyDescent="0.25">
      <c r="A3115" s="5"/>
      <c r="B3115" s="6"/>
      <c r="C3115" s="4"/>
      <c r="D3115" s="4"/>
      <c r="E3115" s="12"/>
      <c r="F3115" s="12"/>
      <c r="G3115" s="16"/>
      <c r="H3115" s="14"/>
      <c r="I3115" s="14"/>
      <c r="J3115" s="14"/>
      <c r="K3115" s="14"/>
      <c r="L3115" s="14"/>
      <c r="M3115" s="14"/>
      <c r="N3115" s="14"/>
      <c r="O3115" s="4"/>
      <c r="P3115" s="14"/>
      <c r="Q3115" s="14"/>
    </row>
    <row r="3116" spans="1:17" x14ac:dyDescent="0.25">
      <c r="A3116" s="5"/>
      <c r="B3116" s="6"/>
      <c r="C3116" s="4"/>
      <c r="D3116" s="4"/>
      <c r="E3116" s="12"/>
      <c r="F3116" s="12"/>
      <c r="G3116" s="16"/>
      <c r="H3116" s="14"/>
      <c r="I3116" s="14"/>
      <c r="J3116" s="14"/>
      <c r="K3116" s="14"/>
      <c r="L3116" s="14"/>
      <c r="M3116" s="14"/>
      <c r="N3116" s="14"/>
      <c r="O3116" s="4"/>
      <c r="P3116" s="14"/>
      <c r="Q3116" s="14"/>
    </row>
    <row r="3117" spans="1:17" x14ac:dyDescent="0.25">
      <c r="A3117" s="5"/>
      <c r="B3117" s="6"/>
      <c r="C3117" s="4"/>
      <c r="D3117" s="4"/>
      <c r="E3117" s="12"/>
      <c r="F3117" s="12"/>
      <c r="G3117" s="16"/>
      <c r="H3117" s="14"/>
      <c r="I3117" s="14"/>
      <c r="J3117" s="14"/>
      <c r="K3117" s="14"/>
      <c r="L3117" s="14"/>
      <c r="M3117" s="14"/>
      <c r="N3117" s="14"/>
      <c r="O3117" s="4"/>
      <c r="P3117" s="14"/>
      <c r="Q3117" s="14"/>
    </row>
    <row r="3118" spans="1:17" x14ac:dyDescent="0.25">
      <c r="A3118" s="5"/>
      <c r="B3118" s="6"/>
      <c r="C3118" s="4"/>
      <c r="D3118" s="4"/>
      <c r="E3118" s="12"/>
      <c r="F3118" s="12"/>
      <c r="G3118" s="16"/>
      <c r="H3118" s="14"/>
      <c r="I3118" s="14"/>
      <c r="J3118" s="14"/>
      <c r="K3118" s="14"/>
      <c r="L3118" s="14"/>
      <c r="M3118" s="14"/>
      <c r="N3118" s="14"/>
      <c r="O3118" s="4"/>
      <c r="P3118" s="14"/>
      <c r="Q3118" s="14"/>
    </row>
    <row r="3119" spans="1:17" x14ac:dyDescent="0.25">
      <c r="A3119" s="5"/>
      <c r="B3119" s="6"/>
      <c r="C3119" s="4"/>
      <c r="D3119" s="4"/>
      <c r="E3119" s="12"/>
      <c r="F3119" s="12"/>
      <c r="G3119" s="16"/>
      <c r="H3119" s="14"/>
      <c r="I3119" s="14"/>
      <c r="J3119" s="14"/>
      <c r="K3119" s="14"/>
      <c r="L3119" s="14"/>
      <c r="M3119" s="14"/>
      <c r="N3119" s="14"/>
      <c r="O3119" s="4"/>
      <c r="P3119" s="14"/>
      <c r="Q3119" s="14"/>
    </row>
    <row r="3120" spans="1:17" x14ac:dyDescent="0.25">
      <c r="A3120" s="5"/>
      <c r="B3120" s="6"/>
      <c r="C3120" s="4"/>
      <c r="D3120" s="4"/>
      <c r="E3120" s="12"/>
      <c r="F3120" s="12"/>
      <c r="G3120" s="16"/>
      <c r="H3120" s="14"/>
      <c r="I3120" s="14"/>
      <c r="J3120" s="14"/>
      <c r="K3120" s="14"/>
      <c r="L3120" s="14"/>
      <c r="M3120" s="14"/>
      <c r="N3120" s="14"/>
      <c r="O3120" s="4"/>
      <c r="P3120" s="14"/>
      <c r="Q3120" s="14"/>
    </row>
    <row r="3121" spans="1:17" x14ac:dyDescent="0.25">
      <c r="A3121" s="5"/>
      <c r="B3121" s="6"/>
      <c r="C3121" s="4"/>
      <c r="D3121" s="4"/>
      <c r="E3121" s="12"/>
      <c r="F3121" s="12"/>
      <c r="G3121" s="16"/>
      <c r="H3121" s="14"/>
      <c r="I3121" s="14"/>
      <c r="J3121" s="14"/>
      <c r="K3121" s="14"/>
      <c r="L3121" s="14"/>
      <c r="M3121" s="14"/>
      <c r="N3121" s="14"/>
      <c r="O3121" s="4"/>
      <c r="P3121" s="14"/>
      <c r="Q3121" s="14"/>
    </row>
    <row r="3122" spans="1:17" x14ac:dyDescent="0.25">
      <c r="A3122" s="5"/>
      <c r="B3122" s="6"/>
      <c r="C3122" s="4"/>
      <c r="D3122" s="4"/>
      <c r="E3122" s="12"/>
      <c r="F3122" s="12"/>
      <c r="G3122" s="16"/>
      <c r="H3122" s="14"/>
      <c r="I3122" s="14"/>
      <c r="J3122" s="14"/>
      <c r="K3122" s="14"/>
      <c r="L3122" s="14"/>
      <c r="M3122" s="14"/>
      <c r="N3122" s="14"/>
      <c r="O3122" s="4"/>
      <c r="P3122" s="14"/>
      <c r="Q3122" s="14"/>
    </row>
    <row r="3123" spans="1:17" x14ac:dyDescent="0.25">
      <c r="A3123" s="5"/>
      <c r="B3123" s="6"/>
      <c r="C3123" s="4"/>
      <c r="D3123" s="4"/>
      <c r="E3123" s="12"/>
      <c r="F3123" s="12"/>
      <c r="G3123" s="16"/>
      <c r="H3123" s="14"/>
      <c r="I3123" s="14"/>
      <c r="J3123" s="14"/>
      <c r="K3123" s="14"/>
      <c r="L3123" s="14"/>
      <c r="M3123" s="14"/>
      <c r="N3123" s="14"/>
      <c r="O3123" s="4"/>
      <c r="P3123" s="14"/>
      <c r="Q3123" s="14"/>
    </row>
    <row r="3124" spans="1:17" x14ac:dyDescent="0.25">
      <c r="A3124" s="5"/>
      <c r="B3124" s="6"/>
      <c r="C3124" s="4"/>
      <c r="D3124" s="4"/>
      <c r="E3124" s="12"/>
      <c r="F3124" s="12"/>
      <c r="G3124" s="16"/>
      <c r="H3124" s="14"/>
      <c r="I3124" s="14"/>
      <c r="J3124" s="14"/>
      <c r="K3124" s="14"/>
      <c r="L3124" s="14"/>
      <c r="M3124" s="14"/>
      <c r="N3124" s="14"/>
      <c r="O3124" s="4"/>
      <c r="P3124" s="14"/>
      <c r="Q3124" s="14"/>
    </row>
    <row r="3125" spans="1:17" x14ac:dyDescent="0.25">
      <c r="A3125" s="5"/>
      <c r="B3125" s="6"/>
      <c r="C3125" s="4"/>
      <c r="D3125" s="4"/>
      <c r="E3125" s="12"/>
      <c r="F3125" s="12"/>
      <c r="G3125" s="16"/>
      <c r="H3125" s="14"/>
      <c r="I3125" s="14"/>
      <c r="J3125" s="14"/>
      <c r="K3125" s="14"/>
      <c r="L3125" s="14"/>
      <c r="M3125" s="14"/>
      <c r="N3125" s="14"/>
      <c r="O3125" s="4"/>
      <c r="P3125" s="14"/>
      <c r="Q3125" s="14"/>
    </row>
    <row r="3126" spans="1:17" x14ac:dyDescent="0.25">
      <c r="A3126" s="5"/>
      <c r="B3126" s="6"/>
      <c r="C3126" s="4"/>
      <c r="D3126" s="4"/>
      <c r="E3126" s="12"/>
      <c r="F3126" s="12"/>
      <c r="G3126" s="16"/>
      <c r="H3126" s="14"/>
      <c r="I3126" s="14"/>
      <c r="J3126" s="14"/>
      <c r="K3126" s="14"/>
      <c r="L3126" s="14"/>
      <c r="M3126" s="14"/>
      <c r="N3126" s="14"/>
      <c r="O3126" s="4"/>
      <c r="P3126" s="14"/>
      <c r="Q3126" s="14"/>
    </row>
    <row r="3127" spans="1:17" x14ac:dyDescent="0.25">
      <c r="A3127" s="5"/>
      <c r="B3127" s="6"/>
      <c r="C3127" s="4"/>
      <c r="D3127" s="4"/>
      <c r="E3127" s="12"/>
      <c r="F3127" s="12"/>
      <c r="G3127" s="16"/>
      <c r="H3127" s="14"/>
      <c r="I3127" s="14"/>
      <c r="J3127" s="14"/>
      <c r="K3127" s="14"/>
      <c r="L3127" s="14"/>
      <c r="M3127" s="14"/>
      <c r="N3127" s="14"/>
      <c r="O3127" s="4"/>
      <c r="P3127" s="14"/>
      <c r="Q3127" s="14"/>
    </row>
    <row r="3128" spans="1:17" x14ac:dyDescent="0.25">
      <c r="A3128" s="5"/>
      <c r="B3128" s="6"/>
      <c r="C3128" s="4"/>
      <c r="D3128" s="4"/>
      <c r="E3128" s="12"/>
      <c r="F3128" s="12"/>
      <c r="G3128" s="16"/>
      <c r="H3128" s="14"/>
      <c r="I3128" s="14"/>
      <c r="J3128" s="14"/>
      <c r="K3128" s="14"/>
      <c r="L3128" s="14"/>
      <c r="M3128" s="14"/>
      <c r="N3128" s="14"/>
      <c r="O3128" s="4"/>
      <c r="P3128" s="14"/>
      <c r="Q3128" s="14"/>
    </row>
    <row r="3129" spans="1:17" x14ac:dyDescent="0.25">
      <c r="A3129" s="5"/>
      <c r="B3129" s="6"/>
      <c r="C3129" s="4"/>
      <c r="D3129" s="4"/>
      <c r="E3129" s="12"/>
      <c r="F3129" s="12"/>
      <c r="G3129" s="16"/>
      <c r="H3129" s="14"/>
      <c r="I3129" s="14"/>
      <c r="J3129" s="14"/>
      <c r="K3129" s="14"/>
      <c r="L3129" s="14"/>
      <c r="M3129" s="14"/>
      <c r="N3129" s="14"/>
      <c r="O3129" s="4"/>
      <c r="P3129" s="14"/>
      <c r="Q3129" s="14"/>
    </row>
    <row r="3130" spans="1:17" x14ac:dyDescent="0.25">
      <c r="A3130" s="5"/>
      <c r="B3130" s="6"/>
      <c r="C3130" s="4"/>
      <c r="D3130" s="4"/>
      <c r="E3130" s="12"/>
      <c r="F3130" s="12"/>
      <c r="G3130" s="16"/>
      <c r="H3130" s="14"/>
      <c r="I3130" s="14"/>
      <c r="J3130" s="14"/>
      <c r="K3130" s="14"/>
      <c r="L3130" s="14"/>
      <c r="M3130" s="14"/>
      <c r="N3130" s="14"/>
      <c r="O3130" s="4"/>
      <c r="P3130" s="14"/>
      <c r="Q3130" s="14"/>
    </row>
    <row r="3131" spans="1:17" x14ac:dyDescent="0.25">
      <c r="A3131" s="5"/>
      <c r="B3131" s="6"/>
      <c r="C3131" s="4"/>
      <c r="D3131" s="4"/>
      <c r="E3131" s="12"/>
      <c r="F3131" s="12"/>
      <c r="G3131" s="16"/>
      <c r="H3131" s="14"/>
      <c r="I3131" s="14"/>
      <c r="J3131" s="14"/>
      <c r="K3131" s="14"/>
      <c r="L3131" s="14"/>
      <c r="M3131" s="14"/>
      <c r="N3131" s="14"/>
      <c r="O3131" s="4"/>
      <c r="P3131" s="14"/>
      <c r="Q3131" s="14"/>
    </row>
    <row r="3132" spans="1:17" x14ac:dyDescent="0.25">
      <c r="A3132" s="5"/>
      <c r="B3132" s="6"/>
      <c r="C3132" s="4"/>
      <c r="D3132" s="4"/>
      <c r="E3132" s="12"/>
      <c r="F3132" s="12"/>
      <c r="G3132" s="16"/>
      <c r="H3132" s="14"/>
      <c r="I3132" s="14"/>
      <c r="J3132" s="14"/>
      <c r="K3132" s="14"/>
      <c r="L3132" s="14"/>
      <c r="M3132" s="14"/>
      <c r="N3132" s="14"/>
      <c r="O3132" s="4"/>
      <c r="P3132" s="14"/>
      <c r="Q3132" s="14"/>
    </row>
    <row r="3133" spans="1:17" x14ac:dyDescent="0.25">
      <c r="A3133" s="5"/>
      <c r="B3133" s="6"/>
      <c r="C3133" s="4"/>
      <c r="D3133" s="4"/>
      <c r="E3133" s="12"/>
      <c r="F3133" s="12"/>
      <c r="G3133" s="16"/>
      <c r="H3133" s="14"/>
      <c r="I3133" s="14"/>
      <c r="J3133" s="14"/>
      <c r="K3133" s="14"/>
      <c r="L3133" s="14"/>
      <c r="M3133" s="14"/>
      <c r="N3133" s="14"/>
      <c r="O3133" s="4"/>
      <c r="P3133" s="14"/>
      <c r="Q3133" s="14"/>
    </row>
    <row r="3134" spans="1:17" x14ac:dyDescent="0.25">
      <c r="A3134" s="5"/>
      <c r="B3134" s="6"/>
      <c r="C3134" s="4"/>
      <c r="D3134" s="4"/>
      <c r="E3134" s="12"/>
      <c r="F3134" s="12"/>
      <c r="G3134" s="16"/>
      <c r="H3134" s="14"/>
      <c r="I3134" s="14"/>
      <c r="J3134" s="14"/>
      <c r="K3134" s="14"/>
      <c r="L3134" s="14"/>
      <c r="M3134" s="14"/>
      <c r="N3134" s="14"/>
      <c r="O3134" s="4"/>
      <c r="P3134" s="14"/>
      <c r="Q3134" s="14"/>
    </row>
    <row r="3135" spans="1:17" x14ac:dyDescent="0.25">
      <c r="A3135" s="5"/>
      <c r="B3135" s="6"/>
      <c r="C3135" s="4"/>
      <c r="D3135" s="4"/>
      <c r="E3135" s="12"/>
      <c r="F3135" s="12"/>
      <c r="G3135" s="16"/>
      <c r="H3135" s="14"/>
      <c r="I3135" s="14"/>
      <c r="J3135" s="14"/>
      <c r="K3135" s="14"/>
      <c r="L3135" s="14"/>
      <c r="M3135" s="14"/>
      <c r="N3135" s="14"/>
      <c r="O3135" s="4"/>
      <c r="P3135" s="14"/>
      <c r="Q3135" s="14"/>
    </row>
    <row r="3136" spans="1:17" x14ac:dyDescent="0.25">
      <c r="A3136" s="5"/>
      <c r="B3136" s="6"/>
      <c r="C3136" s="4"/>
      <c r="D3136" s="4"/>
      <c r="E3136" s="12"/>
      <c r="F3136" s="12"/>
      <c r="G3136" s="16"/>
      <c r="H3136" s="14"/>
      <c r="I3136" s="14"/>
      <c r="J3136" s="14"/>
      <c r="K3136" s="14"/>
      <c r="L3136" s="14"/>
      <c r="M3136" s="14"/>
      <c r="N3136" s="14"/>
      <c r="O3136" s="4"/>
      <c r="P3136" s="14"/>
      <c r="Q3136" s="14"/>
    </row>
    <row r="3137" spans="1:17" x14ac:dyDescent="0.25">
      <c r="A3137" s="5"/>
      <c r="B3137" s="6"/>
      <c r="C3137" s="4"/>
      <c r="D3137" s="4"/>
      <c r="E3137" s="12"/>
      <c r="F3137" s="12"/>
      <c r="G3137" s="16"/>
      <c r="H3137" s="14"/>
      <c r="I3137" s="14"/>
      <c r="J3137" s="14"/>
      <c r="K3137" s="14"/>
      <c r="L3137" s="14"/>
      <c r="M3137" s="14"/>
      <c r="N3137" s="14"/>
      <c r="O3137" s="4"/>
      <c r="P3137" s="14"/>
      <c r="Q3137" s="14"/>
    </row>
    <row r="3138" spans="1:17" x14ac:dyDescent="0.25">
      <c r="A3138" s="5"/>
      <c r="B3138" s="6"/>
      <c r="C3138" s="4"/>
      <c r="D3138" s="4"/>
      <c r="E3138" s="12"/>
      <c r="F3138" s="12"/>
      <c r="G3138" s="16"/>
      <c r="H3138" s="14"/>
      <c r="I3138" s="14"/>
      <c r="J3138" s="14"/>
      <c r="K3138" s="14"/>
      <c r="L3138" s="14"/>
      <c r="M3138" s="14"/>
      <c r="N3138" s="14"/>
      <c r="O3138" s="4"/>
      <c r="P3138" s="14"/>
      <c r="Q3138" s="14"/>
    </row>
    <row r="3139" spans="1:17" x14ac:dyDescent="0.25">
      <c r="A3139" s="5"/>
      <c r="B3139" s="6"/>
      <c r="C3139" s="4"/>
      <c r="D3139" s="4"/>
      <c r="E3139" s="12"/>
      <c r="F3139" s="12"/>
      <c r="G3139" s="16"/>
      <c r="H3139" s="14"/>
      <c r="I3139" s="14"/>
      <c r="J3139" s="14"/>
      <c r="K3139" s="14"/>
      <c r="L3139" s="14"/>
      <c r="M3139" s="14"/>
      <c r="N3139" s="14"/>
      <c r="O3139" s="4"/>
      <c r="P3139" s="14"/>
      <c r="Q3139" s="14"/>
    </row>
    <row r="3140" spans="1:17" x14ac:dyDescent="0.25">
      <c r="A3140" s="5"/>
      <c r="B3140" s="6"/>
      <c r="C3140" s="4"/>
      <c r="D3140" s="4"/>
      <c r="E3140" s="12"/>
      <c r="F3140" s="12"/>
      <c r="G3140" s="16"/>
      <c r="H3140" s="14"/>
      <c r="I3140" s="14"/>
      <c r="J3140" s="14"/>
      <c r="K3140" s="14"/>
      <c r="L3140" s="14"/>
      <c r="M3140" s="14"/>
      <c r="N3140" s="14"/>
      <c r="O3140" s="4"/>
      <c r="P3140" s="14"/>
      <c r="Q3140" s="14"/>
    </row>
    <row r="3141" spans="1:17" x14ac:dyDescent="0.25">
      <c r="A3141" s="5"/>
      <c r="B3141" s="6"/>
      <c r="C3141" s="4"/>
      <c r="D3141" s="4"/>
      <c r="E3141" s="12"/>
      <c r="F3141" s="12"/>
      <c r="G3141" s="16"/>
      <c r="H3141" s="14"/>
      <c r="I3141" s="14"/>
      <c r="J3141" s="14"/>
      <c r="K3141" s="14"/>
      <c r="L3141" s="14"/>
      <c r="M3141" s="14"/>
      <c r="N3141" s="14"/>
      <c r="O3141" s="4"/>
      <c r="P3141" s="14"/>
      <c r="Q3141" s="14"/>
    </row>
    <row r="3142" spans="1:17" x14ac:dyDescent="0.25">
      <c r="A3142" s="5"/>
      <c r="B3142" s="6"/>
      <c r="C3142" s="4"/>
      <c r="D3142" s="4"/>
      <c r="E3142" s="12"/>
      <c r="F3142" s="12"/>
      <c r="G3142" s="16"/>
      <c r="H3142" s="14"/>
      <c r="I3142" s="14"/>
      <c r="J3142" s="14"/>
      <c r="K3142" s="14"/>
      <c r="L3142" s="14"/>
      <c r="M3142" s="14"/>
      <c r="N3142" s="14"/>
      <c r="O3142" s="4"/>
      <c r="P3142" s="14"/>
      <c r="Q3142" s="14"/>
    </row>
    <row r="3143" spans="1:17" x14ac:dyDescent="0.25">
      <c r="A3143" s="5"/>
      <c r="B3143" s="6"/>
      <c r="C3143" s="4"/>
      <c r="D3143" s="4"/>
      <c r="E3143" s="12"/>
      <c r="F3143" s="12"/>
      <c r="G3143" s="16"/>
      <c r="H3143" s="14"/>
      <c r="I3143" s="14"/>
      <c r="J3143" s="14"/>
      <c r="K3143" s="14"/>
      <c r="L3143" s="14"/>
      <c r="M3143" s="14"/>
      <c r="N3143" s="14"/>
      <c r="O3143" s="4"/>
      <c r="P3143" s="14"/>
      <c r="Q3143" s="14"/>
    </row>
    <row r="3144" spans="1:17" x14ac:dyDescent="0.25">
      <c r="A3144" s="5"/>
      <c r="B3144" s="6"/>
      <c r="C3144" s="4"/>
      <c r="D3144" s="4"/>
      <c r="E3144" s="12"/>
      <c r="F3144" s="12"/>
      <c r="G3144" s="16"/>
      <c r="H3144" s="14"/>
      <c r="I3144" s="14"/>
      <c r="J3144" s="14"/>
      <c r="K3144" s="14"/>
      <c r="L3144" s="14"/>
      <c r="M3144" s="14"/>
      <c r="N3144" s="14"/>
      <c r="O3144" s="4"/>
      <c r="P3144" s="14"/>
      <c r="Q3144" s="14"/>
    </row>
    <row r="3145" spans="1:17" x14ac:dyDescent="0.25">
      <c r="A3145" s="5"/>
      <c r="B3145" s="6"/>
      <c r="C3145" s="4"/>
      <c r="D3145" s="4"/>
      <c r="E3145" s="12"/>
      <c r="F3145" s="12"/>
      <c r="G3145" s="16"/>
      <c r="H3145" s="14"/>
      <c r="I3145" s="14"/>
      <c r="J3145" s="14"/>
      <c r="K3145" s="14"/>
      <c r="L3145" s="14"/>
      <c r="M3145" s="14"/>
      <c r="N3145" s="14"/>
      <c r="O3145" s="4"/>
      <c r="P3145" s="14"/>
      <c r="Q3145" s="14"/>
    </row>
    <row r="3146" spans="1:17" x14ac:dyDescent="0.25">
      <c r="A3146" s="5"/>
      <c r="B3146" s="6"/>
      <c r="C3146" s="4"/>
      <c r="D3146" s="4"/>
      <c r="E3146" s="12"/>
      <c r="F3146" s="12"/>
      <c r="G3146" s="16"/>
      <c r="H3146" s="14"/>
      <c r="I3146" s="14"/>
      <c r="J3146" s="14"/>
      <c r="K3146" s="14"/>
      <c r="L3146" s="14"/>
      <c r="M3146" s="14"/>
      <c r="N3146" s="14"/>
      <c r="O3146" s="4"/>
      <c r="P3146" s="14"/>
      <c r="Q3146" s="14"/>
    </row>
    <row r="3147" spans="1:17" x14ac:dyDescent="0.25">
      <c r="A3147" s="5"/>
      <c r="B3147" s="6"/>
      <c r="C3147" s="4"/>
      <c r="D3147" s="4"/>
      <c r="E3147" s="12"/>
      <c r="F3147" s="12"/>
      <c r="G3147" s="16"/>
      <c r="H3147" s="14"/>
      <c r="I3147" s="14"/>
      <c r="J3147" s="14"/>
      <c r="K3147" s="14"/>
      <c r="L3147" s="14"/>
      <c r="M3147" s="14"/>
      <c r="N3147" s="14"/>
      <c r="O3147" s="4"/>
      <c r="P3147" s="14"/>
      <c r="Q3147" s="14"/>
    </row>
    <row r="3148" spans="1:17" x14ac:dyDescent="0.25">
      <c r="A3148" s="5"/>
      <c r="B3148" s="6"/>
      <c r="C3148" s="4"/>
      <c r="D3148" s="4"/>
      <c r="E3148" s="12"/>
      <c r="F3148" s="12"/>
      <c r="G3148" s="16"/>
      <c r="H3148" s="14"/>
      <c r="I3148" s="14"/>
      <c r="J3148" s="14"/>
      <c r="K3148" s="14"/>
      <c r="L3148" s="14"/>
      <c r="M3148" s="14"/>
      <c r="N3148" s="14"/>
      <c r="O3148" s="4"/>
      <c r="P3148" s="14"/>
      <c r="Q3148" s="14"/>
    </row>
    <row r="3149" spans="1:17" x14ac:dyDescent="0.25">
      <c r="A3149" s="5"/>
      <c r="B3149" s="6"/>
      <c r="C3149" s="4"/>
      <c r="D3149" s="4"/>
      <c r="E3149" s="12"/>
      <c r="F3149" s="12"/>
      <c r="G3149" s="16"/>
      <c r="H3149" s="14"/>
      <c r="I3149" s="14"/>
      <c r="J3149" s="14"/>
      <c r="K3149" s="14"/>
      <c r="L3149" s="14"/>
      <c r="M3149" s="14"/>
      <c r="N3149" s="14"/>
      <c r="O3149" s="4"/>
      <c r="P3149" s="14"/>
      <c r="Q3149" s="14"/>
    </row>
    <row r="3150" spans="1:17" x14ac:dyDescent="0.25">
      <c r="A3150" s="5"/>
      <c r="B3150" s="6"/>
      <c r="C3150" s="4"/>
      <c r="D3150" s="4"/>
      <c r="E3150" s="12"/>
      <c r="F3150" s="12"/>
      <c r="G3150" s="16"/>
      <c r="H3150" s="14"/>
      <c r="I3150" s="14"/>
      <c r="J3150" s="14"/>
      <c r="K3150" s="14"/>
      <c r="L3150" s="14"/>
      <c r="M3150" s="14"/>
      <c r="N3150" s="14"/>
      <c r="O3150" s="4"/>
      <c r="P3150" s="14"/>
      <c r="Q3150" s="14"/>
    </row>
    <row r="3151" spans="1:17" x14ac:dyDescent="0.25">
      <c r="A3151" s="5"/>
      <c r="B3151" s="6"/>
      <c r="C3151" s="4"/>
      <c r="D3151" s="4"/>
      <c r="E3151" s="12"/>
      <c r="F3151" s="12"/>
      <c r="G3151" s="16"/>
      <c r="H3151" s="14"/>
      <c r="I3151" s="14"/>
      <c r="J3151" s="14"/>
      <c r="K3151" s="14"/>
      <c r="L3151" s="14"/>
      <c r="M3151" s="14"/>
      <c r="N3151" s="14"/>
      <c r="O3151" s="4"/>
      <c r="P3151" s="14"/>
      <c r="Q3151" s="14"/>
    </row>
    <row r="3152" spans="1:17" x14ac:dyDescent="0.25">
      <c r="A3152" s="5"/>
      <c r="B3152" s="6"/>
      <c r="C3152" s="4"/>
      <c r="D3152" s="4"/>
      <c r="E3152" s="12"/>
      <c r="F3152" s="12"/>
      <c r="G3152" s="16"/>
      <c r="H3152" s="14"/>
      <c r="I3152" s="14"/>
      <c r="J3152" s="14"/>
      <c r="K3152" s="14"/>
      <c r="L3152" s="14"/>
      <c r="M3152" s="14"/>
      <c r="N3152" s="14"/>
      <c r="O3152" s="4"/>
      <c r="P3152" s="14"/>
      <c r="Q3152" s="14"/>
    </row>
    <row r="3153" spans="1:17" x14ac:dyDescent="0.25">
      <c r="A3153" s="5"/>
      <c r="B3153" s="6"/>
      <c r="C3153" s="4"/>
      <c r="D3153" s="4"/>
      <c r="E3153" s="12"/>
      <c r="F3153" s="12"/>
      <c r="G3153" s="16"/>
      <c r="H3153" s="14"/>
      <c r="I3153" s="14"/>
      <c r="J3153" s="14"/>
      <c r="K3153" s="14"/>
      <c r="L3153" s="14"/>
      <c r="M3153" s="14"/>
      <c r="N3153" s="14"/>
      <c r="O3153" s="4"/>
      <c r="P3153" s="14"/>
      <c r="Q3153" s="14"/>
    </row>
    <row r="3154" spans="1:17" x14ac:dyDescent="0.25">
      <c r="A3154" s="5"/>
      <c r="B3154" s="6"/>
      <c r="C3154" s="4"/>
      <c r="D3154" s="4"/>
      <c r="E3154" s="12"/>
      <c r="F3154" s="12"/>
      <c r="G3154" s="16"/>
      <c r="H3154" s="14"/>
      <c r="I3154" s="14"/>
      <c r="J3154" s="14"/>
      <c r="K3154" s="14"/>
      <c r="L3154" s="14"/>
      <c r="M3154" s="14"/>
      <c r="N3154" s="14"/>
      <c r="O3154" s="4"/>
      <c r="P3154" s="14"/>
      <c r="Q3154" s="14"/>
    </row>
    <row r="3155" spans="1:17" x14ac:dyDescent="0.25">
      <c r="A3155" s="5"/>
      <c r="B3155" s="6"/>
      <c r="C3155" s="4"/>
      <c r="D3155" s="4"/>
      <c r="E3155" s="12"/>
      <c r="F3155" s="12"/>
      <c r="G3155" s="16"/>
      <c r="H3155" s="14"/>
      <c r="I3155" s="14"/>
      <c r="J3155" s="14"/>
      <c r="K3155" s="14"/>
      <c r="L3155" s="14"/>
      <c r="M3155" s="14"/>
      <c r="N3155" s="14"/>
      <c r="O3155" s="4"/>
      <c r="P3155" s="14"/>
      <c r="Q3155" s="14"/>
    </row>
    <row r="3156" spans="1:17" x14ac:dyDescent="0.25">
      <c r="A3156" s="5"/>
      <c r="B3156" s="6"/>
      <c r="C3156" s="4"/>
      <c r="D3156" s="4"/>
      <c r="E3156" s="12"/>
      <c r="F3156" s="12"/>
      <c r="G3156" s="16"/>
      <c r="H3156" s="14"/>
      <c r="I3156" s="14"/>
      <c r="J3156" s="14"/>
      <c r="K3156" s="14"/>
      <c r="L3156" s="14"/>
      <c r="M3156" s="14"/>
      <c r="N3156" s="14"/>
      <c r="O3156" s="4"/>
      <c r="P3156" s="14"/>
      <c r="Q3156" s="14"/>
    </row>
    <row r="3157" spans="1:17" x14ac:dyDescent="0.25">
      <c r="A3157" s="5"/>
      <c r="B3157" s="6"/>
      <c r="C3157" s="4"/>
      <c r="D3157" s="4"/>
      <c r="E3157" s="12"/>
      <c r="F3157" s="12"/>
      <c r="G3157" s="16"/>
      <c r="H3157" s="14"/>
      <c r="I3157" s="14"/>
      <c r="J3157" s="14"/>
      <c r="K3157" s="14"/>
      <c r="L3157" s="14"/>
      <c r="M3157" s="14"/>
      <c r="N3157" s="14"/>
      <c r="O3157" s="4"/>
      <c r="P3157" s="14"/>
      <c r="Q3157" s="14"/>
    </row>
    <row r="3158" spans="1:17" x14ac:dyDescent="0.25">
      <c r="A3158" s="5"/>
      <c r="B3158" s="6"/>
      <c r="C3158" s="4"/>
      <c r="D3158" s="4"/>
      <c r="E3158" s="12"/>
      <c r="F3158" s="12"/>
      <c r="G3158" s="16"/>
      <c r="H3158" s="14"/>
      <c r="I3158" s="14"/>
      <c r="J3158" s="14"/>
      <c r="K3158" s="14"/>
      <c r="L3158" s="14"/>
      <c r="M3158" s="14"/>
      <c r="N3158" s="14"/>
      <c r="O3158" s="4"/>
      <c r="P3158" s="14"/>
      <c r="Q3158" s="14"/>
    </row>
    <row r="3159" spans="1:17" x14ac:dyDescent="0.25">
      <c r="A3159" s="5"/>
      <c r="B3159" s="6"/>
      <c r="C3159" s="4"/>
      <c r="D3159" s="4"/>
      <c r="E3159" s="12"/>
      <c r="F3159" s="12"/>
      <c r="G3159" s="16"/>
      <c r="H3159" s="14"/>
      <c r="I3159" s="14"/>
      <c r="J3159" s="14"/>
      <c r="K3159" s="14"/>
      <c r="L3159" s="14"/>
      <c r="M3159" s="14"/>
      <c r="N3159" s="14"/>
      <c r="O3159" s="4"/>
      <c r="P3159" s="14"/>
      <c r="Q3159" s="14"/>
    </row>
    <row r="3160" spans="1:17" x14ac:dyDescent="0.25">
      <c r="A3160" s="5"/>
      <c r="B3160" s="6"/>
      <c r="C3160" s="4"/>
      <c r="D3160" s="4"/>
      <c r="E3160" s="12"/>
      <c r="F3160" s="12"/>
      <c r="G3160" s="16"/>
      <c r="H3160" s="14"/>
      <c r="I3160" s="14"/>
      <c r="J3160" s="14"/>
      <c r="K3160" s="14"/>
      <c r="L3160" s="14"/>
      <c r="M3160" s="14"/>
      <c r="N3160" s="14"/>
      <c r="O3160" s="4"/>
      <c r="P3160" s="14"/>
      <c r="Q3160" s="14"/>
    </row>
    <row r="3161" spans="1:17" x14ac:dyDescent="0.25">
      <c r="A3161" s="5"/>
      <c r="B3161" s="6"/>
      <c r="C3161" s="4"/>
      <c r="D3161" s="4"/>
      <c r="E3161" s="12"/>
      <c r="F3161" s="12"/>
      <c r="G3161" s="16"/>
      <c r="H3161" s="14"/>
      <c r="I3161" s="14"/>
      <c r="J3161" s="14"/>
      <c r="K3161" s="14"/>
      <c r="L3161" s="14"/>
      <c r="M3161" s="14"/>
      <c r="N3161" s="14"/>
      <c r="O3161" s="4"/>
      <c r="P3161" s="14"/>
      <c r="Q3161" s="14"/>
    </row>
    <row r="3162" spans="1:17" x14ac:dyDescent="0.25">
      <c r="A3162" s="5"/>
      <c r="B3162" s="6"/>
      <c r="C3162" s="4"/>
      <c r="D3162" s="4"/>
      <c r="E3162" s="12"/>
      <c r="F3162" s="12"/>
      <c r="G3162" s="16"/>
      <c r="H3162" s="14"/>
      <c r="I3162" s="14"/>
      <c r="J3162" s="14"/>
      <c r="K3162" s="14"/>
      <c r="L3162" s="14"/>
      <c r="M3162" s="14"/>
      <c r="N3162" s="14"/>
      <c r="O3162" s="4"/>
      <c r="P3162" s="14"/>
      <c r="Q3162" s="14"/>
    </row>
    <row r="3163" spans="1:17" x14ac:dyDescent="0.25">
      <c r="A3163" s="5"/>
      <c r="B3163" s="6"/>
      <c r="C3163" s="4"/>
      <c r="D3163" s="4"/>
      <c r="E3163" s="12"/>
      <c r="F3163" s="12"/>
      <c r="G3163" s="16"/>
      <c r="H3163" s="14"/>
      <c r="I3163" s="14"/>
      <c r="J3163" s="14"/>
      <c r="K3163" s="14"/>
      <c r="L3163" s="14"/>
      <c r="M3163" s="14"/>
      <c r="N3163" s="14"/>
      <c r="O3163" s="4"/>
      <c r="P3163" s="14"/>
      <c r="Q3163" s="14"/>
    </row>
    <row r="3164" spans="1:17" x14ac:dyDescent="0.25">
      <c r="A3164" s="5"/>
      <c r="B3164" s="6"/>
      <c r="C3164" s="4"/>
      <c r="D3164" s="4"/>
      <c r="E3164" s="12"/>
      <c r="F3164" s="12"/>
      <c r="G3164" s="16"/>
      <c r="H3164" s="14"/>
      <c r="I3164" s="14"/>
      <c r="J3164" s="14"/>
      <c r="K3164" s="14"/>
      <c r="L3164" s="14"/>
      <c r="M3164" s="14"/>
      <c r="N3164" s="14"/>
      <c r="O3164" s="4"/>
      <c r="P3164" s="14"/>
      <c r="Q3164" s="14"/>
    </row>
    <row r="3165" spans="1:17" x14ac:dyDescent="0.25">
      <c r="A3165" s="5"/>
      <c r="B3165" s="6"/>
      <c r="C3165" s="4"/>
      <c r="D3165" s="4"/>
      <c r="E3165" s="12"/>
      <c r="F3165" s="12"/>
      <c r="G3165" s="16"/>
      <c r="H3165" s="14"/>
      <c r="I3165" s="14"/>
      <c r="J3165" s="14"/>
      <c r="K3165" s="14"/>
      <c r="L3165" s="14"/>
      <c r="M3165" s="14"/>
      <c r="N3165" s="14"/>
      <c r="O3165" s="4"/>
      <c r="P3165" s="14"/>
      <c r="Q3165" s="14"/>
    </row>
    <row r="3166" spans="1:17" x14ac:dyDescent="0.25">
      <c r="A3166" s="5"/>
      <c r="B3166" s="6"/>
      <c r="C3166" s="4"/>
      <c r="D3166" s="4"/>
      <c r="E3166" s="12"/>
      <c r="F3166" s="12"/>
      <c r="G3166" s="16"/>
      <c r="H3166" s="14"/>
      <c r="I3166" s="14"/>
      <c r="J3166" s="14"/>
      <c r="K3166" s="14"/>
      <c r="L3166" s="14"/>
      <c r="M3166" s="14"/>
      <c r="N3166" s="14"/>
      <c r="O3166" s="4"/>
      <c r="P3166" s="14"/>
      <c r="Q3166" s="14"/>
    </row>
    <row r="3167" spans="1:17" x14ac:dyDescent="0.25">
      <c r="A3167" s="5"/>
      <c r="B3167" s="6"/>
      <c r="C3167" s="4"/>
      <c r="D3167" s="4"/>
      <c r="E3167" s="12"/>
      <c r="F3167" s="12"/>
      <c r="G3167" s="16"/>
      <c r="H3167" s="14"/>
      <c r="I3167" s="14"/>
      <c r="J3167" s="14"/>
      <c r="K3167" s="14"/>
      <c r="L3167" s="14"/>
      <c r="M3167" s="14"/>
      <c r="N3167" s="14"/>
      <c r="O3167" s="4"/>
      <c r="P3167" s="14"/>
      <c r="Q3167" s="14"/>
    </row>
    <row r="3168" spans="1:17" x14ac:dyDescent="0.25">
      <c r="A3168" s="5"/>
      <c r="B3168" s="6"/>
      <c r="C3168" s="4"/>
      <c r="D3168" s="4"/>
      <c r="E3168" s="12"/>
      <c r="F3168" s="12"/>
      <c r="G3168" s="16"/>
      <c r="H3168" s="14"/>
      <c r="I3168" s="14"/>
      <c r="J3168" s="14"/>
      <c r="K3168" s="14"/>
      <c r="L3168" s="14"/>
      <c r="M3168" s="14"/>
      <c r="N3168" s="14"/>
      <c r="O3168" s="4"/>
      <c r="P3168" s="14"/>
      <c r="Q3168" s="14"/>
    </row>
    <row r="3169" spans="1:17" x14ac:dyDescent="0.25">
      <c r="A3169" s="5"/>
      <c r="B3169" s="6"/>
      <c r="C3169" s="4"/>
      <c r="D3169" s="4"/>
      <c r="E3169" s="12"/>
      <c r="F3169" s="12"/>
      <c r="G3169" s="16"/>
      <c r="H3169" s="14"/>
      <c r="I3169" s="14"/>
      <c r="J3169" s="14"/>
      <c r="K3169" s="14"/>
      <c r="L3169" s="14"/>
      <c r="M3169" s="14"/>
      <c r="N3169" s="14"/>
      <c r="O3169" s="4"/>
      <c r="P3169" s="14"/>
      <c r="Q3169" s="14"/>
    </row>
    <row r="3170" spans="1:17" x14ac:dyDescent="0.25">
      <c r="A3170" s="5"/>
      <c r="B3170" s="6"/>
      <c r="C3170" s="4"/>
      <c r="D3170" s="4"/>
      <c r="E3170" s="12"/>
      <c r="F3170" s="12"/>
      <c r="G3170" s="16"/>
      <c r="H3170" s="14"/>
      <c r="I3170" s="14"/>
      <c r="J3170" s="14"/>
      <c r="K3170" s="14"/>
      <c r="L3170" s="14"/>
      <c r="M3170" s="14"/>
      <c r="N3170" s="14"/>
      <c r="O3170" s="4"/>
      <c r="P3170" s="14"/>
      <c r="Q3170" s="14"/>
    </row>
    <row r="3171" spans="1:17" x14ac:dyDescent="0.25">
      <c r="A3171" s="5"/>
      <c r="B3171" s="6"/>
      <c r="C3171" s="4"/>
      <c r="D3171" s="4"/>
      <c r="E3171" s="12"/>
      <c r="F3171" s="12"/>
      <c r="G3171" s="16"/>
      <c r="H3171" s="14"/>
      <c r="I3171" s="14"/>
      <c r="J3171" s="14"/>
      <c r="K3171" s="14"/>
      <c r="L3171" s="14"/>
      <c r="M3171" s="14"/>
      <c r="N3171" s="14"/>
      <c r="O3171" s="4"/>
      <c r="P3171" s="14"/>
      <c r="Q3171" s="14"/>
    </row>
    <row r="3172" spans="1:17" x14ac:dyDescent="0.25">
      <c r="A3172" s="5"/>
      <c r="B3172" s="6"/>
      <c r="C3172" s="4"/>
      <c r="D3172" s="4"/>
      <c r="E3172" s="12"/>
      <c r="F3172" s="12"/>
      <c r="G3172" s="16"/>
      <c r="H3172" s="14"/>
      <c r="I3172" s="14"/>
      <c r="J3172" s="14"/>
      <c r="K3172" s="14"/>
      <c r="L3172" s="14"/>
      <c r="M3172" s="14"/>
      <c r="N3172" s="14"/>
      <c r="O3172" s="4"/>
      <c r="P3172" s="14"/>
      <c r="Q3172" s="14"/>
    </row>
    <row r="3173" spans="1:17" x14ac:dyDescent="0.25">
      <c r="A3173" s="5"/>
      <c r="B3173" s="6"/>
      <c r="C3173" s="4"/>
      <c r="D3173" s="4"/>
      <c r="E3173" s="12"/>
      <c r="F3173" s="12"/>
      <c r="G3173" s="16"/>
      <c r="H3173" s="14"/>
      <c r="I3173" s="14"/>
      <c r="J3173" s="14"/>
      <c r="K3173" s="14"/>
      <c r="L3173" s="14"/>
      <c r="M3173" s="14"/>
      <c r="N3173" s="14"/>
      <c r="O3173" s="4"/>
      <c r="P3173" s="14"/>
      <c r="Q3173" s="14"/>
    </row>
    <row r="3174" spans="1:17" x14ac:dyDescent="0.25">
      <c r="A3174" s="5"/>
      <c r="B3174" s="6"/>
      <c r="C3174" s="4"/>
      <c r="D3174" s="4"/>
      <c r="E3174" s="12"/>
      <c r="F3174" s="12"/>
      <c r="G3174" s="16"/>
      <c r="H3174" s="14"/>
      <c r="I3174" s="14"/>
      <c r="J3174" s="14"/>
      <c r="K3174" s="14"/>
      <c r="L3174" s="14"/>
      <c r="M3174" s="14"/>
      <c r="N3174" s="14"/>
      <c r="O3174" s="4"/>
      <c r="P3174" s="14"/>
      <c r="Q3174" s="14"/>
    </row>
    <row r="3175" spans="1:17" x14ac:dyDescent="0.25">
      <c r="A3175" s="5"/>
      <c r="B3175" s="6"/>
      <c r="C3175" s="4"/>
      <c r="D3175" s="4"/>
      <c r="E3175" s="12"/>
      <c r="F3175" s="12"/>
      <c r="G3175" s="16"/>
      <c r="H3175" s="14"/>
      <c r="I3175" s="14"/>
      <c r="J3175" s="14"/>
      <c r="K3175" s="14"/>
      <c r="L3175" s="14"/>
      <c r="M3175" s="14"/>
      <c r="N3175" s="14"/>
      <c r="O3175" s="4"/>
      <c r="P3175" s="14"/>
      <c r="Q3175" s="14"/>
    </row>
    <row r="3176" spans="1:17" x14ac:dyDescent="0.25">
      <c r="A3176" s="5"/>
      <c r="B3176" s="6"/>
      <c r="C3176" s="4"/>
      <c r="D3176" s="4"/>
      <c r="E3176" s="12"/>
      <c r="F3176" s="12"/>
      <c r="G3176" s="16"/>
      <c r="H3176" s="14"/>
      <c r="I3176" s="14"/>
      <c r="J3176" s="14"/>
      <c r="K3176" s="14"/>
      <c r="L3176" s="14"/>
      <c r="M3176" s="14"/>
      <c r="N3176" s="14"/>
      <c r="O3176" s="4"/>
      <c r="P3176" s="14"/>
      <c r="Q3176" s="14"/>
    </row>
    <row r="3177" spans="1:17" x14ac:dyDescent="0.25">
      <c r="A3177" s="5"/>
      <c r="B3177" s="6"/>
      <c r="C3177" s="4"/>
      <c r="D3177" s="4"/>
      <c r="E3177" s="12"/>
      <c r="F3177" s="12"/>
      <c r="G3177" s="16"/>
      <c r="H3177" s="14"/>
      <c r="I3177" s="14"/>
      <c r="J3177" s="14"/>
      <c r="K3177" s="14"/>
      <c r="L3177" s="14"/>
      <c r="M3177" s="14"/>
      <c r="N3177" s="14"/>
      <c r="O3177" s="4"/>
      <c r="P3177" s="14"/>
      <c r="Q3177" s="14"/>
    </row>
    <row r="3178" spans="1:17" x14ac:dyDescent="0.25">
      <c r="A3178" s="5"/>
      <c r="B3178" s="6"/>
      <c r="C3178" s="4"/>
      <c r="D3178" s="4"/>
      <c r="E3178" s="12"/>
      <c r="F3178" s="12"/>
      <c r="G3178" s="16"/>
      <c r="H3178" s="14"/>
      <c r="I3178" s="14"/>
      <c r="J3178" s="14"/>
      <c r="K3178" s="14"/>
      <c r="L3178" s="14"/>
      <c r="M3178" s="14"/>
      <c r="N3178" s="14"/>
      <c r="O3178" s="4"/>
      <c r="P3178" s="14"/>
      <c r="Q3178" s="14"/>
    </row>
    <row r="3179" spans="1:17" x14ac:dyDescent="0.25">
      <c r="A3179" s="5"/>
      <c r="B3179" s="6"/>
      <c r="C3179" s="4"/>
      <c r="D3179" s="4"/>
      <c r="E3179" s="12"/>
      <c r="F3179" s="12"/>
      <c r="G3179" s="16"/>
      <c r="H3179" s="14"/>
      <c r="I3179" s="14"/>
      <c r="J3179" s="14"/>
      <c r="K3179" s="14"/>
      <c r="L3179" s="14"/>
      <c r="M3179" s="14"/>
      <c r="N3179" s="14"/>
      <c r="O3179" s="4"/>
      <c r="P3179" s="14"/>
      <c r="Q3179" s="14"/>
    </row>
    <row r="3180" spans="1:17" x14ac:dyDescent="0.25">
      <c r="A3180" s="5"/>
      <c r="B3180" s="6"/>
      <c r="C3180" s="4"/>
      <c r="D3180" s="4"/>
      <c r="E3180" s="12"/>
      <c r="F3180" s="12"/>
      <c r="G3180" s="16"/>
      <c r="H3180" s="14"/>
      <c r="I3180" s="14"/>
      <c r="J3180" s="14"/>
      <c r="K3180" s="14"/>
      <c r="L3180" s="14"/>
      <c r="M3180" s="14"/>
      <c r="N3180" s="14"/>
      <c r="O3180" s="4"/>
      <c r="P3180" s="14"/>
      <c r="Q3180" s="14"/>
    </row>
    <row r="3181" spans="1:17" x14ac:dyDescent="0.25">
      <c r="A3181" s="5"/>
      <c r="B3181" s="6"/>
      <c r="C3181" s="4"/>
      <c r="D3181" s="4"/>
      <c r="E3181" s="12"/>
      <c r="F3181" s="12"/>
      <c r="G3181" s="16"/>
      <c r="H3181" s="14"/>
      <c r="I3181" s="14"/>
      <c r="J3181" s="14"/>
      <c r="K3181" s="14"/>
      <c r="L3181" s="14"/>
      <c r="M3181" s="14"/>
      <c r="N3181" s="14"/>
      <c r="O3181" s="4"/>
      <c r="P3181" s="14"/>
      <c r="Q3181" s="14"/>
    </row>
    <row r="3182" spans="1:17" x14ac:dyDescent="0.25">
      <c r="A3182" s="5"/>
      <c r="B3182" s="6"/>
      <c r="C3182" s="4"/>
      <c r="D3182" s="4"/>
      <c r="E3182" s="12"/>
      <c r="F3182" s="12"/>
      <c r="G3182" s="16"/>
      <c r="H3182" s="14"/>
      <c r="I3182" s="14"/>
      <c r="J3182" s="14"/>
      <c r="K3182" s="14"/>
      <c r="L3182" s="14"/>
      <c r="M3182" s="14"/>
      <c r="N3182" s="14"/>
      <c r="O3182" s="4"/>
      <c r="P3182" s="14"/>
      <c r="Q3182" s="14"/>
    </row>
    <row r="3183" spans="1:17" x14ac:dyDescent="0.25">
      <c r="A3183" s="5"/>
      <c r="B3183" s="6"/>
      <c r="C3183" s="4"/>
      <c r="D3183" s="4"/>
      <c r="E3183" s="12"/>
      <c r="F3183" s="12"/>
      <c r="G3183" s="16"/>
      <c r="H3183" s="14"/>
      <c r="I3183" s="14"/>
      <c r="J3183" s="14"/>
      <c r="K3183" s="14"/>
      <c r="L3183" s="14"/>
      <c r="M3183" s="14"/>
      <c r="N3183" s="14"/>
      <c r="O3183" s="4"/>
      <c r="P3183" s="14"/>
      <c r="Q3183" s="14"/>
    </row>
    <row r="3184" spans="1:17" x14ac:dyDescent="0.25">
      <c r="A3184" s="5"/>
      <c r="B3184" s="6"/>
      <c r="C3184" s="4"/>
      <c r="D3184" s="4"/>
      <c r="E3184" s="12"/>
      <c r="F3184" s="12"/>
      <c r="G3184" s="16"/>
      <c r="H3184" s="14"/>
      <c r="I3184" s="14"/>
      <c r="J3184" s="14"/>
      <c r="K3184" s="14"/>
      <c r="L3184" s="14"/>
      <c r="M3184" s="14"/>
      <c r="N3184" s="14"/>
      <c r="O3184" s="4"/>
      <c r="P3184" s="14"/>
      <c r="Q3184" s="14"/>
    </row>
    <row r="3185" spans="1:17" x14ac:dyDescent="0.25">
      <c r="A3185" s="5"/>
      <c r="B3185" s="6"/>
      <c r="C3185" s="4"/>
      <c r="D3185" s="4"/>
      <c r="E3185" s="12"/>
      <c r="F3185" s="12"/>
      <c r="G3185" s="16"/>
      <c r="H3185" s="14"/>
      <c r="I3185" s="14"/>
      <c r="J3185" s="14"/>
      <c r="K3185" s="14"/>
      <c r="L3185" s="14"/>
      <c r="M3185" s="14"/>
      <c r="N3185" s="14"/>
      <c r="O3185" s="4"/>
      <c r="P3185" s="14"/>
      <c r="Q3185" s="14"/>
    </row>
    <row r="3186" spans="1:17" x14ac:dyDescent="0.25">
      <c r="A3186" s="5"/>
      <c r="B3186" s="6"/>
      <c r="C3186" s="4"/>
      <c r="D3186" s="4"/>
      <c r="E3186" s="12"/>
      <c r="F3186" s="12"/>
      <c r="G3186" s="16"/>
      <c r="H3186" s="14"/>
      <c r="I3186" s="14"/>
      <c r="J3186" s="14"/>
      <c r="K3186" s="14"/>
      <c r="L3186" s="14"/>
      <c r="M3186" s="14"/>
      <c r="N3186" s="14"/>
      <c r="O3186" s="4"/>
      <c r="P3186" s="14"/>
      <c r="Q3186" s="14"/>
    </row>
    <row r="3187" spans="1:17" x14ac:dyDescent="0.25">
      <c r="A3187" s="5"/>
      <c r="B3187" s="6"/>
      <c r="C3187" s="4"/>
      <c r="D3187" s="4"/>
      <c r="E3187" s="12"/>
      <c r="F3187" s="12"/>
      <c r="G3187" s="16"/>
      <c r="H3187" s="14"/>
      <c r="I3187" s="14"/>
      <c r="J3187" s="14"/>
      <c r="K3187" s="14"/>
      <c r="L3187" s="14"/>
      <c r="M3187" s="14"/>
      <c r="N3187" s="14"/>
      <c r="O3187" s="4"/>
      <c r="P3187" s="14"/>
      <c r="Q3187" s="14"/>
    </row>
    <row r="3188" spans="1:17" x14ac:dyDescent="0.25">
      <c r="A3188" s="5"/>
      <c r="B3188" s="6"/>
      <c r="C3188" s="4"/>
      <c r="D3188" s="4"/>
      <c r="E3188" s="12"/>
      <c r="F3188" s="12"/>
      <c r="G3188" s="16"/>
      <c r="H3188" s="14"/>
      <c r="I3188" s="14"/>
      <c r="J3188" s="14"/>
      <c r="K3188" s="14"/>
      <c r="L3188" s="14"/>
      <c r="M3188" s="14"/>
      <c r="N3188" s="14"/>
      <c r="O3188" s="4"/>
      <c r="P3188" s="14"/>
      <c r="Q3188" s="14"/>
    </row>
    <row r="3189" spans="1:17" x14ac:dyDescent="0.25">
      <c r="A3189" s="5"/>
      <c r="B3189" s="6"/>
      <c r="C3189" s="4"/>
      <c r="D3189" s="4"/>
      <c r="E3189" s="12"/>
      <c r="F3189" s="12"/>
      <c r="G3189" s="16"/>
      <c r="H3189" s="14"/>
      <c r="I3189" s="14"/>
      <c r="J3189" s="14"/>
      <c r="K3189" s="14"/>
      <c r="L3189" s="14"/>
      <c r="M3189" s="14"/>
      <c r="N3189" s="14"/>
      <c r="O3189" s="4"/>
      <c r="P3189" s="14"/>
      <c r="Q3189" s="14"/>
    </row>
    <row r="3190" spans="1:17" x14ac:dyDescent="0.25">
      <c r="A3190" s="5"/>
      <c r="B3190" s="6"/>
      <c r="C3190" s="4"/>
      <c r="D3190" s="4"/>
      <c r="E3190" s="12"/>
      <c r="F3190" s="12"/>
      <c r="G3190" s="16"/>
      <c r="H3190" s="14"/>
      <c r="I3190" s="14"/>
      <c r="J3190" s="14"/>
      <c r="K3190" s="14"/>
      <c r="L3190" s="14"/>
      <c r="M3190" s="14"/>
      <c r="N3190" s="14"/>
      <c r="O3190" s="4"/>
      <c r="P3190" s="14"/>
      <c r="Q3190" s="14"/>
    </row>
    <row r="3191" spans="1:17" x14ac:dyDescent="0.25">
      <c r="A3191" s="5"/>
      <c r="B3191" s="6"/>
      <c r="C3191" s="4"/>
      <c r="D3191" s="4"/>
      <c r="E3191" s="12"/>
      <c r="F3191" s="12"/>
      <c r="G3191" s="16"/>
      <c r="H3191" s="14"/>
      <c r="I3191" s="14"/>
      <c r="J3191" s="14"/>
      <c r="K3191" s="14"/>
      <c r="L3191" s="14"/>
      <c r="M3191" s="14"/>
      <c r="N3191" s="14"/>
      <c r="O3191" s="4"/>
      <c r="P3191" s="14"/>
      <c r="Q3191" s="14"/>
    </row>
    <row r="3192" spans="1:17" x14ac:dyDescent="0.25">
      <c r="A3192" s="5"/>
      <c r="B3192" s="6"/>
      <c r="C3192" s="4"/>
      <c r="D3192" s="4"/>
      <c r="E3192" s="12"/>
      <c r="F3192" s="12"/>
      <c r="G3192" s="16"/>
      <c r="H3192" s="14"/>
      <c r="I3192" s="14"/>
      <c r="J3192" s="14"/>
      <c r="K3192" s="14"/>
      <c r="L3192" s="14"/>
      <c r="M3192" s="14"/>
      <c r="N3192" s="14"/>
      <c r="O3192" s="4"/>
      <c r="P3192" s="14"/>
      <c r="Q3192" s="14"/>
    </row>
    <row r="3193" spans="1:17" x14ac:dyDescent="0.25">
      <c r="A3193" s="5"/>
      <c r="B3193" s="6"/>
      <c r="C3193" s="4"/>
      <c r="D3193" s="4"/>
      <c r="E3193" s="12"/>
      <c r="F3193" s="12"/>
      <c r="G3193" s="16"/>
      <c r="H3193" s="14"/>
      <c r="I3193" s="14"/>
      <c r="J3193" s="14"/>
      <c r="K3193" s="14"/>
      <c r="L3193" s="14"/>
      <c r="M3193" s="14"/>
      <c r="N3193" s="14"/>
      <c r="O3193" s="4"/>
      <c r="P3193" s="14"/>
      <c r="Q3193" s="14"/>
    </row>
    <row r="3194" spans="1:17" x14ac:dyDescent="0.25">
      <c r="A3194" s="5"/>
      <c r="B3194" s="6"/>
      <c r="C3194" s="4"/>
      <c r="D3194" s="4"/>
      <c r="E3194" s="12"/>
      <c r="F3194" s="12"/>
      <c r="G3194" s="16"/>
      <c r="H3194" s="14"/>
      <c r="I3194" s="14"/>
      <c r="J3194" s="14"/>
      <c r="K3194" s="14"/>
      <c r="L3194" s="14"/>
      <c r="M3194" s="14"/>
      <c r="N3194" s="14"/>
      <c r="O3194" s="4"/>
      <c r="P3194" s="14"/>
      <c r="Q3194" s="14"/>
    </row>
    <row r="3195" spans="1:17" x14ac:dyDescent="0.25">
      <c r="A3195" s="5"/>
      <c r="B3195" s="6"/>
      <c r="C3195" s="4"/>
      <c r="D3195" s="4"/>
      <c r="E3195" s="12"/>
      <c r="F3195" s="12"/>
      <c r="G3195" s="16"/>
      <c r="H3195" s="14"/>
      <c r="I3195" s="14"/>
      <c r="J3195" s="14"/>
      <c r="K3195" s="14"/>
      <c r="L3195" s="14"/>
      <c r="M3195" s="14"/>
      <c r="N3195" s="14"/>
      <c r="O3195" s="4"/>
      <c r="P3195" s="14"/>
      <c r="Q3195" s="14"/>
    </row>
    <row r="3196" spans="1:17" x14ac:dyDescent="0.25">
      <c r="A3196" s="5"/>
      <c r="B3196" s="6"/>
      <c r="C3196" s="4"/>
      <c r="D3196" s="4"/>
      <c r="E3196" s="12"/>
      <c r="F3196" s="12"/>
      <c r="G3196" s="16"/>
      <c r="H3196" s="14"/>
      <c r="I3196" s="14"/>
      <c r="J3196" s="14"/>
      <c r="K3196" s="14"/>
      <c r="L3196" s="14"/>
      <c r="M3196" s="14"/>
      <c r="N3196" s="14"/>
      <c r="O3196" s="4"/>
      <c r="P3196" s="14"/>
      <c r="Q3196" s="14"/>
    </row>
    <row r="3197" spans="1:17" x14ac:dyDescent="0.25">
      <c r="A3197" s="5"/>
      <c r="B3197" s="6"/>
      <c r="C3197" s="4"/>
      <c r="D3197" s="4"/>
      <c r="E3197" s="12"/>
      <c r="F3197" s="12"/>
      <c r="G3197" s="16"/>
      <c r="H3197" s="14"/>
      <c r="I3197" s="14"/>
      <c r="J3197" s="14"/>
      <c r="K3197" s="14"/>
      <c r="L3197" s="14"/>
      <c r="M3197" s="14"/>
      <c r="N3197" s="14"/>
      <c r="O3197" s="4"/>
      <c r="P3197" s="14"/>
      <c r="Q3197" s="14"/>
    </row>
    <row r="3198" spans="1:17" x14ac:dyDescent="0.25">
      <c r="A3198" s="5"/>
      <c r="B3198" s="6"/>
      <c r="C3198" s="4"/>
      <c r="D3198" s="4"/>
      <c r="E3198" s="12"/>
      <c r="F3198" s="12"/>
      <c r="G3198" s="16"/>
      <c r="H3198" s="14"/>
      <c r="I3198" s="14"/>
      <c r="J3198" s="14"/>
      <c r="K3198" s="14"/>
      <c r="L3198" s="14"/>
      <c r="M3198" s="14"/>
      <c r="N3198" s="14"/>
      <c r="O3198" s="4"/>
      <c r="P3198" s="14"/>
      <c r="Q3198" s="14"/>
    </row>
    <row r="3199" spans="1:17" x14ac:dyDescent="0.25">
      <c r="A3199" s="5"/>
      <c r="B3199" s="6"/>
      <c r="C3199" s="4"/>
      <c r="D3199" s="4"/>
      <c r="E3199" s="12"/>
      <c r="F3199" s="12"/>
      <c r="G3199" s="16"/>
      <c r="H3199" s="14"/>
      <c r="I3199" s="14"/>
      <c r="J3199" s="14"/>
      <c r="K3199" s="14"/>
      <c r="L3199" s="14"/>
      <c r="M3199" s="14"/>
      <c r="N3199" s="14"/>
      <c r="O3199" s="4"/>
      <c r="P3199" s="14"/>
      <c r="Q3199" s="14"/>
    </row>
    <row r="3200" spans="1:17" x14ac:dyDescent="0.25">
      <c r="A3200" s="5"/>
      <c r="B3200" s="6"/>
      <c r="C3200" s="4"/>
      <c r="D3200" s="4"/>
      <c r="E3200" s="12"/>
      <c r="F3200" s="12"/>
      <c r="G3200" s="16"/>
      <c r="H3200" s="14"/>
      <c r="I3200" s="14"/>
      <c r="J3200" s="14"/>
      <c r="K3200" s="14"/>
      <c r="L3200" s="14"/>
      <c r="M3200" s="14"/>
      <c r="N3200" s="14"/>
      <c r="O3200" s="4"/>
      <c r="P3200" s="14"/>
      <c r="Q3200" s="14"/>
    </row>
    <row r="3201" spans="1:17" x14ac:dyDescent="0.25">
      <c r="A3201" s="5"/>
      <c r="B3201" s="6"/>
      <c r="C3201" s="4"/>
      <c r="D3201" s="4"/>
      <c r="E3201" s="12"/>
      <c r="F3201" s="12"/>
      <c r="G3201" s="16"/>
      <c r="H3201" s="14"/>
      <c r="I3201" s="14"/>
      <c r="J3201" s="14"/>
      <c r="K3201" s="14"/>
      <c r="L3201" s="14"/>
      <c r="M3201" s="14"/>
      <c r="N3201" s="14"/>
      <c r="O3201" s="4"/>
      <c r="P3201" s="14"/>
      <c r="Q3201" s="14"/>
    </row>
    <row r="3202" spans="1:17" x14ac:dyDescent="0.25">
      <c r="A3202" s="5"/>
      <c r="B3202" s="6"/>
      <c r="C3202" s="4"/>
      <c r="D3202" s="4"/>
      <c r="E3202" s="12"/>
      <c r="F3202" s="12"/>
      <c r="G3202" s="16"/>
      <c r="H3202" s="14"/>
      <c r="I3202" s="14"/>
      <c r="J3202" s="14"/>
      <c r="K3202" s="14"/>
      <c r="L3202" s="14"/>
      <c r="M3202" s="14"/>
      <c r="N3202" s="14"/>
      <c r="O3202" s="4"/>
      <c r="P3202" s="14"/>
      <c r="Q3202" s="14"/>
    </row>
    <row r="3203" spans="1:17" x14ac:dyDescent="0.25">
      <c r="A3203" s="5"/>
      <c r="B3203" s="6"/>
      <c r="C3203" s="4"/>
      <c r="D3203" s="4"/>
      <c r="E3203" s="12"/>
      <c r="F3203" s="12"/>
      <c r="G3203" s="16"/>
      <c r="H3203" s="14"/>
      <c r="I3203" s="14"/>
      <c r="J3203" s="14"/>
      <c r="K3203" s="14"/>
      <c r="L3203" s="14"/>
      <c r="M3203" s="14"/>
      <c r="N3203" s="14"/>
      <c r="O3203" s="4"/>
      <c r="P3203" s="14"/>
      <c r="Q3203" s="14"/>
    </row>
    <row r="3204" spans="1:17" x14ac:dyDescent="0.25">
      <c r="A3204" s="5"/>
      <c r="B3204" s="6"/>
      <c r="C3204" s="4"/>
      <c r="D3204" s="4"/>
      <c r="E3204" s="12"/>
      <c r="F3204" s="12"/>
      <c r="G3204" s="16"/>
      <c r="H3204" s="14"/>
      <c r="I3204" s="14"/>
      <c r="J3204" s="14"/>
      <c r="K3204" s="14"/>
      <c r="L3204" s="14"/>
      <c r="M3204" s="14"/>
      <c r="N3204" s="14"/>
      <c r="O3204" s="4"/>
      <c r="P3204" s="14"/>
      <c r="Q3204" s="14"/>
    </row>
    <row r="3205" spans="1:17" x14ac:dyDescent="0.25">
      <c r="A3205" s="5"/>
      <c r="B3205" s="6"/>
      <c r="C3205" s="4"/>
      <c r="D3205" s="4"/>
      <c r="E3205" s="12"/>
      <c r="F3205" s="12"/>
      <c r="G3205" s="16"/>
      <c r="H3205" s="14"/>
      <c r="I3205" s="14"/>
      <c r="J3205" s="14"/>
      <c r="K3205" s="14"/>
      <c r="L3205" s="14"/>
      <c r="M3205" s="14"/>
      <c r="N3205" s="14"/>
      <c r="O3205" s="4"/>
      <c r="P3205" s="14"/>
      <c r="Q3205" s="14"/>
    </row>
    <row r="3206" spans="1:17" x14ac:dyDescent="0.25">
      <c r="A3206" s="5"/>
      <c r="B3206" s="6"/>
      <c r="C3206" s="4"/>
      <c r="D3206" s="4"/>
      <c r="E3206" s="12"/>
      <c r="F3206" s="12"/>
      <c r="G3206" s="16"/>
      <c r="H3206" s="14"/>
      <c r="I3206" s="14"/>
      <c r="J3206" s="14"/>
      <c r="K3206" s="14"/>
      <c r="L3206" s="14"/>
      <c r="M3206" s="14"/>
      <c r="N3206" s="14"/>
      <c r="O3206" s="4"/>
      <c r="P3206" s="14"/>
      <c r="Q3206" s="14"/>
    </row>
    <row r="3207" spans="1:17" x14ac:dyDescent="0.25">
      <c r="A3207" s="5"/>
      <c r="B3207" s="6"/>
      <c r="C3207" s="4"/>
      <c r="D3207" s="4"/>
      <c r="E3207" s="12"/>
      <c r="F3207" s="12"/>
      <c r="G3207" s="16"/>
      <c r="H3207" s="14"/>
      <c r="I3207" s="14"/>
      <c r="J3207" s="14"/>
      <c r="K3207" s="14"/>
      <c r="L3207" s="14"/>
      <c r="M3207" s="14"/>
      <c r="N3207" s="14"/>
      <c r="O3207" s="4"/>
      <c r="P3207" s="14"/>
      <c r="Q3207" s="14"/>
    </row>
    <row r="3208" spans="1:17" x14ac:dyDescent="0.25">
      <c r="A3208" s="5"/>
      <c r="B3208" s="6"/>
      <c r="C3208" s="4"/>
      <c r="D3208" s="4"/>
      <c r="E3208" s="12"/>
      <c r="F3208" s="12"/>
      <c r="G3208" s="16"/>
      <c r="H3208" s="14"/>
      <c r="I3208" s="14"/>
      <c r="J3208" s="14"/>
      <c r="K3208" s="14"/>
      <c r="L3208" s="14"/>
      <c r="M3208" s="14"/>
      <c r="N3208" s="14"/>
      <c r="O3208" s="4"/>
      <c r="P3208" s="14"/>
      <c r="Q3208" s="14"/>
    </row>
    <row r="3209" spans="1:17" x14ac:dyDescent="0.25">
      <c r="A3209" s="5"/>
      <c r="B3209" s="6"/>
      <c r="C3209" s="4"/>
      <c r="D3209" s="4"/>
      <c r="E3209" s="12"/>
      <c r="F3209" s="12"/>
      <c r="G3209" s="16"/>
      <c r="H3209" s="14"/>
      <c r="I3209" s="14"/>
      <c r="J3209" s="14"/>
      <c r="K3209" s="14"/>
      <c r="L3209" s="14"/>
      <c r="M3209" s="14"/>
      <c r="N3209" s="14"/>
      <c r="O3209" s="4"/>
      <c r="P3209" s="14"/>
      <c r="Q3209" s="14"/>
    </row>
    <row r="3210" spans="1:17" x14ac:dyDescent="0.25">
      <c r="A3210" s="5"/>
      <c r="B3210" s="6"/>
      <c r="C3210" s="4"/>
      <c r="D3210" s="4"/>
      <c r="E3210" s="12"/>
      <c r="F3210" s="12"/>
      <c r="G3210" s="16"/>
      <c r="H3210" s="14"/>
      <c r="I3210" s="14"/>
      <c r="J3210" s="14"/>
      <c r="K3210" s="14"/>
      <c r="L3210" s="14"/>
      <c r="M3210" s="14"/>
      <c r="N3210" s="14"/>
      <c r="O3210" s="4"/>
      <c r="P3210" s="14"/>
      <c r="Q3210" s="14"/>
    </row>
    <row r="3211" spans="1:17" x14ac:dyDescent="0.25">
      <c r="A3211" s="5"/>
      <c r="B3211" s="6"/>
      <c r="C3211" s="4"/>
      <c r="D3211" s="4"/>
      <c r="E3211" s="12"/>
      <c r="F3211" s="12"/>
      <c r="G3211" s="16"/>
      <c r="H3211" s="14"/>
      <c r="I3211" s="14"/>
      <c r="J3211" s="14"/>
      <c r="K3211" s="14"/>
      <c r="L3211" s="14"/>
      <c r="M3211" s="14"/>
      <c r="N3211" s="14"/>
      <c r="O3211" s="4"/>
      <c r="P3211" s="14"/>
      <c r="Q3211" s="14"/>
    </row>
    <row r="3212" spans="1:17" x14ac:dyDescent="0.25">
      <c r="A3212" s="5"/>
      <c r="B3212" s="6"/>
      <c r="C3212" s="4"/>
      <c r="D3212" s="4"/>
      <c r="E3212" s="12"/>
      <c r="F3212" s="12"/>
      <c r="G3212" s="16"/>
      <c r="H3212" s="14"/>
      <c r="I3212" s="14"/>
      <c r="J3212" s="14"/>
      <c r="K3212" s="14"/>
      <c r="L3212" s="14"/>
      <c r="M3212" s="14"/>
      <c r="N3212" s="14"/>
      <c r="O3212" s="4"/>
      <c r="P3212" s="14"/>
      <c r="Q3212" s="14"/>
    </row>
    <row r="3213" spans="1:17" x14ac:dyDescent="0.25">
      <c r="A3213" s="5"/>
      <c r="B3213" s="6"/>
      <c r="C3213" s="4"/>
      <c r="D3213" s="4"/>
      <c r="E3213" s="12"/>
      <c r="F3213" s="12"/>
      <c r="G3213" s="16"/>
      <c r="H3213" s="14"/>
      <c r="I3213" s="14"/>
      <c r="J3213" s="14"/>
      <c r="K3213" s="14"/>
      <c r="L3213" s="14"/>
      <c r="M3213" s="14"/>
      <c r="N3213" s="14"/>
      <c r="O3213" s="4"/>
      <c r="P3213" s="14"/>
      <c r="Q3213" s="14"/>
    </row>
    <row r="3214" spans="1:17" x14ac:dyDescent="0.25">
      <c r="A3214" s="5"/>
      <c r="B3214" s="6"/>
      <c r="C3214" s="4"/>
      <c r="D3214" s="4"/>
      <c r="E3214" s="12"/>
      <c r="F3214" s="12"/>
      <c r="G3214" s="16"/>
      <c r="H3214" s="14"/>
      <c r="I3214" s="14"/>
      <c r="J3214" s="14"/>
      <c r="K3214" s="14"/>
      <c r="L3214" s="14"/>
      <c r="M3214" s="14"/>
      <c r="N3214" s="14"/>
      <c r="O3214" s="4"/>
      <c r="P3214" s="14"/>
      <c r="Q3214" s="14"/>
    </row>
    <row r="3215" spans="1:17" x14ac:dyDescent="0.25">
      <c r="A3215" s="5"/>
      <c r="B3215" s="6"/>
      <c r="C3215" s="4"/>
      <c r="D3215" s="4"/>
      <c r="E3215" s="12"/>
      <c r="F3215" s="12"/>
      <c r="G3215" s="16"/>
      <c r="H3215" s="14"/>
      <c r="I3215" s="14"/>
      <c r="J3215" s="14"/>
      <c r="K3215" s="14"/>
      <c r="L3215" s="14"/>
      <c r="M3215" s="14"/>
      <c r="N3215" s="14"/>
      <c r="O3215" s="4"/>
      <c r="P3215" s="14"/>
      <c r="Q3215" s="14"/>
    </row>
    <row r="3216" spans="1:17" x14ac:dyDescent="0.25">
      <c r="A3216" s="5"/>
      <c r="B3216" s="6"/>
      <c r="C3216" s="4"/>
      <c r="D3216" s="4"/>
      <c r="E3216" s="12"/>
      <c r="F3216" s="12"/>
      <c r="G3216" s="16"/>
      <c r="H3216" s="14"/>
      <c r="I3216" s="14"/>
      <c r="J3216" s="14"/>
      <c r="K3216" s="14"/>
      <c r="L3216" s="14"/>
      <c r="M3216" s="14"/>
      <c r="N3216" s="14"/>
      <c r="O3216" s="4"/>
      <c r="P3216" s="14"/>
      <c r="Q3216" s="14"/>
    </row>
    <row r="3217" spans="1:17" x14ac:dyDescent="0.25">
      <c r="A3217" s="5"/>
      <c r="B3217" s="6"/>
      <c r="C3217" s="4"/>
      <c r="D3217" s="4"/>
      <c r="E3217" s="12"/>
      <c r="F3217" s="12"/>
      <c r="G3217" s="16"/>
      <c r="H3217" s="14"/>
      <c r="I3217" s="14"/>
      <c r="J3217" s="14"/>
      <c r="K3217" s="14"/>
      <c r="L3217" s="14"/>
      <c r="M3217" s="14"/>
      <c r="N3217" s="14"/>
      <c r="O3217" s="4"/>
      <c r="P3217" s="14"/>
      <c r="Q3217" s="14"/>
    </row>
    <row r="3218" spans="1:17" x14ac:dyDescent="0.25">
      <c r="A3218" s="5"/>
      <c r="B3218" s="6"/>
      <c r="C3218" s="4"/>
      <c r="D3218" s="4"/>
      <c r="E3218" s="12"/>
      <c r="F3218" s="12"/>
      <c r="G3218" s="16"/>
      <c r="H3218" s="14"/>
      <c r="I3218" s="14"/>
      <c r="J3218" s="14"/>
      <c r="K3218" s="14"/>
      <c r="L3218" s="14"/>
      <c r="M3218" s="14"/>
      <c r="N3218" s="14"/>
      <c r="O3218" s="4"/>
      <c r="P3218" s="14"/>
      <c r="Q3218" s="14"/>
    </row>
    <row r="3219" spans="1:17" x14ac:dyDescent="0.25">
      <c r="A3219" s="5"/>
      <c r="B3219" s="6"/>
      <c r="C3219" s="4"/>
      <c r="D3219" s="4"/>
      <c r="E3219" s="12"/>
      <c r="F3219" s="12"/>
      <c r="G3219" s="16"/>
      <c r="H3219" s="14"/>
      <c r="I3219" s="14"/>
      <c r="J3219" s="14"/>
      <c r="K3219" s="14"/>
      <c r="L3219" s="14"/>
      <c r="M3219" s="14"/>
      <c r="N3219" s="14"/>
      <c r="O3219" s="4"/>
      <c r="P3219" s="14"/>
      <c r="Q3219" s="14"/>
    </row>
    <row r="3220" spans="1:17" x14ac:dyDescent="0.25">
      <c r="A3220" s="5"/>
      <c r="B3220" s="6"/>
      <c r="C3220" s="4"/>
      <c r="D3220" s="4"/>
      <c r="E3220" s="12"/>
      <c r="F3220" s="12"/>
      <c r="G3220" s="16"/>
      <c r="H3220" s="14"/>
      <c r="I3220" s="14"/>
      <c r="J3220" s="14"/>
      <c r="K3220" s="14"/>
      <c r="L3220" s="14"/>
      <c r="M3220" s="14"/>
      <c r="N3220" s="14"/>
      <c r="O3220" s="4"/>
      <c r="P3220" s="14"/>
      <c r="Q3220" s="14"/>
    </row>
    <row r="3221" spans="1:17" x14ac:dyDescent="0.25">
      <c r="A3221" s="5"/>
      <c r="B3221" s="6"/>
      <c r="C3221" s="4"/>
      <c r="D3221" s="4"/>
      <c r="E3221" s="12"/>
      <c r="F3221" s="12"/>
      <c r="G3221" s="16"/>
      <c r="H3221" s="14"/>
      <c r="I3221" s="14"/>
      <c r="J3221" s="14"/>
      <c r="K3221" s="14"/>
      <c r="L3221" s="14"/>
      <c r="M3221" s="14"/>
      <c r="N3221" s="14"/>
      <c r="O3221" s="4"/>
      <c r="P3221" s="14"/>
      <c r="Q3221" s="14"/>
    </row>
    <row r="3222" spans="1:17" x14ac:dyDescent="0.25">
      <c r="A3222" s="5"/>
      <c r="B3222" s="6"/>
      <c r="C3222" s="4"/>
      <c r="D3222" s="4"/>
      <c r="E3222" s="12"/>
      <c r="F3222" s="12"/>
      <c r="G3222" s="16"/>
      <c r="H3222" s="14"/>
      <c r="I3222" s="14"/>
      <c r="J3222" s="14"/>
      <c r="K3222" s="14"/>
      <c r="L3222" s="14"/>
      <c r="M3222" s="14"/>
      <c r="N3222" s="14"/>
      <c r="O3222" s="4"/>
      <c r="P3222" s="14"/>
      <c r="Q3222" s="14"/>
    </row>
    <row r="3223" spans="1:17" x14ac:dyDescent="0.25">
      <c r="A3223" s="5"/>
      <c r="B3223" s="6"/>
      <c r="C3223" s="4"/>
      <c r="D3223" s="4"/>
      <c r="E3223" s="12"/>
      <c r="F3223" s="12"/>
      <c r="G3223" s="16"/>
      <c r="H3223" s="14"/>
      <c r="I3223" s="14"/>
      <c r="J3223" s="14"/>
      <c r="K3223" s="14"/>
      <c r="L3223" s="14"/>
      <c r="M3223" s="14"/>
      <c r="N3223" s="14"/>
      <c r="O3223" s="4"/>
      <c r="P3223" s="14"/>
      <c r="Q3223" s="14"/>
    </row>
    <row r="3224" spans="1:17" x14ac:dyDescent="0.25">
      <c r="A3224" s="5"/>
      <c r="B3224" s="6"/>
      <c r="C3224" s="4"/>
      <c r="D3224" s="4"/>
      <c r="E3224" s="12"/>
      <c r="F3224" s="12"/>
      <c r="G3224" s="16"/>
      <c r="H3224" s="14"/>
      <c r="I3224" s="14"/>
      <c r="J3224" s="14"/>
      <c r="K3224" s="14"/>
      <c r="L3224" s="14"/>
      <c r="M3224" s="14"/>
      <c r="N3224" s="14"/>
      <c r="O3224" s="4"/>
      <c r="P3224" s="14"/>
      <c r="Q3224" s="14"/>
    </row>
    <row r="3225" spans="1:17" x14ac:dyDescent="0.25">
      <c r="A3225" s="5"/>
      <c r="B3225" s="6"/>
      <c r="C3225" s="4"/>
      <c r="D3225" s="4"/>
      <c r="E3225" s="12"/>
      <c r="F3225" s="12"/>
      <c r="G3225" s="16"/>
      <c r="H3225" s="14"/>
      <c r="I3225" s="14"/>
      <c r="J3225" s="14"/>
      <c r="K3225" s="14"/>
      <c r="L3225" s="14"/>
      <c r="M3225" s="14"/>
      <c r="N3225" s="14"/>
      <c r="O3225" s="4"/>
      <c r="P3225" s="14"/>
      <c r="Q3225" s="14"/>
    </row>
    <row r="3226" spans="1:17" x14ac:dyDescent="0.25">
      <c r="A3226" s="5"/>
      <c r="B3226" s="6"/>
      <c r="C3226" s="4"/>
      <c r="D3226" s="4"/>
      <c r="E3226" s="12"/>
      <c r="F3226" s="12"/>
      <c r="G3226" s="16"/>
      <c r="H3226" s="14"/>
      <c r="I3226" s="14"/>
      <c r="J3226" s="14"/>
      <c r="K3226" s="14"/>
      <c r="L3226" s="14"/>
      <c r="M3226" s="14"/>
      <c r="N3226" s="14"/>
      <c r="O3226" s="4"/>
      <c r="P3226" s="14"/>
      <c r="Q3226" s="14"/>
    </row>
    <row r="3227" spans="1:17" x14ac:dyDescent="0.25">
      <c r="A3227" s="5"/>
      <c r="B3227" s="6"/>
      <c r="C3227" s="4"/>
      <c r="D3227" s="4"/>
      <c r="E3227" s="12"/>
      <c r="F3227" s="12"/>
      <c r="G3227" s="16"/>
      <c r="H3227" s="14"/>
      <c r="I3227" s="14"/>
      <c r="J3227" s="14"/>
      <c r="K3227" s="14"/>
      <c r="L3227" s="14"/>
      <c r="M3227" s="14"/>
      <c r="N3227" s="14"/>
      <c r="O3227" s="4"/>
      <c r="P3227" s="14"/>
      <c r="Q3227" s="14"/>
    </row>
    <row r="3228" spans="1:17" x14ac:dyDescent="0.25">
      <c r="A3228" s="5"/>
      <c r="B3228" s="6"/>
      <c r="C3228" s="4"/>
      <c r="D3228" s="4"/>
      <c r="E3228" s="12"/>
      <c r="F3228" s="12"/>
      <c r="G3228" s="16"/>
      <c r="H3228" s="14"/>
      <c r="I3228" s="14"/>
      <c r="J3228" s="14"/>
      <c r="K3228" s="14"/>
      <c r="L3228" s="14"/>
      <c r="M3228" s="14"/>
      <c r="N3228" s="14"/>
      <c r="O3228" s="4"/>
      <c r="P3228" s="14"/>
      <c r="Q3228" s="14"/>
    </row>
    <row r="3229" spans="1:17" x14ac:dyDescent="0.25">
      <c r="A3229" s="5"/>
      <c r="B3229" s="6"/>
      <c r="C3229" s="4"/>
      <c r="D3229" s="4"/>
      <c r="E3229" s="12"/>
      <c r="F3229" s="12"/>
      <c r="G3229" s="16"/>
      <c r="H3229" s="14"/>
      <c r="I3229" s="14"/>
      <c r="J3229" s="14"/>
      <c r="K3229" s="14"/>
      <c r="L3229" s="14"/>
      <c r="M3229" s="14"/>
      <c r="N3229" s="14"/>
      <c r="O3229" s="4"/>
      <c r="P3229" s="14"/>
      <c r="Q3229" s="14"/>
    </row>
    <row r="3230" spans="1:17" x14ac:dyDescent="0.25">
      <c r="A3230" s="5"/>
      <c r="B3230" s="6"/>
      <c r="C3230" s="4"/>
      <c r="D3230" s="4"/>
      <c r="E3230" s="12"/>
      <c r="F3230" s="12"/>
      <c r="G3230" s="16"/>
      <c r="H3230" s="14"/>
      <c r="I3230" s="14"/>
      <c r="J3230" s="14"/>
      <c r="K3230" s="14"/>
      <c r="L3230" s="14"/>
      <c r="M3230" s="14"/>
      <c r="N3230" s="14"/>
      <c r="O3230" s="4"/>
      <c r="P3230" s="14"/>
      <c r="Q3230" s="14"/>
    </row>
    <row r="3231" spans="1:17" x14ac:dyDescent="0.25">
      <c r="A3231" s="5"/>
      <c r="B3231" s="6"/>
      <c r="C3231" s="4"/>
      <c r="D3231" s="4"/>
      <c r="E3231" s="12"/>
      <c r="F3231" s="12"/>
      <c r="G3231" s="16"/>
      <c r="H3231" s="14"/>
      <c r="I3231" s="14"/>
      <c r="J3231" s="14"/>
      <c r="K3231" s="14"/>
      <c r="L3231" s="14"/>
      <c r="M3231" s="14"/>
      <c r="N3231" s="14"/>
      <c r="O3231" s="4"/>
      <c r="P3231" s="14"/>
      <c r="Q3231" s="14"/>
    </row>
    <row r="3232" spans="1:17" x14ac:dyDescent="0.25">
      <c r="A3232" s="5"/>
      <c r="B3232" s="6"/>
      <c r="C3232" s="4"/>
      <c r="D3232" s="4"/>
      <c r="E3232" s="12"/>
      <c r="F3232" s="12"/>
      <c r="G3232" s="16"/>
      <c r="H3232" s="14"/>
      <c r="I3232" s="14"/>
      <c r="J3232" s="14"/>
      <c r="K3232" s="14"/>
      <c r="L3232" s="14"/>
      <c r="M3232" s="14"/>
      <c r="N3232" s="14"/>
      <c r="O3232" s="4"/>
      <c r="P3232" s="14"/>
      <c r="Q3232" s="14"/>
    </row>
    <row r="3233" spans="1:17" x14ac:dyDescent="0.25">
      <c r="A3233" s="5"/>
      <c r="B3233" s="6"/>
      <c r="C3233" s="4"/>
      <c r="D3233" s="4"/>
      <c r="E3233" s="12"/>
      <c r="F3233" s="12"/>
      <c r="G3233" s="16"/>
      <c r="H3233" s="14"/>
      <c r="I3233" s="14"/>
      <c r="J3233" s="14"/>
      <c r="K3233" s="14"/>
      <c r="L3233" s="14"/>
      <c r="M3233" s="14"/>
      <c r="N3233" s="14"/>
      <c r="O3233" s="4"/>
      <c r="P3233" s="14"/>
      <c r="Q3233" s="14"/>
    </row>
    <row r="3234" spans="1:17" x14ac:dyDescent="0.25">
      <c r="A3234" s="5"/>
      <c r="B3234" s="6"/>
      <c r="C3234" s="4"/>
      <c r="D3234" s="4"/>
      <c r="E3234" s="12"/>
      <c r="F3234" s="12"/>
      <c r="G3234" s="16"/>
      <c r="H3234" s="14"/>
      <c r="I3234" s="14"/>
      <c r="J3234" s="14"/>
      <c r="K3234" s="14"/>
      <c r="L3234" s="14"/>
      <c r="M3234" s="14"/>
      <c r="N3234" s="14"/>
      <c r="O3234" s="4"/>
      <c r="P3234" s="14"/>
      <c r="Q3234" s="14"/>
    </row>
    <row r="3235" spans="1:17" x14ac:dyDescent="0.25">
      <c r="A3235" s="5"/>
      <c r="B3235" s="6"/>
      <c r="C3235" s="4"/>
      <c r="D3235" s="4"/>
      <c r="E3235" s="12"/>
      <c r="F3235" s="12"/>
      <c r="G3235" s="16"/>
      <c r="H3235" s="14"/>
      <c r="I3235" s="14"/>
      <c r="J3235" s="14"/>
      <c r="K3235" s="14"/>
      <c r="L3235" s="14"/>
      <c r="M3235" s="14"/>
      <c r="N3235" s="14"/>
      <c r="O3235" s="4"/>
      <c r="P3235" s="14"/>
      <c r="Q3235" s="14"/>
    </row>
    <row r="3236" spans="1:17" x14ac:dyDescent="0.25">
      <c r="A3236" s="5"/>
      <c r="B3236" s="6"/>
      <c r="C3236" s="4"/>
      <c r="D3236" s="4"/>
      <c r="E3236" s="12"/>
      <c r="F3236" s="12"/>
      <c r="G3236" s="16"/>
      <c r="H3236" s="14"/>
      <c r="I3236" s="14"/>
      <c r="J3236" s="14"/>
      <c r="K3236" s="14"/>
      <c r="L3236" s="14"/>
      <c r="M3236" s="14"/>
      <c r="N3236" s="14"/>
      <c r="O3236" s="4"/>
      <c r="P3236" s="14"/>
      <c r="Q3236" s="14"/>
    </row>
    <row r="3237" spans="1:17" x14ac:dyDescent="0.25">
      <c r="A3237" s="5"/>
      <c r="B3237" s="6"/>
      <c r="C3237" s="4"/>
      <c r="D3237" s="4"/>
      <c r="E3237" s="12"/>
      <c r="F3237" s="12"/>
      <c r="G3237" s="16"/>
      <c r="H3237" s="14"/>
      <c r="I3237" s="14"/>
      <c r="J3237" s="14"/>
      <c r="K3237" s="14"/>
      <c r="L3237" s="14"/>
      <c r="M3237" s="14"/>
      <c r="N3237" s="14"/>
      <c r="O3237" s="4"/>
      <c r="P3237" s="14"/>
      <c r="Q3237" s="14"/>
    </row>
    <row r="3238" spans="1:17" x14ac:dyDescent="0.25">
      <c r="A3238" s="5"/>
      <c r="B3238" s="6"/>
      <c r="C3238" s="4"/>
      <c r="D3238" s="4"/>
      <c r="E3238" s="12"/>
      <c r="F3238" s="12"/>
      <c r="G3238" s="16"/>
      <c r="H3238" s="14"/>
      <c r="I3238" s="14"/>
      <c r="J3238" s="14"/>
      <c r="K3238" s="14"/>
      <c r="L3238" s="14"/>
      <c r="M3238" s="14"/>
      <c r="N3238" s="14"/>
      <c r="O3238" s="4"/>
      <c r="P3238" s="14"/>
      <c r="Q3238" s="14"/>
    </row>
    <row r="3239" spans="1:17" x14ac:dyDescent="0.25">
      <c r="A3239" s="5"/>
      <c r="B3239" s="6"/>
      <c r="C3239" s="4"/>
      <c r="D3239" s="4"/>
      <c r="E3239" s="12"/>
      <c r="F3239" s="12"/>
      <c r="G3239" s="16"/>
      <c r="H3239" s="14"/>
      <c r="I3239" s="14"/>
      <c r="J3239" s="14"/>
      <c r="K3239" s="14"/>
      <c r="L3239" s="14"/>
      <c r="M3239" s="14"/>
      <c r="N3239" s="14"/>
      <c r="O3239" s="4"/>
      <c r="P3239" s="14"/>
      <c r="Q3239" s="14"/>
    </row>
    <row r="3240" spans="1:17" x14ac:dyDescent="0.25">
      <c r="A3240" s="5"/>
      <c r="B3240" s="6"/>
      <c r="C3240" s="4"/>
      <c r="D3240" s="4"/>
      <c r="E3240" s="12"/>
      <c r="F3240" s="12"/>
      <c r="G3240" s="16"/>
      <c r="H3240" s="14"/>
      <c r="I3240" s="14"/>
      <c r="J3240" s="14"/>
      <c r="K3240" s="14"/>
      <c r="L3240" s="14"/>
      <c r="M3240" s="14"/>
      <c r="N3240" s="14"/>
      <c r="O3240" s="4"/>
      <c r="P3240" s="14"/>
      <c r="Q3240" s="14"/>
    </row>
    <row r="3241" spans="1:17" x14ac:dyDescent="0.25">
      <c r="A3241" s="5"/>
      <c r="B3241" s="6"/>
      <c r="C3241" s="4"/>
      <c r="D3241" s="4"/>
      <c r="E3241" s="12"/>
      <c r="F3241" s="12"/>
      <c r="G3241" s="16"/>
      <c r="H3241" s="14"/>
      <c r="I3241" s="14"/>
      <c r="J3241" s="14"/>
      <c r="K3241" s="14"/>
      <c r="L3241" s="14"/>
      <c r="M3241" s="14"/>
      <c r="N3241" s="14"/>
      <c r="O3241" s="4"/>
      <c r="P3241" s="14"/>
      <c r="Q3241" s="14"/>
    </row>
    <row r="3242" spans="1:17" x14ac:dyDescent="0.25">
      <c r="A3242" s="5"/>
      <c r="B3242" s="6"/>
      <c r="C3242" s="4"/>
      <c r="D3242" s="4"/>
      <c r="E3242" s="12"/>
      <c r="F3242" s="12"/>
      <c r="G3242" s="16"/>
      <c r="H3242" s="14"/>
      <c r="I3242" s="14"/>
      <c r="J3242" s="14"/>
      <c r="K3242" s="14"/>
      <c r="L3242" s="14"/>
      <c r="M3242" s="14"/>
      <c r="N3242" s="14"/>
      <c r="O3242" s="4"/>
      <c r="P3242" s="14"/>
      <c r="Q3242" s="14"/>
    </row>
    <row r="3243" spans="1:17" x14ac:dyDescent="0.25">
      <c r="A3243" s="5"/>
      <c r="B3243" s="6"/>
      <c r="C3243" s="4"/>
      <c r="D3243" s="4"/>
      <c r="E3243" s="12"/>
      <c r="F3243" s="12"/>
      <c r="G3243" s="16"/>
      <c r="H3243" s="14"/>
      <c r="I3243" s="14"/>
      <c r="J3243" s="14"/>
      <c r="K3243" s="14"/>
      <c r="L3243" s="14"/>
      <c r="M3243" s="14"/>
      <c r="N3243" s="14"/>
      <c r="O3243" s="4"/>
      <c r="P3243" s="14"/>
      <c r="Q3243" s="14"/>
    </row>
    <row r="3244" spans="1:17" x14ac:dyDescent="0.25">
      <c r="A3244" s="5"/>
      <c r="B3244" s="6"/>
      <c r="C3244" s="4"/>
      <c r="D3244" s="4"/>
      <c r="E3244" s="12"/>
      <c r="F3244" s="12"/>
      <c r="G3244" s="16"/>
      <c r="H3244" s="14"/>
      <c r="I3244" s="14"/>
      <c r="J3244" s="14"/>
      <c r="K3244" s="14"/>
      <c r="L3244" s="14"/>
      <c r="M3244" s="14"/>
      <c r="N3244" s="14"/>
      <c r="O3244" s="4"/>
      <c r="P3244" s="14"/>
      <c r="Q3244" s="14"/>
    </row>
    <row r="3245" spans="1:17" x14ac:dyDescent="0.25">
      <c r="A3245" s="5"/>
      <c r="B3245" s="6"/>
      <c r="C3245" s="4"/>
      <c r="D3245" s="4"/>
      <c r="E3245" s="12"/>
      <c r="F3245" s="12"/>
      <c r="G3245" s="16"/>
      <c r="H3245" s="14"/>
      <c r="I3245" s="14"/>
      <c r="J3245" s="14"/>
      <c r="K3245" s="14"/>
      <c r="L3245" s="14"/>
      <c r="M3245" s="14"/>
      <c r="N3245" s="14"/>
      <c r="O3245" s="4"/>
      <c r="P3245" s="14"/>
      <c r="Q3245" s="14"/>
    </row>
    <row r="3246" spans="1:17" x14ac:dyDescent="0.25">
      <c r="A3246" s="5"/>
      <c r="B3246" s="6"/>
      <c r="C3246" s="4"/>
      <c r="D3246" s="4"/>
      <c r="E3246" s="12"/>
      <c r="F3246" s="12"/>
      <c r="G3246" s="16"/>
      <c r="H3246" s="14"/>
      <c r="I3246" s="14"/>
      <c r="J3246" s="14"/>
      <c r="K3246" s="14"/>
      <c r="L3246" s="14"/>
      <c r="M3246" s="14"/>
      <c r="N3246" s="14"/>
      <c r="O3246" s="4"/>
      <c r="P3246" s="14"/>
      <c r="Q3246" s="14"/>
    </row>
    <row r="3247" spans="1:17" x14ac:dyDescent="0.25">
      <c r="A3247" s="5"/>
      <c r="B3247" s="6"/>
      <c r="C3247" s="4"/>
      <c r="D3247" s="4"/>
      <c r="E3247" s="12"/>
      <c r="F3247" s="12"/>
      <c r="G3247" s="16"/>
      <c r="H3247" s="14"/>
      <c r="I3247" s="14"/>
      <c r="J3247" s="14"/>
      <c r="K3247" s="14"/>
      <c r="L3247" s="14"/>
      <c r="M3247" s="14"/>
      <c r="N3247" s="14"/>
      <c r="O3247" s="4"/>
      <c r="P3247" s="14"/>
      <c r="Q3247" s="14"/>
    </row>
    <row r="3248" spans="1:17" x14ac:dyDescent="0.25">
      <c r="A3248" s="5"/>
      <c r="B3248" s="6"/>
      <c r="C3248" s="4"/>
      <c r="D3248" s="4"/>
      <c r="E3248" s="12"/>
      <c r="F3248" s="12"/>
      <c r="G3248" s="16"/>
      <c r="H3248" s="14"/>
      <c r="I3248" s="14"/>
      <c r="J3248" s="14"/>
      <c r="K3248" s="14"/>
      <c r="L3248" s="14"/>
      <c r="M3248" s="14"/>
      <c r="N3248" s="14"/>
      <c r="O3248" s="4"/>
      <c r="P3248" s="14"/>
      <c r="Q3248" s="14"/>
    </row>
    <row r="3249" spans="1:17" x14ac:dyDescent="0.25">
      <c r="A3249" s="5"/>
      <c r="B3249" s="6"/>
      <c r="C3249" s="4"/>
      <c r="D3249" s="4"/>
      <c r="E3249" s="12"/>
      <c r="F3249" s="12"/>
      <c r="G3249" s="16"/>
      <c r="H3249" s="14"/>
      <c r="I3249" s="14"/>
      <c r="J3249" s="14"/>
      <c r="K3249" s="14"/>
      <c r="L3249" s="14"/>
      <c r="M3249" s="14"/>
      <c r="N3249" s="14"/>
      <c r="O3249" s="4"/>
      <c r="P3249" s="14"/>
      <c r="Q3249" s="14"/>
    </row>
    <row r="3250" spans="1:17" x14ac:dyDescent="0.25">
      <c r="A3250" s="5"/>
      <c r="B3250" s="6"/>
      <c r="C3250" s="4"/>
      <c r="D3250" s="4"/>
      <c r="E3250" s="12"/>
      <c r="F3250" s="12"/>
      <c r="G3250" s="16"/>
      <c r="H3250" s="14"/>
      <c r="I3250" s="14"/>
      <c r="J3250" s="14"/>
      <c r="K3250" s="14"/>
      <c r="L3250" s="14"/>
      <c r="M3250" s="14"/>
      <c r="N3250" s="14"/>
      <c r="O3250" s="4"/>
      <c r="P3250" s="14"/>
      <c r="Q3250" s="14"/>
    </row>
    <row r="3251" spans="1:17" x14ac:dyDescent="0.25">
      <c r="A3251" s="5"/>
      <c r="B3251" s="6"/>
      <c r="C3251" s="4"/>
      <c r="D3251" s="4"/>
      <c r="E3251" s="12"/>
      <c r="F3251" s="12"/>
      <c r="G3251" s="16"/>
      <c r="H3251" s="14"/>
      <c r="I3251" s="14"/>
      <c r="J3251" s="14"/>
      <c r="K3251" s="14"/>
      <c r="L3251" s="14"/>
      <c r="M3251" s="14"/>
      <c r="N3251" s="14"/>
      <c r="O3251" s="4"/>
      <c r="P3251" s="14"/>
      <c r="Q3251" s="14"/>
    </row>
    <row r="3252" spans="1:17" x14ac:dyDescent="0.25">
      <c r="A3252" s="5"/>
      <c r="B3252" s="6"/>
      <c r="C3252" s="4"/>
      <c r="D3252" s="4"/>
      <c r="E3252" s="12"/>
      <c r="F3252" s="12"/>
      <c r="G3252" s="16"/>
      <c r="H3252" s="14"/>
      <c r="I3252" s="14"/>
      <c r="J3252" s="14"/>
      <c r="K3252" s="14"/>
      <c r="L3252" s="14"/>
      <c r="M3252" s="14"/>
      <c r="N3252" s="14"/>
      <c r="O3252" s="4"/>
      <c r="P3252" s="14"/>
      <c r="Q3252" s="14"/>
    </row>
    <row r="3253" spans="1:17" x14ac:dyDescent="0.25">
      <c r="A3253" s="5"/>
      <c r="B3253" s="6"/>
      <c r="C3253" s="4"/>
      <c r="D3253" s="4"/>
      <c r="E3253" s="12"/>
      <c r="F3253" s="12"/>
      <c r="G3253" s="16"/>
      <c r="H3253" s="14"/>
      <c r="I3253" s="14"/>
      <c r="J3253" s="14"/>
      <c r="K3253" s="14"/>
      <c r="L3253" s="14"/>
      <c r="M3253" s="14"/>
      <c r="N3253" s="14"/>
      <c r="O3253" s="4"/>
      <c r="P3253" s="14"/>
      <c r="Q3253" s="14"/>
    </row>
    <row r="3254" spans="1:17" x14ac:dyDescent="0.25">
      <c r="A3254" s="5"/>
      <c r="B3254" s="6"/>
      <c r="C3254" s="4"/>
      <c r="D3254" s="4"/>
      <c r="E3254" s="12"/>
      <c r="F3254" s="12"/>
      <c r="G3254" s="16"/>
      <c r="H3254" s="14"/>
      <c r="I3254" s="14"/>
      <c r="J3254" s="14"/>
      <c r="K3254" s="14"/>
      <c r="L3254" s="14"/>
      <c r="M3254" s="14"/>
      <c r="N3254" s="14"/>
      <c r="O3254" s="4"/>
      <c r="P3254" s="14"/>
      <c r="Q3254" s="14"/>
    </row>
    <row r="3255" spans="1:17" x14ac:dyDescent="0.25">
      <c r="A3255" s="5"/>
      <c r="B3255" s="6"/>
      <c r="C3255" s="4"/>
      <c r="D3255" s="4"/>
      <c r="E3255" s="12"/>
      <c r="F3255" s="12"/>
      <c r="G3255" s="16"/>
      <c r="H3255" s="14"/>
      <c r="I3255" s="14"/>
      <c r="J3255" s="14"/>
      <c r="K3255" s="14"/>
      <c r="L3255" s="14"/>
      <c r="M3255" s="14"/>
      <c r="N3255" s="14"/>
      <c r="O3255" s="4"/>
      <c r="P3255" s="14"/>
      <c r="Q3255" s="14"/>
    </row>
    <row r="3256" spans="1:17" x14ac:dyDescent="0.25">
      <c r="A3256" s="5"/>
      <c r="B3256" s="6"/>
      <c r="C3256" s="4"/>
      <c r="D3256" s="4"/>
      <c r="E3256" s="12"/>
      <c r="F3256" s="12"/>
      <c r="G3256" s="16"/>
      <c r="H3256" s="14"/>
      <c r="I3256" s="14"/>
      <c r="J3256" s="14"/>
      <c r="K3256" s="14"/>
      <c r="L3256" s="14"/>
      <c r="M3256" s="14"/>
      <c r="N3256" s="14"/>
      <c r="O3256" s="4"/>
      <c r="P3256" s="14"/>
      <c r="Q3256" s="14"/>
    </row>
    <row r="3257" spans="1:17" x14ac:dyDescent="0.25">
      <c r="A3257" s="5"/>
      <c r="B3257" s="6"/>
      <c r="C3257" s="4"/>
      <c r="D3257" s="4"/>
      <c r="E3257" s="12"/>
      <c r="F3257" s="12"/>
      <c r="G3257" s="16"/>
      <c r="H3257" s="14"/>
      <c r="I3257" s="14"/>
      <c r="J3257" s="14"/>
      <c r="K3257" s="14"/>
      <c r="L3257" s="14"/>
      <c r="M3257" s="14"/>
      <c r="N3257" s="14"/>
      <c r="O3257" s="4"/>
      <c r="P3257" s="14"/>
      <c r="Q3257" s="14"/>
    </row>
    <row r="3258" spans="1:17" x14ac:dyDescent="0.25">
      <c r="A3258" s="5"/>
      <c r="B3258" s="6"/>
      <c r="C3258" s="4"/>
      <c r="D3258" s="4"/>
      <c r="E3258" s="12"/>
      <c r="F3258" s="12"/>
      <c r="G3258" s="16"/>
      <c r="H3258" s="14"/>
      <c r="I3258" s="14"/>
      <c r="J3258" s="14"/>
      <c r="K3258" s="14"/>
      <c r="L3258" s="14"/>
      <c r="M3258" s="14"/>
      <c r="N3258" s="14"/>
      <c r="O3258" s="4"/>
      <c r="P3258" s="14"/>
      <c r="Q3258" s="14"/>
    </row>
    <row r="3259" spans="1:17" x14ac:dyDescent="0.25">
      <c r="A3259" s="5"/>
      <c r="B3259" s="6"/>
      <c r="C3259" s="4"/>
      <c r="D3259" s="4"/>
      <c r="E3259" s="12"/>
      <c r="F3259" s="12"/>
      <c r="G3259" s="16"/>
      <c r="H3259" s="14"/>
      <c r="I3259" s="14"/>
      <c r="J3259" s="14"/>
      <c r="K3259" s="14"/>
      <c r="L3259" s="14"/>
      <c r="M3259" s="14"/>
      <c r="N3259" s="14"/>
      <c r="O3259" s="4"/>
      <c r="P3259" s="14"/>
      <c r="Q3259" s="14"/>
    </row>
    <row r="3260" spans="1:17" x14ac:dyDescent="0.25">
      <c r="A3260" s="5"/>
      <c r="B3260" s="6"/>
      <c r="C3260" s="4"/>
      <c r="D3260" s="4"/>
      <c r="E3260" s="12"/>
      <c r="F3260" s="12"/>
      <c r="G3260" s="16"/>
      <c r="H3260" s="14"/>
      <c r="I3260" s="14"/>
      <c r="J3260" s="14"/>
      <c r="K3260" s="14"/>
      <c r="L3260" s="14"/>
      <c r="M3260" s="14"/>
      <c r="N3260" s="14"/>
      <c r="O3260" s="4"/>
      <c r="P3260" s="14"/>
      <c r="Q3260" s="14"/>
    </row>
    <row r="3261" spans="1:17" x14ac:dyDescent="0.25">
      <c r="A3261" s="5"/>
      <c r="B3261" s="6"/>
      <c r="C3261" s="4"/>
      <c r="D3261" s="4"/>
      <c r="E3261" s="12"/>
      <c r="F3261" s="12"/>
      <c r="G3261" s="16"/>
      <c r="H3261" s="14"/>
      <c r="I3261" s="14"/>
      <c r="J3261" s="14"/>
      <c r="K3261" s="14"/>
      <c r="L3261" s="14"/>
      <c r="M3261" s="14"/>
      <c r="N3261" s="14"/>
      <c r="O3261" s="4"/>
      <c r="P3261" s="14"/>
      <c r="Q3261" s="14"/>
    </row>
    <row r="3262" spans="1:17" x14ac:dyDescent="0.25">
      <c r="A3262" s="5"/>
      <c r="B3262" s="6"/>
      <c r="C3262" s="4"/>
      <c r="D3262" s="4"/>
      <c r="E3262" s="12"/>
      <c r="F3262" s="12"/>
      <c r="G3262" s="16"/>
      <c r="H3262" s="14"/>
      <c r="I3262" s="14"/>
      <c r="J3262" s="14"/>
      <c r="K3262" s="14"/>
      <c r="L3262" s="14"/>
      <c r="M3262" s="14"/>
      <c r="N3262" s="14"/>
      <c r="O3262" s="4"/>
      <c r="P3262" s="14"/>
      <c r="Q3262" s="14"/>
    </row>
    <row r="3263" spans="1:17" x14ac:dyDescent="0.25">
      <c r="A3263" s="5"/>
      <c r="B3263" s="6"/>
      <c r="C3263" s="4"/>
      <c r="D3263" s="4"/>
      <c r="E3263" s="12"/>
      <c r="F3263" s="12"/>
      <c r="G3263" s="16"/>
      <c r="H3263" s="14"/>
      <c r="I3263" s="14"/>
      <c r="J3263" s="14"/>
      <c r="K3263" s="14"/>
      <c r="L3263" s="14"/>
      <c r="M3263" s="14"/>
      <c r="N3263" s="14"/>
      <c r="O3263" s="4"/>
      <c r="P3263" s="14"/>
      <c r="Q3263" s="14"/>
    </row>
    <row r="3264" spans="1:17" x14ac:dyDescent="0.25">
      <c r="A3264" s="5"/>
      <c r="B3264" s="6"/>
      <c r="C3264" s="4"/>
      <c r="D3264" s="4"/>
      <c r="E3264" s="12"/>
      <c r="F3264" s="12"/>
      <c r="G3264" s="16"/>
      <c r="H3264" s="14"/>
      <c r="I3264" s="14"/>
      <c r="J3264" s="14"/>
      <c r="K3264" s="14"/>
      <c r="L3264" s="14"/>
      <c r="M3264" s="14"/>
      <c r="N3264" s="14"/>
      <c r="O3264" s="4"/>
      <c r="P3264" s="14"/>
      <c r="Q3264" s="14"/>
    </row>
    <row r="3265" spans="1:17" x14ac:dyDescent="0.25">
      <c r="A3265" s="5"/>
      <c r="B3265" s="6"/>
      <c r="C3265" s="4"/>
      <c r="D3265" s="4"/>
      <c r="E3265" s="12"/>
      <c r="F3265" s="12"/>
      <c r="G3265" s="16"/>
      <c r="H3265" s="14"/>
      <c r="I3265" s="14"/>
      <c r="J3265" s="14"/>
      <c r="K3265" s="14"/>
      <c r="L3265" s="14"/>
      <c r="M3265" s="14"/>
      <c r="N3265" s="14"/>
      <c r="O3265" s="4"/>
      <c r="P3265" s="14"/>
      <c r="Q3265" s="14"/>
    </row>
    <row r="3266" spans="1:17" x14ac:dyDescent="0.25">
      <c r="A3266" s="5"/>
      <c r="B3266" s="6"/>
      <c r="C3266" s="4"/>
      <c r="D3266" s="4"/>
      <c r="E3266" s="12"/>
      <c r="F3266" s="12"/>
      <c r="G3266" s="16"/>
      <c r="H3266" s="14"/>
      <c r="I3266" s="14"/>
      <c r="J3266" s="14"/>
      <c r="K3266" s="14"/>
      <c r="L3266" s="14"/>
      <c r="M3266" s="14"/>
      <c r="N3266" s="14"/>
      <c r="O3266" s="4"/>
      <c r="P3266" s="14"/>
      <c r="Q3266" s="14"/>
    </row>
    <row r="3267" spans="1:17" x14ac:dyDescent="0.25">
      <c r="A3267" s="5"/>
      <c r="B3267" s="6"/>
      <c r="C3267" s="4"/>
      <c r="D3267" s="4"/>
      <c r="E3267" s="12"/>
      <c r="F3267" s="12"/>
      <c r="G3267" s="16"/>
      <c r="H3267" s="14"/>
      <c r="I3267" s="14"/>
      <c r="J3267" s="14"/>
      <c r="K3267" s="14"/>
      <c r="L3267" s="14"/>
      <c r="M3267" s="14"/>
      <c r="N3267" s="14"/>
      <c r="O3267" s="4"/>
      <c r="P3267" s="14"/>
      <c r="Q3267" s="14"/>
    </row>
    <row r="3268" spans="1:17" x14ac:dyDescent="0.25">
      <c r="A3268" s="5"/>
      <c r="B3268" s="6"/>
      <c r="C3268" s="4"/>
      <c r="D3268" s="4"/>
      <c r="E3268" s="12"/>
      <c r="F3268" s="12"/>
      <c r="G3268" s="16"/>
      <c r="H3268" s="14"/>
      <c r="I3268" s="14"/>
      <c r="J3268" s="14"/>
      <c r="K3268" s="14"/>
      <c r="L3268" s="14"/>
      <c r="M3268" s="14"/>
      <c r="N3268" s="14"/>
      <c r="O3268" s="4"/>
      <c r="P3268" s="14"/>
      <c r="Q3268" s="14"/>
    </row>
    <row r="3269" spans="1:17" x14ac:dyDescent="0.25">
      <c r="A3269" s="5"/>
      <c r="B3269" s="6"/>
      <c r="C3269" s="4"/>
      <c r="D3269" s="4"/>
      <c r="E3269" s="12"/>
      <c r="F3269" s="12"/>
      <c r="G3269" s="16"/>
      <c r="H3269" s="14"/>
      <c r="I3269" s="14"/>
      <c r="J3269" s="14"/>
      <c r="K3269" s="14"/>
      <c r="L3269" s="14"/>
      <c r="M3269" s="14"/>
      <c r="N3269" s="14"/>
      <c r="O3269" s="4"/>
      <c r="P3269" s="14"/>
      <c r="Q3269" s="14"/>
    </row>
    <row r="3270" spans="1:17" x14ac:dyDescent="0.25">
      <c r="A3270" s="5"/>
      <c r="B3270" s="6"/>
      <c r="C3270" s="4"/>
      <c r="D3270" s="4"/>
      <c r="E3270" s="12"/>
      <c r="F3270" s="12"/>
      <c r="G3270" s="16"/>
      <c r="H3270" s="14"/>
      <c r="I3270" s="14"/>
      <c r="J3270" s="14"/>
      <c r="K3270" s="14"/>
      <c r="L3270" s="14"/>
      <c r="M3270" s="14"/>
      <c r="N3270" s="14"/>
      <c r="O3270" s="4"/>
      <c r="P3270" s="14"/>
      <c r="Q3270" s="14"/>
    </row>
    <row r="3271" spans="1:17" x14ac:dyDescent="0.25">
      <c r="A3271" s="5"/>
      <c r="B3271" s="6"/>
      <c r="C3271" s="4"/>
      <c r="D3271" s="4"/>
      <c r="E3271" s="12"/>
      <c r="F3271" s="12"/>
      <c r="G3271" s="16"/>
      <c r="H3271" s="14"/>
      <c r="I3271" s="14"/>
      <c r="J3271" s="14"/>
      <c r="K3271" s="14"/>
      <c r="L3271" s="14"/>
      <c r="M3271" s="14"/>
      <c r="N3271" s="14"/>
      <c r="O3271" s="4"/>
      <c r="P3271" s="14"/>
      <c r="Q3271" s="14"/>
    </row>
    <row r="3272" spans="1:17" x14ac:dyDescent="0.25">
      <c r="A3272" s="5"/>
      <c r="B3272" s="6"/>
      <c r="C3272" s="4"/>
      <c r="D3272" s="4"/>
      <c r="E3272" s="12"/>
      <c r="F3272" s="12"/>
      <c r="G3272" s="16"/>
      <c r="H3272" s="14"/>
      <c r="I3272" s="14"/>
      <c r="J3272" s="14"/>
      <c r="K3272" s="14"/>
      <c r="L3272" s="14"/>
      <c r="M3272" s="14"/>
      <c r="N3272" s="14"/>
      <c r="O3272" s="4"/>
      <c r="P3272" s="14"/>
      <c r="Q3272" s="14"/>
    </row>
    <row r="3273" spans="1:17" x14ac:dyDescent="0.25">
      <c r="A3273" s="5"/>
      <c r="B3273" s="6"/>
      <c r="C3273" s="4"/>
      <c r="D3273" s="4"/>
      <c r="E3273" s="12"/>
      <c r="F3273" s="12"/>
      <c r="G3273" s="16"/>
      <c r="H3273" s="14"/>
      <c r="I3273" s="14"/>
      <c r="J3273" s="14"/>
      <c r="K3273" s="14"/>
      <c r="L3273" s="14"/>
      <c r="M3273" s="14"/>
      <c r="N3273" s="14"/>
      <c r="O3273" s="4"/>
      <c r="P3273" s="14"/>
      <c r="Q3273" s="14"/>
    </row>
    <row r="3274" spans="1:17" x14ac:dyDescent="0.25">
      <c r="A3274" s="5"/>
      <c r="B3274" s="6"/>
      <c r="C3274" s="4"/>
      <c r="D3274" s="4"/>
      <c r="E3274" s="12"/>
      <c r="F3274" s="12"/>
      <c r="G3274" s="16"/>
      <c r="H3274" s="14"/>
      <c r="I3274" s="14"/>
      <c r="J3274" s="14"/>
      <c r="K3274" s="14"/>
      <c r="L3274" s="14"/>
      <c r="M3274" s="14"/>
      <c r="N3274" s="14"/>
      <c r="O3274" s="4"/>
      <c r="P3274" s="14"/>
      <c r="Q3274" s="14"/>
    </row>
    <row r="3275" spans="1:17" x14ac:dyDescent="0.25">
      <c r="A3275" s="5"/>
      <c r="B3275" s="6"/>
      <c r="C3275" s="4"/>
      <c r="D3275" s="4"/>
      <c r="E3275" s="12"/>
      <c r="F3275" s="12"/>
      <c r="G3275" s="16"/>
      <c r="H3275" s="14"/>
      <c r="I3275" s="14"/>
      <c r="J3275" s="14"/>
      <c r="K3275" s="14"/>
      <c r="L3275" s="14"/>
      <c r="M3275" s="14"/>
      <c r="N3275" s="14"/>
      <c r="O3275" s="4"/>
      <c r="P3275" s="14"/>
      <c r="Q3275" s="14"/>
    </row>
    <row r="3276" spans="1:17" x14ac:dyDescent="0.25">
      <c r="A3276" s="5"/>
      <c r="B3276" s="6"/>
      <c r="C3276" s="4"/>
      <c r="D3276" s="4"/>
      <c r="E3276" s="12"/>
      <c r="F3276" s="12"/>
      <c r="G3276" s="16"/>
      <c r="H3276" s="14"/>
      <c r="I3276" s="14"/>
      <c r="J3276" s="14"/>
      <c r="K3276" s="14"/>
      <c r="L3276" s="14"/>
      <c r="M3276" s="14"/>
      <c r="N3276" s="14"/>
      <c r="O3276" s="4"/>
      <c r="P3276" s="14"/>
      <c r="Q3276" s="14"/>
    </row>
    <row r="3277" spans="1:17" x14ac:dyDescent="0.25">
      <c r="A3277" s="5"/>
      <c r="B3277" s="6"/>
      <c r="C3277" s="4"/>
      <c r="D3277" s="4"/>
      <c r="E3277" s="12"/>
      <c r="F3277" s="12"/>
      <c r="G3277" s="16"/>
      <c r="H3277" s="14"/>
      <c r="I3277" s="14"/>
      <c r="J3277" s="14"/>
      <c r="K3277" s="14"/>
      <c r="L3277" s="14"/>
      <c r="M3277" s="14"/>
      <c r="N3277" s="14"/>
      <c r="O3277" s="4"/>
      <c r="P3277" s="14"/>
      <c r="Q3277" s="14"/>
    </row>
    <row r="3278" spans="1:17" x14ac:dyDescent="0.25">
      <c r="A3278" s="5"/>
      <c r="B3278" s="6"/>
      <c r="C3278" s="4"/>
      <c r="D3278" s="4"/>
      <c r="E3278" s="12"/>
      <c r="F3278" s="12"/>
      <c r="G3278" s="16"/>
      <c r="H3278" s="14"/>
      <c r="I3278" s="14"/>
      <c r="J3278" s="14"/>
      <c r="K3278" s="14"/>
      <c r="L3278" s="14"/>
      <c r="M3278" s="14"/>
      <c r="N3278" s="14"/>
      <c r="O3278" s="4"/>
      <c r="P3278" s="14"/>
      <c r="Q3278" s="14"/>
    </row>
    <row r="3279" spans="1:17" x14ac:dyDescent="0.25">
      <c r="A3279" s="5"/>
      <c r="B3279" s="6"/>
      <c r="C3279" s="4"/>
      <c r="D3279" s="4"/>
      <c r="E3279" s="12"/>
      <c r="F3279" s="12"/>
      <c r="G3279" s="16"/>
      <c r="H3279" s="14"/>
      <c r="I3279" s="14"/>
      <c r="J3279" s="14"/>
      <c r="K3279" s="14"/>
      <c r="L3279" s="14"/>
      <c r="M3279" s="14"/>
      <c r="N3279" s="14"/>
      <c r="O3279" s="4"/>
      <c r="P3279" s="14"/>
      <c r="Q3279" s="14"/>
    </row>
    <row r="3280" spans="1:17" x14ac:dyDescent="0.25">
      <c r="A3280" s="5"/>
      <c r="B3280" s="6"/>
      <c r="C3280" s="4"/>
      <c r="D3280" s="4"/>
      <c r="E3280" s="12"/>
      <c r="F3280" s="12"/>
      <c r="G3280" s="16"/>
      <c r="H3280" s="14"/>
      <c r="I3280" s="14"/>
      <c r="J3280" s="14"/>
      <c r="K3280" s="14"/>
      <c r="L3280" s="14"/>
      <c r="M3280" s="14"/>
      <c r="N3280" s="14"/>
      <c r="O3280" s="4"/>
      <c r="P3280" s="14"/>
      <c r="Q3280" s="14"/>
    </row>
    <row r="3281" spans="1:17" x14ac:dyDescent="0.25">
      <c r="A3281" s="5"/>
      <c r="B3281" s="6"/>
      <c r="C3281" s="4"/>
      <c r="D3281" s="4"/>
      <c r="E3281" s="12"/>
      <c r="F3281" s="12"/>
      <c r="G3281" s="16"/>
      <c r="H3281" s="14"/>
      <c r="I3281" s="14"/>
      <c r="J3281" s="14"/>
      <c r="K3281" s="14"/>
      <c r="L3281" s="14"/>
      <c r="M3281" s="14"/>
      <c r="N3281" s="14"/>
      <c r="O3281" s="4"/>
      <c r="P3281" s="14"/>
      <c r="Q3281" s="14"/>
    </row>
    <row r="3282" spans="1:17" x14ac:dyDescent="0.25">
      <c r="A3282" s="5"/>
      <c r="B3282" s="6"/>
      <c r="C3282" s="4"/>
      <c r="D3282" s="4"/>
      <c r="E3282" s="12"/>
      <c r="F3282" s="12"/>
      <c r="G3282" s="16"/>
      <c r="H3282" s="14"/>
      <c r="I3282" s="14"/>
      <c r="J3282" s="14"/>
      <c r="K3282" s="14"/>
      <c r="L3282" s="14"/>
      <c r="M3282" s="14"/>
      <c r="N3282" s="14"/>
      <c r="O3282" s="4"/>
      <c r="P3282" s="14"/>
      <c r="Q3282" s="14"/>
    </row>
    <row r="3283" spans="1:17" x14ac:dyDescent="0.25">
      <c r="A3283" s="5"/>
      <c r="B3283" s="6"/>
      <c r="C3283" s="4"/>
      <c r="D3283" s="4"/>
      <c r="E3283" s="12"/>
      <c r="F3283" s="12"/>
      <c r="G3283" s="16"/>
      <c r="H3283" s="14"/>
      <c r="I3283" s="14"/>
      <c r="J3283" s="14"/>
      <c r="K3283" s="14"/>
      <c r="L3283" s="14"/>
      <c r="M3283" s="14"/>
      <c r="N3283" s="14"/>
      <c r="O3283" s="4"/>
      <c r="P3283" s="14"/>
      <c r="Q3283" s="14"/>
    </row>
    <row r="3284" spans="1:17" x14ac:dyDescent="0.25">
      <c r="A3284" s="5"/>
      <c r="B3284" s="6"/>
      <c r="C3284" s="4"/>
      <c r="D3284" s="4"/>
      <c r="E3284" s="12"/>
      <c r="F3284" s="12"/>
      <c r="G3284" s="16"/>
      <c r="H3284" s="14"/>
      <c r="I3284" s="14"/>
      <c r="J3284" s="14"/>
      <c r="K3284" s="14"/>
      <c r="L3284" s="14"/>
      <c r="M3284" s="14"/>
      <c r="N3284" s="14"/>
      <c r="O3284" s="4"/>
      <c r="P3284" s="14"/>
      <c r="Q3284" s="14"/>
    </row>
    <row r="3285" spans="1:17" x14ac:dyDescent="0.25">
      <c r="A3285" s="5"/>
      <c r="B3285" s="6"/>
      <c r="C3285" s="4"/>
      <c r="D3285" s="4"/>
      <c r="E3285" s="12"/>
      <c r="F3285" s="12"/>
      <c r="G3285" s="16"/>
      <c r="H3285" s="14"/>
      <c r="I3285" s="14"/>
      <c r="J3285" s="14"/>
      <c r="K3285" s="14"/>
      <c r="L3285" s="14"/>
      <c r="M3285" s="14"/>
      <c r="N3285" s="14"/>
      <c r="O3285" s="4"/>
      <c r="P3285" s="14"/>
      <c r="Q3285" s="14"/>
    </row>
    <row r="3286" spans="1:17" x14ac:dyDescent="0.25">
      <c r="A3286" s="5"/>
      <c r="B3286" s="6"/>
      <c r="C3286" s="4"/>
      <c r="D3286" s="4"/>
      <c r="E3286" s="12"/>
      <c r="F3286" s="12"/>
      <c r="G3286" s="16"/>
      <c r="H3286" s="14"/>
      <c r="I3286" s="14"/>
      <c r="J3286" s="14"/>
      <c r="K3286" s="14"/>
      <c r="L3286" s="14"/>
      <c r="M3286" s="14"/>
      <c r="N3286" s="14"/>
      <c r="O3286" s="4"/>
      <c r="P3286" s="14"/>
      <c r="Q3286" s="14"/>
    </row>
    <row r="3287" spans="1:17" x14ac:dyDescent="0.25">
      <c r="A3287" s="5"/>
      <c r="B3287" s="6"/>
      <c r="C3287" s="4"/>
      <c r="D3287" s="4"/>
      <c r="E3287" s="12"/>
      <c r="F3287" s="12"/>
      <c r="G3287" s="16"/>
      <c r="H3287" s="14"/>
      <c r="I3287" s="14"/>
      <c r="J3287" s="14"/>
      <c r="K3287" s="14"/>
      <c r="L3287" s="14"/>
      <c r="M3287" s="14"/>
      <c r="N3287" s="14"/>
      <c r="O3287" s="4"/>
      <c r="P3287" s="14"/>
      <c r="Q3287" s="14"/>
    </row>
    <row r="3288" spans="1:17" x14ac:dyDescent="0.25">
      <c r="A3288" s="5"/>
      <c r="B3288" s="6"/>
      <c r="C3288" s="4"/>
      <c r="D3288" s="4"/>
      <c r="E3288" s="12"/>
      <c r="F3288" s="12"/>
      <c r="G3288" s="16"/>
      <c r="H3288" s="14"/>
      <c r="I3288" s="14"/>
      <c r="J3288" s="14"/>
      <c r="K3288" s="14"/>
      <c r="L3288" s="14"/>
      <c r="M3288" s="14"/>
      <c r="N3288" s="14"/>
      <c r="O3288" s="4"/>
      <c r="P3288" s="14"/>
      <c r="Q3288" s="14"/>
    </row>
    <row r="3289" spans="1:17" x14ac:dyDescent="0.25">
      <c r="A3289" s="5"/>
      <c r="B3289" s="6"/>
      <c r="C3289" s="4"/>
      <c r="D3289" s="4"/>
      <c r="E3289" s="12"/>
      <c r="F3289" s="12"/>
      <c r="G3289" s="16"/>
      <c r="H3289" s="14"/>
      <c r="I3289" s="14"/>
      <c r="J3289" s="14"/>
      <c r="K3289" s="14"/>
      <c r="L3289" s="14"/>
      <c r="M3289" s="14"/>
      <c r="N3289" s="14"/>
      <c r="O3289" s="4"/>
      <c r="P3289" s="14"/>
      <c r="Q3289" s="14"/>
    </row>
    <row r="3290" spans="1:17" x14ac:dyDescent="0.25">
      <c r="A3290" s="5"/>
      <c r="B3290" s="6"/>
      <c r="C3290" s="4"/>
      <c r="D3290" s="4"/>
      <c r="E3290" s="12"/>
      <c r="F3290" s="12"/>
      <c r="G3290" s="16"/>
      <c r="H3290" s="14"/>
      <c r="I3290" s="14"/>
      <c r="J3290" s="14"/>
      <c r="K3290" s="14"/>
      <c r="L3290" s="14"/>
      <c r="M3290" s="14"/>
      <c r="N3290" s="14"/>
      <c r="O3290" s="4"/>
      <c r="P3290" s="14"/>
      <c r="Q3290" s="14"/>
    </row>
    <row r="3291" spans="1:17" x14ac:dyDescent="0.25">
      <c r="A3291" s="5"/>
      <c r="B3291" s="6"/>
      <c r="C3291" s="4"/>
      <c r="D3291" s="4"/>
      <c r="E3291" s="12"/>
      <c r="F3291" s="12"/>
      <c r="G3291" s="16"/>
      <c r="H3291" s="14"/>
      <c r="I3291" s="14"/>
      <c r="J3291" s="14"/>
      <c r="K3291" s="14"/>
      <c r="L3291" s="14"/>
      <c r="M3291" s="14"/>
      <c r="N3291" s="14"/>
      <c r="O3291" s="4"/>
      <c r="P3291" s="14"/>
      <c r="Q3291" s="14"/>
    </row>
    <row r="3292" spans="1:17" x14ac:dyDescent="0.25">
      <c r="A3292" s="5"/>
      <c r="B3292" s="6"/>
      <c r="C3292" s="4"/>
      <c r="D3292" s="4"/>
      <c r="E3292" s="12"/>
      <c r="F3292" s="12"/>
      <c r="G3292" s="16"/>
      <c r="H3292" s="14"/>
      <c r="I3292" s="14"/>
      <c r="J3292" s="14"/>
      <c r="K3292" s="14"/>
      <c r="L3292" s="14"/>
      <c r="M3292" s="14"/>
      <c r="N3292" s="14"/>
      <c r="O3292" s="4"/>
      <c r="P3292" s="14"/>
      <c r="Q3292" s="14"/>
    </row>
    <row r="3293" spans="1:17" x14ac:dyDescent="0.25">
      <c r="A3293" s="5"/>
      <c r="B3293" s="6"/>
      <c r="C3293" s="4"/>
      <c r="D3293" s="4"/>
      <c r="E3293" s="12"/>
      <c r="F3293" s="12"/>
      <c r="G3293" s="16"/>
      <c r="H3293" s="14"/>
      <c r="I3293" s="14"/>
      <c r="J3293" s="14"/>
      <c r="K3293" s="14"/>
      <c r="L3293" s="14"/>
      <c r="M3293" s="14"/>
      <c r="N3293" s="14"/>
      <c r="O3293" s="4"/>
      <c r="P3293" s="14"/>
      <c r="Q3293" s="14"/>
    </row>
    <row r="3294" spans="1:17" x14ac:dyDescent="0.25">
      <c r="A3294" s="5"/>
      <c r="B3294" s="6"/>
      <c r="C3294" s="4"/>
      <c r="D3294" s="4"/>
      <c r="E3294" s="12"/>
      <c r="F3294" s="12"/>
      <c r="G3294" s="16"/>
      <c r="H3294" s="14"/>
      <c r="I3294" s="14"/>
      <c r="J3294" s="14"/>
      <c r="K3294" s="14"/>
      <c r="L3294" s="14"/>
      <c r="M3294" s="14"/>
      <c r="N3294" s="14"/>
      <c r="O3294" s="4"/>
      <c r="P3294" s="14"/>
      <c r="Q3294" s="14"/>
    </row>
    <row r="3295" spans="1:17" x14ac:dyDescent="0.25">
      <c r="A3295" s="5"/>
      <c r="B3295" s="6"/>
      <c r="C3295" s="4"/>
      <c r="D3295" s="4"/>
      <c r="E3295" s="12"/>
      <c r="F3295" s="12"/>
      <c r="G3295" s="16"/>
      <c r="H3295" s="14"/>
      <c r="I3295" s="14"/>
      <c r="J3295" s="14"/>
      <c r="K3295" s="14"/>
      <c r="L3295" s="14"/>
      <c r="M3295" s="14"/>
      <c r="N3295" s="14"/>
      <c r="O3295" s="4"/>
      <c r="P3295" s="14"/>
      <c r="Q3295" s="14"/>
    </row>
    <row r="3296" spans="1:17" x14ac:dyDescent="0.25">
      <c r="A3296" s="5"/>
      <c r="B3296" s="6"/>
      <c r="C3296" s="4"/>
      <c r="D3296" s="4"/>
      <c r="E3296" s="12"/>
      <c r="F3296" s="12"/>
      <c r="G3296" s="16"/>
      <c r="H3296" s="14"/>
      <c r="I3296" s="14"/>
      <c r="J3296" s="14"/>
      <c r="K3296" s="14"/>
      <c r="L3296" s="14"/>
      <c r="M3296" s="14"/>
      <c r="N3296" s="14"/>
      <c r="O3296" s="4"/>
      <c r="P3296" s="14"/>
      <c r="Q3296" s="14"/>
    </row>
    <row r="3297" spans="1:17" x14ac:dyDescent="0.25">
      <c r="A3297" s="5"/>
      <c r="B3297" s="6"/>
      <c r="C3297" s="4"/>
      <c r="D3297" s="4"/>
      <c r="E3297" s="12"/>
      <c r="F3297" s="12"/>
      <c r="G3297" s="16"/>
      <c r="H3297" s="14"/>
      <c r="I3297" s="14"/>
      <c r="J3297" s="14"/>
      <c r="K3297" s="14"/>
      <c r="L3297" s="14"/>
      <c r="M3297" s="14"/>
      <c r="N3297" s="14"/>
      <c r="O3297" s="4"/>
      <c r="P3297" s="14"/>
      <c r="Q3297" s="14"/>
    </row>
    <row r="3298" spans="1:17" x14ac:dyDescent="0.25">
      <c r="A3298" s="5"/>
      <c r="B3298" s="6"/>
      <c r="C3298" s="4"/>
      <c r="D3298" s="4"/>
      <c r="E3298" s="12"/>
      <c r="F3298" s="12"/>
      <c r="G3298" s="16"/>
      <c r="H3298" s="14"/>
      <c r="I3298" s="14"/>
      <c r="J3298" s="14"/>
      <c r="K3298" s="14"/>
      <c r="L3298" s="14"/>
      <c r="M3298" s="14"/>
      <c r="N3298" s="14"/>
      <c r="O3298" s="4"/>
      <c r="P3298" s="14"/>
      <c r="Q3298" s="14"/>
    </row>
    <row r="3299" spans="1:17" x14ac:dyDescent="0.25">
      <c r="A3299" s="5"/>
      <c r="B3299" s="6"/>
      <c r="C3299" s="4"/>
      <c r="D3299" s="4"/>
      <c r="E3299" s="12"/>
      <c r="F3299" s="12"/>
      <c r="G3299" s="16"/>
      <c r="H3299" s="14"/>
      <c r="I3299" s="14"/>
      <c r="J3299" s="14"/>
      <c r="K3299" s="14"/>
      <c r="L3299" s="14"/>
      <c r="M3299" s="14"/>
      <c r="N3299" s="14"/>
      <c r="O3299" s="4"/>
      <c r="P3299" s="14"/>
      <c r="Q3299" s="14"/>
    </row>
    <row r="3300" spans="1:17" x14ac:dyDescent="0.25">
      <c r="A3300" s="5"/>
      <c r="B3300" s="6"/>
      <c r="C3300" s="4"/>
      <c r="D3300" s="4"/>
      <c r="E3300" s="12"/>
      <c r="F3300" s="12"/>
      <c r="G3300" s="16"/>
      <c r="H3300" s="14"/>
      <c r="I3300" s="14"/>
      <c r="J3300" s="14"/>
      <c r="K3300" s="14"/>
      <c r="L3300" s="14"/>
      <c r="M3300" s="14"/>
      <c r="N3300" s="14"/>
      <c r="O3300" s="4"/>
      <c r="P3300" s="14"/>
      <c r="Q3300" s="14"/>
    </row>
    <row r="3301" spans="1:17" x14ac:dyDescent="0.25">
      <c r="A3301" s="5"/>
      <c r="B3301" s="6"/>
      <c r="C3301" s="4"/>
      <c r="D3301" s="4"/>
      <c r="E3301" s="12"/>
      <c r="F3301" s="12"/>
      <c r="G3301" s="16"/>
      <c r="H3301" s="14"/>
      <c r="I3301" s="14"/>
      <c r="J3301" s="14"/>
      <c r="K3301" s="14"/>
      <c r="L3301" s="14"/>
      <c r="M3301" s="14"/>
      <c r="N3301" s="14"/>
      <c r="O3301" s="4"/>
      <c r="P3301" s="14"/>
      <c r="Q3301" s="14"/>
    </row>
    <row r="3302" spans="1:17" x14ac:dyDescent="0.25">
      <c r="A3302" s="5"/>
      <c r="B3302" s="6"/>
      <c r="C3302" s="4"/>
      <c r="D3302" s="4"/>
      <c r="E3302" s="12"/>
      <c r="F3302" s="12"/>
      <c r="G3302" s="16"/>
      <c r="H3302" s="14"/>
      <c r="I3302" s="14"/>
      <c r="J3302" s="14"/>
      <c r="K3302" s="14"/>
      <c r="L3302" s="14"/>
      <c r="M3302" s="14"/>
      <c r="N3302" s="14"/>
      <c r="O3302" s="4"/>
      <c r="P3302" s="14"/>
      <c r="Q3302" s="14"/>
    </row>
    <row r="3303" spans="1:17" x14ac:dyDescent="0.25">
      <c r="A3303" s="5"/>
      <c r="B3303" s="6"/>
      <c r="C3303" s="4"/>
      <c r="D3303" s="4"/>
      <c r="E3303" s="12"/>
      <c r="F3303" s="12"/>
      <c r="G3303" s="16"/>
      <c r="H3303" s="14"/>
      <c r="I3303" s="14"/>
      <c r="J3303" s="14"/>
      <c r="K3303" s="14"/>
      <c r="L3303" s="14"/>
      <c r="M3303" s="14"/>
      <c r="N3303" s="14"/>
      <c r="O3303" s="4"/>
      <c r="P3303" s="14"/>
      <c r="Q3303" s="14"/>
    </row>
    <row r="3304" spans="1:17" x14ac:dyDescent="0.25">
      <c r="A3304" s="5"/>
      <c r="B3304" s="6"/>
      <c r="C3304" s="4"/>
      <c r="D3304" s="4"/>
      <c r="E3304" s="12"/>
      <c r="F3304" s="12"/>
      <c r="G3304" s="16"/>
      <c r="H3304" s="14"/>
      <c r="I3304" s="14"/>
      <c r="J3304" s="14"/>
      <c r="K3304" s="14"/>
      <c r="L3304" s="14"/>
      <c r="M3304" s="14"/>
      <c r="N3304" s="14"/>
      <c r="O3304" s="4"/>
      <c r="P3304" s="14"/>
      <c r="Q3304" s="14"/>
    </row>
    <row r="3305" spans="1:17" x14ac:dyDescent="0.25">
      <c r="A3305" s="5"/>
      <c r="B3305" s="6"/>
      <c r="C3305" s="4"/>
      <c r="D3305" s="4"/>
      <c r="E3305" s="12"/>
      <c r="F3305" s="12"/>
      <c r="G3305" s="16"/>
      <c r="H3305" s="14"/>
      <c r="I3305" s="14"/>
      <c r="J3305" s="14"/>
      <c r="K3305" s="14"/>
      <c r="L3305" s="14"/>
      <c r="M3305" s="14"/>
      <c r="N3305" s="14"/>
      <c r="O3305" s="4"/>
      <c r="P3305" s="14"/>
      <c r="Q3305" s="14"/>
    </row>
    <row r="3306" spans="1:17" x14ac:dyDescent="0.25">
      <c r="A3306" s="5"/>
      <c r="B3306" s="6"/>
      <c r="C3306" s="4"/>
      <c r="D3306" s="4"/>
      <c r="E3306" s="12"/>
      <c r="F3306" s="12"/>
      <c r="G3306" s="16"/>
      <c r="H3306" s="14"/>
      <c r="I3306" s="14"/>
      <c r="J3306" s="14"/>
      <c r="K3306" s="14"/>
      <c r="L3306" s="14"/>
      <c r="M3306" s="14"/>
      <c r="N3306" s="14"/>
      <c r="O3306" s="4"/>
      <c r="P3306" s="14"/>
      <c r="Q3306" s="14"/>
    </row>
    <row r="3307" spans="1:17" x14ac:dyDescent="0.25">
      <c r="A3307" s="5"/>
      <c r="B3307" s="6"/>
      <c r="C3307" s="4"/>
      <c r="D3307" s="4"/>
      <c r="E3307" s="12"/>
      <c r="F3307" s="12"/>
      <c r="G3307" s="16"/>
      <c r="H3307" s="14"/>
      <c r="I3307" s="14"/>
      <c r="J3307" s="14"/>
      <c r="K3307" s="14"/>
      <c r="L3307" s="14"/>
      <c r="M3307" s="14"/>
      <c r="N3307" s="14"/>
      <c r="O3307" s="4"/>
      <c r="P3307" s="14"/>
      <c r="Q3307" s="14"/>
    </row>
    <row r="3308" spans="1:17" x14ac:dyDescent="0.25">
      <c r="A3308" s="5"/>
      <c r="B3308" s="6"/>
      <c r="C3308" s="4"/>
      <c r="D3308" s="4"/>
      <c r="E3308" s="12"/>
      <c r="F3308" s="12"/>
      <c r="G3308" s="16"/>
      <c r="H3308" s="14"/>
      <c r="I3308" s="14"/>
      <c r="J3308" s="14"/>
      <c r="K3308" s="14"/>
      <c r="L3308" s="14"/>
      <c r="M3308" s="14"/>
      <c r="N3308" s="14"/>
      <c r="O3308" s="4"/>
      <c r="P3308" s="14"/>
      <c r="Q3308" s="14"/>
    </row>
    <row r="3309" spans="1:17" x14ac:dyDescent="0.25">
      <c r="A3309" s="5"/>
      <c r="B3309" s="6"/>
      <c r="C3309" s="4"/>
      <c r="D3309" s="4"/>
      <c r="E3309" s="12"/>
      <c r="F3309" s="12"/>
      <c r="G3309" s="16"/>
      <c r="H3309" s="14"/>
      <c r="I3309" s="14"/>
      <c r="J3309" s="14"/>
      <c r="K3309" s="14"/>
      <c r="L3309" s="14"/>
      <c r="M3309" s="14"/>
      <c r="N3309" s="14"/>
      <c r="O3309" s="4"/>
      <c r="P3309" s="14"/>
      <c r="Q3309" s="14"/>
    </row>
    <row r="3310" spans="1:17" x14ac:dyDescent="0.25">
      <c r="A3310" s="5"/>
      <c r="B3310" s="6"/>
      <c r="C3310" s="4"/>
      <c r="D3310" s="4"/>
      <c r="E3310" s="12"/>
      <c r="F3310" s="12"/>
      <c r="G3310" s="16"/>
      <c r="H3310" s="14"/>
      <c r="I3310" s="14"/>
      <c r="J3310" s="14"/>
      <c r="K3310" s="14"/>
      <c r="L3310" s="14"/>
      <c r="M3310" s="14"/>
      <c r="N3310" s="14"/>
      <c r="O3310" s="4"/>
      <c r="P3310" s="14"/>
      <c r="Q3310" s="14"/>
    </row>
    <row r="3311" spans="1:17" x14ac:dyDescent="0.25">
      <c r="A3311" s="5"/>
      <c r="B3311" s="6"/>
      <c r="C3311" s="4"/>
      <c r="D3311" s="4"/>
      <c r="E3311" s="12"/>
      <c r="F3311" s="12"/>
      <c r="G3311" s="16"/>
      <c r="H3311" s="14"/>
      <c r="I3311" s="14"/>
      <c r="J3311" s="14"/>
      <c r="K3311" s="14"/>
      <c r="L3311" s="14"/>
      <c r="M3311" s="14"/>
      <c r="N3311" s="14"/>
      <c r="O3311" s="4"/>
      <c r="P3311" s="14"/>
      <c r="Q3311" s="14"/>
    </row>
    <row r="3312" spans="1:17" x14ac:dyDescent="0.25">
      <c r="A3312" s="5"/>
      <c r="B3312" s="6"/>
      <c r="C3312" s="4"/>
      <c r="D3312" s="4"/>
      <c r="E3312" s="12"/>
      <c r="F3312" s="12"/>
      <c r="G3312" s="16"/>
      <c r="H3312" s="14"/>
      <c r="I3312" s="14"/>
      <c r="J3312" s="14"/>
      <c r="K3312" s="14"/>
      <c r="L3312" s="14"/>
      <c r="M3312" s="14"/>
      <c r="N3312" s="14"/>
      <c r="O3312" s="4"/>
      <c r="P3312" s="14"/>
      <c r="Q3312" s="14"/>
    </row>
    <row r="3313" spans="1:17" x14ac:dyDescent="0.25">
      <c r="A3313" s="5"/>
      <c r="B3313" s="6"/>
      <c r="C3313" s="4"/>
      <c r="D3313" s="4"/>
      <c r="E3313" s="12"/>
      <c r="F3313" s="12"/>
      <c r="G3313" s="16"/>
      <c r="H3313" s="14"/>
      <c r="I3313" s="14"/>
      <c r="J3313" s="14"/>
      <c r="K3313" s="14"/>
      <c r="L3313" s="14"/>
      <c r="M3313" s="14"/>
      <c r="N3313" s="14"/>
      <c r="O3313" s="4"/>
      <c r="P3313" s="14"/>
      <c r="Q3313" s="14"/>
    </row>
    <row r="3314" spans="1:17" x14ac:dyDescent="0.25">
      <c r="A3314" s="5"/>
      <c r="B3314" s="6"/>
      <c r="C3314" s="4"/>
      <c r="D3314" s="4"/>
      <c r="E3314" s="12"/>
      <c r="F3314" s="12"/>
      <c r="G3314" s="16"/>
      <c r="H3314" s="14"/>
      <c r="I3314" s="14"/>
      <c r="J3314" s="14"/>
      <c r="K3314" s="14"/>
      <c r="L3314" s="14"/>
      <c r="M3314" s="14"/>
      <c r="N3314" s="14"/>
      <c r="O3314" s="4"/>
      <c r="P3314" s="14"/>
      <c r="Q3314" s="14"/>
    </row>
    <row r="3315" spans="1:17" x14ac:dyDescent="0.25">
      <c r="A3315" s="5"/>
      <c r="B3315" s="6"/>
      <c r="C3315" s="4"/>
      <c r="D3315" s="4"/>
      <c r="E3315" s="12"/>
      <c r="F3315" s="12"/>
      <c r="G3315" s="16"/>
      <c r="H3315" s="14"/>
      <c r="I3315" s="14"/>
      <c r="J3315" s="14"/>
      <c r="K3315" s="14"/>
      <c r="L3315" s="14"/>
      <c r="M3315" s="14"/>
      <c r="N3315" s="14"/>
      <c r="O3315" s="4"/>
      <c r="P3315" s="14"/>
      <c r="Q3315" s="14"/>
    </row>
    <row r="3316" spans="1:17" x14ac:dyDescent="0.25">
      <c r="A3316" s="5"/>
      <c r="B3316" s="6"/>
      <c r="C3316" s="4"/>
      <c r="D3316" s="4"/>
      <c r="E3316" s="12"/>
      <c r="F3316" s="12"/>
      <c r="G3316" s="16"/>
      <c r="H3316" s="14"/>
      <c r="I3316" s="14"/>
      <c r="J3316" s="14"/>
      <c r="K3316" s="14"/>
      <c r="L3316" s="14"/>
      <c r="M3316" s="14"/>
      <c r="N3316" s="14"/>
      <c r="O3316" s="4"/>
      <c r="P3316" s="14"/>
      <c r="Q3316" s="14"/>
    </row>
    <row r="3317" spans="1:17" x14ac:dyDescent="0.25">
      <c r="A3317" s="5"/>
      <c r="B3317" s="6"/>
      <c r="C3317" s="4"/>
      <c r="D3317" s="4"/>
      <c r="E3317" s="12"/>
      <c r="F3317" s="12"/>
      <c r="G3317" s="16"/>
      <c r="H3317" s="14"/>
      <c r="I3317" s="14"/>
      <c r="J3317" s="14"/>
      <c r="K3317" s="14"/>
      <c r="L3317" s="14"/>
      <c r="M3317" s="14"/>
      <c r="N3317" s="14"/>
      <c r="O3317" s="4"/>
      <c r="P3317" s="14"/>
      <c r="Q3317" s="14"/>
    </row>
    <row r="3318" spans="1:17" x14ac:dyDescent="0.25">
      <c r="A3318" s="5"/>
      <c r="B3318" s="6"/>
      <c r="C3318" s="4"/>
      <c r="D3318" s="4"/>
      <c r="E3318" s="12"/>
      <c r="F3318" s="12"/>
      <c r="G3318" s="16"/>
      <c r="H3318" s="14"/>
      <c r="I3318" s="14"/>
      <c r="J3318" s="14"/>
      <c r="K3318" s="14"/>
      <c r="L3318" s="14"/>
      <c r="M3318" s="14"/>
      <c r="N3318" s="14"/>
      <c r="O3318" s="4"/>
      <c r="P3318" s="14"/>
      <c r="Q3318" s="14"/>
    </row>
    <row r="3319" spans="1:17" x14ac:dyDescent="0.25">
      <c r="A3319" s="5"/>
      <c r="B3319" s="6"/>
      <c r="C3319" s="4"/>
      <c r="D3319" s="4"/>
      <c r="E3319" s="12"/>
      <c r="F3319" s="12"/>
      <c r="G3319" s="16"/>
      <c r="H3319" s="14"/>
      <c r="I3319" s="14"/>
      <c r="J3319" s="14"/>
      <c r="K3319" s="14"/>
      <c r="L3319" s="14"/>
      <c r="M3319" s="14"/>
      <c r="N3319" s="14"/>
      <c r="O3319" s="4"/>
      <c r="P3319" s="14"/>
      <c r="Q3319" s="14"/>
    </row>
    <row r="3320" spans="1:17" x14ac:dyDescent="0.25">
      <c r="A3320" s="5"/>
      <c r="B3320" s="6"/>
      <c r="C3320" s="4"/>
      <c r="D3320" s="4"/>
      <c r="E3320" s="12"/>
      <c r="F3320" s="12"/>
      <c r="G3320" s="16"/>
      <c r="H3320" s="14"/>
      <c r="I3320" s="14"/>
      <c r="J3320" s="14"/>
      <c r="K3320" s="14"/>
      <c r="L3320" s="14"/>
      <c r="M3320" s="14"/>
      <c r="N3320" s="14"/>
      <c r="O3320" s="4"/>
      <c r="P3320" s="14"/>
      <c r="Q3320" s="14"/>
    </row>
    <row r="3321" spans="1:17" x14ac:dyDescent="0.25">
      <c r="A3321" s="5"/>
      <c r="B3321" s="6"/>
      <c r="C3321" s="4"/>
      <c r="D3321" s="4"/>
      <c r="E3321" s="12"/>
      <c r="F3321" s="12"/>
      <c r="G3321" s="16"/>
      <c r="H3321" s="14"/>
      <c r="I3321" s="14"/>
      <c r="J3321" s="14"/>
      <c r="K3321" s="14"/>
      <c r="L3321" s="14"/>
      <c r="M3321" s="14"/>
      <c r="N3321" s="14"/>
      <c r="O3321" s="4"/>
      <c r="P3321" s="14"/>
      <c r="Q3321" s="14"/>
    </row>
    <row r="3322" spans="1:17" x14ac:dyDescent="0.25">
      <c r="A3322" s="5"/>
      <c r="B3322" s="6"/>
      <c r="C3322" s="4"/>
      <c r="D3322" s="4"/>
      <c r="E3322" s="12"/>
      <c r="F3322" s="12"/>
      <c r="G3322" s="16"/>
      <c r="H3322" s="14"/>
      <c r="I3322" s="14"/>
      <c r="J3322" s="14"/>
      <c r="K3322" s="14"/>
      <c r="L3322" s="14"/>
      <c r="M3322" s="14"/>
      <c r="N3322" s="14"/>
      <c r="O3322" s="4"/>
      <c r="P3322" s="14"/>
      <c r="Q3322" s="14"/>
    </row>
    <row r="3323" spans="1:17" x14ac:dyDescent="0.25">
      <c r="A3323" s="5"/>
      <c r="B3323" s="6"/>
      <c r="C3323" s="4"/>
      <c r="D3323" s="4"/>
      <c r="E3323" s="12"/>
      <c r="F3323" s="12"/>
      <c r="G3323" s="16"/>
      <c r="H3323" s="14"/>
      <c r="I3323" s="14"/>
      <c r="J3323" s="14"/>
      <c r="K3323" s="14"/>
      <c r="L3323" s="14"/>
      <c r="M3323" s="14"/>
      <c r="N3323" s="14"/>
      <c r="O3323" s="4"/>
      <c r="P3323" s="14"/>
      <c r="Q3323" s="14"/>
    </row>
    <row r="3324" spans="1:17" x14ac:dyDescent="0.25">
      <c r="A3324" s="5"/>
      <c r="B3324" s="6"/>
      <c r="C3324" s="4"/>
      <c r="D3324" s="4"/>
      <c r="E3324" s="12"/>
      <c r="F3324" s="12"/>
      <c r="G3324" s="16"/>
      <c r="H3324" s="14"/>
      <c r="I3324" s="14"/>
      <c r="J3324" s="14"/>
      <c r="K3324" s="14"/>
      <c r="L3324" s="14"/>
      <c r="M3324" s="14"/>
      <c r="N3324" s="14"/>
      <c r="O3324" s="4"/>
      <c r="P3324" s="14"/>
      <c r="Q3324" s="14"/>
    </row>
    <row r="3325" spans="1:17" x14ac:dyDescent="0.25">
      <c r="A3325" s="5"/>
      <c r="B3325" s="6"/>
      <c r="C3325" s="4"/>
      <c r="D3325" s="4"/>
      <c r="E3325" s="12"/>
      <c r="F3325" s="12"/>
      <c r="G3325" s="16"/>
      <c r="H3325" s="14"/>
      <c r="I3325" s="14"/>
      <c r="J3325" s="14"/>
      <c r="K3325" s="14"/>
      <c r="L3325" s="14"/>
      <c r="M3325" s="14"/>
      <c r="N3325" s="14"/>
      <c r="O3325" s="4"/>
      <c r="P3325" s="14"/>
      <c r="Q3325" s="14"/>
    </row>
    <row r="3326" spans="1:17" x14ac:dyDescent="0.25">
      <c r="A3326" s="5"/>
      <c r="B3326" s="6"/>
      <c r="C3326" s="4"/>
      <c r="D3326" s="4"/>
      <c r="E3326" s="12"/>
      <c r="F3326" s="12"/>
      <c r="G3326" s="16"/>
      <c r="H3326" s="14"/>
      <c r="I3326" s="14"/>
      <c r="J3326" s="14"/>
      <c r="K3326" s="14"/>
      <c r="L3326" s="14"/>
      <c r="M3326" s="14"/>
      <c r="N3326" s="14"/>
      <c r="O3326" s="4"/>
      <c r="P3326" s="14"/>
      <c r="Q3326" s="14"/>
    </row>
    <row r="3327" spans="1:17" x14ac:dyDescent="0.25">
      <c r="A3327" s="5"/>
      <c r="B3327" s="6"/>
      <c r="C3327" s="4"/>
      <c r="D3327" s="4"/>
      <c r="E3327" s="12"/>
      <c r="F3327" s="12"/>
      <c r="G3327" s="16"/>
      <c r="H3327" s="14"/>
      <c r="I3327" s="14"/>
      <c r="J3327" s="14"/>
      <c r="K3327" s="14"/>
      <c r="L3327" s="14"/>
      <c r="M3327" s="14"/>
      <c r="N3327" s="14"/>
      <c r="O3327" s="4"/>
      <c r="P3327" s="14"/>
      <c r="Q3327" s="14"/>
    </row>
    <row r="3328" spans="1:17" x14ac:dyDescent="0.25">
      <c r="A3328" s="5"/>
      <c r="B3328" s="6"/>
      <c r="C3328" s="4"/>
      <c r="D3328" s="4"/>
      <c r="E3328" s="12"/>
      <c r="F3328" s="12"/>
      <c r="G3328" s="16"/>
      <c r="H3328" s="14"/>
      <c r="I3328" s="14"/>
      <c r="J3328" s="14"/>
      <c r="K3328" s="14"/>
      <c r="L3328" s="14"/>
      <c r="M3328" s="14"/>
      <c r="N3328" s="14"/>
      <c r="O3328" s="4"/>
      <c r="P3328" s="14"/>
      <c r="Q3328" s="14"/>
    </row>
    <row r="3329" spans="1:17" x14ac:dyDescent="0.25">
      <c r="A3329" s="5"/>
      <c r="B3329" s="6"/>
      <c r="C3329" s="4"/>
      <c r="D3329" s="4"/>
      <c r="E3329" s="12"/>
      <c r="F3329" s="12"/>
      <c r="G3329" s="16"/>
      <c r="H3329" s="14"/>
      <c r="I3329" s="14"/>
      <c r="J3329" s="14"/>
      <c r="K3329" s="14"/>
      <c r="L3329" s="14"/>
      <c r="M3329" s="14"/>
      <c r="N3329" s="14"/>
      <c r="O3329" s="4"/>
      <c r="P3329" s="14"/>
      <c r="Q3329" s="14"/>
    </row>
    <row r="3330" spans="1:17" x14ac:dyDescent="0.25">
      <c r="A3330" s="5"/>
      <c r="B3330" s="6"/>
      <c r="C3330" s="4"/>
      <c r="D3330" s="4"/>
      <c r="E3330" s="12"/>
      <c r="F3330" s="12"/>
      <c r="G3330" s="16"/>
      <c r="H3330" s="14"/>
      <c r="I3330" s="14"/>
      <c r="J3330" s="14"/>
      <c r="K3330" s="14"/>
      <c r="L3330" s="14"/>
      <c r="M3330" s="14"/>
      <c r="N3330" s="14"/>
      <c r="O3330" s="4"/>
      <c r="P3330" s="14"/>
      <c r="Q3330" s="14"/>
    </row>
    <row r="3331" spans="1:17" x14ac:dyDescent="0.25">
      <c r="A3331" s="5"/>
      <c r="B3331" s="6"/>
      <c r="C3331" s="4"/>
      <c r="D3331" s="4"/>
      <c r="E3331" s="12"/>
      <c r="F3331" s="12"/>
      <c r="G3331" s="16"/>
      <c r="H3331" s="14"/>
      <c r="I3331" s="14"/>
      <c r="J3331" s="14"/>
      <c r="K3331" s="14"/>
      <c r="L3331" s="14"/>
      <c r="M3331" s="14"/>
      <c r="N3331" s="14"/>
      <c r="O3331" s="4"/>
      <c r="P3331" s="14"/>
      <c r="Q3331" s="14"/>
    </row>
    <row r="3332" spans="1:17" x14ac:dyDescent="0.25">
      <c r="A3332" s="5"/>
      <c r="B3332" s="6"/>
      <c r="C3332" s="4"/>
      <c r="D3332" s="4"/>
      <c r="E3332" s="12"/>
      <c r="F3332" s="12"/>
      <c r="G3332" s="16"/>
      <c r="H3332" s="14"/>
      <c r="I3332" s="14"/>
      <c r="J3332" s="14"/>
      <c r="K3332" s="14"/>
      <c r="L3332" s="14"/>
      <c r="M3332" s="14"/>
      <c r="N3332" s="14"/>
      <c r="O3332" s="4"/>
      <c r="P3332" s="14"/>
      <c r="Q3332" s="14"/>
    </row>
    <row r="3333" spans="1:17" x14ac:dyDescent="0.25">
      <c r="A3333" s="5"/>
      <c r="B3333" s="6"/>
      <c r="C3333" s="4"/>
      <c r="D3333" s="4"/>
      <c r="E3333" s="12"/>
      <c r="F3333" s="12"/>
      <c r="G3333" s="16"/>
      <c r="H3333" s="14"/>
      <c r="I3333" s="14"/>
      <c r="J3333" s="14"/>
      <c r="K3333" s="14"/>
      <c r="L3333" s="14"/>
      <c r="M3333" s="14"/>
      <c r="N3333" s="14"/>
      <c r="O3333" s="4"/>
      <c r="P3333" s="14"/>
      <c r="Q3333" s="14"/>
    </row>
    <row r="3334" spans="1:17" x14ac:dyDescent="0.25">
      <c r="A3334" s="5"/>
      <c r="B3334" s="6"/>
      <c r="C3334" s="4"/>
      <c r="D3334" s="4"/>
      <c r="E3334" s="12"/>
      <c r="F3334" s="12"/>
      <c r="G3334" s="16"/>
      <c r="H3334" s="14"/>
      <c r="I3334" s="14"/>
      <c r="J3334" s="14"/>
      <c r="K3334" s="14"/>
      <c r="L3334" s="14"/>
      <c r="M3334" s="14"/>
      <c r="N3334" s="14"/>
      <c r="O3334" s="4"/>
      <c r="P3334" s="14"/>
      <c r="Q3334" s="14"/>
    </row>
    <row r="3335" spans="1:17" x14ac:dyDescent="0.25">
      <c r="A3335" s="5"/>
      <c r="B3335" s="6"/>
      <c r="C3335" s="4"/>
      <c r="D3335" s="4"/>
      <c r="E3335" s="12"/>
      <c r="F3335" s="12"/>
      <c r="G3335" s="16"/>
      <c r="H3335" s="14"/>
      <c r="I3335" s="14"/>
      <c r="J3335" s="14"/>
      <c r="K3335" s="14"/>
      <c r="L3335" s="14"/>
      <c r="M3335" s="14"/>
      <c r="N3335" s="14"/>
      <c r="O3335" s="4"/>
      <c r="P3335" s="14"/>
      <c r="Q3335" s="14"/>
    </row>
    <row r="3336" spans="1:17" x14ac:dyDescent="0.25">
      <c r="A3336" s="5"/>
      <c r="B3336" s="6"/>
      <c r="C3336" s="4"/>
      <c r="D3336" s="4"/>
      <c r="E3336" s="12"/>
      <c r="F3336" s="12"/>
      <c r="G3336" s="16"/>
      <c r="H3336" s="14"/>
      <c r="I3336" s="14"/>
      <c r="J3336" s="14"/>
      <c r="K3336" s="14"/>
      <c r="L3336" s="14"/>
      <c r="M3336" s="14"/>
      <c r="N3336" s="14"/>
      <c r="O3336" s="4"/>
      <c r="P3336" s="14"/>
      <c r="Q3336" s="14"/>
    </row>
    <row r="3337" spans="1:17" x14ac:dyDescent="0.25">
      <c r="A3337" s="5"/>
      <c r="B3337" s="6"/>
      <c r="C3337" s="4"/>
      <c r="D3337" s="4"/>
      <c r="E3337" s="12"/>
      <c r="F3337" s="12"/>
      <c r="G3337" s="16"/>
      <c r="H3337" s="14"/>
      <c r="I3337" s="14"/>
      <c r="J3337" s="14"/>
      <c r="K3337" s="14"/>
      <c r="L3337" s="14"/>
      <c r="M3337" s="14"/>
      <c r="N3337" s="14"/>
      <c r="O3337" s="4"/>
      <c r="P3337" s="14"/>
      <c r="Q3337" s="14"/>
    </row>
    <row r="3338" spans="1:17" x14ac:dyDescent="0.25">
      <c r="A3338" s="5"/>
      <c r="B3338" s="6"/>
      <c r="C3338" s="4"/>
      <c r="D3338" s="4"/>
      <c r="E3338" s="12"/>
      <c r="F3338" s="12"/>
      <c r="G3338" s="16"/>
      <c r="H3338" s="14"/>
      <c r="I3338" s="14"/>
      <c r="J3338" s="14"/>
      <c r="K3338" s="14"/>
      <c r="L3338" s="14"/>
      <c r="M3338" s="14"/>
      <c r="N3338" s="14"/>
      <c r="O3338" s="4"/>
      <c r="P3338" s="14"/>
      <c r="Q3338" s="14"/>
    </row>
    <row r="3339" spans="1:17" x14ac:dyDescent="0.25">
      <c r="A3339" s="5"/>
      <c r="B3339" s="6"/>
      <c r="C3339" s="4"/>
      <c r="D3339" s="4"/>
      <c r="E3339" s="12"/>
      <c r="F3339" s="12"/>
      <c r="G3339" s="16"/>
      <c r="H3339" s="14"/>
      <c r="I3339" s="14"/>
      <c r="J3339" s="14"/>
      <c r="K3339" s="14"/>
      <c r="L3339" s="14"/>
      <c r="M3339" s="14"/>
      <c r="N3339" s="14"/>
      <c r="O3339" s="4"/>
      <c r="P3339" s="14"/>
      <c r="Q3339" s="14"/>
    </row>
    <row r="3340" spans="1:17" x14ac:dyDescent="0.25">
      <c r="A3340" s="5"/>
      <c r="B3340" s="6"/>
      <c r="C3340" s="4"/>
      <c r="D3340" s="4"/>
      <c r="E3340" s="12"/>
      <c r="F3340" s="12"/>
      <c r="G3340" s="16"/>
      <c r="H3340" s="14"/>
      <c r="I3340" s="14"/>
      <c r="J3340" s="14"/>
      <c r="K3340" s="14"/>
      <c r="L3340" s="14"/>
      <c r="M3340" s="14"/>
      <c r="N3340" s="14"/>
      <c r="O3340" s="4"/>
      <c r="P3340" s="14"/>
      <c r="Q3340" s="14"/>
    </row>
    <row r="3341" spans="1:17" x14ac:dyDescent="0.25">
      <c r="A3341" s="5"/>
      <c r="B3341" s="6"/>
      <c r="C3341" s="4"/>
      <c r="D3341" s="4"/>
      <c r="E3341" s="12"/>
      <c r="F3341" s="12"/>
      <c r="G3341" s="16"/>
      <c r="H3341" s="14"/>
      <c r="I3341" s="14"/>
      <c r="J3341" s="14"/>
      <c r="K3341" s="14"/>
      <c r="L3341" s="14"/>
      <c r="M3341" s="14"/>
      <c r="N3341" s="14"/>
      <c r="O3341" s="4"/>
      <c r="P3341" s="14"/>
      <c r="Q3341" s="14"/>
    </row>
    <row r="3342" spans="1:17" x14ac:dyDescent="0.25">
      <c r="A3342" s="5"/>
      <c r="B3342" s="6"/>
      <c r="C3342" s="4"/>
      <c r="D3342" s="4"/>
      <c r="E3342" s="12"/>
      <c r="F3342" s="12"/>
      <c r="G3342" s="16"/>
      <c r="H3342" s="14"/>
      <c r="I3342" s="14"/>
      <c r="J3342" s="14"/>
      <c r="K3342" s="14"/>
      <c r="L3342" s="14"/>
      <c r="M3342" s="14"/>
      <c r="N3342" s="14"/>
      <c r="O3342" s="4"/>
      <c r="P3342" s="14"/>
      <c r="Q3342" s="14"/>
    </row>
    <row r="3343" spans="1:17" x14ac:dyDescent="0.25">
      <c r="A3343" s="5"/>
      <c r="B3343" s="6"/>
      <c r="C3343" s="4"/>
      <c r="D3343" s="4"/>
      <c r="E3343" s="12"/>
      <c r="F3343" s="12"/>
      <c r="G3343" s="16"/>
      <c r="H3343" s="14"/>
      <c r="I3343" s="14"/>
      <c r="J3343" s="14"/>
      <c r="K3343" s="14"/>
      <c r="L3343" s="14"/>
      <c r="M3343" s="14"/>
      <c r="N3343" s="14"/>
      <c r="O3343" s="4"/>
      <c r="P3343" s="14"/>
      <c r="Q3343" s="14"/>
    </row>
    <row r="3344" spans="1:17" x14ac:dyDescent="0.25">
      <c r="A3344" s="5"/>
      <c r="B3344" s="6"/>
      <c r="C3344" s="4"/>
      <c r="D3344" s="4"/>
      <c r="E3344" s="12"/>
      <c r="F3344" s="12"/>
      <c r="G3344" s="16"/>
      <c r="H3344" s="14"/>
      <c r="I3344" s="14"/>
      <c r="J3344" s="14"/>
      <c r="K3344" s="14"/>
      <c r="L3344" s="14"/>
      <c r="M3344" s="14"/>
      <c r="N3344" s="14"/>
      <c r="O3344" s="4"/>
      <c r="P3344" s="14"/>
      <c r="Q3344" s="14"/>
    </row>
    <row r="3345" spans="1:17" x14ac:dyDescent="0.25">
      <c r="A3345" s="5"/>
      <c r="B3345" s="6"/>
      <c r="C3345" s="4"/>
      <c r="D3345" s="4"/>
      <c r="E3345" s="12"/>
      <c r="F3345" s="12"/>
      <c r="G3345" s="16"/>
      <c r="H3345" s="14"/>
      <c r="I3345" s="14"/>
      <c r="J3345" s="14"/>
      <c r="K3345" s="14"/>
      <c r="L3345" s="14"/>
      <c r="M3345" s="14"/>
      <c r="N3345" s="14"/>
      <c r="O3345" s="4"/>
      <c r="P3345" s="14"/>
      <c r="Q3345" s="14"/>
    </row>
    <row r="3346" spans="1:17" x14ac:dyDescent="0.25">
      <c r="A3346" s="5"/>
      <c r="B3346" s="6"/>
      <c r="C3346" s="4"/>
      <c r="D3346" s="4"/>
      <c r="E3346" s="12"/>
      <c r="F3346" s="12"/>
      <c r="G3346" s="16"/>
      <c r="H3346" s="14"/>
      <c r="I3346" s="14"/>
      <c r="J3346" s="14"/>
      <c r="K3346" s="14"/>
      <c r="L3346" s="14"/>
      <c r="M3346" s="14"/>
      <c r="N3346" s="14"/>
      <c r="O3346" s="4"/>
      <c r="P3346" s="14"/>
      <c r="Q3346" s="14"/>
    </row>
    <row r="3347" spans="1:17" x14ac:dyDescent="0.25">
      <c r="A3347" s="5"/>
      <c r="B3347" s="6"/>
      <c r="C3347" s="4"/>
      <c r="D3347" s="4"/>
      <c r="E3347" s="12"/>
      <c r="F3347" s="12"/>
      <c r="G3347" s="16"/>
      <c r="H3347" s="14"/>
      <c r="I3347" s="14"/>
      <c r="J3347" s="14"/>
      <c r="K3347" s="14"/>
      <c r="L3347" s="14"/>
      <c r="M3347" s="14"/>
      <c r="N3347" s="14"/>
      <c r="O3347" s="4"/>
      <c r="P3347" s="14"/>
      <c r="Q3347" s="14"/>
    </row>
    <row r="3348" spans="1:17" x14ac:dyDescent="0.25">
      <c r="A3348" s="5"/>
      <c r="B3348" s="6"/>
      <c r="C3348" s="4"/>
      <c r="D3348" s="4"/>
      <c r="E3348" s="12"/>
      <c r="F3348" s="12"/>
      <c r="G3348" s="16"/>
      <c r="H3348" s="14"/>
      <c r="I3348" s="14"/>
      <c r="J3348" s="14"/>
      <c r="K3348" s="14"/>
      <c r="L3348" s="14"/>
      <c r="M3348" s="14"/>
      <c r="N3348" s="14"/>
      <c r="O3348" s="4"/>
      <c r="P3348" s="14"/>
      <c r="Q3348" s="14"/>
    </row>
    <row r="3349" spans="1:17" x14ac:dyDescent="0.25">
      <c r="A3349" s="5"/>
      <c r="B3349" s="6"/>
      <c r="C3349" s="4"/>
      <c r="D3349" s="4"/>
      <c r="E3349" s="12"/>
      <c r="F3349" s="12"/>
      <c r="G3349" s="16"/>
      <c r="H3349" s="14"/>
      <c r="I3349" s="14"/>
      <c r="J3349" s="14"/>
      <c r="K3349" s="14"/>
      <c r="L3349" s="14"/>
      <c r="M3349" s="14"/>
      <c r="N3349" s="14"/>
      <c r="O3349" s="4"/>
      <c r="P3349" s="14"/>
      <c r="Q3349" s="14"/>
    </row>
    <row r="3350" spans="1:17" x14ac:dyDescent="0.25">
      <c r="A3350" s="5"/>
      <c r="B3350" s="6"/>
      <c r="C3350" s="4"/>
      <c r="D3350" s="4"/>
      <c r="E3350" s="12"/>
      <c r="F3350" s="12"/>
      <c r="G3350" s="16"/>
      <c r="H3350" s="14"/>
      <c r="I3350" s="14"/>
      <c r="J3350" s="14"/>
      <c r="K3350" s="14"/>
      <c r="L3350" s="14"/>
      <c r="M3350" s="14"/>
      <c r="N3350" s="14"/>
      <c r="O3350" s="4"/>
      <c r="P3350" s="14"/>
      <c r="Q3350" s="14"/>
    </row>
    <row r="3351" spans="1:17" x14ac:dyDescent="0.25">
      <c r="A3351" s="5"/>
      <c r="B3351" s="6"/>
      <c r="C3351" s="4"/>
      <c r="D3351" s="4"/>
      <c r="E3351" s="12"/>
      <c r="F3351" s="12"/>
      <c r="G3351" s="16"/>
      <c r="H3351" s="14"/>
      <c r="I3351" s="14"/>
      <c r="J3351" s="14"/>
      <c r="K3351" s="14"/>
      <c r="L3351" s="14"/>
      <c r="M3351" s="14"/>
      <c r="N3351" s="14"/>
      <c r="O3351" s="4"/>
      <c r="P3351" s="14"/>
      <c r="Q3351" s="14"/>
    </row>
    <row r="3352" spans="1:17" x14ac:dyDescent="0.25">
      <c r="A3352" s="5"/>
      <c r="B3352" s="6"/>
      <c r="C3352" s="4"/>
      <c r="D3352" s="4"/>
      <c r="E3352" s="12"/>
      <c r="F3352" s="12"/>
      <c r="G3352" s="16"/>
      <c r="H3352" s="14"/>
      <c r="I3352" s="14"/>
      <c r="J3352" s="14"/>
      <c r="K3352" s="14"/>
      <c r="L3352" s="14"/>
      <c r="M3352" s="14"/>
      <c r="N3352" s="14"/>
      <c r="O3352" s="4"/>
      <c r="P3352" s="14"/>
      <c r="Q3352" s="14"/>
    </row>
    <row r="3353" spans="1:17" x14ac:dyDescent="0.25">
      <c r="A3353" s="5"/>
      <c r="B3353" s="6"/>
      <c r="C3353" s="4"/>
      <c r="D3353" s="4"/>
      <c r="E3353" s="12"/>
      <c r="F3353" s="12"/>
      <c r="G3353" s="16"/>
      <c r="H3353" s="14"/>
      <c r="I3353" s="14"/>
      <c r="J3353" s="14"/>
      <c r="K3353" s="14"/>
      <c r="L3353" s="14"/>
      <c r="M3353" s="14"/>
      <c r="N3353" s="14"/>
      <c r="O3353" s="4"/>
      <c r="P3353" s="14"/>
      <c r="Q3353" s="14"/>
    </row>
    <row r="3354" spans="1:17" x14ac:dyDescent="0.25">
      <c r="A3354" s="5"/>
      <c r="B3354" s="6"/>
      <c r="C3354" s="4"/>
      <c r="D3354" s="4"/>
      <c r="E3354" s="12"/>
      <c r="F3354" s="12"/>
      <c r="G3354" s="16"/>
      <c r="H3354" s="14"/>
      <c r="I3354" s="14"/>
      <c r="J3354" s="14"/>
      <c r="K3354" s="14"/>
      <c r="L3354" s="14"/>
      <c r="M3354" s="14"/>
      <c r="N3354" s="14"/>
      <c r="O3354" s="4"/>
      <c r="P3354" s="14"/>
      <c r="Q3354" s="14"/>
    </row>
    <row r="3355" spans="1:17" x14ac:dyDescent="0.25">
      <c r="A3355" s="5"/>
      <c r="B3355" s="6"/>
      <c r="C3355" s="4"/>
      <c r="D3355" s="4"/>
      <c r="E3355" s="12"/>
      <c r="F3355" s="12"/>
      <c r="G3355" s="16"/>
      <c r="H3355" s="14"/>
      <c r="I3355" s="14"/>
      <c r="J3355" s="14"/>
      <c r="K3355" s="14"/>
      <c r="L3355" s="14"/>
      <c r="M3355" s="14"/>
      <c r="N3355" s="14"/>
      <c r="O3355" s="4"/>
      <c r="P3355" s="14"/>
      <c r="Q3355" s="14"/>
    </row>
    <row r="3356" spans="1:17" x14ac:dyDescent="0.25">
      <c r="A3356" s="5"/>
      <c r="B3356" s="6"/>
      <c r="C3356" s="4"/>
      <c r="D3356" s="4"/>
      <c r="E3356" s="12"/>
      <c r="F3356" s="12"/>
      <c r="G3356" s="16"/>
      <c r="H3356" s="14"/>
      <c r="I3356" s="14"/>
      <c r="J3356" s="14"/>
      <c r="K3356" s="14"/>
      <c r="L3356" s="14"/>
      <c r="M3356" s="14"/>
      <c r="N3356" s="14"/>
      <c r="O3356" s="4"/>
      <c r="P3356" s="14"/>
      <c r="Q3356" s="14"/>
    </row>
    <row r="3357" spans="1:17" x14ac:dyDescent="0.25">
      <c r="A3357" s="5"/>
      <c r="B3357" s="6"/>
      <c r="C3357" s="4"/>
      <c r="D3357" s="4"/>
      <c r="E3357" s="12"/>
      <c r="F3357" s="12"/>
      <c r="G3357" s="16"/>
      <c r="H3357" s="14"/>
      <c r="I3357" s="14"/>
      <c r="J3357" s="14"/>
      <c r="K3357" s="14"/>
      <c r="L3357" s="14"/>
      <c r="M3357" s="14"/>
      <c r="N3357" s="14"/>
      <c r="O3357" s="4"/>
      <c r="P3357" s="14"/>
      <c r="Q3357" s="14"/>
    </row>
    <row r="3358" spans="1:17" x14ac:dyDescent="0.25">
      <c r="A3358" s="5"/>
      <c r="B3358" s="6"/>
      <c r="C3358" s="4"/>
      <c r="D3358" s="4"/>
      <c r="E3358" s="12"/>
      <c r="F3358" s="12"/>
      <c r="G3358" s="16"/>
      <c r="H3358" s="14"/>
      <c r="I3358" s="14"/>
      <c r="J3358" s="14"/>
      <c r="K3358" s="14"/>
      <c r="L3358" s="14"/>
      <c r="M3358" s="14"/>
      <c r="N3358" s="14"/>
      <c r="O3358" s="4"/>
      <c r="P3358" s="14"/>
      <c r="Q3358" s="14"/>
    </row>
    <row r="3359" spans="1:17" x14ac:dyDescent="0.25">
      <c r="A3359" s="5"/>
      <c r="B3359" s="6"/>
      <c r="C3359" s="4"/>
      <c r="D3359" s="4"/>
      <c r="E3359" s="12"/>
      <c r="F3359" s="12"/>
      <c r="G3359" s="16"/>
      <c r="H3359" s="14"/>
      <c r="I3359" s="14"/>
      <c r="J3359" s="14"/>
      <c r="K3359" s="14"/>
      <c r="L3359" s="14"/>
      <c r="M3359" s="14"/>
      <c r="N3359" s="14"/>
      <c r="O3359" s="4"/>
      <c r="P3359" s="14"/>
      <c r="Q3359" s="14"/>
    </row>
    <row r="3360" spans="1:17" x14ac:dyDescent="0.25">
      <c r="A3360" s="5"/>
      <c r="B3360" s="6"/>
      <c r="C3360" s="4"/>
      <c r="D3360" s="4"/>
      <c r="E3360" s="12"/>
      <c r="F3360" s="12"/>
      <c r="G3360" s="16"/>
      <c r="H3360" s="14"/>
      <c r="I3360" s="14"/>
      <c r="J3360" s="14"/>
      <c r="K3360" s="14"/>
      <c r="L3360" s="14"/>
      <c r="M3360" s="14"/>
      <c r="N3360" s="14"/>
      <c r="O3360" s="4"/>
      <c r="P3360" s="14"/>
      <c r="Q3360" s="14"/>
    </row>
    <row r="3361" spans="1:17" x14ac:dyDescent="0.25">
      <c r="A3361" s="5"/>
      <c r="B3361" s="6"/>
      <c r="C3361" s="4"/>
      <c r="D3361" s="4"/>
      <c r="E3361" s="12"/>
      <c r="F3361" s="12"/>
      <c r="G3361" s="16"/>
      <c r="H3361" s="14"/>
      <c r="I3361" s="14"/>
      <c r="J3361" s="14"/>
      <c r="K3361" s="14"/>
      <c r="L3361" s="14"/>
      <c r="M3361" s="14"/>
      <c r="N3361" s="14"/>
      <c r="O3361" s="4"/>
      <c r="P3361" s="14"/>
      <c r="Q3361" s="14"/>
    </row>
    <row r="3362" spans="1:17" x14ac:dyDescent="0.25">
      <c r="A3362" s="5"/>
      <c r="B3362" s="6"/>
      <c r="C3362" s="4"/>
      <c r="D3362" s="4"/>
      <c r="E3362" s="12"/>
      <c r="F3362" s="12"/>
      <c r="G3362" s="16"/>
      <c r="H3362" s="14"/>
      <c r="I3362" s="14"/>
      <c r="J3362" s="14"/>
      <c r="K3362" s="14"/>
      <c r="L3362" s="14"/>
      <c r="M3362" s="14"/>
      <c r="N3362" s="14"/>
      <c r="O3362" s="4"/>
      <c r="P3362" s="14"/>
      <c r="Q3362" s="14"/>
    </row>
    <row r="3363" spans="1:17" x14ac:dyDescent="0.25">
      <c r="A3363" s="5"/>
      <c r="B3363" s="6"/>
      <c r="C3363" s="4"/>
      <c r="D3363" s="4"/>
      <c r="E3363" s="12"/>
      <c r="F3363" s="12"/>
      <c r="G3363" s="16"/>
      <c r="H3363" s="14"/>
      <c r="I3363" s="14"/>
      <c r="J3363" s="14"/>
      <c r="K3363" s="14"/>
      <c r="L3363" s="14"/>
      <c r="M3363" s="14"/>
      <c r="N3363" s="14"/>
      <c r="O3363" s="4"/>
      <c r="P3363" s="14"/>
      <c r="Q3363" s="14"/>
    </row>
    <row r="3364" spans="1:17" x14ac:dyDescent="0.25">
      <c r="A3364" s="5"/>
      <c r="B3364" s="6"/>
      <c r="C3364" s="4"/>
      <c r="D3364" s="4"/>
      <c r="E3364" s="12"/>
      <c r="F3364" s="12"/>
      <c r="G3364" s="16"/>
      <c r="H3364" s="14"/>
      <c r="I3364" s="14"/>
      <c r="J3364" s="14"/>
      <c r="K3364" s="14"/>
      <c r="L3364" s="14"/>
      <c r="M3364" s="14"/>
      <c r="N3364" s="14"/>
      <c r="O3364" s="4"/>
      <c r="P3364" s="14"/>
      <c r="Q3364" s="14"/>
    </row>
    <row r="3365" spans="1:17" x14ac:dyDescent="0.25">
      <c r="A3365" s="5"/>
      <c r="B3365" s="6"/>
      <c r="C3365" s="4"/>
      <c r="D3365" s="4"/>
      <c r="E3365" s="12"/>
      <c r="F3365" s="12"/>
      <c r="G3365" s="16"/>
      <c r="H3365" s="14"/>
      <c r="I3365" s="14"/>
      <c r="J3365" s="14"/>
      <c r="K3365" s="14"/>
      <c r="L3365" s="14"/>
      <c r="M3365" s="14"/>
      <c r="N3365" s="14"/>
      <c r="O3365" s="4"/>
      <c r="P3365" s="14"/>
      <c r="Q3365" s="14"/>
    </row>
    <row r="3366" spans="1:17" x14ac:dyDescent="0.25">
      <c r="A3366" s="5"/>
      <c r="B3366" s="6"/>
      <c r="C3366" s="4"/>
      <c r="D3366" s="4"/>
      <c r="E3366" s="12"/>
      <c r="F3366" s="12"/>
      <c r="G3366" s="16"/>
      <c r="H3366" s="14"/>
      <c r="I3366" s="14"/>
      <c r="J3366" s="14"/>
      <c r="K3366" s="14"/>
      <c r="L3366" s="14"/>
      <c r="M3366" s="14"/>
      <c r="N3366" s="14"/>
      <c r="O3366" s="4"/>
      <c r="P3366" s="14"/>
      <c r="Q3366" s="14"/>
    </row>
    <row r="3367" spans="1:17" x14ac:dyDescent="0.25">
      <c r="A3367" s="5"/>
      <c r="B3367" s="6"/>
      <c r="C3367" s="4"/>
      <c r="D3367" s="4"/>
      <c r="E3367" s="12"/>
      <c r="F3367" s="12"/>
      <c r="G3367" s="16"/>
      <c r="H3367" s="14"/>
      <c r="I3367" s="14"/>
      <c r="J3367" s="14"/>
      <c r="K3367" s="14"/>
      <c r="L3367" s="14"/>
      <c r="M3367" s="14"/>
      <c r="N3367" s="14"/>
      <c r="O3367" s="4"/>
      <c r="P3367" s="14"/>
      <c r="Q3367" s="14"/>
    </row>
    <row r="3368" spans="1:17" x14ac:dyDescent="0.25">
      <c r="A3368" s="5"/>
      <c r="B3368" s="6"/>
      <c r="C3368" s="4"/>
      <c r="D3368" s="4"/>
      <c r="E3368" s="12"/>
      <c r="F3368" s="12"/>
      <c r="G3368" s="16"/>
      <c r="H3368" s="14"/>
      <c r="I3368" s="14"/>
      <c r="J3368" s="14"/>
      <c r="K3368" s="14"/>
      <c r="L3368" s="14"/>
      <c r="M3368" s="14"/>
      <c r="N3368" s="14"/>
      <c r="O3368" s="4"/>
      <c r="P3368" s="14"/>
      <c r="Q3368" s="14"/>
    </row>
    <row r="3369" spans="1:17" x14ac:dyDescent="0.25">
      <c r="A3369" s="5"/>
      <c r="B3369" s="6"/>
      <c r="C3369" s="4"/>
      <c r="D3369" s="4"/>
      <c r="E3369" s="12"/>
      <c r="F3369" s="12"/>
      <c r="G3369" s="16"/>
      <c r="H3369" s="14"/>
      <c r="I3369" s="14"/>
      <c r="J3369" s="14"/>
      <c r="K3369" s="14"/>
      <c r="L3369" s="14"/>
      <c r="M3369" s="14"/>
      <c r="N3369" s="14"/>
      <c r="O3369" s="4"/>
      <c r="P3369" s="14"/>
      <c r="Q3369" s="14"/>
    </row>
    <row r="3370" spans="1:17" x14ac:dyDescent="0.25">
      <c r="A3370" s="5"/>
      <c r="B3370" s="6"/>
      <c r="C3370" s="4"/>
      <c r="D3370" s="4"/>
      <c r="E3370" s="12"/>
      <c r="F3370" s="12"/>
      <c r="G3370" s="16"/>
      <c r="H3370" s="14"/>
      <c r="I3370" s="14"/>
      <c r="J3370" s="14"/>
      <c r="K3370" s="14"/>
      <c r="L3370" s="14"/>
      <c r="M3370" s="14"/>
      <c r="N3370" s="14"/>
      <c r="O3370" s="4"/>
      <c r="P3370" s="14"/>
      <c r="Q3370" s="14"/>
    </row>
    <row r="3371" spans="1:17" x14ac:dyDescent="0.25">
      <c r="A3371" s="5"/>
      <c r="B3371" s="6"/>
      <c r="C3371" s="4"/>
      <c r="D3371" s="4"/>
      <c r="E3371" s="12"/>
      <c r="F3371" s="12"/>
      <c r="G3371" s="16"/>
      <c r="H3371" s="14"/>
      <c r="I3371" s="14"/>
      <c r="J3371" s="14"/>
      <c r="K3371" s="14"/>
      <c r="L3371" s="14"/>
      <c r="M3371" s="14"/>
      <c r="N3371" s="14"/>
      <c r="O3371" s="4"/>
      <c r="P3371" s="14"/>
      <c r="Q3371" s="14"/>
    </row>
    <row r="3372" spans="1:17" x14ac:dyDescent="0.25">
      <c r="A3372" s="5"/>
      <c r="B3372" s="6"/>
      <c r="C3372" s="4"/>
      <c r="D3372" s="4"/>
      <c r="E3372" s="12"/>
      <c r="F3372" s="12"/>
      <c r="G3372" s="16"/>
      <c r="H3372" s="14"/>
      <c r="I3372" s="14"/>
      <c r="J3372" s="14"/>
      <c r="K3372" s="14"/>
      <c r="L3372" s="14"/>
      <c r="M3372" s="14"/>
      <c r="N3372" s="14"/>
      <c r="O3372" s="4"/>
      <c r="P3372" s="14"/>
      <c r="Q3372" s="14"/>
    </row>
    <row r="3373" spans="1:17" x14ac:dyDescent="0.25">
      <c r="A3373" s="5"/>
      <c r="B3373" s="6"/>
      <c r="C3373" s="4"/>
      <c r="D3373" s="4"/>
      <c r="E3373" s="12"/>
      <c r="F3373" s="12"/>
      <c r="G3373" s="16"/>
      <c r="H3373" s="14"/>
      <c r="I3373" s="14"/>
      <c r="J3373" s="14"/>
      <c r="K3373" s="14"/>
      <c r="L3373" s="14"/>
      <c r="M3373" s="14"/>
      <c r="N3373" s="14"/>
      <c r="O3373" s="4"/>
      <c r="P3373" s="14"/>
      <c r="Q3373" s="14"/>
    </row>
    <row r="3374" spans="1:17" x14ac:dyDescent="0.25">
      <c r="A3374" s="5"/>
      <c r="B3374" s="6"/>
      <c r="C3374" s="4"/>
      <c r="D3374" s="4"/>
      <c r="E3374" s="12"/>
      <c r="F3374" s="12"/>
      <c r="G3374" s="16"/>
      <c r="H3374" s="14"/>
      <c r="I3374" s="14"/>
      <c r="J3374" s="14"/>
      <c r="K3374" s="14"/>
      <c r="L3374" s="14"/>
      <c r="M3374" s="14"/>
      <c r="N3374" s="14"/>
      <c r="O3374" s="4"/>
      <c r="P3374" s="14"/>
      <c r="Q3374" s="14"/>
    </row>
    <row r="3375" spans="1:17" x14ac:dyDescent="0.25">
      <c r="A3375" s="5"/>
      <c r="B3375" s="6"/>
      <c r="C3375" s="4"/>
      <c r="D3375" s="4"/>
      <c r="E3375" s="12"/>
      <c r="F3375" s="12"/>
      <c r="G3375" s="16"/>
      <c r="H3375" s="14"/>
      <c r="I3375" s="14"/>
      <c r="J3375" s="14"/>
      <c r="K3375" s="14"/>
      <c r="L3375" s="14"/>
      <c r="M3375" s="14"/>
      <c r="N3375" s="14"/>
      <c r="O3375" s="4"/>
      <c r="P3375" s="14"/>
      <c r="Q3375" s="14"/>
    </row>
    <row r="3376" spans="1:17" x14ac:dyDescent="0.25">
      <c r="A3376" s="5"/>
      <c r="B3376" s="6"/>
      <c r="C3376" s="4"/>
      <c r="D3376" s="4"/>
      <c r="E3376" s="12"/>
      <c r="F3376" s="12"/>
      <c r="G3376" s="16"/>
      <c r="H3376" s="14"/>
      <c r="I3376" s="14"/>
      <c r="J3376" s="14"/>
      <c r="K3376" s="14"/>
      <c r="L3376" s="14"/>
      <c r="M3376" s="14"/>
      <c r="N3376" s="14"/>
      <c r="O3376" s="4"/>
      <c r="P3376" s="14"/>
      <c r="Q3376" s="14"/>
    </row>
    <row r="3377" spans="1:17" x14ac:dyDescent="0.25">
      <c r="A3377" s="5"/>
      <c r="B3377" s="6"/>
      <c r="C3377" s="4"/>
      <c r="D3377" s="4"/>
      <c r="E3377" s="12"/>
      <c r="F3377" s="12"/>
      <c r="G3377" s="16"/>
      <c r="H3377" s="14"/>
      <c r="I3377" s="14"/>
      <c r="J3377" s="14"/>
      <c r="K3377" s="14"/>
      <c r="L3377" s="14"/>
      <c r="M3377" s="14"/>
      <c r="N3377" s="14"/>
      <c r="O3377" s="4"/>
      <c r="P3377" s="14"/>
      <c r="Q3377" s="14"/>
    </row>
    <row r="3378" spans="1:17" x14ac:dyDescent="0.25">
      <c r="A3378" s="5"/>
      <c r="B3378" s="6"/>
      <c r="C3378" s="4"/>
      <c r="D3378" s="4"/>
      <c r="E3378" s="12"/>
      <c r="F3378" s="12"/>
      <c r="G3378" s="16"/>
      <c r="H3378" s="14"/>
      <c r="I3378" s="14"/>
      <c r="J3378" s="14"/>
      <c r="K3378" s="14"/>
      <c r="L3378" s="14"/>
      <c r="M3378" s="14"/>
      <c r="N3378" s="14"/>
      <c r="O3378" s="4"/>
      <c r="P3378" s="14"/>
      <c r="Q3378" s="14"/>
    </row>
    <row r="3379" spans="1:17" x14ac:dyDescent="0.25">
      <c r="A3379" s="5"/>
      <c r="B3379" s="6"/>
      <c r="C3379" s="4"/>
      <c r="D3379" s="4"/>
      <c r="E3379" s="12"/>
      <c r="F3379" s="12"/>
      <c r="G3379" s="16"/>
      <c r="H3379" s="14"/>
      <c r="I3379" s="14"/>
      <c r="J3379" s="14"/>
      <c r="K3379" s="14"/>
      <c r="L3379" s="14"/>
      <c r="M3379" s="14"/>
      <c r="N3379" s="14"/>
      <c r="O3379" s="4"/>
      <c r="P3379" s="14"/>
      <c r="Q3379" s="14"/>
    </row>
    <row r="3380" spans="1:17" x14ac:dyDescent="0.25">
      <c r="A3380" s="5"/>
      <c r="B3380" s="6"/>
      <c r="C3380" s="4"/>
      <c r="D3380" s="4"/>
      <c r="E3380" s="12"/>
      <c r="F3380" s="12"/>
      <c r="G3380" s="16"/>
      <c r="H3380" s="14"/>
      <c r="I3380" s="14"/>
      <c r="J3380" s="14"/>
      <c r="K3380" s="14"/>
      <c r="L3380" s="14"/>
      <c r="M3380" s="14"/>
      <c r="N3380" s="14"/>
      <c r="O3380" s="4"/>
      <c r="P3380" s="14"/>
      <c r="Q3380" s="14"/>
    </row>
    <row r="3381" spans="1:17" x14ac:dyDescent="0.25">
      <c r="A3381" s="5"/>
      <c r="B3381" s="6"/>
      <c r="C3381" s="4"/>
      <c r="D3381" s="4"/>
      <c r="E3381" s="12"/>
      <c r="F3381" s="12"/>
      <c r="G3381" s="16"/>
      <c r="H3381" s="14"/>
      <c r="I3381" s="14"/>
      <c r="J3381" s="14"/>
      <c r="K3381" s="14"/>
      <c r="L3381" s="14"/>
      <c r="M3381" s="14"/>
      <c r="N3381" s="14"/>
      <c r="O3381" s="4"/>
      <c r="P3381" s="14"/>
      <c r="Q3381" s="14"/>
    </row>
    <row r="3382" spans="1:17" x14ac:dyDescent="0.25">
      <c r="A3382" s="5"/>
      <c r="B3382" s="6"/>
      <c r="C3382" s="4"/>
      <c r="D3382" s="4"/>
      <c r="E3382" s="12"/>
      <c r="F3382" s="12"/>
      <c r="G3382" s="16"/>
      <c r="H3382" s="14"/>
      <c r="I3382" s="14"/>
      <c r="J3382" s="14"/>
      <c r="K3382" s="14"/>
      <c r="L3382" s="14"/>
      <c r="M3382" s="14"/>
      <c r="N3382" s="14"/>
      <c r="O3382" s="4"/>
      <c r="P3382" s="14"/>
      <c r="Q3382" s="14"/>
    </row>
    <row r="3383" spans="1:17" x14ac:dyDescent="0.25">
      <c r="A3383" s="5"/>
      <c r="B3383" s="6"/>
      <c r="C3383" s="4"/>
      <c r="D3383" s="4"/>
      <c r="E3383" s="12"/>
      <c r="F3383" s="12"/>
      <c r="G3383" s="16"/>
      <c r="H3383" s="14"/>
      <c r="I3383" s="14"/>
      <c r="J3383" s="14"/>
      <c r="K3383" s="14"/>
      <c r="L3383" s="14"/>
      <c r="M3383" s="14"/>
      <c r="N3383" s="14"/>
      <c r="O3383" s="4"/>
      <c r="P3383" s="14"/>
      <c r="Q3383" s="14"/>
    </row>
    <row r="3384" spans="1:17" x14ac:dyDescent="0.25">
      <c r="A3384" s="5"/>
      <c r="B3384" s="6"/>
      <c r="C3384" s="4"/>
      <c r="D3384" s="4"/>
      <c r="E3384" s="12"/>
      <c r="F3384" s="12"/>
      <c r="G3384" s="16"/>
      <c r="H3384" s="14"/>
      <c r="I3384" s="14"/>
      <c r="J3384" s="14"/>
      <c r="K3384" s="14"/>
      <c r="L3384" s="14"/>
      <c r="M3384" s="14"/>
      <c r="N3384" s="14"/>
      <c r="O3384" s="4"/>
      <c r="P3384" s="14"/>
      <c r="Q3384" s="14"/>
    </row>
    <row r="3385" spans="1:17" x14ac:dyDescent="0.25">
      <c r="A3385" s="5"/>
      <c r="B3385" s="6"/>
      <c r="C3385" s="4"/>
      <c r="D3385" s="4"/>
      <c r="E3385" s="12"/>
      <c r="F3385" s="12"/>
      <c r="G3385" s="16"/>
      <c r="H3385" s="14"/>
      <c r="I3385" s="14"/>
      <c r="J3385" s="14"/>
      <c r="K3385" s="14"/>
      <c r="L3385" s="14"/>
      <c r="M3385" s="14"/>
      <c r="N3385" s="14"/>
      <c r="O3385" s="4"/>
      <c r="P3385" s="14"/>
      <c r="Q3385" s="14"/>
    </row>
    <row r="3386" spans="1:17" x14ac:dyDescent="0.25">
      <c r="A3386" s="5"/>
      <c r="B3386" s="6"/>
      <c r="C3386" s="4"/>
      <c r="D3386" s="4"/>
      <c r="E3386" s="12"/>
      <c r="F3386" s="12"/>
      <c r="G3386" s="16"/>
      <c r="H3386" s="14"/>
      <c r="I3386" s="14"/>
      <c r="J3386" s="14"/>
      <c r="K3386" s="14"/>
      <c r="L3386" s="14"/>
      <c r="M3386" s="14"/>
      <c r="N3386" s="14"/>
      <c r="O3386" s="4"/>
      <c r="P3386" s="14"/>
      <c r="Q3386" s="14"/>
    </row>
    <row r="3387" spans="1:17" x14ac:dyDescent="0.25">
      <c r="A3387" s="5"/>
      <c r="B3387" s="6"/>
      <c r="C3387" s="4"/>
      <c r="D3387" s="4"/>
      <c r="E3387" s="12"/>
      <c r="F3387" s="12"/>
      <c r="G3387" s="16"/>
      <c r="H3387" s="14"/>
      <c r="I3387" s="14"/>
      <c r="J3387" s="14"/>
      <c r="K3387" s="14"/>
      <c r="L3387" s="14"/>
      <c r="M3387" s="14"/>
      <c r="N3387" s="14"/>
      <c r="O3387" s="4"/>
      <c r="P3387" s="14"/>
      <c r="Q3387" s="14"/>
    </row>
    <row r="3388" spans="1:17" x14ac:dyDescent="0.25">
      <c r="A3388" s="5"/>
      <c r="B3388" s="6"/>
      <c r="C3388" s="4"/>
      <c r="D3388" s="4"/>
      <c r="E3388" s="12"/>
      <c r="F3388" s="12"/>
      <c r="G3388" s="16"/>
      <c r="H3388" s="14"/>
      <c r="I3388" s="14"/>
      <c r="J3388" s="14"/>
      <c r="K3388" s="14"/>
      <c r="L3388" s="14"/>
      <c r="M3388" s="14"/>
      <c r="N3388" s="14"/>
      <c r="O3388" s="4"/>
      <c r="P3388" s="14"/>
      <c r="Q3388" s="14"/>
    </row>
    <row r="3389" spans="1:17" x14ac:dyDescent="0.25">
      <c r="A3389" s="5"/>
      <c r="B3389" s="6"/>
      <c r="C3389" s="4"/>
      <c r="D3389" s="4"/>
      <c r="E3389" s="12"/>
      <c r="F3389" s="12"/>
      <c r="G3389" s="16"/>
      <c r="H3389" s="14"/>
      <c r="I3389" s="14"/>
      <c r="J3389" s="14"/>
      <c r="K3389" s="14"/>
      <c r="L3389" s="14"/>
      <c r="M3389" s="14"/>
      <c r="N3389" s="14"/>
      <c r="O3389" s="4"/>
      <c r="P3389" s="14"/>
      <c r="Q3389" s="14"/>
    </row>
    <row r="3390" spans="1:17" x14ac:dyDescent="0.25">
      <c r="A3390" s="5"/>
      <c r="B3390" s="6"/>
      <c r="C3390" s="4"/>
      <c r="D3390" s="4"/>
      <c r="E3390" s="12"/>
      <c r="F3390" s="12"/>
      <c r="G3390" s="16"/>
      <c r="H3390" s="14"/>
      <c r="I3390" s="14"/>
      <c r="J3390" s="14"/>
      <c r="K3390" s="14"/>
      <c r="L3390" s="14"/>
      <c r="M3390" s="14"/>
      <c r="N3390" s="14"/>
      <c r="O3390" s="4"/>
      <c r="P3390" s="14"/>
      <c r="Q3390" s="14"/>
    </row>
    <row r="3391" spans="1:17" x14ac:dyDescent="0.25">
      <c r="A3391" s="5"/>
      <c r="B3391" s="6"/>
      <c r="C3391" s="4"/>
      <c r="D3391" s="4"/>
      <c r="E3391" s="12"/>
      <c r="F3391" s="12"/>
      <c r="G3391" s="16"/>
      <c r="H3391" s="14"/>
      <c r="I3391" s="14"/>
      <c r="J3391" s="14"/>
      <c r="K3391" s="14"/>
      <c r="L3391" s="14"/>
      <c r="M3391" s="14"/>
      <c r="N3391" s="14"/>
      <c r="O3391" s="4"/>
      <c r="P3391" s="14"/>
      <c r="Q3391" s="14"/>
    </row>
    <row r="3392" spans="1:17" x14ac:dyDescent="0.25">
      <c r="A3392" s="5"/>
      <c r="B3392" s="6"/>
      <c r="C3392" s="4"/>
      <c r="D3392" s="4"/>
      <c r="E3392" s="12"/>
      <c r="F3392" s="12"/>
      <c r="G3392" s="16"/>
      <c r="H3392" s="14"/>
      <c r="I3392" s="14"/>
      <c r="J3392" s="14"/>
      <c r="K3392" s="14"/>
      <c r="L3392" s="14"/>
      <c r="M3392" s="14"/>
      <c r="N3392" s="14"/>
      <c r="O3392" s="4"/>
      <c r="P3392" s="14"/>
      <c r="Q3392" s="14"/>
    </row>
    <row r="3393" spans="1:17" x14ac:dyDescent="0.25">
      <c r="A3393" s="5"/>
      <c r="B3393" s="6"/>
      <c r="C3393" s="4"/>
      <c r="D3393" s="4"/>
      <c r="E3393" s="12"/>
      <c r="F3393" s="12"/>
      <c r="G3393" s="16"/>
      <c r="H3393" s="14"/>
      <c r="I3393" s="14"/>
      <c r="J3393" s="14"/>
      <c r="K3393" s="14"/>
      <c r="L3393" s="14"/>
      <c r="M3393" s="14"/>
      <c r="N3393" s="14"/>
      <c r="O3393" s="4"/>
      <c r="P3393" s="14"/>
      <c r="Q3393" s="14"/>
    </row>
    <row r="3394" spans="1:17" x14ac:dyDescent="0.25">
      <c r="A3394" s="5"/>
      <c r="B3394" s="6"/>
      <c r="C3394" s="4"/>
      <c r="D3394" s="4"/>
      <c r="E3394" s="12"/>
      <c r="F3394" s="12"/>
      <c r="G3394" s="16"/>
      <c r="H3394" s="14"/>
      <c r="I3394" s="14"/>
      <c r="J3394" s="14"/>
      <c r="K3394" s="14"/>
      <c r="L3394" s="14"/>
      <c r="M3394" s="14"/>
      <c r="N3394" s="14"/>
      <c r="O3394" s="4"/>
      <c r="P3394" s="14"/>
      <c r="Q3394" s="14"/>
    </row>
    <row r="3395" spans="1:17" x14ac:dyDescent="0.25">
      <c r="A3395" s="5"/>
      <c r="B3395" s="6"/>
      <c r="C3395" s="4"/>
      <c r="D3395" s="4"/>
      <c r="E3395" s="12"/>
      <c r="F3395" s="12"/>
      <c r="G3395" s="16"/>
      <c r="H3395" s="14"/>
      <c r="I3395" s="14"/>
      <c r="J3395" s="14"/>
      <c r="K3395" s="14"/>
      <c r="L3395" s="14"/>
      <c r="M3395" s="14"/>
      <c r="N3395" s="14"/>
      <c r="O3395" s="4"/>
      <c r="P3395" s="14"/>
      <c r="Q3395" s="14"/>
    </row>
    <row r="3396" spans="1:17" x14ac:dyDescent="0.25">
      <c r="A3396" s="5"/>
      <c r="B3396" s="6"/>
      <c r="C3396" s="4"/>
      <c r="D3396" s="4"/>
      <c r="E3396" s="12"/>
      <c r="F3396" s="12"/>
      <c r="G3396" s="16"/>
      <c r="H3396" s="14"/>
      <c r="I3396" s="14"/>
      <c r="J3396" s="14"/>
      <c r="K3396" s="14"/>
      <c r="L3396" s="14"/>
      <c r="M3396" s="14"/>
      <c r="N3396" s="14"/>
      <c r="O3396" s="4"/>
      <c r="P3396" s="14"/>
      <c r="Q3396" s="14"/>
    </row>
    <row r="3397" spans="1:17" x14ac:dyDescent="0.25">
      <c r="A3397" s="5"/>
      <c r="B3397" s="6"/>
      <c r="C3397" s="4"/>
      <c r="D3397" s="4"/>
      <c r="E3397" s="12"/>
      <c r="F3397" s="12"/>
      <c r="G3397" s="16"/>
      <c r="H3397" s="14"/>
      <c r="I3397" s="14"/>
      <c r="J3397" s="14"/>
      <c r="K3397" s="14"/>
      <c r="L3397" s="14"/>
      <c r="M3397" s="14"/>
      <c r="N3397" s="14"/>
      <c r="O3397" s="4"/>
      <c r="P3397" s="14"/>
      <c r="Q3397" s="14"/>
    </row>
    <row r="3398" spans="1:17" x14ac:dyDescent="0.25">
      <c r="A3398" s="5"/>
      <c r="B3398" s="6"/>
      <c r="C3398" s="4"/>
      <c r="D3398" s="4"/>
      <c r="E3398" s="12"/>
      <c r="F3398" s="12"/>
      <c r="G3398" s="16"/>
      <c r="H3398" s="14"/>
      <c r="I3398" s="14"/>
      <c r="J3398" s="14"/>
      <c r="K3398" s="14"/>
      <c r="L3398" s="14"/>
      <c r="M3398" s="14"/>
      <c r="N3398" s="14"/>
      <c r="O3398" s="4"/>
      <c r="P3398" s="14"/>
      <c r="Q3398" s="14"/>
    </row>
    <row r="3399" spans="1:17" x14ac:dyDescent="0.25">
      <c r="A3399" s="5"/>
      <c r="B3399" s="6"/>
      <c r="C3399" s="4"/>
      <c r="D3399" s="4"/>
      <c r="E3399" s="12"/>
      <c r="F3399" s="12"/>
      <c r="G3399" s="16"/>
      <c r="H3399" s="14"/>
      <c r="I3399" s="14"/>
      <c r="J3399" s="14"/>
      <c r="K3399" s="14"/>
      <c r="L3399" s="14"/>
      <c r="M3399" s="14"/>
      <c r="N3399" s="14"/>
      <c r="O3399" s="4"/>
      <c r="P3399" s="14"/>
      <c r="Q3399" s="14"/>
    </row>
    <row r="3400" spans="1:17" x14ac:dyDescent="0.25">
      <c r="A3400" s="5"/>
      <c r="B3400" s="6"/>
      <c r="C3400" s="4"/>
      <c r="D3400" s="4"/>
      <c r="E3400" s="12"/>
      <c r="F3400" s="12"/>
      <c r="G3400" s="16"/>
      <c r="H3400" s="14"/>
      <c r="I3400" s="14"/>
      <c r="J3400" s="14"/>
      <c r="K3400" s="14"/>
      <c r="L3400" s="14"/>
      <c r="M3400" s="14"/>
      <c r="N3400" s="14"/>
      <c r="O3400" s="4"/>
      <c r="P3400" s="14"/>
      <c r="Q3400" s="14"/>
    </row>
    <row r="3401" spans="1:17" x14ac:dyDescent="0.25">
      <c r="A3401" s="5"/>
      <c r="B3401" s="6"/>
      <c r="C3401" s="4"/>
      <c r="D3401" s="4"/>
      <c r="E3401" s="12"/>
      <c r="F3401" s="12"/>
      <c r="G3401" s="16"/>
      <c r="H3401" s="14"/>
      <c r="I3401" s="14"/>
      <c r="J3401" s="14"/>
      <c r="K3401" s="14"/>
      <c r="L3401" s="14"/>
      <c r="M3401" s="14"/>
      <c r="N3401" s="14"/>
      <c r="O3401" s="4"/>
      <c r="P3401" s="14"/>
      <c r="Q3401" s="14"/>
    </row>
    <row r="3402" spans="1:17" x14ac:dyDescent="0.25">
      <c r="A3402" s="5"/>
      <c r="B3402" s="6"/>
      <c r="C3402" s="4"/>
      <c r="D3402" s="4"/>
      <c r="E3402" s="12"/>
      <c r="F3402" s="12"/>
      <c r="G3402" s="16"/>
      <c r="H3402" s="14"/>
      <c r="I3402" s="14"/>
      <c r="J3402" s="14"/>
      <c r="K3402" s="14"/>
      <c r="L3402" s="14"/>
      <c r="M3402" s="14"/>
      <c r="N3402" s="14"/>
      <c r="O3402" s="4"/>
      <c r="P3402" s="14"/>
      <c r="Q3402" s="14"/>
    </row>
    <row r="3403" spans="1:17" x14ac:dyDescent="0.25">
      <c r="A3403" s="5"/>
      <c r="B3403" s="6"/>
      <c r="C3403" s="4"/>
      <c r="D3403" s="4"/>
      <c r="E3403" s="12"/>
      <c r="F3403" s="12"/>
      <c r="G3403" s="16"/>
      <c r="H3403" s="14"/>
      <c r="I3403" s="14"/>
      <c r="J3403" s="14"/>
      <c r="K3403" s="14"/>
      <c r="L3403" s="14"/>
      <c r="M3403" s="14"/>
      <c r="N3403" s="14"/>
      <c r="O3403" s="4"/>
      <c r="P3403" s="14"/>
      <c r="Q3403" s="14"/>
    </row>
    <row r="3404" spans="1:17" x14ac:dyDescent="0.25">
      <c r="A3404" s="5"/>
      <c r="B3404" s="6"/>
      <c r="C3404" s="4"/>
      <c r="D3404" s="4"/>
      <c r="E3404" s="12"/>
      <c r="F3404" s="12"/>
      <c r="G3404" s="16"/>
      <c r="H3404" s="14"/>
      <c r="I3404" s="14"/>
      <c r="J3404" s="14"/>
      <c r="K3404" s="14"/>
      <c r="L3404" s="14"/>
      <c r="M3404" s="14"/>
      <c r="N3404" s="14"/>
      <c r="O3404" s="4"/>
      <c r="P3404" s="14"/>
      <c r="Q3404" s="14"/>
    </row>
    <row r="3405" spans="1:17" x14ac:dyDescent="0.25">
      <c r="A3405" s="5"/>
      <c r="B3405" s="6"/>
      <c r="C3405" s="4"/>
      <c r="D3405" s="4"/>
      <c r="E3405" s="12"/>
      <c r="F3405" s="12"/>
      <c r="G3405" s="16"/>
      <c r="H3405" s="14"/>
      <c r="I3405" s="14"/>
      <c r="J3405" s="14"/>
      <c r="K3405" s="14"/>
      <c r="L3405" s="14"/>
      <c r="M3405" s="14"/>
      <c r="N3405" s="14"/>
      <c r="O3405" s="4"/>
      <c r="P3405" s="14"/>
      <c r="Q3405" s="14"/>
    </row>
    <row r="3406" spans="1:17" x14ac:dyDescent="0.25">
      <c r="A3406" s="5"/>
      <c r="B3406" s="6"/>
      <c r="C3406" s="4"/>
      <c r="D3406" s="4"/>
      <c r="E3406" s="12"/>
      <c r="F3406" s="12"/>
      <c r="G3406" s="16"/>
      <c r="H3406" s="14"/>
      <c r="I3406" s="14"/>
      <c r="J3406" s="14"/>
      <c r="K3406" s="14"/>
      <c r="L3406" s="14"/>
      <c r="M3406" s="14"/>
      <c r="N3406" s="14"/>
      <c r="O3406" s="4"/>
      <c r="P3406" s="14"/>
      <c r="Q3406" s="14"/>
    </row>
    <row r="3407" spans="1:17" x14ac:dyDescent="0.25">
      <c r="A3407" s="5"/>
      <c r="B3407" s="6"/>
      <c r="C3407" s="4"/>
      <c r="D3407" s="4"/>
      <c r="E3407" s="12"/>
      <c r="F3407" s="12"/>
      <c r="G3407" s="16"/>
      <c r="H3407" s="14"/>
      <c r="I3407" s="14"/>
      <c r="J3407" s="14"/>
      <c r="K3407" s="14"/>
      <c r="L3407" s="14"/>
      <c r="M3407" s="14"/>
      <c r="N3407" s="14"/>
      <c r="O3407" s="4"/>
      <c r="P3407" s="14"/>
      <c r="Q3407" s="14"/>
    </row>
    <row r="3408" spans="1:17" x14ac:dyDescent="0.25">
      <c r="A3408" s="5"/>
      <c r="B3408" s="6"/>
      <c r="C3408" s="4"/>
      <c r="D3408" s="4"/>
      <c r="E3408" s="12"/>
      <c r="F3408" s="12"/>
      <c r="G3408" s="16"/>
      <c r="H3408" s="14"/>
      <c r="I3408" s="14"/>
      <c r="J3408" s="14"/>
      <c r="K3408" s="14"/>
      <c r="L3408" s="14"/>
      <c r="M3408" s="14"/>
      <c r="N3408" s="14"/>
      <c r="O3408" s="4"/>
      <c r="P3408" s="14"/>
      <c r="Q3408" s="14"/>
    </row>
    <row r="3409" spans="1:17" x14ac:dyDescent="0.25">
      <c r="A3409" s="5"/>
      <c r="B3409" s="6"/>
      <c r="C3409" s="4"/>
      <c r="D3409" s="4"/>
      <c r="E3409" s="12"/>
      <c r="F3409" s="12"/>
      <c r="G3409" s="16"/>
      <c r="H3409" s="14"/>
      <c r="I3409" s="14"/>
      <c r="J3409" s="14"/>
      <c r="K3409" s="14"/>
      <c r="L3409" s="14"/>
      <c r="M3409" s="14"/>
      <c r="N3409" s="14"/>
      <c r="O3409" s="4"/>
      <c r="P3409" s="14"/>
      <c r="Q3409" s="14"/>
    </row>
    <row r="3410" spans="1:17" x14ac:dyDescent="0.25">
      <c r="A3410" s="5"/>
      <c r="B3410" s="6"/>
      <c r="C3410" s="4"/>
      <c r="D3410" s="4"/>
      <c r="E3410" s="12"/>
      <c r="F3410" s="12"/>
      <c r="G3410" s="16"/>
      <c r="H3410" s="14"/>
      <c r="I3410" s="14"/>
      <c r="J3410" s="14"/>
      <c r="K3410" s="14"/>
      <c r="L3410" s="14"/>
      <c r="M3410" s="14"/>
      <c r="N3410" s="14"/>
      <c r="O3410" s="4"/>
      <c r="P3410" s="14"/>
      <c r="Q3410" s="14"/>
    </row>
    <row r="3411" spans="1:17" x14ac:dyDescent="0.25">
      <c r="A3411" s="5"/>
      <c r="B3411" s="6"/>
      <c r="C3411" s="4"/>
      <c r="D3411" s="4"/>
      <c r="E3411" s="12"/>
      <c r="F3411" s="12"/>
      <c r="G3411" s="16"/>
      <c r="H3411" s="14"/>
      <c r="I3411" s="14"/>
      <c r="J3411" s="14"/>
      <c r="K3411" s="14"/>
      <c r="L3411" s="14"/>
      <c r="M3411" s="14"/>
      <c r="N3411" s="14"/>
      <c r="O3411" s="4"/>
      <c r="P3411" s="14"/>
      <c r="Q3411" s="14"/>
    </row>
    <row r="3412" spans="1:17" x14ac:dyDescent="0.25">
      <c r="A3412" s="5"/>
      <c r="B3412" s="6"/>
      <c r="C3412" s="4"/>
      <c r="D3412" s="4"/>
      <c r="E3412" s="12"/>
      <c r="F3412" s="12"/>
      <c r="G3412" s="16"/>
      <c r="H3412" s="14"/>
      <c r="I3412" s="14"/>
      <c r="J3412" s="14"/>
      <c r="K3412" s="14"/>
      <c r="L3412" s="14"/>
      <c r="M3412" s="14"/>
      <c r="N3412" s="14"/>
      <c r="O3412" s="4"/>
      <c r="P3412" s="14"/>
      <c r="Q3412" s="14"/>
    </row>
    <row r="3413" spans="1:17" x14ac:dyDescent="0.25">
      <c r="A3413" s="5"/>
      <c r="B3413" s="6"/>
      <c r="C3413" s="4"/>
      <c r="D3413" s="4"/>
      <c r="E3413" s="12"/>
      <c r="F3413" s="12"/>
      <c r="G3413" s="16"/>
      <c r="H3413" s="14"/>
      <c r="I3413" s="14"/>
      <c r="J3413" s="14"/>
      <c r="K3413" s="14"/>
      <c r="L3413" s="14"/>
      <c r="M3413" s="14"/>
      <c r="N3413" s="14"/>
      <c r="O3413" s="4"/>
      <c r="P3413" s="14"/>
      <c r="Q3413" s="14"/>
    </row>
    <row r="3414" spans="1:17" x14ac:dyDescent="0.25">
      <c r="A3414" s="5"/>
      <c r="B3414" s="6"/>
      <c r="C3414" s="4"/>
      <c r="D3414" s="4"/>
      <c r="E3414" s="12"/>
      <c r="F3414" s="12"/>
      <c r="G3414" s="16"/>
      <c r="H3414" s="14"/>
      <c r="I3414" s="14"/>
      <c r="J3414" s="14"/>
      <c r="K3414" s="14"/>
      <c r="L3414" s="14"/>
      <c r="M3414" s="14"/>
      <c r="N3414" s="14"/>
      <c r="O3414" s="4"/>
      <c r="P3414" s="14"/>
      <c r="Q3414" s="14"/>
    </row>
    <row r="3415" spans="1:17" x14ac:dyDescent="0.25">
      <c r="A3415" s="5"/>
      <c r="B3415" s="6"/>
      <c r="C3415" s="4"/>
      <c r="D3415" s="4"/>
      <c r="E3415" s="12"/>
      <c r="F3415" s="12"/>
      <c r="G3415" s="16"/>
      <c r="H3415" s="14"/>
      <c r="I3415" s="14"/>
      <c r="J3415" s="14"/>
      <c r="K3415" s="14"/>
      <c r="L3415" s="14"/>
      <c r="M3415" s="14"/>
      <c r="N3415" s="14"/>
      <c r="O3415" s="4"/>
      <c r="P3415" s="14"/>
      <c r="Q3415" s="14"/>
    </row>
    <row r="3416" spans="1:17" x14ac:dyDescent="0.25">
      <c r="A3416" s="5"/>
      <c r="B3416" s="6"/>
      <c r="C3416" s="4"/>
      <c r="D3416" s="4"/>
      <c r="E3416" s="12"/>
      <c r="F3416" s="12"/>
      <c r="G3416" s="16"/>
      <c r="H3416" s="14"/>
      <c r="I3416" s="14"/>
      <c r="J3416" s="14"/>
      <c r="K3416" s="14"/>
      <c r="L3416" s="14"/>
      <c r="M3416" s="14"/>
      <c r="N3416" s="14"/>
      <c r="O3416" s="4"/>
      <c r="P3416" s="14"/>
      <c r="Q3416" s="14"/>
    </row>
    <row r="3417" spans="1:17" x14ac:dyDescent="0.25">
      <c r="A3417" s="5"/>
      <c r="B3417" s="6"/>
      <c r="C3417" s="4"/>
      <c r="D3417" s="4"/>
      <c r="E3417" s="12"/>
      <c r="F3417" s="12"/>
      <c r="G3417" s="16"/>
      <c r="H3417" s="14"/>
      <c r="I3417" s="14"/>
      <c r="J3417" s="14"/>
      <c r="K3417" s="14"/>
      <c r="L3417" s="14"/>
      <c r="M3417" s="14"/>
      <c r="N3417" s="14"/>
      <c r="O3417" s="4"/>
      <c r="P3417" s="14"/>
      <c r="Q3417" s="14"/>
    </row>
    <row r="3418" spans="1:17" x14ac:dyDescent="0.25">
      <c r="A3418" s="5"/>
      <c r="B3418" s="6"/>
      <c r="C3418" s="4"/>
      <c r="D3418" s="4"/>
      <c r="E3418" s="12"/>
      <c r="F3418" s="12"/>
      <c r="G3418" s="16"/>
      <c r="H3418" s="14"/>
      <c r="I3418" s="14"/>
      <c r="J3418" s="14"/>
      <c r="K3418" s="14"/>
      <c r="L3418" s="14"/>
      <c r="M3418" s="14"/>
      <c r="N3418" s="14"/>
      <c r="O3418" s="4"/>
      <c r="P3418" s="14"/>
      <c r="Q3418" s="14"/>
    </row>
    <row r="3419" spans="1:17" x14ac:dyDescent="0.25">
      <c r="A3419" s="5"/>
      <c r="B3419" s="6"/>
      <c r="C3419" s="4"/>
      <c r="D3419" s="4"/>
      <c r="E3419" s="12"/>
      <c r="F3419" s="12"/>
      <c r="G3419" s="16"/>
      <c r="H3419" s="14"/>
      <c r="I3419" s="14"/>
      <c r="J3419" s="14"/>
      <c r="K3419" s="14"/>
      <c r="L3419" s="14"/>
      <c r="M3419" s="14"/>
      <c r="N3419" s="14"/>
      <c r="O3419" s="4"/>
      <c r="P3419" s="14"/>
      <c r="Q3419" s="14"/>
    </row>
    <row r="3420" spans="1:17" x14ac:dyDescent="0.25">
      <c r="A3420" s="5"/>
      <c r="B3420" s="6"/>
      <c r="C3420" s="4"/>
      <c r="D3420" s="4"/>
      <c r="E3420" s="12"/>
      <c r="F3420" s="12"/>
      <c r="G3420" s="16"/>
      <c r="H3420" s="14"/>
      <c r="I3420" s="14"/>
      <c r="J3420" s="14"/>
      <c r="K3420" s="14"/>
      <c r="L3420" s="14"/>
      <c r="M3420" s="14"/>
      <c r="N3420" s="14"/>
      <c r="O3420" s="4"/>
      <c r="P3420" s="14"/>
      <c r="Q3420" s="14"/>
    </row>
    <row r="3421" spans="1:17" x14ac:dyDescent="0.25">
      <c r="A3421" s="5"/>
      <c r="B3421" s="6"/>
      <c r="C3421" s="4"/>
      <c r="D3421" s="4"/>
      <c r="E3421" s="12"/>
      <c r="F3421" s="12"/>
      <c r="G3421" s="16"/>
      <c r="H3421" s="14"/>
      <c r="I3421" s="14"/>
      <c r="J3421" s="14"/>
      <c r="K3421" s="14"/>
      <c r="L3421" s="14"/>
      <c r="M3421" s="14"/>
      <c r="N3421" s="14"/>
      <c r="O3421" s="4"/>
      <c r="P3421" s="14"/>
      <c r="Q3421" s="14"/>
    </row>
    <row r="3422" spans="1:17" x14ac:dyDescent="0.25">
      <c r="A3422" s="5"/>
      <c r="B3422" s="6"/>
      <c r="C3422" s="4"/>
      <c r="D3422" s="4"/>
      <c r="E3422" s="12"/>
      <c r="F3422" s="12"/>
      <c r="G3422" s="16"/>
      <c r="H3422" s="14"/>
      <c r="I3422" s="14"/>
      <c r="J3422" s="14"/>
      <c r="K3422" s="14"/>
      <c r="L3422" s="14"/>
      <c r="M3422" s="14"/>
      <c r="N3422" s="14"/>
      <c r="O3422" s="4"/>
      <c r="P3422" s="14"/>
      <c r="Q3422" s="14"/>
    </row>
    <row r="3423" spans="1:17" x14ac:dyDescent="0.25">
      <c r="A3423" s="5"/>
      <c r="B3423" s="6"/>
      <c r="C3423" s="4"/>
      <c r="D3423" s="4"/>
      <c r="E3423" s="12"/>
      <c r="F3423" s="12"/>
      <c r="G3423" s="16"/>
      <c r="H3423" s="14"/>
      <c r="I3423" s="14"/>
      <c r="J3423" s="14"/>
      <c r="K3423" s="14"/>
      <c r="L3423" s="14"/>
      <c r="M3423" s="14"/>
      <c r="N3423" s="14"/>
      <c r="O3423" s="4"/>
      <c r="P3423" s="14"/>
      <c r="Q3423" s="14"/>
    </row>
    <row r="3424" spans="1:17" x14ac:dyDescent="0.25">
      <c r="A3424" s="5"/>
      <c r="B3424" s="6"/>
      <c r="C3424" s="4"/>
      <c r="D3424" s="4"/>
      <c r="E3424" s="12"/>
      <c r="F3424" s="12"/>
      <c r="G3424" s="16"/>
      <c r="H3424" s="14"/>
      <c r="I3424" s="14"/>
      <c r="J3424" s="14"/>
      <c r="K3424" s="14"/>
      <c r="L3424" s="14"/>
      <c r="M3424" s="14"/>
      <c r="N3424" s="14"/>
      <c r="O3424" s="4"/>
      <c r="P3424" s="14"/>
      <c r="Q3424" s="14"/>
    </row>
    <row r="3425" spans="1:17" x14ac:dyDescent="0.25">
      <c r="A3425" s="5"/>
      <c r="B3425" s="6"/>
      <c r="C3425" s="4"/>
      <c r="D3425" s="4"/>
      <c r="E3425" s="12"/>
      <c r="F3425" s="12"/>
      <c r="G3425" s="16"/>
      <c r="H3425" s="14"/>
      <c r="I3425" s="14"/>
      <c r="J3425" s="14"/>
      <c r="K3425" s="14"/>
      <c r="L3425" s="14"/>
      <c r="M3425" s="14"/>
      <c r="N3425" s="14"/>
      <c r="O3425" s="4"/>
      <c r="P3425" s="14"/>
      <c r="Q3425" s="14"/>
    </row>
    <row r="3426" spans="1:17" x14ac:dyDescent="0.25">
      <c r="A3426" s="5"/>
      <c r="B3426" s="6"/>
      <c r="C3426" s="4"/>
      <c r="D3426" s="4"/>
      <c r="E3426" s="12"/>
      <c r="F3426" s="12"/>
      <c r="G3426" s="16"/>
      <c r="H3426" s="14"/>
      <c r="I3426" s="14"/>
      <c r="J3426" s="14"/>
      <c r="K3426" s="14"/>
      <c r="L3426" s="14"/>
      <c r="M3426" s="14"/>
      <c r="N3426" s="14"/>
      <c r="O3426" s="4"/>
      <c r="P3426" s="14"/>
      <c r="Q3426" s="14"/>
    </row>
    <row r="3427" spans="1:17" x14ac:dyDescent="0.25">
      <c r="A3427" s="5"/>
      <c r="B3427" s="6"/>
      <c r="C3427" s="4"/>
      <c r="D3427" s="4"/>
      <c r="E3427" s="12"/>
      <c r="F3427" s="12"/>
      <c r="G3427" s="16"/>
      <c r="H3427" s="14"/>
      <c r="I3427" s="14"/>
      <c r="J3427" s="14"/>
      <c r="K3427" s="14"/>
      <c r="L3427" s="14"/>
      <c r="M3427" s="14"/>
      <c r="N3427" s="14"/>
      <c r="O3427" s="4"/>
      <c r="P3427" s="14"/>
      <c r="Q3427" s="14"/>
    </row>
    <row r="3428" spans="1:17" x14ac:dyDescent="0.25">
      <c r="A3428" s="5"/>
      <c r="B3428" s="6"/>
      <c r="C3428" s="4"/>
      <c r="D3428" s="4"/>
      <c r="E3428" s="12"/>
      <c r="F3428" s="12"/>
      <c r="G3428" s="16"/>
      <c r="H3428" s="14"/>
      <c r="I3428" s="14"/>
      <c r="J3428" s="14"/>
      <c r="K3428" s="14"/>
      <c r="L3428" s="14"/>
      <c r="M3428" s="14"/>
      <c r="N3428" s="14"/>
      <c r="O3428" s="4"/>
      <c r="P3428" s="14"/>
      <c r="Q3428" s="14"/>
    </row>
    <row r="3429" spans="1:17" x14ac:dyDescent="0.25">
      <c r="A3429" s="5"/>
      <c r="B3429" s="6"/>
      <c r="C3429" s="4"/>
      <c r="D3429" s="4"/>
      <c r="E3429" s="12"/>
      <c r="F3429" s="12"/>
      <c r="G3429" s="16"/>
      <c r="H3429" s="14"/>
      <c r="I3429" s="14"/>
      <c r="J3429" s="14"/>
      <c r="K3429" s="14"/>
      <c r="L3429" s="14"/>
      <c r="M3429" s="14"/>
      <c r="N3429" s="14"/>
      <c r="O3429" s="4"/>
      <c r="P3429" s="14"/>
      <c r="Q3429" s="14"/>
    </row>
    <row r="3430" spans="1:17" x14ac:dyDescent="0.25">
      <c r="A3430" s="5"/>
      <c r="B3430" s="6"/>
      <c r="C3430" s="4"/>
      <c r="D3430" s="4"/>
      <c r="E3430" s="12"/>
      <c r="F3430" s="12"/>
      <c r="G3430" s="16"/>
      <c r="H3430" s="14"/>
      <c r="I3430" s="14"/>
      <c r="J3430" s="14"/>
      <c r="K3430" s="14"/>
      <c r="L3430" s="14"/>
      <c r="M3430" s="14"/>
      <c r="N3430" s="14"/>
      <c r="O3430" s="4"/>
      <c r="P3430" s="14"/>
      <c r="Q3430" s="14"/>
    </row>
    <row r="3431" spans="1:17" x14ac:dyDescent="0.25">
      <c r="A3431" s="5"/>
      <c r="B3431" s="6"/>
      <c r="C3431" s="4"/>
      <c r="D3431" s="4"/>
      <c r="E3431" s="12"/>
      <c r="F3431" s="12"/>
      <c r="G3431" s="16"/>
      <c r="H3431" s="14"/>
      <c r="I3431" s="14"/>
      <c r="J3431" s="14"/>
      <c r="K3431" s="14"/>
      <c r="L3431" s="14"/>
      <c r="M3431" s="14"/>
      <c r="N3431" s="14"/>
      <c r="O3431" s="4"/>
      <c r="P3431" s="14"/>
      <c r="Q3431" s="14"/>
    </row>
    <row r="3432" spans="1:17" x14ac:dyDescent="0.25">
      <c r="A3432" s="5"/>
      <c r="B3432" s="6"/>
      <c r="C3432" s="4"/>
      <c r="D3432" s="4"/>
      <c r="E3432" s="12"/>
      <c r="F3432" s="12"/>
      <c r="G3432" s="16"/>
      <c r="H3432" s="14"/>
      <c r="I3432" s="14"/>
      <c r="J3432" s="14"/>
      <c r="K3432" s="14"/>
      <c r="L3432" s="14"/>
      <c r="M3432" s="14"/>
      <c r="N3432" s="14"/>
      <c r="O3432" s="4"/>
      <c r="P3432" s="14"/>
      <c r="Q3432" s="14"/>
    </row>
    <row r="3433" spans="1:17" x14ac:dyDescent="0.25">
      <c r="A3433" s="5"/>
      <c r="B3433" s="6"/>
      <c r="C3433" s="4"/>
      <c r="D3433" s="4"/>
      <c r="E3433" s="12"/>
      <c r="F3433" s="12"/>
      <c r="G3433" s="16"/>
      <c r="H3433" s="14"/>
      <c r="I3433" s="14"/>
      <c r="J3433" s="14"/>
      <c r="K3433" s="14"/>
      <c r="L3433" s="14"/>
      <c r="M3433" s="14"/>
      <c r="N3433" s="14"/>
      <c r="O3433" s="4"/>
      <c r="P3433" s="14"/>
      <c r="Q3433" s="14"/>
    </row>
    <row r="3434" spans="1:17" x14ac:dyDescent="0.25">
      <c r="A3434" s="5"/>
      <c r="B3434" s="6"/>
      <c r="C3434" s="4"/>
      <c r="D3434" s="4"/>
      <c r="E3434" s="12"/>
      <c r="F3434" s="12"/>
      <c r="G3434" s="16"/>
      <c r="H3434" s="14"/>
      <c r="I3434" s="14"/>
      <c r="J3434" s="14"/>
      <c r="K3434" s="14"/>
      <c r="L3434" s="14"/>
      <c r="M3434" s="14"/>
      <c r="N3434" s="14"/>
      <c r="O3434" s="4"/>
      <c r="P3434" s="14"/>
      <c r="Q3434" s="14"/>
    </row>
    <row r="3435" spans="1:17" x14ac:dyDescent="0.25">
      <c r="A3435" s="5"/>
      <c r="B3435" s="6"/>
      <c r="C3435" s="4"/>
      <c r="D3435" s="4"/>
      <c r="E3435" s="12"/>
      <c r="F3435" s="12"/>
      <c r="G3435" s="16"/>
      <c r="H3435" s="14"/>
      <c r="I3435" s="14"/>
      <c r="J3435" s="14"/>
      <c r="K3435" s="14"/>
      <c r="L3435" s="14"/>
      <c r="M3435" s="14"/>
      <c r="N3435" s="14"/>
      <c r="O3435" s="4"/>
      <c r="P3435" s="14"/>
      <c r="Q3435" s="14"/>
    </row>
    <row r="3436" spans="1:17" x14ac:dyDescent="0.25">
      <c r="A3436" s="5"/>
      <c r="B3436" s="6"/>
      <c r="C3436" s="4"/>
      <c r="D3436" s="4"/>
      <c r="E3436" s="12"/>
      <c r="F3436" s="12"/>
      <c r="G3436" s="16"/>
      <c r="H3436" s="14"/>
      <c r="I3436" s="14"/>
      <c r="J3436" s="14"/>
      <c r="K3436" s="14"/>
      <c r="L3436" s="14"/>
      <c r="M3436" s="14"/>
      <c r="N3436" s="14"/>
      <c r="O3436" s="4"/>
      <c r="P3436" s="14"/>
      <c r="Q3436" s="14"/>
    </row>
    <row r="3437" spans="1:17" x14ac:dyDescent="0.25">
      <c r="A3437" s="5"/>
      <c r="B3437" s="6"/>
      <c r="C3437" s="4"/>
      <c r="D3437" s="4"/>
      <c r="E3437" s="12"/>
      <c r="F3437" s="12"/>
      <c r="G3437" s="16"/>
      <c r="H3437" s="14"/>
      <c r="I3437" s="14"/>
      <c r="J3437" s="14"/>
      <c r="K3437" s="14"/>
      <c r="L3437" s="14"/>
      <c r="M3437" s="14"/>
      <c r="N3437" s="14"/>
      <c r="O3437" s="4"/>
      <c r="P3437" s="14"/>
      <c r="Q3437" s="14"/>
    </row>
    <row r="3438" spans="1:17" x14ac:dyDescent="0.25">
      <c r="A3438" s="5"/>
      <c r="B3438" s="6"/>
      <c r="C3438" s="4"/>
      <c r="D3438" s="4"/>
      <c r="E3438" s="12"/>
      <c r="F3438" s="12"/>
      <c r="G3438" s="16"/>
      <c r="H3438" s="14"/>
      <c r="I3438" s="14"/>
      <c r="J3438" s="14"/>
      <c r="K3438" s="14"/>
      <c r="L3438" s="14"/>
      <c r="M3438" s="14"/>
      <c r="N3438" s="14"/>
      <c r="O3438" s="4"/>
      <c r="P3438" s="14"/>
      <c r="Q3438" s="14"/>
    </row>
    <row r="3439" spans="1:17" x14ac:dyDescent="0.25">
      <c r="A3439" s="5"/>
      <c r="B3439" s="6"/>
      <c r="C3439" s="4"/>
      <c r="D3439" s="4"/>
      <c r="E3439" s="12"/>
      <c r="F3439" s="12"/>
      <c r="G3439" s="16"/>
      <c r="H3439" s="14"/>
      <c r="I3439" s="14"/>
      <c r="J3439" s="14"/>
      <c r="K3439" s="14"/>
      <c r="L3439" s="14"/>
      <c r="M3439" s="14"/>
      <c r="N3439" s="14"/>
      <c r="O3439" s="4"/>
      <c r="P3439" s="14"/>
      <c r="Q3439" s="14"/>
    </row>
    <row r="3440" spans="1:17" x14ac:dyDescent="0.25">
      <c r="A3440" s="5"/>
      <c r="B3440" s="6"/>
      <c r="C3440" s="4"/>
      <c r="D3440" s="4"/>
      <c r="E3440" s="12"/>
      <c r="F3440" s="12"/>
      <c r="G3440" s="16"/>
      <c r="H3440" s="14"/>
      <c r="I3440" s="14"/>
      <c r="J3440" s="14"/>
      <c r="K3440" s="14"/>
      <c r="L3440" s="14"/>
      <c r="M3440" s="14"/>
      <c r="N3440" s="14"/>
      <c r="O3440" s="4"/>
      <c r="P3440" s="14"/>
      <c r="Q3440" s="14"/>
    </row>
    <row r="3441" spans="1:17" x14ac:dyDescent="0.25">
      <c r="A3441" s="5"/>
      <c r="B3441" s="6"/>
      <c r="C3441" s="4"/>
      <c r="D3441" s="4"/>
      <c r="E3441" s="12"/>
      <c r="F3441" s="12"/>
      <c r="G3441" s="16"/>
      <c r="H3441" s="14"/>
      <c r="I3441" s="14"/>
      <c r="J3441" s="14"/>
      <c r="K3441" s="14"/>
      <c r="L3441" s="14"/>
      <c r="M3441" s="14"/>
      <c r="N3441" s="14"/>
      <c r="O3441" s="4"/>
      <c r="P3441" s="14"/>
      <c r="Q3441" s="14"/>
    </row>
    <row r="3442" spans="1:17" x14ac:dyDescent="0.25">
      <c r="A3442" s="5"/>
      <c r="B3442" s="6"/>
      <c r="C3442" s="4"/>
      <c r="D3442" s="4"/>
      <c r="E3442" s="12"/>
      <c r="F3442" s="12"/>
      <c r="G3442" s="16"/>
      <c r="H3442" s="14"/>
      <c r="I3442" s="14"/>
      <c r="J3442" s="14"/>
      <c r="K3442" s="14"/>
      <c r="L3442" s="14"/>
      <c r="M3442" s="14"/>
      <c r="N3442" s="14"/>
      <c r="O3442" s="4"/>
      <c r="P3442" s="14"/>
      <c r="Q3442" s="14"/>
    </row>
    <row r="3443" spans="1:17" x14ac:dyDescent="0.25">
      <c r="A3443" s="5"/>
      <c r="B3443" s="6"/>
      <c r="C3443" s="4"/>
      <c r="D3443" s="4"/>
      <c r="E3443" s="12"/>
      <c r="F3443" s="12"/>
      <c r="G3443" s="16"/>
      <c r="H3443" s="14"/>
      <c r="I3443" s="14"/>
      <c r="J3443" s="14"/>
      <c r="K3443" s="14"/>
      <c r="L3443" s="14"/>
      <c r="M3443" s="14"/>
      <c r="N3443" s="14"/>
      <c r="O3443" s="4"/>
      <c r="P3443" s="14"/>
      <c r="Q3443" s="14"/>
    </row>
    <row r="3444" spans="1:17" x14ac:dyDescent="0.25">
      <c r="A3444" s="5"/>
      <c r="B3444" s="6"/>
      <c r="C3444" s="4"/>
      <c r="D3444" s="4"/>
      <c r="E3444" s="12"/>
      <c r="F3444" s="12"/>
      <c r="G3444" s="16"/>
      <c r="H3444" s="14"/>
      <c r="I3444" s="14"/>
      <c r="J3444" s="14"/>
      <c r="K3444" s="14"/>
      <c r="L3444" s="14"/>
      <c r="M3444" s="14"/>
      <c r="N3444" s="14"/>
      <c r="O3444" s="4"/>
      <c r="P3444" s="14"/>
      <c r="Q3444" s="14"/>
    </row>
    <row r="3445" spans="1:17" x14ac:dyDescent="0.25">
      <c r="A3445" s="5"/>
      <c r="B3445" s="6"/>
      <c r="C3445" s="4"/>
      <c r="D3445" s="4"/>
      <c r="E3445" s="12"/>
      <c r="F3445" s="12"/>
      <c r="G3445" s="16"/>
      <c r="H3445" s="14"/>
      <c r="I3445" s="14"/>
      <c r="J3445" s="14"/>
      <c r="K3445" s="14"/>
      <c r="L3445" s="14"/>
      <c r="M3445" s="14"/>
      <c r="N3445" s="14"/>
      <c r="O3445" s="4"/>
      <c r="P3445" s="14"/>
      <c r="Q3445" s="14"/>
    </row>
    <row r="3446" spans="1:17" x14ac:dyDescent="0.25">
      <c r="A3446" s="5"/>
      <c r="B3446" s="6"/>
      <c r="C3446" s="4"/>
      <c r="D3446" s="4"/>
      <c r="E3446" s="12"/>
      <c r="F3446" s="12"/>
      <c r="G3446" s="16"/>
      <c r="H3446" s="14"/>
      <c r="I3446" s="14"/>
      <c r="J3446" s="14"/>
      <c r="K3446" s="14"/>
      <c r="L3446" s="14"/>
      <c r="M3446" s="14"/>
      <c r="N3446" s="14"/>
      <c r="O3446" s="4"/>
      <c r="P3446" s="14"/>
      <c r="Q3446" s="14"/>
    </row>
    <row r="3447" spans="1:17" x14ac:dyDescent="0.25">
      <c r="A3447" s="5"/>
      <c r="B3447" s="6"/>
      <c r="C3447" s="4"/>
      <c r="D3447" s="4"/>
      <c r="E3447" s="12"/>
      <c r="F3447" s="12"/>
      <c r="G3447" s="16"/>
      <c r="H3447" s="14"/>
      <c r="I3447" s="14"/>
      <c r="J3447" s="14"/>
      <c r="K3447" s="14"/>
      <c r="L3447" s="14"/>
      <c r="M3447" s="14"/>
      <c r="N3447" s="14"/>
      <c r="O3447" s="4"/>
      <c r="P3447" s="14"/>
      <c r="Q3447" s="14"/>
    </row>
    <row r="3448" spans="1:17" x14ac:dyDescent="0.25">
      <c r="A3448" s="5"/>
      <c r="B3448" s="6"/>
      <c r="C3448" s="4"/>
      <c r="D3448" s="4"/>
      <c r="E3448" s="12"/>
      <c r="F3448" s="12"/>
      <c r="G3448" s="16"/>
      <c r="H3448" s="14"/>
      <c r="I3448" s="14"/>
      <c r="J3448" s="14"/>
      <c r="K3448" s="14"/>
      <c r="L3448" s="14"/>
      <c r="M3448" s="14"/>
      <c r="N3448" s="14"/>
      <c r="O3448" s="4"/>
      <c r="P3448" s="14"/>
      <c r="Q3448" s="14"/>
    </row>
    <row r="3449" spans="1:17" x14ac:dyDescent="0.25">
      <c r="A3449" s="5"/>
      <c r="B3449" s="6"/>
      <c r="C3449" s="4"/>
      <c r="D3449" s="4"/>
      <c r="E3449" s="12"/>
      <c r="F3449" s="12"/>
      <c r="G3449" s="16"/>
      <c r="H3449" s="14"/>
      <c r="I3449" s="14"/>
      <c r="J3449" s="14"/>
      <c r="K3449" s="14"/>
      <c r="L3449" s="14"/>
      <c r="M3449" s="14"/>
      <c r="N3449" s="14"/>
      <c r="O3449" s="4"/>
      <c r="P3449" s="14"/>
      <c r="Q3449" s="14"/>
    </row>
    <row r="3450" spans="1:17" x14ac:dyDescent="0.25">
      <c r="A3450" s="5"/>
      <c r="B3450" s="6"/>
      <c r="C3450" s="4"/>
      <c r="D3450" s="4"/>
      <c r="E3450" s="12"/>
      <c r="F3450" s="12"/>
      <c r="G3450" s="16"/>
      <c r="H3450" s="14"/>
      <c r="I3450" s="14"/>
      <c r="J3450" s="14"/>
      <c r="K3450" s="14"/>
      <c r="L3450" s="14"/>
      <c r="M3450" s="14"/>
      <c r="N3450" s="14"/>
      <c r="O3450" s="4"/>
      <c r="P3450" s="14"/>
      <c r="Q3450" s="14"/>
    </row>
    <row r="3451" spans="1:17" x14ac:dyDescent="0.25">
      <c r="A3451" s="5"/>
      <c r="B3451" s="6"/>
      <c r="C3451" s="4"/>
      <c r="D3451" s="4"/>
      <c r="E3451" s="12"/>
      <c r="F3451" s="12"/>
      <c r="G3451" s="16"/>
      <c r="H3451" s="14"/>
      <c r="I3451" s="14"/>
      <c r="J3451" s="14"/>
      <c r="K3451" s="14"/>
      <c r="L3451" s="14"/>
      <c r="M3451" s="14"/>
      <c r="N3451" s="14"/>
      <c r="O3451" s="4"/>
      <c r="P3451" s="14"/>
      <c r="Q3451" s="14"/>
    </row>
    <row r="3452" spans="1:17" x14ac:dyDescent="0.25">
      <c r="A3452" s="5"/>
      <c r="B3452" s="6"/>
      <c r="C3452" s="4"/>
      <c r="D3452" s="4"/>
      <c r="E3452" s="12"/>
      <c r="F3452" s="12"/>
      <c r="G3452" s="16"/>
      <c r="H3452" s="14"/>
      <c r="I3452" s="14"/>
      <c r="J3452" s="14"/>
      <c r="K3452" s="14"/>
      <c r="L3452" s="14"/>
      <c r="M3452" s="14"/>
      <c r="N3452" s="14"/>
      <c r="O3452" s="4"/>
      <c r="P3452" s="14"/>
      <c r="Q3452" s="14"/>
    </row>
    <row r="3453" spans="1:17" x14ac:dyDescent="0.25">
      <c r="A3453" s="5"/>
      <c r="B3453" s="6"/>
      <c r="C3453" s="4"/>
      <c r="D3453" s="4"/>
      <c r="E3453" s="12"/>
      <c r="F3453" s="12"/>
      <c r="G3453" s="16"/>
      <c r="H3453" s="14"/>
      <c r="I3453" s="14"/>
      <c r="J3453" s="14"/>
      <c r="K3453" s="14"/>
      <c r="L3453" s="14"/>
      <c r="M3453" s="14"/>
      <c r="N3453" s="14"/>
      <c r="O3453" s="4"/>
      <c r="P3453" s="14"/>
      <c r="Q3453" s="14"/>
    </row>
    <row r="3454" spans="1:17" x14ac:dyDescent="0.25">
      <c r="A3454" s="5"/>
      <c r="B3454" s="6"/>
      <c r="C3454" s="4"/>
      <c r="D3454" s="4"/>
      <c r="E3454" s="12"/>
      <c r="F3454" s="12"/>
      <c r="G3454" s="16"/>
      <c r="H3454" s="14"/>
      <c r="I3454" s="14"/>
      <c r="J3454" s="14"/>
      <c r="K3454" s="14"/>
      <c r="L3454" s="14"/>
      <c r="M3454" s="14"/>
      <c r="N3454" s="14"/>
      <c r="O3454" s="4"/>
      <c r="P3454" s="14"/>
      <c r="Q3454" s="14"/>
    </row>
    <row r="3455" spans="1:17" x14ac:dyDescent="0.25">
      <c r="A3455" s="5"/>
      <c r="B3455" s="6"/>
      <c r="C3455" s="4"/>
      <c r="D3455" s="4"/>
      <c r="E3455" s="12"/>
      <c r="F3455" s="12"/>
      <c r="G3455" s="16"/>
      <c r="H3455" s="14"/>
      <c r="I3455" s="14"/>
      <c r="J3455" s="14"/>
      <c r="K3455" s="14"/>
      <c r="L3455" s="14"/>
      <c r="M3455" s="14"/>
      <c r="N3455" s="14"/>
      <c r="O3455" s="4"/>
      <c r="P3455" s="14"/>
      <c r="Q3455" s="14"/>
    </row>
    <row r="3456" spans="1:17" x14ac:dyDescent="0.25">
      <c r="A3456" s="5"/>
      <c r="B3456" s="6"/>
      <c r="C3456" s="4"/>
      <c r="D3456" s="4"/>
      <c r="E3456" s="12"/>
      <c r="F3456" s="12"/>
      <c r="G3456" s="16"/>
      <c r="H3456" s="14"/>
      <c r="I3456" s="14"/>
      <c r="J3456" s="14"/>
      <c r="K3456" s="14"/>
      <c r="L3456" s="14"/>
      <c r="M3456" s="14"/>
      <c r="N3456" s="14"/>
      <c r="O3456" s="4"/>
      <c r="P3456" s="14"/>
      <c r="Q3456" s="14"/>
    </row>
    <row r="3457" spans="1:17" x14ac:dyDescent="0.25">
      <c r="A3457" s="5"/>
      <c r="B3457" s="6"/>
      <c r="C3457" s="4"/>
      <c r="D3457" s="4"/>
      <c r="E3457" s="12"/>
      <c r="F3457" s="12"/>
      <c r="G3457" s="16"/>
      <c r="H3457" s="14"/>
      <c r="I3457" s="14"/>
      <c r="J3457" s="14"/>
      <c r="K3457" s="14"/>
      <c r="L3457" s="14"/>
      <c r="M3457" s="14"/>
      <c r="N3457" s="14"/>
      <c r="O3457" s="4"/>
      <c r="P3457" s="14"/>
      <c r="Q3457" s="14"/>
    </row>
    <row r="3458" spans="1:17" x14ac:dyDescent="0.25">
      <c r="A3458" s="5"/>
      <c r="B3458" s="6"/>
      <c r="C3458" s="4"/>
      <c r="D3458" s="4"/>
      <c r="E3458" s="12"/>
      <c r="F3458" s="12"/>
      <c r="G3458" s="16"/>
      <c r="H3458" s="14"/>
      <c r="I3458" s="14"/>
      <c r="J3458" s="14"/>
      <c r="K3458" s="14"/>
      <c r="L3458" s="14"/>
      <c r="M3458" s="14"/>
      <c r="N3458" s="14"/>
      <c r="O3458" s="4"/>
      <c r="P3458" s="14"/>
      <c r="Q3458" s="14"/>
    </row>
    <row r="3459" spans="1:17" x14ac:dyDescent="0.25">
      <c r="A3459" s="5"/>
      <c r="B3459" s="6"/>
      <c r="C3459" s="4"/>
      <c r="D3459" s="4"/>
      <c r="E3459" s="12"/>
      <c r="F3459" s="12"/>
      <c r="G3459" s="16"/>
      <c r="H3459" s="14"/>
      <c r="I3459" s="14"/>
      <c r="J3459" s="14"/>
      <c r="K3459" s="14"/>
      <c r="L3459" s="14"/>
      <c r="M3459" s="14"/>
      <c r="N3459" s="14"/>
      <c r="O3459" s="4"/>
      <c r="P3459" s="14"/>
      <c r="Q3459" s="14"/>
    </row>
    <row r="3460" spans="1:17" x14ac:dyDescent="0.25">
      <c r="A3460" s="5"/>
      <c r="B3460" s="6"/>
      <c r="C3460" s="4"/>
      <c r="D3460" s="4"/>
      <c r="E3460" s="12"/>
      <c r="F3460" s="12"/>
      <c r="G3460" s="16"/>
      <c r="H3460" s="14"/>
      <c r="I3460" s="14"/>
      <c r="J3460" s="14"/>
      <c r="K3460" s="14"/>
      <c r="L3460" s="14"/>
      <c r="M3460" s="14"/>
      <c r="N3460" s="14"/>
      <c r="O3460" s="4"/>
      <c r="P3460" s="14"/>
      <c r="Q3460" s="14"/>
    </row>
    <row r="3461" spans="1:17" x14ac:dyDescent="0.25">
      <c r="A3461" s="5"/>
      <c r="B3461" s="6"/>
      <c r="C3461" s="4"/>
      <c r="D3461" s="4"/>
      <c r="E3461" s="12"/>
      <c r="F3461" s="12"/>
      <c r="G3461" s="16"/>
      <c r="H3461" s="14"/>
      <c r="I3461" s="14"/>
      <c r="J3461" s="14"/>
      <c r="K3461" s="14"/>
      <c r="L3461" s="14"/>
      <c r="M3461" s="14"/>
      <c r="N3461" s="14"/>
      <c r="O3461" s="4"/>
      <c r="P3461" s="14"/>
      <c r="Q3461" s="14"/>
    </row>
    <row r="3462" spans="1:17" x14ac:dyDescent="0.25">
      <c r="A3462" s="5"/>
      <c r="B3462" s="6"/>
      <c r="C3462" s="4"/>
      <c r="D3462" s="4"/>
      <c r="E3462" s="12"/>
      <c r="F3462" s="12"/>
      <c r="G3462" s="16"/>
      <c r="H3462" s="14"/>
      <c r="I3462" s="14"/>
      <c r="J3462" s="14"/>
      <c r="K3462" s="14"/>
      <c r="L3462" s="14"/>
      <c r="M3462" s="14"/>
      <c r="N3462" s="14"/>
      <c r="O3462" s="4"/>
      <c r="P3462" s="14"/>
      <c r="Q3462" s="14"/>
    </row>
    <row r="3463" spans="1:17" x14ac:dyDescent="0.25">
      <c r="A3463" s="5"/>
      <c r="B3463" s="6"/>
      <c r="C3463" s="4"/>
      <c r="D3463" s="4"/>
      <c r="E3463" s="12"/>
      <c r="F3463" s="12"/>
      <c r="G3463" s="16"/>
      <c r="H3463" s="14"/>
      <c r="I3463" s="14"/>
      <c r="J3463" s="14"/>
      <c r="K3463" s="14"/>
      <c r="L3463" s="14"/>
      <c r="M3463" s="14"/>
      <c r="N3463" s="14"/>
      <c r="O3463" s="4"/>
      <c r="P3463" s="14"/>
      <c r="Q3463" s="14"/>
    </row>
    <row r="3464" spans="1:17" x14ac:dyDescent="0.25">
      <c r="A3464" s="5"/>
      <c r="B3464" s="6"/>
      <c r="C3464" s="4"/>
      <c r="D3464" s="4"/>
      <c r="E3464" s="12"/>
      <c r="F3464" s="12"/>
      <c r="G3464" s="16"/>
      <c r="H3464" s="14"/>
      <c r="I3464" s="14"/>
      <c r="J3464" s="14"/>
      <c r="K3464" s="14"/>
      <c r="L3464" s="14"/>
      <c r="M3464" s="14"/>
      <c r="N3464" s="14"/>
      <c r="O3464" s="4"/>
      <c r="P3464" s="14"/>
      <c r="Q3464" s="14"/>
    </row>
    <row r="3465" spans="1:17" x14ac:dyDescent="0.25">
      <c r="A3465" s="5"/>
      <c r="B3465" s="6"/>
      <c r="C3465" s="4"/>
      <c r="D3465" s="4"/>
      <c r="E3465" s="12"/>
      <c r="F3465" s="12"/>
      <c r="G3465" s="16"/>
      <c r="H3465" s="14"/>
      <c r="I3465" s="14"/>
      <c r="J3465" s="14"/>
      <c r="K3465" s="14"/>
      <c r="L3465" s="14"/>
      <c r="M3465" s="14"/>
      <c r="N3465" s="14"/>
      <c r="O3465" s="4"/>
      <c r="P3465" s="14"/>
      <c r="Q3465" s="14"/>
    </row>
    <row r="3466" spans="1:17" x14ac:dyDescent="0.25">
      <c r="A3466" s="5"/>
      <c r="B3466" s="6"/>
      <c r="C3466" s="4"/>
      <c r="D3466" s="4"/>
      <c r="E3466" s="12"/>
      <c r="F3466" s="12"/>
      <c r="G3466" s="16"/>
      <c r="H3466" s="14"/>
      <c r="I3466" s="14"/>
      <c r="J3466" s="14"/>
      <c r="K3466" s="14"/>
      <c r="L3466" s="14"/>
      <c r="M3466" s="14"/>
      <c r="N3466" s="14"/>
      <c r="O3466" s="4"/>
      <c r="P3466" s="14"/>
      <c r="Q3466" s="14"/>
    </row>
    <row r="3467" spans="1:17" x14ac:dyDescent="0.25">
      <c r="A3467" s="5"/>
      <c r="B3467" s="6"/>
      <c r="C3467" s="4"/>
      <c r="D3467" s="4"/>
      <c r="E3467" s="12"/>
      <c r="F3467" s="12"/>
      <c r="G3467" s="16"/>
      <c r="H3467" s="14"/>
      <c r="I3467" s="14"/>
      <c r="J3467" s="14"/>
      <c r="K3467" s="14"/>
      <c r="L3467" s="14"/>
      <c r="M3467" s="14"/>
      <c r="N3467" s="14"/>
      <c r="O3467" s="4"/>
      <c r="P3467" s="14"/>
      <c r="Q3467" s="14"/>
    </row>
    <row r="3468" spans="1:17" x14ac:dyDescent="0.25">
      <c r="A3468" s="5"/>
      <c r="B3468" s="6"/>
      <c r="C3468" s="4"/>
      <c r="D3468" s="4"/>
      <c r="E3468" s="12"/>
      <c r="F3468" s="12"/>
      <c r="G3468" s="16"/>
      <c r="H3468" s="14"/>
      <c r="I3468" s="14"/>
      <c r="J3468" s="14"/>
      <c r="K3468" s="14"/>
      <c r="L3468" s="14"/>
      <c r="M3468" s="14"/>
      <c r="N3468" s="14"/>
      <c r="O3468" s="4"/>
      <c r="P3468" s="14"/>
      <c r="Q3468" s="14"/>
    </row>
    <row r="3469" spans="1:17" x14ac:dyDescent="0.25">
      <c r="A3469" s="5"/>
      <c r="B3469" s="6"/>
      <c r="C3469" s="4"/>
      <c r="D3469" s="4"/>
      <c r="E3469" s="12"/>
      <c r="F3469" s="12"/>
      <c r="G3469" s="16"/>
      <c r="H3469" s="14"/>
      <c r="I3469" s="14"/>
      <c r="J3469" s="14"/>
      <c r="K3469" s="14"/>
      <c r="L3469" s="14"/>
      <c r="M3469" s="14"/>
      <c r="N3469" s="14"/>
      <c r="O3469" s="4"/>
      <c r="P3469" s="14"/>
      <c r="Q3469" s="14"/>
    </row>
    <row r="3470" spans="1:17" x14ac:dyDescent="0.25">
      <c r="A3470" s="5"/>
      <c r="B3470" s="6"/>
      <c r="C3470" s="4"/>
      <c r="D3470" s="4"/>
      <c r="E3470" s="12"/>
      <c r="F3470" s="12"/>
      <c r="G3470" s="16"/>
      <c r="H3470" s="14"/>
      <c r="I3470" s="14"/>
      <c r="J3470" s="14"/>
      <c r="K3470" s="14"/>
      <c r="L3470" s="14"/>
      <c r="M3470" s="14"/>
      <c r="N3470" s="14"/>
      <c r="O3470" s="4"/>
      <c r="P3470" s="14"/>
      <c r="Q3470" s="14"/>
    </row>
    <row r="3471" spans="1:17" x14ac:dyDescent="0.25">
      <c r="A3471" s="5"/>
      <c r="B3471" s="6"/>
      <c r="C3471" s="4"/>
      <c r="D3471" s="4"/>
      <c r="E3471" s="12"/>
      <c r="F3471" s="12"/>
      <c r="G3471" s="16"/>
      <c r="H3471" s="14"/>
      <c r="I3471" s="14"/>
      <c r="J3471" s="14"/>
      <c r="K3471" s="14"/>
      <c r="L3471" s="14"/>
      <c r="M3471" s="14"/>
      <c r="N3471" s="14"/>
      <c r="O3471" s="4"/>
      <c r="P3471" s="14"/>
      <c r="Q3471" s="14"/>
    </row>
    <row r="3472" spans="1:17" x14ac:dyDescent="0.25">
      <c r="A3472" s="5"/>
      <c r="B3472" s="6"/>
      <c r="C3472" s="4"/>
      <c r="D3472" s="4"/>
      <c r="E3472" s="12"/>
      <c r="F3472" s="12"/>
      <c r="G3472" s="16"/>
      <c r="H3472" s="14"/>
      <c r="I3472" s="14"/>
      <c r="J3472" s="14"/>
      <c r="K3472" s="14"/>
      <c r="L3472" s="14"/>
      <c r="M3472" s="14"/>
      <c r="N3472" s="14"/>
      <c r="O3472" s="4"/>
      <c r="P3472" s="14"/>
      <c r="Q3472" s="14"/>
    </row>
    <row r="3473" spans="1:17" x14ac:dyDescent="0.25">
      <c r="A3473" s="5"/>
      <c r="B3473" s="6"/>
      <c r="C3473" s="4"/>
      <c r="D3473" s="4"/>
      <c r="E3473" s="12"/>
      <c r="F3473" s="12"/>
      <c r="G3473" s="16"/>
      <c r="H3473" s="14"/>
      <c r="I3473" s="14"/>
      <c r="J3473" s="14"/>
      <c r="K3473" s="14"/>
      <c r="L3473" s="14"/>
      <c r="M3473" s="14"/>
      <c r="N3473" s="14"/>
      <c r="O3473" s="4"/>
      <c r="P3473" s="14"/>
      <c r="Q3473" s="14"/>
    </row>
    <row r="3474" spans="1:17" x14ac:dyDescent="0.25">
      <c r="A3474" s="5"/>
      <c r="B3474" s="6"/>
      <c r="C3474" s="4"/>
      <c r="D3474" s="4"/>
      <c r="E3474" s="12"/>
      <c r="F3474" s="12"/>
      <c r="G3474" s="16"/>
      <c r="H3474" s="14"/>
      <c r="I3474" s="14"/>
      <c r="J3474" s="14"/>
      <c r="K3474" s="14"/>
      <c r="L3474" s="14"/>
      <c r="M3474" s="14"/>
      <c r="N3474" s="14"/>
      <c r="O3474" s="4"/>
      <c r="P3474" s="14"/>
      <c r="Q3474" s="14"/>
    </row>
    <row r="3475" spans="1:17" x14ac:dyDescent="0.25">
      <c r="A3475" s="5"/>
      <c r="B3475" s="6"/>
      <c r="C3475" s="4"/>
      <c r="D3475" s="4"/>
      <c r="E3475" s="12"/>
      <c r="F3475" s="12"/>
      <c r="G3475" s="16"/>
      <c r="H3475" s="14"/>
      <c r="I3475" s="14"/>
      <c r="J3475" s="14"/>
      <c r="K3475" s="14"/>
      <c r="L3475" s="14"/>
      <c r="M3475" s="14"/>
      <c r="N3475" s="14"/>
      <c r="O3475" s="4"/>
      <c r="P3475" s="14"/>
      <c r="Q3475" s="14"/>
    </row>
    <row r="3476" spans="1:17" x14ac:dyDescent="0.25">
      <c r="A3476" s="5"/>
      <c r="B3476" s="6"/>
      <c r="C3476" s="4"/>
      <c r="D3476" s="4"/>
      <c r="E3476" s="12"/>
      <c r="F3476" s="12"/>
      <c r="G3476" s="16"/>
      <c r="H3476" s="14"/>
      <c r="I3476" s="14"/>
      <c r="J3476" s="14"/>
      <c r="K3476" s="14"/>
      <c r="L3476" s="14"/>
      <c r="M3476" s="14"/>
      <c r="N3476" s="14"/>
      <c r="O3476" s="4"/>
      <c r="P3476" s="14"/>
      <c r="Q3476" s="14"/>
    </row>
    <row r="3477" spans="1:17" x14ac:dyDescent="0.25">
      <c r="A3477" s="5"/>
      <c r="B3477" s="6"/>
      <c r="C3477" s="4"/>
      <c r="D3477" s="4"/>
      <c r="E3477" s="12"/>
      <c r="F3477" s="12"/>
      <c r="G3477" s="16"/>
      <c r="H3477" s="14"/>
      <c r="I3477" s="14"/>
      <c r="J3477" s="14"/>
      <c r="K3477" s="14"/>
      <c r="L3477" s="14"/>
      <c r="M3477" s="14"/>
      <c r="N3477" s="14"/>
      <c r="O3477" s="4"/>
      <c r="P3477" s="14"/>
      <c r="Q3477" s="14"/>
    </row>
    <row r="3478" spans="1:17" x14ac:dyDescent="0.25">
      <c r="A3478" s="5"/>
      <c r="B3478" s="6"/>
      <c r="C3478" s="4"/>
      <c r="D3478" s="4"/>
      <c r="E3478" s="12"/>
      <c r="F3478" s="12"/>
      <c r="G3478" s="16"/>
      <c r="H3478" s="14"/>
      <c r="I3478" s="14"/>
      <c r="J3478" s="14"/>
      <c r="K3478" s="14"/>
      <c r="L3478" s="14"/>
      <c r="M3478" s="14"/>
      <c r="N3478" s="14"/>
      <c r="O3478" s="4"/>
      <c r="P3478" s="14"/>
      <c r="Q3478" s="14"/>
    </row>
    <row r="3479" spans="1:17" x14ac:dyDescent="0.25">
      <c r="A3479" s="5"/>
      <c r="B3479" s="6"/>
      <c r="C3479" s="4"/>
      <c r="D3479" s="4"/>
      <c r="E3479" s="12"/>
      <c r="F3479" s="12"/>
      <c r="G3479" s="16"/>
      <c r="H3479" s="14"/>
      <c r="I3479" s="14"/>
      <c r="J3479" s="14"/>
      <c r="K3479" s="14"/>
      <c r="L3479" s="14"/>
      <c r="M3479" s="14"/>
      <c r="N3479" s="14"/>
      <c r="O3479" s="4"/>
      <c r="P3479" s="14"/>
      <c r="Q3479" s="14"/>
    </row>
    <row r="3480" spans="1:17" x14ac:dyDescent="0.25">
      <c r="A3480" s="5"/>
      <c r="B3480" s="6"/>
      <c r="C3480" s="4"/>
      <c r="D3480" s="4"/>
      <c r="E3480" s="12"/>
      <c r="F3480" s="12"/>
      <c r="G3480" s="16"/>
      <c r="H3480" s="14"/>
      <c r="I3480" s="14"/>
      <c r="J3480" s="14"/>
      <c r="K3480" s="14"/>
      <c r="L3480" s="14"/>
      <c r="M3480" s="14"/>
      <c r="N3480" s="14"/>
      <c r="O3480" s="4"/>
      <c r="P3480" s="14"/>
      <c r="Q3480" s="14"/>
    </row>
    <row r="3481" spans="1:17" x14ac:dyDescent="0.25">
      <c r="A3481" s="5"/>
      <c r="B3481" s="6"/>
      <c r="C3481" s="4"/>
      <c r="D3481" s="4"/>
      <c r="E3481" s="12"/>
      <c r="F3481" s="12"/>
      <c r="G3481" s="16"/>
      <c r="H3481" s="14"/>
      <c r="I3481" s="14"/>
      <c r="J3481" s="14"/>
      <c r="K3481" s="14"/>
      <c r="L3481" s="14"/>
      <c r="M3481" s="14"/>
      <c r="N3481" s="14"/>
      <c r="O3481" s="4"/>
      <c r="P3481" s="14"/>
      <c r="Q3481" s="14"/>
    </row>
    <row r="3482" spans="1:17" x14ac:dyDescent="0.25">
      <c r="A3482" s="5"/>
      <c r="B3482" s="6"/>
      <c r="C3482" s="4"/>
      <c r="D3482" s="4"/>
      <c r="E3482" s="12"/>
      <c r="F3482" s="12"/>
      <c r="G3482" s="16"/>
      <c r="H3482" s="14"/>
      <c r="I3482" s="14"/>
      <c r="J3482" s="14"/>
      <c r="K3482" s="14"/>
      <c r="L3482" s="14"/>
      <c r="M3482" s="14"/>
      <c r="N3482" s="14"/>
      <c r="O3482" s="4"/>
      <c r="P3482" s="14"/>
      <c r="Q3482" s="14"/>
    </row>
    <row r="3483" spans="1:17" x14ac:dyDescent="0.25">
      <c r="A3483" s="5"/>
      <c r="B3483" s="6"/>
      <c r="C3483" s="4"/>
      <c r="D3483" s="4"/>
      <c r="E3483" s="12"/>
      <c r="F3483" s="12"/>
      <c r="G3483" s="16"/>
      <c r="H3483" s="14"/>
      <c r="I3483" s="14"/>
      <c r="J3483" s="14"/>
      <c r="K3483" s="14"/>
      <c r="L3483" s="14"/>
      <c r="M3483" s="14"/>
      <c r="N3483" s="14"/>
      <c r="O3483" s="4"/>
      <c r="P3483" s="14"/>
      <c r="Q3483" s="14"/>
    </row>
    <row r="3484" spans="1:17" x14ac:dyDescent="0.25">
      <c r="A3484" s="5"/>
      <c r="B3484" s="6"/>
      <c r="C3484" s="4"/>
      <c r="D3484" s="4"/>
      <c r="E3484" s="12"/>
      <c r="F3484" s="12"/>
      <c r="G3484" s="16"/>
      <c r="H3484" s="14"/>
      <c r="I3484" s="14"/>
      <c r="J3484" s="14"/>
      <c r="K3484" s="14"/>
      <c r="L3484" s="14"/>
      <c r="M3484" s="14"/>
      <c r="N3484" s="14"/>
      <c r="O3484" s="4"/>
      <c r="P3484" s="14"/>
      <c r="Q3484" s="14"/>
    </row>
    <row r="3485" spans="1:17" x14ac:dyDescent="0.25">
      <c r="A3485" s="5"/>
      <c r="B3485" s="6"/>
      <c r="C3485" s="4"/>
      <c r="D3485" s="4"/>
      <c r="E3485" s="12"/>
      <c r="F3485" s="12"/>
      <c r="G3485" s="16"/>
      <c r="H3485" s="14"/>
      <c r="I3485" s="14"/>
      <c r="J3485" s="14"/>
      <c r="K3485" s="14"/>
      <c r="L3485" s="14"/>
      <c r="M3485" s="14"/>
      <c r="N3485" s="14"/>
      <c r="O3485" s="4"/>
      <c r="P3485" s="14"/>
      <c r="Q3485" s="14"/>
    </row>
    <row r="3486" spans="1:17" x14ac:dyDescent="0.25">
      <c r="A3486" s="5"/>
      <c r="B3486" s="6"/>
      <c r="C3486" s="4"/>
      <c r="D3486" s="4"/>
      <c r="E3486" s="12"/>
      <c r="F3486" s="12"/>
      <c r="G3486" s="16"/>
      <c r="H3486" s="14"/>
      <c r="I3486" s="14"/>
      <c r="J3486" s="14"/>
      <c r="K3486" s="14"/>
      <c r="L3486" s="14"/>
      <c r="M3486" s="14"/>
      <c r="N3486" s="14"/>
      <c r="O3486" s="4"/>
      <c r="P3486" s="14"/>
      <c r="Q3486" s="14"/>
    </row>
    <row r="3487" spans="1:17" x14ac:dyDescent="0.25">
      <c r="A3487" s="5"/>
      <c r="B3487" s="6"/>
      <c r="C3487" s="4"/>
      <c r="D3487" s="4"/>
      <c r="E3487" s="12"/>
      <c r="F3487" s="12"/>
      <c r="G3487" s="16"/>
      <c r="H3487" s="14"/>
      <c r="I3487" s="14"/>
      <c r="J3487" s="14"/>
      <c r="K3487" s="14"/>
      <c r="L3487" s="14"/>
      <c r="M3487" s="14"/>
      <c r="N3487" s="14"/>
      <c r="O3487" s="4"/>
      <c r="P3487" s="14"/>
      <c r="Q3487" s="14"/>
    </row>
    <row r="3488" spans="1:17" x14ac:dyDescent="0.25">
      <c r="A3488" s="5"/>
      <c r="B3488" s="6"/>
      <c r="C3488" s="4"/>
      <c r="D3488" s="4"/>
      <c r="E3488" s="12"/>
      <c r="F3488" s="12"/>
      <c r="G3488" s="16"/>
      <c r="H3488" s="14"/>
      <c r="I3488" s="14"/>
      <c r="J3488" s="14"/>
      <c r="K3488" s="14"/>
      <c r="L3488" s="14"/>
      <c r="M3488" s="14"/>
      <c r="N3488" s="14"/>
      <c r="O3488" s="4"/>
      <c r="P3488" s="14"/>
      <c r="Q3488" s="14"/>
    </row>
    <row r="3489" spans="1:17" x14ac:dyDescent="0.25">
      <c r="A3489" s="5"/>
      <c r="B3489" s="6"/>
      <c r="C3489" s="4"/>
      <c r="D3489" s="4"/>
      <c r="E3489" s="12"/>
      <c r="F3489" s="12"/>
      <c r="G3489" s="16"/>
      <c r="H3489" s="14"/>
      <c r="I3489" s="14"/>
      <c r="J3489" s="14"/>
      <c r="K3489" s="14"/>
      <c r="L3489" s="14"/>
      <c r="M3489" s="14"/>
      <c r="N3489" s="14"/>
      <c r="O3489" s="4"/>
      <c r="P3489" s="14"/>
      <c r="Q3489" s="14"/>
    </row>
    <row r="3490" spans="1:17" x14ac:dyDescent="0.25">
      <c r="A3490" s="5"/>
      <c r="B3490" s="6"/>
      <c r="C3490" s="4"/>
      <c r="D3490" s="4"/>
      <c r="E3490" s="12"/>
      <c r="F3490" s="12"/>
      <c r="G3490" s="16"/>
      <c r="H3490" s="14"/>
      <c r="I3490" s="14"/>
      <c r="J3490" s="14"/>
      <c r="K3490" s="14"/>
      <c r="L3490" s="14"/>
      <c r="M3490" s="14"/>
      <c r="N3490" s="14"/>
      <c r="O3490" s="4"/>
      <c r="P3490" s="14"/>
      <c r="Q3490" s="14"/>
    </row>
    <row r="3491" spans="1:17" x14ac:dyDescent="0.25">
      <c r="A3491" s="5"/>
      <c r="B3491" s="6"/>
      <c r="C3491" s="4"/>
      <c r="D3491" s="4"/>
      <c r="E3491" s="12"/>
      <c r="F3491" s="12"/>
      <c r="G3491" s="16"/>
      <c r="H3491" s="14"/>
      <c r="I3491" s="14"/>
      <c r="J3491" s="14"/>
      <c r="K3491" s="14"/>
      <c r="L3491" s="14"/>
      <c r="M3491" s="14"/>
      <c r="N3491" s="14"/>
      <c r="O3491" s="4"/>
      <c r="P3491" s="14"/>
      <c r="Q3491" s="14"/>
    </row>
    <row r="3492" spans="1:17" x14ac:dyDescent="0.25">
      <c r="A3492" s="5"/>
      <c r="B3492" s="6"/>
      <c r="C3492" s="4"/>
      <c r="D3492" s="4"/>
      <c r="E3492" s="12"/>
      <c r="F3492" s="12"/>
      <c r="G3492" s="16"/>
      <c r="H3492" s="14"/>
      <c r="I3492" s="14"/>
      <c r="J3492" s="14"/>
      <c r="K3492" s="14"/>
      <c r="L3492" s="14"/>
      <c r="M3492" s="14"/>
      <c r="N3492" s="14"/>
      <c r="O3492" s="4"/>
      <c r="P3492" s="14"/>
      <c r="Q3492" s="14"/>
    </row>
    <row r="3493" spans="1:17" x14ac:dyDescent="0.25">
      <c r="A3493" s="5"/>
      <c r="B3493" s="6"/>
      <c r="C3493" s="4"/>
      <c r="D3493" s="4"/>
      <c r="E3493" s="12"/>
      <c r="F3493" s="12"/>
      <c r="G3493" s="16"/>
      <c r="H3493" s="14"/>
      <c r="I3493" s="14"/>
      <c r="J3493" s="14"/>
      <c r="K3493" s="14"/>
      <c r="L3493" s="14"/>
      <c r="M3493" s="14"/>
      <c r="N3493" s="14"/>
      <c r="O3493" s="4"/>
      <c r="P3493" s="14"/>
      <c r="Q3493" s="14"/>
    </row>
    <row r="3494" spans="1:17" x14ac:dyDescent="0.25">
      <c r="A3494" s="5"/>
      <c r="B3494" s="6"/>
      <c r="C3494" s="4"/>
      <c r="D3494" s="4"/>
      <c r="E3494" s="12"/>
      <c r="F3494" s="12"/>
      <c r="G3494" s="16"/>
      <c r="H3494" s="14"/>
      <c r="I3494" s="14"/>
      <c r="J3494" s="14"/>
      <c r="K3494" s="14"/>
      <c r="L3494" s="14"/>
      <c r="M3494" s="14"/>
      <c r="N3494" s="14"/>
      <c r="O3494" s="4"/>
      <c r="P3494" s="14"/>
      <c r="Q3494" s="14"/>
    </row>
    <row r="3495" spans="1:17" x14ac:dyDescent="0.25">
      <c r="A3495" s="5"/>
      <c r="B3495" s="6"/>
      <c r="C3495" s="4"/>
      <c r="D3495" s="4"/>
      <c r="E3495" s="12"/>
      <c r="F3495" s="12"/>
      <c r="G3495" s="16"/>
      <c r="H3495" s="14"/>
      <c r="I3495" s="14"/>
      <c r="J3495" s="14"/>
      <c r="K3495" s="14"/>
      <c r="L3495" s="14"/>
      <c r="M3495" s="14"/>
      <c r="N3495" s="14"/>
      <c r="O3495" s="4"/>
      <c r="P3495" s="14"/>
      <c r="Q3495" s="14"/>
    </row>
    <row r="3496" spans="1:17" x14ac:dyDescent="0.25">
      <c r="A3496" s="5"/>
      <c r="B3496" s="6"/>
      <c r="C3496" s="4"/>
      <c r="D3496" s="4"/>
      <c r="E3496" s="12"/>
      <c r="F3496" s="12"/>
      <c r="G3496" s="16"/>
      <c r="H3496" s="14"/>
      <c r="I3496" s="14"/>
      <c r="J3496" s="14"/>
      <c r="K3496" s="14"/>
      <c r="L3496" s="14"/>
      <c r="M3496" s="14"/>
      <c r="N3496" s="14"/>
      <c r="O3496" s="4"/>
      <c r="P3496" s="14"/>
      <c r="Q3496" s="14"/>
    </row>
    <row r="3497" spans="1:17" x14ac:dyDescent="0.25">
      <c r="A3497" s="5"/>
      <c r="B3497" s="6"/>
      <c r="C3497" s="4"/>
      <c r="D3497" s="4"/>
      <c r="E3497" s="12"/>
      <c r="F3497" s="12"/>
      <c r="G3497" s="16"/>
      <c r="H3497" s="14"/>
      <c r="I3497" s="14"/>
      <c r="J3497" s="14"/>
      <c r="K3497" s="14"/>
      <c r="L3497" s="14"/>
      <c r="M3497" s="14"/>
      <c r="N3497" s="14"/>
      <c r="O3497" s="4"/>
      <c r="P3497" s="14"/>
      <c r="Q3497" s="14"/>
    </row>
    <row r="3498" spans="1:17" x14ac:dyDescent="0.25">
      <c r="A3498" s="5"/>
      <c r="B3498" s="6"/>
      <c r="C3498" s="4"/>
      <c r="D3498" s="4"/>
      <c r="E3498" s="12"/>
      <c r="F3498" s="12"/>
      <c r="G3498" s="16"/>
      <c r="H3498" s="14"/>
      <c r="I3498" s="14"/>
      <c r="J3498" s="14"/>
      <c r="K3498" s="14"/>
      <c r="L3498" s="14"/>
      <c r="M3498" s="14"/>
      <c r="N3498" s="14"/>
      <c r="O3498" s="4"/>
      <c r="P3498" s="14"/>
      <c r="Q3498" s="14"/>
    </row>
    <row r="3499" spans="1:17" x14ac:dyDescent="0.25">
      <c r="A3499" s="5"/>
      <c r="B3499" s="6"/>
      <c r="C3499" s="4"/>
      <c r="D3499" s="4"/>
      <c r="E3499" s="12"/>
      <c r="F3499" s="12"/>
      <c r="G3499" s="16"/>
      <c r="H3499" s="14"/>
      <c r="I3499" s="14"/>
      <c r="J3499" s="14"/>
      <c r="K3499" s="14"/>
      <c r="L3499" s="14"/>
      <c r="M3499" s="14"/>
      <c r="N3499" s="14"/>
      <c r="O3499" s="4"/>
      <c r="P3499" s="14"/>
      <c r="Q3499" s="14"/>
    </row>
    <row r="3500" spans="1:17" x14ac:dyDescent="0.25">
      <c r="A3500" s="5"/>
      <c r="B3500" s="6"/>
      <c r="C3500" s="4"/>
      <c r="D3500" s="4"/>
      <c r="E3500" s="12"/>
      <c r="F3500" s="12"/>
      <c r="G3500" s="16"/>
      <c r="H3500" s="14"/>
      <c r="I3500" s="14"/>
      <c r="J3500" s="14"/>
      <c r="K3500" s="14"/>
      <c r="L3500" s="14"/>
      <c r="M3500" s="14"/>
      <c r="N3500" s="14"/>
      <c r="O3500" s="4"/>
      <c r="P3500" s="14"/>
      <c r="Q3500" s="14"/>
    </row>
    <row r="3501" spans="1:17" x14ac:dyDescent="0.25">
      <c r="A3501" s="5"/>
      <c r="B3501" s="6"/>
      <c r="C3501" s="4"/>
      <c r="D3501" s="4"/>
      <c r="E3501" s="12"/>
      <c r="F3501" s="12"/>
      <c r="G3501" s="16"/>
      <c r="H3501" s="14"/>
      <c r="I3501" s="14"/>
      <c r="J3501" s="14"/>
      <c r="K3501" s="14"/>
      <c r="L3501" s="14"/>
      <c r="M3501" s="14"/>
      <c r="N3501" s="14"/>
      <c r="O3501" s="4"/>
      <c r="P3501" s="14"/>
      <c r="Q3501" s="14"/>
    </row>
    <row r="3502" spans="1:17" x14ac:dyDescent="0.25">
      <c r="A3502" s="5"/>
      <c r="B3502" s="6"/>
      <c r="C3502" s="4"/>
      <c r="D3502" s="4"/>
      <c r="E3502" s="12"/>
      <c r="F3502" s="12"/>
      <c r="G3502" s="16"/>
      <c r="H3502" s="14"/>
      <c r="I3502" s="14"/>
      <c r="J3502" s="14"/>
      <c r="K3502" s="14"/>
      <c r="L3502" s="14"/>
      <c r="M3502" s="14"/>
      <c r="N3502" s="14"/>
      <c r="O3502" s="4"/>
      <c r="P3502" s="14"/>
      <c r="Q3502" s="14"/>
    </row>
    <row r="3503" spans="1:17" x14ac:dyDescent="0.25">
      <c r="A3503" s="5"/>
      <c r="B3503" s="6"/>
      <c r="C3503" s="4"/>
      <c r="D3503" s="4"/>
      <c r="E3503" s="12"/>
      <c r="F3503" s="12"/>
      <c r="G3503" s="16"/>
      <c r="H3503" s="14"/>
      <c r="I3503" s="14"/>
      <c r="J3503" s="14"/>
      <c r="K3503" s="14"/>
      <c r="L3503" s="14"/>
      <c r="M3503" s="14"/>
      <c r="N3503" s="14"/>
      <c r="O3503" s="4"/>
      <c r="P3503" s="14"/>
      <c r="Q3503" s="14"/>
    </row>
    <row r="3504" spans="1:17" x14ac:dyDescent="0.25">
      <c r="A3504" s="5"/>
      <c r="B3504" s="6"/>
      <c r="C3504" s="4"/>
      <c r="D3504" s="4"/>
      <c r="E3504" s="12"/>
      <c r="F3504" s="12"/>
      <c r="G3504" s="16"/>
      <c r="H3504" s="14"/>
      <c r="I3504" s="14"/>
      <c r="J3504" s="14"/>
      <c r="K3504" s="14"/>
      <c r="L3504" s="14"/>
      <c r="M3504" s="14"/>
      <c r="N3504" s="14"/>
      <c r="O3504" s="4"/>
      <c r="P3504" s="14"/>
      <c r="Q3504" s="14"/>
    </row>
    <row r="3505" spans="1:17" x14ac:dyDescent="0.25">
      <c r="A3505" s="5"/>
      <c r="B3505" s="6"/>
      <c r="C3505" s="4"/>
      <c r="D3505" s="4"/>
      <c r="E3505" s="12"/>
      <c r="F3505" s="12"/>
      <c r="G3505" s="16"/>
      <c r="H3505" s="14"/>
      <c r="I3505" s="14"/>
      <c r="J3505" s="14"/>
      <c r="K3505" s="14"/>
      <c r="L3505" s="14"/>
      <c r="M3505" s="14"/>
      <c r="N3505" s="14"/>
      <c r="O3505" s="4"/>
      <c r="P3505" s="14"/>
      <c r="Q3505" s="14"/>
    </row>
    <row r="3506" spans="1:17" x14ac:dyDescent="0.25">
      <c r="A3506" s="5"/>
      <c r="B3506" s="6"/>
      <c r="C3506" s="4"/>
      <c r="D3506" s="4"/>
      <c r="E3506" s="12"/>
      <c r="F3506" s="12"/>
      <c r="G3506" s="16"/>
      <c r="H3506" s="14"/>
      <c r="I3506" s="14"/>
      <c r="J3506" s="14"/>
      <c r="K3506" s="14"/>
      <c r="L3506" s="14"/>
      <c r="M3506" s="14"/>
      <c r="N3506" s="14"/>
      <c r="O3506" s="4"/>
      <c r="P3506" s="14"/>
      <c r="Q3506" s="14"/>
    </row>
    <row r="3507" spans="1:17" x14ac:dyDescent="0.25">
      <c r="A3507" s="5"/>
      <c r="B3507" s="6"/>
      <c r="C3507" s="4"/>
      <c r="D3507" s="4"/>
      <c r="E3507" s="12"/>
      <c r="F3507" s="12"/>
      <c r="G3507" s="16"/>
      <c r="H3507" s="14"/>
      <c r="I3507" s="14"/>
      <c r="J3507" s="14"/>
      <c r="K3507" s="14"/>
      <c r="L3507" s="14"/>
      <c r="M3507" s="14"/>
      <c r="N3507" s="14"/>
      <c r="O3507" s="4"/>
      <c r="P3507" s="14"/>
      <c r="Q3507" s="14"/>
    </row>
    <row r="3508" spans="1:17" x14ac:dyDescent="0.25">
      <c r="A3508" s="5"/>
      <c r="B3508" s="6"/>
      <c r="C3508" s="4"/>
      <c r="D3508" s="4"/>
      <c r="E3508" s="12"/>
      <c r="F3508" s="12"/>
      <c r="G3508" s="16"/>
      <c r="H3508" s="14"/>
      <c r="I3508" s="14"/>
      <c r="J3508" s="14"/>
      <c r="K3508" s="14"/>
      <c r="L3508" s="14"/>
      <c r="M3508" s="14"/>
      <c r="N3508" s="14"/>
      <c r="O3508" s="4"/>
      <c r="P3508" s="14"/>
      <c r="Q3508" s="14"/>
    </row>
    <row r="3509" spans="1:17" x14ac:dyDescent="0.25">
      <c r="A3509" s="5"/>
      <c r="B3509" s="6"/>
      <c r="C3509" s="4"/>
      <c r="D3509" s="4"/>
      <c r="E3509" s="12"/>
      <c r="F3509" s="12"/>
      <c r="G3509" s="16"/>
      <c r="H3509" s="14"/>
      <c r="I3509" s="14"/>
      <c r="J3509" s="14"/>
      <c r="K3509" s="14"/>
      <c r="L3509" s="14"/>
      <c r="M3509" s="14"/>
      <c r="N3509" s="14"/>
      <c r="O3509" s="4"/>
      <c r="P3509" s="14"/>
      <c r="Q3509" s="14"/>
    </row>
    <row r="3510" spans="1:17" x14ac:dyDescent="0.25">
      <c r="A3510" s="5"/>
      <c r="B3510" s="6"/>
      <c r="C3510" s="4"/>
      <c r="D3510" s="4"/>
      <c r="E3510" s="12"/>
      <c r="F3510" s="12"/>
      <c r="G3510" s="16"/>
      <c r="H3510" s="14"/>
      <c r="I3510" s="14"/>
      <c r="J3510" s="14"/>
      <c r="K3510" s="14"/>
      <c r="L3510" s="14"/>
      <c r="M3510" s="14"/>
      <c r="N3510" s="14"/>
      <c r="O3510" s="4"/>
      <c r="P3510" s="14"/>
      <c r="Q3510" s="14"/>
    </row>
    <row r="3511" spans="1:17" x14ac:dyDescent="0.25">
      <c r="A3511" s="5"/>
      <c r="B3511" s="6"/>
      <c r="C3511" s="4"/>
      <c r="D3511" s="4"/>
      <c r="E3511" s="12"/>
      <c r="F3511" s="12"/>
      <c r="G3511" s="16"/>
      <c r="H3511" s="14"/>
      <c r="I3511" s="14"/>
      <c r="J3511" s="14"/>
      <c r="K3511" s="14"/>
      <c r="L3511" s="14"/>
      <c r="M3511" s="14"/>
      <c r="N3511" s="14"/>
      <c r="O3511" s="4"/>
      <c r="P3511" s="14"/>
      <c r="Q3511" s="14"/>
    </row>
    <row r="3512" spans="1:17" x14ac:dyDescent="0.25">
      <c r="A3512" s="5"/>
      <c r="B3512" s="6"/>
      <c r="C3512" s="4"/>
      <c r="D3512" s="4"/>
      <c r="E3512" s="12"/>
      <c r="F3512" s="12"/>
      <c r="G3512" s="16"/>
      <c r="H3512" s="14"/>
      <c r="I3512" s="14"/>
      <c r="J3512" s="14"/>
      <c r="K3512" s="14"/>
      <c r="L3512" s="14"/>
      <c r="M3512" s="14"/>
      <c r="N3512" s="14"/>
      <c r="O3512" s="4"/>
      <c r="P3512" s="14"/>
      <c r="Q3512" s="14"/>
    </row>
    <row r="3513" spans="1:17" x14ac:dyDescent="0.25">
      <c r="A3513" s="5"/>
      <c r="B3513" s="6"/>
      <c r="C3513" s="4"/>
      <c r="D3513" s="4"/>
      <c r="E3513" s="12"/>
      <c r="F3513" s="12"/>
      <c r="G3513" s="16"/>
      <c r="H3513" s="14"/>
      <c r="I3513" s="14"/>
      <c r="J3513" s="14"/>
      <c r="K3513" s="14"/>
      <c r="L3513" s="14"/>
      <c r="M3513" s="14"/>
      <c r="N3513" s="14"/>
      <c r="O3513" s="4"/>
      <c r="P3513" s="14"/>
      <c r="Q3513" s="14"/>
    </row>
    <row r="3514" spans="1:17" x14ac:dyDescent="0.25">
      <c r="A3514" s="5"/>
      <c r="B3514" s="6"/>
      <c r="C3514" s="4"/>
      <c r="D3514" s="4"/>
      <c r="E3514" s="12"/>
      <c r="F3514" s="12"/>
      <c r="G3514" s="16"/>
      <c r="H3514" s="14"/>
      <c r="I3514" s="14"/>
      <c r="J3514" s="14"/>
      <c r="K3514" s="14"/>
      <c r="L3514" s="14"/>
      <c r="M3514" s="14"/>
      <c r="N3514" s="14"/>
      <c r="O3514" s="4"/>
      <c r="P3514" s="14"/>
      <c r="Q3514" s="14"/>
    </row>
    <row r="3515" spans="1:17" x14ac:dyDescent="0.25">
      <c r="A3515" s="5"/>
      <c r="B3515" s="6"/>
      <c r="C3515" s="4"/>
      <c r="D3515" s="4"/>
      <c r="E3515" s="12"/>
      <c r="F3515" s="12"/>
      <c r="G3515" s="16"/>
      <c r="H3515" s="14"/>
      <c r="I3515" s="14"/>
      <c r="J3515" s="14"/>
      <c r="K3515" s="14"/>
      <c r="L3515" s="14"/>
      <c r="M3515" s="14"/>
      <c r="N3515" s="14"/>
      <c r="O3515" s="4"/>
      <c r="P3515" s="14"/>
      <c r="Q3515" s="14"/>
    </row>
    <row r="3516" spans="1:17" x14ac:dyDescent="0.25">
      <c r="A3516" s="5"/>
      <c r="B3516" s="6"/>
      <c r="C3516" s="4"/>
      <c r="D3516" s="4"/>
      <c r="E3516" s="12"/>
      <c r="F3516" s="12"/>
      <c r="G3516" s="16"/>
      <c r="H3516" s="14"/>
      <c r="I3516" s="14"/>
      <c r="J3516" s="14"/>
      <c r="K3516" s="14"/>
      <c r="L3516" s="14"/>
      <c r="M3516" s="14"/>
      <c r="N3516" s="14"/>
      <c r="O3516" s="4"/>
      <c r="P3516" s="14"/>
      <c r="Q3516" s="14"/>
    </row>
    <row r="3517" spans="1:17" x14ac:dyDescent="0.25">
      <c r="A3517" s="5"/>
      <c r="B3517" s="6"/>
      <c r="C3517" s="4"/>
      <c r="D3517" s="4"/>
      <c r="E3517" s="12"/>
      <c r="F3517" s="12"/>
      <c r="G3517" s="16"/>
      <c r="H3517" s="14"/>
      <c r="I3517" s="14"/>
      <c r="J3517" s="14"/>
      <c r="K3517" s="14"/>
      <c r="L3517" s="14"/>
      <c r="M3517" s="14"/>
      <c r="N3517" s="14"/>
      <c r="O3517" s="4"/>
      <c r="P3517" s="14"/>
      <c r="Q3517" s="14"/>
    </row>
    <row r="3518" spans="1:17" x14ac:dyDescent="0.25">
      <c r="A3518" s="5"/>
      <c r="B3518" s="6"/>
      <c r="C3518" s="4"/>
      <c r="D3518" s="4"/>
      <c r="E3518" s="12"/>
      <c r="F3518" s="12"/>
      <c r="G3518" s="16"/>
      <c r="H3518" s="14"/>
      <c r="I3518" s="14"/>
      <c r="J3518" s="14"/>
      <c r="K3518" s="14"/>
      <c r="L3518" s="14"/>
      <c r="M3518" s="14"/>
      <c r="N3518" s="14"/>
      <c r="O3518" s="4"/>
      <c r="P3518" s="14"/>
      <c r="Q3518" s="14"/>
    </row>
    <row r="3519" spans="1:17" x14ac:dyDescent="0.25">
      <c r="A3519" s="5"/>
      <c r="B3519" s="6"/>
      <c r="C3519" s="4"/>
      <c r="D3519" s="4"/>
      <c r="E3519" s="12"/>
      <c r="F3519" s="12"/>
      <c r="G3519" s="16"/>
      <c r="H3519" s="14"/>
      <c r="I3519" s="14"/>
      <c r="J3519" s="14"/>
      <c r="K3519" s="14"/>
      <c r="L3519" s="14"/>
      <c r="M3519" s="14"/>
      <c r="N3519" s="14"/>
      <c r="O3519" s="4"/>
      <c r="P3519" s="14"/>
      <c r="Q3519" s="14"/>
    </row>
    <row r="3520" spans="1:17" x14ac:dyDescent="0.25">
      <c r="A3520" s="5"/>
      <c r="B3520" s="6"/>
      <c r="C3520" s="4"/>
      <c r="D3520" s="4"/>
      <c r="E3520" s="12"/>
      <c r="F3520" s="12"/>
      <c r="G3520" s="16"/>
      <c r="H3520" s="14"/>
      <c r="I3520" s="14"/>
      <c r="J3520" s="14"/>
      <c r="K3520" s="14"/>
      <c r="L3520" s="14"/>
      <c r="M3520" s="14"/>
      <c r="N3520" s="14"/>
      <c r="O3520" s="4"/>
      <c r="P3520" s="14"/>
      <c r="Q3520" s="14"/>
    </row>
    <row r="3521" spans="1:17" x14ac:dyDescent="0.25">
      <c r="A3521" s="5"/>
      <c r="B3521" s="6"/>
      <c r="C3521" s="4"/>
      <c r="D3521" s="4"/>
      <c r="E3521" s="12"/>
      <c r="F3521" s="12"/>
      <c r="G3521" s="16"/>
      <c r="H3521" s="14"/>
      <c r="I3521" s="14"/>
      <c r="J3521" s="14"/>
      <c r="K3521" s="14"/>
      <c r="L3521" s="14"/>
      <c r="M3521" s="14"/>
      <c r="N3521" s="14"/>
      <c r="O3521" s="4"/>
      <c r="P3521" s="14"/>
      <c r="Q3521" s="14"/>
    </row>
    <row r="3522" spans="1:17" x14ac:dyDescent="0.25">
      <c r="A3522" s="5"/>
      <c r="B3522" s="6"/>
      <c r="C3522" s="4"/>
      <c r="D3522" s="4"/>
      <c r="E3522" s="12"/>
      <c r="F3522" s="12"/>
      <c r="G3522" s="16"/>
      <c r="H3522" s="14"/>
      <c r="I3522" s="14"/>
      <c r="J3522" s="14"/>
      <c r="K3522" s="14"/>
      <c r="L3522" s="14"/>
      <c r="M3522" s="14"/>
      <c r="N3522" s="14"/>
      <c r="O3522" s="4"/>
      <c r="P3522" s="14"/>
      <c r="Q3522" s="14"/>
    </row>
    <row r="3523" spans="1:17" x14ac:dyDescent="0.25">
      <c r="A3523" s="5"/>
      <c r="B3523" s="6"/>
      <c r="C3523" s="4"/>
      <c r="D3523" s="4"/>
      <c r="E3523" s="12"/>
      <c r="F3523" s="12"/>
      <c r="G3523" s="16"/>
      <c r="H3523" s="14"/>
      <c r="I3523" s="14"/>
      <c r="J3523" s="14"/>
      <c r="K3523" s="14"/>
      <c r="L3523" s="14"/>
      <c r="M3523" s="14"/>
      <c r="N3523" s="14"/>
      <c r="O3523" s="4"/>
      <c r="P3523" s="14"/>
      <c r="Q3523" s="14"/>
    </row>
    <row r="3524" spans="1:17" x14ac:dyDescent="0.25">
      <c r="A3524" s="5"/>
      <c r="B3524" s="6"/>
      <c r="C3524" s="4"/>
      <c r="D3524" s="4"/>
      <c r="E3524" s="12"/>
      <c r="F3524" s="12"/>
      <c r="G3524" s="16"/>
      <c r="H3524" s="14"/>
      <c r="I3524" s="14"/>
      <c r="J3524" s="14"/>
      <c r="K3524" s="14"/>
      <c r="L3524" s="14"/>
      <c r="M3524" s="14"/>
      <c r="N3524" s="14"/>
      <c r="O3524" s="4"/>
      <c r="P3524" s="14"/>
      <c r="Q3524" s="14"/>
    </row>
    <row r="3525" spans="1:17" x14ac:dyDescent="0.25">
      <c r="A3525" s="5"/>
      <c r="B3525" s="6"/>
      <c r="C3525" s="4"/>
      <c r="D3525" s="4"/>
      <c r="E3525" s="12"/>
      <c r="F3525" s="12"/>
      <c r="G3525" s="16"/>
      <c r="H3525" s="14"/>
      <c r="I3525" s="14"/>
      <c r="J3525" s="14"/>
      <c r="K3525" s="14"/>
      <c r="L3525" s="14"/>
      <c r="M3525" s="14"/>
      <c r="N3525" s="14"/>
      <c r="O3525" s="4"/>
      <c r="P3525" s="14"/>
      <c r="Q3525" s="14"/>
    </row>
    <row r="3526" spans="1:17" x14ac:dyDescent="0.25">
      <c r="A3526" s="5"/>
      <c r="B3526" s="6"/>
      <c r="C3526" s="4"/>
      <c r="D3526" s="4"/>
      <c r="E3526" s="12"/>
      <c r="F3526" s="12"/>
      <c r="G3526" s="16"/>
      <c r="H3526" s="14"/>
      <c r="I3526" s="14"/>
      <c r="J3526" s="14"/>
      <c r="K3526" s="14"/>
      <c r="L3526" s="14"/>
      <c r="M3526" s="14"/>
      <c r="N3526" s="14"/>
      <c r="O3526" s="4"/>
      <c r="P3526" s="14"/>
      <c r="Q3526" s="14"/>
    </row>
    <row r="3527" spans="1:17" x14ac:dyDescent="0.25">
      <c r="A3527" s="5"/>
      <c r="B3527" s="6"/>
      <c r="C3527" s="4"/>
      <c r="D3527" s="4"/>
      <c r="E3527" s="12"/>
      <c r="F3527" s="12"/>
      <c r="G3527" s="16"/>
      <c r="H3527" s="14"/>
      <c r="I3527" s="14"/>
      <c r="J3527" s="14"/>
      <c r="K3527" s="14"/>
      <c r="L3527" s="14"/>
      <c r="M3527" s="14"/>
      <c r="N3527" s="14"/>
      <c r="O3527" s="4"/>
      <c r="P3527" s="14"/>
      <c r="Q3527" s="14"/>
    </row>
    <row r="3528" spans="1:17" x14ac:dyDescent="0.25">
      <c r="A3528" s="5"/>
      <c r="B3528" s="6"/>
      <c r="C3528" s="4"/>
      <c r="D3528" s="4"/>
      <c r="E3528" s="12"/>
      <c r="F3528" s="12"/>
      <c r="G3528" s="16"/>
      <c r="H3528" s="14"/>
      <c r="I3528" s="14"/>
      <c r="J3528" s="14"/>
      <c r="K3528" s="14"/>
      <c r="L3528" s="14"/>
      <c r="M3528" s="14"/>
      <c r="N3528" s="14"/>
      <c r="O3528" s="4"/>
      <c r="P3528" s="14"/>
      <c r="Q3528" s="14"/>
    </row>
    <row r="3529" spans="1:17" x14ac:dyDescent="0.25">
      <c r="A3529" s="5"/>
      <c r="B3529" s="6"/>
      <c r="C3529" s="4"/>
      <c r="D3529" s="4"/>
      <c r="E3529" s="12"/>
      <c r="F3529" s="12"/>
      <c r="G3529" s="16"/>
      <c r="H3529" s="14"/>
      <c r="I3529" s="14"/>
      <c r="J3529" s="14"/>
      <c r="K3529" s="14"/>
      <c r="L3529" s="14"/>
      <c r="M3529" s="14"/>
      <c r="N3529" s="14"/>
      <c r="O3529" s="4"/>
      <c r="P3529" s="14"/>
      <c r="Q3529" s="14"/>
    </row>
    <row r="3530" spans="1:17" x14ac:dyDescent="0.25">
      <c r="A3530" s="5"/>
      <c r="B3530" s="6"/>
      <c r="C3530" s="4"/>
      <c r="D3530" s="4"/>
      <c r="E3530" s="12"/>
      <c r="F3530" s="12"/>
      <c r="G3530" s="16"/>
      <c r="H3530" s="14"/>
      <c r="I3530" s="14"/>
      <c r="J3530" s="14"/>
      <c r="K3530" s="14"/>
      <c r="L3530" s="14"/>
      <c r="M3530" s="14"/>
      <c r="N3530" s="14"/>
      <c r="O3530" s="4"/>
      <c r="P3530" s="14"/>
      <c r="Q3530" s="14"/>
    </row>
    <row r="3531" spans="1:17" x14ac:dyDescent="0.25">
      <c r="A3531" s="5"/>
      <c r="B3531" s="6"/>
      <c r="C3531" s="4"/>
      <c r="D3531" s="4"/>
      <c r="E3531" s="12"/>
      <c r="F3531" s="12"/>
      <c r="G3531" s="16"/>
      <c r="H3531" s="14"/>
      <c r="I3531" s="14"/>
      <c r="J3531" s="14"/>
      <c r="K3531" s="14"/>
      <c r="L3531" s="14"/>
      <c r="M3531" s="14"/>
      <c r="N3531" s="14"/>
      <c r="O3531" s="4"/>
      <c r="P3531" s="14"/>
      <c r="Q3531" s="14"/>
    </row>
    <row r="3532" spans="1:17" x14ac:dyDescent="0.25">
      <c r="A3532" s="5"/>
      <c r="B3532" s="6"/>
      <c r="C3532" s="4"/>
      <c r="D3532" s="4"/>
      <c r="E3532" s="12"/>
      <c r="F3532" s="12"/>
      <c r="G3532" s="16"/>
      <c r="H3532" s="14"/>
      <c r="I3532" s="14"/>
      <c r="J3532" s="14"/>
      <c r="K3532" s="14"/>
      <c r="L3532" s="14"/>
      <c r="M3532" s="14"/>
      <c r="N3532" s="14"/>
      <c r="O3532" s="4"/>
      <c r="P3532" s="14"/>
      <c r="Q3532" s="14"/>
    </row>
    <row r="3533" spans="1:17" x14ac:dyDescent="0.25">
      <c r="A3533" s="5"/>
      <c r="B3533" s="6"/>
      <c r="C3533" s="4"/>
      <c r="D3533" s="4"/>
      <c r="E3533" s="12"/>
      <c r="F3533" s="12"/>
      <c r="G3533" s="16"/>
      <c r="H3533" s="14"/>
      <c r="I3533" s="14"/>
      <c r="J3533" s="14"/>
      <c r="K3533" s="14"/>
      <c r="L3533" s="14"/>
      <c r="M3533" s="14"/>
      <c r="N3533" s="14"/>
      <c r="O3533" s="4"/>
      <c r="P3533" s="14"/>
      <c r="Q3533" s="14"/>
    </row>
    <row r="3534" spans="1:17" x14ac:dyDescent="0.25">
      <c r="A3534" s="5"/>
      <c r="B3534" s="6"/>
      <c r="C3534" s="4"/>
      <c r="D3534" s="4"/>
      <c r="E3534" s="12"/>
      <c r="F3534" s="12"/>
      <c r="G3534" s="16"/>
      <c r="H3534" s="14"/>
      <c r="I3534" s="14"/>
      <c r="J3534" s="14"/>
      <c r="K3534" s="14"/>
      <c r="L3534" s="14"/>
      <c r="M3534" s="14"/>
      <c r="N3534" s="14"/>
      <c r="O3534" s="4"/>
      <c r="P3534" s="14"/>
      <c r="Q3534" s="14"/>
    </row>
    <row r="3535" spans="1:17" x14ac:dyDescent="0.25">
      <c r="A3535" s="5"/>
      <c r="B3535" s="6"/>
      <c r="C3535" s="4"/>
      <c r="D3535" s="4"/>
      <c r="E3535" s="12"/>
      <c r="F3535" s="12"/>
      <c r="G3535" s="16"/>
      <c r="H3535" s="14"/>
      <c r="I3535" s="14"/>
      <c r="J3535" s="14"/>
      <c r="K3535" s="14"/>
      <c r="L3535" s="14"/>
      <c r="M3535" s="14"/>
      <c r="N3535" s="14"/>
      <c r="O3535" s="4"/>
      <c r="P3535" s="14"/>
      <c r="Q3535" s="14"/>
    </row>
    <row r="3536" spans="1:17" x14ac:dyDescent="0.25">
      <c r="A3536" s="5"/>
      <c r="B3536" s="6"/>
      <c r="C3536" s="4"/>
      <c r="D3536" s="4"/>
      <c r="E3536" s="12"/>
      <c r="F3536" s="12"/>
      <c r="G3536" s="16"/>
      <c r="H3536" s="14"/>
      <c r="I3536" s="14"/>
      <c r="J3536" s="14"/>
      <c r="K3536" s="14"/>
      <c r="L3536" s="14"/>
      <c r="M3536" s="14"/>
      <c r="N3536" s="14"/>
      <c r="O3536" s="4"/>
      <c r="P3536" s="14"/>
      <c r="Q3536" s="14"/>
    </row>
    <row r="3537" spans="1:17" x14ac:dyDescent="0.25">
      <c r="A3537" s="5"/>
      <c r="B3537" s="6"/>
      <c r="C3537" s="4"/>
      <c r="D3537" s="4"/>
      <c r="E3537" s="12"/>
      <c r="F3537" s="12"/>
      <c r="G3537" s="16"/>
      <c r="H3537" s="14"/>
      <c r="I3537" s="14"/>
      <c r="J3537" s="14"/>
      <c r="K3537" s="14"/>
      <c r="L3537" s="14"/>
      <c r="M3537" s="14"/>
      <c r="N3537" s="14"/>
      <c r="O3537" s="4"/>
      <c r="P3537" s="14"/>
      <c r="Q3537" s="14"/>
    </row>
    <row r="3538" spans="1:17" x14ac:dyDescent="0.25">
      <c r="A3538" s="5"/>
      <c r="B3538" s="6"/>
      <c r="C3538" s="4"/>
      <c r="D3538" s="4"/>
      <c r="E3538" s="12"/>
      <c r="F3538" s="12"/>
      <c r="G3538" s="16"/>
      <c r="H3538" s="14"/>
      <c r="I3538" s="14"/>
      <c r="J3538" s="14"/>
      <c r="K3538" s="14"/>
      <c r="L3538" s="14"/>
      <c r="M3538" s="14"/>
      <c r="N3538" s="14"/>
      <c r="O3538" s="4"/>
      <c r="P3538" s="14"/>
      <c r="Q3538" s="14"/>
    </row>
    <row r="3539" spans="1:17" x14ac:dyDescent="0.25">
      <c r="A3539" s="5"/>
      <c r="B3539" s="6"/>
      <c r="C3539" s="4"/>
      <c r="D3539" s="4"/>
      <c r="E3539" s="12"/>
      <c r="F3539" s="12"/>
      <c r="G3539" s="16"/>
      <c r="H3539" s="14"/>
      <c r="I3539" s="14"/>
      <c r="J3539" s="14"/>
      <c r="K3539" s="14"/>
      <c r="L3539" s="14"/>
      <c r="M3539" s="14"/>
      <c r="N3539" s="14"/>
      <c r="O3539" s="4"/>
      <c r="P3539" s="14"/>
      <c r="Q3539" s="14"/>
    </row>
    <row r="3540" spans="1:17" x14ac:dyDescent="0.25">
      <c r="A3540" s="5"/>
      <c r="B3540" s="6"/>
      <c r="C3540" s="4"/>
      <c r="D3540" s="4"/>
      <c r="E3540" s="12"/>
      <c r="F3540" s="12"/>
      <c r="G3540" s="16"/>
      <c r="H3540" s="14"/>
      <c r="I3540" s="14"/>
      <c r="J3540" s="14"/>
      <c r="K3540" s="14"/>
      <c r="L3540" s="14"/>
      <c r="M3540" s="14"/>
      <c r="N3540" s="14"/>
      <c r="O3540" s="4"/>
      <c r="P3540" s="14"/>
      <c r="Q3540" s="14"/>
    </row>
    <row r="3541" spans="1:17" x14ac:dyDescent="0.25">
      <c r="A3541" s="5"/>
      <c r="B3541" s="6"/>
      <c r="C3541" s="4"/>
      <c r="D3541" s="4"/>
      <c r="E3541" s="12"/>
      <c r="F3541" s="12"/>
      <c r="G3541" s="16"/>
      <c r="H3541" s="14"/>
      <c r="I3541" s="14"/>
      <c r="J3541" s="14"/>
      <c r="K3541" s="14"/>
      <c r="L3541" s="14"/>
      <c r="M3541" s="14"/>
      <c r="N3541" s="14"/>
      <c r="O3541" s="4"/>
      <c r="P3541" s="14"/>
      <c r="Q3541" s="14"/>
    </row>
    <row r="3542" spans="1:17" x14ac:dyDescent="0.25">
      <c r="A3542" s="5"/>
      <c r="B3542" s="6"/>
      <c r="C3542" s="4"/>
      <c r="D3542" s="4"/>
      <c r="E3542" s="12"/>
      <c r="F3542" s="12"/>
      <c r="G3542" s="16"/>
      <c r="H3542" s="14"/>
      <c r="I3542" s="14"/>
      <c r="J3542" s="14"/>
      <c r="K3542" s="14"/>
      <c r="L3542" s="14"/>
      <c r="M3542" s="14"/>
      <c r="N3542" s="14"/>
      <c r="O3542" s="4"/>
      <c r="P3542" s="14"/>
      <c r="Q3542" s="14"/>
    </row>
    <row r="3543" spans="1:17" x14ac:dyDescent="0.25">
      <c r="A3543" s="5"/>
      <c r="B3543" s="6"/>
      <c r="C3543" s="4"/>
      <c r="D3543" s="4"/>
      <c r="E3543" s="12"/>
      <c r="F3543" s="12"/>
      <c r="G3543" s="16"/>
      <c r="H3543" s="14"/>
      <c r="I3543" s="14"/>
      <c r="J3543" s="14"/>
      <c r="K3543" s="14"/>
      <c r="L3543" s="14"/>
      <c r="M3543" s="14"/>
      <c r="N3543" s="14"/>
      <c r="O3543" s="4"/>
      <c r="P3543" s="14"/>
      <c r="Q3543" s="14"/>
    </row>
    <row r="3544" spans="1:17" x14ac:dyDescent="0.25">
      <c r="A3544" s="5"/>
      <c r="B3544" s="6"/>
      <c r="C3544" s="4"/>
      <c r="D3544" s="4"/>
      <c r="E3544" s="12"/>
      <c r="F3544" s="12"/>
      <c r="G3544" s="16"/>
      <c r="H3544" s="14"/>
      <c r="I3544" s="14"/>
      <c r="J3544" s="14"/>
      <c r="K3544" s="14"/>
      <c r="L3544" s="14"/>
      <c r="M3544" s="14"/>
      <c r="N3544" s="14"/>
      <c r="O3544" s="4"/>
      <c r="P3544" s="14"/>
      <c r="Q3544" s="14"/>
    </row>
    <row r="3545" spans="1:17" x14ac:dyDescent="0.25">
      <c r="A3545" s="5"/>
      <c r="B3545" s="6"/>
      <c r="C3545" s="4"/>
      <c r="D3545" s="4"/>
      <c r="E3545" s="12"/>
      <c r="F3545" s="12"/>
      <c r="G3545" s="16"/>
      <c r="H3545" s="14"/>
      <c r="I3545" s="14"/>
      <c r="J3545" s="14"/>
      <c r="K3545" s="14"/>
      <c r="L3545" s="14"/>
      <c r="M3545" s="14"/>
      <c r="N3545" s="14"/>
      <c r="O3545" s="4"/>
      <c r="P3545" s="14"/>
      <c r="Q3545" s="14"/>
    </row>
    <row r="3546" spans="1:17" x14ac:dyDescent="0.25">
      <c r="A3546" s="5"/>
      <c r="B3546" s="6"/>
      <c r="C3546" s="4"/>
      <c r="D3546" s="4"/>
      <c r="E3546" s="12"/>
      <c r="F3546" s="12"/>
      <c r="G3546" s="16"/>
      <c r="H3546" s="14"/>
      <c r="I3546" s="14"/>
      <c r="J3546" s="14"/>
      <c r="K3546" s="14"/>
      <c r="L3546" s="14"/>
      <c r="M3546" s="14"/>
      <c r="N3546" s="14"/>
      <c r="O3546" s="4"/>
      <c r="P3546" s="14"/>
      <c r="Q3546" s="14"/>
    </row>
    <row r="3547" spans="1:17" x14ac:dyDescent="0.25">
      <c r="A3547" s="5"/>
      <c r="B3547" s="6"/>
      <c r="C3547" s="4"/>
      <c r="D3547" s="4"/>
      <c r="E3547" s="12"/>
      <c r="F3547" s="12"/>
      <c r="G3547" s="16"/>
      <c r="H3547" s="14"/>
      <c r="I3547" s="14"/>
      <c r="J3547" s="14"/>
      <c r="K3547" s="14"/>
      <c r="L3547" s="14"/>
      <c r="M3547" s="14"/>
      <c r="N3547" s="14"/>
      <c r="O3547" s="4"/>
      <c r="P3547" s="14"/>
      <c r="Q3547" s="14"/>
    </row>
    <row r="3548" spans="1:17" x14ac:dyDescent="0.25">
      <c r="A3548" s="5"/>
      <c r="B3548" s="6"/>
      <c r="C3548" s="4"/>
      <c r="D3548" s="4"/>
      <c r="E3548" s="12"/>
      <c r="F3548" s="12"/>
      <c r="G3548" s="16"/>
      <c r="H3548" s="14"/>
      <c r="I3548" s="14"/>
      <c r="J3548" s="14"/>
      <c r="K3548" s="14"/>
      <c r="L3548" s="14"/>
      <c r="M3548" s="14"/>
      <c r="N3548" s="14"/>
      <c r="O3548" s="4"/>
      <c r="P3548" s="14"/>
      <c r="Q3548" s="14"/>
    </row>
    <row r="3549" spans="1:17" x14ac:dyDescent="0.25">
      <c r="A3549" s="5"/>
      <c r="B3549" s="6"/>
      <c r="C3549" s="4"/>
      <c r="D3549" s="4"/>
      <c r="E3549" s="12"/>
      <c r="F3549" s="12"/>
      <c r="G3549" s="16"/>
      <c r="H3549" s="14"/>
      <c r="I3549" s="14"/>
      <c r="J3549" s="14"/>
      <c r="K3549" s="14"/>
      <c r="L3549" s="14"/>
      <c r="M3549" s="14"/>
      <c r="N3549" s="14"/>
      <c r="O3549" s="4"/>
      <c r="P3549" s="14"/>
      <c r="Q3549" s="14"/>
    </row>
    <row r="3550" spans="1:17" x14ac:dyDescent="0.25">
      <c r="A3550" s="5"/>
      <c r="B3550" s="6"/>
      <c r="C3550" s="4"/>
      <c r="D3550" s="4"/>
      <c r="E3550" s="12"/>
      <c r="F3550" s="12"/>
      <c r="G3550" s="16"/>
      <c r="H3550" s="14"/>
      <c r="I3550" s="14"/>
      <c r="J3550" s="14"/>
      <c r="K3550" s="14"/>
      <c r="L3550" s="14"/>
      <c r="M3550" s="14"/>
      <c r="N3550" s="14"/>
      <c r="O3550" s="4"/>
      <c r="P3550" s="14"/>
      <c r="Q3550" s="14"/>
    </row>
    <row r="3551" spans="1:17" x14ac:dyDescent="0.25">
      <c r="A3551" s="5"/>
      <c r="B3551" s="6"/>
      <c r="C3551" s="4"/>
      <c r="D3551" s="4"/>
      <c r="E3551" s="12"/>
      <c r="F3551" s="12"/>
      <c r="G3551" s="16"/>
      <c r="H3551" s="14"/>
      <c r="I3551" s="14"/>
      <c r="J3551" s="14"/>
      <c r="K3551" s="14"/>
      <c r="L3551" s="14"/>
      <c r="M3551" s="14"/>
      <c r="N3551" s="14"/>
      <c r="O3551" s="4"/>
      <c r="P3551" s="14"/>
      <c r="Q3551" s="14"/>
    </row>
    <row r="3552" spans="1:17" x14ac:dyDescent="0.25">
      <c r="A3552" s="5"/>
      <c r="B3552" s="6"/>
      <c r="C3552" s="4"/>
      <c r="D3552" s="4"/>
      <c r="E3552" s="12"/>
      <c r="F3552" s="12"/>
      <c r="G3552" s="16"/>
      <c r="H3552" s="14"/>
      <c r="I3552" s="14"/>
      <c r="J3552" s="14"/>
      <c r="K3552" s="14"/>
      <c r="L3552" s="14"/>
      <c r="M3552" s="14"/>
      <c r="N3552" s="14"/>
      <c r="O3552" s="4"/>
      <c r="P3552" s="14"/>
      <c r="Q3552" s="14"/>
    </row>
    <row r="3553" spans="1:17" x14ac:dyDescent="0.25">
      <c r="A3553" s="5"/>
      <c r="B3553" s="6"/>
      <c r="C3553" s="4"/>
      <c r="D3553" s="4"/>
      <c r="E3553" s="12"/>
      <c r="F3553" s="12"/>
      <c r="G3553" s="16"/>
      <c r="H3553" s="14"/>
      <c r="I3553" s="14"/>
      <c r="J3553" s="14"/>
      <c r="K3553" s="14"/>
      <c r="L3553" s="14"/>
      <c r="M3553" s="14"/>
      <c r="N3553" s="14"/>
      <c r="O3553" s="4"/>
      <c r="P3553" s="14"/>
      <c r="Q3553" s="14"/>
    </row>
    <row r="3554" spans="1:17" x14ac:dyDescent="0.25">
      <c r="A3554" s="5"/>
      <c r="B3554" s="6"/>
      <c r="C3554" s="4"/>
      <c r="D3554" s="4"/>
      <c r="E3554" s="12"/>
      <c r="F3554" s="12"/>
      <c r="G3554" s="16"/>
      <c r="H3554" s="14"/>
      <c r="I3554" s="14"/>
      <c r="J3554" s="14"/>
      <c r="K3554" s="14"/>
      <c r="L3554" s="14"/>
      <c r="M3554" s="14"/>
      <c r="N3554" s="14"/>
      <c r="O3554" s="4"/>
      <c r="P3554" s="14"/>
      <c r="Q3554" s="14"/>
    </row>
    <row r="3555" spans="1:17" x14ac:dyDescent="0.25">
      <c r="A3555" s="5"/>
      <c r="B3555" s="6"/>
      <c r="C3555" s="4"/>
      <c r="D3555" s="4"/>
      <c r="E3555" s="12"/>
      <c r="F3555" s="12"/>
      <c r="G3555" s="16"/>
      <c r="H3555" s="14"/>
      <c r="I3555" s="14"/>
      <c r="J3555" s="14"/>
      <c r="K3555" s="14"/>
      <c r="L3555" s="14"/>
      <c r="M3555" s="14"/>
      <c r="N3555" s="14"/>
      <c r="O3555" s="4"/>
      <c r="P3555" s="14"/>
      <c r="Q3555" s="14"/>
    </row>
    <row r="3556" spans="1:17" x14ac:dyDescent="0.25">
      <c r="A3556" s="5"/>
      <c r="B3556" s="6"/>
      <c r="C3556" s="4"/>
      <c r="D3556" s="4"/>
      <c r="E3556" s="12"/>
      <c r="F3556" s="12"/>
      <c r="G3556" s="16"/>
      <c r="H3556" s="14"/>
      <c r="I3556" s="14"/>
      <c r="J3556" s="14"/>
      <c r="K3556" s="14"/>
      <c r="L3556" s="14"/>
      <c r="M3556" s="14"/>
      <c r="N3556" s="14"/>
      <c r="O3556" s="4"/>
      <c r="P3556" s="14"/>
      <c r="Q3556" s="14"/>
    </row>
    <row r="3557" spans="1:17" x14ac:dyDescent="0.25">
      <c r="A3557" s="5"/>
      <c r="B3557" s="6"/>
      <c r="C3557" s="4"/>
      <c r="D3557" s="4"/>
      <c r="E3557" s="12"/>
      <c r="F3557" s="12"/>
      <c r="G3557" s="16"/>
      <c r="H3557" s="14"/>
      <c r="I3557" s="14"/>
      <c r="J3557" s="14"/>
      <c r="K3557" s="14"/>
      <c r="L3557" s="14"/>
      <c r="M3557" s="14"/>
      <c r="N3557" s="14"/>
      <c r="O3557" s="4"/>
      <c r="P3557" s="14"/>
      <c r="Q3557" s="14"/>
    </row>
    <row r="3558" spans="1:17" x14ac:dyDescent="0.25">
      <c r="A3558" s="5"/>
      <c r="B3558" s="6"/>
      <c r="C3558" s="4"/>
      <c r="D3558" s="4"/>
      <c r="E3558" s="12"/>
      <c r="F3558" s="12"/>
      <c r="G3558" s="16"/>
      <c r="H3558" s="14"/>
      <c r="I3558" s="14"/>
      <c r="J3558" s="14"/>
      <c r="K3558" s="14"/>
      <c r="L3558" s="14"/>
      <c r="M3558" s="14"/>
      <c r="N3558" s="14"/>
      <c r="O3558" s="4"/>
      <c r="P3558" s="14"/>
      <c r="Q3558" s="14"/>
    </row>
    <row r="3559" spans="1:17" x14ac:dyDescent="0.25">
      <c r="A3559" s="5"/>
      <c r="B3559" s="6"/>
      <c r="C3559" s="4"/>
      <c r="D3559" s="4"/>
      <c r="E3559" s="12"/>
      <c r="F3559" s="12"/>
      <c r="G3559" s="16"/>
      <c r="H3559" s="14"/>
      <c r="I3559" s="14"/>
      <c r="J3559" s="14"/>
      <c r="K3559" s="14"/>
      <c r="L3559" s="14"/>
      <c r="M3559" s="14"/>
      <c r="N3559" s="14"/>
      <c r="O3559" s="4"/>
      <c r="P3559" s="14"/>
      <c r="Q3559" s="14"/>
    </row>
    <row r="3560" spans="1:17" x14ac:dyDescent="0.25">
      <c r="A3560" s="5"/>
      <c r="B3560" s="6"/>
      <c r="C3560" s="4"/>
      <c r="D3560" s="4"/>
      <c r="E3560" s="12"/>
      <c r="F3560" s="12"/>
      <c r="G3560" s="16"/>
      <c r="H3560" s="14"/>
      <c r="I3560" s="14"/>
      <c r="J3560" s="14"/>
      <c r="K3560" s="14"/>
      <c r="L3560" s="14"/>
      <c r="M3560" s="14"/>
      <c r="N3560" s="14"/>
      <c r="O3560" s="4"/>
      <c r="P3560" s="14"/>
      <c r="Q3560" s="14"/>
    </row>
    <row r="3561" spans="1:17" x14ac:dyDescent="0.25">
      <c r="A3561" s="5"/>
      <c r="B3561" s="6"/>
      <c r="C3561" s="4"/>
      <c r="D3561" s="4"/>
      <c r="E3561" s="12"/>
      <c r="F3561" s="12"/>
      <c r="G3561" s="16"/>
      <c r="H3561" s="14"/>
      <c r="I3561" s="14"/>
      <c r="J3561" s="14"/>
      <c r="K3561" s="14"/>
      <c r="L3561" s="14"/>
      <c r="M3561" s="14"/>
      <c r="N3561" s="14"/>
      <c r="O3561" s="4"/>
      <c r="P3561" s="14"/>
      <c r="Q3561" s="14"/>
    </row>
    <row r="3562" spans="1:17" x14ac:dyDescent="0.25">
      <c r="A3562" s="5"/>
      <c r="B3562" s="6"/>
      <c r="C3562" s="4"/>
      <c r="D3562" s="4"/>
      <c r="E3562" s="12"/>
      <c r="F3562" s="12"/>
      <c r="G3562" s="16"/>
      <c r="H3562" s="14"/>
      <c r="I3562" s="14"/>
      <c r="J3562" s="14"/>
      <c r="K3562" s="14"/>
      <c r="L3562" s="14"/>
      <c r="M3562" s="14"/>
      <c r="N3562" s="14"/>
      <c r="O3562" s="4"/>
      <c r="P3562" s="14"/>
      <c r="Q3562" s="14"/>
    </row>
    <row r="3563" spans="1:17" x14ac:dyDescent="0.25">
      <c r="A3563" s="5"/>
      <c r="B3563" s="6"/>
      <c r="C3563" s="4"/>
      <c r="D3563" s="4"/>
      <c r="E3563" s="12"/>
      <c r="F3563" s="12"/>
      <c r="G3563" s="16"/>
      <c r="H3563" s="14"/>
      <c r="I3563" s="14"/>
      <c r="J3563" s="14"/>
      <c r="K3563" s="14"/>
      <c r="L3563" s="14"/>
      <c r="M3563" s="14"/>
      <c r="N3563" s="14"/>
      <c r="O3563" s="4"/>
      <c r="P3563" s="14"/>
      <c r="Q3563" s="14"/>
    </row>
    <row r="3564" spans="1:17" x14ac:dyDescent="0.25">
      <c r="A3564" s="5"/>
      <c r="B3564" s="6"/>
      <c r="C3564" s="4"/>
      <c r="D3564" s="4"/>
      <c r="E3564" s="12"/>
      <c r="F3564" s="12"/>
      <c r="G3564" s="16"/>
      <c r="H3564" s="14"/>
      <c r="I3564" s="14"/>
      <c r="J3564" s="14"/>
      <c r="K3564" s="14"/>
      <c r="L3564" s="14"/>
      <c r="M3564" s="14"/>
      <c r="N3564" s="14"/>
      <c r="O3564" s="4"/>
      <c r="P3564" s="14"/>
      <c r="Q3564" s="14"/>
    </row>
    <row r="3565" spans="1:17" x14ac:dyDescent="0.25">
      <c r="A3565" s="5"/>
      <c r="B3565" s="6"/>
      <c r="C3565" s="4"/>
      <c r="D3565" s="4"/>
      <c r="E3565" s="12"/>
      <c r="F3565" s="12"/>
      <c r="G3565" s="16"/>
      <c r="H3565" s="14"/>
      <c r="I3565" s="14"/>
      <c r="J3565" s="14"/>
      <c r="K3565" s="14"/>
      <c r="L3565" s="14"/>
      <c r="M3565" s="14"/>
      <c r="N3565" s="14"/>
      <c r="O3565" s="4"/>
      <c r="P3565" s="14"/>
      <c r="Q3565" s="14"/>
    </row>
    <row r="3566" spans="1:17" x14ac:dyDescent="0.25">
      <c r="A3566" s="5"/>
      <c r="B3566" s="6"/>
      <c r="C3566" s="4"/>
      <c r="D3566" s="4"/>
      <c r="E3566" s="12"/>
      <c r="F3566" s="12"/>
      <c r="G3566" s="16"/>
      <c r="H3566" s="14"/>
      <c r="I3566" s="14"/>
      <c r="J3566" s="14"/>
      <c r="K3566" s="14"/>
      <c r="L3566" s="14"/>
      <c r="M3566" s="14"/>
      <c r="N3566" s="14"/>
      <c r="O3566" s="4"/>
      <c r="P3566" s="14"/>
      <c r="Q3566" s="14"/>
    </row>
    <row r="3567" spans="1:17" x14ac:dyDescent="0.25">
      <c r="A3567" s="5"/>
      <c r="B3567" s="6"/>
      <c r="C3567" s="4"/>
      <c r="D3567" s="4"/>
      <c r="E3567" s="12"/>
      <c r="F3567" s="12"/>
      <c r="G3567" s="16"/>
      <c r="H3567" s="14"/>
      <c r="I3567" s="14"/>
      <c r="J3567" s="14"/>
      <c r="K3567" s="14"/>
      <c r="L3567" s="14"/>
      <c r="M3567" s="14"/>
      <c r="N3567" s="14"/>
      <c r="O3567" s="4"/>
      <c r="P3567" s="14"/>
      <c r="Q3567" s="14"/>
    </row>
    <row r="3568" spans="1:17" x14ac:dyDescent="0.25">
      <c r="A3568" s="5"/>
      <c r="B3568" s="6"/>
      <c r="C3568" s="4"/>
      <c r="D3568" s="4"/>
      <c r="E3568" s="12"/>
      <c r="F3568" s="12"/>
      <c r="G3568" s="16"/>
      <c r="H3568" s="14"/>
      <c r="I3568" s="14"/>
      <c r="J3568" s="14"/>
      <c r="K3568" s="14"/>
      <c r="L3568" s="14"/>
      <c r="M3568" s="14"/>
      <c r="N3568" s="14"/>
      <c r="O3568" s="4"/>
      <c r="P3568" s="14"/>
      <c r="Q3568" s="14"/>
    </row>
    <row r="3569" spans="1:17" x14ac:dyDescent="0.25">
      <c r="A3569" s="5"/>
      <c r="B3569" s="6"/>
      <c r="C3569" s="4"/>
      <c r="D3569" s="4"/>
      <c r="E3569" s="12"/>
      <c r="F3569" s="12"/>
      <c r="G3569" s="16"/>
      <c r="H3569" s="14"/>
      <c r="I3569" s="14"/>
      <c r="J3569" s="14"/>
      <c r="K3569" s="14"/>
      <c r="L3569" s="14"/>
      <c r="M3569" s="14"/>
      <c r="N3569" s="14"/>
      <c r="O3569" s="4"/>
      <c r="P3569" s="14"/>
      <c r="Q3569" s="14"/>
    </row>
    <row r="3570" spans="1:17" x14ac:dyDescent="0.25">
      <c r="A3570" s="5"/>
      <c r="B3570" s="6"/>
      <c r="C3570" s="4"/>
      <c r="D3570" s="4"/>
      <c r="E3570" s="12"/>
      <c r="F3570" s="12"/>
      <c r="G3570" s="16"/>
      <c r="H3570" s="14"/>
      <c r="I3570" s="14"/>
      <c r="J3570" s="14"/>
      <c r="K3570" s="14"/>
      <c r="L3570" s="14"/>
      <c r="M3570" s="14"/>
      <c r="N3570" s="14"/>
      <c r="O3570" s="4"/>
      <c r="P3570" s="14"/>
      <c r="Q3570" s="14"/>
    </row>
    <row r="3571" spans="1:17" x14ac:dyDescent="0.25">
      <c r="A3571" s="5"/>
      <c r="B3571" s="6"/>
      <c r="C3571" s="4"/>
      <c r="D3571" s="4"/>
      <c r="E3571" s="12"/>
      <c r="F3571" s="12"/>
      <c r="G3571" s="16"/>
      <c r="H3571" s="14"/>
      <c r="I3571" s="14"/>
      <c r="J3571" s="14"/>
      <c r="K3571" s="14"/>
      <c r="L3571" s="14"/>
      <c r="M3571" s="14"/>
      <c r="N3571" s="14"/>
      <c r="O3571" s="4"/>
      <c r="P3571" s="14"/>
      <c r="Q3571" s="14"/>
    </row>
    <row r="3572" spans="1:17" x14ac:dyDescent="0.25">
      <c r="A3572" s="5"/>
      <c r="B3572" s="6"/>
      <c r="C3572" s="4"/>
      <c r="D3572" s="4"/>
      <c r="E3572" s="12"/>
      <c r="F3572" s="12"/>
      <c r="G3572" s="16"/>
      <c r="H3572" s="14"/>
      <c r="I3572" s="14"/>
      <c r="J3572" s="14"/>
      <c r="K3572" s="14"/>
      <c r="L3572" s="14"/>
      <c r="M3572" s="14"/>
      <c r="N3572" s="14"/>
      <c r="O3572" s="4"/>
      <c r="P3572" s="14"/>
      <c r="Q3572" s="14"/>
    </row>
    <row r="3573" spans="1:17" x14ac:dyDescent="0.25">
      <c r="A3573" s="5"/>
      <c r="B3573" s="6"/>
      <c r="C3573" s="4"/>
      <c r="D3573" s="4"/>
      <c r="E3573" s="12"/>
      <c r="F3573" s="12"/>
      <c r="G3573" s="16"/>
      <c r="H3573" s="14"/>
      <c r="I3573" s="14"/>
      <c r="J3573" s="14"/>
      <c r="K3573" s="14"/>
      <c r="L3573" s="14"/>
      <c r="M3573" s="14"/>
      <c r="N3573" s="14"/>
      <c r="O3573" s="4"/>
      <c r="P3573" s="14"/>
      <c r="Q3573" s="14"/>
    </row>
    <row r="3574" spans="1:17" x14ac:dyDescent="0.25">
      <c r="A3574" s="5"/>
      <c r="B3574" s="6"/>
      <c r="C3574" s="4"/>
      <c r="D3574" s="4"/>
      <c r="E3574" s="12"/>
      <c r="F3574" s="12"/>
      <c r="G3574" s="16"/>
      <c r="H3574" s="14"/>
      <c r="I3574" s="14"/>
      <c r="J3574" s="14"/>
      <c r="K3574" s="14"/>
      <c r="L3574" s="14"/>
      <c r="M3574" s="14"/>
      <c r="N3574" s="14"/>
      <c r="O3574" s="4"/>
      <c r="P3574" s="14"/>
      <c r="Q3574" s="14"/>
    </row>
    <row r="3575" spans="1:17" x14ac:dyDescent="0.25">
      <c r="A3575" s="5"/>
      <c r="B3575" s="6"/>
      <c r="C3575" s="4"/>
      <c r="D3575" s="4"/>
      <c r="E3575" s="12"/>
      <c r="F3575" s="12"/>
      <c r="G3575" s="16"/>
      <c r="H3575" s="14"/>
      <c r="I3575" s="14"/>
      <c r="J3575" s="14"/>
      <c r="K3575" s="14"/>
      <c r="L3575" s="14"/>
      <c r="M3575" s="14"/>
      <c r="N3575" s="14"/>
      <c r="O3575" s="4"/>
      <c r="P3575" s="14"/>
      <c r="Q3575" s="14"/>
    </row>
    <row r="3576" spans="1:17" x14ac:dyDescent="0.25">
      <c r="A3576" s="5"/>
      <c r="B3576" s="6"/>
      <c r="C3576" s="4"/>
      <c r="D3576" s="4"/>
      <c r="E3576" s="12"/>
      <c r="F3576" s="12"/>
      <c r="G3576" s="16"/>
      <c r="H3576" s="14"/>
      <c r="I3576" s="14"/>
      <c r="J3576" s="14"/>
      <c r="K3576" s="14"/>
      <c r="L3576" s="14"/>
      <c r="M3576" s="14"/>
      <c r="N3576" s="14"/>
      <c r="O3576" s="4"/>
      <c r="P3576" s="14"/>
      <c r="Q3576" s="14"/>
    </row>
    <row r="3577" spans="1:17" x14ac:dyDescent="0.25">
      <c r="A3577" s="5"/>
      <c r="B3577" s="6"/>
      <c r="C3577" s="4"/>
      <c r="D3577" s="4"/>
      <c r="E3577" s="12"/>
      <c r="F3577" s="12"/>
      <c r="G3577" s="16"/>
      <c r="H3577" s="14"/>
      <c r="I3577" s="14"/>
      <c r="J3577" s="14"/>
      <c r="K3577" s="14"/>
      <c r="L3577" s="14"/>
      <c r="M3577" s="14"/>
      <c r="N3577" s="14"/>
      <c r="O3577" s="4"/>
      <c r="P3577" s="14"/>
      <c r="Q3577" s="14"/>
    </row>
    <row r="3578" spans="1:17" x14ac:dyDescent="0.25">
      <c r="A3578" s="5"/>
      <c r="B3578" s="6"/>
      <c r="C3578" s="4"/>
      <c r="D3578" s="4"/>
      <c r="E3578" s="12"/>
      <c r="F3578" s="12"/>
      <c r="G3578" s="16"/>
      <c r="H3578" s="14"/>
      <c r="I3578" s="14"/>
      <c r="J3578" s="14"/>
      <c r="K3578" s="14"/>
      <c r="L3578" s="14"/>
      <c r="M3578" s="14"/>
      <c r="N3578" s="14"/>
      <c r="O3578" s="4"/>
      <c r="P3578" s="14"/>
      <c r="Q3578" s="14"/>
    </row>
    <row r="3579" spans="1:17" x14ac:dyDescent="0.25">
      <c r="A3579" s="5"/>
      <c r="B3579" s="6"/>
      <c r="C3579" s="4"/>
      <c r="D3579" s="4"/>
      <c r="E3579" s="12"/>
      <c r="F3579" s="12"/>
      <c r="G3579" s="16"/>
      <c r="H3579" s="14"/>
      <c r="I3579" s="14"/>
      <c r="J3579" s="14"/>
      <c r="K3579" s="14"/>
      <c r="L3579" s="14"/>
      <c r="M3579" s="14"/>
      <c r="N3579" s="14"/>
      <c r="O3579" s="4"/>
      <c r="P3579" s="14"/>
      <c r="Q3579" s="14"/>
    </row>
    <row r="3580" spans="1:17" x14ac:dyDescent="0.25">
      <c r="A3580" s="5"/>
      <c r="B3580" s="6"/>
      <c r="C3580" s="4"/>
      <c r="D3580" s="4"/>
      <c r="E3580" s="12"/>
      <c r="F3580" s="12"/>
      <c r="G3580" s="16"/>
      <c r="H3580" s="14"/>
      <c r="I3580" s="14"/>
      <c r="J3580" s="14"/>
      <c r="K3580" s="14"/>
      <c r="L3580" s="14"/>
      <c r="M3580" s="14"/>
      <c r="N3580" s="14"/>
      <c r="O3580" s="4"/>
      <c r="P3580" s="14"/>
      <c r="Q3580" s="14"/>
    </row>
    <row r="3581" spans="1:17" x14ac:dyDescent="0.25">
      <c r="A3581" s="5"/>
      <c r="B3581" s="6"/>
      <c r="C3581" s="4"/>
      <c r="D3581" s="4"/>
      <c r="E3581" s="12"/>
      <c r="F3581" s="12"/>
      <c r="G3581" s="16"/>
      <c r="H3581" s="14"/>
      <c r="I3581" s="14"/>
      <c r="J3581" s="14"/>
      <c r="K3581" s="14"/>
      <c r="L3581" s="14"/>
      <c r="M3581" s="14"/>
      <c r="N3581" s="14"/>
      <c r="O3581" s="4"/>
      <c r="P3581" s="14"/>
      <c r="Q3581" s="14"/>
    </row>
    <row r="3582" spans="1:17" x14ac:dyDescent="0.25">
      <c r="A3582" s="5"/>
      <c r="B3582" s="6"/>
      <c r="C3582" s="4"/>
      <c r="D3582" s="4"/>
      <c r="E3582" s="12"/>
      <c r="F3582" s="12"/>
      <c r="G3582" s="16"/>
      <c r="H3582" s="14"/>
      <c r="I3582" s="14"/>
      <c r="J3582" s="14"/>
      <c r="K3582" s="14"/>
      <c r="L3582" s="14"/>
      <c r="M3582" s="14"/>
      <c r="N3582" s="14"/>
      <c r="O3582" s="4"/>
      <c r="P3582" s="14"/>
      <c r="Q3582" s="14"/>
    </row>
    <row r="3583" spans="1:17" x14ac:dyDescent="0.25">
      <c r="A3583" s="5"/>
      <c r="B3583" s="6"/>
      <c r="C3583" s="4"/>
      <c r="D3583" s="4"/>
      <c r="E3583" s="12"/>
      <c r="F3583" s="12"/>
      <c r="G3583" s="16"/>
      <c r="H3583" s="14"/>
      <c r="I3583" s="14"/>
      <c r="J3583" s="14"/>
      <c r="K3583" s="14"/>
      <c r="L3583" s="14"/>
      <c r="M3583" s="14"/>
      <c r="N3583" s="14"/>
      <c r="O3583" s="4"/>
      <c r="P3583" s="14"/>
      <c r="Q3583" s="14"/>
    </row>
    <row r="3584" spans="1:17" x14ac:dyDescent="0.25">
      <c r="A3584" s="5"/>
      <c r="B3584" s="6"/>
      <c r="C3584" s="4"/>
      <c r="D3584" s="4"/>
      <c r="E3584" s="12"/>
      <c r="F3584" s="12"/>
      <c r="G3584" s="16"/>
      <c r="H3584" s="14"/>
      <c r="I3584" s="14"/>
      <c r="J3584" s="14"/>
      <c r="K3584" s="14"/>
      <c r="L3584" s="14"/>
      <c r="M3584" s="14"/>
      <c r="N3584" s="14"/>
      <c r="O3584" s="4"/>
      <c r="P3584" s="14"/>
      <c r="Q3584" s="14"/>
    </row>
    <row r="3585" spans="1:17" x14ac:dyDescent="0.25">
      <c r="A3585" s="5"/>
      <c r="B3585" s="6"/>
      <c r="C3585" s="4"/>
      <c r="D3585" s="4"/>
      <c r="E3585" s="12"/>
      <c r="F3585" s="12"/>
      <c r="G3585" s="16"/>
      <c r="H3585" s="14"/>
      <c r="I3585" s="14"/>
      <c r="J3585" s="14"/>
      <c r="K3585" s="14"/>
      <c r="L3585" s="14"/>
      <c r="M3585" s="14"/>
      <c r="N3585" s="14"/>
      <c r="O3585" s="4"/>
      <c r="P3585" s="14"/>
      <c r="Q3585" s="14"/>
    </row>
    <row r="3586" spans="1:17" x14ac:dyDescent="0.25">
      <c r="A3586" s="5"/>
      <c r="B3586" s="6"/>
      <c r="C3586" s="4"/>
      <c r="D3586" s="4"/>
      <c r="E3586" s="12"/>
      <c r="F3586" s="12"/>
      <c r="G3586" s="16"/>
      <c r="H3586" s="14"/>
      <c r="I3586" s="14"/>
      <c r="J3586" s="14"/>
      <c r="K3586" s="14"/>
      <c r="L3586" s="14"/>
      <c r="M3586" s="14"/>
      <c r="N3586" s="14"/>
      <c r="O3586" s="4"/>
      <c r="P3586" s="14"/>
      <c r="Q3586" s="14"/>
    </row>
    <row r="3587" spans="1:17" x14ac:dyDescent="0.25">
      <c r="A3587" s="5"/>
      <c r="B3587" s="6"/>
      <c r="C3587" s="4"/>
      <c r="D3587" s="4"/>
      <c r="E3587" s="12"/>
      <c r="F3587" s="12"/>
      <c r="G3587" s="16"/>
      <c r="H3587" s="14"/>
      <c r="I3587" s="14"/>
      <c r="J3587" s="14"/>
      <c r="K3587" s="14"/>
      <c r="L3587" s="14"/>
      <c r="M3587" s="14"/>
      <c r="N3587" s="14"/>
      <c r="O3587" s="4"/>
      <c r="P3587" s="14"/>
      <c r="Q3587" s="14"/>
    </row>
    <row r="3588" spans="1:17" x14ac:dyDescent="0.25">
      <c r="A3588" s="5"/>
      <c r="B3588" s="6"/>
      <c r="C3588" s="4"/>
      <c r="D3588" s="4"/>
      <c r="E3588" s="12"/>
      <c r="F3588" s="12"/>
      <c r="G3588" s="16"/>
      <c r="H3588" s="14"/>
      <c r="I3588" s="14"/>
      <c r="J3588" s="14"/>
      <c r="K3588" s="14"/>
      <c r="L3588" s="14"/>
      <c r="M3588" s="14"/>
      <c r="N3588" s="14"/>
      <c r="O3588" s="4"/>
      <c r="P3588" s="14"/>
      <c r="Q3588" s="14"/>
    </row>
    <row r="3589" spans="1:17" x14ac:dyDescent="0.25">
      <c r="A3589" s="5"/>
      <c r="B3589" s="6"/>
      <c r="C3589" s="4"/>
      <c r="D3589" s="4"/>
      <c r="E3589" s="12"/>
      <c r="F3589" s="12"/>
      <c r="G3589" s="16"/>
      <c r="H3589" s="14"/>
      <c r="I3589" s="14"/>
      <c r="J3589" s="14"/>
      <c r="K3589" s="14"/>
      <c r="L3589" s="14"/>
      <c r="M3589" s="14"/>
      <c r="N3589" s="14"/>
      <c r="O3589" s="4"/>
      <c r="P3589" s="14"/>
      <c r="Q3589" s="14"/>
    </row>
    <row r="3590" spans="1:17" x14ac:dyDescent="0.25">
      <c r="A3590" s="5"/>
      <c r="B3590" s="6"/>
      <c r="C3590" s="4"/>
      <c r="D3590" s="4"/>
      <c r="E3590" s="12"/>
      <c r="F3590" s="12"/>
      <c r="G3590" s="16"/>
      <c r="H3590" s="14"/>
      <c r="I3590" s="14"/>
      <c r="J3590" s="14"/>
      <c r="K3590" s="14"/>
      <c r="L3590" s="14"/>
      <c r="M3590" s="14"/>
      <c r="N3590" s="14"/>
      <c r="O3590" s="4"/>
      <c r="P3590" s="14"/>
      <c r="Q3590" s="14"/>
    </row>
    <row r="3591" spans="1:17" x14ac:dyDescent="0.25">
      <c r="A3591" s="5"/>
      <c r="B3591" s="6"/>
      <c r="C3591" s="4"/>
      <c r="D3591" s="4"/>
      <c r="E3591" s="12"/>
      <c r="F3591" s="12"/>
      <c r="G3591" s="16"/>
      <c r="H3591" s="14"/>
      <c r="I3591" s="14"/>
      <c r="J3591" s="14"/>
      <c r="K3591" s="14"/>
      <c r="L3591" s="14"/>
      <c r="M3591" s="14"/>
      <c r="N3591" s="14"/>
      <c r="O3591" s="4"/>
      <c r="P3591" s="14"/>
      <c r="Q3591" s="14"/>
    </row>
    <row r="3592" spans="1:17" x14ac:dyDescent="0.25">
      <c r="A3592" s="5"/>
      <c r="B3592" s="6"/>
      <c r="C3592" s="4"/>
      <c r="D3592" s="4"/>
      <c r="E3592" s="12"/>
      <c r="F3592" s="12"/>
      <c r="G3592" s="16"/>
      <c r="H3592" s="14"/>
      <c r="I3592" s="14"/>
      <c r="J3592" s="14"/>
      <c r="K3592" s="14"/>
      <c r="L3592" s="14"/>
      <c r="M3592" s="14"/>
      <c r="N3592" s="14"/>
      <c r="O3592" s="4"/>
      <c r="P3592" s="14"/>
      <c r="Q3592" s="14"/>
    </row>
    <row r="3593" spans="1:17" x14ac:dyDescent="0.25">
      <c r="A3593" s="5"/>
      <c r="B3593" s="6"/>
      <c r="C3593" s="4"/>
      <c r="D3593" s="4"/>
      <c r="E3593" s="12"/>
      <c r="F3593" s="12"/>
      <c r="G3593" s="16"/>
      <c r="H3593" s="14"/>
      <c r="I3593" s="14"/>
      <c r="J3593" s="14"/>
      <c r="K3593" s="14"/>
      <c r="L3593" s="14"/>
      <c r="M3593" s="14"/>
      <c r="N3593" s="14"/>
      <c r="O3593" s="4"/>
      <c r="P3593" s="14"/>
      <c r="Q3593" s="14"/>
    </row>
    <row r="3594" spans="1:17" x14ac:dyDescent="0.25">
      <c r="A3594" s="5"/>
      <c r="B3594" s="6"/>
      <c r="C3594" s="4"/>
      <c r="D3594" s="4"/>
      <c r="E3594" s="12"/>
      <c r="F3594" s="12"/>
      <c r="G3594" s="16"/>
      <c r="H3594" s="14"/>
      <c r="I3594" s="14"/>
      <c r="J3594" s="14"/>
      <c r="K3594" s="14"/>
      <c r="L3594" s="14"/>
      <c r="M3594" s="14"/>
      <c r="N3594" s="14"/>
      <c r="O3594" s="4"/>
      <c r="P3594" s="14"/>
      <c r="Q3594" s="14"/>
    </row>
    <row r="3595" spans="1:17" x14ac:dyDescent="0.25">
      <c r="A3595" s="5"/>
      <c r="B3595" s="6"/>
      <c r="C3595" s="4"/>
      <c r="D3595" s="4"/>
      <c r="E3595" s="12"/>
      <c r="F3595" s="12"/>
      <c r="G3595" s="16"/>
      <c r="H3595" s="14"/>
      <c r="I3595" s="14"/>
      <c r="J3595" s="14"/>
      <c r="K3595" s="14"/>
      <c r="L3595" s="14"/>
      <c r="M3595" s="14"/>
      <c r="N3595" s="14"/>
      <c r="O3595" s="4"/>
      <c r="P3595" s="14"/>
      <c r="Q3595" s="14"/>
    </row>
    <row r="3596" spans="1:17" x14ac:dyDescent="0.25">
      <c r="A3596" s="5"/>
      <c r="B3596" s="6"/>
      <c r="C3596" s="4"/>
      <c r="D3596" s="4"/>
      <c r="E3596" s="12"/>
      <c r="F3596" s="12"/>
      <c r="G3596" s="16"/>
      <c r="H3596" s="14"/>
      <c r="I3596" s="14"/>
      <c r="J3596" s="14"/>
      <c r="K3596" s="14"/>
      <c r="L3596" s="14"/>
      <c r="M3596" s="14"/>
      <c r="N3596" s="14"/>
      <c r="O3596" s="4"/>
      <c r="P3596" s="14"/>
      <c r="Q3596" s="14"/>
    </row>
    <row r="3597" spans="1:17" x14ac:dyDescent="0.25">
      <c r="A3597" s="5"/>
      <c r="B3597" s="6"/>
      <c r="C3597" s="4"/>
      <c r="D3597" s="4"/>
      <c r="E3597" s="12"/>
      <c r="F3597" s="12"/>
      <c r="G3597" s="16"/>
      <c r="H3597" s="14"/>
      <c r="I3597" s="14"/>
      <c r="J3597" s="14"/>
      <c r="K3597" s="14"/>
      <c r="L3597" s="14"/>
      <c r="M3597" s="14"/>
      <c r="N3597" s="14"/>
      <c r="O3597" s="4"/>
      <c r="P3597" s="14"/>
      <c r="Q3597" s="14"/>
    </row>
    <row r="3598" spans="1:17" x14ac:dyDescent="0.25">
      <c r="A3598" s="5"/>
      <c r="B3598" s="6"/>
      <c r="C3598" s="4"/>
      <c r="D3598" s="4"/>
      <c r="E3598" s="12"/>
      <c r="F3598" s="12"/>
      <c r="G3598" s="16"/>
      <c r="H3598" s="14"/>
      <c r="I3598" s="14"/>
      <c r="J3598" s="14"/>
      <c r="K3598" s="14"/>
      <c r="L3598" s="14"/>
      <c r="M3598" s="14"/>
      <c r="N3598" s="14"/>
      <c r="O3598" s="4"/>
      <c r="P3598" s="14"/>
      <c r="Q3598" s="14"/>
    </row>
    <row r="3599" spans="1:17" x14ac:dyDescent="0.25">
      <c r="A3599" s="5"/>
      <c r="B3599" s="6"/>
      <c r="C3599" s="4"/>
      <c r="D3599" s="4"/>
      <c r="E3599" s="12"/>
      <c r="F3599" s="12"/>
      <c r="G3599" s="16"/>
      <c r="H3599" s="14"/>
      <c r="I3599" s="14"/>
      <c r="J3599" s="14"/>
      <c r="K3599" s="14"/>
      <c r="L3599" s="14"/>
      <c r="M3599" s="14"/>
      <c r="N3599" s="14"/>
      <c r="O3599" s="4"/>
      <c r="P3599" s="14"/>
      <c r="Q3599" s="14"/>
    </row>
    <row r="3600" spans="1:17" x14ac:dyDescent="0.25">
      <c r="A3600" s="5"/>
      <c r="B3600" s="6"/>
      <c r="C3600" s="4"/>
      <c r="D3600" s="4"/>
      <c r="E3600" s="12"/>
      <c r="F3600" s="12"/>
      <c r="G3600" s="16"/>
      <c r="H3600" s="14"/>
      <c r="I3600" s="14"/>
      <c r="J3600" s="14"/>
      <c r="K3600" s="14"/>
      <c r="L3600" s="14"/>
      <c r="M3600" s="14"/>
      <c r="N3600" s="14"/>
      <c r="O3600" s="4"/>
      <c r="P3600" s="14"/>
      <c r="Q3600" s="14"/>
    </row>
    <row r="3601" spans="1:17" x14ac:dyDescent="0.25">
      <c r="A3601" s="5"/>
      <c r="B3601" s="6"/>
      <c r="C3601" s="4"/>
      <c r="D3601" s="4"/>
      <c r="E3601" s="12"/>
      <c r="F3601" s="12"/>
      <c r="G3601" s="16"/>
      <c r="H3601" s="14"/>
      <c r="I3601" s="14"/>
      <c r="J3601" s="14"/>
      <c r="K3601" s="14"/>
      <c r="L3601" s="14"/>
      <c r="M3601" s="14"/>
      <c r="N3601" s="14"/>
      <c r="O3601" s="4"/>
      <c r="P3601" s="14"/>
      <c r="Q3601" s="14"/>
    </row>
    <row r="3602" spans="1:17" x14ac:dyDescent="0.25">
      <c r="A3602" s="5"/>
      <c r="B3602" s="6"/>
      <c r="C3602" s="4"/>
      <c r="D3602" s="4"/>
      <c r="E3602" s="12"/>
      <c r="F3602" s="12"/>
      <c r="G3602" s="16"/>
      <c r="H3602" s="14"/>
      <c r="I3602" s="14"/>
      <c r="J3602" s="14"/>
      <c r="K3602" s="14"/>
      <c r="L3602" s="14"/>
      <c r="M3602" s="14"/>
      <c r="N3602" s="14"/>
      <c r="O3602" s="4"/>
      <c r="P3602" s="14"/>
      <c r="Q3602" s="14"/>
    </row>
    <row r="3603" spans="1:17" x14ac:dyDescent="0.25">
      <c r="A3603" s="5"/>
      <c r="B3603" s="6"/>
      <c r="C3603" s="4"/>
      <c r="D3603" s="4"/>
      <c r="E3603" s="12"/>
      <c r="F3603" s="12"/>
      <c r="G3603" s="16"/>
      <c r="H3603" s="14"/>
      <c r="I3603" s="14"/>
      <c r="J3603" s="14"/>
      <c r="K3603" s="14"/>
      <c r="L3603" s="14"/>
      <c r="M3603" s="14"/>
      <c r="N3603" s="14"/>
      <c r="O3603" s="4"/>
      <c r="P3603" s="14"/>
      <c r="Q3603" s="14"/>
    </row>
    <row r="3604" spans="1:17" x14ac:dyDescent="0.25">
      <c r="A3604" s="5"/>
      <c r="B3604" s="6"/>
      <c r="C3604" s="4"/>
      <c r="D3604" s="4"/>
      <c r="E3604" s="12"/>
      <c r="F3604" s="12"/>
      <c r="G3604" s="16"/>
      <c r="H3604" s="14"/>
      <c r="I3604" s="14"/>
      <c r="J3604" s="14"/>
      <c r="K3604" s="14"/>
      <c r="L3604" s="14"/>
      <c r="M3604" s="14"/>
      <c r="N3604" s="14"/>
      <c r="O3604" s="4"/>
      <c r="P3604" s="14"/>
      <c r="Q3604" s="14"/>
    </row>
    <row r="3605" spans="1:17" x14ac:dyDescent="0.25">
      <c r="A3605" s="5"/>
      <c r="B3605" s="6"/>
      <c r="C3605" s="4"/>
      <c r="D3605" s="4"/>
      <c r="E3605" s="12"/>
      <c r="F3605" s="12"/>
      <c r="G3605" s="16"/>
      <c r="H3605" s="14"/>
      <c r="I3605" s="14"/>
      <c r="J3605" s="14"/>
      <c r="K3605" s="14"/>
      <c r="L3605" s="14"/>
      <c r="M3605" s="14"/>
      <c r="N3605" s="14"/>
      <c r="O3605" s="4"/>
      <c r="P3605" s="14"/>
      <c r="Q3605" s="14"/>
    </row>
    <row r="3606" spans="1:17" x14ac:dyDescent="0.25">
      <c r="A3606" s="5"/>
      <c r="B3606" s="6"/>
      <c r="C3606" s="4"/>
      <c r="D3606" s="4"/>
      <c r="E3606" s="12"/>
      <c r="F3606" s="12"/>
      <c r="G3606" s="16"/>
      <c r="H3606" s="14"/>
      <c r="I3606" s="14"/>
      <c r="J3606" s="14"/>
      <c r="K3606" s="14"/>
      <c r="L3606" s="14"/>
      <c r="M3606" s="14"/>
      <c r="N3606" s="14"/>
      <c r="O3606" s="4"/>
      <c r="P3606" s="14"/>
      <c r="Q3606" s="14"/>
    </row>
    <row r="3607" spans="1:17" x14ac:dyDescent="0.25">
      <c r="A3607" s="5"/>
      <c r="B3607" s="6"/>
      <c r="C3607" s="4"/>
      <c r="D3607" s="4"/>
      <c r="E3607" s="12"/>
      <c r="F3607" s="12"/>
      <c r="G3607" s="16"/>
      <c r="H3607" s="14"/>
      <c r="I3607" s="14"/>
      <c r="J3607" s="14"/>
      <c r="K3607" s="14"/>
      <c r="L3607" s="14"/>
      <c r="M3607" s="14"/>
      <c r="N3607" s="14"/>
      <c r="O3607" s="4"/>
      <c r="P3607" s="14"/>
      <c r="Q3607" s="14"/>
    </row>
    <row r="3608" spans="1:17" x14ac:dyDescent="0.25">
      <c r="A3608" s="5"/>
      <c r="B3608" s="6"/>
      <c r="C3608" s="4"/>
      <c r="D3608" s="4"/>
      <c r="E3608" s="12"/>
      <c r="F3608" s="12"/>
      <c r="G3608" s="16"/>
      <c r="H3608" s="14"/>
      <c r="I3608" s="14"/>
      <c r="J3608" s="14"/>
      <c r="K3608" s="14"/>
      <c r="L3608" s="14"/>
      <c r="M3608" s="14"/>
      <c r="N3608" s="14"/>
      <c r="O3608" s="4"/>
      <c r="P3608" s="14"/>
      <c r="Q3608" s="14"/>
    </row>
    <row r="3609" spans="1:17" x14ac:dyDescent="0.25">
      <c r="A3609" s="5"/>
      <c r="B3609" s="6"/>
      <c r="C3609" s="4"/>
      <c r="D3609" s="4"/>
      <c r="E3609" s="12"/>
      <c r="F3609" s="12"/>
      <c r="G3609" s="16"/>
      <c r="H3609" s="14"/>
      <c r="I3609" s="14"/>
      <c r="J3609" s="14"/>
      <c r="K3609" s="14"/>
      <c r="L3609" s="14"/>
      <c r="M3609" s="14"/>
      <c r="N3609" s="14"/>
      <c r="O3609" s="4"/>
      <c r="P3609" s="14"/>
      <c r="Q3609" s="14"/>
    </row>
    <row r="3610" spans="1:17" x14ac:dyDescent="0.25">
      <c r="A3610" s="5"/>
      <c r="B3610" s="6"/>
      <c r="C3610" s="4"/>
      <c r="D3610" s="4"/>
      <c r="E3610" s="12"/>
      <c r="F3610" s="12"/>
      <c r="G3610" s="16"/>
      <c r="H3610" s="14"/>
      <c r="I3610" s="14"/>
      <c r="J3610" s="14"/>
      <c r="K3610" s="14"/>
      <c r="L3610" s="14"/>
      <c r="M3610" s="14"/>
      <c r="N3610" s="14"/>
      <c r="O3610" s="4"/>
      <c r="P3610" s="14"/>
      <c r="Q3610" s="14"/>
    </row>
    <row r="3611" spans="1:17" x14ac:dyDescent="0.25">
      <c r="A3611" s="5"/>
      <c r="B3611" s="6"/>
      <c r="C3611" s="4"/>
      <c r="D3611" s="4"/>
      <c r="E3611" s="12"/>
      <c r="F3611" s="12"/>
      <c r="G3611" s="16"/>
      <c r="H3611" s="14"/>
      <c r="I3611" s="14"/>
      <c r="J3611" s="14"/>
      <c r="K3611" s="14"/>
      <c r="L3611" s="14"/>
      <c r="M3611" s="14"/>
      <c r="N3611" s="14"/>
      <c r="O3611" s="4"/>
      <c r="P3611" s="14"/>
      <c r="Q3611" s="14"/>
    </row>
    <row r="3612" spans="1:17" x14ac:dyDescent="0.25">
      <c r="A3612" s="5"/>
      <c r="B3612" s="6"/>
      <c r="C3612" s="4"/>
      <c r="D3612" s="4"/>
      <c r="E3612" s="12"/>
      <c r="F3612" s="12"/>
      <c r="G3612" s="16"/>
      <c r="H3612" s="14"/>
      <c r="I3612" s="14"/>
      <c r="J3612" s="14"/>
      <c r="K3612" s="14"/>
      <c r="L3612" s="14"/>
      <c r="M3612" s="14"/>
      <c r="N3612" s="14"/>
      <c r="O3612" s="4"/>
      <c r="P3612" s="14"/>
      <c r="Q3612" s="14"/>
    </row>
    <row r="3613" spans="1:17" x14ac:dyDescent="0.25">
      <c r="A3613" s="5"/>
      <c r="B3613" s="6"/>
      <c r="C3613" s="4"/>
      <c r="D3613" s="4"/>
      <c r="E3613" s="12"/>
      <c r="F3613" s="12"/>
      <c r="G3613" s="16"/>
      <c r="H3613" s="14"/>
      <c r="I3613" s="14"/>
      <c r="J3613" s="14"/>
      <c r="K3613" s="14"/>
      <c r="L3613" s="14"/>
      <c r="M3613" s="14"/>
      <c r="N3613" s="14"/>
      <c r="O3613" s="4"/>
      <c r="P3613" s="14"/>
      <c r="Q3613" s="14"/>
    </row>
    <row r="3614" spans="1:17" x14ac:dyDescent="0.25">
      <c r="A3614" s="5"/>
      <c r="B3614" s="6"/>
      <c r="C3614" s="4"/>
      <c r="D3614" s="4"/>
      <c r="E3614" s="12"/>
      <c r="F3614" s="12"/>
      <c r="G3614" s="16"/>
      <c r="H3614" s="14"/>
      <c r="I3614" s="14"/>
      <c r="J3614" s="14"/>
      <c r="K3614" s="14"/>
      <c r="L3614" s="14"/>
      <c r="M3614" s="14"/>
      <c r="N3614" s="14"/>
      <c r="O3614" s="4"/>
      <c r="P3614" s="14"/>
      <c r="Q3614" s="14"/>
    </row>
    <row r="3615" spans="1:17" x14ac:dyDescent="0.25">
      <c r="A3615" s="5"/>
      <c r="B3615" s="6"/>
      <c r="C3615" s="4"/>
      <c r="D3615" s="4"/>
      <c r="E3615" s="12"/>
      <c r="F3615" s="12"/>
      <c r="G3615" s="16"/>
      <c r="H3615" s="14"/>
      <c r="I3615" s="14"/>
      <c r="J3615" s="14"/>
      <c r="K3615" s="14"/>
      <c r="L3615" s="14"/>
      <c r="M3615" s="14"/>
      <c r="N3615" s="14"/>
      <c r="O3615" s="4"/>
      <c r="P3615" s="14"/>
      <c r="Q3615" s="14"/>
    </row>
    <row r="3616" spans="1:17" x14ac:dyDescent="0.25">
      <c r="A3616" s="5"/>
      <c r="B3616" s="6"/>
      <c r="C3616" s="4"/>
      <c r="D3616" s="4"/>
      <c r="E3616" s="12"/>
      <c r="F3616" s="12"/>
      <c r="G3616" s="16"/>
      <c r="H3616" s="14"/>
      <c r="I3616" s="14"/>
      <c r="J3616" s="14"/>
      <c r="K3616" s="14"/>
      <c r="L3616" s="14"/>
      <c r="M3616" s="14"/>
      <c r="N3616" s="14"/>
      <c r="O3616" s="4"/>
      <c r="P3616" s="14"/>
      <c r="Q3616" s="14"/>
    </row>
    <row r="3617" spans="1:17" x14ac:dyDescent="0.25">
      <c r="A3617" s="5"/>
      <c r="B3617" s="6"/>
      <c r="C3617" s="4"/>
      <c r="D3617" s="4"/>
      <c r="E3617" s="12"/>
      <c r="F3617" s="12"/>
      <c r="G3617" s="16"/>
      <c r="H3617" s="14"/>
      <c r="I3617" s="14"/>
      <c r="J3617" s="14"/>
      <c r="K3617" s="14"/>
      <c r="L3617" s="14"/>
      <c r="M3617" s="14"/>
      <c r="N3617" s="14"/>
      <c r="O3617" s="4"/>
      <c r="P3617" s="14"/>
      <c r="Q3617" s="14"/>
    </row>
    <row r="3618" spans="1:17" x14ac:dyDescent="0.25">
      <c r="A3618" s="5"/>
      <c r="B3618" s="6"/>
      <c r="C3618" s="4"/>
      <c r="D3618" s="4"/>
      <c r="E3618" s="12"/>
      <c r="F3618" s="12"/>
      <c r="G3618" s="16"/>
      <c r="H3618" s="14"/>
      <c r="I3618" s="14"/>
      <c r="J3618" s="14"/>
      <c r="K3618" s="14"/>
      <c r="L3618" s="14"/>
      <c r="M3618" s="14"/>
      <c r="N3618" s="14"/>
      <c r="O3618" s="4"/>
      <c r="P3618" s="14"/>
      <c r="Q3618" s="14"/>
    </row>
    <row r="3619" spans="1:17" x14ac:dyDescent="0.25">
      <c r="A3619" s="5"/>
      <c r="B3619" s="6"/>
      <c r="C3619" s="4"/>
      <c r="D3619" s="4"/>
      <c r="E3619" s="12"/>
      <c r="F3619" s="12"/>
      <c r="G3619" s="16"/>
      <c r="H3619" s="14"/>
      <c r="I3619" s="14"/>
      <c r="J3619" s="14"/>
      <c r="K3619" s="14"/>
      <c r="L3619" s="14"/>
      <c r="M3619" s="14"/>
      <c r="N3619" s="14"/>
      <c r="O3619" s="4"/>
      <c r="P3619" s="14"/>
      <c r="Q3619" s="14"/>
    </row>
    <row r="3620" spans="1:17" x14ac:dyDescent="0.25">
      <c r="A3620" s="5"/>
      <c r="B3620" s="6"/>
      <c r="C3620" s="4"/>
      <c r="D3620" s="4"/>
      <c r="E3620" s="12"/>
      <c r="F3620" s="12"/>
      <c r="G3620" s="16"/>
      <c r="H3620" s="14"/>
      <c r="I3620" s="14"/>
      <c r="J3620" s="14"/>
      <c r="K3620" s="14"/>
      <c r="L3620" s="14"/>
      <c r="M3620" s="14"/>
      <c r="N3620" s="14"/>
      <c r="O3620" s="4"/>
      <c r="P3620" s="14"/>
      <c r="Q3620" s="14"/>
    </row>
    <row r="3621" spans="1:17" x14ac:dyDescent="0.25">
      <c r="A3621" s="5"/>
      <c r="B3621" s="6"/>
      <c r="C3621" s="4"/>
      <c r="D3621" s="4"/>
      <c r="E3621" s="12"/>
      <c r="F3621" s="12"/>
      <c r="G3621" s="16"/>
      <c r="H3621" s="14"/>
      <c r="I3621" s="14"/>
      <c r="J3621" s="14"/>
      <c r="K3621" s="14"/>
      <c r="L3621" s="14"/>
      <c r="M3621" s="14"/>
      <c r="N3621" s="14"/>
      <c r="O3621" s="4"/>
      <c r="P3621" s="14"/>
      <c r="Q3621" s="14"/>
    </row>
    <row r="3622" spans="1:17" x14ac:dyDescent="0.25">
      <c r="A3622" s="5"/>
      <c r="B3622" s="6"/>
      <c r="C3622" s="4"/>
      <c r="D3622" s="4"/>
      <c r="E3622" s="12"/>
      <c r="F3622" s="12"/>
      <c r="G3622" s="16"/>
      <c r="H3622" s="14"/>
      <c r="I3622" s="14"/>
      <c r="J3622" s="14"/>
      <c r="K3622" s="14"/>
      <c r="L3622" s="14"/>
      <c r="M3622" s="14"/>
      <c r="N3622" s="14"/>
      <c r="O3622" s="4"/>
      <c r="P3622" s="14"/>
      <c r="Q3622" s="14"/>
    </row>
    <row r="3623" spans="1:17" x14ac:dyDescent="0.25">
      <c r="A3623" s="5"/>
      <c r="B3623" s="6"/>
      <c r="C3623" s="4"/>
      <c r="D3623" s="4"/>
      <c r="E3623" s="12"/>
      <c r="F3623" s="12"/>
      <c r="G3623" s="16"/>
      <c r="H3623" s="14"/>
      <c r="I3623" s="14"/>
      <c r="J3623" s="14"/>
      <c r="K3623" s="14"/>
      <c r="L3623" s="14"/>
      <c r="M3623" s="14"/>
      <c r="N3623" s="14"/>
      <c r="O3623" s="4"/>
      <c r="P3623" s="14"/>
      <c r="Q3623" s="14"/>
    </row>
    <row r="3624" spans="1:17" x14ac:dyDescent="0.25">
      <c r="A3624" s="5"/>
      <c r="B3624" s="6"/>
      <c r="C3624" s="4"/>
      <c r="D3624" s="4"/>
      <c r="E3624" s="12"/>
      <c r="F3624" s="12"/>
      <c r="G3624" s="16"/>
      <c r="H3624" s="14"/>
      <c r="I3624" s="14"/>
      <c r="J3624" s="14"/>
      <c r="K3624" s="14"/>
      <c r="L3624" s="14"/>
      <c r="M3624" s="14"/>
      <c r="N3624" s="14"/>
      <c r="O3624" s="4"/>
      <c r="P3624" s="14"/>
      <c r="Q3624" s="14"/>
    </row>
    <row r="3625" spans="1:17" x14ac:dyDescent="0.25">
      <c r="A3625" s="5"/>
      <c r="B3625" s="6"/>
      <c r="C3625" s="4"/>
      <c r="D3625" s="4"/>
      <c r="E3625" s="12"/>
      <c r="F3625" s="12"/>
      <c r="G3625" s="16"/>
      <c r="H3625" s="14"/>
      <c r="I3625" s="14"/>
      <c r="J3625" s="14"/>
      <c r="K3625" s="14"/>
      <c r="L3625" s="14"/>
      <c r="M3625" s="14"/>
      <c r="N3625" s="14"/>
      <c r="O3625" s="4"/>
      <c r="P3625" s="14"/>
      <c r="Q3625" s="14"/>
    </row>
    <row r="3626" spans="1:17" x14ac:dyDescent="0.25">
      <c r="A3626" s="5"/>
      <c r="B3626" s="6"/>
      <c r="C3626" s="4"/>
      <c r="D3626" s="4"/>
      <c r="E3626" s="12"/>
      <c r="F3626" s="12"/>
      <c r="G3626" s="16"/>
      <c r="H3626" s="14"/>
      <c r="I3626" s="14"/>
      <c r="J3626" s="14"/>
      <c r="K3626" s="14"/>
      <c r="L3626" s="14"/>
      <c r="M3626" s="14"/>
      <c r="N3626" s="14"/>
      <c r="O3626" s="4"/>
      <c r="P3626" s="14"/>
      <c r="Q3626" s="14"/>
    </row>
    <row r="3627" spans="1:17" x14ac:dyDescent="0.25">
      <c r="A3627" s="5"/>
      <c r="B3627" s="6"/>
      <c r="C3627" s="4"/>
      <c r="D3627" s="4"/>
      <c r="E3627" s="12"/>
      <c r="F3627" s="12"/>
      <c r="G3627" s="16"/>
      <c r="H3627" s="14"/>
      <c r="I3627" s="14"/>
      <c r="J3627" s="14"/>
      <c r="K3627" s="14"/>
      <c r="L3627" s="14"/>
      <c r="M3627" s="14"/>
      <c r="N3627" s="14"/>
      <c r="O3627" s="4"/>
      <c r="P3627" s="14"/>
      <c r="Q3627" s="14"/>
    </row>
    <row r="3628" spans="1:17" x14ac:dyDescent="0.25">
      <c r="A3628" s="5"/>
      <c r="B3628" s="6"/>
      <c r="C3628" s="4"/>
      <c r="D3628" s="4"/>
      <c r="E3628" s="12"/>
      <c r="F3628" s="12"/>
      <c r="G3628" s="16"/>
      <c r="H3628" s="14"/>
      <c r="I3628" s="14"/>
      <c r="J3628" s="14"/>
      <c r="K3628" s="14"/>
      <c r="L3628" s="14"/>
      <c r="M3628" s="14"/>
      <c r="N3628" s="14"/>
      <c r="O3628" s="4"/>
      <c r="P3628" s="14"/>
      <c r="Q3628" s="14"/>
    </row>
    <row r="3629" spans="1:17" x14ac:dyDescent="0.25">
      <c r="A3629" s="5"/>
      <c r="B3629" s="6"/>
      <c r="C3629" s="4"/>
      <c r="D3629" s="4"/>
      <c r="E3629" s="12"/>
      <c r="F3629" s="12"/>
      <c r="G3629" s="16"/>
      <c r="H3629" s="14"/>
      <c r="I3629" s="14"/>
      <c r="J3629" s="14"/>
      <c r="K3629" s="14"/>
      <c r="L3629" s="14"/>
      <c r="M3629" s="14"/>
      <c r="N3629" s="14"/>
      <c r="O3629" s="4"/>
      <c r="P3629" s="14"/>
      <c r="Q3629" s="14"/>
    </row>
    <row r="3630" spans="1:17" x14ac:dyDescent="0.25">
      <c r="A3630" s="5"/>
      <c r="B3630" s="6"/>
      <c r="C3630" s="4"/>
      <c r="D3630" s="4"/>
      <c r="E3630" s="12"/>
      <c r="F3630" s="12"/>
      <c r="G3630" s="16"/>
      <c r="H3630" s="14"/>
      <c r="I3630" s="14"/>
      <c r="J3630" s="14"/>
      <c r="K3630" s="14"/>
      <c r="L3630" s="14"/>
      <c r="M3630" s="14"/>
      <c r="N3630" s="14"/>
      <c r="O3630" s="4"/>
      <c r="P3630" s="14"/>
      <c r="Q3630" s="14"/>
    </row>
    <row r="3631" spans="1:17" x14ac:dyDescent="0.25">
      <c r="A3631" s="5"/>
      <c r="B3631" s="6"/>
      <c r="C3631" s="4"/>
      <c r="D3631" s="4"/>
      <c r="E3631" s="12"/>
      <c r="F3631" s="12"/>
      <c r="G3631" s="16"/>
      <c r="H3631" s="14"/>
      <c r="I3631" s="14"/>
      <c r="J3631" s="14"/>
      <c r="K3631" s="14"/>
      <c r="L3631" s="14"/>
      <c r="M3631" s="14"/>
      <c r="N3631" s="14"/>
      <c r="O3631" s="4"/>
      <c r="P3631" s="14"/>
      <c r="Q3631" s="14"/>
    </row>
    <row r="3632" spans="1:17" x14ac:dyDescent="0.25">
      <c r="A3632" s="5"/>
      <c r="B3632" s="6"/>
      <c r="C3632" s="4"/>
      <c r="D3632" s="4"/>
      <c r="E3632" s="12"/>
      <c r="F3632" s="12"/>
      <c r="G3632" s="16"/>
      <c r="H3632" s="14"/>
      <c r="I3632" s="14"/>
      <c r="J3632" s="14"/>
      <c r="K3632" s="14"/>
      <c r="L3632" s="14"/>
      <c r="M3632" s="14"/>
      <c r="N3632" s="14"/>
      <c r="O3632" s="4"/>
      <c r="P3632" s="14"/>
      <c r="Q3632" s="14"/>
    </row>
    <row r="3633" spans="1:17" x14ac:dyDescent="0.25">
      <c r="A3633" s="5"/>
      <c r="B3633" s="6"/>
      <c r="C3633" s="4"/>
      <c r="D3633" s="4"/>
      <c r="E3633" s="12"/>
      <c r="F3633" s="12"/>
      <c r="G3633" s="16"/>
      <c r="H3633" s="14"/>
      <c r="I3633" s="14"/>
      <c r="J3633" s="14"/>
      <c r="K3633" s="14"/>
      <c r="L3633" s="14"/>
      <c r="M3633" s="14"/>
      <c r="N3633" s="14"/>
      <c r="O3633" s="4"/>
      <c r="P3633" s="14"/>
      <c r="Q3633" s="14"/>
    </row>
    <row r="3634" spans="1:17" x14ac:dyDescent="0.25">
      <c r="A3634" s="5"/>
      <c r="B3634" s="6"/>
      <c r="C3634" s="4"/>
      <c r="D3634" s="4"/>
      <c r="E3634" s="12"/>
      <c r="F3634" s="12"/>
      <c r="G3634" s="16"/>
      <c r="H3634" s="14"/>
      <c r="I3634" s="14"/>
      <c r="J3634" s="14"/>
      <c r="K3634" s="14"/>
      <c r="L3634" s="14"/>
      <c r="M3634" s="14"/>
      <c r="N3634" s="14"/>
      <c r="O3634" s="4"/>
      <c r="P3634" s="14"/>
      <c r="Q3634" s="14"/>
    </row>
    <row r="3635" spans="1:17" x14ac:dyDescent="0.25">
      <c r="A3635" s="5"/>
      <c r="B3635" s="6"/>
      <c r="C3635" s="4"/>
      <c r="D3635" s="4"/>
      <c r="E3635" s="12"/>
      <c r="F3635" s="12"/>
      <c r="G3635" s="16"/>
      <c r="H3635" s="14"/>
      <c r="I3635" s="14"/>
      <c r="J3635" s="14"/>
      <c r="K3635" s="14"/>
      <c r="L3635" s="14"/>
      <c r="M3635" s="14"/>
      <c r="N3635" s="14"/>
      <c r="O3635" s="4"/>
      <c r="P3635" s="14"/>
      <c r="Q3635" s="14"/>
    </row>
    <row r="3636" spans="1:17" x14ac:dyDescent="0.25">
      <c r="A3636" s="5"/>
      <c r="B3636" s="6"/>
      <c r="C3636" s="4"/>
      <c r="D3636" s="4"/>
      <c r="E3636" s="12"/>
      <c r="F3636" s="12"/>
      <c r="G3636" s="16"/>
      <c r="H3636" s="14"/>
      <c r="I3636" s="14"/>
      <c r="J3636" s="14"/>
      <c r="K3636" s="14"/>
      <c r="L3636" s="14"/>
      <c r="M3636" s="14"/>
      <c r="N3636" s="14"/>
      <c r="O3636" s="4"/>
      <c r="P3636" s="14"/>
      <c r="Q3636" s="14"/>
    </row>
    <row r="3637" spans="1:17" x14ac:dyDescent="0.25">
      <c r="A3637" s="5"/>
      <c r="B3637" s="6"/>
      <c r="C3637" s="4"/>
      <c r="D3637" s="4"/>
      <c r="E3637" s="12"/>
      <c r="F3637" s="12"/>
      <c r="G3637" s="16"/>
      <c r="H3637" s="14"/>
      <c r="I3637" s="14"/>
      <c r="J3637" s="14"/>
      <c r="K3637" s="14"/>
      <c r="L3637" s="14"/>
      <c r="M3637" s="14"/>
      <c r="N3637" s="14"/>
      <c r="O3637" s="4"/>
      <c r="P3637" s="14"/>
      <c r="Q3637" s="14"/>
    </row>
    <row r="3638" spans="1:17" x14ac:dyDescent="0.25">
      <c r="A3638" s="5"/>
      <c r="B3638" s="6"/>
      <c r="C3638" s="4"/>
      <c r="D3638" s="4"/>
      <c r="E3638" s="12"/>
      <c r="F3638" s="12"/>
      <c r="G3638" s="16"/>
      <c r="H3638" s="14"/>
      <c r="I3638" s="14"/>
      <c r="J3638" s="14"/>
      <c r="K3638" s="14"/>
      <c r="L3638" s="14"/>
      <c r="M3638" s="14"/>
      <c r="N3638" s="14"/>
      <c r="O3638" s="4"/>
      <c r="P3638" s="14"/>
      <c r="Q3638" s="14"/>
    </row>
    <row r="3639" spans="1:17" x14ac:dyDescent="0.25">
      <c r="A3639" s="5"/>
      <c r="B3639" s="6"/>
      <c r="C3639" s="4"/>
      <c r="D3639" s="4"/>
      <c r="E3639" s="12"/>
      <c r="F3639" s="12"/>
      <c r="G3639" s="16"/>
      <c r="H3639" s="14"/>
      <c r="I3639" s="14"/>
      <c r="J3639" s="14"/>
      <c r="K3639" s="14"/>
      <c r="L3639" s="14"/>
      <c r="M3639" s="14"/>
      <c r="N3639" s="14"/>
      <c r="O3639" s="4"/>
      <c r="P3639" s="14"/>
      <c r="Q3639" s="14"/>
    </row>
    <row r="3640" spans="1:17" x14ac:dyDescent="0.25">
      <c r="A3640" s="5"/>
      <c r="B3640" s="6"/>
      <c r="C3640" s="4"/>
      <c r="D3640" s="4"/>
      <c r="E3640" s="12"/>
      <c r="F3640" s="12"/>
      <c r="G3640" s="16"/>
      <c r="H3640" s="14"/>
      <c r="I3640" s="14"/>
      <c r="J3640" s="14"/>
      <c r="K3640" s="14"/>
      <c r="L3640" s="14"/>
      <c r="M3640" s="14"/>
      <c r="N3640" s="14"/>
      <c r="O3640" s="4"/>
      <c r="P3640" s="14"/>
      <c r="Q3640" s="14"/>
    </row>
    <row r="3641" spans="1:17" x14ac:dyDescent="0.25">
      <c r="A3641" s="5"/>
      <c r="B3641" s="6"/>
      <c r="C3641" s="4"/>
      <c r="D3641" s="4"/>
      <c r="E3641" s="12"/>
      <c r="F3641" s="12"/>
      <c r="G3641" s="16"/>
      <c r="H3641" s="14"/>
      <c r="I3641" s="14"/>
      <c r="J3641" s="14"/>
      <c r="K3641" s="14"/>
      <c r="L3641" s="14"/>
      <c r="M3641" s="14"/>
      <c r="N3641" s="14"/>
      <c r="O3641" s="4"/>
      <c r="P3641" s="14"/>
      <c r="Q3641" s="14"/>
    </row>
    <row r="3642" spans="1:17" x14ac:dyDescent="0.25">
      <c r="A3642" s="5"/>
      <c r="B3642" s="6"/>
      <c r="C3642" s="4"/>
      <c r="D3642" s="4"/>
      <c r="E3642" s="12"/>
      <c r="F3642" s="12"/>
      <c r="G3642" s="16"/>
      <c r="H3642" s="14"/>
      <c r="I3642" s="14"/>
      <c r="J3642" s="14"/>
      <c r="K3642" s="14"/>
      <c r="L3642" s="14"/>
      <c r="M3642" s="14"/>
      <c r="N3642" s="14"/>
      <c r="O3642" s="4"/>
      <c r="P3642" s="14"/>
      <c r="Q3642" s="14"/>
    </row>
    <row r="3643" spans="1:17" x14ac:dyDescent="0.25">
      <c r="A3643" s="5"/>
      <c r="B3643" s="6"/>
      <c r="C3643" s="4"/>
      <c r="D3643" s="4"/>
      <c r="E3643" s="12"/>
      <c r="F3643" s="12"/>
      <c r="G3643" s="16"/>
      <c r="H3643" s="14"/>
      <c r="I3643" s="14"/>
      <c r="J3643" s="14"/>
      <c r="K3643" s="14"/>
      <c r="L3643" s="14"/>
      <c r="M3643" s="14"/>
      <c r="N3643" s="14"/>
      <c r="O3643" s="4"/>
      <c r="P3643" s="14"/>
      <c r="Q3643" s="14"/>
    </row>
    <row r="3644" spans="1:17" x14ac:dyDescent="0.25">
      <c r="A3644" s="5"/>
      <c r="B3644" s="6"/>
      <c r="C3644" s="4"/>
      <c r="D3644" s="4"/>
      <c r="E3644" s="12"/>
      <c r="F3644" s="12"/>
      <c r="G3644" s="16"/>
      <c r="H3644" s="14"/>
      <c r="I3644" s="14"/>
      <c r="J3644" s="14"/>
      <c r="K3644" s="14"/>
      <c r="L3644" s="14"/>
      <c r="M3644" s="14"/>
      <c r="N3644" s="14"/>
      <c r="O3644" s="4"/>
      <c r="P3644" s="14"/>
      <c r="Q3644" s="14"/>
    </row>
    <row r="3645" spans="1:17" x14ac:dyDescent="0.25">
      <c r="A3645" s="5"/>
      <c r="B3645" s="6"/>
      <c r="C3645" s="4"/>
      <c r="D3645" s="4"/>
      <c r="E3645" s="12"/>
      <c r="F3645" s="12"/>
      <c r="G3645" s="16"/>
      <c r="H3645" s="14"/>
      <c r="I3645" s="14"/>
      <c r="J3645" s="14"/>
      <c r="K3645" s="14"/>
      <c r="L3645" s="14"/>
      <c r="M3645" s="14"/>
      <c r="N3645" s="14"/>
      <c r="O3645" s="4"/>
      <c r="P3645" s="14"/>
      <c r="Q3645" s="14"/>
    </row>
    <row r="3646" spans="1:17" x14ac:dyDescent="0.25">
      <c r="A3646" s="5"/>
      <c r="B3646" s="6"/>
      <c r="C3646" s="4"/>
      <c r="D3646" s="4"/>
      <c r="E3646" s="12"/>
      <c r="F3646" s="12"/>
      <c r="G3646" s="16"/>
      <c r="H3646" s="14"/>
      <c r="I3646" s="14"/>
      <c r="J3646" s="14"/>
      <c r="K3646" s="14"/>
      <c r="L3646" s="14"/>
      <c r="M3646" s="14"/>
      <c r="N3646" s="14"/>
      <c r="O3646" s="4"/>
      <c r="P3646" s="14"/>
      <c r="Q3646" s="14"/>
    </row>
    <row r="3647" spans="1:17" x14ac:dyDescent="0.25">
      <c r="A3647" s="5"/>
      <c r="B3647" s="6"/>
      <c r="C3647" s="4"/>
      <c r="D3647" s="4"/>
      <c r="E3647" s="12"/>
      <c r="F3647" s="12"/>
      <c r="G3647" s="16"/>
      <c r="H3647" s="14"/>
      <c r="I3647" s="14"/>
      <c r="J3647" s="14"/>
      <c r="K3647" s="14"/>
      <c r="L3647" s="14"/>
      <c r="M3647" s="14"/>
      <c r="N3647" s="14"/>
      <c r="O3647" s="4"/>
      <c r="P3647" s="14"/>
      <c r="Q3647" s="14"/>
    </row>
    <row r="3648" spans="1:17" x14ac:dyDescent="0.25">
      <c r="A3648" s="5"/>
      <c r="B3648" s="6"/>
      <c r="C3648" s="4"/>
      <c r="D3648" s="4"/>
      <c r="E3648" s="12"/>
      <c r="F3648" s="12"/>
      <c r="G3648" s="16"/>
      <c r="H3648" s="14"/>
      <c r="I3648" s="14"/>
      <c r="J3648" s="14"/>
      <c r="K3648" s="14"/>
      <c r="L3648" s="14"/>
      <c r="M3648" s="14"/>
      <c r="N3648" s="14"/>
      <c r="O3648" s="4"/>
      <c r="P3648" s="14"/>
      <c r="Q3648" s="14"/>
    </row>
    <row r="3649" spans="1:17" x14ac:dyDescent="0.25">
      <c r="A3649" s="5"/>
      <c r="B3649" s="6"/>
      <c r="C3649" s="4"/>
      <c r="D3649" s="4"/>
      <c r="E3649" s="12"/>
      <c r="F3649" s="12"/>
      <c r="G3649" s="16"/>
      <c r="H3649" s="14"/>
      <c r="I3649" s="14"/>
      <c r="J3649" s="14"/>
      <c r="K3649" s="14"/>
      <c r="L3649" s="14"/>
      <c r="M3649" s="14"/>
      <c r="N3649" s="14"/>
      <c r="O3649" s="4"/>
      <c r="P3649" s="14"/>
      <c r="Q3649" s="14"/>
    </row>
    <row r="3650" spans="1:17" x14ac:dyDescent="0.25">
      <c r="A3650" s="5"/>
      <c r="B3650" s="6"/>
      <c r="C3650" s="4"/>
      <c r="D3650" s="4"/>
      <c r="E3650" s="12"/>
      <c r="F3650" s="12"/>
      <c r="G3650" s="16"/>
      <c r="H3650" s="14"/>
      <c r="I3650" s="14"/>
      <c r="J3650" s="14"/>
      <c r="K3650" s="14"/>
      <c r="L3650" s="14"/>
      <c r="M3650" s="14"/>
      <c r="N3650" s="14"/>
      <c r="O3650" s="4"/>
      <c r="P3650" s="14"/>
      <c r="Q3650" s="14"/>
    </row>
    <row r="3651" spans="1:17" x14ac:dyDescent="0.25">
      <c r="A3651" s="5"/>
      <c r="B3651" s="6"/>
      <c r="C3651" s="4"/>
      <c r="D3651" s="4"/>
      <c r="E3651" s="12"/>
      <c r="F3651" s="12"/>
      <c r="G3651" s="16"/>
      <c r="H3651" s="14"/>
      <c r="I3651" s="14"/>
      <c r="J3651" s="14"/>
      <c r="K3651" s="14"/>
      <c r="L3651" s="14"/>
      <c r="M3651" s="14"/>
      <c r="N3651" s="14"/>
      <c r="O3651" s="4"/>
      <c r="P3651" s="14"/>
      <c r="Q3651" s="14"/>
    </row>
    <row r="3652" spans="1:17" x14ac:dyDescent="0.25">
      <c r="A3652" s="5"/>
      <c r="B3652" s="6"/>
      <c r="C3652" s="4"/>
      <c r="D3652" s="4"/>
      <c r="E3652" s="12"/>
      <c r="F3652" s="12"/>
      <c r="G3652" s="16"/>
      <c r="H3652" s="14"/>
      <c r="I3652" s="14"/>
      <c r="J3652" s="14"/>
      <c r="K3652" s="14"/>
      <c r="L3652" s="14"/>
      <c r="M3652" s="14"/>
      <c r="N3652" s="14"/>
      <c r="O3652" s="4"/>
      <c r="P3652" s="14"/>
      <c r="Q3652" s="14"/>
    </row>
    <row r="3653" spans="1:17" x14ac:dyDescent="0.25">
      <c r="A3653" s="5"/>
      <c r="B3653" s="6"/>
      <c r="C3653" s="4"/>
      <c r="D3653" s="4"/>
      <c r="E3653" s="12"/>
      <c r="F3653" s="12"/>
      <c r="G3653" s="16"/>
      <c r="H3653" s="14"/>
      <c r="I3653" s="14"/>
      <c r="J3653" s="14"/>
      <c r="K3653" s="14"/>
      <c r="L3653" s="14"/>
      <c r="M3653" s="14"/>
      <c r="N3653" s="14"/>
      <c r="O3653" s="4"/>
      <c r="P3653" s="14"/>
      <c r="Q3653" s="14"/>
    </row>
    <row r="3654" spans="1:17" x14ac:dyDescent="0.25">
      <c r="A3654" s="5"/>
      <c r="B3654" s="6"/>
      <c r="C3654" s="4"/>
      <c r="D3654" s="4"/>
      <c r="E3654" s="12"/>
      <c r="F3654" s="12"/>
      <c r="G3654" s="16"/>
      <c r="H3654" s="14"/>
      <c r="I3654" s="14"/>
      <c r="J3654" s="14"/>
      <c r="K3654" s="14"/>
      <c r="L3654" s="14"/>
      <c r="M3654" s="14"/>
      <c r="N3654" s="14"/>
      <c r="O3654" s="4"/>
      <c r="P3654" s="14"/>
      <c r="Q3654" s="14"/>
    </row>
    <row r="3655" spans="1:17" x14ac:dyDescent="0.25">
      <c r="A3655" s="5"/>
      <c r="B3655" s="6"/>
      <c r="C3655" s="4"/>
      <c r="D3655" s="4"/>
      <c r="E3655" s="12"/>
      <c r="F3655" s="12"/>
      <c r="G3655" s="16"/>
      <c r="H3655" s="14"/>
      <c r="I3655" s="14"/>
      <c r="J3655" s="14"/>
      <c r="K3655" s="14"/>
      <c r="L3655" s="14"/>
      <c r="M3655" s="14"/>
      <c r="N3655" s="14"/>
      <c r="O3655" s="4"/>
      <c r="P3655" s="14"/>
      <c r="Q3655" s="14"/>
    </row>
    <row r="3656" spans="1:17" x14ac:dyDescent="0.25">
      <c r="A3656" s="5"/>
      <c r="B3656" s="6"/>
      <c r="C3656" s="4"/>
      <c r="D3656" s="4"/>
      <c r="E3656" s="12"/>
      <c r="F3656" s="12"/>
      <c r="G3656" s="16"/>
      <c r="H3656" s="14"/>
      <c r="I3656" s="14"/>
      <c r="J3656" s="14"/>
      <c r="K3656" s="14"/>
      <c r="L3656" s="14"/>
      <c r="M3656" s="14"/>
      <c r="N3656" s="14"/>
      <c r="O3656" s="4"/>
      <c r="P3656" s="14"/>
      <c r="Q3656" s="14"/>
    </row>
    <row r="3657" spans="1:17" x14ac:dyDescent="0.25">
      <c r="A3657" s="5"/>
      <c r="B3657" s="6"/>
      <c r="C3657" s="4"/>
      <c r="D3657" s="4"/>
      <c r="E3657" s="12"/>
      <c r="F3657" s="12"/>
      <c r="G3657" s="16"/>
      <c r="H3657" s="14"/>
      <c r="I3657" s="14"/>
      <c r="J3657" s="14"/>
      <c r="K3657" s="14"/>
      <c r="L3657" s="14"/>
      <c r="M3657" s="14"/>
      <c r="N3657" s="14"/>
      <c r="O3657" s="4"/>
      <c r="P3657" s="14"/>
      <c r="Q3657" s="14"/>
    </row>
    <row r="3658" spans="1:17" x14ac:dyDescent="0.25">
      <c r="A3658" s="5"/>
      <c r="B3658" s="6"/>
      <c r="C3658" s="4"/>
      <c r="D3658" s="4"/>
      <c r="E3658" s="12"/>
      <c r="F3658" s="12"/>
      <c r="G3658" s="16"/>
      <c r="H3658" s="14"/>
      <c r="I3658" s="14"/>
      <c r="J3658" s="14"/>
      <c r="K3658" s="14"/>
      <c r="L3658" s="14"/>
      <c r="M3658" s="14"/>
      <c r="N3658" s="14"/>
      <c r="O3658" s="4"/>
      <c r="P3658" s="14"/>
      <c r="Q3658" s="14"/>
    </row>
    <row r="3659" spans="1:17" x14ac:dyDescent="0.25">
      <c r="A3659" s="5"/>
      <c r="B3659" s="6"/>
      <c r="C3659" s="4"/>
      <c r="D3659" s="4"/>
      <c r="E3659" s="12"/>
      <c r="F3659" s="12"/>
      <c r="G3659" s="16"/>
      <c r="H3659" s="14"/>
      <c r="I3659" s="14"/>
      <c r="J3659" s="14"/>
      <c r="K3659" s="14"/>
      <c r="L3659" s="14"/>
      <c r="M3659" s="14"/>
      <c r="N3659" s="14"/>
      <c r="O3659" s="4"/>
      <c r="P3659" s="14"/>
      <c r="Q3659" s="14"/>
    </row>
    <row r="3660" spans="1:17" x14ac:dyDescent="0.25">
      <c r="A3660" s="5"/>
      <c r="B3660" s="6"/>
      <c r="C3660" s="4"/>
      <c r="D3660" s="4"/>
      <c r="E3660" s="12"/>
      <c r="F3660" s="12"/>
      <c r="G3660" s="16"/>
      <c r="H3660" s="14"/>
      <c r="I3660" s="14"/>
      <c r="J3660" s="14"/>
      <c r="K3660" s="14"/>
      <c r="L3660" s="14"/>
      <c r="M3660" s="14"/>
      <c r="N3660" s="14"/>
      <c r="O3660" s="4"/>
      <c r="P3660" s="14"/>
      <c r="Q3660" s="14"/>
    </row>
    <row r="3661" spans="1:17" x14ac:dyDescent="0.25">
      <c r="A3661" s="5"/>
      <c r="B3661" s="6"/>
      <c r="C3661" s="4"/>
      <c r="D3661" s="4"/>
      <c r="E3661" s="12"/>
      <c r="F3661" s="12"/>
      <c r="G3661" s="16"/>
      <c r="H3661" s="14"/>
      <c r="I3661" s="14"/>
      <c r="J3661" s="14"/>
      <c r="K3661" s="14"/>
      <c r="L3661" s="14"/>
      <c r="M3661" s="14"/>
      <c r="N3661" s="14"/>
      <c r="O3661" s="4"/>
      <c r="P3661" s="14"/>
      <c r="Q3661" s="14"/>
    </row>
    <row r="3662" spans="1:17" x14ac:dyDescent="0.25">
      <c r="A3662" s="5"/>
      <c r="B3662" s="6"/>
      <c r="C3662" s="4"/>
      <c r="D3662" s="4"/>
      <c r="E3662" s="12"/>
      <c r="F3662" s="12"/>
      <c r="G3662" s="16"/>
      <c r="H3662" s="14"/>
      <c r="I3662" s="14"/>
      <c r="J3662" s="14"/>
      <c r="K3662" s="14"/>
      <c r="L3662" s="14"/>
      <c r="M3662" s="14"/>
      <c r="N3662" s="14"/>
      <c r="O3662" s="4"/>
      <c r="P3662" s="14"/>
      <c r="Q3662" s="14"/>
    </row>
    <row r="3663" spans="1:17" x14ac:dyDescent="0.25">
      <c r="A3663" s="5"/>
      <c r="B3663" s="6"/>
      <c r="C3663" s="4"/>
      <c r="D3663" s="4"/>
      <c r="E3663" s="12"/>
      <c r="F3663" s="12"/>
      <c r="G3663" s="16"/>
      <c r="H3663" s="14"/>
      <c r="I3663" s="14"/>
      <c r="J3663" s="14"/>
      <c r="K3663" s="14"/>
      <c r="L3663" s="14"/>
      <c r="M3663" s="14"/>
      <c r="N3663" s="14"/>
      <c r="O3663" s="4"/>
      <c r="P3663" s="14"/>
      <c r="Q3663" s="14"/>
    </row>
    <row r="3664" spans="1:17" x14ac:dyDescent="0.25">
      <c r="A3664" s="5"/>
      <c r="B3664" s="6"/>
      <c r="C3664" s="4"/>
      <c r="D3664" s="4"/>
      <c r="E3664" s="12"/>
      <c r="F3664" s="12"/>
      <c r="G3664" s="16"/>
      <c r="H3664" s="14"/>
      <c r="I3664" s="14"/>
      <c r="J3664" s="14"/>
      <c r="K3664" s="14"/>
      <c r="L3664" s="14"/>
      <c r="M3664" s="14"/>
      <c r="N3664" s="14"/>
      <c r="O3664" s="4"/>
      <c r="P3664" s="14"/>
      <c r="Q3664" s="14"/>
    </row>
    <row r="3665" spans="1:17" x14ac:dyDescent="0.25">
      <c r="A3665" s="5"/>
      <c r="B3665" s="6"/>
      <c r="C3665" s="4"/>
      <c r="D3665" s="4"/>
      <c r="E3665" s="12"/>
      <c r="F3665" s="12"/>
      <c r="G3665" s="16"/>
      <c r="H3665" s="14"/>
      <c r="I3665" s="14"/>
      <c r="J3665" s="14"/>
      <c r="K3665" s="14"/>
      <c r="L3665" s="14"/>
      <c r="M3665" s="14"/>
      <c r="N3665" s="14"/>
      <c r="O3665" s="4"/>
      <c r="P3665" s="14"/>
      <c r="Q3665" s="14"/>
    </row>
    <row r="3666" spans="1:17" x14ac:dyDescent="0.25">
      <c r="A3666" s="5"/>
      <c r="B3666" s="6"/>
      <c r="C3666" s="4"/>
      <c r="D3666" s="4"/>
      <c r="E3666" s="12"/>
      <c r="F3666" s="12"/>
      <c r="G3666" s="16"/>
      <c r="H3666" s="14"/>
      <c r="I3666" s="14"/>
      <c r="J3666" s="14"/>
      <c r="K3666" s="14"/>
      <c r="L3666" s="14"/>
      <c r="M3666" s="14"/>
      <c r="N3666" s="14"/>
      <c r="O3666" s="4"/>
      <c r="P3666" s="14"/>
      <c r="Q3666" s="14"/>
    </row>
    <row r="3667" spans="1:17" x14ac:dyDescent="0.25">
      <c r="A3667" s="5"/>
      <c r="B3667" s="6"/>
      <c r="C3667" s="4"/>
      <c r="D3667" s="4"/>
      <c r="E3667" s="12"/>
      <c r="F3667" s="12"/>
      <c r="G3667" s="16"/>
      <c r="H3667" s="14"/>
      <c r="I3667" s="14"/>
      <c r="J3667" s="14"/>
      <c r="K3667" s="14"/>
      <c r="L3667" s="14"/>
      <c r="M3667" s="14"/>
      <c r="N3667" s="14"/>
      <c r="O3667" s="4"/>
      <c r="P3667" s="14"/>
      <c r="Q3667" s="14"/>
    </row>
    <row r="3668" spans="1:17" x14ac:dyDescent="0.25">
      <c r="A3668" s="5"/>
      <c r="B3668" s="6"/>
      <c r="C3668" s="4"/>
      <c r="D3668" s="4"/>
      <c r="E3668" s="12"/>
      <c r="F3668" s="12"/>
      <c r="G3668" s="16"/>
      <c r="H3668" s="14"/>
      <c r="I3668" s="14"/>
      <c r="J3668" s="14"/>
      <c r="K3668" s="14"/>
      <c r="L3668" s="14"/>
      <c r="M3668" s="14"/>
      <c r="N3668" s="14"/>
      <c r="O3668" s="4"/>
      <c r="P3668" s="14"/>
      <c r="Q3668" s="14"/>
    </row>
    <row r="3669" spans="1:17" x14ac:dyDescent="0.25">
      <c r="A3669" s="5"/>
      <c r="B3669" s="6"/>
      <c r="C3669" s="4"/>
      <c r="D3669" s="4"/>
      <c r="E3669" s="12"/>
      <c r="F3669" s="12"/>
      <c r="G3669" s="16"/>
      <c r="H3669" s="14"/>
      <c r="I3669" s="14"/>
      <c r="J3669" s="14"/>
      <c r="K3669" s="14"/>
      <c r="L3669" s="14"/>
      <c r="M3669" s="14"/>
      <c r="N3669" s="14"/>
      <c r="O3669" s="4"/>
      <c r="P3669" s="14"/>
      <c r="Q3669" s="14"/>
    </row>
    <row r="3670" spans="1:17" x14ac:dyDescent="0.25">
      <c r="A3670" s="5"/>
      <c r="B3670" s="6"/>
      <c r="C3670" s="4"/>
      <c r="D3670" s="4"/>
      <c r="E3670" s="12"/>
      <c r="F3670" s="12"/>
      <c r="G3670" s="16"/>
      <c r="H3670" s="14"/>
      <c r="I3670" s="14"/>
      <c r="J3670" s="14"/>
      <c r="K3670" s="14"/>
      <c r="L3670" s="14"/>
      <c r="M3670" s="14"/>
      <c r="N3670" s="14"/>
      <c r="O3670" s="4"/>
      <c r="P3670" s="14"/>
      <c r="Q3670" s="14"/>
    </row>
    <row r="3671" spans="1:17" x14ac:dyDescent="0.25">
      <c r="A3671" s="5"/>
      <c r="B3671" s="6"/>
      <c r="C3671" s="4"/>
      <c r="D3671" s="4"/>
      <c r="E3671" s="12"/>
      <c r="F3671" s="12"/>
      <c r="G3671" s="16"/>
      <c r="H3671" s="14"/>
      <c r="I3671" s="14"/>
      <c r="J3671" s="14"/>
      <c r="K3671" s="14"/>
      <c r="L3671" s="14"/>
      <c r="M3671" s="14"/>
      <c r="N3671" s="14"/>
      <c r="O3671" s="4"/>
      <c r="P3671" s="14"/>
      <c r="Q3671" s="14"/>
    </row>
    <row r="3672" spans="1:17" x14ac:dyDescent="0.25">
      <c r="A3672" s="5"/>
      <c r="B3672" s="6"/>
      <c r="C3672" s="4"/>
      <c r="D3672" s="4"/>
      <c r="E3672" s="12"/>
      <c r="F3672" s="12"/>
      <c r="G3672" s="16"/>
      <c r="H3672" s="14"/>
      <c r="I3672" s="14"/>
      <c r="J3672" s="14"/>
      <c r="K3672" s="14"/>
      <c r="L3672" s="14"/>
      <c r="M3672" s="14"/>
      <c r="N3672" s="14"/>
      <c r="O3672" s="4"/>
      <c r="P3672" s="14"/>
      <c r="Q3672" s="14"/>
    </row>
    <row r="3673" spans="1:17" x14ac:dyDescent="0.25">
      <c r="A3673" s="5"/>
      <c r="B3673" s="6"/>
      <c r="C3673" s="4"/>
      <c r="D3673" s="4"/>
      <c r="E3673" s="12"/>
      <c r="F3673" s="12"/>
      <c r="G3673" s="16"/>
      <c r="H3673" s="14"/>
      <c r="I3673" s="14"/>
      <c r="J3673" s="14"/>
      <c r="K3673" s="14"/>
      <c r="L3673" s="14"/>
      <c r="M3673" s="14"/>
      <c r="N3673" s="14"/>
      <c r="O3673" s="4"/>
      <c r="P3673" s="14"/>
      <c r="Q3673" s="14"/>
    </row>
    <row r="3674" spans="1:17" x14ac:dyDescent="0.25">
      <c r="A3674" s="5"/>
      <c r="B3674" s="6"/>
      <c r="C3674" s="4"/>
      <c r="D3674" s="4"/>
      <c r="E3674" s="12"/>
      <c r="F3674" s="12"/>
      <c r="G3674" s="16"/>
      <c r="H3674" s="14"/>
      <c r="I3674" s="14"/>
      <c r="J3674" s="14"/>
      <c r="K3674" s="14"/>
      <c r="L3674" s="14"/>
      <c r="M3674" s="14"/>
      <c r="N3674" s="14"/>
      <c r="O3674" s="4"/>
      <c r="P3674" s="14"/>
      <c r="Q3674" s="14"/>
    </row>
    <row r="3675" spans="1:17" x14ac:dyDescent="0.25">
      <c r="A3675" s="5"/>
      <c r="B3675" s="6"/>
      <c r="C3675" s="4"/>
      <c r="D3675" s="4"/>
      <c r="E3675" s="12"/>
      <c r="F3675" s="12"/>
      <c r="G3675" s="16"/>
      <c r="H3675" s="14"/>
      <c r="I3675" s="14"/>
      <c r="J3675" s="14"/>
      <c r="K3675" s="14"/>
      <c r="L3675" s="14"/>
      <c r="M3675" s="14"/>
      <c r="N3675" s="14"/>
      <c r="O3675" s="4"/>
      <c r="P3675" s="14"/>
      <c r="Q3675" s="14"/>
    </row>
    <row r="3676" spans="1:17" x14ac:dyDescent="0.25">
      <c r="A3676" s="5"/>
      <c r="B3676" s="6"/>
      <c r="C3676" s="4"/>
      <c r="D3676" s="4"/>
      <c r="E3676" s="12"/>
      <c r="F3676" s="12"/>
      <c r="G3676" s="16"/>
      <c r="H3676" s="14"/>
      <c r="I3676" s="14"/>
      <c r="J3676" s="14"/>
      <c r="K3676" s="14"/>
      <c r="L3676" s="14"/>
      <c r="M3676" s="14"/>
      <c r="N3676" s="14"/>
      <c r="O3676" s="4"/>
      <c r="P3676" s="14"/>
      <c r="Q3676" s="14"/>
    </row>
    <row r="3677" spans="1:17" x14ac:dyDescent="0.25">
      <c r="A3677" s="5"/>
      <c r="B3677" s="6"/>
      <c r="C3677" s="4"/>
      <c r="D3677" s="4"/>
      <c r="E3677" s="12"/>
      <c r="F3677" s="12"/>
      <c r="G3677" s="16"/>
      <c r="H3677" s="14"/>
      <c r="I3677" s="14"/>
      <c r="J3677" s="14"/>
      <c r="K3677" s="14"/>
      <c r="L3677" s="14"/>
      <c r="M3677" s="14"/>
      <c r="N3677" s="14"/>
      <c r="O3677" s="4"/>
      <c r="P3677" s="14"/>
      <c r="Q3677" s="14"/>
    </row>
    <row r="3678" spans="1:17" x14ac:dyDescent="0.25">
      <c r="A3678" s="5"/>
      <c r="B3678" s="6"/>
      <c r="C3678" s="4"/>
      <c r="D3678" s="4"/>
      <c r="E3678" s="12"/>
      <c r="F3678" s="12"/>
      <c r="G3678" s="16"/>
      <c r="H3678" s="14"/>
      <c r="I3678" s="14"/>
      <c r="J3678" s="14"/>
      <c r="K3678" s="14"/>
      <c r="L3678" s="14"/>
      <c r="M3678" s="14"/>
      <c r="N3678" s="14"/>
      <c r="O3678" s="4"/>
      <c r="P3678" s="14"/>
      <c r="Q3678" s="14"/>
    </row>
    <row r="3679" spans="1:17" x14ac:dyDescent="0.25">
      <c r="A3679" s="5"/>
      <c r="B3679" s="6"/>
      <c r="C3679" s="4"/>
      <c r="D3679" s="4"/>
      <c r="E3679" s="12"/>
      <c r="F3679" s="12"/>
      <c r="G3679" s="16"/>
      <c r="H3679" s="14"/>
      <c r="I3679" s="14"/>
      <c r="J3679" s="14"/>
      <c r="K3679" s="14"/>
      <c r="L3679" s="14"/>
      <c r="M3679" s="14"/>
      <c r="N3679" s="14"/>
      <c r="O3679" s="4"/>
      <c r="P3679" s="14"/>
      <c r="Q3679" s="14"/>
    </row>
    <row r="3680" spans="1:17" x14ac:dyDescent="0.25">
      <c r="A3680" s="5"/>
      <c r="B3680" s="6"/>
      <c r="C3680" s="4"/>
      <c r="D3680" s="4"/>
      <c r="E3680" s="12"/>
      <c r="F3680" s="12"/>
      <c r="G3680" s="16"/>
      <c r="H3680" s="14"/>
      <c r="I3680" s="14"/>
      <c r="J3680" s="14"/>
      <c r="K3680" s="14"/>
      <c r="L3680" s="14"/>
      <c r="M3680" s="14"/>
      <c r="N3680" s="14"/>
      <c r="O3680" s="4"/>
      <c r="P3680" s="14"/>
      <c r="Q3680" s="14"/>
    </row>
    <row r="3681" spans="1:17" x14ac:dyDescent="0.25">
      <c r="A3681" s="5"/>
      <c r="B3681" s="6"/>
      <c r="C3681" s="4"/>
      <c r="D3681" s="4"/>
      <c r="E3681" s="12"/>
      <c r="F3681" s="12"/>
      <c r="G3681" s="16"/>
      <c r="H3681" s="14"/>
      <c r="I3681" s="14"/>
      <c r="J3681" s="14"/>
      <c r="K3681" s="14"/>
      <c r="L3681" s="14"/>
      <c r="M3681" s="14"/>
      <c r="N3681" s="14"/>
      <c r="O3681" s="4"/>
      <c r="P3681" s="14"/>
      <c r="Q3681" s="14"/>
    </row>
    <row r="3682" spans="1:17" x14ac:dyDescent="0.25">
      <c r="A3682" s="5"/>
      <c r="B3682" s="6"/>
      <c r="C3682" s="4"/>
      <c r="D3682" s="4"/>
      <c r="E3682" s="12"/>
      <c r="F3682" s="12"/>
      <c r="G3682" s="16"/>
      <c r="H3682" s="14"/>
      <c r="I3682" s="14"/>
      <c r="J3682" s="14"/>
      <c r="K3682" s="14"/>
      <c r="L3682" s="14"/>
      <c r="M3682" s="14"/>
      <c r="N3682" s="14"/>
      <c r="O3682" s="4"/>
      <c r="P3682" s="14"/>
      <c r="Q3682" s="14"/>
    </row>
    <row r="3683" spans="1:17" x14ac:dyDescent="0.25">
      <c r="A3683" s="5"/>
      <c r="B3683" s="7"/>
      <c r="C3683" s="8"/>
      <c r="D3683" s="8"/>
      <c r="E3683" s="13"/>
      <c r="F3683" s="13"/>
      <c r="G3683" s="17"/>
      <c r="H3683" s="15"/>
      <c r="I3683" s="15"/>
      <c r="J3683" s="15"/>
      <c r="K3683" s="15"/>
      <c r="L3683" s="15"/>
      <c r="M3683" s="15"/>
      <c r="N3683" s="15"/>
      <c r="O3683" s="8"/>
      <c r="P3683" s="13"/>
      <c r="Q3683" s="13"/>
    </row>
  </sheetData>
  <mergeCells count="25">
    <mergeCell ref="A1:E4"/>
    <mergeCell ref="P29:P30"/>
    <mergeCell ref="G29:G30"/>
    <mergeCell ref="H29:H30"/>
    <mergeCell ref="I29:I30"/>
    <mergeCell ref="A6:F6"/>
    <mergeCell ref="A29:A30"/>
    <mergeCell ref="F29:F30"/>
    <mergeCell ref="B29:B30"/>
    <mergeCell ref="C29:C30"/>
    <mergeCell ref="D29:D30"/>
    <mergeCell ref="E15:F15"/>
    <mergeCell ref="E29:E30"/>
    <mergeCell ref="Q29:Q30"/>
    <mergeCell ref="M29:M30"/>
    <mergeCell ref="N29:N30"/>
    <mergeCell ref="O29:O30"/>
    <mergeCell ref="G1:H1"/>
    <mergeCell ref="G3:H3"/>
    <mergeCell ref="K29:K30"/>
    <mergeCell ref="L29:L30"/>
    <mergeCell ref="J29:J30"/>
    <mergeCell ref="G2:H2"/>
    <mergeCell ref="G4:H4"/>
    <mergeCell ref="I22:J22"/>
  </mergeCells>
  <phoneticPr fontId="1" type="noConversion"/>
  <pageMargins left="0.75" right="0.75" top="1" bottom="1" header="0.4921259845" footer="0.492125984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Informe de sensibilidad 1</vt:lpstr>
      <vt:lpstr>Informe de límites 1</vt:lpstr>
      <vt:lpstr>HBV Modelo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Diego Carvajal Cruz</dc:creator>
  <cp:keywords/>
  <dc:description/>
  <cp:lastModifiedBy>Michael Andres</cp:lastModifiedBy>
  <cp:revision/>
  <dcterms:created xsi:type="dcterms:W3CDTF">2006-11-20T07:45:54Z</dcterms:created>
  <dcterms:modified xsi:type="dcterms:W3CDTF">2024-11-30T22:05:40Z</dcterms:modified>
  <cp:category/>
  <cp:contentStatus/>
</cp:coreProperties>
</file>